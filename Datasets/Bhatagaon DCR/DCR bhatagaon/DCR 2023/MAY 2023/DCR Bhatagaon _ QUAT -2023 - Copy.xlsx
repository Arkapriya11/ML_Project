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10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4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calcChain.xml><?xml version="1.0" encoding="utf-8"?>
<calcChain xmlns="http://schemas.openxmlformats.org/spreadsheetml/2006/main">
  <c r="N110" i="44" l="1"/>
  <c r="N112" i="44"/>
  <c r="M110" i="44"/>
  <c r="L110" i="44"/>
  <c r="L111" i="44"/>
  <c r="N110" i="41"/>
  <c r="N112" i="41" s="1"/>
  <c r="N110" i="40"/>
  <c r="N111" i="40" s="1"/>
  <c r="H110" i="40"/>
  <c r="G110" i="40"/>
  <c r="G112" i="40" s="1"/>
  <c r="C110" i="33"/>
  <c r="D110" i="33"/>
  <c r="D112" i="33" s="1"/>
  <c r="B110" i="33"/>
  <c r="B112" i="33" s="1"/>
  <c r="K110" i="33"/>
  <c r="L110" i="33"/>
  <c r="M110" i="33"/>
  <c r="N110" i="33"/>
  <c r="N112" i="33"/>
  <c r="J110" i="33"/>
  <c r="J111" i="33" s="1"/>
  <c r="H110" i="33"/>
  <c r="G110" i="33"/>
  <c r="G112" i="33" s="1"/>
  <c r="K110" i="32"/>
  <c r="L110" i="32"/>
  <c r="L111" i="32" s="1"/>
  <c r="M110" i="32"/>
  <c r="N110" i="32"/>
  <c r="J110" i="32"/>
  <c r="J112" i="32"/>
  <c r="I110" i="32"/>
  <c r="I111" i="32" s="1"/>
  <c r="H110" i="32"/>
  <c r="H112" i="32"/>
  <c r="G110" i="32"/>
  <c r="G112" i="32" s="1"/>
  <c r="I110" i="31"/>
  <c r="I112" i="31" s="1"/>
  <c r="N110" i="31"/>
  <c r="N112" i="31" s="1"/>
  <c r="N110" i="30"/>
  <c r="N112" i="30" s="1"/>
  <c r="H110" i="30"/>
  <c r="H112" i="30"/>
  <c r="G110" i="30"/>
  <c r="G111" i="30"/>
  <c r="I110" i="30"/>
  <c r="I112" i="30" s="1"/>
  <c r="J110" i="29"/>
  <c r="J112" i="29" s="1"/>
  <c r="J110" i="28"/>
  <c r="J112" i="28" s="1"/>
  <c r="H110" i="28"/>
  <c r="G110" i="28"/>
  <c r="G112" i="28" s="1"/>
  <c r="J110" i="27"/>
  <c r="J112" i="27" s="1"/>
  <c r="I110" i="27"/>
  <c r="I112" i="27" s="1"/>
  <c r="N110" i="26"/>
  <c r="N112" i="26" s="1"/>
  <c r="C110" i="26"/>
  <c r="C111" i="26"/>
  <c r="B110" i="26"/>
  <c r="B111" i="26"/>
  <c r="E110" i="26"/>
  <c r="F110" i="26"/>
  <c r="F112" i="26" s="1"/>
  <c r="G110" i="26"/>
  <c r="H110" i="26"/>
  <c r="I110" i="26"/>
  <c r="J110" i="26"/>
  <c r="K110" i="26"/>
  <c r="L110" i="26"/>
  <c r="M110" i="26"/>
  <c r="O110" i="26"/>
  <c r="P110" i="26"/>
  <c r="Q110" i="26"/>
  <c r="F110" i="25"/>
  <c r="F111" i="25" s="1"/>
  <c r="C110" i="25"/>
  <c r="D110" i="25"/>
  <c r="D112" i="25" s="1"/>
  <c r="E110" i="25"/>
  <c r="E111" i="25"/>
  <c r="G110" i="25"/>
  <c r="H110" i="25"/>
  <c r="I110" i="25"/>
  <c r="J110" i="25"/>
  <c r="K110" i="25"/>
  <c r="L110" i="25"/>
  <c r="L112" i="25" s="1"/>
  <c r="M110" i="25"/>
  <c r="M112" i="25" s="1"/>
  <c r="N110" i="25"/>
  <c r="N111" i="25" s="1"/>
  <c r="O110" i="25"/>
  <c r="O111" i="25" s="1"/>
  <c r="P110" i="25"/>
  <c r="Q110" i="25"/>
  <c r="B110" i="25"/>
  <c r="B112" i="25" s="1"/>
  <c r="H110" i="24"/>
  <c r="G110" i="24"/>
  <c r="G111" i="24" s="1"/>
  <c r="G110" i="22"/>
  <c r="I110" i="21"/>
  <c r="I111" i="21" s="1"/>
  <c r="P110" i="20"/>
  <c r="E110" i="20"/>
  <c r="E112" i="20" s="1"/>
  <c r="C110" i="20"/>
  <c r="C112" i="20" s="1"/>
  <c r="D110" i="20"/>
  <c r="B110" i="20"/>
  <c r="B112" i="20" s="1"/>
  <c r="H110" i="20"/>
  <c r="H112" i="20" s="1"/>
  <c r="G110" i="20"/>
  <c r="G112" i="20" s="1"/>
  <c r="Q110" i="19"/>
  <c r="F110" i="18"/>
  <c r="F112" i="18" s="1"/>
  <c r="G110" i="18"/>
  <c r="G111" i="18" s="1"/>
  <c r="H110" i="18"/>
  <c r="I110" i="18"/>
  <c r="J110" i="18"/>
  <c r="J112" i="18" s="1"/>
  <c r="K110" i="18"/>
  <c r="L110" i="18"/>
  <c r="M110" i="18"/>
  <c r="N110" i="18"/>
  <c r="O110" i="18"/>
  <c r="P110" i="18"/>
  <c r="Q110" i="18"/>
  <c r="Q110" i="17"/>
  <c r="Q111" i="17" s="1"/>
  <c r="H110" i="17"/>
  <c r="H112" i="17" s="1"/>
  <c r="G110" i="17"/>
  <c r="G112" i="17" s="1"/>
  <c r="Q110" i="16"/>
  <c r="Q111" i="16" s="1"/>
  <c r="H110" i="16"/>
  <c r="H111" i="16" s="1"/>
  <c r="G110" i="16"/>
  <c r="G112" i="16" s="1"/>
  <c r="Q110" i="15"/>
  <c r="Q112" i="15" s="1"/>
  <c r="Q110" i="14"/>
  <c r="Q111" i="14" s="1"/>
  <c r="I110" i="14"/>
  <c r="I110" i="13"/>
  <c r="I111" i="13" s="1"/>
  <c r="I110" i="12"/>
  <c r="I112" i="12" s="1"/>
  <c r="F110" i="12"/>
  <c r="F111" i="12" s="1"/>
  <c r="Q110" i="11"/>
  <c r="Q111" i="11" s="1"/>
  <c r="K110" i="11"/>
  <c r="K111" i="11"/>
  <c r="L110" i="11"/>
  <c r="L111" i="11" s="1"/>
  <c r="M110" i="11"/>
  <c r="N110" i="11"/>
  <c r="O110" i="11"/>
  <c r="O111" i="11"/>
  <c r="P110" i="11"/>
  <c r="J110" i="11"/>
  <c r="J111" i="11" s="1"/>
  <c r="H110" i="11"/>
  <c r="H111" i="11" s="1"/>
  <c r="G110" i="11"/>
  <c r="G112" i="11" s="1"/>
  <c r="F110" i="11"/>
  <c r="F112" i="11" s="1"/>
  <c r="E110" i="11"/>
  <c r="E111" i="11" s="1"/>
  <c r="B110" i="11"/>
  <c r="Q110" i="10"/>
  <c r="Q112" i="10" s="1"/>
  <c r="I110" i="10"/>
  <c r="I111" i="10" s="1"/>
  <c r="H110" i="10"/>
  <c r="H112" i="10" s="1"/>
  <c r="G110" i="10"/>
  <c r="G112" i="10" s="1"/>
  <c r="E110" i="10"/>
  <c r="E112" i="10" s="1"/>
  <c r="Q110" i="9"/>
  <c r="Q111" i="9" s="1"/>
  <c r="P110" i="9"/>
  <c r="P112" i="9" s="1"/>
  <c r="O110" i="9"/>
  <c r="O112" i="9" s="1"/>
  <c r="N110" i="9"/>
  <c r="N112" i="9" s="1"/>
  <c r="L110" i="9"/>
  <c r="L112" i="9" s="1"/>
  <c r="M110" i="9"/>
  <c r="K110" i="9"/>
  <c r="K112" i="9" s="1"/>
  <c r="J110" i="9"/>
  <c r="J112" i="9" s="1"/>
  <c r="I110" i="9"/>
  <c r="I112" i="9"/>
  <c r="G110" i="9"/>
  <c r="G112" i="9"/>
  <c r="H110" i="9"/>
  <c r="H111" i="9"/>
  <c r="F110" i="9"/>
  <c r="F112" i="9"/>
  <c r="E110" i="9"/>
  <c r="E112" i="9"/>
  <c r="C110" i="9"/>
  <c r="C112" i="9" s="1"/>
  <c r="D110" i="9"/>
  <c r="D111" i="9" s="1"/>
  <c r="B110" i="9"/>
  <c r="B112" i="9" s="1"/>
  <c r="N110" i="8"/>
  <c r="N111" i="8" s="1"/>
  <c r="C110" i="8"/>
  <c r="C112" i="8" s="1"/>
  <c r="D110" i="8"/>
  <c r="E110" i="8"/>
  <c r="F110" i="8"/>
  <c r="G110" i="8"/>
  <c r="G111" i="8" s="1"/>
  <c r="H110" i="8"/>
  <c r="H112" i="8" s="1"/>
  <c r="I110" i="8"/>
  <c r="J110" i="8"/>
  <c r="K110" i="8"/>
  <c r="L110" i="8"/>
  <c r="M110" i="8"/>
  <c r="O110" i="8"/>
  <c r="P110" i="8"/>
  <c r="Q110" i="8"/>
  <c r="B110" i="8"/>
  <c r="B112" i="8"/>
  <c r="I110" i="3"/>
  <c r="I112" i="3" s="1"/>
  <c r="I110" i="2"/>
  <c r="I112" i="2" s="1"/>
  <c r="Q110" i="31"/>
  <c r="G110" i="31"/>
  <c r="G112" i="31"/>
  <c r="H110" i="31"/>
  <c r="I110" i="44"/>
  <c r="I112" i="44" s="1"/>
  <c r="I110" i="41"/>
  <c r="I111" i="41" s="1"/>
  <c r="I110" i="40"/>
  <c r="I111" i="40"/>
  <c r="Q110" i="44"/>
  <c r="Q112" i="44" s="1"/>
  <c r="P110" i="44"/>
  <c r="P112" i="44" s="1"/>
  <c r="O110" i="44"/>
  <c r="O112" i="44" s="1"/>
  <c r="M112" i="44"/>
  <c r="K110" i="44"/>
  <c r="K112" i="44" s="1"/>
  <c r="J110" i="44"/>
  <c r="J112" i="44"/>
  <c r="H110" i="44"/>
  <c r="H112" i="44"/>
  <c r="G110" i="44"/>
  <c r="G112" i="44" s="1"/>
  <c r="F110" i="44"/>
  <c r="F112" i="44" s="1"/>
  <c r="E110" i="44"/>
  <c r="E112" i="44"/>
  <c r="D110" i="44"/>
  <c r="D112" i="44"/>
  <c r="C110" i="44"/>
  <c r="C112" i="44"/>
  <c r="B110" i="44"/>
  <c r="B112" i="44" s="1"/>
  <c r="Q109" i="44"/>
  <c r="Q39" i="39" s="1"/>
  <c r="P109" i="44"/>
  <c r="P39" i="39" s="1"/>
  <c r="O109" i="44"/>
  <c r="O39" i="39" s="1"/>
  <c r="N109" i="44"/>
  <c r="N39" i="39" s="1"/>
  <c r="M109" i="44"/>
  <c r="M39" i="39" s="1"/>
  <c r="L109" i="44"/>
  <c r="L39" i="39"/>
  <c r="K109" i="44"/>
  <c r="K39" i="39"/>
  <c r="J109" i="44"/>
  <c r="J39" i="39" s="1"/>
  <c r="I109" i="44"/>
  <c r="I39" i="39"/>
  <c r="H109" i="44"/>
  <c r="H39" i="39" s="1"/>
  <c r="G109" i="44"/>
  <c r="G39" i="39" s="1"/>
  <c r="F109" i="44"/>
  <c r="F39" i="39" s="1"/>
  <c r="E109" i="44"/>
  <c r="E39" i="39"/>
  <c r="D109" i="44"/>
  <c r="D39" i="39"/>
  <c r="C109" i="44"/>
  <c r="C39" i="39"/>
  <c r="B109" i="44"/>
  <c r="B39" i="39"/>
  <c r="Q108" i="44"/>
  <c r="P108" i="44"/>
  <c r="O108" i="44"/>
  <c r="N108" i="44"/>
  <c r="M108" i="44"/>
  <c r="L108" i="44"/>
  <c r="K108" i="44"/>
  <c r="J108" i="44"/>
  <c r="I108" i="44"/>
  <c r="H108" i="44"/>
  <c r="G108" i="44"/>
  <c r="F108" i="44"/>
  <c r="E108" i="44"/>
  <c r="D108" i="44"/>
  <c r="C108" i="44"/>
  <c r="B108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9" i="39" s="1"/>
  <c r="J110" i="41"/>
  <c r="J112" i="41"/>
  <c r="H110" i="41"/>
  <c r="H112" i="41" s="1"/>
  <c r="J110" i="40"/>
  <c r="J111" i="40" s="1"/>
  <c r="H111" i="40"/>
  <c r="H112" i="33"/>
  <c r="I110" i="33"/>
  <c r="I112" i="33"/>
  <c r="H112" i="31"/>
  <c r="J110" i="31"/>
  <c r="J111" i="31"/>
  <c r="J110" i="30"/>
  <c r="J112" i="30"/>
  <c r="I110" i="29"/>
  <c r="I112" i="29" s="1"/>
  <c r="H110" i="29"/>
  <c r="H112" i="29" s="1"/>
  <c r="I110" i="28"/>
  <c r="I112" i="28" s="1"/>
  <c r="H111" i="28"/>
  <c r="C110" i="27"/>
  <c r="C111" i="27" s="1"/>
  <c r="D110" i="27"/>
  <c r="D111" i="27"/>
  <c r="E110" i="27"/>
  <c r="F110" i="27"/>
  <c r="F112" i="27" s="1"/>
  <c r="G110" i="27"/>
  <c r="G111" i="27" s="1"/>
  <c r="H110" i="27"/>
  <c r="K110" i="27"/>
  <c r="L110" i="27"/>
  <c r="M110" i="27"/>
  <c r="N110" i="27"/>
  <c r="O110" i="27"/>
  <c r="P110" i="27"/>
  <c r="Q110" i="27"/>
  <c r="Q111" i="26"/>
  <c r="J111" i="26"/>
  <c r="I112" i="26"/>
  <c r="H111" i="26"/>
  <c r="G112" i="26"/>
  <c r="E112" i="26"/>
  <c r="Q111" i="25"/>
  <c r="P111" i="25"/>
  <c r="K111" i="25"/>
  <c r="J112" i="25"/>
  <c r="I111" i="25"/>
  <c r="H111" i="25"/>
  <c r="G111" i="25"/>
  <c r="C111" i="25"/>
  <c r="J110" i="24"/>
  <c r="J111" i="24" s="1"/>
  <c r="I110" i="24"/>
  <c r="I112" i="24" s="1"/>
  <c r="H111" i="24"/>
  <c r="J110" i="23"/>
  <c r="J112" i="23" s="1"/>
  <c r="I110" i="23"/>
  <c r="I111" i="23" s="1"/>
  <c r="H110" i="23"/>
  <c r="J110" i="22"/>
  <c r="J112" i="22" s="1"/>
  <c r="I110" i="22"/>
  <c r="I112" i="22" s="1"/>
  <c r="H110" i="22"/>
  <c r="H112" i="22" s="1"/>
  <c r="G111" i="22"/>
  <c r="J110" i="21"/>
  <c r="J111" i="21" s="1"/>
  <c r="H110" i="21"/>
  <c r="H111" i="21" s="1"/>
  <c r="I110" i="20"/>
  <c r="I111" i="20" s="1"/>
  <c r="J110" i="20"/>
  <c r="J111" i="20" s="1"/>
  <c r="Q112" i="19"/>
  <c r="J110" i="19"/>
  <c r="J111" i="19" s="1"/>
  <c r="I110" i="19"/>
  <c r="I111" i="19" s="1"/>
  <c r="H110" i="19"/>
  <c r="H112" i="19" s="1"/>
  <c r="J110" i="17"/>
  <c r="J112" i="17"/>
  <c r="I110" i="17"/>
  <c r="I111" i="17" s="1"/>
  <c r="I110" i="16"/>
  <c r="I111" i="16"/>
  <c r="J110" i="16"/>
  <c r="J112" i="16"/>
  <c r="H110" i="15"/>
  <c r="H111" i="15" s="1"/>
  <c r="I110" i="15"/>
  <c r="I112" i="15" s="1"/>
  <c r="J110" i="15"/>
  <c r="J112" i="15" s="1"/>
  <c r="J110" i="14"/>
  <c r="J111" i="14" s="1"/>
  <c r="I111" i="14"/>
  <c r="H110" i="14"/>
  <c r="H111" i="14"/>
  <c r="D110" i="11"/>
  <c r="D111" i="11" s="1"/>
  <c r="C110" i="11"/>
  <c r="C112" i="11" s="1"/>
  <c r="B111" i="11"/>
  <c r="J110" i="13"/>
  <c r="J112" i="13" s="1"/>
  <c r="H110" i="13"/>
  <c r="H112" i="13" s="1"/>
  <c r="J110" i="12"/>
  <c r="J111" i="12" s="1"/>
  <c r="H110" i="12"/>
  <c r="H111" i="12" s="1"/>
  <c r="I110" i="11"/>
  <c r="I111" i="11"/>
  <c r="J110" i="10"/>
  <c r="J112" i="10" s="1"/>
  <c r="Q111" i="8"/>
  <c r="J111" i="8"/>
  <c r="I111" i="8"/>
  <c r="P112" i="8"/>
  <c r="O112" i="8"/>
  <c r="L112" i="8"/>
  <c r="K111" i="8"/>
  <c r="F111" i="8"/>
  <c r="B2" i="23"/>
  <c r="C110" i="2"/>
  <c r="C111" i="2"/>
  <c r="D110" i="2"/>
  <c r="E110" i="2"/>
  <c r="E111" i="2" s="1"/>
  <c r="F110" i="2"/>
  <c r="F112" i="2" s="1"/>
  <c r="G110" i="2"/>
  <c r="G112" i="2" s="1"/>
  <c r="H110" i="2"/>
  <c r="J110" i="2"/>
  <c r="K110" i="2"/>
  <c r="K111" i="2" s="1"/>
  <c r="L110" i="2"/>
  <c r="L112" i="2" s="1"/>
  <c r="M110" i="2"/>
  <c r="M112" i="2" s="1"/>
  <c r="N110" i="2"/>
  <c r="N112" i="2" s="1"/>
  <c r="O110" i="2"/>
  <c r="P110" i="2"/>
  <c r="P112" i="2" s="1"/>
  <c r="Q110" i="2"/>
  <c r="C110" i="3"/>
  <c r="C111" i="3" s="1"/>
  <c r="D110" i="3"/>
  <c r="D111" i="3" s="1"/>
  <c r="E110" i="3"/>
  <c r="E111" i="3" s="1"/>
  <c r="F110" i="3"/>
  <c r="F112" i="3" s="1"/>
  <c r="G110" i="3"/>
  <c r="G112" i="3" s="1"/>
  <c r="H110" i="3"/>
  <c r="H111" i="3" s="1"/>
  <c r="J110" i="3"/>
  <c r="J111" i="3" s="1"/>
  <c r="K110" i="3"/>
  <c r="K111" i="3" s="1"/>
  <c r="L110" i="3"/>
  <c r="L111" i="3" s="1"/>
  <c r="M110" i="3"/>
  <c r="M112" i="3" s="1"/>
  <c r="N110" i="3"/>
  <c r="N111" i="3" s="1"/>
  <c r="O110" i="3"/>
  <c r="O111" i="3" s="1"/>
  <c r="P110" i="3"/>
  <c r="P112" i="3" s="1"/>
  <c r="Q110" i="3"/>
  <c r="Q112" i="3" s="1"/>
  <c r="Q110" i="41"/>
  <c r="Q111" i="41" s="1"/>
  <c r="P110" i="41"/>
  <c r="P112" i="41" s="1"/>
  <c r="O110" i="41"/>
  <c r="O112" i="41" s="1"/>
  <c r="M110" i="41"/>
  <c r="M112" i="41" s="1"/>
  <c r="L110" i="41"/>
  <c r="L112" i="41" s="1"/>
  <c r="K110" i="41"/>
  <c r="K112" i="41" s="1"/>
  <c r="G110" i="41"/>
  <c r="G112" i="41" s="1"/>
  <c r="F110" i="41"/>
  <c r="F112" i="41" s="1"/>
  <c r="E110" i="41"/>
  <c r="E112" i="41" s="1"/>
  <c r="D110" i="41"/>
  <c r="D112" i="41" s="1"/>
  <c r="C110" i="41"/>
  <c r="C112" i="41" s="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P108" i="41"/>
  <c r="O108" i="41"/>
  <c r="N108" i="41"/>
  <c r="N38" i="39"/>
  <c r="M108" i="41"/>
  <c r="L108" i="41"/>
  <c r="K108" i="41"/>
  <c r="J108" i="41"/>
  <c r="I108" i="41"/>
  <c r="I38" i="39"/>
  <c r="H108" i="41"/>
  <c r="G108" i="41"/>
  <c r="F108" i="41"/>
  <c r="E108" i="41"/>
  <c r="D108" i="41"/>
  <c r="C108" i="41"/>
  <c r="B108" i="41"/>
  <c r="B38" i="39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/>
  <c r="Q110" i="40"/>
  <c r="Q112" i="40" s="1"/>
  <c r="P110" i="40"/>
  <c r="P112" i="40" s="1"/>
  <c r="O110" i="40"/>
  <c r="O112" i="40" s="1"/>
  <c r="M110" i="40"/>
  <c r="M112" i="40"/>
  <c r="L110" i="40"/>
  <c r="L112" i="40"/>
  <c r="K110" i="40"/>
  <c r="K112" i="40"/>
  <c r="F110" i="40"/>
  <c r="F112" i="40"/>
  <c r="E110" i="40"/>
  <c r="E112" i="40"/>
  <c r="D110" i="40"/>
  <c r="D112" i="40" s="1"/>
  <c r="C110" i="40"/>
  <c r="C112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 s="1"/>
  <c r="O108" i="40"/>
  <c r="N108" i="40"/>
  <c r="M108" i="40"/>
  <c r="L108" i="40"/>
  <c r="K108" i="40"/>
  <c r="J108" i="40"/>
  <c r="I108" i="40"/>
  <c r="H108" i="40"/>
  <c r="H37" i="39" s="1"/>
  <c r="G108" i="40"/>
  <c r="G37" i="39" s="1"/>
  <c r="F108" i="40"/>
  <c r="F37" i="39" s="1"/>
  <c r="E108" i="40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 s="1"/>
  <c r="O110" i="33"/>
  <c r="O112" i="33" s="1"/>
  <c r="M112" i="33"/>
  <c r="L112" i="33"/>
  <c r="K111" i="33"/>
  <c r="F110" i="33"/>
  <c r="F112" i="33" s="1"/>
  <c r="E110" i="33"/>
  <c r="E112" i="33" s="1"/>
  <c r="C112" i="33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N108" i="33"/>
  <c r="M108" i="33"/>
  <c r="M36" i="39"/>
  <c r="L108" i="33"/>
  <c r="L36" i="39" s="1"/>
  <c r="K108" i="33"/>
  <c r="K36" i="39" s="1"/>
  <c r="J108" i="33"/>
  <c r="I108" i="33"/>
  <c r="I36" i="39" s="1"/>
  <c r="H108" i="33"/>
  <c r="G108" i="33"/>
  <c r="F108" i="33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 s="1"/>
  <c r="P110" i="32"/>
  <c r="P112" i="32" s="1"/>
  <c r="O110" i="32"/>
  <c r="O112" i="32" s="1"/>
  <c r="N111" i="32"/>
  <c r="M112" i="32"/>
  <c r="K112" i="32"/>
  <c r="F110" i="32"/>
  <c r="F112" i="32" s="1"/>
  <c r="E110" i="32"/>
  <c r="E111" i="32" s="1"/>
  <c r="D110" i="32"/>
  <c r="D112" i="32" s="1"/>
  <c r="C110" i="32"/>
  <c r="C111" i="32"/>
  <c r="B110" i="32"/>
  <c r="B111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P108" i="32"/>
  <c r="O108" i="32"/>
  <c r="O35" i="39" s="1"/>
  <c r="N108" i="32"/>
  <c r="M108" i="32"/>
  <c r="L108" i="32"/>
  <c r="K108" i="32"/>
  <c r="J108" i="32"/>
  <c r="J35" i="39" s="1"/>
  <c r="I108" i="32"/>
  <c r="I35" i="39" s="1"/>
  <c r="H108" i="32"/>
  <c r="G108" i="32"/>
  <c r="F108" i="32"/>
  <c r="F35" i="39" s="1"/>
  <c r="E108" i="32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P110" i="31"/>
  <c r="P112" i="31" s="1"/>
  <c r="O110" i="31"/>
  <c r="O112" i="31" s="1"/>
  <c r="M110" i="31"/>
  <c r="M111" i="31"/>
  <c r="L110" i="31"/>
  <c r="L112" i="31"/>
  <c r="K110" i="31"/>
  <c r="K111" i="31" s="1"/>
  <c r="F110" i="31"/>
  <c r="F112" i="3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/>
  <c r="P108" i="31"/>
  <c r="P34" i="39"/>
  <c r="O108" i="31"/>
  <c r="O34" i="39" s="1"/>
  <c r="N108" i="31"/>
  <c r="N34" i="39"/>
  <c r="M108" i="31"/>
  <c r="L108" i="31"/>
  <c r="K108" i="31"/>
  <c r="J108" i="31"/>
  <c r="I108" i="31"/>
  <c r="H108" i="31"/>
  <c r="G108" i="31"/>
  <c r="F108" i="31"/>
  <c r="E108" i="31"/>
  <c r="D108" i="31"/>
  <c r="D34" i="39" s="1"/>
  <c r="C108" i="31"/>
  <c r="C34" i="39"/>
  <c r="B108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A34" i="39" s="1"/>
  <c r="Q110" i="30"/>
  <c r="Q111" i="30" s="1"/>
  <c r="P110" i="30"/>
  <c r="P112" i="30" s="1"/>
  <c r="O110" i="30"/>
  <c r="O112" i="30" s="1"/>
  <c r="M110" i="30"/>
  <c r="M112" i="30" s="1"/>
  <c r="L110" i="30"/>
  <c r="L112" i="30"/>
  <c r="K110" i="30"/>
  <c r="K112" i="30"/>
  <c r="F110" i="30"/>
  <c r="F112" i="30" s="1"/>
  <c r="E110" i="30"/>
  <c r="E112" i="30" s="1"/>
  <c r="D110" i="30"/>
  <c r="D112" i="30" s="1"/>
  <c r="C110" i="30"/>
  <c r="C111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/>
  <c r="O108" i="30"/>
  <c r="O33" i="39"/>
  <c r="N108" i="30"/>
  <c r="N33" i="39" s="1"/>
  <c r="M108" i="30"/>
  <c r="L108" i="30"/>
  <c r="K108" i="30"/>
  <c r="K33" i="39" s="1"/>
  <c r="J108" i="30"/>
  <c r="I108" i="30"/>
  <c r="H108" i="30"/>
  <c r="G108" i="30"/>
  <c r="F108" i="30"/>
  <c r="E108" i="30"/>
  <c r="E33" i="39" s="1"/>
  <c r="D108" i="30"/>
  <c r="D33" i="39" s="1"/>
  <c r="C108" i="30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/>
  <c r="Q110" i="29"/>
  <c r="Q111" i="29" s="1"/>
  <c r="P110" i="29"/>
  <c r="P112" i="29" s="1"/>
  <c r="O110" i="29"/>
  <c r="O112" i="29" s="1"/>
  <c r="N110" i="29"/>
  <c r="N112" i="29" s="1"/>
  <c r="M110" i="29"/>
  <c r="M112" i="29" s="1"/>
  <c r="L110" i="29"/>
  <c r="L112" i="29" s="1"/>
  <c r="K110" i="29"/>
  <c r="K112" i="29" s="1"/>
  <c r="G110" i="29"/>
  <c r="G111" i="29" s="1"/>
  <c r="F110" i="29"/>
  <c r="F111" i="29" s="1"/>
  <c r="E110" i="29"/>
  <c r="E112" i="29" s="1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/>
  <c r="O108" i="29"/>
  <c r="N108" i="29"/>
  <c r="M108" i="29"/>
  <c r="M32" i="39"/>
  <c r="L108" i="29"/>
  <c r="L32" i="39"/>
  <c r="K108" i="29"/>
  <c r="J108" i="29"/>
  <c r="I108" i="29"/>
  <c r="H108" i="29"/>
  <c r="G108" i="29"/>
  <c r="F108" i="29"/>
  <c r="E108" i="29"/>
  <c r="D108" i="29"/>
  <c r="C108" i="29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2" i="28" s="1"/>
  <c r="P110" i="28"/>
  <c r="P111" i="28" s="1"/>
  <c r="O110" i="28"/>
  <c r="O112" i="28" s="1"/>
  <c r="N110" i="28"/>
  <c r="N112" i="28" s="1"/>
  <c r="M110" i="28"/>
  <c r="M112" i="28" s="1"/>
  <c r="L110" i="28"/>
  <c r="L112" i="28" s="1"/>
  <c r="K110" i="28"/>
  <c r="K112" i="28" s="1"/>
  <c r="F110" i="28"/>
  <c r="F112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O108" i="28"/>
  <c r="O31" i="39" s="1"/>
  <c r="N108" i="28"/>
  <c r="M108" i="28"/>
  <c r="L108" i="28"/>
  <c r="L31" i="39" s="1"/>
  <c r="K108" i="28"/>
  <c r="K31" i="39" s="1"/>
  <c r="J108" i="28"/>
  <c r="I108" i="28"/>
  <c r="H108" i="28"/>
  <c r="H31" i="39" s="1"/>
  <c r="G108" i="28"/>
  <c r="F108" i="28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2" i="27"/>
  <c r="P112" i="27"/>
  <c r="O112" i="27"/>
  <c r="N112" i="27"/>
  <c r="M112" i="27"/>
  <c r="L112" i="27"/>
  <c r="K112" i="27"/>
  <c r="H112" i="27"/>
  <c r="E112" i="27"/>
  <c r="B110" i="27"/>
  <c r="B112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 s="1"/>
  <c r="N108" i="27"/>
  <c r="N30" i="39" s="1"/>
  <c r="M108" i="27"/>
  <c r="L108" i="27"/>
  <c r="K108" i="27"/>
  <c r="K30" i="39" s="1"/>
  <c r="J108" i="27"/>
  <c r="J30" i="39" s="1"/>
  <c r="I108" i="27"/>
  <c r="H108" i="27"/>
  <c r="H30" i="39"/>
  <c r="G108" i="27"/>
  <c r="G30" i="39" s="1"/>
  <c r="F108" i="27"/>
  <c r="E108" i="27"/>
  <c r="E30" i="39" s="1"/>
  <c r="D108" i="27"/>
  <c r="D30" i="39" s="1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1" i="26"/>
  <c r="O111" i="26"/>
  <c r="M111" i="26"/>
  <c r="L112" i="26"/>
  <c r="K112" i="26"/>
  <c r="D110" i="26"/>
  <c r="D112" i="26" s="1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 s="1"/>
  <c r="O108" i="26"/>
  <c r="O29" i="39" s="1"/>
  <c r="N108" i="26"/>
  <c r="M108" i="26"/>
  <c r="L108" i="26"/>
  <c r="L29" i="39" s="1"/>
  <c r="K108" i="26"/>
  <c r="J108" i="26"/>
  <c r="I108" i="26"/>
  <c r="H108" i="26"/>
  <c r="H29" i="39"/>
  <c r="G108" i="26"/>
  <c r="F108" i="26"/>
  <c r="E108" i="26"/>
  <c r="D108" i="26"/>
  <c r="C108" i="26"/>
  <c r="C29" i="39"/>
  <c r="B108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N108" i="25"/>
  <c r="M108" i="25"/>
  <c r="L108" i="25"/>
  <c r="K108" i="25"/>
  <c r="J108" i="25"/>
  <c r="I108" i="25"/>
  <c r="H108" i="25"/>
  <c r="G108" i="25"/>
  <c r="F108" i="25"/>
  <c r="F28" i="39" s="1"/>
  <c r="E108" i="25"/>
  <c r="E28" i="39" s="1"/>
  <c r="D108" i="25"/>
  <c r="D28" i="39" s="1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/>
  <c r="O110" i="24"/>
  <c r="O112" i="24" s="1"/>
  <c r="N110" i="24"/>
  <c r="N112" i="24" s="1"/>
  <c r="M110" i="24"/>
  <c r="M112" i="24"/>
  <c r="L110" i="24"/>
  <c r="L112" i="24" s="1"/>
  <c r="K110" i="24"/>
  <c r="K112" i="24"/>
  <c r="F110" i="24"/>
  <c r="F112" i="24" s="1"/>
  <c r="E110" i="24"/>
  <c r="E112" i="24" s="1"/>
  <c r="D110" i="24"/>
  <c r="D112" i="24"/>
  <c r="C110" i="24"/>
  <c r="C112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O108" i="24"/>
  <c r="N108" i="24"/>
  <c r="N27" i="39"/>
  <c r="M108" i="24"/>
  <c r="L108" i="24"/>
  <c r="K108" i="24"/>
  <c r="K27" i="39" s="1"/>
  <c r="J108" i="24"/>
  <c r="I108" i="24"/>
  <c r="H108" i="24"/>
  <c r="G108" i="24"/>
  <c r="G27" i="39"/>
  <c r="F108" i="24"/>
  <c r="E108" i="24"/>
  <c r="E27" i="39" s="1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 s="1"/>
  <c r="O110" i="23"/>
  <c r="O112" i="23" s="1"/>
  <c r="N110" i="23"/>
  <c r="N112" i="23" s="1"/>
  <c r="M110" i="23"/>
  <c r="M112" i="23" s="1"/>
  <c r="L110" i="23"/>
  <c r="L112" i="23" s="1"/>
  <c r="K110" i="23"/>
  <c r="K111" i="23" s="1"/>
  <c r="H112" i="23"/>
  <c r="G110" i="23"/>
  <c r="G111" i="23"/>
  <c r="F110" i="23"/>
  <c r="F111" i="23" s="1"/>
  <c r="E110" i="23"/>
  <c r="E112" i="23" s="1"/>
  <c r="D110" i="23"/>
  <c r="D112" i="23" s="1"/>
  <c r="C110" i="23"/>
  <c r="C112" i="23" s="1"/>
  <c r="B110" i="23"/>
  <c r="B111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N108" i="23"/>
  <c r="N26" i="39" s="1"/>
  <c r="M108" i="23"/>
  <c r="M26" i="39" s="1"/>
  <c r="L108" i="23"/>
  <c r="K108" i="23"/>
  <c r="J108" i="23"/>
  <c r="I108" i="23"/>
  <c r="H108" i="23"/>
  <c r="G108" i="23"/>
  <c r="G26" i="39" s="1"/>
  <c r="F108" i="23"/>
  <c r="E108" i="23"/>
  <c r="D108" i="23"/>
  <c r="D26" i="39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1" i="22"/>
  <c r="M110" i="22"/>
  <c r="M112" i="22" s="1"/>
  <c r="L110" i="22"/>
  <c r="L111" i="22" s="1"/>
  <c r="K110" i="22"/>
  <c r="K112" i="22" s="1"/>
  <c r="F110" i="22"/>
  <c r="F111" i="22" s="1"/>
  <c r="E110" i="22"/>
  <c r="E112" i="22" s="1"/>
  <c r="D110" i="22"/>
  <c r="D112" i="22" s="1"/>
  <c r="C110" i="22"/>
  <c r="C112" i="22" s="1"/>
  <c r="B110" i="22"/>
  <c r="B111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N108" i="22"/>
  <c r="M108" i="22"/>
  <c r="M25" i="39" s="1"/>
  <c r="L108" i="22"/>
  <c r="K108" i="22"/>
  <c r="J108" i="22"/>
  <c r="I108" i="22"/>
  <c r="H108" i="22"/>
  <c r="G108" i="22"/>
  <c r="F108" i="22"/>
  <c r="E108" i="22"/>
  <c r="D108" i="22"/>
  <c r="C108" i="22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1" i="21" s="1"/>
  <c r="O110" i="21"/>
  <c r="O112" i="21" s="1"/>
  <c r="N110" i="21"/>
  <c r="N112" i="21" s="1"/>
  <c r="M110" i="21"/>
  <c r="M112" i="21"/>
  <c r="L110" i="21"/>
  <c r="L112" i="21" s="1"/>
  <c r="K110" i="21"/>
  <c r="K112" i="21" s="1"/>
  <c r="G110" i="21"/>
  <c r="G112" i="21" s="1"/>
  <c r="F110" i="21"/>
  <c r="F112" i="21" s="1"/>
  <c r="E110" i="21"/>
  <c r="E112" i="21" s="1"/>
  <c r="D110" i="21"/>
  <c r="D111" i="21" s="1"/>
  <c r="C110" i="21"/>
  <c r="C112" i="21" s="1"/>
  <c r="B110" i="21"/>
  <c r="B112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/>
  <c r="H108" i="21"/>
  <c r="G108" i="21"/>
  <c r="F108" i="21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2" i="20"/>
  <c r="P111" i="20"/>
  <c r="O110" i="20"/>
  <c r="O111" i="20"/>
  <c r="N110" i="20"/>
  <c r="N111" i="20" s="1"/>
  <c r="M110" i="20"/>
  <c r="M112" i="20" s="1"/>
  <c r="L110" i="20"/>
  <c r="L112" i="20" s="1"/>
  <c r="K110" i="20"/>
  <c r="K112" i="20" s="1"/>
  <c r="F110" i="20"/>
  <c r="F111" i="20" s="1"/>
  <c r="D112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J108" i="20"/>
  <c r="J23" i="39" s="1"/>
  <c r="I108" i="20"/>
  <c r="H108" i="20"/>
  <c r="H23" i="39"/>
  <c r="G108" i="20"/>
  <c r="F108" i="20"/>
  <c r="F23" i="39" s="1"/>
  <c r="E108" i="20"/>
  <c r="D108" i="20"/>
  <c r="D23" i="39"/>
  <c r="C108" i="20"/>
  <c r="C23" i="39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 s="1"/>
  <c r="O110" i="19"/>
  <c r="O112" i="19" s="1"/>
  <c r="N110" i="19"/>
  <c r="N112" i="19" s="1"/>
  <c r="M110" i="19"/>
  <c r="M111" i="19" s="1"/>
  <c r="L110" i="19"/>
  <c r="L112" i="19" s="1"/>
  <c r="K110" i="19"/>
  <c r="K111" i="19" s="1"/>
  <c r="G110" i="19"/>
  <c r="G112" i="19"/>
  <c r="F110" i="19"/>
  <c r="F112" i="19" s="1"/>
  <c r="E110" i="19"/>
  <c r="E111" i="19" s="1"/>
  <c r="D110" i="19"/>
  <c r="D112" i="19" s="1"/>
  <c r="C110" i="19"/>
  <c r="C111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/>
  <c r="O108" i="19"/>
  <c r="N108" i="19"/>
  <c r="M108" i="19"/>
  <c r="L108" i="19"/>
  <c r="K108" i="19"/>
  <c r="K22" i="39"/>
  <c r="J108" i="19"/>
  <c r="I108" i="19"/>
  <c r="I22" i="39" s="1"/>
  <c r="H108" i="19"/>
  <c r="G108" i="19"/>
  <c r="F108" i="19"/>
  <c r="F22" i="39" s="1"/>
  <c r="E108" i="19"/>
  <c r="D108" i="19"/>
  <c r="C108" i="19"/>
  <c r="B108" i="19"/>
  <c r="B22" i="3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2" i="18"/>
  <c r="P112" i="18"/>
  <c r="O112" i="18"/>
  <c r="N112" i="18"/>
  <c r="M111" i="18"/>
  <c r="L112" i="18"/>
  <c r="K112" i="18"/>
  <c r="I112" i="18"/>
  <c r="H112" i="18"/>
  <c r="E110" i="18"/>
  <c r="E112" i="18" s="1"/>
  <c r="D110" i="18"/>
  <c r="D112" i="18" s="1"/>
  <c r="C110" i="18"/>
  <c r="C111" i="18"/>
  <c r="B110" i="18"/>
  <c r="B112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O21" i="39" s="1"/>
  <c r="N108" i="18"/>
  <c r="M108" i="18"/>
  <c r="L108" i="18"/>
  <c r="K108" i="18"/>
  <c r="J108" i="18"/>
  <c r="I108" i="18"/>
  <c r="I21" i="39"/>
  <c r="H108" i="18"/>
  <c r="H21" i="39"/>
  <c r="G108" i="18"/>
  <c r="F108" i="18"/>
  <c r="E108" i="18"/>
  <c r="E21" i="39"/>
  <c r="D108" i="18"/>
  <c r="C108" i="18"/>
  <c r="B108" i="18"/>
  <c r="B21" i="39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2" i="17" s="1"/>
  <c r="O110" i="17"/>
  <c r="O112" i="17" s="1"/>
  <c r="N110" i="17"/>
  <c r="N111" i="17" s="1"/>
  <c r="M110" i="17"/>
  <c r="M111" i="17"/>
  <c r="L110" i="17"/>
  <c r="L111" i="17" s="1"/>
  <c r="K110" i="17"/>
  <c r="K111" i="17" s="1"/>
  <c r="F110" i="17"/>
  <c r="F111" i="17" s="1"/>
  <c r="E110" i="17"/>
  <c r="E111" i="17" s="1"/>
  <c r="D110" i="17"/>
  <c r="D111" i="17" s="1"/>
  <c r="C110" i="17"/>
  <c r="C111" i="17" s="1"/>
  <c r="B110" i="17"/>
  <c r="B111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/>
  <c r="P108" i="17"/>
  <c r="O108" i="17"/>
  <c r="O20" i="39"/>
  <c r="N108" i="17"/>
  <c r="N20" i="39"/>
  <c r="M108" i="17"/>
  <c r="L108" i="17"/>
  <c r="K108" i="17"/>
  <c r="K20" i="39"/>
  <c r="J108" i="17"/>
  <c r="J20" i="39"/>
  <c r="I108" i="17"/>
  <c r="I20" i="39"/>
  <c r="H108" i="17"/>
  <c r="H20" i="39"/>
  <c r="G108" i="17"/>
  <c r="G20" i="39" s="1"/>
  <c r="F108" i="17"/>
  <c r="E108" i="17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P110" i="16"/>
  <c r="P111" i="16"/>
  <c r="O110" i="16"/>
  <c r="O112" i="16"/>
  <c r="N110" i="16"/>
  <c r="N112" i="16"/>
  <c r="M110" i="16"/>
  <c r="M112" i="16" s="1"/>
  <c r="L110" i="16"/>
  <c r="L112" i="16"/>
  <c r="K110" i="16"/>
  <c r="K112" i="16"/>
  <c r="F110" i="16"/>
  <c r="F112" i="16"/>
  <c r="E110" i="16"/>
  <c r="E111" i="16"/>
  <c r="D110" i="16"/>
  <c r="D112" i="16"/>
  <c r="C110" i="16"/>
  <c r="C112" i="16"/>
  <c r="B110" i="16"/>
  <c r="B112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/>
  <c r="O108" i="16"/>
  <c r="O19" i="39" s="1"/>
  <c r="N108" i="16"/>
  <c r="M108" i="16"/>
  <c r="M19" i="39" s="1"/>
  <c r="L108" i="16"/>
  <c r="K108" i="16"/>
  <c r="J108" i="16"/>
  <c r="J19" i="39" s="1"/>
  <c r="I108" i="16"/>
  <c r="I19" i="39" s="1"/>
  <c r="H108" i="16"/>
  <c r="G108" i="16"/>
  <c r="G19" i="39" s="1"/>
  <c r="F108" i="16"/>
  <c r="E108" i="16"/>
  <c r="E19" i="39"/>
  <c r="D108" i="16"/>
  <c r="D19" i="39" s="1"/>
  <c r="C108" i="16"/>
  <c r="C19" i="39" s="1"/>
  <c r="B108" i="16"/>
  <c r="B19" i="39" s="1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0" i="15"/>
  <c r="P112" i="15" s="1"/>
  <c r="O110" i="15"/>
  <c r="O112" i="15"/>
  <c r="N110" i="15"/>
  <c r="N112" i="15" s="1"/>
  <c r="M110" i="15"/>
  <c r="M112" i="15" s="1"/>
  <c r="L110" i="15"/>
  <c r="L111" i="15" s="1"/>
  <c r="K110" i="15"/>
  <c r="K112" i="15" s="1"/>
  <c r="G110" i="15"/>
  <c r="G111" i="15" s="1"/>
  <c r="F110" i="15"/>
  <c r="F112" i="15" s="1"/>
  <c r="E110" i="15"/>
  <c r="E112" i="15" s="1"/>
  <c r="D110" i="15"/>
  <c r="D112" i="15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O108" i="15"/>
  <c r="N108" i="15"/>
  <c r="N18" i="39" s="1"/>
  <c r="M108" i="15"/>
  <c r="L108" i="15"/>
  <c r="K108" i="15"/>
  <c r="K18" i="39" s="1"/>
  <c r="J108" i="15"/>
  <c r="I108" i="15"/>
  <c r="H108" i="15"/>
  <c r="G108" i="15"/>
  <c r="F108" i="15"/>
  <c r="E108" i="15"/>
  <c r="D108" i="15"/>
  <c r="C108" i="15"/>
  <c r="C18" i="39"/>
  <c r="B108" i="15"/>
  <c r="B18" i="39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/>
  <c r="P110" i="14"/>
  <c r="P112" i="14"/>
  <c r="O110" i="14"/>
  <c r="O111" i="14"/>
  <c r="N110" i="14"/>
  <c r="N112" i="14" s="1"/>
  <c r="M110" i="14"/>
  <c r="M112" i="14"/>
  <c r="L110" i="14"/>
  <c r="L112" i="14"/>
  <c r="K110" i="14"/>
  <c r="K112" i="14"/>
  <c r="G110" i="14"/>
  <c r="G112" i="14"/>
  <c r="F110" i="14"/>
  <c r="F111" i="14"/>
  <c r="E110" i="14"/>
  <c r="E111" i="14"/>
  <c r="D110" i="14"/>
  <c r="D112" i="14"/>
  <c r="C110" i="14"/>
  <c r="C111" i="14" s="1"/>
  <c r="B110" i="14"/>
  <c r="B111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N108" i="14"/>
  <c r="M108" i="14"/>
  <c r="L108" i="14"/>
  <c r="K108" i="14"/>
  <c r="K17" i="39"/>
  <c r="J108" i="14"/>
  <c r="J17" i="39"/>
  <c r="I108" i="14"/>
  <c r="H108" i="14"/>
  <c r="G108" i="14"/>
  <c r="G17" i="39" s="1"/>
  <c r="F108" i="14"/>
  <c r="F17" i="39"/>
  <c r="E108" i="14"/>
  <c r="D108" i="14"/>
  <c r="D17" i="39" s="1"/>
  <c r="C108" i="14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/>
  <c r="P110" i="13"/>
  <c r="P111" i="13"/>
  <c r="O110" i="13"/>
  <c r="O111" i="13"/>
  <c r="N110" i="13"/>
  <c r="N112" i="13" s="1"/>
  <c r="M110" i="13"/>
  <c r="M111" i="13"/>
  <c r="L110" i="13"/>
  <c r="L111" i="13"/>
  <c r="K110" i="13"/>
  <c r="K112" i="13"/>
  <c r="G110" i="13"/>
  <c r="G112" i="13"/>
  <c r="F110" i="13"/>
  <c r="F112" i="13"/>
  <c r="E110" i="13"/>
  <c r="E112" i="13"/>
  <c r="D110" i="13"/>
  <c r="D111" i="13"/>
  <c r="C110" i="13"/>
  <c r="C112" i="13" s="1"/>
  <c r="B110" i="13"/>
  <c r="B111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Q16" i="39"/>
  <c r="P108" i="13"/>
  <c r="O108" i="13"/>
  <c r="O16" i="39" s="1"/>
  <c r="N108" i="13"/>
  <c r="M108" i="13"/>
  <c r="L108" i="13"/>
  <c r="K108" i="13"/>
  <c r="J108" i="13"/>
  <c r="I108" i="13"/>
  <c r="H108" i="13"/>
  <c r="H16" i="39"/>
  <c r="G108" i="13"/>
  <c r="G16" i="39" s="1"/>
  <c r="F108" i="13"/>
  <c r="E108" i="13"/>
  <c r="E16" i="39" s="1"/>
  <c r="D108" i="13"/>
  <c r="D16" i="39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/>
  <c r="Q110" i="12"/>
  <c r="Q112" i="12"/>
  <c r="P110" i="12"/>
  <c r="P112" i="12"/>
  <c r="O110" i="12"/>
  <c r="O111" i="12" s="1"/>
  <c r="N110" i="12"/>
  <c r="N112" i="12"/>
  <c r="M110" i="12"/>
  <c r="M112" i="12" s="1"/>
  <c r="L110" i="12"/>
  <c r="L112" i="12"/>
  <c r="K110" i="12"/>
  <c r="K111" i="12"/>
  <c r="G110" i="12"/>
  <c r="G112" i="12"/>
  <c r="E110" i="12"/>
  <c r="E112" i="12"/>
  <c r="D110" i="12"/>
  <c r="D112" i="12"/>
  <c r="C110" i="12"/>
  <c r="C112" i="12" s="1"/>
  <c r="B110" i="12"/>
  <c r="B112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M108" i="12"/>
  <c r="L108" i="12"/>
  <c r="K108" i="12"/>
  <c r="J108" i="12"/>
  <c r="I108" i="12"/>
  <c r="I15" i="39"/>
  <c r="H108" i="12"/>
  <c r="G108" i="12"/>
  <c r="F108" i="12"/>
  <c r="E108" i="12"/>
  <c r="E15" i="39"/>
  <c r="D108" i="12"/>
  <c r="D15" i="39" s="1"/>
  <c r="C108" i="12"/>
  <c r="C15" i="39" s="1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P112" i="11"/>
  <c r="N112" i="11"/>
  <c r="M112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/>
  <c r="O108" i="11"/>
  <c r="O14" i="39" s="1"/>
  <c r="N108" i="11"/>
  <c r="N14" i="39"/>
  <c r="M108" i="11"/>
  <c r="M14" i="39"/>
  <c r="L108" i="11"/>
  <c r="K108" i="11"/>
  <c r="K14" i="39" s="1"/>
  <c r="J108" i="11"/>
  <c r="J14" i="39" s="1"/>
  <c r="I108" i="11"/>
  <c r="H108" i="11"/>
  <c r="G108" i="11"/>
  <c r="G14" i="39" s="1"/>
  <c r="F108" i="11"/>
  <c r="E108" i="11"/>
  <c r="D108" i="11"/>
  <c r="C108" i="11"/>
  <c r="C14" i="39"/>
  <c r="B108" i="11"/>
  <c r="B14" i="39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/>
  <c r="P110" i="10"/>
  <c r="P112" i="10"/>
  <c r="O110" i="10"/>
  <c r="O111" i="10"/>
  <c r="N110" i="10"/>
  <c r="N112" i="10" s="1"/>
  <c r="M110" i="10"/>
  <c r="M111" i="10"/>
  <c r="L110" i="10"/>
  <c r="L111" i="10" s="1"/>
  <c r="K110" i="10"/>
  <c r="K112" i="10"/>
  <c r="F110" i="10"/>
  <c r="F112" i="10"/>
  <c r="D110" i="10"/>
  <c r="D112" i="10"/>
  <c r="C110" i="10"/>
  <c r="C112" i="10"/>
  <c r="B110" i="10"/>
  <c r="B112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/>
  <c r="N108" i="10"/>
  <c r="N13" i="39" s="1"/>
  <c r="M108" i="10"/>
  <c r="M13" i="39" s="1"/>
  <c r="L108" i="10"/>
  <c r="L13" i="39" s="1"/>
  <c r="K108" i="10"/>
  <c r="K13" i="39" s="1"/>
  <c r="J108" i="10"/>
  <c r="I108" i="10"/>
  <c r="I13" i="39"/>
  <c r="H108" i="10"/>
  <c r="H13" i="39" s="1"/>
  <c r="G108" i="10"/>
  <c r="G13" i="39"/>
  <c r="F108" i="10"/>
  <c r="F13" i="39" s="1"/>
  <c r="E108" i="10"/>
  <c r="E13" i="39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M112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 s="1"/>
  <c r="O108" i="9"/>
  <c r="O12" i="39"/>
  <c r="N108" i="9"/>
  <c r="N12" i="39" s="1"/>
  <c r="M108" i="9"/>
  <c r="M12" i="39" s="1"/>
  <c r="L108" i="9"/>
  <c r="K108" i="9"/>
  <c r="J108" i="9"/>
  <c r="J12" i="39" s="1"/>
  <c r="I108" i="9"/>
  <c r="H108" i="9"/>
  <c r="H12" i="39"/>
  <c r="G108" i="9"/>
  <c r="G12" i="39" s="1"/>
  <c r="F108" i="9"/>
  <c r="E108" i="9"/>
  <c r="E12" i="39"/>
  <c r="D108" i="9"/>
  <c r="C108" i="9"/>
  <c r="B108" i="9"/>
  <c r="B12" i="39" s="1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M112" i="8"/>
  <c r="E112" i="8"/>
  <c r="D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/>
  <c r="P108" i="8"/>
  <c r="P11" i="39" s="1"/>
  <c r="O108" i="8"/>
  <c r="O11" i="39"/>
  <c r="N108" i="8"/>
  <c r="M108" i="8"/>
  <c r="M11" i="39" s="1"/>
  <c r="L108" i="8"/>
  <c r="L11" i="39" s="1"/>
  <c r="K108" i="8"/>
  <c r="K11" i="39" s="1"/>
  <c r="J108" i="8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/>
  <c r="C108" i="8"/>
  <c r="C11" i="39"/>
  <c r="B108" i="8"/>
  <c r="B11" i="39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P10" i="39" s="1"/>
  <c r="O108" i="3"/>
  <c r="O10" i="39" s="1"/>
  <c r="N108" i="3"/>
  <c r="N10" i="39" s="1"/>
  <c r="M108" i="3"/>
  <c r="M10" i="39"/>
  <c r="L108" i="3"/>
  <c r="L10" i="39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J27" i="39"/>
  <c r="I27" i="39"/>
  <c r="F27" i="39"/>
  <c r="C27" i="39"/>
  <c r="N109" i="2"/>
  <c r="O109" i="2"/>
  <c r="P109" i="2"/>
  <c r="N108" i="2"/>
  <c r="N9" i="39" s="1"/>
  <c r="O108" i="2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J111" i="2"/>
  <c r="H112" i="2"/>
  <c r="N21" i="39"/>
  <c r="N17" i="39"/>
  <c r="Q35" i="39"/>
  <c r="M35" i="39"/>
  <c r="L35" i="39"/>
  <c r="K35" i="39"/>
  <c r="H35" i="39"/>
  <c r="D35" i="39"/>
  <c r="B35" i="39"/>
  <c r="A35" i="39"/>
  <c r="K92" i="6"/>
  <c r="J92" i="6"/>
  <c r="K51" i="6"/>
  <c r="J51" i="6"/>
  <c r="K50" i="6"/>
  <c r="J50" i="6"/>
  <c r="K91" i="6"/>
  <c r="J91" i="6"/>
  <c r="K90" i="6"/>
  <c r="J90" i="6"/>
  <c r="B110" i="2"/>
  <c r="B112" i="2"/>
  <c r="D112" i="2"/>
  <c r="O112" i="2"/>
  <c r="Q112" i="2"/>
  <c r="T40" i="6"/>
  <c r="T21" i="6"/>
  <c r="K88" i="6"/>
  <c r="J88" i="6"/>
  <c r="K115" i="6"/>
  <c r="J115" i="6"/>
  <c r="I115" i="6"/>
  <c r="L12" i="39"/>
  <c r="I12" i="39"/>
  <c r="F12" i="39"/>
  <c r="D12" i="39"/>
  <c r="C12" i="39"/>
  <c r="J9" i="6"/>
  <c r="K9" i="6"/>
  <c r="J10" i="6"/>
  <c r="K10" i="6"/>
  <c r="J11" i="6"/>
  <c r="K11" i="6"/>
  <c r="J12" i="6"/>
  <c r="K12" i="6"/>
  <c r="J13" i="6"/>
  <c r="K13" i="6"/>
  <c r="J14" i="6"/>
  <c r="K14" i="6"/>
  <c r="Q38" i="39"/>
  <c r="P38" i="39"/>
  <c r="O38" i="39"/>
  <c r="M38" i="39"/>
  <c r="L38" i="39"/>
  <c r="K38" i="39"/>
  <c r="J38" i="39"/>
  <c r="H38" i="39"/>
  <c r="G38" i="39"/>
  <c r="F38" i="39"/>
  <c r="E38" i="39"/>
  <c r="D38" i="39"/>
  <c r="C38" i="39"/>
  <c r="O37" i="39"/>
  <c r="N37" i="39"/>
  <c r="M37" i="39"/>
  <c r="L37" i="39"/>
  <c r="K37" i="39"/>
  <c r="J37" i="39"/>
  <c r="I37" i="39"/>
  <c r="E37" i="39"/>
  <c r="C37" i="39"/>
  <c r="B37" i="39"/>
  <c r="A37" i="39"/>
  <c r="A26" i="39"/>
  <c r="C26" i="39"/>
  <c r="H26" i="39"/>
  <c r="I26" i="39"/>
  <c r="J26" i="39"/>
  <c r="K26" i="39"/>
  <c r="L26" i="39"/>
  <c r="O25" i="39"/>
  <c r="N25" i="39"/>
  <c r="L25" i="39"/>
  <c r="K25" i="39"/>
  <c r="J25" i="39"/>
  <c r="H25" i="39"/>
  <c r="G25" i="39"/>
  <c r="F25" i="39"/>
  <c r="E25" i="39"/>
  <c r="D25" i="39"/>
  <c r="C25" i="39"/>
  <c r="Q24" i="39"/>
  <c r="G24" i="39"/>
  <c r="E24" i="39"/>
  <c r="A24" i="39"/>
  <c r="Q23" i="39"/>
  <c r="M23" i="39"/>
  <c r="L23" i="39"/>
  <c r="K23" i="39"/>
  <c r="I23" i="39"/>
  <c r="E23" i="39"/>
  <c r="B23" i="39"/>
  <c r="Q22" i="39"/>
  <c r="N22" i="39"/>
  <c r="M22" i="39"/>
  <c r="L22" i="39"/>
  <c r="G22" i="39"/>
  <c r="C22" i="39"/>
  <c r="Q21" i="39"/>
  <c r="P21" i="39"/>
  <c r="M21" i="39"/>
  <c r="L21" i="39"/>
  <c r="K21" i="39"/>
  <c r="J21" i="39"/>
  <c r="G21" i="39"/>
  <c r="F21" i="39"/>
  <c r="D21" i="39"/>
  <c r="C21" i="39"/>
  <c r="A21" i="39"/>
  <c r="M20" i="39"/>
  <c r="E20" i="39"/>
  <c r="A20" i="39"/>
  <c r="L19" i="39"/>
  <c r="K19" i="39"/>
  <c r="H19" i="39"/>
  <c r="M18" i="39"/>
  <c r="L18" i="39"/>
  <c r="J18" i="39"/>
  <c r="I18" i="39"/>
  <c r="H18" i="39"/>
  <c r="G18" i="39"/>
  <c r="E18" i="39"/>
  <c r="D18" i="39"/>
  <c r="P17" i="39"/>
  <c r="M17" i="39"/>
  <c r="L17" i="39"/>
  <c r="I17" i="39"/>
  <c r="C17" i="39"/>
  <c r="A17" i="39"/>
  <c r="P16" i="39"/>
  <c r="L16" i="39"/>
  <c r="J16" i="39"/>
  <c r="I16" i="39"/>
  <c r="F16" i="39"/>
  <c r="C16" i="39"/>
  <c r="B16" i="39"/>
  <c r="N15" i="39"/>
  <c r="M15" i="39"/>
  <c r="L15" i="39"/>
  <c r="H15" i="39"/>
  <c r="G15" i="39"/>
  <c r="F15" i="39"/>
  <c r="L14" i="39"/>
  <c r="I14" i="39"/>
  <c r="H14" i="39"/>
  <c r="F14" i="39"/>
  <c r="E14" i="39"/>
  <c r="D14" i="39"/>
  <c r="P13" i="39"/>
  <c r="D13" i="39"/>
  <c r="K12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 s="1"/>
  <c r="F108" i="2"/>
  <c r="F9" i="39" s="1"/>
  <c r="G108" i="2"/>
  <c r="G9" i="39" s="1"/>
  <c r="H108" i="2"/>
  <c r="H9" i="39" s="1"/>
  <c r="I108" i="2"/>
  <c r="I9" i="39" s="1"/>
  <c r="J108" i="2"/>
  <c r="J9" i="39" s="1"/>
  <c r="K108" i="2"/>
  <c r="K9" i="39" s="1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H36" i="39"/>
  <c r="G36" i="39"/>
  <c r="E36" i="39"/>
  <c r="D36" i="39"/>
  <c r="C36" i="39"/>
  <c r="A36" i="39"/>
  <c r="P35" i="39"/>
  <c r="G35" i="39"/>
  <c r="E35" i="39"/>
  <c r="C35" i="39"/>
  <c r="M34" i="39"/>
  <c r="L34" i="39"/>
  <c r="K34" i="39"/>
  <c r="J34" i="39"/>
  <c r="I34" i="39"/>
  <c r="H34" i="39"/>
  <c r="F34" i="39"/>
  <c r="M33" i="39"/>
  <c r="L33" i="39"/>
  <c r="J33" i="39"/>
  <c r="I33" i="39"/>
  <c r="H33" i="39"/>
  <c r="F33" i="39"/>
  <c r="C33" i="39"/>
  <c r="B33" i="39"/>
  <c r="Q32" i="39"/>
  <c r="O32" i="39"/>
  <c r="N32" i="39"/>
  <c r="K32" i="39"/>
  <c r="I32" i="39"/>
  <c r="G32" i="39"/>
  <c r="F32" i="39"/>
  <c r="E32" i="39"/>
  <c r="C32" i="39"/>
  <c r="B32" i="39"/>
  <c r="Q31" i="39"/>
  <c r="P31" i="39"/>
  <c r="M31" i="39"/>
  <c r="J31" i="39"/>
  <c r="I31" i="39"/>
  <c r="F31" i="39"/>
  <c r="P30" i="39"/>
  <c r="M30" i="39"/>
  <c r="L30" i="39"/>
  <c r="I30" i="39"/>
  <c r="F30" i="39"/>
  <c r="C30" i="39"/>
  <c r="B30" i="39"/>
  <c r="Q29" i="39"/>
  <c r="M29" i="39"/>
  <c r="K29" i="39"/>
  <c r="J29" i="39"/>
  <c r="I29" i="39"/>
  <c r="G29" i="39"/>
  <c r="F29" i="39"/>
  <c r="E29" i="39"/>
  <c r="D29" i="39"/>
  <c r="P28" i="39"/>
  <c r="N28" i="39"/>
  <c r="M28" i="39"/>
  <c r="L28" i="39"/>
  <c r="K28" i="39"/>
  <c r="I28" i="39"/>
  <c r="H28" i="39"/>
  <c r="G28" i="39"/>
  <c r="B28" i="39"/>
  <c r="P27" i="39"/>
  <c r="O27" i="39"/>
  <c r="M27" i="39"/>
  <c r="L27" i="39"/>
  <c r="H27" i="39"/>
  <c r="B27" i="39"/>
  <c r="O26" i="39"/>
  <c r="I25" i="39"/>
  <c r="P24" i="39"/>
  <c r="H24" i="39"/>
  <c r="N23" i="39"/>
  <c r="O22" i="39"/>
  <c r="D22" i="39"/>
  <c r="P20" i="39"/>
  <c r="F20" i="39"/>
  <c r="D20" i="39"/>
  <c r="F18" i="39"/>
  <c r="E17" i="39"/>
  <c r="M16" i="39"/>
  <c r="K16" i="39"/>
  <c r="K15" i="39"/>
  <c r="J15" i="39"/>
  <c r="Q12" i="39"/>
  <c r="N11" i="39"/>
  <c r="P36" i="39"/>
  <c r="E34" i="39"/>
  <c r="E26" i="39"/>
  <c r="P23" i="39"/>
  <c r="P18" i="39"/>
  <c r="Q17" i="39"/>
  <c r="P15" i="39"/>
  <c r="B2" i="2"/>
  <c r="A9" i="39" s="1"/>
  <c r="B2" i="39" s="1"/>
  <c r="E22" i="39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O36" i="39"/>
  <c r="J36" i="39"/>
  <c r="F36" i="39"/>
  <c r="B36" i="39"/>
  <c r="N35" i="39"/>
  <c r="G34" i="39"/>
  <c r="B34" i="39"/>
  <c r="J32" i="39"/>
  <c r="H32" i="39"/>
  <c r="D32" i="39"/>
  <c r="N29" i="39"/>
  <c r="B29" i="39"/>
  <c r="J28" i="39"/>
  <c r="O23" i="39"/>
  <c r="G23" i="39"/>
  <c r="J11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O28" i="39"/>
  <c r="F26" i="39"/>
  <c r="F24" i="39"/>
  <c r="J22" i="39"/>
  <c r="L20" i="39"/>
  <c r="N19" i="39"/>
  <c r="F19" i="39"/>
  <c r="O18" i="39"/>
  <c r="O17" i="39"/>
  <c r="H17" i="39"/>
  <c r="B17" i="39"/>
  <c r="N16" i="39"/>
  <c r="K28" i="6"/>
  <c r="J28" i="6"/>
  <c r="J13" i="39"/>
  <c r="D9" i="5"/>
  <c r="D10" i="5"/>
  <c r="I119" i="6"/>
  <c r="J101" i="6"/>
  <c r="J81" i="6"/>
  <c r="J61" i="6"/>
  <c r="I21" i="6"/>
  <c r="O9" i="39"/>
  <c r="O45" i="39" s="1"/>
  <c r="D8" i="5"/>
  <c r="D24" i="5" s="1"/>
  <c r="D20" i="5"/>
  <c r="D21" i="5"/>
  <c r="D22" i="5"/>
  <c r="D23" i="5"/>
  <c r="D11" i="5"/>
  <c r="D44" i="5" s="1"/>
  <c r="D12" i="5"/>
  <c r="D13" i="5"/>
  <c r="D14" i="5"/>
  <c r="D15" i="5"/>
  <c r="D16" i="5"/>
  <c r="D17" i="5"/>
  <c r="D18" i="5"/>
  <c r="D19" i="5"/>
  <c r="H111" i="2"/>
  <c r="H22" i="39"/>
  <c r="O111" i="2"/>
  <c r="P111" i="41"/>
  <c r="O111" i="41"/>
  <c r="M111" i="41"/>
  <c r="L111" i="41"/>
  <c r="K111" i="41"/>
  <c r="G111" i="41"/>
  <c r="F111" i="41"/>
  <c r="E111" i="41"/>
  <c r="D111" i="41"/>
  <c r="C111" i="41"/>
  <c r="B111" i="41"/>
  <c r="Q111" i="40"/>
  <c r="P111" i="40"/>
  <c r="O111" i="40"/>
  <c r="M111" i="40"/>
  <c r="K111" i="40"/>
  <c r="F111" i="40"/>
  <c r="E111" i="40"/>
  <c r="C111" i="40"/>
  <c r="B111" i="40"/>
  <c r="P111" i="33"/>
  <c r="O111" i="33"/>
  <c r="N111" i="33"/>
  <c r="M111" i="33"/>
  <c r="L111" i="33"/>
  <c r="I111" i="33"/>
  <c r="F111" i="33"/>
  <c r="D111" i="33"/>
  <c r="C111" i="33"/>
  <c r="B111" i="33"/>
  <c r="Q111" i="32"/>
  <c r="O111" i="32"/>
  <c r="K111" i="32"/>
  <c r="G111" i="32"/>
  <c r="F111" i="32"/>
  <c r="D111" i="32"/>
  <c r="O111" i="31"/>
  <c r="N111" i="31"/>
  <c r="L111" i="31"/>
  <c r="F111" i="31"/>
  <c r="E111" i="31"/>
  <c r="D111" i="31"/>
  <c r="C111" i="31"/>
  <c r="B111" i="31"/>
  <c r="P111" i="30"/>
  <c r="O111" i="30"/>
  <c r="M111" i="30"/>
  <c r="L111" i="30"/>
  <c r="E111" i="30"/>
  <c r="D111" i="30"/>
  <c r="B111" i="30"/>
  <c r="P111" i="29"/>
  <c r="N111" i="29"/>
  <c r="M111" i="29"/>
  <c r="L111" i="29"/>
  <c r="K111" i="29"/>
  <c r="E111" i="29"/>
  <c r="D111" i="29"/>
  <c r="C111" i="29"/>
  <c r="B111" i="29"/>
  <c r="Q111" i="28"/>
  <c r="O111" i="28"/>
  <c r="N111" i="28"/>
  <c r="M111" i="28"/>
  <c r="L111" i="28"/>
  <c r="K111" i="28"/>
  <c r="F111" i="28"/>
  <c r="E111" i="28"/>
  <c r="D111" i="28"/>
  <c r="C111" i="28"/>
  <c r="P111" i="27"/>
  <c r="N111" i="27"/>
  <c r="M111" i="27"/>
  <c r="L111" i="27"/>
  <c r="E111" i="27"/>
  <c r="B111" i="27"/>
  <c r="N111" i="26"/>
  <c r="L111" i="26"/>
  <c r="K111" i="26"/>
  <c r="D111" i="26"/>
  <c r="P111" i="24"/>
  <c r="O111" i="24"/>
  <c r="N111" i="24"/>
  <c r="M111" i="24"/>
  <c r="L111" i="24"/>
  <c r="K111" i="24"/>
  <c r="Q111" i="24"/>
  <c r="F111" i="24"/>
  <c r="E111" i="24"/>
  <c r="D111" i="24"/>
  <c r="C111" i="24"/>
  <c r="B111" i="24"/>
  <c r="P111" i="23"/>
  <c r="N111" i="23"/>
  <c r="M111" i="23"/>
  <c r="L111" i="23"/>
  <c r="H111" i="23"/>
  <c r="E111" i="23"/>
  <c r="D111" i="23"/>
  <c r="C111" i="23"/>
  <c r="P111" i="22"/>
  <c r="M111" i="22"/>
  <c r="K111" i="22"/>
  <c r="E111" i="22"/>
  <c r="D111" i="22"/>
  <c r="C111" i="22"/>
  <c r="Q111" i="21"/>
  <c r="N111" i="21"/>
  <c r="M111" i="21"/>
  <c r="L111" i="21"/>
  <c r="K111" i="21"/>
  <c r="G111" i="21"/>
  <c r="E111" i="21"/>
  <c r="C111" i="21"/>
  <c r="B111" i="21"/>
  <c r="M111" i="20"/>
  <c r="L111" i="20"/>
  <c r="K111" i="20"/>
  <c r="P111" i="19"/>
  <c r="O111" i="19"/>
  <c r="N111" i="19"/>
  <c r="L111" i="19"/>
  <c r="H111" i="19"/>
  <c r="G111" i="19"/>
  <c r="F111" i="19"/>
  <c r="D111" i="19"/>
  <c r="B111" i="19"/>
  <c r="Q111" i="18"/>
  <c r="P111" i="18"/>
  <c r="O111" i="18"/>
  <c r="N111" i="18"/>
  <c r="L111" i="18"/>
  <c r="I111" i="18"/>
  <c r="H111" i="18"/>
  <c r="E111" i="18"/>
  <c r="D111" i="18"/>
  <c r="P111" i="17"/>
  <c r="O111" i="17"/>
  <c r="O111" i="16"/>
  <c r="L111" i="16"/>
  <c r="F111" i="16"/>
  <c r="D111" i="16"/>
  <c r="P111" i="15"/>
  <c r="O111" i="15"/>
  <c r="N111" i="15"/>
  <c r="M111" i="15"/>
  <c r="K111" i="15"/>
  <c r="J111" i="15"/>
  <c r="F111" i="15"/>
  <c r="E111" i="15"/>
  <c r="D111" i="15"/>
  <c r="C111" i="15"/>
  <c r="B111" i="15"/>
  <c r="N111" i="14"/>
  <c r="M111" i="14"/>
  <c r="L111" i="14"/>
  <c r="K111" i="14"/>
  <c r="G111" i="14"/>
  <c r="Q111" i="13"/>
  <c r="N111" i="13"/>
  <c r="K111" i="13"/>
  <c r="G111" i="13"/>
  <c r="F111" i="13"/>
  <c r="E111" i="13"/>
  <c r="C111" i="13"/>
  <c r="Q111" i="12"/>
  <c r="P111" i="12"/>
  <c r="N111" i="12"/>
  <c r="L111" i="12"/>
  <c r="E111" i="12"/>
  <c r="D111" i="12"/>
  <c r="C111" i="12"/>
  <c r="B111" i="12"/>
  <c r="N111" i="11"/>
  <c r="P111" i="10"/>
  <c r="N111" i="10"/>
  <c r="K111" i="10"/>
  <c r="F111" i="10"/>
  <c r="C111" i="10"/>
  <c r="B111" i="10"/>
  <c r="M111" i="9"/>
  <c r="M111" i="8"/>
  <c r="E111" i="8"/>
  <c r="D111" i="8"/>
  <c r="Q111" i="3"/>
  <c r="C112" i="30"/>
  <c r="C112" i="17"/>
  <c r="D112" i="3"/>
  <c r="M111" i="2"/>
  <c r="K112" i="2"/>
  <c r="Q111" i="2"/>
  <c r="G111" i="2"/>
  <c r="J112" i="2"/>
  <c r="D111" i="2"/>
  <c r="L112" i="10"/>
  <c r="M112" i="10"/>
  <c r="E112" i="2"/>
  <c r="C112" i="2"/>
  <c r="N111" i="2"/>
  <c r="B111" i="3"/>
  <c r="N112" i="3"/>
  <c r="L111" i="2"/>
  <c r="M111" i="3"/>
  <c r="E112" i="3"/>
  <c r="J111" i="10"/>
  <c r="J112" i="8"/>
  <c r="P111" i="8"/>
  <c r="L111" i="8"/>
  <c r="O111" i="8"/>
  <c r="I112" i="8"/>
  <c r="F112" i="8"/>
  <c r="J111" i="13"/>
  <c r="P112" i="13"/>
  <c r="F112" i="12"/>
  <c r="J112" i="12"/>
  <c r="H112" i="12"/>
  <c r="G111" i="12"/>
  <c r="O112" i="12"/>
  <c r="P111" i="11"/>
  <c r="I112" i="11"/>
  <c r="C111" i="11"/>
  <c r="C111" i="16"/>
  <c r="I112" i="16"/>
  <c r="I111" i="15"/>
  <c r="H112" i="14"/>
  <c r="B112" i="14"/>
  <c r="J112" i="14"/>
  <c r="J111" i="17"/>
  <c r="I112" i="17"/>
  <c r="H111" i="17"/>
  <c r="N112" i="17"/>
  <c r="L112" i="17"/>
  <c r="K112" i="17"/>
  <c r="F112" i="17"/>
  <c r="D112" i="17"/>
  <c r="E112" i="17"/>
  <c r="I112" i="20"/>
  <c r="J112" i="20"/>
  <c r="Q111" i="19"/>
  <c r="J112" i="19"/>
  <c r="I112" i="19"/>
  <c r="E112" i="19"/>
  <c r="M112" i="19"/>
  <c r="C112" i="19"/>
  <c r="P112" i="25"/>
  <c r="O112" i="25"/>
  <c r="N112" i="25"/>
  <c r="L111" i="25"/>
  <c r="J111" i="25"/>
  <c r="H112" i="25"/>
  <c r="G112" i="25"/>
  <c r="Q112" i="25"/>
  <c r="D111" i="25"/>
  <c r="K112" i="25"/>
  <c r="C112" i="25"/>
  <c r="I112" i="25"/>
  <c r="J112" i="24"/>
  <c r="I111" i="24"/>
  <c r="H112" i="24"/>
  <c r="J111" i="23"/>
  <c r="Q111" i="23"/>
  <c r="O111" i="23"/>
  <c r="I112" i="23"/>
  <c r="G112" i="23"/>
  <c r="J111" i="22"/>
  <c r="Q112" i="22"/>
  <c r="O112" i="22"/>
  <c r="J112" i="21"/>
  <c r="H112" i="21"/>
  <c r="P112" i="21"/>
  <c r="D112" i="27"/>
  <c r="C112" i="27"/>
  <c r="H111" i="27"/>
  <c r="Q111" i="27"/>
  <c r="Q112" i="26"/>
  <c r="J112" i="26"/>
  <c r="I111" i="26"/>
  <c r="G111" i="26"/>
  <c r="F111" i="26"/>
  <c r="E111" i="26"/>
  <c r="H112" i="26"/>
  <c r="P112" i="26"/>
  <c r="O111" i="27"/>
  <c r="K111" i="27"/>
  <c r="B112" i="32"/>
  <c r="Q112" i="31"/>
  <c r="G111" i="31"/>
  <c r="P111" i="31"/>
  <c r="J111" i="30"/>
  <c r="H111" i="30"/>
  <c r="I111" i="30"/>
  <c r="I111" i="29"/>
  <c r="H111" i="29"/>
  <c r="O111" i="29"/>
  <c r="G112" i="29"/>
  <c r="I111" i="28"/>
  <c r="H112" i="28"/>
  <c r="J111" i="28"/>
  <c r="B111" i="28"/>
  <c r="J112" i="40"/>
  <c r="H112" i="40"/>
  <c r="I112" i="40"/>
  <c r="D111" i="40"/>
  <c r="H111" i="33"/>
  <c r="J111" i="41"/>
  <c r="H111" i="41"/>
  <c r="Q112" i="41"/>
  <c r="P111" i="2"/>
  <c r="F111" i="2"/>
  <c r="B111" i="2"/>
  <c r="J112" i="3"/>
  <c r="L112" i="3"/>
  <c r="C112" i="3"/>
  <c r="K112" i="8"/>
  <c r="Q112" i="8"/>
  <c r="J111" i="9"/>
  <c r="D111" i="10"/>
  <c r="O112" i="10"/>
  <c r="B112" i="11"/>
  <c r="K112" i="12"/>
  <c r="D112" i="13"/>
  <c r="O112" i="13"/>
  <c r="B112" i="13"/>
  <c r="M112" i="13"/>
  <c r="H111" i="13"/>
  <c r="F112" i="14"/>
  <c r="D111" i="14"/>
  <c r="O112" i="14"/>
  <c r="L112" i="15"/>
  <c r="G112" i="15"/>
  <c r="H112" i="15"/>
  <c r="B111" i="16"/>
  <c r="M111" i="16"/>
  <c r="J111" i="16"/>
  <c r="K111" i="16"/>
  <c r="M112" i="18"/>
  <c r="C112" i="18"/>
  <c r="K111" i="18"/>
  <c r="K112" i="19"/>
  <c r="P112" i="20"/>
  <c r="N112" i="20"/>
  <c r="F111" i="21"/>
  <c r="D112" i="21"/>
  <c r="O111" i="21"/>
  <c r="I112" i="21"/>
  <c r="I111" i="22"/>
  <c r="L112" i="22"/>
  <c r="F112" i="22"/>
  <c r="G112" i="22"/>
  <c r="F112" i="23"/>
  <c r="M111" i="25"/>
  <c r="E112" i="25"/>
  <c r="O112" i="26"/>
  <c r="M112" i="26"/>
  <c r="F111" i="27"/>
  <c r="G112" i="27"/>
  <c r="P112" i="28"/>
  <c r="F112" i="29"/>
  <c r="Q112" i="29"/>
  <c r="K111" i="30"/>
  <c r="F111" i="30"/>
  <c r="Q112" i="30"/>
  <c r="M112" i="31"/>
  <c r="H111" i="31"/>
  <c r="K112" i="31"/>
  <c r="J112" i="31"/>
  <c r="E112" i="32"/>
  <c r="P111" i="32"/>
  <c r="C112" i="32"/>
  <c r="N112" i="32"/>
  <c r="K112" i="33"/>
  <c r="E111" i="33"/>
  <c r="Q112" i="33"/>
  <c r="L111" i="40"/>
  <c r="Q111" i="44"/>
  <c r="P111" i="44"/>
  <c r="O111" i="44"/>
  <c r="M111" i="44"/>
  <c r="K111" i="44"/>
  <c r="J111" i="44"/>
  <c r="I111" i="44"/>
  <c r="H111" i="44"/>
  <c r="G111" i="44"/>
  <c r="F111" i="44"/>
  <c r="E111" i="44"/>
  <c r="D111" i="44"/>
  <c r="C111" i="44"/>
  <c r="B111" i="44"/>
  <c r="I112" i="41"/>
  <c r="Q111" i="10"/>
  <c r="I112" i="10"/>
  <c r="E111" i="10"/>
  <c r="H111" i="10"/>
  <c r="G111" i="10"/>
  <c r="P111" i="9"/>
  <c r="O111" i="9"/>
  <c r="L111" i="9"/>
  <c r="I111" i="9"/>
  <c r="H112" i="9"/>
  <c r="G111" i="9"/>
  <c r="E111" i="9"/>
  <c r="D112" i="9"/>
  <c r="C111" i="9"/>
  <c r="B111" i="9"/>
  <c r="Q112" i="9"/>
  <c r="N111" i="9"/>
  <c r="K111" i="9"/>
  <c r="F111" i="9"/>
  <c r="N112" i="8"/>
  <c r="H111" i="8"/>
  <c r="C111" i="8"/>
  <c r="G112" i="8"/>
  <c r="B111" i="8"/>
  <c r="P111" i="3"/>
  <c r="G111" i="3"/>
  <c r="O112" i="3"/>
  <c r="I111" i="3"/>
  <c r="K112" i="3"/>
  <c r="F111" i="3"/>
  <c r="H112" i="3"/>
  <c r="I111" i="2"/>
  <c r="I112" i="13"/>
  <c r="L112" i="13"/>
  <c r="M111" i="12"/>
  <c r="I111" i="12"/>
  <c r="O112" i="11"/>
  <c r="K112" i="11"/>
  <c r="J112" i="11"/>
  <c r="H112" i="11"/>
  <c r="G111" i="11"/>
  <c r="E112" i="11"/>
  <c r="M111" i="11"/>
  <c r="Q112" i="11"/>
  <c r="L112" i="11"/>
  <c r="F111" i="11"/>
  <c r="D112" i="11"/>
  <c r="E111" i="20"/>
  <c r="B111" i="20"/>
  <c r="C111" i="20"/>
  <c r="H111" i="20"/>
  <c r="G111" i="20"/>
  <c r="Q111" i="20"/>
  <c r="F112" i="20"/>
  <c r="D111" i="20"/>
  <c r="O112" i="20"/>
  <c r="B111" i="18"/>
  <c r="G112" i="18"/>
  <c r="F111" i="18"/>
  <c r="J111" i="18"/>
  <c r="Q112" i="17"/>
  <c r="G111" i="17"/>
  <c r="B112" i="17"/>
  <c r="M112" i="17"/>
  <c r="Q112" i="16"/>
  <c r="H112" i="16"/>
  <c r="G111" i="16"/>
  <c r="E112" i="16"/>
  <c r="P112" i="16"/>
  <c r="N111" i="16"/>
  <c r="Q111" i="15"/>
  <c r="Q112" i="14"/>
  <c r="I112" i="14"/>
  <c r="P111" i="14"/>
  <c r="E112" i="14"/>
  <c r="C112" i="14"/>
  <c r="B112" i="23"/>
  <c r="K112" i="23"/>
  <c r="H111" i="22"/>
  <c r="B112" i="22"/>
  <c r="N112" i="22"/>
  <c r="J111" i="27"/>
  <c r="C112" i="26"/>
  <c r="B112" i="26"/>
  <c r="F112" i="25"/>
  <c r="B111" i="25"/>
  <c r="G112" i="24"/>
  <c r="I111" i="31"/>
  <c r="N111" i="30"/>
  <c r="G112" i="30"/>
  <c r="J111" i="29"/>
  <c r="G111" i="28"/>
  <c r="N111" i="41"/>
  <c r="N112" i="40"/>
  <c r="G111" i="40"/>
  <c r="J112" i="33"/>
  <c r="G111" i="33"/>
  <c r="J111" i="32"/>
  <c r="I112" i="32"/>
  <c r="H111" i="32"/>
  <c r="M111" i="32"/>
  <c r="L112" i="32"/>
  <c r="L112" i="44"/>
  <c r="N111" i="44"/>
  <c r="B44" i="39" l="1"/>
  <c r="B42" i="39"/>
  <c r="B41" i="39"/>
  <c r="B45" i="39"/>
  <c r="B43" i="39"/>
  <c r="P44" i="39"/>
  <c r="P45" i="39"/>
  <c r="P43" i="39"/>
  <c r="P41" i="39"/>
  <c r="P42" i="39"/>
  <c r="N43" i="39"/>
  <c r="N41" i="39"/>
  <c r="N45" i="39"/>
  <c r="N44" i="39"/>
  <c r="N42" i="39"/>
  <c r="Q45" i="39"/>
  <c r="Q42" i="39"/>
  <c r="Q43" i="39"/>
  <c r="Q41" i="39"/>
  <c r="Q44" i="39"/>
  <c r="M44" i="39"/>
  <c r="M43" i="39"/>
  <c r="M45" i="39"/>
  <c r="M41" i="39"/>
  <c r="M42" i="39"/>
  <c r="L43" i="39"/>
  <c r="L44" i="39"/>
  <c r="L42" i="39"/>
  <c r="L41" i="39"/>
  <c r="L45" i="39"/>
  <c r="O47" i="39"/>
  <c r="O46" i="39"/>
  <c r="K45" i="39"/>
  <c r="K44" i="39"/>
  <c r="K42" i="39"/>
  <c r="K41" i="39"/>
  <c r="K43" i="39"/>
  <c r="J44" i="39"/>
  <c r="J41" i="39"/>
  <c r="J43" i="39"/>
  <c r="J45" i="39"/>
  <c r="J42" i="39"/>
  <c r="I42" i="39"/>
  <c r="I41" i="39"/>
  <c r="I43" i="39"/>
  <c r="I45" i="39"/>
  <c r="I44" i="39"/>
  <c r="H41" i="39"/>
  <c r="H44" i="39"/>
  <c r="H45" i="39"/>
  <c r="H42" i="39"/>
  <c r="H43" i="39"/>
  <c r="G41" i="39"/>
  <c r="G44" i="39"/>
  <c r="G45" i="39"/>
  <c r="G42" i="39"/>
  <c r="G43" i="39"/>
  <c r="F41" i="39"/>
  <c r="F45" i="39"/>
  <c r="F43" i="39"/>
  <c r="F42" i="39"/>
  <c r="F44" i="39"/>
  <c r="O43" i="39"/>
  <c r="O44" i="39"/>
  <c r="O42" i="39"/>
  <c r="O41" i="39"/>
  <c r="E41" i="39"/>
  <c r="E42" i="39"/>
  <c r="E45" i="39"/>
  <c r="E43" i="39"/>
  <c r="E44" i="39"/>
  <c r="D41" i="39"/>
  <c r="D45" i="39"/>
  <c r="D43" i="39"/>
  <c r="D42" i="39"/>
  <c r="D44" i="39"/>
  <c r="C43" i="39"/>
  <c r="C41" i="39"/>
  <c r="C44" i="39"/>
  <c r="C42" i="39"/>
  <c r="C45" i="39"/>
  <c r="M47" i="39" l="1"/>
  <c r="M46" i="39"/>
  <c r="Q47" i="39"/>
  <c r="Q46" i="39"/>
  <c r="N47" i="39"/>
  <c r="N46" i="39"/>
  <c r="L46" i="39"/>
  <c r="L47" i="39"/>
  <c r="F46" i="39"/>
  <c r="F47" i="39"/>
  <c r="D47" i="39"/>
  <c r="D46" i="39"/>
  <c r="J46" i="39"/>
  <c r="J47" i="39"/>
  <c r="I46" i="39"/>
  <c r="I47" i="39"/>
  <c r="G47" i="39"/>
  <c r="G46" i="39"/>
  <c r="P46" i="39"/>
  <c r="P47" i="39"/>
  <c r="E46" i="39"/>
  <c r="E47" i="39"/>
  <c r="B46" i="39"/>
  <c r="B47" i="39"/>
  <c r="H46" i="39"/>
  <c r="H47" i="39"/>
  <c r="C46" i="39"/>
  <c r="C47" i="39"/>
  <c r="K46" i="39"/>
  <c r="K47" i="39"/>
</calcChain>
</file>

<file path=xl/sharedStrings.xml><?xml version="1.0" encoding="utf-8"?>
<sst xmlns="http://schemas.openxmlformats.org/spreadsheetml/2006/main" count="7429" uniqueCount="3234">
  <si>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</si>
  <si>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</si>
  <si>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</si>
  <si>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</si>
  <si>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</si>
  <si>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</si>
  <si>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</si>
  <si>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</si>
  <si>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</si>
  <si>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</si>
  <si>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</si>
  <si>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</si>
  <si>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</si>
  <si>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</si>
  <si>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</si>
  <si>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</si>
  <si>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</si>
  <si>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</si>
  <si>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</si>
  <si>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</si>
  <si>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</si>
  <si>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</si>
  <si>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</si>
  <si>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</si>
  <si>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</si>
  <si>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</si>
  <si>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</si>
  <si>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</si>
  <si>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</si>
  <si>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</si>
  <si>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</si>
  <si>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</si>
  <si>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</si>
  <si>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</si>
  <si>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</si>
  <si>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</si>
  <si>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</si>
  <si>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</si>
  <si>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</si>
  <si>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</si>
  <si>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</si>
  <si>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</si>
  <si>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</si>
  <si>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</si>
  <si>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</si>
  <si>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</si>
  <si>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</si>
  <si>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</si>
  <si>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</si>
  <si>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</si>
  <si>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</si>
  <si>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</si>
  <si>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</si>
  <si>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</si>
  <si>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</si>
  <si>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</si>
  <si>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</si>
  <si>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</si>
  <si>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</si>
  <si>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</si>
  <si>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</si>
  <si>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</si>
  <si>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</si>
  <si>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</si>
  <si>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</si>
  <si>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</si>
  <si>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</si>
  <si>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</si>
  <si>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</si>
  <si>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</si>
  <si>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</si>
  <si>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</si>
  <si>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</si>
  <si>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</si>
  <si>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</si>
  <si>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</si>
  <si>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</si>
  <si>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</si>
  <si>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</si>
  <si>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</si>
  <si>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</si>
  <si>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</si>
  <si>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</si>
  <si>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</si>
  <si>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</si>
  <si>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</si>
  <si>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</si>
  <si>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</si>
  <si>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</si>
  <si>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</si>
  <si>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</si>
  <si>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</si>
  <si>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</si>
  <si>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</si>
  <si>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</si>
  <si>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</si>
  <si>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</si>
  <si>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</si>
  <si>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</si>
  <si>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</si>
  <si>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</si>
  <si>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</si>
  <si>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</si>
  <si>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</si>
  <si>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</si>
  <si>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</si>
  <si>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</si>
  <si>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</si>
  <si>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</si>
  <si>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</si>
  <si>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</si>
  <si>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</si>
  <si>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</si>
  <si>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</si>
  <si>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</si>
  <si>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</si>
  <si>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</si>
  <si>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</si>
  <si>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</si>
  <si>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</si>
  <si>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</si>
  <si>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</si>
  <si>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</si>
  <si>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</si>
  <si>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</si>
  <si>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</si>
  <si>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</si>
  <si>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</si>
  <si>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</si>
  <si>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</si>
  <si>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</si>
  <si>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</si>
  <si>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</si>
  <si>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</si>
  <si>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</si>
  <si>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</si>
  <si>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</si>
  <si>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</si>
  <si>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</si>
  <si>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</si>
  <si>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</si>
  <si>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</si>
  <si>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</si>
  <si>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</si>
  <si>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</si>
  <si>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</si>
  <si>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</si>
  <si>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</si>
  <si>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</si>
  <si>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</si>
  <si>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</si>
  <si>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</si>
  <si>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</si>
  <si>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</si>
  <si>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</si>
  <si>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</si>
  <si>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</si>
  <si>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</si>
  <si>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</si>
  <si>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</si>
  <si>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</si>
  <si>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</si>
  <si>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</si>
  <si>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</si>
  <si>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</si>
  <si>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</si>
  <si>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</si>
  <si>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</si>
  <si>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</si>
  <si>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</si>
  <si>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</si>
  <si>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</si>
  <si>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</si>
  <si>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</si>
  <si>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</si>
  <si>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</si>
  <si>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</si>
  <si>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</si>
  <si>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</si>
  <si>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</si>
  <si>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</si>
  <si>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</si>
  <si>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</si>
  <si>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</si>
  <si>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</si>
  <si>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</si>
  <si>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</si>
  <si>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</si>
  <si>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</si>
  <si>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</si>
  <si>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</si>
  <si>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</si>
  <si>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</si>
  <si>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</si>
  <si>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</si>
  <si>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</si>
  <si>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</si>
  <si>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</si>
  <si>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</si>
  <si>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</si>
  <si>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</si>
  <si>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</si>
  <si>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</si>
  <si>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</si>
  <si>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</si>
  <si>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</si>
  <si>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</si>
  <si>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</si>
  <si>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</si>
  <si>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</si>
  <si>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</si>
  <si>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</si>
  <si>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</si>
  <si>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</si>
  <si>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</si>
  <si>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RK</t>
  </si>
  <si>
    <t>4mv</t>
  </si>
  <si>
    <t>ON</t>
  </si>
  <si>
    <t>OFF</t>
  </si>
  <si>
    <t>MUX signal Report REPORT OF KUNJEMURA, RAIGARH MONTH OF</t>
  </si>
  <si>
    <t>BHATAGAON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</si>
  <si>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</si>
  <si>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</si>
  <si>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</si>
  <si>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</si>
  <si>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</si>
  <si>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</si>
  <si>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</si>
  <si>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</si>
  <si>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</si>
  <si>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</si>
  <si>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</si>
  <si>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</si>
  <si>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</si>
  <si>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</si>
  <si>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</si>
  <si>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</si>
  <si>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RAIPPUR</t>
  </si>
  <si>
    <t>pm 10</t>
  </si>
  <si>
    <t>rahul</t>
  </si>
  <si>
    <t>RAHUL</t>
  </si>
  <si>
    <t>Calibration report Of BHATAGAON, RAIPUR</t>
  </si>
  <si>
    <t>POWER OFF REPORT OF BHATAGAON, RAIPUR</t>
  </si>
  <si>
    <t>847 ug/cm2</t>
  </si>
  <si>
    <t>ppb</t>
  </si>
  <si>
    <t>01-05-2023 00:15</t>
  </si>
  <si>
    <t>01-05-2023 00:30</t>
  </si>
  <si>
    <t>01-05-2023 00:45</t>
  </si>
  <si>
    <t>01-05-2023 01:00</t>
  </si>
  <si>
    <t>01-05-2023 01:15</t>
  </si>
  <si>
    <t>01-05-2023 01:30</t>
  </si>
  <si>
    <t>01-05-2023 01:45</t>
  </si>
  <si>
    <t>01-05-2023 02:00</t>
  </si>
  <si>
    <t>01-05-2023 02:15</t>
  </si>
  <si>
    <t>01-05-2023 02:30</t>
  </si>
  <si>
    <t>01-05-2023 02:45</t>
  </si>
  <si>
    <t>01-05-2023 03:00</t>
  </si>
  <si>
    <t>01-05-2023 03:15</t>
  </si>
  <si>
    <t>01-05-2023 03:30</t>
  </si>
  <si>
    <t>01-05-2023 03:45</t>
  </si>
  <si>
    <t>01-05-2023 04:00</t>
  </si>
  <si>
    <t>01-05-2023 04:15</t>
  </si>
  <si>
    <t>01-05-2023 04:30</t>
  </si>
  <si>
    <t>01-05-2023 04:45</t>
  </si>
  <si>
    <t>01-05-2023 05:00</t>
  </si>
  <si>
    <t>01-05-2023 05:15</t>
  </si>
  <si>
    <t>01-05-2023 05:30</t>
  </si>
  <si>
    <t>01-05-2023 05:45</t>
  </si>
  <si>
    <t>01-05-2023 06:00</t>
  </si>
  <si>
    <t>01-05-2023 06:15</t>
  </si>
  <si>
    <t>01-05-2023 06:30</t>
  </si>
  <si>
    <t>01-05-2023 06:45</t>
  </si>
  <si>
    <t>01-05-2023 07:00</t>
  </si>
  <si>
    <t>01-05-2023 07:15</t>
  </si>
  <si>
    <t>01-05-2023 07:30</t>
  </si>
  <si>
    <t>01-05-2023 07:45</t>
  </si>
  <si>
    <t>01-05-2023 08:00</t>
  </si>
  <si>
    <t>01-05-2023 08:15</t>
  </si>
  <si>
    <t>01-05-2023 08:30</t>
  </si>
  <si>
    <t>01-05-2023 08:45</t>
  </si>
  <si>
    <t>01-05-2023 09:00</t>
  </si>
  <si>
    <t>01-05-2023 09:15</t>
  </si>
  <si>
    <t>01-05-2023 09:30</t>
  </si>
  <si>
    <t>01-05-2023 09:45</t>
  </si>
  <si>
    <t>01-05-2023 10:00</t>
  </si>
  <si>
    <t>01-05-2023 10:15</t>
  </si>
  <si>
    <t>01-05-2023 10:30</t>
  </si>
  <si>
    <t>01-05-2023 10:45</t>
  </si>
  <si>
    <t>01-05-2023 11:00</t>
  </si>
  <si>
    <t>01-05-2023 11:15</t>
  </si>
  <si>
    <t>01-05-2023 11:30</t>
  </si>
  <si>
    <t>01-05-2023 11:45</t>
  </si>
  <si>
    <t>01-05-2023 12:00</t>
  </si>
  <si>
    <t>01-05-2023 12:15</t>
  </si>
  <si>
    <t>01-05-2023 12:30</t>
  </si>
  <si>
    <t>01-05-2023 12:45</t>
  </si>
  <si>
    <t>01-05-2023 13:00</t>
  </si>
  <si>
    <t>01-05-2023 13:15</t>
  </si>
  <si>
    <t>01-05-2023 13:30</t>
  </si>
  <si>
    <t>01-05-2023 13:45</t>
  </si>
  <si>
    <t>01-05-2023 14:00</t>
  </si>
  <si>
    <t>01-05-2023 14:15</t>
  </si>
  <si>
    <t>01-05-2023 14:30</t>
  </si>
  <si>
    <t>01-05-2023 14:45</t>
  </si>
  <si>
    <t>01-05-2023 15:00</t>
  </si>
  <si>
    <t>01-05-2023 15:15</t>
  </si>
  <si>
    <t>01-05-2023 15:30</t>
  </si>
  <si>
    <t>01-05-2023 15:45</t>
  </si>
  <si>
    <t>01-05-2023 16:00</t>
  </si>
  <si>
    <t>01-05-2023 16:15</t>
  </si>
  <si>
    <t>01-05-2023 16:30</t>
  </si>
  <si>
    <t>01-05-2023 16:45</t>
  </si>
  <si>
    <t>01-05-2023 17:00</t>
  </si>
  <si>
    <t>01-05-2023 17:15</t>
  </si>
  <si>
    <t>01-05-2023 17:30</t>
  </si>
  <si>
    <t>01-05-2023 17:45</t>
  </si>
  <si>
    <t>01-05-2023 18:00</t>
  </si>
  <si>
    <t>01-05-2023 18:15</t>
  </si>
  <si>
    <t>01-05-2023 18:30</t>
  </si>
  <si>
    <t>01-05-2023 18:45</t>
  </si>
  <si>
    <t>01-05-2023 19:00</t>
  </si>
  <si>
    <t>01-05-2023 19:15</t>
  </si>
  <si>
    <t>01-05-2023 19:30</t>
  </si>
  <si>
    <t>01-05-2023 19:45</t>
  </si>
  <si>
    <t>01-05-2023 20:00</t>
  </si>
  <si>
    <t>01-05-2023 20:15</t>
  </si>
  <si>
    <t>01-05-2023 20:30</t>
  </si>
  <si>
    <t>01-05-2023 20:45</t>
  </si>
  <si>
    <t>01-05-2023 21:00</t>
  </si>
  <si>
    <t>01-05-2023 21:15</t>
  </si>
  <si>
    <t>01-05-2023 21:30</t>
  </si>
  <si>
    <t>01-05-2023 21:45</t>
  </si>
  <si>
    <t>01-05-2023 22:00</t>
  </si>
  <si>
    <t>01-05-2023 22:15</t>
  </si>
  <si>
    <t>01-05-2023 22:30</t>
  </si>
  <si>
    <t>01-05-2023 22:45</t>
  </si>
  <si>
    <t>01-05-2023 23:00</t>
  </si>
  <si>
    <t>01-05-2023 23:15</t>
  </si>
  <si>
    <t>01-05-2023 23:30</t>
  </si>
  <si>
    <t>01-05-2023 23:45</t>
  </si>
  <si>
    <t>01-05-2023 24:00</t>
  </si>
  <si>
    <t>02-05-2023 00:15</t>
  </si>
  <si>
    <t>02-05-2023 00:30</t>
  </si>
  <si>
    <t>02-05-2023 00:45</t>
  </si>
  <si>
    <t>02-05-2023 01:00</t>
  </si>
  <si>
    <t>02-05-2023 01:15</t>
  </si>
  <si>
    <t>02-05-2023 01:30</t>
  </si>
  <si>
    <t>02-05-2023 01:45</t>
  </si>
  <si>
    <t>02-05-2023 02:00</t>
  </si>
  <si>
    <t>02-05-2023 02:15</t>
  </si>
  <si>
    <t>02-05-2023 02:30</t>
  </si>
  <si>
    <t>02-05-2023 02:45</t>
  </si>
  <si>
    <t>02-05-2023 03:00</t>
  </si>
  <si>
    <t>02-05-2023 03:15</t>
  </si>
  <si>
    <t>02-05-2023 03:30</t>
  </si>
  <si>
    <t>02-05-2023 03:45</t>
  </si>
  <si>
    <t>02-05-2023 04:00</t>
  </si>
  <si>
    <t>02-05-2023 04:15</t>
  </si>
  <si>
    <t>02-05-2023 04:30</t>
  </si>
  <si>
    <t>02-05-2023 04:45</t>
  </si>
  <si>
    <t>02-05-2023 05:00</t>
  </si>
  <si>
    <t>02-05-2023 05:15</t>
  </si>
  <si>
    <t>02-05-2023 05:30</t>
  </si>
  <si>
    <t>02-05-2023 05:45</t>
  </si>
  <si>
    <t>02-05-2023 06:00</t>
  </si>
  <si>
    <t>02-05-2023 06:15</t>
  </si>
  <si>
    <t>02-05-2023 06:30</t>
  </si>
  <si>
    <t>02-05-2023 06:45</t>
  </si>
  <si>
    <t>02-05-2023 07:00</t>
  </si>
  <si>
    <t>02-05-2023 07:15</t>
  </si>
  <si>
    <t>02-05-2023 07:30</t>
  </si>
  <si>
    <t>02-05-2023 07:45</t>
  </si>
  <si>
    <t>02-05-2023 08:00</t>
  </si>
  <si>
    <t>02-05-2023 08:15</t>
  </si>
  <si>
    <t>02-05-2023 08:30</t>
  </si>
  <si>
    <t>02-05-2023 08:45</t>
  </si>
  <si>
    <t>02-05-2023 09:00</t>
  </si>
  <si>
    <t>02-05-2023 09:15</t>
  </si>
  <si>
    <t>02-05-2023 09:30</t>
  </si>
  <si>
    <t>02-05-2023 09:45</t>
  </si>
  <si>
    <t>02-05-2023 10:00</t>
  </si>
  <si>
    <t>02-05-2023 10:15</t>
  </si>
  <si>
    <t>02-05-2023 10:30</t>
  </si>
  <si>
    <t>02-05-2023 10:45</t>
  </si>
  <si>
    <t>02-05-2023 11:00</t>
  </si>
  <si>
    <t>02-05-2023 11:15</t>
  </si>
  <si>
    <t>02-05-2023 11:30</t>
  </si>
  <si>
    <t>02-05-2023 11:45</t>
  </si>
  <si>
    <t>02-05-2023 12:00</t>
  </si>
  <si>
    <t>02-05-2023 12:15</t>
  </si>
  <si>
    <t>02-05-2023 12:30</t>
  </si>
  <si>
    <t>02-05-2023 12:45</t>
  </si>
  <si>
    <t>02-05-2023 13:00</t>
  </si>
  <si>
    <t>02-05-2023 13:15</t>
  </si>
  <si>
    <t>02-05-2023 13:30</t>
  </si>
  <si>
    <t>02-05-2023 13:45</t>
  </si>
  <si>
    <t>02-05-2023 14:00</t>
  </si>
  <si>
    <t>02-05-2023 14:15</t>
  </si>
  <si>
    <t>02-05-2023 14:30</t>
  </si>
  <si>
    <t>02-05-2023 14:45</t>
  </si>
  <si>
    <t>02-05-2023 15:00</t>
  </si>
  <si>
    <t>02-05-2023 15:15</t>
  </si>
  <si>
    <t>02-05-2023 15:30</t>
  </si>
  <si>
    <t>02-05-2023 15:45</t>
  </si>
  <si>
    <t>02-05-2023 16:00</t>
  </si>
  <si>
    <t>02-05-2023 16:15</t>
  </si>
  <si>
    <t>02-05-2023 16:30</t>
  </si>
  <si>
    <t>02-05-2023 16:45</t>
  </si>
  <si>
    <t>02-05-2023 17:00</t>
  </si>
  <si>
    <t>02-05-2023 17:15</t>
  </si>
  <si>
    <t>02-05-2023 17:30</t>
  </si>
  <si>
    <t>02-05-2023 17:45</t>
  </si>
  <si>
    <t>02-05-2023 18:00</t>
  </si>
  <si>
    <t>02-05-2023 18:15</t>
  </si>
  <si>
    <t>02-05-2023 18:30</t>
  </si>
  <si>
    <t>02-05-2023 18:45</t>
  </si>
  <si>
    <t>02-05-2023 19:00</t>
  </si>
  <si>
    <t>02-05-2023 19:15</t>
  </si>
  <si>
    <t>02-05-2023 19:30</t>
  </si>
  <si>
    <t>02-05-2023 19:45</t>
  </si>
  <si>
    <t>02-05-2023 20:00</t>
  </si>
  <si>
    <t>02-05-2023 20:15</t>
  </si>
  <si>
    <t>02-05-2023 20:30</t>
  </si>
  <si>
    <t>02-05-2023 20:45</t>
  </si>
  <si>
    <t>02-05-2023 21:00</t>
  </si>
  <si>
    <t>02-05-2023 21:15</t>
  </si>
  <si>
    <t>02-05-2023 21:30</t>
  </si>
  <si>
    <t>02-05-2023 21:45</t>
  </si>
  <si>
    <t>02-05-2023 22:00</t>
  </si>
  <si>
    <t>02-05-2023 22:15</t>
  </si>
  <si>
    <t>02-05-2023 22:30</t>
  </si>
  <si>
    <t>02-05-2023 22:45</t>
  </si>
  <si>
    <t>02-05-2023 23:00</t>
  </si>
  <si>
    <t>02-05-2023 23:15</t>
  </si>
  <si>
    <t>02-05-2023 23:30</t>
  </si>
  <si>
    <t>02-05-2023 23:45</t>
  </si>
  <si>
    <t>02-05-2023 24:00</t>
  </si>
  <si>
    <t>03-05-2023 00:15</t>
  </si>
  <si>
    <t>03-05-2023 00:30</t>
  </si>
  <si>
    <t>03-05-2023 00:45</t>
  </si>
  <si>
    <t>03-05-2023 01:00</t>
  </si>
  <si>
    <t>03-05-2023 01:15</t>
  </si>
  <si>
    <t>03-05-2023 01:30</t>
  </si>
  <si>
    <t>03-05-2023 01:45</t>
  </si>
  <si>
    <t>03-05-2023 02:00</t>
  </si>
  <si>
    <t>03-05-2023 02:15</t>
  </si>
  <si>
    <t>03-05-2023 02:30</t>
  </si>
  <si>
    <t>03-05-2023 02:45</t>
  </si>
  <si>
    <t>03-05-2023 03:00</t>
  </si>
  <si>
    <t>03-05-2023 03:15</t>
  </si>
  <si>
    <t>03-05-2023 03:30</t>
  </si>
  <si>
    <t>03-05-2023 03:45</t>
  </si>
  <si>
    <t>03-05-2023 04:00</t>
  </si>
  <si>
    <t>03-05-2023 04:15</t>
  </si>
  <si>
    <t>03-05-2023 04:30</t>
  </si>
  <si>
    <t>03-05-2023 04:45</t>
  </si>
  <si>
    <t>03-05-2023 05:00</t>
  </si>
  <si>
    <t>03-05-2023 05:15</t>
  </si>
  <si>
    <t>03-05-2023 05:30</t>
  </si>
  <si>
    <t>03-05-2023 05:45</t>
  </si>
  <si>
    <t>03-05-2023 06:00</t>
  </si>
  <si>
    <t>03-05-2023 06:15</t>
  </si>
  <si>
    <t>03-05-2023 06:30</t>
  </si>
  <si>
    <t>03-05-2023 06:45</t>
  </si>
  <si>
    <t>03-05-2023 07:00</t>
  </si>
  <si>
    <t>03-05-2023 07:15</t>
  </si>
  <si>
    <t>03-05-2023 07:30</t>
  </si>
  <si>
    <t>03-05-2023 07:45</t>
  </si>
  <si>
    <t>03-05-2023 08:00</t>
  </si>
  <si>
    <t>03-05-2023 08:15</t>
  </si>
  <si>
    <t>03-05-2023 08:30</t>
  </si>
  <si>
    <t>03-05-2023 08:45</t>
  </si>
  <si>
    <t>03-05-2023 09:00</t>
  </si>
  <si>
    <t>03-05-2023 09:15</t>
  </si>
  <si>
    <t>03-05-2023 09:30</t>
  </si>
  <si>
    <t>03-05-2023 09:45</t>
  </si>
  <si>
    <t>03-05-2023 10:00</t>
  </si>
  <si>
    <t>03-05-2023 10:15</t>
  </si>
  <si>
    <t>03-05-2023 10:30</t>
  </si>
  <si>
    <t>03-05-2023 10:45</t>
  </si>
  <si>
    <t>03-05-2023 11:00</t>
  </si>
  <si>
    <t>03-05-2023 11:15</t>
  </si>
  <si>
    <t>03-05-2023 11:30</t>
  </si>
  <si>
    <t>03-05-2023 11:45</t>
  </si>
  <si>
    <t>03-05-2023 12:00</t>
  </si>
  <si>
    <t>03-05-2023 12:15</t>
  </si>
  <si>
    <t>03-05-2023 12:30</t>
  </si>
  <si>
    <t>03-05-2023 12:45</t>
  </si>
  <si>
    <t>03-05-2023 13:00</t>
  </si>
  <si>
    <t>03-05-2023 13:15</t>
  </si>
  <si>
    <t>03-05-2023 13:30</t>
  </si>
  <si>
    <t>03-05-2023 13:45</t>
  </si>
  <si>
    <t>03-05-2023 14:00</t>
  </si>
  <si>
    <t>03-05-2023 14:15</t>
  </si>
  <si>
    <t>03-05-2023 14:30</t>
  </si>
  <si>
    <t>03-05-2023 14:45</t>
  </si>
  <si>
    <t>03-05-2023 15:00</t>
  </si>
  <si>
    <t>03-05-2023 15:15</t>
  </si>
  <si>
    <t>03-05-2023 15:30</t>
  </si>
  <si>
    <t>03-05-2023 15:45</t>
  </si>
  <si>
    <t>03-05-2023 16:00</t>
  </si>
  <si>
    <t>03-05-2023 16:15</t>
  </si>
  <si>
    <t>03-05-2023 16:30</t>
  </si>
  <si>
    <t>03-05-2023 16:45</t>
  </si>
  <si>
    <t>03-05-2023 17:00</t>
  </si>
  <si>
    <t>03-05-2023 17:15</t>
  </si>
  <si>
    <t>03-05-2023 17:30</t>
  </si>
  <si>
    <t>03-05-2023 17:45</t>
  </si>
  <si>
    <t>03-05-2023 18:00</t>
  </si>
  <si>
    <t>03-05-2023 18:15</t>
  </si>
  <si>
    <t>03-05-2023 18:30</t>
  </si>
  <si>
    <t>03-05-2023 18:45</t>
  </si>
  <si>
    <t>03-05-2023 19:00</t>
  </si>
  <si>
    <t>03-05-2023 19:15</t>
  </si>
  <si>
    <t>03-05-2023 19:30</t>
  </si>
  <si>
    <t>03-05-2023 19:45</t>
  </si>
  <si>
    <t>03-05-2023 20:00</t>
  </si>
  <si>
    <t>03-05-2023 20:15</t>
  </si>
  <si>
    <t>03-05-2023 20:30</t>
  </si>
  <si>
    <t>03-05-2023 20:45</t>
  </si>
  <si>
    <t>03-05-2023 21:00</t>
  </si>
  <si>
    <t>03-05-2023 21:15</t>
  </si>
  <si>
    <t>03-05-2023 21:30</t>
  </si>
  <si>
    <t>03-05-2023 21:45</t>
  </si>
  <si>
    <t>03-05-2023 22:00</t>
  </si>
  <si>
    <t>03-05-2023 22:15</t>
  </si>
  <si>
    <t>03-05-2023 22:30</t>
  </si>
  <si>
    <t>03-05-2023 22:45</t>
  </si>
  <si>
    <t>03-05-2023 23:00</t>
  </si>
  <si>
    <t>03-05-2023 23:15</t>
  </si>
  <si>
    <t>03-05-2023 23:30</t>
  </si>
  <si>
    <t>03-05-2023 23:45</t>
  </si>
  <si>
    <t>03-05-2023 24:00</t>
  </si>
  <si>
    <t>04-05-2023 00:15</t>
  </si>
  <si>
    <t>04-05-2023 00:30</t>
  </si>
  <si>
    <t>04-05-2023 00:45</t>
  </si>
  <si>
    <t>04-05-2023 01:00</t>
  </si>
  <si>
    <t>04-05-2023 01:15</t>
  </si>
  <si>
    <t>04-05-2023 01:30</t>
  </si>
  <si>
    <t>04-05-2023 01:45</t>
  </si>
  <si>
    <t>04-05-2023 02:00</t>
  </si>
  <si>
    <t>04-05-2023 02:15</t>
  </si>
  <si>
    <t>04-05-2023 02:30</t>
  </si>
  <si>
    <t>04-05-2023 02:45</t>
  </si>
  <si>
    <t>04-05-2023 03:00</t>
  </si>
  <si>
    <t>04-05-2023 03:15</t>
  </si>
  <si>
    <t>04-05-2023 03:30</t>
  </si>
  <si>
    <t>04-05-2023 03:45</t>
  </si>
  <si>
    <t>04-05-2023 04:00</t>
  </si>
  <si>
    <t>04-05-2023 04:15</t>
  </si>
  <si>
    <t>04-05-2023 04:30</t>
  </si>
  <si>
    <t>04-05-2023 04:45</t>
  </si>
  <si>
    <t>04-05-2023 05:00</t>
  </si>
  <si>
    <t>04-05-2023 05:15</t>
  </si>
  <si>
    <t>04-05-2023 05:30</t>
  </si>
  <si>
    <t>04-05-2023 05:45</t>
  </si>
  <si>
    <t>04-05-2023 06:00</t>
  </si>
  <si>
    <t>04-05-2023 06:15</t>
  </si>
  <si>
    <t>04-05-2023 06:30</t>
  </si>
  <si>
    <t>04-05-2023 06:45</t>
  </si>
  <si>
    <t>04-05-2023 07:00</t>
  </si>
  <si>
    <t>04-05-2023 07:15</t>
  </si>
  <si>
    <t>04-05-2023 07:30</t>
  </si>
  <si>
    <t>04-05-2023 07:45</t>
  </si>
  <si>
    <t>04-05-2023 08:00</t>
  </si>
  <si>
    <t>04-05-2023 08:15</t>
  </si>
  <si>
    <t>04-05-2023 08:30</t>
  </si>
  <si>
    <t>04-05-2023 08:45</t>
  </si>
  <si>
    <t>04-05-2023 09:00</t>
  </si>
  <si>
    <t>04-05-2023 09:15</t>
  </si>
  <si>
    <t>04-05-2023 09:30</t>
  </si>
  <si>
    <t>04-05-2023 09:45</t>
  </si>
  <si>
    <t>04-05-2023 10:00</t>
  </si>
  <si>
    <t>04-05-2023 10:15</t>
  </si>
  <si>
    <t>04-05-2023 10:30</t>
  </si>
  <si>
    <t>04-05-2023 10:45</t>
  </si>
  <si>
    <t>04-05-2023 11:00</t>
  </si>
  <si>
    <t>04-05-2023 11:15</t>
  </si>
  <si>
    <t>04-05-2023 11:30</t>
  </si>
  <si>
    <t>04-05-2023 11:45</t>
  </si>
  <si>
    <t>04-05-2023 12:00</t>
  </si>
  <si>
    <t>04-05-2023 12:15</t>
  </si>
  <si>
    <t>04-05-2023 12:30</t>
  </si>
  <si>
    <t>04-05-2023 12:45</t>
  </si>
  <si>
    <t>04-05-2023 13:00</t>
  </si>
  <si>
    <t>04-05-2023 13:15</t>
  </si>
  <si>
    <t>04-05-2023 13:30</t>
  </si>
  <si>
    <t>04-05-2023 13:45</t>
  </si>
  <si>
    <t>04-05-2023 14:00</t>
  </si>
  <si>
    <t>04-05-2023 14:15</t>
  </si>
  <si>
    <t>04-05-2023 14:30</t>
  </si>
  <si>
    <t>04-05-2023 14:45</t>
  </si>
  <si>
    <t>04-05-2023 15:00</t>
  </si>
  <si>
    <t>04-05-2023 15:15</t>
  </si>
  <si>
    <t>04-05-2023 15:30</t>
  </si>
  <si>
    <t>04-05-2023 15:45</t>
  </si>
  <si>
    <t>04-05-2023 16:00</t>
  </si>
  <si>
    <t>04-05-2023 16:15</t>
  </si>
  <si>
    <t>04-05-2023 16:30</t>
  </si>
  <si>
    <t>04-05-2023 16:45</t>
  </si>
  <si>
    <t>04-05-2023 17:00</t>
  </si>
  <si>
    <t>04-05-2023 17:15</t>
  </si>
  <si>
    <t>04-05-2023 17:30</t>
  </si>
  <si>
    <t>04-05-2023 17:45</t>
  </si>
  <si>
    <t>04-05-2023 18:00</t>
  </si>
  <si>
    <t>04-05-2023 18:15</t>
  </si>
  <si>
    <t>04-05-2023 18:30</t>
  </si>
  <si>
    <t>04-05-2023 18:45</t>
  </si>
  <si>
    <t>04-05-2023 19:00</t>
  </si>
  <si>
    <t>04-05-2023 19:15</t>
  </si>
  <si>
    <t>04-05-2023 19:30</t>
  </si>
  <si>
    <t>04-05-2023 19:45</t>
  </si>
  <si>
    <t>04-05-2023 20:00</t>
  </si>
  <si>
    <t>04-05-2023 20:15</t>
  </si>
  <si>
    <t>04-05-2023 20:30</t>
  </si>
  <si>
    <t>04-05-2023 20:45</t>
  </si>
  <si>
    <t>04-05-2023 21:00</t>
  </si>
  <si>
    <t>04-05-2023 21:15</t>
  </si>
  <si>
    <t>04-05-2023 21:30</t>
  </si>
  <si>
    <t>04-05-2023 21:45</t>
  </si>
  <si>
    <t>04-05-2023 22:00</t>
  </si>
  <si>
    <t>04-05-2023 22:15</t>
  </si>
  <si>
    <t>04-05-2023 22:30</t>
  </si>
  <si>
    <t>04-05-2023 22:45</t>
  </si>
  <si>
    <t>04-05-2023 23:00</t>
  </si>
  <si>
    <t>04-05-2023 23:15</t>
  </si>
  <si>
    <t>04-05-2023 23:30</t>
  </si>
  <si>
    <t>04-05-2023 23:45</t>
  </si>
  <si>
    <t>04-05-2023 24:00</t>
  </si>
  <si>
    <t>05-05-2023 00:15</t>
  </si>
  <si>
    <t>05-05-2023 00:30</t>
  </si>
  <si>
    <t>05-05-2023 00:45</t>
  </si>
  <si>
    <t>05-05-2023 01:00</t>
  </si>
  <si>
    <t>05-05-2023 01:15</t>
  </si>
  <si>
    <t>05-05-2023 01:30</t>
  </si>
  <si>
    <t>05-05-2023 01:45</t>
  </si>
  <si>
    <t>05-05-2023 02:00</t>
  </si>
  <si>
    <t>05-05-2023 02:15</t>
  </si>
  <si>
    <t>05-05-2023 02:30</t>
  </si>
  <si>
    <t>05-05-2023 02:45</t>
  </si>
  <si>
    <t>05-05-2023 03:00</t>
  </si>
  <si>
    <t>05-05-2023 03:15</t>
  </si>
  <si>
    <t>05-05-2023 03:30</t>
  </si>
  <si>
    <t>05-05-2023 03:45</t>
  </si>
  <si>
    <t>05-05-2023 04:00</t>
  </si>
  <si>
    <t>05-05-2023 04:15</t>
  </si>
  <si>
    <t>05-05-2023 04:30</t>
  </si>
  <si>
    <t>05-05-2023 04:45</t>
  </si>
  <si>
    <t>05-05-2023 05:00</t>
  </si>
  <si>
    <t>05-05-2023 05:15</t>
  </si>
  <si>
    <t>05-05-2023 05:30</t>
  </si>
  <si>
    <t>05-05-2023 05:45</t>
  </si>
  <si>
    <t>05-05-2023 06:00</t>
  </si>
  <si>
    <t>05-05-2023 06:15</t>
  </si>
  <si>
    <t>05-05-2023 06:30</t>
  </si>
  <si>
    <t>05-05-2023 06:45</t>
  </si>
  <si>
    <t>05-05-2023 07:00</t>
  </si>
  <si>
    <t>05-05-2023 07:15</t>
  </si>
  <si>
    <t>05-05-2023 07:30</t>
  </si>
  <si>
    <t>05-05-2023 07:45</t>
  </si>
  <si>
    <t>05-05-2023 08:00</t>
  </si>
  <si>
    <t>05-05-2023 08:15</t>
  </si>
  <si>
    <t>05-05-2023 08:30</t>
  </si>
  <si>
    <t>05-05-2023 08:45</t>
  </si>
  <si>
    <t>05-05-2023 09:00</t>
  </si>
  <si>
    <t>05-05-2023 09:15</t>
  </si>
  <si>
    <t>05-05-2023 09:30</t>
  </si>
  <si>
    <t>05-05-2023 09:45</t>
  </si>
  <si>
    <t>05-05-2023 10:00</t>
  </si>
  <si>
    <t>05-05-2023 10:15</t>
  </si>
  <si>
    <t>05-05-2023 10:30</t>
  </si>
  <si>
    <t>05-05-2023 10:45</t>
  </si>
  <si>
    <t>05-05-2023 11:00</t>
  </si>
  <si>
    <t>05-05-2023 11:15</t>
  </si>
  <si>
    <t>05-05-2023 11:30</t>
  </si>
  <si>
    <t>05-05-2023 11:45</t>
  </si>
  <si>
    <t>05-05-2023 12:00</t>
  </si>
  <si>
    <t>05-05-2023 12:15</t>
  </si>
  <si>
    <t>05-05-2023 12:30</t>
  </si>
  <si>
    <t>05-05-2023 12:45</t>
  </si>
  <si>
    <t>05-05-2023 13:00</t>
  </si>
  <si>
    <t>05-05-2023 13:15</t>
  </si>
  <si>
    <t>05-05-2023 13:30</t>
  </si>
  <si>
    <t>05-05-2023 13:45</t>
  </si>
  <si>
    <t>05-05-2023 14:00</t>
  </si>
  <si>
    <t>05-05-2023 14:15</t>
  </si>
  <si>
    <t>05-05-2023 14:30</t>
  </si>
  <si>
    <t>05-05-2023 14:45</t>
  </si>
  <si>
    <t>05-05-2023 15:00</t>
  </si>
  <si>
    <t>05-05-2023 15:15</t>
  </si>
  <si>
    <t>05-05-2023 15:30</t>
  </si>
  <si>
    <t>05-05-2023 15:45</t>
  </si>
  <si>
    <t>05-05-2023 16:00</t>
  </si>
  <si>
    <t>05-05-2023 16:15</t>
  </si>
  <si>
    <t>05-05-2023 16:30</t>
  </si>
  <si>
    <t>05-05-2023 16:45</t>
  </si>
  <si>
    <t>05-05-2023 17:00</t>
  </si>
  <si>
    <t>05-05-2023 17:15</t>
  </si>
  <si>
    <t>05-05-2023 17:30</t>
  </si>
  <si>
    <t>05-05-2023 17:45</t>
  </si>
  <si>
    <t>05-05-2023 18:00</t>
  </si>
  <si>
    <t>05-05-2023 18:15</t>
  </si>
  <si>
    <t>05-05-2023 18:30</t>
  </si>
  <si>
    <t>05-05-2023 18:45</t>
  </si>
  <si>
    <t>05-05-2023 19:00</t>
  </si>
  <si>
    <t>05-05-2023 19:15</t>
  </si>
  <si>
    <t>05-05-2023 19:30</t>
  </si>
  <si>
    <t>05-05-2023 19:45</t>
  </si>
  <si>
    <t>05-05-2023 20:00</t>
  </si>
  <si>
    <t>05-05-2023 20:15</t>
  </si>
  <si>
    <t>05-05-2023 20:30</t>
  </si>
  <si>
    <t>05-05-2023 20:45</t>
  </si>
  <si>
    <t>05-05-2023 21:00</t>
  </si>
  <si>
    <t>05-05-2023 21:15</t>
  </si>
  <si>
    <t>05-05-2023 21:30</t>
  </si>
  <si>
    <t>05-05-2023 21:45</t>
  </si>
  <si>
    <t>05-05-2023 22:00</t>
  </si>
  <si>
    <t>05-05-2023 22:15</t>
  </si>
  <si>
    <t>05-05-2023 22:30</t>
  </si>
  <si>
    <t>05-05-2023 22:45</t>
  </si>
  <si>
    <t>05-05-2023 23:00</t>
  </si>
  <si>
    <t>05-05-2023 23:15</t>
  </si>
  <si>
    <t>05-05-2023 23:30</t>
  </si>
  <si>
    <t>05-05-2023 23:45</t>
  </si>
  <si>
    <t>05-05-2023 24:00</t>
  </si>
  <si>
    <t>05/05/2023 11 14</t>
  </si>
  <si>
    <t>06-05-2023 00:15</t>
  </si>
  <si>
    <t>06-05-2023 00:30</t>
  </si>
  <si>
    <t>06-05-2023 00:45</t>
  </si>
  <si>
    <t>06-05-2023 01:00</t>
  </si>
  <si>
    <t>06-05-2023 01:15</t>
  </si>
  <si>
    <t>06-05-2023 01:30</t>
  </si>
  <si>
    <t>06-05-2023 01:45</t>
  </si>
  <si>
    <t>06-05-2023 02:00</t>
  </si>
  <si>
    <t>06-05-2023 02:15</t>
  </si>
  <si>
    <t>06-05-2023 02:30</t>
  </si>
  <si>
    <t>06-05-2023 02:45</t>
  </si>
  <si>
    <t>06-05-2023 03:00</t>
  </si>
  <si>
    <t>06-05-2023 03:15</t>
  </si>
  <si>
    <t>06-05-2023 03:30</t>
  </si>
  <si>
    <t>06-05-2023 03:45</t>
  </si>
  <si>
    <t>06-05-2023 04:00</t>
  </si>
  <si>
    <t>06-05-2023 04:15</t>
  </si>
  <si>
    <t>06-05-2023 04:30</t>
  </si>
  <si>
    <t>06-05-2023 04:45</t>
  </si>
  <si>
    <t>06-05-2023 05:00</t>
  </si>
  <si>
    <t>06-05-2023 05:15</t>
  </si>
  <si>
    <t>06-05-2023 05:30</t>
  </si>
  <si>
    <t>06-05-2023 05:45</t>
  </si>
  <si>
    <t>06-05-2023 06:00</t>
  </si>
  <si>
    <t>06-05-2023 06:15</t>
  </si>
  <si>
    <t>06-05-2023 06:30</t>
  </si>
  <si>
    <t>06-05-2023 06:45</t>
  </si>
  <si>
    <t>06-05-2023 07:00</t>
  </si>
  <si>
    <t>06-05-2023 07:15</t>
  </si>
  <si>
    <t>06-05-2023 07:30</t>
  </si>
  <si>
    <t>06-05-2023 07:45</t>
  </si>
  <si>
    <t>06-05-2023 08:00</t>
  </si>
  <si>
    <t>06-05-2023 08:15</t>
  </si>
  <si>
    <t>06-05-2023 08:30</t>
  </si>
  <si>
    <t>06-05-2023 08:45</t>
  </si>
  <si>
    <t>06-05-2023 09:00</t>
  </si>
  <si>
    <t>06-05-2023 09:15</t>
  </si>
  <si>
    <t>06-05-2023 09:30</t>
  </si>
  <si>
    <t>06-05-2023 09:45</t>
  </si>
  <si>
    <t>06-05-2023 10:00</t>
  </si>
  <si>
    <t>06-05-2023 10:15</t>
  </si>
  <si>
    <t>06-05-2023 10:30</t>
  </si>
  <si>
    <t>06-05-2023 10:45</t>
  </si>
  <si>
    <t>06-05-2023 11:00</t>
  </si>
  <si>
    <t>06-05-2023 11:15</t>
  </si>
  <si>
    <t>06-05-2023 11:30</t>
  </si>
  <si>
    <t>06-05-2023 11:45</t>
  </si>
  <si>
    <t>06-05-2023 12:00</t>
  </si>
  <si>
    <t>06-05-2023 12:15</t>
  </si>
  <si>
    <t>06-05-2023 12:30</t>
  </si>
  <si>
    <t>06-05-2023 12:45</t>
  </si>
  <si>
    <t>06-05-2023 13:00</t>
  </si>
  <si>
    <t>06-05-2023 13:15</t>
  </si>
  <si>
    <t>06-05-2023 13:30</t>
  </si>
  <si>
    <t>06-05-2023 13:45</t>
  </si>
  <si>
    <t>06-05-2023 14:00</t>
  </si>
  <si>
    <t>06-05-2023 14:15</t>
  </si>
  <si>
    <t>06-05-2023 14:30</t>
  </si>
  <si>
    <t>06-05-2023 14:45</t>
  </si>
  <si>
    <t>06-05-2023 15:00</t>
  </si>
  <si>
    <t>06-05-2023 15:15</t>
  </si>
  <si>
    <t>06-05-2023 15:30</t>
  </si>
  <si>
    <t>06-05-2023 15:45</t>
  </si>
  <si>
    <t>06-05-2023 16:00</t>
  </si>
  <si>
    <t>06-05-2023 16:15</t>
  </si>
  <si>
    <t>06-05-2023 16:30</t>
  </si>
  <si>
    <t>06-05-2023 16:45</t>
  </si>
  <si>
    <t>06-05-2023 17:00</t>
  </si>
  <si>
    <t>06-05-2023 17:15</t>
  </si>
  <si>
    <t>06-05-2023 17:30</t>
  </si>
  <si>
    <t>06-05-2023 17:45</t>
  </si>
  <si>
    <t>06-05-2023 18:00</t>
  </si>
  <si>
    <t>06-05-2023 18:15</t>
  </si>
  <si>
    <t>06-05-2023 18:30</t>
  </si>
  <si>
    <t>06-05-2023 18:45</t>
  </si>
  <si>
    <t>06-05-2023 19:00</t>
  </si>
  <si>
    <t>06-05-2023 19:15</t>
  </si>
  <si>
    <t>06-05-2023 19:30</t>
  </si>
  <si>
    <t>06-05-2023 19:45</t>
  </si>
  <si>
    <t>06-05-2023 20:00</t>
  </si>
  <si>
    <t>06-05-2023 20:15</t>
  </si>
  <si>
    <t>06-05-2023 20:30</t>
  </si>
  <si>
    <t>06-05-2023 20:45</t>
  </si>
  <si>
    <t>06-05-2023 21:00</t>
  </si>
  <si>
    <t>06-05-2023 21:15</t>
  </si>
  <si>
    <t>06-05-2023 21:30</t>
  </si>
  <si>
    <t>06-05-2023 21:45</t>
  </si>
  <si>
    <t>06-05-2023 22:00</t>
  </si>
  <si>
    <t>06-05-2023 22:15</t>
  </si>
  <si>
    <t>06-05-2023 22:30</t>
  </si>
  <si>
    <t>06-05-2023 22:45</t>
  </si>
  <si>
    <t>06-05-2023 23:00</t>
  </si>
  <si>
    <t>06-05-2023 23:15</t>
  </si>
  <si>
    <t>06-05-2023 23:30</t>
  </si>
  <si>
    <t>06-05-2023 23:45</t>
  </si>
  <si>
    <t>06-05-2023 24:00</t>
  </si>
  <si>
    <t>07-05-2023 00:15</t>
  </si>
  <si>
    <t>07-05-2023 00:30</t>
  </si>
  <si>
    <t>07-05-2023 00:45</t>
  </si>
  <si>
    <t>07-05-2023 01:00</t>
  </si>
  <si>
    <t>07-05-2023 01:15</t>
  </si>
  <si>
    <t>07-05-2023 01:30</t>
  </si>
  <si>
    <t>07-05-2023 01:45</t>
  </si>
  <si>
    <t>07-05-2023 02:00</t>
  </si>
  <si>
    <t>07-05-2023 02:15</t>
  </si>
  <si>
    <t>07-05-2023 02:30</t>
  </si>
  <si>
    <t>07-05-2023 02:45</t>
  </si>
  <si>
    <t>07-05-2023 03:00</t>
  </si>
  <si>
    <t>07-05-2023 03:15</t>
  </si>
  <si>
    <t>07-05-2023 03:30</t>
  </si>
  <si>
    <t>07-05-2023 03:45</t>
  </si>
  <si>
    <t>07-05-2023 04:00</t>
  </si>
  <si>
    <t>07-05-2023 04:15</t>
  </si>
  <si>
    <t>07-05-2023 04:30</t>
  </si>
  <si>
    <t>07-05-2023 04:45</t>
  </si>
  <si>
    <t>07-05-2023 05:00</t>
  </si>
  <si>
    <t>07-05-2023 05:15</t>
  </si>
  <si>
    <t>07-05-2023 05:30</t>
  </si>
  <si>
    <t>07-05-2023 05:45</t>
  </si>
  <si>
    <t>07-05-2023 06:00</t>
  </si>
  <si>
    <t>07-05-2023 06:15</t>
  </si>
  <si>
    <t>07-05-2023 06:30</t>
  </si>
  <si>
    <t>07-05-2023 06:45</t>
  </si>
  <si>
    <t>07-05-2023 07:00</t>
  </si>
  <si>
    <t>07-05-2023 07:15</t>
  </si>
  <si>
    <t>07-05-2023 07:30</t>
  </si>
  <si>
    <t>07-05-2023 07:45</t>
  </si>
  <si>
    <t>07-05-2023 08:00</t>
  </si>
  <si>
    <t>07-05-2023 08:15</t>
  </si>
  <si>
    <t>07-05-2023 08:30</t>
  </si>
  <si>
    <t>07-05-2023 08:45</t>
  </si>
  <si>
    <t>07-05-2023 09:00</t>
  </si>
  <si>
    <t>07-05-2023 09:15</t>
  </si>
  <si>
    <t>07-05-2023 09:30</t>
  </si>
  <si>
    <t>07-05-2023 09:45</t>
  </si>
  <si>
    <t>07-05-2023 10:00</t>
  </si>
  <si>
    <t>07-05-2023 10:15</t>
  </si>
  <si>
    <t>07-05-2023 10:30</t>
  </si>
  <si>
    <t>07-05-2023 10:45</t>
  </si>
  <si>
    <t>07-05-2023 11:00</t>
  </si>
  <si>
    <t>07-05-2023 11:15</t>
  </si>
  <si>
    <t>07-05-2023 11:30</t>
  </si>
  <si>
    <t>07-05-2023 11:45</t>
  </si>
  <si>
    <t>07-05-2023 12:00</t>
  </si>
  <si>
    <t>07-05-2023 12:15</t>
  </si>
  <si>
    <t>07-05-2023 12:30</t>
  </si>
  <si>
    <t>07-05-2023 12:45</t>
  </si>
  <si>
    <t>07-05-2023 13:00</t>
  </si>
  <si>
    <t>07-05-2023 13:15</t>
  </si>
  <si>
    <t>07-05-2023 13:30</t>
  </si>
  <si>
    <t>07-05-2023 13:45</t>
  </si>
  <si>
    <t>07-05-2023 14:00</t>
  </si>
  <si>
    <t>07-05-2023 14:15</t>
  </si>
  <si>
    <t>07-05-2023 14:30</t>
  </si>
  <si>
    <t>07-05-2023 14:45</t>
  </si>
  <si>
    <t>07-05-2023 15:00</t>
  </si>
  <si>
    <t>07-05-2023 15:15</t>
  </si>
  <si>
    <t>07-05-2023 15:30</t>
  </si>
  <si>
    <t>07-05-2023 15:45</t>
  </si>
  <si>
    <t>07-05-2023 16:00</t>
  </si>
  <si>
    <t>07-05-2023 16:15</t>
  </si>
  <si>
    <t>07-05-2023 16:30</t>
  </si>
  <si>
    <t>07-05-2023 16:45</t>
  </si>
  <si>
    <t>07-05-2023 17:00</t>
  </si>
  <si>
    <t>07-05-2023 17:15</t>
  </si>
  <si>
    <t>07-05-2023 17:30</t>
  </si>
  <si>
    <t>07-05-2023 17:45</t>
  </si>
  <si>
    <t>07-05-2023 18:00</t>
  </si>
  <si>
    <t>07-05-2023 18:15</t>
  </si>
  <si>
    <t>07-05-2023 18:30</t>
  </si>
  <si>
    <t>07-05-2023 18:45</t>
  </si>
  <si>
    <t>07-05-2023 19:00</t>
  </si>
  <si>
    <t>07-05-2023 19:15</t>
  </si>
  <si>
    <t>07-05-2023 19:30</t>
  </si>
  <si>
    <t>07-05-2023 19:45</t>
  </si>
  <si>
    <t>07-05-2023 20:00</t>
  </si>
  <si>
    <t>07-05-2023 20:15</t>
  </si>
  <si>
    <t>07-05-2023 20:30</t>
  </si>
  <si>
    <t>07-05-2023 20:45</t>
  </si>
  <si>
    <t>07-05-2023 21:00</t>
  </si>
  <si>
    <t>07-05-2023 21:15</t>
  </si>
  <si>
    <t>07-05-2023 21:30</t>
  </si>
  <si>
    <t>07-05-2023 21:45</t>
  </si>
  <si>
    <t>07-05-2023 22:00</t>
  </si>
  <si>
    <t>07-05-2023 22:15</t>
  </si>
  <si>
    <t>07-05-2023 22:30</t>
  </si>
  <si>
    <t>07-05-2023 22:45</t>
  </si>
  <si>
    <t>07-05-2023 23:00</t>
  </si>
  <si>
    <t>07-05-2023 23:15</t>
  </si>
  <si>
    <t>07-05-2023 23:30</t>
  </si>
  <si>
    <t>07-05-2023 23:45</t>
  </si>
  <si>
    <t>07-05-2023 24:00</t>
  </si>
  <si>
    <t>08-05-2023 00:15</t>
  </si>
  <si>
    <t>08-05-2023 00:30</t>
  </si>
  <si>
    <t>08-05-2023 00:45</t>
  </si>
  <si>
    <t>08-05-2023 01:00</t>
  </si>
  <si>
    <t>08-05-2023 01:15</t>
  </si>
  <si>
    <t>08-05-2023 01:30</t>
  </si>
  <si>
    <t>08-05-2023 01:45</t>
  </si>
  <si>
    <t>08-05-2023 02:00</t>
  </si>
  <si>
    <t>08-05-2023 02:15</t>
  </si>
  <si>
    <t>08-05-2023 02:30</t>
  </si>
  <si>
    <t>08-05-2023 02:45</t>
  </si>
  <si>
    <t>08-05-2023 03:00</t>
  </si>
  <si>
    <t>08-05-2023 03:15</t>
  </si>
  <si>
    <t>08-05-2023 03:30</t>
  </si>
  <si>
    <t>08-05-2023 03:45</t>
  </si>
  <si>
    <t>08-05-2023 04:00</t>
  </si>
  <si>
    <t>08-05-2023 04:15</t>
  </si>
  <si>
    <t>08-05-2023 04:30</t>
  </si>
  <si>
    <t>08-05-2023 04:45</t>
  </si>
  <si>
    <t>08-05-2023 05:00</t>
  </si>
  <si>
    <t>08-05-2023 05:15</t>
  </si>
  <si>
    <t>08-05-2023 05:30</t>
  </si>
  <si>
    <t>08-05-2023 05:45</t>
  </si>
  <si>
    <t>08-05-2023 06:00</t>
  </si>
  <si>
    <t>08-05-2023 06:15</t>
  </si>
  <si>
    <t>08-05-2023 06:30</t>
  </si>
  <si>
    <t>08-05-2023 06:45</t>
  </si>
  <si>
    <t>08-05-2023 07:00</t>
  </si>
  <si>
    <t>08-05-2023 07:15</t>
  </si>
  <si>
    <t>08-05-2023 07:30</t>
  </si>
  <si>
    <t>08-05-2023 07:45</t>
  </si>
  <si>
    <t>08-05-2023 08:00</t>
  </si>
  <si>
    <t>08-05-2023 08:15</t>
  </si>
  <si>
    <t>08-05-2023 08:30</t>
  </si>
  <si>
    <t>08-05-2023 08:45</t>
  </si>
  <si>
    <t>08-05-2023 09:00</t>
  </si>
  <si>
    <t>08-05-2023 09:15</t>
  </si>
  <si>
    <t>08-05-2023 09:30</t>
  </si>
  <si>
    <t>08-05-2023 09:45</t>
  </si>
  <si>
    <t>08-05-2023 10:00</t>
  </si>
  <si>
    <t>08-05-2023 10:15</t>
  </si>
  <si>
    <t>08-05-2023 10:30</t>
  </si>
  <si>
    <t>08-05-2023 10:45</t>
  </si>
  <si>
    <t>08-05-2023 11:00</t>
  </si>
  <si>
    <t>08-05-2023 11:15</t>
  </si>
  <si>
    <t>08-05-2023 11:30</t>
  </si>
  <si>
    <t>08-05-2023 11:45</t>
  </si>
  <si>
    <t>08-05-2023 12:00</t>
  </si>
  <si>
    <t>08-05-2023 12:15</t>
  </si>
  <si>
    <t>08-05-2023 12:30</t>
  </si>
  <si>
    <t>08-05-2023 12:45</t>
  </si>
  <si>
    <t>08-05-2023 13:00</t>
  </si>
  <si>
    <t>08-05-2023 13:15</t>
  </si>
  <si>
    <t>08-05-2023 13:30</t>
  </si>
  <si>
    <t>08-05-2023 13:45</t>
  </si>
  <si>
    <t>08-05-2023 14:00</t>
  </si>
  <si>
    <t>08-05-2023 14:15</t>
  </si>
  <si>
    <t>08-05-2023 14:30</t>
  </si>
  <si>
    <t>08-05-2023 14:45</t>
  </si>
  <si>
    <t>08-05-2023 15:00</t>
  </si>
  <si>
    <t>08-05-2023 15:15</t>
  </si>
  <si>
    <t>08-05-2023 15:30</t>
  </si>
  <si>
    <t>08-05-2023 15:45</t>
  </si>
  <si>
    <t>08-05-2023 16:00</t>
  </si>
  <si>
    <t>08-05-2023 16:15</t>
  </si>
  <si>
    <t>08-05-2023 16:30</t>
  </si>
  <si>
    <t>08-05-2023 16:45</t>
  </si>
  <si>
    <t>08-05-2023 17:00</t>
  </si>
  <si>
    <t>08-05-2023 17:15</t>
  </si>
  <si>
    <t>08-05-2023 17:30</t>
  </si>
  <si>
    <t>08-05-2023 17:45</t>
  </si>
  <si>
    <t>08-05-2023 18:00</t>
  </si>
  <si>
    <t>08-05-2023 18:15</t>
  </si>
  <si>
    <t>08-05-2023 18:30</t>
  </si>
  <si>
    <t>08-05-2023 18:45</t>
  </si>
  <si>
    <t>08-05-2023 19:00</t>
  </si>
  <si>
    <t>08-05-2023 19:15</t>
  </si>
  <si>
    <t>08-05-2023 19:30</t>
  </si>
  <si>
    <t>08-05-2023 19:45</t>
  </si>
  <si>
    <t>08-05-2023 20:00</t>
  </si>
  <si>
    <t>08-05-2023 20:15</t>
  </si>
  <si>
    <t>08-05-2023 20:30</t>
  </si>
  <si>
    <t>08-05-2023 20:45</t>
  </si>
  <si>
    <t>08-05-2023 21:00</t>
  </si>
  <si>
    <t>08-05-2023 21:15</t>
  </si>
  <si>
    <t>08-05-2023 21:30</t>
  </si>
  <si>
    <t>08-05-2023 21:45</t>
  </si>
  <si>
    <t>08-05-2023 22:00</t>
  </si>
  <si>
    <t>08-05-2023 22:15</t>
  </si>
  <si>
    <t>08-05-2023 22:30</t>
  </si>
  <si>
    <t>08-05-2023 22:45</t>
  </si>
  <si>
    <t>08-05-2023 23:00</t>
  </si>
  <si>
    <t>08-05-2023 23:15</t>
  </si>
  <si>
    <t>08-05-2023 23:30</t>
  </si>
  <si>
    <t>08-05-2023 23:45</t>
  </si>
  <si>
    <t>08-05-2023 24:00</t>
  </si>
  <si>
    <t>09-05-2023 00:15</t>
  </si>
  <si>
    <t>09-05-2023 00:30</t>
  </si>
  <si>
    <t>09-05-2023 00:45</t>
  </si>
  <si>
    <t>09-05-2023 01:00</t>
  </si>
  <si>
    <t>09-05-2023 01:15</t>
  </si>
  <si>
    <t>09-05-2023 01:30</t>
  </si>
  <si>
    <t>09-05-2023 01:45</t>
  </si>
  <si>
    <t>09-05-2023 02:00</t>
  </si>
  <si>
    <t>09-05-2023 02:15</t>
  </si>
  <si>
    <t>09-05-2023 02:30</t>
  </si>
  <si>
    <t>09-05-2023 02:45</t>
  </si>
  <si>
    <t>09-05-2023 03:00</t>
  </si>
  <si>
    <t>09-05-2023 03:15</t>
  </si>
  <si>
    <t>09-05-2023 03:30</t>
  </si>
  <si>
    <t>09-05-2023 03:45</t>
  </si>
  <si>
    <t>09-05-2023 04:00</t>
  </si>
  <si>
    <t>09-05-2023 04:15</t>
  </si>
  <si>
    <t>09-05-2023 04:30</t>
  </si>
  <si>
    <t>09-05-2023 04:45</t>
  </si>
  <si>
    <t>09-05-2023 05:00</t>
  </si>
  <si>
    <t>09-05-2023 05:15</t>
  </si>
  <si>
    <t>09-05-2023 05:30</t>
  </si>
  <si>
    <t>09-05-2023 05:45</t>
  </si>
  <si>
    <t>09-05-2023 06:00</t>
  </si>
  <si>
    <t>09-05-2023 06:15</t>
  </si>
  <si>
    <t>09-05-2023 06:30</t>
  </si>
  <si>
    <t>09-05-2023 06:45</t>
  </si>
  <si>
    <t>09-05-2023 07:00</t>
  </si>
  <si>
    <t>09-05-2023 07:15</t>
  </si>
  <si>
    <t>09-05-2023 07:30</t>
  </si>
  <si>
    <t>09-05-2023 07:45</t>
  </si>
  <si>
    <t>09-05-2023 08:00</t>
  </si>
  <si>
    <t>09-05-2023 08:15</t>
  </si>
  <si>
    <t>09-05-2023 08:30</t>
  </si>
  <si>
    <t>09-05-2023 08:45</t>
  </si>
  <si>
    <t>09-05-2023 09:00</t>
  </si>
  <si>
    <t>09-05-2023 09:15</t>
  </si>
  <si>
    <t>09-05-2023 09:30</t>
  </si>
  <si>
    <t>09-05-2023 09:45</t>
  </si>
  <si>
    <t>09-05-2023 10:00</t>
  </si>
  <si>
    <t>09-05-2023 10:15</t>
  </si>
  <si>
    <t>09-05-2023 10:30</t>
  </si>
  <si>
    <t>09-05-2023 10:45</t>
  </si>
  <si>
    <t>09-05-2023 11:00</t>
  </si>
  <si>
    <t>09-05-2023 11:15</t>
  </si>
  <si>
    <t>09-05-2023 11:30</t>
  </si>
  <si>
    <t>09-05-2023 11:45</t>
  </si>
  <si>
    <t>09-05-2023 12:00</t>
  </si>
  <si>
    <t>09-05-2023 12:15</t>
  </si>
  <si>
    <t>09-05-2023 12:30</t>
  </si>
  <si>
    <t>09-05-2023 12:45</t>
  </si>
  <si>
    <t>09-05-2023 13:00</t>
  </si>
  <si>
    <t>09-05-2023 13:15</t>
  </si>
  <si>
    <t>09-05-2023 13:30</t>
  </si>
  <si>
    <t>09-05-2023 13:45</t>
  </si>
  <si>
    <t>09-05-2023 14:00</t>
  </si>
  <si>
    <t>09-05-2023 14:15</t>
  </si>
  <si>
    <t>09-05-2023 14:30</t>
  </si>
  <si>
    <t>09-05-2023 14:45</t>
  </si>
  <si>
    <t>09-05-2023 15:00</t>
  </si>
  <si>
    <t>09-05-2023 15:15</t>
  </si>
  <si>
    <t>09-05-2023 15:30</t>
  </si>
  <si>
    <t>09-05-2023 15:45</t>
  </si>
  <si>
    <t>09-05-2023 16:00</t>
  </si>
  <si>
    <t>09-05-2023 16:15</t>
  </si>
  <si>
    <t>09-05-2023 16:30</t>
  </si>
  <si>
    <t>09-05-2023 16:45</t>
  </si>
  <si>
    <t>09-05-2023 17:00</t>
  </si>
  <si>
    <t>09-05-2023 17:15</t>
  </si>
  <si>
    <t>09-05-2023 17:30</t>
  </si>
  <si>
    <t>09-05-2023 17:45</t>
  </si>
  <si>
    <t>09-05-2023 18:00</t>
  </si>
  <si>
    <t>09-05-2023 18:15</t>
  </si>
  <si>
    <t>09-05-2023 18:30</t>
  </si>
  <si>
    <t>09-05-2023 18:45</t>
  </si>
  <si>
    <t>09-05-2023 19:00</t>
  </si>
  <si>
    <t>09-05-2023 19:15</t>
  </si>
  <si>
    <t>09-05-2023 19:30</t>
  </si>
  <si>
    <t>09-05-2023 19:45</t>
  </si>
  <si>
    <t>09-05-2023 20:00</t>
  </si>
  <si>
    <t>09-05-2023 20:15</t>
  </si>
  <si>
    <t>09-05-2023 20:30</t>
  </si>
  <si>
    <t>09-05-2023 20:45</t>
  </si>
  <si>
    <t>09-05-2023 21:00</t>
  </si>
  <si>
    <t>09-05-2023 21:15</t>
  </si>
  <si>
    <t>09-05-2023 21:30</t>
  </si>
  <si>
    <t>09-05-2023 21:45</t>
  </si>
  <si>
    <t>09-05-2023 22:00</t>
  </si>
  <si>
    <t>09-05-2023 22:15</t>
  </si>
  <si>
    <t>09-05-2023 22:30</t>
  </si>
  <si>
    <t>09-05-2023 22:45</t>
  </si>
  <si>
    <t>09-05-2023 23:00</t>
  </si>
  <si>
    <t>09-05-2023 23:15</t>
  </si>
  <si>
    <t>09-05-2023 23:30</t>
  </si>
  <si>
    <t>09-05-2023 23:45</t>
  </si>
  <si>
    <t>09-05-2023 24:00</t>
  </si>
  <si>
    <t>10-05-2023 00:15</t>
  </si>
  <si>
    <t>10-05-2023 00:30</t>
  </si>
  <si>
    <t>10-05-2023 00:45</t>
  </si>
  <si>
    <t>10-05-2023 01:00</t>
  </si>
  <si>
    <t>10-05-2023 01:15</t>
  </si>
  <si>
    <t>10-05-2023 01:30</t>
  </si>
  <si>
    <t>10-05-2023 01:45</t>
  </si>
  <si>
    <t>10-05-2023 02:00</t>
  </si>
  <si>
    <t>10-05-2023 02:15</t>
  </si>
  <si>
    <t>10-05-2023 02:30</t>
  </si>
  <si>
    <t>10-05-2023 02:45</t>
  </si>
  <si>
    <t>10-05-2023 03:00</t>
  </si>
  <si>
    <t>10-05-2023 03:15</t>
  </si>
  <si>
    <t>10-05-2023 03:30</t>
  </si>
  <si>
    <t>10-05-2023 03:45</t>
  </si>
  <si>
    <t>10-05-2023 04:00</t>
  </si>
  <si>
    <t>10-05-2023 04:15</t>
  </si>
  <si>
    <t>10-05-2023 04:30</t>
  </si>
  <si>
    <t>10-05-2023 04:45</t>
  </si>
  <si>
    <t>10-05-2023 05:00</t>
  </si>
  <si>
    <t>10-05-2023 05:15</t>
  </si>
  <si>
    <t>10-05-2023 05:30</t>
  </si>
  <si>
    <t>10-05-2023 05:45</t>
  </si>
  <si>
    <t>10-05-2023 06:00</t>
  </si>
  <si>
    <t>10-05-2023 06:15</t>
  </si>
  <si>
    <t>10-05-2023 06:30</t>
  </si>
  <si>
    <t>10-05-2023 06:45</t>
  </si>
  <si>
    <t>10-05-2023 07:00</t>
  </si>
  <si>
    <t>10-05-2023 07:15</t>
  </si>
  <si>
    <t>10-05-2023 07:30</t>
  </si>
  <si>
    <t>10-05-2023 07:45</t>
  </si>
  <si>
    <t>10-05-2023 08:00</t>
  </si>
  <si>
    <t>10-05-2023 08:15</t>
  </si>
  <si>
    <t>10-05-2023 08:30</t>
  </si>
  <si>
    <t>10-05-2023 08:45</t>
  </si>
  <si>
    <t>10-05-2023 09:00</t>
  </si>
  <si>
    <t>10-05-2023 09:15</t>
  </si>
  <si>
    <t>10-05-2023 09:30</t>
  </si>
  <si>
    <t>10-05-2023 09:45</t>
  </si>
  <si>
    <t>10-05-2023 10:00</t>
  </si>
  <si>
    <t>10-05-2023 10:15</t>
  </si>
  <si>
    <t>10-05-2023 10:30</t>
  </si>
  <si>
    <t>10-05-2023 10:45</t>
  </si>
  <si>
    <t>10-05-2023 11:00</t>
  </si>
  <si>
    <t>10-05-2023 11:15</t>
  </si>
  <si>
    <t>10-05-2023 11:30</t>
  </si>
  <si>
    <t>10-05-2023 11:45</t>
  </si>
  <si>
    <t>10-05-2023 12:00</t>
  </si>
  <si>
    <t>10-05-2023 12:15</t>
  </si>
  <si>
    <t>10-05-2023 12:30</t>
  </si>
  <si>
    <t>10-05-2023 12:45</t>
  </si>
  <si>
    <t>10-05-2023 13:00</t>
  </si>
  <si>
    <t>10-05-2023 13:15</t>
  </si>
  <si>
    <t>10-05-2023 13:30</t>
  </si>
  <si>
    <t>10-05-2023 13:45</t>
  </si>
  <si>
    <t>10-05-2023 14:00</t>
  </si>
  <si>
    <t>10-05-2023 14:15</t>
  </si>
  <si>
    <t>10-05-2023 14:30</t>
  </si>
  <si>
    <t>10-05-2023 14:45</t>
  </si>
  <si>
    <t>10-05-2023 15:00</t>
  </si>
  <si>
    <t>10-05-2023 15:15</t>
  </si>
  <si>
    <t>10-05-2023 15:30</t>
  </si>
  <si>
    <t>10-05-2023 15:45</t>
  </si>
  <si>
    <t>10-05-2023 16:00</t>
  </si>
  <si>
    <t>10-05-2023 16:15</t>
  </si>
  <si>
    <t>10-05-2023 16:30</t>
  </si>
  <si>
    <t>10-05-2023 16:45</t>
  </si>
  <si>
    <t>10-05-2023 17:00</t>
  </si>
  <si>
    <t>10-05-2023 17:15</t>
  </si>
  <si>
    <t>10-05-2023 17:30</t>
  </si>
  <si>
    <t>10-05-2023 17:45</t>
  </si>
  <si>
    <t>10-05-2023 18:00</t>
  </si>
  <si>
    <t>10-05-2023 18:15</t>
  </si>
  <si>
    <t>10-05-2023 18:30</t>
  </si>
  <si>
    <t>10-05-2023 18:45</t>
  </si>
  <si>
    <t>10-05-2023 19:00</t>
  </si>
  <si>
    <t>10-05-2023 19:15</t>
  </si>
  <si>
    <t>10-05-2023 19:30</t>
  </si>
  <si>
    <t>10-05-2023 19:45</t>
  </si>
  <si>
    <t>10-05-2023 20:00</t>
  </si>
  <si>
    <t>10-05-2023 20:15</t>
  </si>
  <si>
    <t>10-05-2023 20:30</t>
  </si>
  <si>
    <t>10-05-2023 20:45</t>
  </si>
  <si>
    <t>10-05-2023 21:00</t>
  </si>
  <si>
    <t>10-05-2023 21:15</t>
  </si>
  <si>
    <t>10-05-2023 21:30</t>
  </si>
  <si>
    <t>10-05-2023 21:45</t>
  </si>
  <si>
    <t>10-05-2023 22:00</t>
  </si>
  <si>
    <t>10-05-2023 22:15</t>
  </si>
  <si>
    <t>10-05-2023 22:30</t>
  </si>
  <si>
    <t>10-05-2023 22:45</t>
  </si>
  <si>
    <t>10-05-2023 23:00</t>
  </si>
  <si>
    <t>10-05-2023 23:15</t>
  </si>
  <si>
    <t>10-05-2023 23:30</t>
  </si>
  <si>
    <t>10-05-2023 23:45</t>
  </si>
  <si>
    <t>10-05-2023 24:00</t>
  </si>
  <si>
    <t>11-05-2023 00:15</t>
  </si>
  <si>
    <t>11-05-2023 00:30</t>
  </si>
  <si>
    <t>11-05-2023 00:45</t>
  </si>
  <si>
    <t>11-05-2023 01:00</t>
  </si>
  <si>
    <t>11-05-2023 01:15</t>
  </si>
  <si>
    <t>11-05-2023 01:30</t>
  </si>
  <si>
    <t>11-05-2023 01:45</t>
  </si>
  <si>
    <t>11-05-2023 02:00</t>
  </si>
  <si>
    <t>11-05-2023 02:15</t>
  </si>
  <si>
    <t>11-05-2023 02:30</t>
  </si>
  <si>
    <t>11-05-2023 02:45</t>
  </si>
  <si>
    <t>11-05-2023 03:00</t>
  </si>
  <si>
    <t>11-05-2023 03:15</t>
  </si>
  <si>
    <t>11-05-2023 03:30</t>
  </si>
  <si>
    <t>11-05-2023 03:45</t>
  </si>
  <si>
    <t>11-05-2023 04:00</t>
  </si>
  <si>
    <t>11-05-2023 04:15</t>
  </si>
  <si>
    <t>11-05-2023 04:30</t>
  </si>
  <si>
    <t>11-05-2023 04:45</t>
  </si>
  <si>
    <t>11-05-2023 05:00</t>
  </si>
  <si>
    <t>11-05-2023 05:15</t>
  </si>
  <si>
    <t>11-05-2023 05:30</t>
  </si>
  <si>
    <t>11-05-2023 05:45</t>
  </si>
  <si>
    <t>11-05-2023 06:00</t>
  </si>
  <si>
    <t>11-05-2023 06:15</t>
  </si>
  <si>
    <t>11-05-2023 06:30</t>
  </si>
  <si>
    <t>11-05-2023 06:45</t>
  </si>
  <si>
    <t>11-05-2023 07:00</t>
  </si>
  <si>
    <t>11-05-2023 07:15</t>
  </si>
  <si>
    <t>11-05-2023 07:30</t>
  </si>
  <si>
    <t>11-05-2023 07:45</t>
  </si>
  <si>
    <t>11-05-2023 08:00</t>
  </si>
  <si>
    <t>11-05-2023 08:15</t>
  </si>
  <si>
    <t>11-05-2023 08:30</t>
  </si>
  <si>
    <t>11-05-2023 08:45</t>
  </si>
  <si>
    <t>11-05-2023 09:00</t>
  </si>
  <si>
    <t>11-05-2023 09:15</t>
  </si>
  <si>
    <t>11-05-2023 09:30</t>
  </si>
  <si>
    <t>11-05-2023 09:45</t>
  </si>
  <si>
    <t>11-05-2023 10:00</t>
  </si>
  <si>
    <t>11-05-2023 10:15</t>
  </si>
  <si>
    <t>11-05-2023 10:30</t>
  </si>
  <si>
    <t>11-05-2023 10:45</t>
  </si>
  <si>
    <t>11-05-2023 11:00</t>
  </si>
  <si>
    <t>11-05-2023 11:15</t>
  </si>
  <si>
    <t>11-05-2023 11:30</t>
  </si>
  <si>
    <t>11-05-2023 11:45</t>
  </si>
  <si>
    <t>11-05-2023 12:00</t>
  </si>
  <si>
    <t>11-05-2023 12:15</t>
  </si>
  <si>
    <t>11-05-2023 12:30</t>
  </si>
  <si>
    <t>11-05-2023 12:45</t>
  </si>
  <si>
    <t>11-05-2023 13:00</t>
  </si>
  <si>
    <t>11-05-2023 13:15</t>
  </si>
  <si>
    <t>11-05-2023 13:30</t>
  </si>
  <si>
    <t>11-05-2023 13:45</t>
  </si>
  <si>
    <t>11-05-2023 14:00</t>
  </si>
  <si>
    <t>11-05-2023 14:15</t>
  </si>
  <si>
    <t>11-05-2023 14:30</t>
  </si>
  <si>
    <t>11-05-2023 14:45</t>
  </si>
  <si>
    <t>11-05-2023 15:00</t>
  </si>
  <si>
    <t>11-05-2023 15:15</t>
  </si>
  <si>
    <t>11-05-2023 15:30</t>
  </si>
  <si>
    <t>11-05-2023 15:45</t>
  </si>
  <si>
    <t>11-05-2023 16:00</t>
  </si>
  <si>
    <t>11-05-2023 16:15</t>
  </si>
  <si>
    <t>11-05-2023 16:30</t>
  </si>
  <si>
    <t>11-05-2023 16:45</t>
  </si>
  <si>
    <t>11-05-2023 17:00</t>
  </si>
  <si>
    <t>11-05-2023 17:15</t>
  </si>
  <si>
    <t>11-05-2023 17:30</t>
  </si>
  <si>
    <t>11-05-2023 17:45</t>
  </si>
  <si>
    <t>11-05-2023 18:00</t>
  </si>
  <si>
    <t>11-05-2023 18:15</t>
  </si>
  <si>
    <t>11-05-2023 18:30</t>
  </si>
  <si>
    <t>11-05-2023 18:45</t>
  </si>
  <si>
    <t>11-05-2023 19:00</t>
  </si>
  <si>
    <t>11-05-2023 19:15</t>
  </si>
  <si>
    <t>11-05-2023 19:30</t>
  </si>
  <si>
    <t>11-05-2023 19:45</t>
  </si>
  <si>
    <t>11-05-2023 20:00</t>
  </si>
  <si>
    <t>11-05-2023 20:15</t>
  </si>
  <si>
    <t>11-05-2023 20:30</t>
  </si>
  <si>
    <t>11-05-2023 20:45</t>
  </si>
  <si>
    <t>11-05-2023 21:00</t>
  </si>
  <si>
    <t>11-05-2023 21:15</t>
  </si>
  <si>
    <t>11-05-2023 21:30</t>
  </si>
  <si>
    <t>11-05-2023 21:45</t>
  </si>
  <si>
    <t>11-05-2023 22:00</t>
  </si>
  <si>
    <t>11-05-2023 22:15</t>
  </si>
  <si>
    <t>11-05-2023 22:30</t>
  </si>
  <si>
    <t>11-05-2023 22:45</t>
  </si>
  <si>
    <t>11-05-2023 23:00</t>
  </si>
  <si>
    <t>11-05-2023 23:15</t>
  </si>
  <si>
    <t>11-05-2023 23:30</t>
  </si>
  <si>
    <t>11-05-2023 23:45</t>
  </si>
  <si>
    <t>11-05-2023 24:00</t>
  </si>
  <si>
    <t>12-05-2023 00:15</t>
  </si>
  <si>
    <t>12-05-2023 00:30</t>
  </si>
  <si>
    <t>12-05-2023 00:45</t>
  </si>
  <si>
    <t>12-05-2023 01:00</t>
  </si>
  <si>
    <t>12-05-2023 01:15</t>
  </si>
  <si>
    <t>12-05-2023 01:30</t>
  </si>
  <si>
    <t>12-05-2023 01:45</t>
  </si>
  <si>
    <t>12-05-2023 02:00</t>
  </si>
  <si>
    <t>12-05-2023 02:15</t>
  </si>
  <si>
    <t>12-05-2023 02:30</t>
  </si>
  <si>
    <t>12-05-2023 02:45</t>
  </si>
  <si>
    <t>12-05-2023 03:00</t>
  </si>
  <si>
    <t>12-05-2023 03:15</t>
  </si>
  <si>
    <t>12-05-2023 03:30</t>
  </si>
  <si>
    <t>12-05-2023 03:45</t>
  </si>
  <si>
    <t>12-05-2023 04:00</t>
  </si>
  <si>
    <t>12-05-2023 04:15</t>
  </si>
  <si>
    <t>12-05-2023 04:30</t>
  </si>
  <si>
    <t>12-05-2023 04:45</t>
  </si>
  <si>
    <t>12-05-2023 05:00</t>
  </si>
  <si>
    <t>12-05-2023 05:15</t>
  </si>
  <si>
    <t>12-05-2023 05:30</t>
  </si>
  <si>
    <t>12-05-2023 05:45</t>
  </si>
  <si>
    <t>12-05-2023 06:00</t>
  </si>
  <si>
    <t>12-05-2023 06:15</t>
  </si>
  <si>
    <t>12-05-2023 06:30</t>
  </si>
  <si>
    <t>12-05-2023 06:45</t>
  </si>
  <si>
    <t>12-05-2023 07:00</t>
  </si>
  <si>
    <t>12-05-2023 07:15</t>
  </si>
  <si>
    <t>12-05-2023 07:30</t>
  </si>
  <si>
    <t>12-05-2023 07:45</t>
  </si>
  <si>
    <t>12-05-2023 08:00</t>
  </si>
  <si>
    <t>12-05-2023 08:15</t>
  </si>
  <si>
    <t>12-05-2023 08:30</t>
  </si>
  <si>
    <t>12-05-2023 08:45</t>
  </si>
  <si>
    <t>12-05-2023 09:00</t>
  </si>
  <si>
    <t>12-05-2023 09:15</t>
  </si>
  <si>
    <t>12-05-2023 09:30</t>
  </si>
  <si>
    <t>12-05-2023 09:45</t>
  </si>
  <si>
    <t>12-05-2023 10:00</t>
  </si>
  <si>
    <t>12-05-2023 10:15</t>
  </si>
  <si>
    <t>12-05-2023 10:30</t>
  </si>
  <si>
    <t>12-05-2023 10:45</t>
  </si>
  <si>
    <t>12-05-2023 11:00</t>
  </si>
  <si>
    <t>12-05-2023 11:15</t>
  </si>
  <si>
    <t>12-05-2023 11:30</t>
  </si>
  <si>
    <t>12-05-2023 11:45</t>
  </si>
  <si>
    <t>12-05-2023 12:00</t>
  </si>
  <si>
    <t>12-05-2023 12:15</t>
  </si>
  <si>
    <t>12-05-2023 12:30</t>
  </si>
  <si>
    <t>12-05-2023 12:45</t>
  </si>
  <si>
    <t>12-05-2023 13:00</t>
  </si>
  <si>
    <t>12-05-2023 13:15</t>
  </si>
  <si>
    <t>12-05-2023 13:30</t>
  </si>
  <si>
    <t>12-05-2023 13:45</t>
  </si>
  <si>
    <t>12-05-2023 14:00</t>
  </si>
  <si>
    <t>12-05-2023 14:15</t>
  </si>
  <si>
    <t>12-05-2023 14:30</t>
  </si>
  <si>
    <t>12-05-2023 14:45</t>
  </si>
  <si>
    <t>12-05-2023 15:00</t>
  </si>
  <si>
    <t>12-05-2023 15:15</t>
  </si>
  <si>
    <t>12-05-2023 15:30</t>
  </si>
  <si>
    <t>12-05-2023 15:45</t>
  </si>
  <si>
    <t>12-05-2023 16:00</t>
  </si>
  <si>
    <t>12-05-2023 16:15</t>
  </si>
  <si>
    <t>12-05-2023 16:30</t>
  </si>
  <si>
    <t>12-05-2023 16:45</t>
  </si>
  <si>
    <t>12-05-2023 17:00</t>
  </si>
  <si>
    <t>12-05-2023 17:15</t>
  </si>
  <si>
    <t>12-05-2023 17:30</t>
  </si>
  <si>
    <t>12-05-2023 17:45</t>
  </si>
  <si>
    <t>12-05-2023 18:00</t>
  </si>
  <si>
    <t>12-05-2023 18:15</t>
  </si>
  <si>
    <t>12-05-2023 18:30</t>
  </si>
  <si>
    <t>12-05-2023 18:45</t>
  </si>
  <si>
    <t>12-05-2023 19:00</t>
  </si>
  <si>
    <t>12-05-2023 19:15</t>
  </si>
  <si>
    <t>12-05-2023 19:30</t>
  </si>
  <si>
    <t>12-05-2023 19:45</t>
  </si>
  <si>
    <t>12-05-2023 20:00</t>
  </si>
  <si>
    <t>12-05-2023 20:15</t>
  </si>
  <si>
    <t>12-05-2023 20:30</t>
  </si>
  <si>
    <t>12-05-2023 20:45</t>
  </si>
  <si>
    <t>12-05-2023 21:00</t>
  </si>
  <si>
    <t>12-05-2023 21:15</t>
  </si>
  <si>
    <t>12-05-2023 21:30</t>
  </si>
  <si>
    <t>12-05-2023 21:45</t>
  </si>
  <si>
    <t>12-05-2023 22:00</t>
  </si>
  <si>
    <t>12-05-2023 22:15</t>
  </si>
  <si>
    <t>12-05-2023 22:30</t>
  </si>
  <si>
    <t>12-05-2023 22:45</t>
  </si>
  <si>
    <t>12-05-2023 23:00</t>
  </si>
  <si>
    <t>12-05-2023 23:15</t>
  </si>
  <si>
    <t>12-05-2023 23:30</t>
  </si>
  <si>
    <t>12-05-2023 23:45</t>
  </si>
  <si>
    <t>12-05-2023 24:00</t>
  </si>
  <si>
    <t>13-05-2023 00:15</t>
  </si>
  <si>
    <t>13-05-2023 00:30</t>
  </si>
  <si>
    <t>13-05-2023 00:45</t>
  </si>
  <si>
    <t>13-05-2023 01:00</t>
  </si>
  <si>
    <t>13-05-2023 01:15</t>
  </si>
  <si>
    <t>13-05-2023 01:30</t>
  </si>
  <si>
    <t>13-05-2023 01:45</t>
  </si>
  <si>
    <t>13-05-2023 02:00</t>
  </si>
  <si>
    <t>13-05-2023 02:15</t>
  </si>
  <si>
    <t>13-05-2023 02:30</t>
  </si>
  <si>
    <t>13-05-2023 02:45</t>
  </si>
  <si>
    <t>13-05-2023 03:00</t>
  </si>
  <si>
    <t>13-05-2023 03:15</t>
  </si>
  <si>
    <t>13-05-2023 03:30</t>
  </si>
  <si>
    <t>13-05-2023 03:45</t>
  </si>
  <si>
    <t>13-05-2023 04:00</t>
  </si>
  <si>
    <t>13-05-2023 04:15</t>
  </si>
  <si>
    <t>13-05-2023 04:30</t>
  </si>
  <si>
    <t>13-05-2023 04:45</t>
  </si>
  <si>
    <t>13-05-2023 05:00</t>
  </si>
  <si>
    <t>13-05-2023 05:15</t>
  </si>
  <si>
    <t>13-05-2023 05:30</t>
  </si>
  <si>
    <t>13-05-2023 05:45</t>
  </si>
  <si>
    <t>13-05-2023 06:00</t>
  </si>
  <si>
    <t>13-05-2023 06:15</t>
  </si>
  <si>
    <t>13-05-2023 06:30</t>
  </si>
  <si>
    <t>13-05-2023 06:45</t>
  </si>
  <si>
    <t>13-05-2023 07:00</t>
  </si>
  <si>
    <t>13-05-2023 07:15</t>
  </si>
  <si>
    <t>13-05-2023 07:30</t>
  </si>
  <si>
    <t>13-05-2023 07:45</t>
  </si>
  <si>
    <t>13-05-2023 08:00</t>
  </si>
  <si>
    <t>13-05-2023 08:15</t>
  </si>
  <si>
    <t>13-05-2023 08:30</t>
  </si>
  <si>
    <t>13-05-2023 08:45</t>
  </si>
  <si>
    <t>13-05-2023 09:00</t>
  </si>
  <si>
    <t>13-05-2023 09:15</t>
  </si>
  <si>
    <t>13-05-2023 09:30</t>
  </si>
  <si>
    <t>13-05-2023 09:45</t>
  </si>
  <si>
    <t>13-05-2023 10:00</t>
  </si>
  <si>
    <t>13-05-2023 10:15</t>
  </si>
  <si>
    <t>13-05-2023 10:30</t>
  </si>
  <si>
    <t>13-05-2023 10:45</t>
  </si>
  <si>
    <t>13-05-2023 11:00</t>
  </si>
  <si>
    <t>13-05-2023 11:15</t>
  </si>
  <si>
    <t>13-05-2023 11:30</t>
  </si>
  <si>
    <t>13-05-2023 11:45</t>
  </si>
  <si>
    <t>13-05-2023 12:00</t>
  </si>
  <si>
    <t>13-05-2023 12:15</t>
  </si>
  <si>
    <t>13-05-2023 12:30</t>
  </si>
  <si>
    <t>13-05-2023 12:45</t>
  </si>
  <si>
    <t>13-05-2023 13:00</t>
  </si>
  <si>
    <t>13-05-2023 13:15</t>
  </si>
  <si>
    <t>13-05-2023 13:30</t>
  </si>
  <si>
    <t>13-05-2023 13:45</t>
  </si>
  <si>
    <t>13-05-2023 14:00</t>
  </si>
  <si>
    <t>13-05-2023 14:15</t>
  </si>
  <si>
    <t>13-05-2023 14:30</t>
  </si>
  <si>
    <t>13-05-2023 14:45</t>
  </si>
  <si>
    <t>13-05-2023 15:00</t>
  </si>
  <si>
    <t>13-05-2023 15:15</t>
  </si>
  <si>
    <t>13-05-2023 15:30</t>
  </si>
  <si>
    <t>13-05-2023 15:45</t>
  </si>
  <si>
    <t>13-05-2023 16:00</t>
  </si>
  <si>
    <t>13-05-2023 16:15</t>
  </si>
  <si>
    <t>13-05-2023 16:30</t>
  </si>
  <si>
    <t>13-05-2023 16:45</t>
  </si>
  <si>
    <t>13-05-2023 17:00</t>
  </si>
  <si>
    <t>13-05-2023 17:15</t>
  </si>
  <si>
    <t>13-05-2023 17:30</t>
  </si>
  <si>
    <t>13-05-2023 17:45</t>
  </si>
  <si>
    <t>13-05-2023 18:00</t>
  </si>
  <si>
    <t>13-05-2023 18:15</t>
  </si>
  <si>
    <t>13-05-2023 18:30</t>
  </si>
  <si>
    <t>13-05-2023 18:45</t>
  </si>
  <si>
    <t>13-05-2023 19:00</t>
  </si>
  <si>
    <t>13-05-2023 19:15</t>
  </si>
  <si>
    <t>13-05-2023 19:30</t>
  </si>
  <si>
    <t>13-05-2023 19:45</t>
  </si>
  <si>
    <t>13-05-2023 20:00</t>
  </si>
  <si>
    <t>13-05-2023 20:15</t>
  </si>
  <si>
    <t>13-05-2023 20:30</t>
  </si>
  <si>
    <t>13-05-2023 20:45</t>
  </si>
  <si>
    <t>13-05-2023 21:00</t>
  </si>
  <si>
    <t>13-05-2023 21:15</t>
  </si>
  <si>
    <t>13-05-2023 21:30</t>
  </si>
  <si>
    <t>13-05-2023 21:45</t>
  </si>
  <si>
    <t>13-05-2023 22:00</t>
  </si>
  <si>
    <t>13-05-2023 22:15</t>
  </si>
  <si>
    <t>13-05-2023 22:30</t>
  </si>
  <si>
    <t>13-05-2023 22:45</t>
  </si>
  <si>
    <t>13-05-2023 23:00</t>
  </si>
  <si>
    <t>13-05-2023 23:15</t>
  </si>
  <si>
    <t>13-05-2023 23:30</t>
  </si>
  <si>
    <t>13-05-2023 23:45</t>
  </si>
  <si>
    <t>13-05-2023 24:00</t>
  </si>
  <si>
    <t>14-05-2023 00:15</t>
  </si>
  <si>
    <t>14-05-2023 00:30</t>
  </si>
  <si>
    <t>14-05-2023 00:45</t>
  </si>
  <si>
    <t>14-05-2023 01:00</t>
  </si>
  <si>
    <t>14-05-2023 01:15</t>
  </si>
  <si>
    <t>14-05-2023 01:30</t>
  </si>
  <si>
    <t>14-05-2023 01:45</t>
  </si>
  <si>
    <t>14-05-2023 02:00</t>
  </si>
  <si>
    <t>14-05-2023 02:15</t>
  </si>
  <si>
    <t>14-05-2023 02:30</t>
  </si>
  <si>
    <t>14-05-2023 02:45</t>
  </si>
  <si>
    <t>14-05-2023 03:00</t>
  </si>
  <si>
    <t>14-05-2023 03:15</t>
  </si>
  <si>
    <t>14-05-2023 03:30</t>
  </si>
  <si>
    <t>14-05-2023 03:45</t>
  </si>
  <si>
    <t>14-05-2023 04:00</t>
  </si>
  <si>
    <t>14-05-2023 04:15</t>
  </si>
  <si>
    <t>14-05-2023 04:30</t>
  </si>
  <si>
    <t>14-05-2023 04:45</t>
  </si>
  <si>
    <t>14-05-2023 05:00</t>
  </si>
  <si>
    <t>14-05-2023 05:15</t>
  </si>
  <si>
    <t>14-05-2023 05:30</t>
  </si>
  <si>
    <t>14-05-2023 05:45</t>
  </si>
  <si>
    <t>14-05-2023 06:00</t>
  </si>
  <si>
    <t>14-05-2023 06:15</t>
  </si>
  <si>
    <t>14-05-2023 06:30</t>
  </si>
  <si>
    <t>14-05-2023 06:45</t>
  </si>
  <si>
    <t>14-05-2023 07:00</t>
  </si>
  <si>
    <t>14-05-2023 07:15</t>
  </si>
  <si>
    <t>14-05-2023 07:30</t>
  </si>
  <si>
    <t>14-05-2023 07:45</t>
  </si>
  <si>
    <t>14-05-2023 08:00</t>
  </si>
  <si>
    <t>14-05-2023 08:15</t>
  </si>
  <si>
    <t>14-05-2023 08:30</t>
  </si>
  <si>
    <t>14-05-2023 08:45</t>
  </si>
  <si>
    <t>14-05-2023 09:00</t>
  </si>
  <si>
    <t>14-05-2023 09:15</t>
  </si>
  <si>
    <t>14-05-2023 09:30</t>
  </si>
  <si>
    <t>14-05-2023 09:45</t>
  </si>
  <si>
    <t>14-05-2023 10:00</t>
  </si>
  <si>
    <t>14-05-2023 10:15</t>
  </si>
  <si>
    <t>14-05-2023 10:30</t>
  </si>
  <si>
    <t>14-05-2023 10:45</t>
  </si>
  <si>
    <t>14-05-2023 11:00</t>
  </si>
  <si>
    <t>14-05-2023 11:15</t>
  </si>
  <si>
    <t>14-05-2023 11:30</t>
  </si>
  <si>
    <t>14-05-2023 11:45</t>
  </si>
  <si>
    <t>14-05-2023 12:00</t>
  </si>
  <si>
    <t>14-05-2023 12:15</t>
  </si>
  <si>
    <t>14-05-2023 12:30</t>
  </si>
  <si>
    <t>14-05-2023 12:45</t>
  </si>
  <si>
    <t>14-05-2023 13:00</t>
  </si>
  <si>
    <t>14-05-2023 13:15</t>
  </si>
  <si>
    <t>14-05-2023 13:30</t>
  </si>
  <si>
    <t>14-05-2023 13:45</t>
  </si>
  <si>
    <t>14-05-2023 14:00</t>
  </si>
  <si>
    <t>14-05-2023 14:15</t>
  </si>
  <si>
    <t>14-05-2023 14:30</t>
  </si>
  <si>
    <t>14-05-2023 14:45</t>
  </si>
  <si>
    <t>14-05-2023 15:00</t>
  </si>
  <si>
    <t>14-05-2023 15:15</t>
  </si>
  <si>
    <t>14-05-2023 15:30</t>
  </si>
  <si>
    <t>14-05-2023 15:45</t>
  </si>
  <si>
    <t>14-05-2023 16:00</t>
  </si>
  <si>
    <t>14-05-2023 16:15</t>
  </si>
  <si>
    <t>14-05-2023 16:30</t>
  </si>
  <si>
    <t>14-05-2023 16:45</t>
  </si>
  <si>
    <t>14-05-2023 17:00</t>
  </si>
  <si>
    <t>14-05-2023 17:15</t>
  </si>
  <si>
    <t>14-05-2023 17:30</t>
  </si>
  <si>
    <t>14-05-2023 17:45</t>
  </si>
  <si>
    <t>14-05-2023 18:00</t>
  </si>
  <si>
    <t>14-05-2023 18:15</t>
  </si>
  <si>
    <t>14-05-2023 18:30</t>
  </si>
  <si>
    <t>14-05-2023 18:45</t>
  </si>
  <si>
    <t>14-05-2023 19:00</t>
  </si>
  <si>
    <t>14-05-2023 19:15</t>
  </si>
  <si>
    <t>14-05-2023 19:30</t>
  </si>
  <si>
    <t>14-05-2023 19:45</t>
  </si>
  <si>
    <t>14-05-2023 20:00</t>
  </si>
  <si>
    <t>14-05-2023 20:15</t>
  </si>
  <si>
    <t>14-05-2023 20:30</t>
  </si>
  <si>
    <t>14-05-2023 20:45</t>
  </si>
  <si>
    <t>14-05-2023 21:00</t>
  </si>
  <si>
    <t>14-05-2023 21:15</t>
  </si>
  <si>
    <t>14-05-2023 21:30</t>
  </si>
  <si>
    <t>14-05-2023 21:45</t>
  </si>
  <si>
    <t>14-05-2023 22:00</t>
  </si>
  <si>
    <t>14-05-2023 22:15</t>
  </si>
  <si>
    <t>14-05-2023 22:30</t>
  </si>
  <si>
    <t>14-05-2023 22:45</t>
  </si>
  <si>
    <t>14-05-2023 23:00</t>
  </si>
  <si>
    <t>14-05-2023 23:15</t>
  </si>
  <si>
    <t>14-05-2023 23:30</t>
  </si>
  <si>
    <t>14-05-2023 23:45</t>
  </si>
  <si>
    <t>14-05-2023 24:00</t>
  </si>
  <si>
    <t>15-05-2023 00:15</t>
  </si>
  <si>
    <t>15-05-2023 00:30</t>
  </si>
  <si>
    <t>15-05-2023 00:45</t>
  </si>
  <si>
    <t>15-05-2023 01:00</t>
  </si>
  <si>
    <t>15-05-2023 01:15</t>
  </si>
  <si>
    <t>15-05-2023 01:30</t>
  </si>
  <si>
    <t>15-05-2023 01:45</t>
  </si>
  <si>
    <t>15-05-2023 02:00</t>
  </si>
  <si>
    <t>15-05-2023 02:15</t>
  </si>
  <si>
    <t>15-05-2023 02:30</t>
  </si>
  <si>
    <t>15-05-2023 02:45</t>
  </si>
  <si>
    <t>15-05-2023 03:00</t>
  </si>
  <si>
    <t>15-05-2023 03:15</t>
  </si>
  <si>
    <t>15-05-2023 03:30</t>
  </si>
  <si>
    <t>15-05-2023 03:45</t>
  </si>
  <si>
    <t>15-05-2023 04:00</t>
  </si>
  <si>
    <t>15-05-2023 04:15</t>
  </si>
  <si>
    <t>15-05-2023 04:30</t>
  </si>
  <si>
    <t>15-05-2023 04:45</t>
  </si>
  <si>
    <t>15-05-2023 05:00</t>
  </si>
  <si>
    <t>15-05-2023 05:15</t>
  </si>
  <si>
    <t>15-05-2023 05:30</t>
  </si>
  <si>
    <t>15-05-2023 05:45</t>
  </si>
  <si>
    <t>15-05-2023 06:00</t>
  </si>
  <si>
    <t>15-05-2023 06:15</t>
  </si>
  <si>
    <t>15-05-2023 06:30</t>
  </si>
  <si>
    <t>15-05-2023 06:45</t>
  </si>
  <si>
    <t>15-05-2023 07:00</t>
  </si>
  <si>
    <t>15-05-2023 07:15</t>
  </si>
  <si>
    <t>15-05-2023 07:30</t>
  </si>
  <si>
    <t>15-05-2023 07:45</t>
  </si>
  <si>
    <t>15-05-2023 08:00</t>
  </si>
  <si>
    <t>15-05-2023 08:15</t>
  </si>
  <si>
    <t>15-05-2023 08:30</t>
  </si>
  <si>
    <t>15-05-2023 08:45</t>
  </si>
  <si>
    <t>15-05-2023 09:00</t>
  </si>
  <si>
    <t>15-05-2023 09:15</t>
  </si>
  <si>
    <t>15-05-2023 09:30</t>
  </si>
  <si>
    <t>15-05-2023 09:45</t>
  </si>
  <si>
    <t>15-05-2023 10:00</t>
  </si>
  <si>
    <t>15-05-2023 10:15</t>
  </si>
  <si>
    <t>15-05-2023 10:30</t>
  </si>
  <si>
    <t>15-05-2023 10:45</t>
  </si>
  <si>
    <t>15-05-2023 11:00</t>
  </si>
  <si>
    <t>15-05-2023 11:15</t>
  </si>
  <si>
    <t>15-05-2023 11:30</t>
  </si>
  <si>
    <t>15-05-2023 11:45</t>
  </si>
  <si>
    <t>15-05-2023 12:00</t>
  </si>
  <si>
    <t>15-05-2023 12:15</t>
  </si>
  <si>
    <t>15-05-2023 12:30</t>
  </si>
  <si>
    <t>15-05-2023 12:45</t>
  </si>
  <si>
    <t>15-05-2023 13:00</t>
  </si>
  <si>
    <t>15-05-2023 13:15</t>
  </si>
  <si>
    <t>15-05-2023 13:30</t>
  </si>
  <si>
    <t>15-05-2023 13:45</t>
  </si>
  <si>
    <t>15-05-2023 14:00</t>
  </si>
  <si>
    <t>15-05-2023 14:15</t>
  </si>
  <si>
    <t>15-05-2023 14:30</t>
  </si>
  <si>
    <t>15-05-2023 14:45</t>
  </si>
  <si>
    <t>15-05-2023 15:00</t>
  </si>
  <si>
    <t>15-05-2023 15:15</t>
  </si>
  <si>
    <t>15-05-2023 15:30</t>
  </si>
  <si>
    <t>15-05-2023 15:45</t>
  </si>
  <si>
    <t>15-05-2023 16:00</t>
  </si>
  <si>
    <t>15-05-2023 16:15</t>
  </si>
  <si>
    <t>15-05-2023 16:30</t>
  </si>
  <si>
    <t>15-05-2023 16:45</t>
  </si>
  <si>
    <t>15-05-2023 17:00</t>
  </si>
  <si>
    <t>15-05-2023 17:15</t>
  </si>
  <si>
    <t>15-05-2023 17:30</t>
  </si>
  <si>
    <t>15-05-2023 17:45</t>
  </si>
  <si>
    <t>15-05-2023 18:00</t>
  </si>
  <si>
    <t>15-05-2023 18:15</t>
  </si>
  <si>
    <t>15-05-2023 18:30</t>
  </si>
  <si>
    <t>15-05-2023 18:45</t>
  </si>
  <si>
    <t>15-05-2023 19:00</t>
  </si>
  <si>
    <t>15-05-2023 19:15</t>
  </si>
  <si>
    <t>15-05-2023 19:30</t>
  </si>
  <si>
    <t>15-05-2023 19:45</t>
  </si>
  <si>
    <t>15-05-2023 20:00</t>
  </si>
  <si>
    <t>15-05-2023 20:15</t>
  </si>
  <si>
    <t>15-05-2023 20:30</t>
  </si>
  <si>
    <t>15-05-2023 20:45</t>
  </si>
  <si>
    <t>15-05-2023 21:00</t>
  </si>
  <si>
    <t>15-05-2023 21:15</t>
  </si>
  <si>
    <t>15-05-2023 21:30</t>
  </si>
  <si>
    <t>15-05-2023 21:45</t>
  </si>
  <si>
    <t>15-05-2023 22:00</t>
  </si>
  <si>
    <t>15-05-2023 22:15</t>
  </si>
  <si>
    <t>15-05-2023 22:30</t>
  </si>
  <si>
    <t>15-05-2023 22:45</t>
  </si>
  <si>
    <t>15-05-2023 23:00</t>
  </si>
  <si>
    <t>15-05-2023 23:15</t>
  </si>
  <si>
    <t>15-05-2023 23:30</t>
  </si>
  <si>
    <t>15-05-2023 23:45</t>
  </si>
  <si>
    <t>15-05-2023 24:00</t>
  </si>
  <si>
    <t>01/05/2023 - 31/05/2023</t>
  </si>
  <si>
    <t>16-05-2023 00:15</t>
  </si>
  <si>
    <t>16-05-2023 00:30</t>
  </si>
  <si>
    <t>16-05-2023 00:45</t>
  </si>
  <si>
    <t>16-05-2023 01:00</t>
  </si>
  <si>
    <t>16-05-2023 01:15</t>
  </si>
  <si>
    <t>16-05-2023 01:30</t>
  </si>
  <si>
    <t>16-05-2023 01:45</t>
  </si>
  <si>
    <t>16-05-2023 02:00</t>
  </si>
  <si>
    <t>16-05-2023 02:15</t>
  </si>
  <si>
    <t>16-05-2023 02:30</t>
  </si>
  <si>
    <t>16-05-2023 02:45</t>
  </si>
  <si>
    <t>16-05-2023 03:00</t>
  </si>
  <si>
    <t>16-05-2023 03:15</t>
  </si>
  <si>
    <t>16-05-2023 03:30</t>
  </si>
  <si>
    <t>16-05-2023 03:45</t>
  </si>
  <si>
    <t>16-05-2023 04:00</t>
  </si>
  <si>
    <t>16-05-2023 04:15</t>
  </si>
  <si>
    <t>16-05-2023 04:30</t>
  </si>
  <si>
    <t>16-05-2023 04:45</t>
  </si>
  <si>
    <t>16-05-2023 05:00</t>
  </si>
  <si>
    <t>16-05-2023 05:15</t>
  </si>
  <si>
    <t>16-05-2023 05:30</t>
  </si>
  <si>
    <t>16-05-2023 05:45</t>
  </si>
  <si>
    <t>16-05-2023 06:00</t>
  </si>
  <si>
    <t>16-05-2023 06:15</t>
  </si>
  <si>
    <t>16-05-2023 06:30</t>
  </si>
  <si>
    <t>16-05-2023 06:45</t>
  </si>
  <si>
    <t>16-05-2023 07:00</t>
  </si>
  <si>
    <t>16-05-2023 07:15</t>
  </si>
  <si>
    <t>16-05-2023 07:30</t>
  </si>
  <si>
    <t>16-05-2023 07:45</t>
  </si>
  <si>
    <t>16-05-2023 08:00</t>
  </si>
  <si>
    <t>16-05-2023 08:15</t>
  </si>
  <si>
    <t>16-05-2023 08:30</t>
  </si>
  <si>
    <t>16-05-2023 08:45</t>
  </si>
  <si>
    <t>16-05-2023 09:00</t>
  </si>
  <si>
    <t>16-05-2023 09:15</t>
  </si>
  <si>
    <t>16-05-2023 09:30</t>
  </si>
  <si>
    <t>16-05-2023 09:45</t>
  </si>
  <si>
    <t>16-05-2023 10:00</t>
  </si>
  <si>
    <t>16-05-2023 10:15</t>
  </si>
  <si>
    <t>16-05-2023 10:30</t>
  </si>
  <si>
    <t>16-05-2023 10:45</t>
  </si>
  <si>
    <t>16-05-2023 11:00</t>
  </si>
  <si>
    <t>16-05-2023 11:15</t>
  </si>
  <si>
    <t>16-05-2023 11:30</t>
  </si>
  <si>
    <t>16-05-2023 11:45</t>
  </si>
  <si>
    <t>16-05-2023 12:00</t>
  </si>
  <si>
    <t>16-05-2023 12:15</t>
  </si>
  <si>
    <t>16-05-2023 12:30</t>
  </si>
  <si>
    <t>16-05-2023 12:45</t>
  </si>
  <si>
    <t>16-05-2023 13:00</t>
  </si>
  <si>
    <t>16-05-2023 13:15</t>
  </si>
  <si>
    <t>16-05-2023 13:30</t>
  </si>
  <si>
    <t>16-05-2023 13:45</t>
  </si>
  <si>
    <t>16-05-2023 14:00</t>
  </si>
  <si>
    <t>16-05-2023 14:15</t>
  </si>
  <si>
    <t>16-05-2023 14:30</t>
  </si>
  <si>
    <t>16-05-2023 14:45</t>
  </si>
  <si>
    <t>16-05-2023 15:00</t>
  </si>
  <si>
    <t>16-05-2023 15:15</t>
  </si>
  <si>
    <t>16-05-2023 15:30</t>
  </si>
  <si>
    <t>16-05-2023 15:45</t>
  </si>
  <si>
    <t>16-05-2023 16:00</t>
  </si>
  <si>
    <t>16-05-2023 16:15</t>
  </si>
  <si>
    <t>16-05-2023 16:30</t>
  </si>
  <si>
    <t>16-05-2023 16:45</t>
  </si>
  <si>
    <t>16-05-2023 17:00</t>
  </si>
  <si>
    <t>16-05-2023 17:15</t>
  </si>
  <si>
    <t>16-05-2023 17:30</t>
  </si>
  <si>
    <t>16-05-2023 17:45</t>
  </si>
  <si>
    <t>16-05-2023 18:00</t>
  </si>
  <si>
    <t>16-05-2023 18:15</t>
  </si>
  <si>
    <t>16-05-2023 18:30</t>
  </si>
  <si>
    <t>16-05-2023 18:45</t>
  </si>
  <si>
    <t>16-05-2023 19:00</t>
  </si>
  <si>
    <t>16-05-2023 19:15</t>
  </si>
  <si>
    <t>16-05-2023 19:30</t>
  </si>
  <si>
    <t>16-05-2023 19:45</t>
  </si>
  <si>
    <t>16-05-2023 20:00</t>
  </si>
  <si>
    <t>16-05-2023 20:15</t>
  </si>
  <si>
    <t>16-05-2023 20:30</t>
  </si>
  <si>
    <t>16-05-2023 20:45</t>
  </si>
  <si>
    <t>16-05-2023 21:00</t>
  </si>
  <si>
    <t>16-05-2023 21:15</t>
  </si>
  <si>
    <t>16-05-2023 21:30</t>
  </si>
  <si>
    <t>16-05-2023 21:45</t>
  </si>
  <si>
    <t>16-05-2023 22:00</t>
  </si>
  <si>
    <t>16-05-2023 22:15</t>
  </si>
  <si>
    <t>16-05-2023 22:30</t>
  </si>
  <si>
    <t>16-05-2023 22:45</t>
  </si>
  <si>
    <t>16-05-2023 23:00</t>
  </si>
  <si>
    <t>16-05-2023 23:15</t>
  </si>
  <si>
    <t>16-05-2023 23:30</t>
  </si>
  <si>
    <t>16-05-2023 23:45</t>
  </si>
  <si>
    <t>16-05-2023 24:00</t>
  </si>
  <si>
    <t>17-05-2023 00:15</t>
  </si>
  <si>
    <t>17-05-2023 00:30</t>
  </si>
  <si>
    <t>17-05-2023 00:45</t>
  </si>
  <si>
    <t>17-05-2023 01:00</t>
  </si>
  <si>
    <t>17-05-2023 01:15</t>
  </si>
  <si>
    <t>17-05-2023 01:30</t>
  </si>
  <si>
    <t>17-05-2023 01:45</t>
  </si>
  <si>
    <t>17-05-2023 02:00</t>
  </si>
  <si>
    <t>17-05-2023 02:15</t>
  </si>
  <si>
    <t>17-05-2023 02:30</t>
  </si>
  <si>
    <t>17-05-2023 02:45</t>
  </si>
  <si>
    <t>17-05-2023 03:00</t>
  </si>
  <si>
    <t>17-05-2023 03:15</t>
  </si>
  <si>
    <t>17-05-2023 03:30</t>
  </si>
  <si>
    <t>17-05-2023 03:45</t>
  </si>
  <si>
    <t>17-05-2023 04:00</t>
  </si>
  <si>
    <t>17-05-2023 04:15</t>
  </si>
  <si>
    <t>17-05-2023 04:30</t>
  </si>
  <si>
    <t>17-05-2023 04:45</t>
  </si>
  <si>
    <t>17-05-2023 05:00</t>
  </si>
  <si>
    <t>17-05-2023 05:15</t>
  </si>
  <si>
    <t>17-05-2023 05:30</t>
  </si>
  <si>
    <t>17-05-2023 05:45</t>
  </si>
  <si>
    <t>17-05-2023 06:00</t>
  </si>
  <si>
    <t>17-05-2023 06:15</t>
  </si>
  <si>
    <t>17-05-2023 06:30</t>
  </si>
  <si>
    <t>17-05-2023 06:45</t>
  </si>
  <si>
    <t>17-05-2023 07:00</t>
  </si>
  <si>
    <t>17-05-2023 07:15</t>
  </si>
  <si>
    <t>17-05-2023 07:30</t>
  </si>
  <si>
    <t>17-05-2023 07:45</t>
  </si>
  <si>
    <t>17-05-2023 08:00</t>
  </si>
  <si>
    <t>17-05-2023 08:15</t>
  </si>
  <si>
    <t>17-05-2023 08:30</t>
  </si>
  <si>
    <t>17-05-2023 08:45</t>
  </si>
  <si>
    <t>17-05-2023 09:00</t>
  </si>
  <si>
    <t>17-05-2023 09:15</t>
  </si>
  <si>
    <t>17-05-2023 09:30</t>
  </si>
  <si>
    <t>17-05-2023 09:45</t>
  </si>
  <si>
    <t>17-05-2023 10:00</t>
  </si>
  <si>
    <t>17-05-2023 10:15</t>
  </si>
  <si>
    <t>17-05-2023 10:30</t>
  </si>
  <si>
    <t>17-05-2023 10:45</t>
  </si>
  <si>
    <t>17-05-2023 11:00</t>
  </si>
  <si>
    <t>17-05-2023 11:15</t>
  </si>
  <si>
    <t>17-05-2023 11:30</t>
  </si>
  <si>
    <t>17-05-2023 11:45</t>
  </si>
  <si>
    <t>17-05-2023 12:00</t>
  </si>
  <si>
    <t>17-05-2023 12:15</t>
  </si>
  <si>
    <t>17-05-2023 12:30</t>
  </si>
  <si>
    <t>17-05-2023 12:45</t>
  </si>
  <si>
    <t>17-05-2023 13:00</t>
  </si>
  <si>
    <t>17-05-2023 13:15</t>
  </si>
  <si>
    <t>17-05-2023 13:30</t>
  </si>
  <si>
    <t>17-05-2023 13:45</t>
  </si>
  <si>
    <t>17-05-2023 14:00</t>
  </si>
  <si>
    <t>17-05-2023 14:15</t>
  </si>
  <si>
    <t>17-05-2023 14:30</t>
  </si>
  <si>
    <t>17-05-2023 14:45</t>
  </si>
  <si>
    <t>17-05-2023 15:00</t>
  </si>
  <si>
    <t>17-05-2023 15:15</t>
  </si>
  <si>
    <t>17-05-2023 15:30</t>
  </si>
  <si>
    <t>17-05-2023 15:45</t>
  </si>
  <si>
    <t>17-05-2023 16:00</t>
  </si>
  <si>
    <t>17-05-2023 16:15</t>
  </si>
  <si>
    <t>17-05-2023 16:30</t>
  </si>
  <si>
    <t>17-05-2023 16:45</t>
  </si>
  <si>
    <t>17-05-2023 17:00</t>
  </si>
  <si>
    <t>17-05-2023 17:15</t>
  </si>
  <si>
    <t>17-05-2023 17:30</t>
  </si>
  <si>
    <t>17-05-2023 17:45</t>
  </si>
  <si>
    <t>17-05-2023 18:00</t>
  </si>
  <si>
    <t>17-05-2023 18:15</t>
  </si>
  <si>
    <t>17-05-2023 18:30</t>
  </si>
  <si>
    <t>17-05-2023 18:45</t>
  </si>
  <si>
    <t>17-05-2023 19:00</t>
  </si>
  <si>
    <t>17-05-2023 19:15</t>
  </si>
  <si>
    <t>17-05-2023 19:30</t>
  </si>
  <si>
    <t>17-05-2023 19:45</t>
  </si>
  <si>
    <t>17-05-2023 20:00</t>
  </si>
  <si>
    <t>17-05-2023 20:15</t>
  </si>
  <si>
    <t>17-05-2023 20:30</t>
  </si>
  <si>
    <t>17-05-2023 20:45</t>
  </si>
  <si>
    <t>17-05-2023 21:00</t>
  </si>
  <si>
    <t>17-05-2023 21:15</t>
  </si>
  <si>
    <t>17-05-2023 21:30</t>
  </si>
  <si>
    <t>17-05-2023 21:45</t>
  </si>
  <si>
    <t>17-05-2023 22:00</t>
  </si>
  <si>
    <t>17-05-2023 22:15</t>
  </si>
  <si>
    <t>17-05-2023 22:30</t>
  </si>
  <si>
    <t>17-05-2023 22:45</t>
  </si>
  <si>
    <t>17-05-2023 23:00</t>
  </si>
  <si>
    <t>17-05-2023 23:15</t>
  </si>
  <si>
    <t>17-05-2023 23:30</t>
  </si>
  <si>
    <t>17-05-2023 23:45</t>
  </si>
  <si>
    <t>17-05-2023 24:00</t>
  </si>
  <si>
    <t>18-05-2023 00:15</t>
  </si>
  <si>
    <t>18-05-2023 00:30</t>
  </si>
  <si>
    <t>18-05-2023 00:45</t>
  </si>
  <si>
    <t>18-05-2023 01:00</t>
  </si>
  <si>
    <t>18-05-2023 01:15</t>
  </si>
  <si>
    <t>18-05-2023 01:30</t>
  </si>
  <si>
    <t>18-05-2023 01:45</t>
  </si>
  <si>
    <t>18-05-2023 02:00</t>
  </si>
  <si>
    <t>18-05-2023 02:15</t>
  </si>
  <si>
    <t>18-05-2023 02:30</t>
  </si>
  <si>
    <t>18-05-2023 02:45</t>
  </si>
  <si>
    <t>18-05-2023 03:00</t>
  </si>
  <si>
    <t>18-05-2023 03:15</t>
  </si>
  <si>
    <t>18-05-2023 03:30</t>
  </si>
  <si>
    <t>18-05-2023 03:45</t>
  </si>
  <si>
    <t>18-05-2023 04:00</t>
  </si>
  <si>
    <t>18-05-2023 04:15</t>
  </si>
  <si>
    <t>18-05-2023 04:30</t>
  </si>
  <si>
    <t>18-05-2023 04:45</t>
  </si>
  <si>
    <t>18-05-2023 05:00</t>
  </si>
  <si>
    <t>18-05-2023 05:15</t>
  </si>
  <si>
    <t>18-05-2023 05:30</t>
  </si>
  <si>
    <t>18-05-2023 05:45</t>
  </si>
  <si>
    <t>18-05-2023 06:00</t>
  </si>
  <si>
    <t>18-05-2023 06:15</t>
  </si>
  <si>
    <t>18-05-2023 06:30</t>
  </si>
  <si>
    <t>18-05-2023 06:45</t>
  </si>
  <si>
    <t>18-05-2023 07:00</t>
  </si>
  <si>
    <t>18-05-2023 07:15</t>
  </si>
  <si>
    <t>18-05-2023 07:30</t>
  </si>
  <si>
    <t>18-05-2023 07:45</t>
  </si>
  <si>
    <t>18-05-2023 08:00</t>
  </si>
  <si>
    <t>18-05-2023 08:15</t>
  </si>
  <si>
    <t>18-05-2023 08:30</t>
  </si>
  <si>
    <t>18-05-2023 08:45</t>
  </si>
  <si>
    <t>18-05-2023 09:00</t>
  </si>
  <si>
    <t>18-05-2023 09:15</t>
  </si>
  <si>
    <t>18-05-2023 09:30</t>
  </si>
  <si>
    <t>18-05-2023 09:45</t>
  </si>
  <si>
    <t>18-05-2023 10:00</t>
  </si>
  <si>
    <t>18-05-2023 10:15</t>
  </si>
  <si>
    <t>18-05-2023 10:30</t>
  </si>
  <si>
    <t>18-05-2023 10:45</t>
  </si>
  <si>
    <t>18-05-2023 11:00</t>
  </si>
  <si>
    <t>18-05-2023 11:15</t>
  </si>
  <si>
    <t>18-05-2023 11:30</t>
  </si>
  <si>
    <t>18-05-2023 11:45</t>
  </si>
  <si>
    <t>18-05-2023 12:00</t>
  </si>
  <si>
    <t>18-05-2023 12:15</t>
  </si>
  <si>
    <t>18-05-2023 12:30</t>
  </si>
  <si>
    <t>18-05-2023 12:45</t>
  </si>
  <si>
    <t>18-05-2023 13:00</t>
  </si>
  <si>
    <t>18-05-2023 13:15</t>
  </si>
  <si>
    <t>18-05-2023 13:30</t>
  </si>
  <si>
    <t>18-05-2023 13:45</t>
  </si>
  <si>
    <t>18-05-2023 14:00</t>
  </si>
  <si>
    <t>18-05-2023 14:15</t>
  </si>
  <si>
    <t>18-05-2023 14:30</t>
  </si>
  <si>
    <t>18-05-2023 14:45</t>
  </si>
  <si>
    <t>18-05-2023 15:00</t>
  </si>
  <si>
    <t>18-05-2023 15:15</t>
  </si>
  <si>
    <t>18-05-2023 15:30</t>
  </si>
  <si>
    <t>18-05-2023 15:45</t>
  </si>
  <si>
    <t>18-05-2023 16:00</t>
  </si>
  <si>
    <t>18-05-2023 16:15</t>
  </si>
  <si>
    <t>18-05-2023 16:30</t>
  </si>
  <si>
    <t>18-05-2023 16:45</t>
  </si>
  <si>
    <t>18-05-2023 17:00</t>
  </si>
  <si>
    <t>18-05-2023 17:15</t>
  </si>
  <si>
    <t>18-05-2023 17:30</t>
  </si>
  <si>
    <t>18-05-2023 17:45</t>
  </si>
  <si>
    <t>18-05-2023 18:00</t>
  </si>
  <si>
    <t>18-05-2023 18:15</t>
  </si>
  <si>
    <t>18-05-2023 18:30</t>
  </si>
  <si>
    <t>18-05-2023 18:45</t>
  </si>
  <si>
    <t>18-05-2023 19:00</t>
  </si>
  <si>
    <t>18-05-2023 19:15</t>
  </si>
  <si>
    <t>18-05-2023 19:30</t>
  </si>
  <si>
    <t>18-05-2023 19:45</t>
  </si>
  <si>
    <t>18-05-2023 20:00</t>
  </si>
  <si>
    <t>18-05-2023 20:15</t>
  </si>
  <si>
    <t>18-05-2023 20:30</t>
  </si>
  <si>
    <t>18-05-2023 20:45</t>
  </si>
  <si>
    <t>18-05-2023 21:00</t>
  </si>
  <si>
    <t>18-05-2023 21:15</t>
  </si>
  <si>
    <t>18-05-2023 21:30</t>
  </si>
  <si>
    <t>18-05-2023 21:45</t>
  </si>
  <si>
    <t>18-05-2023 22:00</t>
  </si>
  <si>
    <t>18-05-2023 22:15</t>
  </si>
  <si>
    <t>18-05-2023 22:30</t>
  </si>
  <si>
    <t>18-05-2023 22:45</t>
  </si>
  <si>
    <t>18-05-2023 23:00</t>
  </si>
  <si>
    <t>18-05-2023 23:15</t>
  </si>
  <si>
    <t>18-05-2023 23:30</t>
  </si>
  <si>
    <t>18-05-2023 23:45</t>
  </si>
  <si>
    <t>18-05-2023 24:00</t>
  </si>
  <si>
    <t>835ug/cm2</t>
  </si>
  <si>
    <t>pm 2.5</t>
  </si>
  <si>
    <t>19-05-2023 00:15</t>
  </si>
  <si>
    <t>19-05-2023 00:30</t>
  </si>
  <si>
    <t>19-05-2023 00:45</t>
  </si>
  <si>
    <t>19-05-2023 01:00</t>
  </si>
  <si>
    <t>19-05-2023 01:15</t>
  </si>
  <si>
    <t>19-05-2023 01:30</t>
  </si>
  <si>
    <t>19-05-2023 01:45</t>
  </si>
  <si>
    <t>19-05-2023 02:00</t>
  </si>
  <si>
    <t>19-05-2023 02:15</t>
  </si>
  <si>
    <t>19-05-2023 02:30</t>
  </si>
  <si>
    <t>19-05-2023 02:45</t>
  </si>
  <si>
    <t>19-05-2023 03:00</t>
  </si>
  <si>
    <t>19-05-2023 03:15</t>
  </si>
  <si>
    <t>19-05-2023 03:30</t>
  </si>
  <si>
    <t>19-05-2023 03:45</t>
  </si>
  <si>
    <t>19-05-2023 04:00</t>
  </si>
  <si>
    <t>19-05-2023 04:15</t>
  </si>
  <si>
    <t>19-05-2023 04:30</t>
  </si>
  <si>
    <t>19-05-2023 04:45</t>
  </si>
  <si>
    <t>19-05-2023 05:00</t>
  </si>
  <si>
    <t>19-05-2023 05:15</t>
  </si>
  <si>
    <t>19-05-2023 05:30</t>
  </si>
  <si>
    <t>19-05-2023 05:45</t>
  </si>
  <si>
    <t>19-05-2023 06:00</t>
  </si>
  <si>
    <t>19-05-2023 06:15</t>
  </si>
  <si>
    <t>19-05-2023 06:30</t>
  </si>
  <si>
    <t>19-05-2023 06:45</t>
  </si>
  <si>
    <t>19-05-2023 07:00</t>
  </si>
  <si>
    <t>19-05-2023 07:15</t>
  </si>
  <si>
    <t>19-05-2023 07:30</t>
  </si>
  <si>
    <t>19-05-2023 07:45</t>
  </si>
  <si>
    <t>19-05-2023 08:00</t>
  </si>
  <si>
    <t>19-05-2023 08:15</t>
  </si>
  <si>
    <t>19-05-2023 08:30</t>
  </si>
  <si>
    <t>19-05-2023 08:45</t>
  </si>
  <si>
    <t>19-05-2023 09:00</t>
  </si>
  <si>
    <t>19-05-2023 09:15</t>
  </si>
  <si>
    <t>19-05-2023 09:30</t>
  </si>
  <si>
    <t>19-05-2023 09:45</t>
  </si>
  <si>
    <t>19-05-2023 10:00</t>
  </si>
  <si>
    <t>19-05-2023 10:15</t>
  </si>
  <si>
    <t>19-05-2023 10:30</t>
  </si>
  <si>
    <t>19-05-2023 10:45</t>
  </si>
  <si>
    <t>19-05-2023 11:00</t>
  </si>
  <si>
    <t>19-05-2023 11:15</t>
  </si>
  <si>
    <t>19-05-2023 11:30</t>
  </si>
  <si>
    <t>19-05-2023 11:45</t>
  </si>
  <si>
    <t>19-05-2023 12:00</t>
  </si>
  <si>
    <t>19-05-2023 12:15</t>
  </si>
  <si>
    <t>19-05-2023 12:30</t>
  </si>
  <si>
    <t>19-05-2023 12:45</t>
  </si>
  <si>
    <t>19-05-2023 13:00</t>
  </si>
  <si>
    <t>19-05-2023 13:15</t>
  </si>
  <si>
    <t>19-05-2023 13:30</t>
  </si>
  <si>
    <t>19-05-2023 13:45</t>
  </si>
  <si>
    <t>19-05-2023 14:00</t>
  </si>
  <si>
    <t>19-05-2023 14:15</t>
  </si>
  <si>
    <t>19-05-2023 14:30</t>
  </si>
  <si>
    <t>19-05-2023 14:45</t>
  </si>
  <si>
    <t>19-05-2023 15:00</t>
  </si>
  <si>
    <t>19-05-2023 15:15</t>
  </si>
  <si>
    <t>19-05-2023 15:30</t>
  </si>
  <si>
    <t>19-05-2023 15:45</t>
  </si>
  <si>
    <t>19-05-2023 16:00</t>
  </si>
  <si>
    <t>19-05-2023 16:15</t>
  </si>
  <si>
    <t>19-05-2023 16:30</t>
  </si>
  <si>
    <t>19-05-2023 16:45</t>
  </si>
  <si>
    <t>19-05-2023 17:00</t>
  </si>
  <si>
    <t>19-05-2023 17:15</t>
  </si>
  <si>
    <t>19-05-2023 17:30</t>
  </si>
  <si>
    <t>19-05-2023 17:45</t>
  </si>
  <si>
    <t>19-05-2023 18:00</t>
  </si>
  <si>
    <t>19-05-2023 18:15</t>
  </si>
  <si>
    <t>19-05-2023 18:30</t>
  </si>
  <si>
    <t>19-05-2023 18:45</t>
  </si>
  <si>
    <t>19-05-2023 19:00</t>
  </si>
  <si>
    <t>19-05-2023 19:15</t>
  </si>
  <si>
    <t>19-05-2023 19:30</t>
  </si>
  <si>
    <t>19-05-2023 19:45</t>
  </si>
  <si>
    <t>19-05-2023 20:00</t>
  </si>
  <si>
    <t>19-05-2023 20:15</t>
  </si>
  <si>
    <t>19-05-2023 20:30</t>
  </si>
  <si>
    <t>19-05-2023 20:45</t>
  </si>
  <si>
    <t>19-05-2023 21:00</t>
  </si>
  <si>
    <t>19-05-2023 21:15</t>
  </si>
  <si>
    <t>19-05-2023 21:30</t>
  </si>
  <si>
    <t>19-05-2023 21:45</t>
  </si>
  <si>
    <t>19-05-2023 22:00</t>
  </si>
  <si>
    <t>19-05-2023 22:15</t>
  </si>
  <si>
    <t>19-05-2023 22:30</t>
  </si>
  <si>
    <t>19-05-2023 22:45</t>
  </si>
  <si>
    <t>19-05-2023 23:00</t>
  </si>
  <si>
    <t>19-05-2023 23:15</t>
  </si>
  <si>
    <t>19-05-2023 23:30</t>
  </si>
  <si>
    <t>19-05-2023 23:45</t>
  </si>
  <si>
    <t>19-05-2023 24:00</t>
  </si>
  <si>
    <t>20-05-2023 00:15</t>
  </si>
  <si>
    <t>20-05-2023 00:30</t>
  </si>
  <si>
    <t>20-05-2023 00:45</t>
  </si>
  <si>
    <t>20-05-2023 01:00</t>
  </si>
  <si>
    <t>20-05-2023 01:15</t>
  </si>
  <si>
    <t>20-05-2023 01:30</t>
  </si>
  <si>
    <t>20-05-2023 01:45</t>
  </si>
  <si>
    <t>20-05-2023 02:00</t>
  </si>
  <si>
    <t>20-05-2023 02:15</t>
  </si>
  <si>
    <t>20-05-2023 02:30</t>
  </si>
  <si>
    <t>20-05-2023 02:45</t>
  </si>
  <si>
    <t>20-05-2023 03:00</t>
  </si>
  <si>
    <t>20-05-2023 03:15</t>
  </si>
  <si>
    <t>20-05-2023 03:30</t>
  </si>
  <si>
    <t>20-05-2023 03:45</t>
  </si>
  <si>
    <t>20-05-2023 04:00</t>
  </si>
  <si>
    <t>20-05-2023 04:15</t>
  </si>
  <si>
    <t>20-05-2023 04:30</t>
  </si>
  <si>
    <t>20-05-2023 04:45</t>
  </si>
  <si>
    <t>20-05-2023 05:00</t>
  </si>
  <si>
    <t>20-05-2023 05:15</t>
  </si>
  <si>
    <t>20-05-2023 05:30</t>
  </si>
  <si>
    <t>20-05-2023 05:45</t>
  </si>
  <si>
    <t>20-05-2023 06:00</t>
  </si>
  <si>
    <t>20-05-2023 06:15</t>
  </si>
  <si>
    <t>20-05-2023 06:30</t>
  </si>
  <si>
    <t>20-05-2023 06:45</t>
  </si>
  <si>
    <t>20-05-2023 07:00</t>
  </si>
  <si>
    <t>20-05-2023 07:15</t>
  </si>
  <si>
    <t>20-05-2023 07:30</t>
  </si>
  <si>
    <t>20-05-2023 07:45</t>
  </si>
  <si>
    <t>20-05-2023 08:00</t>
  </si>
  <si>
    <t>20-05-2023 08:15</t>
  </si>
  <si>
    <t>20-05-2023 08:30</t>
  </si>
  <si>
    <t>20-05-2023 08:45</t>
  </si>
  <si>
    <t>20-05-2023 09:00</t>
  </si>
  <si>
    <t>20-05-2023 09:15</t>
  </si>
  <si>
    <t>20-05-2023 09:30</t>
  </si>
  <si>
    <t>20-05-2023 09:45</t>
  </si>
  <si>
    <t>20-05-2023 10:00</t>
  </si>
  <si>
    <t>20-05-2023 10:15</t>
  </si>
  <si>
    <t>20-05-2023 10:30</t>
  </si>
  <si>
    <t>20-05-2023 10:45</t>
  </si>
  <si>
    <t>20-05-2023 11:00</t>
  </si>
  <si>
    <t>20-05-2023 11:15</t>
  </si>
  <si>
    <t>20-05-2023 11:30</t>
  </si>
  <si>
    <t>20-05-2023 11:45</t>
  </si>
  <si>
    <t>20-05-2023 12:00</t>
  </si>
  <si>
    <t>20-05-2023 12:15</t>
  </si>
  <si>
    <t>20-05-2023 12:30</t>
  </si>
  <si>
    <t>20-05-2023 12:45</t>
  </si>
  <si>
    <t>20-05-2023 13:00</t>
  </si>
  <si>
    <t>20-05-2023 13:15</t>
  </si>
  <si>
    <t>20-05-2023 13:30</t>
  </si>
  <si>
    <t>20-05-2023 13:45</t>
  </si>
  <si>
    <t>20-05-2023 14:00</t>
  </si>
  <si>
    <t>20-05-2023 14:15</t>
  </si>
  <si>
    <t>20-05-2023 14:30</t>
  </si>
  <si>
    <t>20-05-2023 14:45</t>
  </si>
  <si>
    <t>20-05-2023 15:00</t>
  </si>
  <si>
    <t>20-05-2023 15:15</t>
  </si>
  <si>
    <t>20-05-2023 15:30</t>
  </si>
  <si>
    <t>20-05-2023 15:45</t>
  </si>
  <si>
    <t>20-05-2023 16:00</t>
  </si>
  <si>
    <t>20-05-2023 16:15</t>
  </si>
  <si>
    <t>20-05-2023 16:30</t>
  </si>
  <si>
    <t>20-05-2023 16:45</t>
  </si>
  <si>
    <t>20-05-2023 17:00</t>
  </si>
  <si>
    <t>20-05-2023 17:15</t>
  </si>
  <si>
    <t>20-05-2023 17:30</t>
  </si>
  <si>
    <t>20-05-2023 17:45</t>
  </si>
  <si>
    <t>20-05-2023 18:00</t>
  </si>
  <si>
    <t>20-05-2023 18:15</t>
  </si>
  <si>
    <t>20-05-2023 18:30</t>
  </si>
  <si>
    <t>20-05-2023 18:45</t>
  </si>
  <si>
    <t>20-05-2023 19:00</t>
  </si>
  <si>
    <t>20-05-2023 19:15</t>
  </si>
  <si>
    <t>20-05-2023 19:30</t>
  </si>
  <si>
    <t>20-05-2023 19:45</t>
  </si>
  <si>
    <t>20-05-2023 20:00</t>
  </si>
  <si>
    <t>20-05-2023 20:15</t>
  </si>
  <si>
    <t>20-05-2023 20:30</t>
  </si>
  <si>
    <t>20-05-2023 20:45</t>
  </si>
  <si>
    <t>20-05-2023 21:00</t>
  </si>
  <si>
    <t>20-05-2023 21:15</t>
  </si>
  <si>
    <t>20-05-2023 21:30</t>
  </si>
  <si>
    <t>20-05-2023 21:45</t>
  </si>
  <si>
    <t>20-05-2023 22:00</t>
  </si>
  <si>
    <t>20-05-2023 22:15</t>
  </si>
  <si>
    <t>20-05-2023 22:30</t>
  </si>
  <si>
    <t>20-05-2023 22:45</t>
  </si>
  <si>
    <t>20-05-2023 23:00</t>
  </si>
  <si>
    <t>20-05-2023 23:15</t>
  </si>
  <si>
    <t>20-05-2023 23:30</t>
  </si>
  <si>
    <t>20-05-2023 23:45</t>
  </si>
  <si>
    <t>20-05-2023 24:00</t>
  </si>
  <si>
    <t>21-05-2023 00:15</t>
  </si>
  <si>
    <t>21-05-2023 00:30</t>
  </si>
  <si>
    <t>21-05-2023 00:45</t>
  </si>
  <si>
    <t>21-05-2023 01:00</t>
  </si>
  <si>
    <t>21-05-2023 01:15</t>
  </si>
  <si>
    <t>21-05-2023 01:30</t>
  </si>
  <si>
    <t>21-05-2023 01:45</t>
  </si>
  <si>
    <t>21-05-2023 02:00</t>
  </si>
  <si>
    <t>21-05-2023 02:15</t>
  </si>
  <si>
    <t>21-05-2023 02:30</t>
  </si>
  <si>
    <t>21-05-2023 02:45</t>
  </si>
  <si>
    <t>21-05-2023 03:00</t>
  </si>
  <si>
    <t>21-05-2023 03:15</t>
  </si>
  <si>
    <t>21-05-2023 03:30</t>
  </si>
  <si>
    <t>21-05-2023 03:45</t>
  </si>
  <si>
    <t>21-05-2023 04:00</t>
  </si>
  <si>
    <t>21-05-2023 04:15</t>
  </si>
  <si>
    <t>21-05-2023 04:30</t>
  </si>
  <si>
    <t>21-05-2023 04:45</t>
  </si>
  <si>
    <t>21-05-2023 05:00</t>
  </si>
  <si>
    <t>21-05-2023 05:15</t>
  </si>
  <si>
    <t>21-05-2023 05:30</t>
  </si>
  <si>
    <t>21-05-2023 05:45</t>
  </si>
  <si>
    <t>21-05-2023 06:00</t>
  </si>
  <si>
    <t>21-05-2023 06:15</t>
  </si>
  <si>
    <t>21-05-2023 06:30</t>
  </si>
  <si>
    <t>21-05-2023 06:45</t>
  </si>
  <si>
    <t>21-05-2023 07:00</t>
  </si>
  <si>
    <t>21-05-2023 07:15</t>
  </si>
  <si>
    <t>21-05-2023 07:30</t>
  </si>
  <si>
    <t>21-05-2023 07:45</t>
  </si>
  <si>
    <t>21-05-2023 08:00</t>
  </si>
  <si>
    <t>21-05-2023 08:15</t>
  </si>
  <si>
    <t>21-05-2023 08:30</t>
  </si>
  <si>
    <t>21-05-2023 08:45</t>
  </si>
  <si>
    <t>21-05-2023 09:00</t>
  </si>
  <si>
    <t>21-05-2023 09:15</t>
  </si>
  <si>
    <t>21-05-2023 09:30</t>
  </si>
  <si>
    <t>21-05-2023 09:45</t>
  </si>
  <si>
    <t>21-05-2023 10:00</t>
  </si>
  <si>
    <t>21-05-2023 10:15</t>
  </si>
  <si>
    <t>21-05-2023 10:30</t>
  </si>
  <si>
    <t>21-05-2023 10:45</t>
  </si>
  <si>
    <t>21-05-2023 11:00</t>
  </si>
  <si>
    <t>21-05-2023 11:15</t>
  </si>
  <si>
    <t>21-05-2023 11:30</t>
  </si>
  <si>
    <t>21-05-2023 11:45</t>
  </si>
  <si>
    <t>21-05-2023 12:00</t>
  </si>
  <si>
    <t>21-05-2023 12:15</t>
  </si>
  <si>
    <t>21-05-2023 12:30</t>
  </si>
  <si>
    <t>21-05-2023 12:45</t>
  </si>
  <si>
    <t>21-05-2023 13:00</t>
  </si>
  <si>
    <t>21-05-2023 13:15</t>
  </si>
  <si>
    <t>21-05-2023 13:30</t>
  </si>
  <si>
    <t>21-05-2023 13:45</t>
  </si>
  <si>
    <t>21-05-2023 14:00</t>
  </si>
  <si>
    <t>21-05-2023 14:15</t>
  </si>
  <si>
    <t>21-05-2023 14:30</t>
  </si>
  <si>
    <t>21-05-2023 14:45</t>
  </si>
  <si>
    <t>21-05-2023 15:00</t>
  </si>
  <si>
    <t>21-05-2023 15:15</t>
  </si>
  <si>
    <t>21-05-2023 15:30</t>
  </si>
  <si>
    <t>21-05-2023 15:45</t>
  </si>
  <si>
    <t>21-05-2023 16:00</t>
  </si>
  <si>
    <t>21-05-2023 16:15</t>
  </si>
  <si>
    <t>21-05-2023 16:30</t>
  </si>
  <si>
    <t>21-05-2023 16:45</t>
  </si>
  <si>
    <t>21-05-2023 17:00</t>
  </si>
  <si>
    <t>21-05-2023 17:15</t>
  </si>
  <si>
    <t>21-05-2023 17:30</t>
  </si>
  <si>
    <t>21-05-2023 17:45</t>
  </si>
  <si>
    <t>21-05-2023 18:00</t>
  </si>
  <si>
    <t>21-05-2023 18:15</t>
  </si>
  <si>
    <t>21-05-2023 18:30</t>
  </si>
  <si>
    <t>21-05-2023 18:45</t>
  </si>
  <si>
    <t>21-05-2023 19:00</t>
  </si>
  <si>
    <t>21-05-2023 19:15</t>
  </si>
  <si>
    <t>21-05-2023 19:30</t>
  </si>
  <si>
    <t>21-05-2023 19:45</t>
  </si>
  <si>
    <t>21-05-2023 20:00</t>
  </si>
  <si>
    <t>21-05-2023 20:15</t>
  </si>
  <si>
    <t>21-05-2023 20:30</t>
  </si>
  <si>
    <t>21-05-2023 20:45</t>
  </si>
  <si>
    <t>21-05-2023 21:00</t>
  </si>
  <si>
    <t>21-05-2023 21:15</t>
  </si>
  <si>
    <t>21-05-2023 21:30</t>
  </si>
  <si>
    <t>21-05-2023 21:45</t>
  </si>
  <si>
    <t>21-05-2023 22:00</t>
  </si>
  <si>
    <t>21-05-2023 22:15</t>
  </si>
  <si>
    <t>21-05-2023 22:30</t>
  </si>
  <si>
    <t>21-05-2023 22:45</t>
  </si>
  <si>
    <t>21-05-2023 23:00</t>
  </si>
  <si>
    <t>21-05-2023 23:15</t>
  </si>
  <si>
    <t>21-05-2023 23:30</t>
  </si>
  <si>
    <t>21-05-2023 23:45</t>
  </si>
  <si>
    <t>21-05-2023 24:00</t>
  </si>
  <si>
    <t>22-05-2023 00:15</t>
  </si>
  <si>
    <t>22-05-2023 00:30</t>
  </si>
  <si>
    <t>22-05-2023 00:45</t>
  </si>
  <si>
    <t>22-05-2023 01:00</t>
  </si>
  <si>
    <t>22-05-2023 01:15</t>
  </si>
  <si>
    <t>22-05-2023 01:30</t>
  </si>
  <si>
    <t>22-05-2023 01:45</t>
  </si>
  <si>
    <t>22-05-2023 02:00</t>
  </si>
  <si>
    <t>22-05-2023 02:15</t>
  </si>
  <si>
    <t>22-05-2023 02:30</t>
  </si>
  <si>
    <t>22-05-2023 02:45</t>
  </si>
  <si>
    <t>22-05-2023 03:00</t>
  </si>
  <si>
    <t>22-05-2023 03:15</t>
  </si>
  <si>
    <t>22-05-2023 03:30</t>
  </si>
  <si>
    <t>22-05-2023 03:45</t>
  </si>
  <si>
    <t>22-05-2023 04:00</t>
  </si>
  <si>
    <t>22-05-2023 04:15</t>
  </si>
  <si>
    <t>22-05-2023 04:30</t>
  </si>
  <si>
    <t>22-05-2023 04:45</t>
  </si>
  <si>
    <t>22-05-2023 05:00</t>
  </si>
  <si>
    <t>22-05-2023 05:15</t>
  </si>
  <si>
    <t>22-05-2023 05:30</t>
  </si>
  <si>
    <t>22-05-2023 05:45</t>
  </si>
  <si>
    <t>22-05-2023 06:00</t>
  </si>
  <si>
    <t>22-05-2023 06:15</t>
  </si>
  <si>
    <t>22-05-2023 06:30</t>
  </si>
  <si>
    <t>22-05-2023 06:45</t>
  </si>
  <si>
    <t>22-05-2023 07:00</t>
  </si>
  <si>
    <t>22-05-2023 07:15</t>
  </si>
  <si>
    <t>22-05-2023 07:30</t>
  </si>
  <si>
    <t>22-05-2023 07:45</t>
  </si>
  <si>
    <t>22-05-2023 08:00</t>
  </si>
  <si>
    <t>22-05-2023 08:15</t>
  </si>
  <si>
    <t>22-05-2023 08:30</t>
  </si>
  <si>
    <t>22-05-2023 08:45</t>
  </si>
  <si>
    <t>22-05-2023 09:00</t>
  </si>
  <si>
    <t>22-05-2023 09:15</t>
  </si>
  <si>
    <t>22-05-2023 09:30</t>
  </si>
  <si>
    <t>22-05-2023 09:45</t>
  </si>
  <si>
    <t>22-05-2023 10:00</t>
  </si>
  <si>
    <t>22-05-2023 10:15</t>
  </si>
  <si>
    <t>22-05-2023 10:30</t>
  </si>
  <si>
    <t>22-05-2023 10:45</t>
  </si>
  <si>
    <t>22-05-2023 11:00</t>
  </si>
  <si>
    <t>22-05-2023 11:15</t>
  </si>
  <si>
    <t>22-05-2023 11:30</t>
  </si>
  <si>
    <t>22-05-2023 11:45</t>
  </si>
  <si>
    <t>22-05-2023 12:00</t>
  </si>
  <si>
    <t>22-05-2023 12:15</t>
  </si>
  <si>
    <t>22-05-2023 12:30</t>
  </si>
  <si>
    <t>22-05-2023 12:45</t>
  </si>
  <si>
    <t>22-05-2023 13:00</t>
  </si>
  <si>
    <t>22-05-2023 13:15</t>
  </si>
  <si>
    <t>22-05-2023 13:30</t>
  </si>
  <si>
    <t>22-05-2023 13:45</t>
  </si>
  <si>
    <t>22-05-2023 14:00</t>
  </si>
  <si>
    <t>22-05-2023 14:15</t>
  </si>
  <si>
    <t>22-05-2023 14:30</t>
  </si>
  <si>
    <t>22-05-2023 14:45</t>
  </si>
  <si>
    <t>22-05-2023 15:00</t>
  </si>
  <si>
    <t>22-05-2023 15:15</t>
  </si>
  <si>
    <t>22-05-2023 15:30</t>
  </si>
  <si>
    <t>22-05-2023 15:45</t>
  </si>
  <si>
    <t>22-05-2023 16:00</t>
  </si>
  <si>
    <t>22-05-2023 16:15</t>
  </si>
  <si>
    <t>22-05-2023 16:30</t>
  </si>
  <si>
    <t>22-05-2023 16:45</t>
  </si>
  <si>
    <t>22-05-2023 17:00</t>
  </si>
  <si>
    <t>22-05-2023 17:15</t>
  </si>
  <si>
    <t>22-05-2023 17:30</t>
  </si>
  <si>
    <t>22-05-2023 17:45</t>
  </si>
  <si>
    <t>22-05-2023 18:00</t>
  </si>
  <si>
    <t>22-05-2023 18:15</t>
  </si>
  <si>
    <t>22-05-2023 18:30</t>
  </si>
  <si>
    <t>22-05-2023 18:45</t>
  </si>
  <si>
    <t>22-05-2023 19:00</t>
  </si>
  <si>
    <t>22-05-2023 19:15</t>
  </si>
  <si>
    <t>22-05-2023 19:30</t>
  </si>
  <si>
    <t>22-05-2023 19:45</t>
  </si>
  <si>
    <t>22-05-2023 20:00</t>
  </si>
  <si>
    <t>22-05-2023 20:15</t>
  </si>
  <si>
    <t>22-05-2023 20:30</t>
  </si>
  <si>
    <t>22-05-2023 20:45</t>
  </si>
  <si>
    <t>22-05-2023 21:00</t>
  </si>
  <si>
    <t>22-05-2023 21:15</t>
  </si>
  <si>
    <t>22-05-2023 21:30</t>
  </si>
  <si>
    <t>22-05-2023 21:45</t>
  </si>
  <si>
    <t>22-05-2023 22:00</t>
  </si>
  <si>
    <t>22-05-2023 22:15</t>
  </si>
  <si>
    <t>22-05-2023 22:30</t>
  </si>
  <si>
    <t>22-05-2023 22:45</t>
  </si>
  <si>
    <t>22-05-2023 23:00</t>
  </si>
  <si>
    <t>22-05-2023 23:15</t>
  </si>
  <si>
    <t>22-05-2023 23:30</t>
  </si>
  <si>
    <t>22-05-2023 23:45</t>
  </si>
  <si>
    <t>22-05-2023 24:00</t>
  </si>
  <si>
    <t>23-05-2023 00:15</t>
  </si>
  <si>
    <t>23-05-2023 00:30</t>
  </si>
  <si>
    <t>23-05-2023 00:45</t>
  </si>
  <si>
    <t>23-05-2023 01:00</t>
  </si>
  <si>
    <t>23-05-2023 01:15</t>
  </si>
  <si>
    <t>23-05-2023 01:30</t>
  </si>
  <si>
    <t>23-05-2023 01:45</t>
  </si>
  <si>
    <t>23-05-2023 02:00</t>
  </si>
  <si>
    <t>23-05-2023 02:15</t>
  </si>
  <si>
    <t>23-05-2023 02:30</t>
  </si>
  <si>
    <t>23-05-2023 02:45</t>
  </si>
  <si>
    <t>23-05-2023 03:00</t>
  </si>
  <si>
    <t>23-05-2023 03:15</t>
  </si>
  <si>
    <t>23-05-2023 03:30</t>
  </si>
  <si>
    <t>23-05-2023 03:45</t>
  </si>
  <si>
    <t>23-05-2023 04:00</t>
  </si>
  <si>
    <t>23-05-2023 04:15</t>
  </si>
  <si>
    <t>23-05-2023 04:30</t>
  </si>
  <si>
    <t>23-05-2023 04:45</t>
  </si>
  <si>
    <t>23-05-2023 05:00</t>
  </si>
  <si>
    <t>23-05-2023 05:15</t>
  </si>
  <si>
    <t>23-05-2023 05:30</t>
  </si>
  <si>
    <t>23-05-2023 05:45</t>
  </si>
  <si>
    <t>23-05-2023 06:00</t>
  </si>
  <si>
    <t>23-05-2023 06:15</t>
  </si>
  <si>
    <t>23-05-2023 06:30</t>
  </si>
  <si>
    <t>23-05-2023 06:45</t>
  </si>
  <si>
    <t>23-05-2023 07:00</t>
  </si>
  <si>
    <t>23-05-2023 07:15</t>
  </si>
  <si>
    <t>23-05-2023 07:30</t>
  </si>
  <si>
    <t>23-05-2023 07:45</t>
  </si>
  <si>
    <t>23-05-2023 08:00</t>
  </si>
  <si>
    <t>23-05-2023 08:15</t>
  </si>
  <si>
    <t>23-05-2023 08:30</t>
  </si>
  <si>
    <t>23-05-2023 08:45</t>
  </si>
  <si>
    <t>23-05-2023 09:00</t>
  </si>
  <si>
    <t>23-05-2023 09:15</t>
  </si>
  <si>
    <t>23-05-2023 09:30</t>
  </si>
  <si>
    <t>23-05-2023 09:45</t>
  </si>
  <si>
    <t>23-05-2023 10:00</t>
  </si>
  <si>
    <t>23-05-2023 10:15</t>
  </si>
  <si>
    <t>23-05-2023 10:30</t>
  </si>
  <si>
    <t>23-05-2023 10:45</t>
  </si>
  <si>
    <t>23-05-2023 11:00</t>
  </si>
  <si>
    <t>23-05-2023 11:15</t>
  </si>
  <si>
    <t>23-05-2023 11:30</t>
  </si>
  <si>
    <t>23-05-2023 11:45</t>
  </si>
  <si>
    <t>23-05-2023 12:00</t>
  </si>
  <si>
    <t>23-05-2023 12:15</t>
  </si>
  <si>
    <t>23-05-2023 12:30</t>
  </si>
  <si>
    <t>23-05-2023 12:45</t>
  </si>
  <si>
    <t>23-05-2023 13:00</t>
  </si>
  <si>
    <t>23-05-2023 13:15</t>
  </si>
  <si>
    <t>23-05-2023 13:30</t>
  </si>
  <si>
    <t>23-05-2023 13:45</t>
  </si>
  <si>
    <t>23-05-2023 14:00</t>
  </si>
  <si>
    <t>23-05-2023 14:15</t>
  </si>
  <si>
    <t>23-05-2023 14:30</t>
  </si>
  <si>
    <t>23-05-2023 14:45</t>
  </si>
  <si>
    <t>23-05-2023 15:00</t>
  </si>
  <si>
    <t>23-05-2023 15:15</t>
  </si>
  <si>
    <t>23-05-2023 15:30</t>
  </si>
  <si>
    <t>23-05-2023 15:45</t>
  </si>
  <si>
    <t>23-05-2023 16:00</t>
  </si>
  <si>
    <t>23-05-2023 16:15</t>
  </si>
  <si>
    <t>23-05-2023 16:30</t>
  </si>
  <si>
    <t>23-05-2023 16:45</t>
  </si>
  <si>
    <t>23-05-2023 17:00</t>
  </si>
  <si>
    <t>23-05-2023 17:15</t>
  </si>
  <si>
    <t>23-05-2023 17:30</t>
  </si>
  <si>
    <t>23-05-2023 17:45</t>
  </si>
  <si>
    <t>23-05-2023 18:00</t>
  </si>
  <si>
    <t>23-05-2023 18:15</t>
  </si>
  <si>
    <t>23-05-2023 18:30</t>
  </si>
  <si>
    <t>23-05-2023 18:45</t>
  </si>
  <si>
    <t>23-05-2023 19:00</t>
  </si>
  <si>
    <t>23-05-2023 19:15</t>
  </si>
  <si>
    <t>23-05-2023 19:30</t>
  </si>
  <si>
    <t>23-05-2023 19:45</t>
  </si>
  <si>
    <t>23-05-2023 20:00</t>
  </si>
  <si>
    <t>23-05-2023 20:15</t>
  </si>
  <si>
    <t>23-05-2023 20:30</t>
  </si>
  <si>
    <t>23-05-2023 20:45</t>
  </si>
  <si>
    <t>23-05-2023 21:00</t>
  </si>
  <si>
    <t>23-05-2023 21:15</t>
  </si>
  <si>
    <t>23-05-2023 21:30</t>
  </si>
  <si>
    <t>23-05-2023 21:45</t>
  </si>
  <si>
    <t>23-05-2023 22:00</t>
  </si>
  <si>
    <t>23-05-2023 22:15</t>
  </si>
  <si>
    <t>23-05-2023 22:30</t>
  </si>
  <si>
    <t>23-05-2023 22:45</t>
  </si>
  <si>
    <t>23-05-2023 23:00</t>
  </si>
  <si>
    <t>23-05-2023 23:15</t>
  </si>
  <si>
    <t>23-05-2023 23:30</t>
  </si>
  <si>
    <t>23-05-2023 23:45</t>
  </si>
  <si>
    <t>23-05-2023 24:00</t>
  </si>
  <si>
    <t>24-05-2023 00:15</t>
  </si>
  <si>
    <t>24-05-2023 00:30</t>
  </si>
  <si>
    <t>24-05-2023 00:45</t>
  </si>
  <si>
    <t>24-05-2023 01:00</t>
  </si>
  <si>
    <t>24-05-2023 01:15</t>
  </si>
  <si>
    <t>24-05-2023 01:30</t>
  </si>
  <si>
    <t>24-05-2023 01:45</t>
  </si>
  <si>
    <t>24-05-2023 02:00</t>
  </si>
  <si>
    <t>24-05-2023 02:15</t>
  </si>
  <si>
    <t>24-05-2023 02:30</t>
  </si>
  <si>
    <t>24-05-2023 02:45</t>
  </si>
  <si>
    <t>24-05-2023 03:00</t>
  </si>
  <si>
    <t>24-05-2023 03:15</t>
  </si>
  <si>
    <t>24-05-2023 03:30</t>
  </si>
  <si>
    <t>24-05-2023 03:45</t>
  </si>
  <si>
    <t>24-05-2023 04:00</t>
  </si>
  <si>
    <t>24-05-2023 04:15</t>
  </si>
  <si>
    <t>24-05-2023 04:30</t>
  </si>
  <si>
    <t>24-05-2023 04:45</t>
  </si>
  <si>
    <t>24-05-2023 05:00</t>
  </si>
  <si>
    <t>24-05-2023 05:15</t>
  </si>
  <si>
    <t>24-05-2023 05:30</t>
  </si>
  <si>
    <t>24-05-2023 05:45</t>
  </si>
  <si>
    <t>24-05-2023 06:00</t>
  </si>
  <si>
    <t>24-05-2023 06:15</t>
  </si>
  <si>
    <t>24-05-2023 06:30</t>
  </si>
  <si>
    <t>24-05-2023 06:45</t>
  </si>
  <si>
    <t>24-05-2023 07:00</t>
  </si>
  <si>
    <t>24-05-2023 07:15</t>
  </si>
  <si>
    <t>24-05-2023 07:30</t>
  </si>
  <si>
    <t>24-05-2023 07:45</t>
  </si>
  <si>
    <t>24-05-2023 08:00</t>
  </si>
  <si>
    <t>24-05-2023 08:15</t>
  </si>
  <si>
    <t>24-05-2023 08:30</t>
  </si>
  <si>
    <t>24-05-2023 08:45</t>
  </si>
  <si>
    <t>24-05-2023 09:00</t>
  </si>
  <si>
    <t>24-05-2023 09:15</t>
  </si>
  <si>
    <t>24-05-2023 09:30</t>
  </si>
  <si>
    <t>24-05-2023 09:45</t>
  </si>
  <si>
    <t>24-05-2023 10:00</t>
  </si>
  <si>
    <t>24-05-2023 10:15</t>
  </si>
  <si>
    <t>24-05-2023 10:30</t>
  </si>
  <si>
    <t>24-05-2023 10:45</t>
  </si>
  <si>
    <t>24-05-2023 11:00</t>
  </si>
  <si>
    <t>24-05-2023 11:15</t>
  </si>
  <si>
    <t>24-05-2023 11:30</t>
  </si>
  <si>
    <t>24-05-2023 11:45</t>
  </si>
  <si>
    <t>24-05-2023 12:00</t>
  </si>
  <si>
    <t>24-05-2023 12:15</t>
  </si>
  <si>
    <t>24-05-2023 12:30</t>
  </si>
  <si>
    <t>24-05-2023 12:45</t>
  </si>
  <si>
    <t>24-05-2023 13:00</t>
  </si>
  <si>
    <t>24-05-2023 13:15</t>
  </si>
  <si>
    <t>24-05-2023 13:30</t>
  </si>
  <si>
    <t>24-05-2023 13:45</t>
  </si>
  <si>
    <t>24-05-2023 14:00</t>
  </si>
  <si>
    <t>24-05-2023 14:15</t>
  </si>
  <si>
    <t>24-05-2023 14:30</t>
  </si>
  <si>
    <t>24-05-2023 14:45</t>
  </si>
  <si>
    <t>24-05-2023 15:00</t>
  </si>
  <si>
    <t>24-05-2023 15:15</t>
  </si>
  <si>
    <t>24-05-2023 15:30</t>
  </si>
  <si>
    <t>24-05-2023 15:45</t>
  </si>
  <si>
    <t>24-05-2023 16:00</t>
  </si>
  <si>
    <t>24-05-2023 16:15</t>
  </si>
  <si>
    <t>24-05-2023 16:30</t>
  </si>
  <si>
    <t>24-05-2023 16:45</t>
  </si>
  <si>
    <t>24-05-2023 17:00</t>
  </si>
  <si>
    <t>24-05-2023 17:15</t>
  </si>
  <si>
    <t>24-05-2023 17:30</t>
  </si>
  <si>
    <t>24-05-2023 17:45</t>
  </si>
  <si>
    <t>24-05-2023 18:00</t>
  </si>
  <si>
    <t>24-05-2023 18:15</t>
  </si>
  <si>
    <t>24-05-2023 18:30</t>
  </si>
  <si>
    <t>24-05-2023 18:45</t>
  </si>
  <si>
    <t>24-05-2023 19:00</t>
  </si>
  <si>
    <t>24-05-2023 19:15</t>
  </si>
  <si>
    <t>24-05-2023 19:30</t>
  </si>
  <si>
    <t>24-05-2023 19:45</t>
  </si>
  <si>
    <t>24-05-2023 20:00</t>
  </si>
  <si>
    <t>24-05-2023 20:15</t>
  </si>
  <si>
    <t>24-05-2023 20:30</t>
  </si>
  <si>
    <t>24-05-2023 20:45</t>
  </si>
  <si>
    <t>24-05-2023 21:00</t>
  </si>
  <si>
    <t>24-05-2023 21:15</t>
  </si>
  <si>
    <t>24-05-2023 21:30</t>
  </si>
  <si>
    <t>24-05-2023 21:45</t>
  </si>
  <si>
    <t>24-05-2023 22:00</t>
  </si>
  <si>
    <t>24-05-2023 22:15</t>
  </si>
  <si>
    <t>24-05-2023 22:30</t>
  </si>
  <si>
    <t>24-05-2023 22:45</t>
  </si>
  <si>
    <t>24-05-2023 23:00</t>
  </si>
  <si>
    <t>24-05-2023 23:15</t>
  </si>
  <si>
    <t>24-05-2023 23:30</t>
  </si>
  <si>
    <t>24-05-2023 23:45</t>
  </si>
  <si>
    <t>24-05-2023 24:00</t>
  </si>
  <si>
    <t>25-05-2023 00:15</t>
  </si>
  <si>
    <t>25-05-2023 00:30</t>
  </si>
  <si>
    <t>25-05-2023 00:45</t>
  </si>
  <si>
    <t>25-05-2023 01:00</t>
  </si>
  <si>
    <t>25-05-2023 01:15</t>
  </si>
  <si>
    <t>25-05-2023 01:30</t>
  </si>
  <si>
    <t>25-05-2023 01:45</t>
  </si>
  <si>
    <t>25-05-2023 02:00</t>
  </si>
  <si>
    <t>25-05-2023 02:15</t>
  </si>
  <si>
    <t>25-05-2023 02:30</t>
  </si>
  <si>
    <t>25-05-2023 02:45</t>
  </si>
  <si>
    <t>25-05-2023 03:00</t>
  </si>
  <si>
    <t>25-05-2023 03:15</t>
  </si>
  <si>
    <t>25-05-2023 03:30</t>
  </si>
  <si>
    <t>25-05-2023 03:45</t>
  </si>
  <si>
    <t>25-05-2023 04:00</t>
  </si>
  <si>
    <t>25-05-2023 04:15</t>
  </si>
  <si>
    <t>25-05-2023 04:30</t>
  </si>
  <si>
    <t>25-05-2023 04:45</t>
  </si>
  <si>
    <t>25-05-2023 05:00</t>
  </si>
  <si>
    <t>25-05-2023 05:15</t>
  </si>
  <si>
    <t>25-05-2023 05:30</t>
  </si>
  <si>
    <t>25-05-2023 05:45</t>
  </si>
  <si>
    <t>25-05-2023 06:00</t>
  </si>
  <si>
    <t>25-05-2023 06:15</t>
  </si>
  <si>
    <t>25-05-2023 06:30</t>
  </si>
  <si>
    <t>25-05-2023 06:45</t>
  </si>
  <si>
    <t>25-05-2023 07:00</t>
  </si>
  <si>
    <t>25-05-2023 07:15</t>
  </si>
  <si>
    <t>25-05-2023 07:30</t>
  </si>
  <si>
    <t>25-05-2023 07:45</t>
  </si>
  <si>
    <t>25-05-2023 08:00</t>
  </si>
  <si>
    <t>25-05-2023 08:15</t>
  </si>
  <si>
    <t>25-05-2023 08:30</t>
  </si>
  <si>
    <t>25-05-2023 08:45</t>
  </si>
  <si>
    <t>25-05-2023 09:00</t>
  </si>
  <si>
    <t>25-05-2023 09:15</t>
  </si>
  <si>
    <t>25-05-2023 09:30</t>
  </si>
  <si>
    <t>25-05-2023 09:45</t>
  </si>
  <si>
    <t>25-05-2023 10:00</t>
  </si>
  <si>
    <t>25-05-2023 10:15</t>
  </si>
  <si>
    <t>25-05-2023 10:30</t>
  </si>
  <si>
    <t>25-05-2023 10:45</t>
  </si>
  <si>
    <t>25-05-2023 11:00</t>
  </si>
  <si>
    <t>25-05-2023 11:15</t>
  </si>
  <si>
    <t>25-05-2023 11:30</t>
  </si>
  <si>
    <t>25-05-2023 11:45</t>
  </si>
  <si>
    <t>25-05-2023 12:00</t>
  </si>
  <si>
    <t>25-05-2023 12:15</t>
  </si>
  <si>
    <t>25-05-2023 12:30</t>
  </si>
  <si>
    <t>25-05-2023 12:45</t>
  </si>
  <si>
    <t>25-05-2023 13:00</t>
  </si>
  <si>
    <t>25-05-2023 13:15</t>
  </si>
  <si>
    <t>25-05-2023 13:30</t>
  </si>
  <si>
    <t>25-05-2023 13:45</t>
  </si>
  <si>
    <t>25-05-2023 14:00</t>
  </si>
  <si>
    <t>25-05-2023 14:15</t>
  </si>
  <si>
    <t>25-05-2023 14:30</t>
  </si>
  <si>
    <t>25-05-2023 14:45</t>
  </si>
  <si>
    <t>25-05-2023 15:00</t>
  </si>
  <si>
    <t>25-05-2023 15:15</t>
  </si>
  <si>
    <t>25-05-2023 15:30</t>
  </si>
  <si>
    <t>25-05-2023 15:45</t>
  </si>
  <si>
    <t>25-05-2023 16:00</t>
  </si>
  <si>
    <t>25-05-2023 16:15</t>
  </si>
  <si>
    <t>25-05-2023 16:30</t>
  </si>
  <si>
    <t>25-05-2023 16:45</t>
  </si>
  <si>
    <t>25-05-2023 17:00</t>
  </si>
  <si>
    <t>25-05-2023 17:15</t>
  </si>
  <si>
    <t>25-05-2023 17:30</t>
  </si>
  <si>
    <t>25-05-2023 17:45</t>
  </si>
  <si>
    <t>25-05-2023 18:00</t>
  </si>
  <si>
    <t>25-05-2023 18:15</t>
  </si>
  <si>
    <t>25-05-2023 18:30</t>
  </si>
  <si>
    <t>25-05-2023 18:45</t>
  </si>
  <si>
    <t>25-05-2023 19:00</t>
  </si>
  <si>
    <t>25-05-2023 19:15</t>
  </si>
  <si>
    <t>25-05-2023 19:30</t>
  </si>
  <si>
    <t>25-05-2023 19:45</t>
  </si>
  <si>
    <t>25-05-2023 20:00</t>
  </si>
  <si>
    <t>25-05-2023 20:15</t>
  </si>
  <si>
    <t>25-05-2023 20:30</t>
  </si>
  <si>
    <t>25-05-2023 20:45</t>
  </si>
  <si>
    <t>25-05-2023 21:00</t>
  </si>
  <si>
    <t>25-05-2023 21:15</t>
  </si>
  <si>
    <t>25-05-2023 21:30</t>
  </si>
  <si>
    <t>25-05-2023 21:45</t>
  </si>
  <si>
    <t>25-05-2023 22:00</t>
  </si>
  <si>
    <t>25-05-2023 22:15</t>
  </si>
  <si>
    <t>25-05-2023 22:30</t>
  </si>
  <si>
    <t>25-05-2023 22:45</t>
  </si>
  <si>
    <t>25-05-2023 23:00</t>
  </si>
  <si>
    <t>25-05-2023 23:15</t>
  </si>
  <si>
    <t>25-05-2023 23:30</t>
  </si>
  <si>
    <t>25-05-2023 23:45</t>
  </si>
  <si>
    <t>25-05-2023 24:00</t>
  </si>
  <si>
    <t>26-05-2023 00:15</t>
  </si>
  <si>
    <t>26-05-2023 00:30</t>
  </si>
  <si>
    <t>26-05-2023 00:45</t>
  </si>
  <si>
    <t>26-05-2023 01:00</t>
  </si>
  <si>
    <t>26-05-2023 01:15</t>
  </si>
  <si>
    <t>26-05-2023 01:30</t>
  </si>
  <si>
    <t>26-05-2023 01:45</t>
  </si>
  <si>
    <t>26-05-2023 02:00</t>
  </si>
  <si>
    <t>26-05-2023 02:15</t>
  </si>
  <si>
    <t>26-05-2023 02:30</t>
  </si>
  <si>
    <t>26-05-2023 02:45</t>
  </si>
  <si>
    <t>26-05-2023 03:00</t>
  </si>
  <si>
    <t>26-05-2023 03:15</t>
  </si>
  <si>
    <t>26-05-2023 03:30</t>
  </si>
  <si>
    <t>26-05-2023 03:45</t>
  </si>
  <si>
    <t>26-05-2023 04:00</t>
  </si>
  <si>
    <t>26-05-2023 04:15</t>
  </si>
  <si>
    <t>26-05-2023 04:30</t>
  </si>
  <si>
    <t>26-05-2023 04:45</t>
  </si>
  <si>
    <t>26-05-2023 05:00</t>
  </si>
  <si>
    <t>26-05-2023 05:15</t>
  </si>
  <si>
    <t>26-05-2023 05:30</t>
  </si>
  <si>
    <t>26-05-2023 05:45</t>
  </si>
  <si>
    <t>26-05-2023 06:00</t>
  </si>
  <si>
    <t>26-05-2023 06:15</t>
  </si>
  <si>
    <t>26-05-2023 06:30</t>
  </si>
  <si>
    <t>26-05-2023 06:45</t>
  </si>
  <si>
    <t>26-05-2023 07:00</t>
  </si>
  <si>
    <t>26-05-2023 07:15</t>
  </si>
  <si>
    <t>26-05-2023 07:30</t>
  </si>
  <si>
    <t>26-05-2023 07:45</t>
  </si>
  <si>
    <t>26-05-2023 08:00</t>
  </si>
  <si>
    <t>26-05-2023 08:15</t>
  </si>
  <si>
    <t>26-05-2023 08:30</t>
  </si>
  <si>
    <t>26-05-2023 08:45</t>
  </si>
  <si>
    <t>26-05-2023 09:00</t>
  </si>
  <si>
    <t>26-05-2023 09:15</t>
  </si>
  <si>
    <t>26-05-2023 09:30</t>
  </si>
  <si>
    <t>26-05-2023 09:45</t>
  </si>
  <si>
    <t>26-05-2023 10:00</t>
  </si>
  <si>
    <t>26-05-2023 10:15</t>
  </si>
  <si>
    <t>26-05-2023 10:30</t>
  </si>
  <si>
    <t>26-05-2023 10:45</t>
  </si>
  <si>
    <t>26-05-2023 11:00</t>
  </si>
  <si>
    <t>26-05-2023 11:15</t>
  </si>
  <si>
    <t>26-05-2023 11:30</t>
  </si>
  <si>
    <t>26-05-2023 11:45</t>
  </si>
  <si>
    <t>26-05-2023 12:00</t>
  </si>
  <si>
    <t>26-05-2023 12:15</t>
  </si>
  <si>
    <t>26-05-2023 12:30</t>
  </si>
  <si>
    <t>26-05-2023 12:45</t>
  </si>
  <si>
    <t>26-05-2023 13:00</t>
  </si>
  <si>
    <t>26-05-2023 13:15</t>
  </si>
  <si>
    <t>26-05-2023 13:30</t>
  </si>
  <si>
    <t>26-05-2023 13:45</t>
  </si>
  <si>
    <t>26-05-2023 14:00</t>
  </si>
  <si>
    <t>26-05-2023 14:15</t>
  </si>
  <si>
    <t>26-05-2023 14:30</t>
  </si>
  <si>
    <t>26-05-2023 14:45</t>
  </si>
  <si>
    <t>26-05-2023 15:00</t>
  </si>
  <si>
    <t>26-05-2023 15:15</t>
  </si>
  <si>
    <t>26-05-2023 15:30</t>
  </si>
  <si>
    <t>26-05-2023 15:45</t>
  </si>
  <si>
    <t>26-05-2023 16:00</t>
  </si>
  <si>
    <t>26-05-2023 16:15</t>
  </si>
  <si>
    <t>26-05-2023 16:30</t>
  </si>
  <si>
    <t>26-05-2023 16:45</t>
  </si>
  <si>
    <t>26-05-2023 17:00</t>
  </si>
  <si>
    <t>26-05-2023 17:15</t>
  </si>
  <si>
    <t>26-05-2023 17:30</t>
  </si>
  <si>
    <t>26-05-2023 17:45</t>
  </si>
  <si>
    <t>26-05-2023 18:00</t>
  </si>
  <si>
    <t>26-05-2023 18:15</t>
  </si>
  <si>
    <t>26-05-2023 18:30</t>
  </si>
  <si>
    <t>26-05-2023 18:45</t>
  </si>
  <si>
    <t>26-05-2023 19:00</t>
  </si>
  <si>
    <t>26-05-2023 19:15</t>
  </si>
  <si>
    <t>26-05-2023 19:30</t>
  </si>
  <si>
    <t>26-05-2023 19:45</t>
  </si>
  <si>
    <t>26-05-2023 20:00</t>
  </si>
  <si>
    <t>26-05-2023 20:15</t>
  </si>
  <si>
    <t>26-05-2023 20:30</t>
  </si>
  <si>
    <t>26-05-2023 20:45</t>
  </si>
  <si>
    <t>26-05-2023 21:00</t>
  </si>
  <si>
    <t>26-05-2023 21:15</t>
  </si>
  <si>
    <t>26-05-2023 21:30</t>
  </si>
  <si>
    <t>26-05-2023 21:45</t>
  </si>
  <si>
    <t>26-05-2023 22:00</t>
  </si>
  <si>
    <t>26-05-2023 22:15</t>
  </si>
  <si>
    <t>26-05-2023 22:30</t>
  </si>
  <si>
    <t>26-05-2023 22:45</t>
  </si>
  <si>
    <t>26-05-2023 23:00</t>
  </si>
  <si>
    <t>26-05-2023 23:15</t>
  </si>
  <si>
    <t>26-05-2023 23:30</t>
  </si>
  <si>
    <t>26-05-2023 23:45</t>
  </si>
  <si>
    <t>26-05-2023 24:00</t>
  </si>
  <si>
    <t>NO</t>
  </si>
  <si>
    <t>NO2</t>
  </si>
  <si>
    <t>BENZ</t>
  </si>
  <si>
    <t>WS</t>
  </si>
  <si>
    <t>WD</t>
  </si>
  <si>
    <t>TEMP</t>
  </si>
  <si>
    <t>HUM</t>
  </si>
  <si>
    <t>SR</t>
  </si>
  <si>
    <t>RG</t>
  </si>
  <si>
    <t>27-05-2023 00:15</t>
  </si>
  <si>
    <t>27-05-2023 00:30</t>
  </si>
  <si>
    <t>27-05-2023 00:45</t>
  </si>
  <si>
    <t>27-05-2023 01:00</t>
  </si>
  <si>
    <t>27-05-2023 01:15</t>
  </si>
  <si>
    <t>27-05-2023 01:30</t>
  </si>
  <si>
    <t>27-05-2023 01:45</t>
  </si>
  <si>
    <t>27-05-2023 02:00</t>
  </si>
  <si>
    <t>27-05-2023 02:15</t>
  </si>
  <si>
    <t>27-05-2023 02:30</t>
  </si>
  <si>
    <t>27-05-2023 02:45</t>
  </si>
  <si>
    <t>27-05-2023 03:00</t>
  </si>
  <si>
    <t>27-05-2023 03:15</t>
  </si>
  <si>
    <t>27-05-2023 03:30</t>
  </si>
  <si>
    <t>27-05-2023 03:45</t>
  </si>
  <si>
    <t>27-05-2023 04:00</t>
  </si>
  <si>
    <t>27-05-2023 04:15</t>
  </si>
  <si>
    <t>27-05-2023 04:30</t>
  </si>
  <si>
    <t>27-05-2023 04:45</t>
  </si>
  <si>
    <t>27-05-2023 05:00</t>
  </si>
  <si>
    <t>27-05-2023 05:15</t>
  </si>
  <si>
    <t>27-05-2023 05:30</t>
  </si>
  <si>
    <t>27-05-2023 05:45</t>
  </si>
  <si>
    <t>27-05-2023 06:00</t>
  </si>
  <si>
    <t>27-05-2023 06:15</t>
  </si>
  <si>
    <t>27-05-2023 06:30</t>
  </si>
  <si>
    <t>27-05-2023 06:45</t>
  </si>
  <si>
    <t>27-05-2023 07:00</t>
  </si>
  <si>
    <t>27-05-2023 07:15</t>
  </si>
  <si>
    <t>27-05-2023 07:30</t>
  </si>
  <si>
    <t>27-05-2023 07:45</t>
  </si>
  <si>
    <t>27-05-2023 08:00</t>
  </si>
  <si>
    <t>27-05-2023 08:15</t>
  </si>
  <si>
    <t>27-05-2023 08:30</t>
  </si>
  <si>
    <t>27-05-2023 08:45</t>
  </si>
  <si>
    <t>27-05-2023 09:00</t>
  </si>
  <si>
    <t>27-05-2023 09:15</t>
  </si>
  <si>
    <t>27-05-2023 09:30</t>
  </si>
  <si>
    <t>27-05-2023 09:45</t>
  </si>
  <si>
    <t>27-05-2023 10:00</t>
  </si>
  <si>
    <t>27-05-2023 10:15</t>
  </si>
  <si>
    <t>27-05-2023 10:30</t>
  </si>
  <si>
    <t>27-05-2023 10:45</t>
  </si>
  <si>
    <t>27-05-2023 11:00</t>
  </si>
  <si>
    <t>27-05-2023 11:15</t>
  </si>
  <si>
    <t>27-05-2023 11:30</t>
  </si>
  <si>
    <t>27-05-2023 11:45</t>
  </si>
  <si>
    <t>27-05-2023 12:00</t>
  </si>
  <si>
    <t>27-05-2023 12:15</t>
  </si>
  <si>
    <t>27-05-2023 12:30</t>
  </si>
  <si>
    <t>27-05-2023 12:45</t>
  </si>
  <si>
    <t>27-05-2023 13:00</t>
  </si>
  <si>
    <t>27-05-2023 13:15</t>
  </si>
  <si>
    <t>27-05-2023 13:30</t>
  </si>
  <si>
    <t>27-05-2023 13:45</t>
  </si>
  <si>
    <t>27-05-2023 14:00</t>
  </si>
  <si>
    <t>27-05-2023 14:15</t>
  </si>
  <si>
    <t>27-05-2023 14:30</t>
  </si>
  <si>
    <t>27-05-2023 14:45</t>
  </si>
  <si>
    <t>27-05-2023 15:00</t>
  </si>
  <si>
    <t>27-05-2023 15:15</t>
  </si>
  <si>
    <t>27-05-2023 15:30</t>
  </si>
  <si>
    <t>27-05-2023 15:45</t>
  </si>
  <si>
    <t>27-05-2023 16:00</t>
  </si>
  <si>
    <t>27-05-2023 16:15</t>
  </si>
  <si>
    <t>27-05-2023 16:30</t>
  </si>
  <si>
    <t>27-05-2023 16:45</t>
  </si>
  <si>
    <t>27-05-2023 17:00</t>
  </si>
  <si>
    <t>27-05-2023 17:15</t>
  </si>
  <si>
    <t>27-05-2023 17:30</t>
  </si>
  <si>
    <t>27-05-2023 17:45</t>
  </si>
  <si>
    <t>27-05-2023 18:00</t>
  </si>
  <si>
    <t>27-05-2023 18:15</t>
  </si>
  <si>
    <t>27-05-2023 18:30</t>
  </si>
  <si>
    <t>27-05-2023 18:45</t>
  </si>
  <si>
    <t>27-05-2023 19:00</t>
  </si>
  <si>
    <t>27-05-2023 19:15</t>
  </si>
  <si>
    <t>27-05-2023 19:30</t>
  </si>
  <si>
    <t>27-05-2023 19:45</t>
  </si>
  <si>
    <t>27-05-2023 20:00</t>
  </si>
  <si>
    <t>27-05-2023 20:15</t>
  </si>
  <si>
    <t>27-05-2023 20:30</t>
  </si>
  <si>
    <t>27-05-2023 20:45</t>
  </si>
  <si>
    <t>27-05-2023 21:00</t>
  </si>
  <si>
    <t>27-05-2023 21:15</t>
  </si>
  <si>
    <t>27-05-2023 21:30</t>
  </si>
  <si>
    <t>27-05-2023 21:45</t>
  </si>
  <si>
    <t>27-05-2023 22:00</t>
  </si>
  <si>
    <t>27-05-2023 22:15</t>
  </si>
  <si>
    <t>27-05-2023 22:30</t>
  </si>
  <si>
    <t>27-05-2023 22:45</t>
  </si>
  <si>
    <t>27-05-2023 23:00</t>
  </si>
  <si>
    <t>27-05-2023 23:15</t>
  </si>
  <si>
    <t>27-05-2023 23:30</t>
  </si>
  <si>
    <t>27-05-2023 23:45</t>
  </si>
  <si>
    <t>27-05-2023 24:00</t>
  </si>
  <si>
    <t>28-05-2023 00:15</t>
  </si>
  <si>
    <t>28-05-2023 00:30</t>
  </si>
  <si>
    <t>28-05-2023 00:45</t>
  </si>
  <si>
    <t>28-05-2023 01:00</t>
  </si>
  <si>
    <t>28-05-2023 01:15</t>
  </si>
  <si>
    <t>28-05-2023 01:30</t>
  </si>
  <si>
    <t>28-05-2023 01:45</t>
  </si>
  <si>
    <t>28-05-2023 02:00</t>
  </si>
  <si>
    <t>28-05-2023 02:15</t>
  </si>
  <si>
    <t>28-05-2023 02:30</t>
  </si>
  <si>
    <t>28-05-2023 02:45</t>
  </si>
  <si>
    <t>28-05-2023 03:00</t>
  </si>
  <si>
    <t>28-05-2023 03:15</t>
  </si>
  <si>
    <t>28-05-2023 03:30</t>
  </si>
  <si>
    <t>28-05-2023 03:45</t>
  </si>
  <si>
    <t>28-05-2023 04:00</t>
  </si>
  <si>
    <t>28-05-2023 04:15</t>
  </si>
  <si>
    <t>28-05-2023 04:30</t>
  </si>
  <si>
    <t>28-05-2023 04:45</t>
  </si>
  <si>
    <t>28-05-2023 05:00</t>
  </si>
  <si>
    <t>28-05-2023 05:15</t>
  </si>
  <si>
    <t>28-05-2023 05:30</t>
  </si>
  <si>
    <t>28-05-2023 05:45</t>
  </si>
  <si>
    <t>28-05-2023 06:00</t>
  </si>
  <si>
    <t>28-05-2023 06:15</t>
  </si>
  <si>
    <t>28-05-2023 06:30</t>
  </si>
  <si>
    <t>28-05-2023 06:45</t>
  </si>
  <si>
    <t>28-05-2023 07:00</t>
  </si>
  <si>
    <t>28-05-2023 07:15</t>
  </si>
  <si>
    <t>28-05-2023 07:30</t>
  </si>
  <si>
    <t>28-05-2023 07:45</t>
  </si>
  <si>
    <t>28-05-2023 08:00</t>
  </si>
  <si>
    <t>28-05-2023 08:15</t>
  </si>
  <si>
    <t>28-05-2023 08:30</t>
  </si>
  <si>
    <t>28-05-2023 08:45</t>
  </si>
  <si>
    <t>28-05-2023 09:00</t>
  </si>
  <si>
    <t>28-05-2023 09:15</t>
  </si>
  <si>
    <t>28-05-2023 09:30</t>
  </si>
  <si>
    <t>28-05-2023 09:45</t>
  </si>
  <si>
    <t>28-05-2023 10:00</t>
  </si>
  <si>
    <t>28-05-2023 10:15</t>
  </si>
  <si>
    <t>28-05-2023 10:30</t>
  </si>
  <si>
    <t>28-05-2023 10:45</t>
  </si>
  <si>
    <t>28-05-2023 11:00</t>
  </si>
  <si>
    <t>28-05-2023 11:15</t>
  </si>
  <si>
    <t>28-05-2023 11:30</t>
  </si>
  <si>
    <t>28-05-2023 11:45</t>
  </si>
  <si>
    <t>28-05-2023 12:00</t>
  </si>
  <si>
    <t>28-05-2023 12:15</t>
  </si>
  <si>
    <t>28-05-2023 12:30</t>
  </si>
  <si>
    <t>28-05-2023 12:45</t>
  </si>
  <si>
    <t>28-05-2023 13:00</t>
  </si>
  <si>
    <t>28-05-2023 13:15</t>
  </si>
  <si>
    <t>28-05-2023 13:30</t>
  </si>
  <si>
    <t>28-05-2023 13:45</t>
  </si>
  <si>
    <t>28-05-2023 14:00</t>
  </si>
  <si>
    <t>28-05-2023 14:15</t>
  </si>
  <si>
    <t>28-05-2023 14:30</t>
  </si>
  <si>
    <t>28-05-2023 14:45</t>
  </si>
  <si>
    <t>28-05-2023 15:00</t>
  </si>
  <si>
    <t>28-05-2023 15:15</t>
  </si>
  <si>
    <t>28-05-2023 15:30</t>
  </si>
  <si>
    <t>28-05-2023 15:45</t>
  </si>
  <si>
    <t>28-05-2023 16:00</t>
  </si>
  <si>
    <t>28-05-2023 16:15</t>
  </si>
  <si>
    <t>28-05-2023 16:30</t>
  </si>
  <si>
    <t>28-05-2023 16:45</t>
  </si>
  <si>
    <t>28-05-2023 17:00</t>
  </si>
  <si>
    <t>28-05-2023 17:15</t>
  </si>
  <si>
    <t>28-05-2023 17:30</t>
  </si>
  <si>
    <t>28-05-2023 17:45</t>
  </si>
  <si>
    <t>28-05-2023 18:00</t>
  </si>
  <si>
    <t>28-05-2023 18:15</t>
  </si>
  <si>
    <t>28-05-2023 18:30</t>
  </si>
  <si>
    <t>28-05-2023 18:45</t>
  </si>
  <si>
    <t>28-05-2023 19:00</t>
  </si>
  <si>
    <t>28-05-2023 19:15</t>
  </si>
  <si>
    <t>28-05-2023 19:30</t>
  </si>
  <si>
    <t>28-05-2023 19:45</t>
  </si>
  <si>
    <t>28-05-2023 20:00</t>
  </si>
  <si>
    <t>28-05-2023 20:15</t>
  </si>
  <si>
    <t>28-05-2023 20:30</t>
  </si>
  <si>
    <t>28-05-2023 20:45</t>
  </si>
  <si>
    <t>28-05-2023 21:00</t>
  </si>
  <si>
    <t>28-05-2023 21:15</t>
  </si>
  <si>
    <t>28-05-2023 21:30</t>
  </si>
  <si>
    <t>28-05-2023 21:45</t>
  </si>
  <si>
    <t>28-05-2023 22:00</t>
  </si>
  <si>
    <t>28-05-2023 22:15</t>
  </si>
  <si>
    <t>28-05-2023 22:30</t>
  </si>
  <si>
    <t>28-05-2023 22:45</t>
  </si>
  <si>
    <t>28-05-2023 23:00</t>
  </si>
  <si>
    <t>28-05-2023 23:15</t>
  </si>
  <si>
    <t>28-05-2023 23:30</t>
  </si>
  <si>
    <t>28-05-2023 23:45</t>
  </si>
  <si>
    <t>28-05-2023 24:00</t>
  </si>
  <si>
    <t>29-05-2023 00:15</t>
  </si>
  <si>
    <t>29-05-2023 00:30</t>
  </si>
  <si>
    <t>29-05-2023 00:45</t>
  </si>
  <si>
    <t>29-05-2023 01:00</t>
  </si>
  <si>
    <t>29-05-2023 01:15</t>
  </si>
  <si>
    <t>29-05-2023 01:30</t>
  </si>
  <si>
    <t>29-05-2023 01:45</t>
  </si>
  <si>
    <t>29-05-2023 02:00</t>
  </si>
  <si>
    <t>29-05-2023 02:15</t>
  </si>
  <si>
    <t>29-05-2023 02:30</t>
  </si>
  <si>
    <t>29-05-2023 02:45</t>
  </si>
  <si>
    <t>29-05-2023 03:00</t>
  </si>
  <si>
    <t>29-05-2023 03:15</t>
  </si>
  <si>
    <t>29-05-2023 03:30</t>
  </si>
  <si>
    <t>29-05-2023 03:45</t>
  </si>
  <si>
    <t>29-05-2023 04:00</t>
  </si>
  <si>
    <t>29-05-2023 04:15</t>
  </si>
  <si>
    <t>29-05-2023 04:30</t>
  </si>
  <si>
    <t>29-05-2023 04:45</t>
  </si>
  <si>
    <t>29-05-2023 05:00</t>
  </si>
  <si>
    <t>29-05-2023 05:15</t>
  </si>
  <si>
    <t>29-05-2023 05:30</t>
  </si>
  <si>
    <t>29-05-2023 05:45</t>
  </si>
  <si>
    <t>29-05-2023 06:00</t>
  </si>
  <si>
    <t>29-05-2023 06:15</t>
  </si>
  <si>
    <t>29-05-2023 06:30</t>
  </si>
  <si>
    <t>29-05-2023 06:45</t>
  </si>
  <si>
    <t>29-05-2023 07:00</t>
  </si>
  <si>
    <t>29-05-2023 07:15</t>
  </si>
  <si>
    <t>29-05-2023 07:30</t>
  </si>
  <si>
    <t>29-05-2023 07:45</t>
  </si>
  <si>
    <t>29-05-2023 08:00</t>
  </si>
  <si>
    <t>29-05-2023 08:15</t>
  </si>
  <si>
    <t>29-05-2023 08:30</t>
  </si>
  <si>
    <t>29-05-2023 08:45</t>
  </si>
  <si>
    <t>29-05-2023 09:00</t>
  </si>
  <si>
    <t>29-05-2023 09:15</t>
  </si>
  <si>
    <t>29-05-2023 09:30</t>
  </si>
  <si>
    <t>29-05-2023 09:45</t>
  </si>
  <si>
    <t>29-05-2023 10:00</t>
  </si>
  <si>
    <t>29-05-2023 10:15</t>
  </si>
  <si>
    <t>29-05-2023 10:30</t>
  </si>
  <si>
    <t>29-05-2023 10:45</t>
  </si>
  <si>
    <t>29-05-2023 11:00</t>
  </si>
  <si>
    <t>29-05-2023 11:15</t>
  </si>
  <si>
    <t>29-05-2023 11:30</t>
  </si>
  <si>
    <t>29-05-2023 11:45</t>
  </si>
  <si>
    <t>29-05-2023 12:00</t>
  </si>
  <si>
    <t>29-05-2023 12:15</t>
  </si>
  <si>
    <t>29-05-2023 12:30</t>
  </si>
  <si>
    <t>29-05-2023 12:45</t>
  </si>
  <si>
    <t>29-05-2023 13:00</t>
  </si>
  <si>
    <t>29-05-2023 13:15</t>
  </si>
  <si>
    <t>29-05-2023 13:30</t>
  </si>
  <si>
    <t>29-05-2023 13:45</t>
  </si>
  <si>
    <t>29-05-2023 14:00</t>
  </si>
  <si>
    <t>29-05-2023 14:15</t>
  </si>
  <si>
    <t>29-05-2023 14:30</t>
  </si>
  <si>
    <t>29-05-2023 14:45</t>
  </si>
  <si>
    <t>29-05-2023 15:00</t>
  </si>
  <si>
    <t>29-05-2023 15:15</t>
  </si>
  <si>
    <t>29-05-2023 15:30</t>
  </si>
  <si>
    <t>29-05-2023 15:45</t>
  </si>
  <si>
    <t>29-05-2023 16:00</t>
  </si>
  <si>
    <t>29-05-2023 16:15</t>
  </si>
  <si>
    <t>29-05-2023 16:30</t>
  </si>
  <si>
    <t>29-05-2023 16:45</t>
  </si>
  <si>
    <t>29-05-2023 17:00</t>
  </si>
  <si>
    <t>29-05-2023 17:15</t>
  </si>
  <si>
    <t>29-05-2023 17:30</t>
  </si>
  <si>
    <t>29-05-2023 17:45</t>
  </si>
  <si>
    <t>29-05-2023 18:00</t>
  </si>
  <si>
    <t>29-05-2023 18:15</t>
  </si>
  <si>
    <t>29-05-2023 18:30</t>
  </si>
  <si>
    <t>29-05-2023 18:45</t>
  </si>
  <si>
    <t>29-05-2023 19:00</t>
  </si>
  <si>
    <t>29-05-2023 19:15</t>
  </si>
  <si>
    <t>29-05-2023 19:30</t>
  </si>
  <si>
    <t>29-05-2023 19:45</t>
  </si>
  <si>
    <t>29-05-2023 20:00</t>
  </si>
  <si>
    <t>29-05-2023 20:15</t>
  </si>
  <si>
    <t>29-05-2023 20:30</t>
  </si>
  <si>
    <t>29-05-2023 20:45</t>
  </si>
  <si>
    <t>29-05-2023 21:00</t>
  </si>
  <si>
    <t>29-05-2023 21:15</t>
  </si>
  <si>
    <t>29-05-2023 21:30</t>
  </si>
  <si>
    <t>29-05-2023 21:45</t>
  </si>
  <si>
    <t>29-05-2023 22:00</t>
  </si>
  <si>
    <t>29-05-2023 22:15</t>
  </si>
  <si>
    <t>29-05-2023 22:30</t>
  </si>
  <si>
    <t>29-05-2023 22:45</t>
  </si>
  <si>
    <t>29-05-2023 23:00</t>
  </si>
  <si>
    <t>29-05-2023 23:15</t>
  </si>
  <si>
    <t>29-05-2023 23:30</t>
  </si>
  <si>
    <t>29-05-2023 23:45</t>
  </si>
  <si>
    <t>29-05-2023 24:00</t>
  </si>
  <si>
    <t>30-05-2023 00:15</t>
  </si>
  <si>
    <t>30-05-2023 00:30</t>
  </si>
  <si>
    <t>30-05-2023 00:45</t>
  </si>
  <si>
    <t>30-05-2023 01:00</t>
  </si>
  <si>
    <t>30-05-2023 01:15</t>
  </si>
  <si>
    <t>30-05-2023 01:30</t>
  </si>
  <si>
    <t>30-05-2023 01:45</t>
  </si>
  <si>
    <t>30-05-2023 02:00</t>
  </si>
  <si>
    <t>30-05-2023 02:15</t>
  </si>
  <si>
    <t>30-05-2023 02:30</t>
  </si>
  <si>
    <t>30-05-2023 02:45</t>
  </si>
  <si>
    <t>30-05-2023 03:00</t>
  </si>
  <si>
    <t>30-05-2023 03:15</t>
  </si>
  <si>
    <t>30-05-2023 03:30</t>
  </si>
  <si>
    <t>30-05-2023 03:45</t>
  </si>
  <si>
    <t>30-05-2023 04:00</t>
  </si>
  <si>
    <t>30-05-2023 04:15</t>
  </si>
  <si>
    <t>30-05-2023 04:30</t>
  </si>
  <si>
    <t>30-05-2023 04:45</t>
  </si>
  <si>
    <t>30-05-2023 05:00</t>
  </si>
  <si>
    <t>30-05-2023 05:15</t>
  </si>
  <si>
    <t>30-05-2023 05:30</t>
  </si>
  <si>
    <t>30-05-2023 05:45</t>
  </si>
  <si>
    <t>30-05-2023 06:00</t>
  </si>
  <si>
    <t>30-05-2023 06:15</t>
  </si>
  <si>
    <t>30-05-2023 06:30</t>
  </si>
  <si>
    <t>30-05-2023 06:45</t>
  </si>
  <si>
    <t>30-05-2023 07:00</t>
  </si>
  <si>
    <t>30-05-2023 07:15</t>
  </si>
  <si>
    <t>30-05-2023 07:30</t>
  </si>
  <si>
    <t>30-05-2023 07:45</t>
  </si>
  <si>
    <t>30-05-2023 08:00</t>
  </si>
  <si>
    <t>30-05-2023 08:15</t>
  </si>
  <si>
    <t>30-05-2023 08:30</t>
  </si>
  <si>
    <t>30-05-2023 08:45</t>
  </si>
  <si>
    <t>30-05-2023 09:00</t>
  </si>
  <si>
    <t>30-05-2023 09:15</t>
  </si>
  <si>
    <t>30-05-2023 09:30</t>
  </si>
  <si>
    <t>30-05-2023 09:45</t>
  </si>
  <si>
    <t>30-05-2023 10:00</t>
  </si>
  <si>
    <t>30-05-2023 10:15</t>
  </si>
  <si>
    <t>30-05-2023 10:30</t>
  </si>
  <si>
    <t>30-05-2023 10:45</t>
  </si>
  <si>
    <t>30-05-2023 11:00</t>
  </si>
  <si>
    <t>30-05-2023 11:15</t>
  </si>
  <si>
    <t>30-05-2023 11:30</t>
  </si>
  <si>
    <t>30-05-2023 11:45</t>
  </si>
  <si>
    <t>30-05-2023 12:00</t>
  </si>
  <si>
    <t>30-05-2023 12:15</t>
  </si>
  <si>
    <t>30-05-2023 12:30</t>
  </si>
  <si>
    <t>30-05-2023 12:45</t>
  </si>
  <si>
    <t>30-05-2023 13:00</t>
  </si>
  <si>
    <t>30-05-2023 13:15</t>
  </si>
  <si>
    <t>30-05-2023 13:30</t>
  </si>
  <si>
    <t>30-05-2023 13:45</t>
  </si>
  <si>
    <t>30-05-2023 14:00</t>
  </si>
  <si>
    <t>30-05-2023 14:15</t>
  </si>
  <si>
    <t>30-05-2023 14:30</t>
  </si>
  <si>
    <t>30-05-2023 14:45</t>
  </si>
  <si>
    <t>30-05-2023 15:00</t>
  </si>
  <si>
    <t>30-05-2023 15:15</t>
  </si>
  <si>
    <t>30-05-2023 15:30</t>
  </si>
  <si>
    <t>30-05-2023 15:45</t>
  </si>
  <si>
    <t>30-05-2023 16:00</t>
  </si>
  <si>
    <t>30-05-2023 16:15</t>
  </si>
  <si>
    <t>30-05-2023 16:30</t>
  </si>
  <si>
    <t>30-05-2023 16:45</t>
  </si>
  <si>
    <t>30-05-2023 17:00</t>
  </si>
  <si>
    <t>30-05-2023 17:15</t>
  </si>
  <si>
    <t>30-05-2023 17:30</t>
  </si>
  <si>
    <t>30-05-2023 17:45</t>
  </si>
  <si>
    <t>30-05-2023 18:00</t>
  </si>
  <si>
    <t>30-05-2023 18:15</t>
  </si>
  <si>
    <t>30-05-2023 18:30</t>
  </si>
  <si>
    <t>30-05-2023 18:45</t>
  </si>
  <si>
    <t>30-05-2023 19:00</t>
  </si>
  <si>
    <t>30-05-2023 19:15</t>
  </si>
  <si>
    <t>30-05-2023 19:30</t>
  </si>
  <si>
    <t>30-05-2023 19:45</t>
  </si>
  <si>
    <t>30-05-2023 20:00</t>
  </si>
  <si>
    <t>30-05-2023 20:15</t>
  </si>
  <si>
    <t>30-05-2023 20:30</t>
  </si>
  <si>
    <t>30-05-2023 20:45</t>
  </si>
  <si>
    <t>30-05-2023 21:00</t>
  </si>
  <si>
    <t>30-05-2023 21:15</t>
  </si>
  <si>
    <t>30-05-2023 21:30</t>
  </si>
  <si>
    <t>30-05-2023 21:45</t>
  </si>
  <si>
    <t>30-05-2023 22:00</t>
  </si>
  <si>
    <t>30-05-2023 22:15</t>
  </si>
  <si>
    <t>30-05-2023 22:30</t>
  </si>
  <si>
    <t>30-05-2023 22:45</t>
  </si>
  <si>
    <t>30-05-2023 23:00</t>
  </si>
  <si>
    <t>30-05-2023 23:15</t>
  </si>
  <si>
    <t>30-05-2023 23:30</t>
  </si>
  <si>
    <t>30-05-2023 23:45</t>
  </si>
  <si>
    <t>30-05-2023 24:00</t>
  </si>
  <si>
    <t>31-05-2023 00:15</t>
  </si>
  <si>
    <t>31-05-2023 00:30</t>
  </si>
  <si>
    <t>31-05-2023 00:45</t>
  </si>
  <si>
    <t>31-05-2023 01:00</t>
  </si>
  <si>
    <t>31-05-2023 01:15</t>
  </si>
  <si>
    <t>31-05-2023 01:30</t>
  </si>
  <si>
    <t>31-05-2023 01:45</t>
  </si>
  <si>
    <t>31-05-2023 02:00</t>
  </si>
  <si>
    <t>31-05-2023 02:15</t>
  </si>
  <si>
    <t>31-05-2023 02:30</t>
  </si>
  <si>
    <t>31-05-2023 02:45</t>
  </si>
  <si>
    <t>31-05-2023 03:00</t>
  </si>
  <si>
    <t>31-05-2023 03:15</t>
  </si>
  <si>
    <t>31-05-2023 03:30</t>
  </si>
  <si>
    <t>31-05-2023 03:45</t>
  </si>
  <si>
    <t>31-05-2023 04:00</t>
  </si>
  <si>
    <t>31-05-2023 04:15</t>
  </si>
  <si>
    <t>31-05-2023 04:30</t>
  </si>
  <si>
    <t>31-05-2023 04:45</t>
  </si>
  <si>
    <t>31-05-2023 05:00</t>
  </si>
  <si>
    <t>31-05-2023 05:15</t>
  </si>
  <si>
    <t>31-05-2023 05:30</t>
  </si>
  <si>
    <t>31-05-2023 05:45</t>
  </si>
  <si>
    <t>31-05-2023 06:00</t>
  </si>
  <si>
    <t>31-05-2023 06:15</t>
  </si>
  <si>
    <t>31-05-2023 06:30</t>
  </si>
  <si>
    <t>31-05-2023 06:45</t>
  </si>
  <si>
    <t>31-05-2023 07:00</t>
  </si>
  <si>
    <t>31-05-2023 07:15</t>
  </si>
  <si>
    <t>31-05-2023 07:30</t>
  </si>
  <si>
    <t>31-05-2023 07:45</t>
  </si>
  <si>
    <t>31-05-2023 08:00</t>
  </si>
  <si>
    <t>31-05-2023 08:15</t>
  </si>
  <si>
    <t>31-05-2023 08:30</t>
  </si>
  <si>
    <t>31-05-2023 08:45</t>
  </si>
  <si>
    <t>31-05-2023 09:00</t>
  </si>
  <si>
    <t>31-05-2023 09:15</t>
  </si>
  <si>
    <t>31-05-2023 09:30</t>
  </si>
  <si>
    <t>31-05-2023 09:45</t>
  </si>
  <si>
    <t>31-05-2023 10:00</t>
  </si>
  <si>
    <t>31-05-2023 10:15</t>
  </si>
  <si>
    <t>31-05-2023 10:30</t>
  </si>
  <si>
    <t>31-05-2023 10:45</t>
  </si>
  <si>
    <t>31-05-2023 11:00</t>
  </si>
  <si>
    <t>31-05-2023 11:15</t>
  </si>
  <si>
    <t>31-05-2023 11:30</t>
  </si>
  <si>
    <t>31-05-2023 11:45</t>
  </si>
  <si>
    <t>31-05-2023 12:00</t>
  </si>
  <si>
    <t>31-05-2023 12:15</t>
  </si>
  <si>
    <t>31-05-2023 12:30</t>
  </si>
  <si>
    <t>31-05-2023 12:45</t>
  </si>
  <si>
    <t>31-05-2023 13:00</t>
  </si>
  <si>
    <t>31-05-2023 13:15</t>
  </si>
  <si>
    <t>31-05-2023 13:30</t>
  </si>
  <si>
    <t>31-05-2023 13:45</t>
  </si>
  <si>
    <t>31-05-2023 14:00</t>
  </si>
  <si>
    <t>31-05-2023 14:15</t>
  </si>
  <si>
    <t>31-05-2023 14:30</t>
  </si>
  <si>
    <t>31-05-2023 14:45</t>
  </si>
  <si>
    <t>31-05-2023 15:00</t>
  </si>
  <si>
    <t>31-05-2023 15:15</t>
  </si>
  <si>
    <t>31-05-2023 15:30</t>
  </si>
  <si>
    <t>31-05-2023 15:45</t>
  </si>
  <si>
    <t>31-05-2023 16:00</t>
  </si>
  <si>
    <t>31-05-2023 16:15</t>
  </si>
  <si>
    <t>31-05-2023 16:30</t>
  </si>
  <si>
    <t>31-05-2023 16:45</t>
  </si>
  <si>
    <t>31-05-2023 17:00</t>
  </si>
  <si>
    <t>31-05-2023 17:15</t>
  </si>
  <si>
    <t>31-05-2023 17:30</t>
  </si>
  <si>
    <t>31-05-2023 17:45</t>
  </si>
  <si>
    <t>31-05-2023 18:00</t>
  </si>
  <si>
    <t>31-05-2023 18:15</t>
  </si>
  <si>
    <t>31-05-2023 18:30</t>
  </si>
  <si>
    <t>31-05-2023 18:45</t>
  </si>
  <si>
    <t>31-05-2023 19:00</t>
  </si>
  <si>
    <t>31-05-2023 19:15</t>
  </si>
  <si>
    <t>31-05-2023 19:30</t>
  </si>
  <si>
    <t>31-05-2023 19:45</t>
  </si>
  <si>
    <t>31-05-2023 20:00</t>
  </si>
  <si>
    <t>31-05-2023 20:15</t>
  </si>
  <si>
    <t>31-05-2023 20:30</t>
  </si>
  <si>
    <t>31-05-2023 20:45</t>
  </si>
  <si>
    <t>31-05-2023 21:00</t>
  </si>
  <si>
    <t>31-05-2023 21:15</t>
  </si>
  <si>
    <t>31-05-2023 21:30</t>
  </si>
  <si>
    <t>31-05-2023 21:45</t>
  </si>
  <si>
    <t>31-05-2023 22:00</t>
  </si>
  <si>
    <t>31-05-2023 22:15</t>
  </si>
  <si>
    <t>31-05-2023 22:30</t>
  </si>
  <si>
    <t>31-05-2023 22:45</t>
  </si>
  <si>
    <t>31-05-2023 23:00</t>
  </si>
  <si>
    <t>31-05-2023 23:15</t>
  </si>
  <si>
    <t>31-05-2023 23:30</t>
  </si>
  <si>
    <t>31-05-2023 23:45</t>
  </si>
  <si>
    <t>31-05-2023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</si>
</sst>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22"/>
      <color theme="1"/>
      <name val="Arial Black"/>
      <family val="2"/>
    </font>
    <font>
      <b/>
      <sz val="26"/>
      <color theme="1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3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39" fillId="13" borderId="0" xfId="0" applyNumberFormat="1" applyFont="1" applyFill="1" applyAlignment="1">
      <alignment horizontal="center" vertical="center"/>
    </xf>
    <xf numFmtId="0" fontId="40" fillId="13" borderId="0" xfId="0" applyFont="1" applyFill="1" applyAlignment="1">
      <alignment horizontal="center" vertical="center"/>
    </xf>
    <xf numFmtId="0" fontId="41" fillId="12" borderId="34" xfId="0" applyFont="1" applyFill="1" applyBorder="1" applyAlignment="1">
      <alignment horizontal="center" vertical="center"/>
    </xf>
    <xf numFmtId="0" fontId="41" fillId="12" borderId="21" xfId="0" applyFont="1" applyFill="1" applyBorder="1" applyAlignment="1">
      <alignment horizontal="center" vertical="center"/>
    </xf>
    <xf numFmtId="0" fontId="6" fillId="12" borderId="35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2" fillId="12" borderId="1" xfId="0" applyFont="1" applyFill="1" applyBorder="1" applyAlignment="1">
      <alignment horizontal="center" vertical="center"/>
    </xf>
    <xf numFmtId="0" fontId="42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41" fillId="12" borderId="36" xfId="0" applyFont="1" applyFill="1" applyBorder="1" applyAlignment="1">
      <alignment horizontal="center" vertical="center"/>
    </xf>
    <xf numFmtId="0" fontId="41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3" fillId="12" borderId="37" xfId="0" applyFont="1" applyFill="1" applyBorder="1" applyAlignment="1">
      <alignment horizontal="center" vertical="center"/>
    </xf>
    <xf numFmtId="0" fontId="43" fillId="12" borderId="25" xfId="0" applyFont="1" applyFill="1" applyBorder="1" applyAlignment="1">
      <alignment horizontal="center" vertical="center"/>
    </xf>
    <xf numFmtId="0" fontId="6" fillId="12" borderId="38" xfId="0" applyFont="1" applyFill="1" applyBorder="1" applyAlignment="1">
      <alignment horizontal="center"/>
    </xf>
    <xf numFmtId="0" fontId="6" fillId="12" borderId="39" xfId="0" applyFont="1" applyFill="1" applyBorder="1" applyAlignment="1">
      <alignment horizontal="center"/>
    </xf>
    <xf numFmtId="0" fontId="41" fillId="12" borderId="37" xfId="0" applyFont="1" applyFill="1" applyBorder="1" applyAlignment="1">
      <alignment horizontal="center" vertical="center"/>
    </xf>
    <xf numFmtId="0" fontId="41" fillId="12" borderId="25" xfId="0" applyFont="1" applyFill="1" applyBorder="1" applyAlignment="1">
      <alignment horizontal="center" vertical="center"/>
    </xf>
    <xf numFmtId="0" fontId="42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J134" sqref="J13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237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245</v>
      </c>
      <c r="B9" s="64">
        <v>10.27</v>
      </c>
      <c r="C9" s="64">
        <v>29.01</v>
      </c>
      <c r="D9" s="64">
        <v>24.89</v>
      </c>
      <c r="E9" s="64">
        <v>2.23</v>
      </c>
      <c r="F9" s="64">
        <v>3.31</v>
      </c>
      <c r="G9" s="64">
        <v>23.39</v>
      </c>
      <c r="H9" s="64">
        <v>9.7100000000000009</v>
      </c>
      <c r="I9" s="64">
        <v>0.55000000000000004</v>
      </c>
      <c r="J9" s="64">
        <v>0.22</v>
      </c>
      <c r="K9" s="64">
        <v>55.92</v>
      </c>
      <c r="L9" s="64">
        <v>17.91</v>
      </c>
      <c r="M9" s="64">
        <v>89.55</v>
      </c>
      <c r="N9" s="64">
        <v>5</v>
      </c>
      <c r="O9" s="64">
        <v>0</v>
      </c>
      <c r="P9" s="64">
        <v>0.74</v>
      </c>
      <c r="Q9" s="64">
        <v>29.4</v>
      </c>
      <c r="R9" s="198"/>
      <c r="S9" s="198"/>
      <c r="T9" s="198"/>
      <c r="U9" s="198"/>
    </row>
    <row r="10" spans="1:21" s="12" customFormat="1" x14ac:dyDescent="0.25">
      <c r="A10" s="211" t="s">
        <v>246</v>
      </c>
      <c r="B10" s="64">
        <v>10.49</v>
      </c>
      <c r="C10" s="64">
        <v>28.49</v>
      </c>
      <c r="D10" s="64">
        <v>24.78</v>
      </c>
      <c r="E10" s="64">
        <v>1.98</v>
      </c>
      <c r="F10" s="64">
        <v>3.45</v>
      </c>
      <c r="G10" s="64">
        <v>23.3</v>
      </c>
      <c r="H10" s="64">
        <v>9.7100000000000009</v>
      </c>
      <c r="I10" s="64">
        <v>0.55000000000000004</v>
      </c>
      <c r="J10" s="64">
        <v>0.74</v>
      </c>
      <c r="K10" s="64">
        <v>326.70999999999998</v>
      </c>
      <c r="L10" s="64">
        <v>17.89</v>
      </c>
      <c r="M10" s="64">
        <v>89.33</v>
      </c>
      <c r="N10" s="64">
        <v>5.4</v>
      </c>
      <c r="O10" s="64">
        <v>0</v>
      </c>
      <c r="P10" s="64">
        <v>0.74</v>
      </c>
      <c r="Q10" s="64">
        <v>29.77</v>
      </c>
      <c r="R10" s="198"/>
      <c r="S10" s="198"/>
      <c r="T10" s="198"/>
      <c r="U10" s="198"/>
    </row>
    <row r="11" spans="1:21" s="12" customFormat="1" x14ac:dyDescent="0.25">
      <c r="A11" s="211" t="s">
        <v>247</v>
      </c>
      <c r="B11" s="64">
        <v>10.16</v>
      </c>
      <c r="C11" s="64">
        <v>30.03</v>
      </c>
      <c r="D11" s="64">
        <v>25.37</v>
      </c>
      <c r="E11" s="64">
        <v>2.0499999999999998</v>
      </c>
      <c r="F11" s="64">
        <v>3.41</v>
      </c>
      <c r="G11" s="64">
        <v>23.3</v>
      </c>
      <c r="H11" s="64">
        <v>9.7100000000000009</v>
      </c>
      <c r="I11" s="64">
        <v>0.55000000000000004</v>
      </c>
      <c r="J11" s="64">
        <v>0.56999999999999995</v>
      </c>
      <c r="K11" s="64">
        <v>322.77999999999997</v>
      </c>
      <c r="L11" s="64">
        <v>17.82</v>
      </c>
      <c r="M11" s="64">
        <v>88.24</v>
      </c>
      <c r="N11" s="64">
        <v>5.8</v>
      </c>
      <c r="O11" s="64">
        <v>0</v>
      </c>
      <c r="P11" s="64">
        <v>0.74</v>
      </c>
      <c r="Q11" s="64">
        <v>29.84</v>
      </c>
      <c r="R11" s="198"/>
      <c r="S11" s="198"/>
      <c r="T11" s="198"/>
      <c r="U11" s="198"/>
    </row>
    <row r="12" spans="1:21" s="12" customFormat="1" x14ac:dyDescent="0.25">
      <c r="A12" s="211" t="s">
        <v>248</v>
      </c>
      <c r="B12" s="64">
        <v>9.51</v>
      </c>
      <c r="C12" s="64">
        <v>30.03</v>
      </c>
      <c r="D12" s="64">
        <v>24.85</v>
      </c>
      <c r="E12" s="64">
        <v>2.15</v>
      </c>
      <c r="F12" s="64">
        <v>3.08</v>
      </c>
      <c r="G12" s="64">
        <v>23.3</v>
      </c>
      <c r="H12" s="64">
        <v>9.7100000000000009</v>
      </c>
      <c r="I12" s="64">
        <v>0.55000000000000004</v>
      </c>
      <c r="J12" s="64">
        <v>0.09</v>
      </c>
      <c r="K12" s="64">
        <v>288.18</v>
      </c>
      <c r="L12" s="64">
        <v>17.809999999999999</v>
      </c>
      <c r="M12" s="64">
        <v>88.04</v>
      </c>
      <c r="N12" s="64">
        <v>5.4</v>
      </c>
      <c r="O12" s="64">
        <v>0</v>
      </c>
      <c r="P12" s="64">
        <v>0.73</v>
      </c>
      <c r="Q12" s="64">
        <v>29.22</v>
      </c>
      <c r="R12" s="198"/>
      <c r="S12" s="198"/>
      <c r="T12" s="198"/>
      <c r="U12" s="198"/>
    </row>
    <row r="13" spans="1:21" s="12" customFormat="1" x14ac:dyDescent="0.25">
      <c r="A13" s="211" t="s">
        <v>249</v>
      </c>
      <c r="B13" s="64">
        <v>8.67</v>
      </c>
      <c r="C13" s="64">
        <v>28.95</v>
      </c>
      <c r="D13" s="64">
        <v>23.57</v>
      </c>
      <c r="E13" s="64">
        <v>2.2599999999999998</v>
      </c>
      <c r="F13" s="64">
        <v>3.15</v>
      </c>
      <c r="G13" s="64">
        <v>21.96</v>
      </c>
      <c r="H13" s="64">
        <v>7.3</v>
      </c>
      <c r="I13" s="64">
        <v>0.56000000000000005</v>
      </c>
      <c r="J13" s="64">
        <v>0.04</v>
      </c>
      <c r="K13" s="64">
        <v>78.400000000000006</v>
      </c>
      <c r="L13" s="64">
        <v>17.940000000000001</v>
      </c>
      <c r="M13" s="64">
        <v>87.93</v>
      </c>
      <c r="N13" s="64">
        <v>5.4</v>
      </c>
      <c r="O13" s="64">
        <v>0</v>
      </c>
      <c r="P13" s="64">
        <v>0.69</v>
      </c>
      <c r="Q13" s="64">
        <v>28.65</v>
      </c>
      <c r="R13" s="198"/>
      <c r="S13" s="198"/>
      <c r="T13" s="198"/>
      <c r="U13" s="198"/>
    </row>
    <row r="14" spans="1:21" s="12" customFormat="1" x14ac:dyDescent="0.25">
      <c r="A14" s="211" t="s">
        <v>250</v>
      </c>
      <c r="B14" s="64">
        <v>7.97</v>
      </c>
      <c r="C14" s="64">
        <v>28.75</v>
      </c>
      <c r="D14" s="64">
        <v>22.9</v>
      </c>
      <c r="E14" s="64">
        <v>1.89</v>
      </c>
      <c r="F14" s="64">
        <v>3.36</v>
      </c>
      <c r="G14" s="64">
        <v>21.93</v>
      </c>
      <c r="H14" s="64">
        <v>7.3</v>
      </c>
      <c r="I14" s="64">
        <v>0.54</v>
      </c>
      <c r="J14" s="64">
        <v>0.11</v>
      </c>
      <c r="K14" s="64">
        <v>349.86</v>
      </c>
      <c r="L14" s="64">
        <v>17.89</v>
      </c>
      <c r="M14" s="64">
        <v>88.83</v>
      </c>
      <c r="N14" s="64">
        <v>5.2</v>
      </c>
      <c r="O14" s="64">
        <v>0.6</v>
      </c>
      <c r="P14" s="64">
        <v>0.71</v>
      </c>
      <c r="Q14" s="64">
        <v>28.27</v>
      </c>
      <c r="R14" s="198"/>
      <c r="S14" s="198"/>
      <c r="T14" s="198"/>
      <c r="U14" s="198"/>
    </row>
    <row r="15" spans="1:21" s="12" customFormat="1" x14ac:dyDescent="0.25">
      <c r="A15" s="211" t="s">
        <v>251</v>
      </c>
      <c r="B15" s="64">
        <v>7.47</v>
      </c>
      <c r="C15" s="64">
        <v>28.2</v>
      </c>
      <c r="D15" s="64">
        <v>22.2</v>
      </c>
      <c r="E15" s="64">
        <v>2.0099999999999998</v>
      </c>
      <c r="F15" s="64">
        <v>3.23</v>
      </c>
      <c r="G15" s="64">
        <v>21.93</v>
      </c>
      <c r="H15" s="64">
        <v>7.3</v>
      </c>
      <c r="I15" s="64">
        <v>0.54</v>
      </c>
      <c r="J15" s="64">
        <v>0.45</v>
      </c>
      <c r="K15" s="64">
        <v>283.92</v>
      </c>
      <c r="L15" s="64">
        <v>17.809999999999999</v>
      </c>
      <c r="M15" s="64">
        <v>90.36</v>
      </c>
      <c r="N15" s="64">
        <v>5.3</v>
      </c>
      <c r="O15" s="64">
        <v>1</v>
      </c>
      <c r="P15" s="64">
        <v>0.71</v>
      </c>
      <c r="Q15" s="64">
        <v>27.78</v>
      </c>
      <c r="R15" s="198"/>
      <c r="S15" s="198"/>
      <c r="T15" s="198"/>
      <c r="U15" s="198"/>
    </row>
    <row r="16" spans="1:21" s="12" customFormat="1" x14ac:dyDescent="0.25">
      <c r="A16" s="211" t="s">
        <v>252</v>
      </c>
      <c r="B16" s="64">
        <v>6.96</v>
      </c>
      <c r="C16" s="64">
        <v>28.28</v>
      </c>
      <c r="D16" s="64">
        <v>21.83</v>
      </c>
      <c r="E16" s="64">
        <v>1.9</v>
      </c>
      <c r="F16" s="64">
        <v>3.07</v>
      </c>
      <c r="G16" s="64">
        <v>21.93</v>
      </c>
      <c r="H16" s="64">
        <v>7.3</v>
      </c>
      <c r="I16" s="64">
        <v>0.53</v>
      </c>
      <c r="J16" s="64">
        <v>0.34</v>
      </c>
      <c r="K16" s="64">
        <v>286.95999999999998</v>
      </c>
      <c r="L16" s="64">
        <v>17.559999999999999</v>
      </c>
      <c r="M16" s="64">
        <v>90.82</v>
      </c>
      <c r="N16" s="64">
        <v>5.6</v>
      </c>
      <c r="O16" s="64">
        <v>0.6</v>
      </c>
      <c r="P16" s="64">
        <v>0.71</v>
      </c>
      <c r="Q16" s="64">
        <v>27.32</v>
      </c>
      <c r="R16" s="198"/>
      <c r="S16" s="198"/>
      <c r="T16" s="198"/>
      <c r="U16" s="198"/>
    </row>
    <row r="17" spans="1:21" s="12" customFormat="1" x14ac:dyDescent="0.25">
      <c r="A17" s="211" t="s">
        <v>253</v>
      </c>
      <c r="B17" s="64">
        <v>6.52</v>
      </c>
      <c r="C17" s="64">
        <v>27.69</v>
      </c>
      <c r="D17" s="64">
        <v>21.16</v>
      </c>
      <c r="E17" s="64">
        <v>2.2799999999999998</v>
      </c>
      <c r="F17" s="64">
        <v>3.04</v>
      </c>
      <c r="G17" s="64">
        <v>20.59</v>
      </c>
      <c r="H17" s="64">
        <v>7.74</v>
      </c>
      <c r="I17" s="64">
        <v>0.52</v>
      </c>
      <c r="J17" s="64">
        <v>0.09</v>
      </c>
      <c r="K17" s="64">
        <v>197.56</v>
      </c>
      <c r="L17" s="64">
        <v>17.32</v>
      </c>
      <c r="M17" s="64">
        <v>91.05</v>
      </c>
      <c r="N17" s="64">
        <v>5.6</v>
      </c>
      <c r="O17" s="64">
        <v>0.4</v>
      </c>
      <c r="P17" s="64">
        <v>0.71</v>
      </c>
      <c r="Q17" s="64">
        <v>27.14</v>
      </c>
      <c r="R17" s="198"/>
      <c r="S17" s="198"/>
      <c r="T17" s="198"/>
      <c r="U17" s="198"/>
    </row>
    <row r="18" spans="1:21" s="12" customFormat="1" x14ac:dyDescent="0.25">
      <c r="A18" s="211" t="s">
        <v>254</v>
      </c>
      <c r="B18" s="64">
        <v>6.18</v>
      </c>
      <c r="C18" s="64">
        <v>26.85</v>
      </c>
      <c r="D18" s="64">
        <v>20.420000000000002</v>
      </c>
      <c r="E18" s="64">
        <v>2.0099999999999998</v>
      </c>
      <c r="F18" s="64">
        <v>2.79</v>
      </c>
      <c r="G18" s="64">
        <v>20.54</v>
      </c>
      <c r="H18" s="64">
        <v>7.74</v>
      </c>
      <c r="I18" s="64">
        <v>0.52</v>
      </c>
      <c r="J18" s="64">
        <v>0.47</v>
      </c>
      <c r="K18" s="64">
        <v>164.73</v>
      </c>
      <c r="L18" s="64">
        <v>17.2</v>
      </c>
      <c r="M18" s="64">
        <v>90.79</v>
      </c>
      <c r="N18" s="64">
        <v>5.3</v>
      </c>
      <c r="O18" s="64">
        <v>0.8</v>
      </c>
      <c r="P18" s="64">
        <v>0.69</v>
      </c>
      <c r="Q18" s="64">
        <v>27.35</v>
      </c>
      <c r="R18" s="198"/>
      <c r="S18" s="198"/>
      <c r="T18" s="198"/>
      <c r="U18" s="198"/>
    </row>
    <row r="19" spans="1:21" s="12" customFormat="1" x14ac:dyDescent="0.25">
      <c r="A19" s="211" t="s">
        <v>255</v>
      </c>
      <c r="B19" s="64">
        <v>6.22</v>
      </c>
      <c r="C19" s="64">
        <v>24.28</v>
      </c>
      <c r="D19" s="64">
        <v>19.04</v>
      </c>
      <c r="E19" s="64">
        <v>2.02</v>
      </c>
      <c r="F19" s="64">
        <v>3.15</v>
      </c>
      <c r="G19" s="64">
        <v>20.54</v>
      </c>
      <c r="H19" s="64">
        <v>7.74</v>
      </c>
      <c r="I19" s="64">
        <v>0.53</v>
      </c>
      <c r="J19" s="64">
        <v>0.63</v>
      </c>
      <c r="K19" s="64">
        <v>151.83000000000001</v>
      </c>
      <c r="L19" s="64">
        <v>17.3</v>
      </c>
      <c r="M19" s="64">
        <v>90.71</v>
      </c>
      <c r="N19" s="64">
        <v>5</v>
      </c>
      <c r="O19" s="64">
        <v>0.6</v>
      </c>
      <c r="P19" s="64">
        <v>0.68</v>
      </c>
      <c r="Q19" s="64">
        <v>27.57</v>
      </c>
      <c r="R19" s="198"/>
      <c r="S19" s="198"/>
      <c r="T19" s="198"/>
      <c r="U19" s="198"/>
    </row>
    <row r="20" spans="1:21" s="12" customFormat="1" x14ac:dyDescent="0.25">
      <c r="A20" s="211" t="s">
        <v>256</v>
      </c>
      <c r="B20" s="64">
        <v>6.41</v>
      </c>
      <c r="C20" s="64">
        <v>24.16</v>
      </c>
      <c r="D20" s="64">
        <v>19.12</v>
      </c>
      <c r="E20" s="64">
        <v>2.36</v>
      </c>
      <c r="F20" s="64">
        <v>3.27</v>
      </c>
      <c r="G20" s="64">
        <v>20.54</v>
      </c>
      <c r="H20" s="64">
        <v>7.74</v>
      </c>
      <c r="I20" s="64">
        <v>0.52</v>
      </c>
      <c r="J20" s="64">
        <v>0.67</v>
      </c>
      <c r="K20" s="64">
        <v>185.16</v>
      </c>
      <c r="L20" s="64">
        <v>17.27</v>
      </c>
      <c r="M20" s="64">
        <v>91.34</v>
      </c>
      <c r="N20" s="64">
        <v>5.4</v>
      </c>
      <c r="O20" s="64">
        <v>0.6</v>
      </c>
      <c r="P20" s="64">
        <v>0.67</v>
      </c>
      <c r="Q20" s="64">
        <v>28.09</v>
      </c>
      <c r="R20" s="198"/>
      <c r="S20" s="198"/>
      <c r="T20" s="198"/>
      <c r="U20" s="198"/>
    </row>
    <row r="21" spans="1:21" s="12" customFormat="1" x14ac:dyDescent="0.25">
      <c r="A21" s="211" t="s">
        <v>257</v>
      </c>
      <c r="B21" s="64">
        <v>6.53</v>
      </c>
      <c r="C21" s="64">
        <v>24.01</v>
      </c>
      <c r="D21" s="64">
        <v>19.14</v>
      </c>
      <c r="E21" s="64">
        <v>2.11</v>
      </c>
      <c r="F21" s="64">
        <v>3.1</v>
      </c>
      <c r="G21" s="64">
        <v>18.16</v>
      </c>
      <c r="H21" s="64">
        <v>8.5500000000000007</v>
      </c>
      <c r="I21" s="64">
        <v>0.53</v>
      </c>
      <c r="J21" s="64">
        <v>0.92</v>
      </c>
      <c r="K21" s="64">
        <v>198.88</v>
      </c>
      <c r="L21" s="64">
        <v>17.190000000000001</v>
      </c>
      <c r="M21" s="64">
        <v>91.64</v>
      </c>
      <c r="N21" s="64">
        <v>5.4</v>
      </c>
      <c r="O21" s="64">
        <v>0.4</v>
      </c>
      <c r="P21" s="64">
        <v>0.66</v>
      </c>
      <c r="Q21" s="64">
        <v>28.39</v>
      </c>
      <c r="R21" s="198"/>
      <c r="S21" s="198"/>
      <c r="T21" s="198"/>
      <c r="U21" s="198"/>
    </row>
    <row r="22" spans="1:21" s="12" customFormat="1" x14ac:dyDescent="0.25">
      <c r="A22" s="211" t="s">
        <v>258</v>
      </c>
      <c r="B22" s="64">
        <v>6.61</v>
      </c>
      <c r="C22" s="64">
        <v>24.28</v>
      </c>
      <c r="D22" s="64">
        <v>19.350000000000001</v>
      </c>
      <c r="E22" s="64">
        <v>2.12</v>
      </c>
      <c r="F22" s="64">
        <v>3.05</v>
      </c>
      <c r="G22" s="64">
        <v>18.11</v>
      </c>
      <c r="H22" s="64">
        <v>8.5500000000000007</v>
      </c>
      <c r="I22" s="64">
        <v>0.52</v>
      </c>
      <c r="J22" s="64">
        <v>0.81</v>
      </c>
      <c r="K22" s="64">
        <v>197.03</v>
      </c>
      <c r="L22" s="64">
        <v>17.170000000000002</v>
      </c>
      <c r="M22" s="64">
        <v>92.16</v>
      </c>
      <c r="N22" s="64">
        <v>5.4</v>
      </c>
      <c r="O22" s="64">
        <v>0.4</v>
      </c>
      <c r="P22" s="64">
        <v>0.67</v>
      </c>
      <c r="Q22" s="64">
        <v>28.59</v>
      </c>
      <c r="R22" s="198"/>
      <c r="S22" s="198"/>
      <c r="T22" s="198"/>
      <c r="U22" s="198"/>
    </row>
    <row r="23" spans="1:21" s="12" customFormat="1" x14ac:dyDescent="0.25">
      <c r="A23" s="211" t="s">
        <v>259</v>
      </c>
      <c r="B23" s="64">
        <v>6.56</v>
      </c>
      <c r="C23" s="64">
        <v>27.07</v>
      </c>
      <c r="D23" s="64">
        <v>20.85</v>
      </c>
      <c r="E23" s="64">
        <v>2.31</v>
      </c>
      <c r="F23" s="64">
        <v>2.98</v>
      </c>
      <c r="G23" s="64">
        <v>18.11</v>
      </c>
      <c r="H23" s="64">
        <v>8.5500000000000007</v>
      </c>
      <c r="I23" s="64">
        <v>0.53</v>
      </c>
      <c r="J23" s="64">
        <v>0.65</v>
      </c>
      <c r="K23" s="64">
        <v>127.63</v>
      </c>
      <c r="L23" s="64">
        <v>17.16</v>
      </c>
      <c r="M23" s="64">
        <v>91.72</v>
      </c>
      <c r="N23" s="64">
        <v>5.3</v>
      </c>
      <c r="O23" s="64">
        <v>0.4</v>
      </c>
      <c r="P23" s="64">
        <v>0.67</v>
      </c>
      <c r="Q23" s="64">
        <v>28.28</v>
      </c>
      <c r="R23" s="198"/>
      <c r="S23" s="198"/>
      <c r="T23" s="198"/>
      <c r="U23" s="198"/>
    </row>
    <row r="24" spans="1:21" s="12" customFormat="1" x14ac:dyDescent="0.25">
      <c r="A24" s="211" t="s">
        <v>260</v>
      </c>
      <c r="B24" s="64">
        <v>6.22</v>
      </c>
      <c r="C24" s="64">
        <v>26.17</v>
      </c>
      <c r="D24" s="64">
        <v>20.07</v>
      </c>
      <c r="E24" s="64">
        <v>0.93</v>
      </c>
      <c r="F24" s="64">
        <v>2.89</v>
      </c>
      <c r="G24" s="64">
        <v>18.11</v>
      </c>
      <c r="H24" s="64">
        <v>8.5500000000000007</v>
      </c>
      <c r="I24" s="64">
        <v>0.53</v>
      </c>
      <c r="J24" s="64">
        <v>0.28000000000000003</v>
      </c>
      <c r="K24" s="64">
        <v>214.96</v>
      </c>
      <c r="L24" s="64">
        <v>17.14</v>
      </c>
      <c r="M24" s="64">
        <v>91.6</v>
      </c>
      <c r="N24" s="64">
        <v>5.3</v>
      </c>
      <c r="O24" s="64">
        <v>0.2</v>
      </c>
      <c r="P24" s="64">
        <v>0.66</v>
      </c>
      <c r="Q24" s="64">
        <v>27.56</v>
      </c>
      <c r="R24" s="198"/>
      <c r="S24" s="198"/>
      <c r="T24" s="198"/>
      <c r="U24" s="198"/>
    </row>
    <row r="25" spans="1:21" s="12" customFormat="1" x14ac:dyDescent="0.25">
      <c r="A25" s="211" t="s">
        <v>261</v>
      </c>
      <c r="B25" s="64">
        <v>5.79</v>
      </c>
      <c r="C25" s="64">
        <v>26.16</v>
      </c>
      <c r="D25" s="64">
        <v>19.72</v>
      </c>
      <c r="E25" s="64">
        <v>1.72</v>
      </c>
      <c r="F25" s="64">
        <v>2.89</v>
      </c>
      <c r="G25" s="64">
        <v>16.940000000000001</v>
      </c>
      <c r="H25" s="64">
        <v>7.57</v>
      </c>
      <c r="I25" s="64">
        <v>0.53</v>
      </c>
      <c r="J25" s="64">
        <v>0.66</v>
      </c>
      <c r="K25" s="64">
        <v>203.48</v>
      </c>
      <c r="L25" s="64">
        <v>17.100000000000001</v>
      </c>
      <c r="M25" s="64">
        <v>92.09</v>
      </c>
      <c r="N25" s="64">
        <v>5.4</v>
      </c>
      <c r="O25" s="64">
        <v>0</v>
      </c>
      <c r="P25" s="64">
        <v>0.66</v>
      </c>
      <c r="Q25" s="64">
        <v>27.4</v>
      </c>
      <c r="R25" s="198"/>
      <c r="S25" s="198"/>
      <c r="T25" s="198"/>
      <c r="U25" s="198"/>
    </row>
    <row r="26" spans="1:21" s="12" customFormat="1" x14ac:dyDescent="0.25">
      <c r="A26" s="211" t="s">
        <v>262</v>
      </c>
      <c r="B26" s="64">
        <v>5.38</v>
      </c>
      <c r="C26" s="64">
        <v>25.91</v>
      </c>
      <c r="D26" s="64">
        <v>19.260000000000002</v>
      </c>
      <c r="E26" s="64">
        <v>1.8</v>
      </c>
      <c r="F26" s="64">
        <v>3.3</v>
      </c>
      <c r="G26" s="64">
        <v>16.91</v>
      </c>
      <c r="H26" s="64">
        <v>7.57</v>
      </c>
      <c r="I26" s="64">
        <v>0.52</v>
      </c>
      <c r="J26" s="64">
        <v>1.1000000000000001</v>
      </c>
      <c r="K26" s="64">
        <v>205.78</v>
      </c>
      <c r="L26" s="64">
        <v>17.12</v>
      </c>
      <c r="M26" s="64">
        <v>91.11</v>
      </c>
      <c r="N26" s="64">
        <v>5.5</v>
      </c>
      <c r="O26" s="64">
        <v>0</v>
      </c>
      <c r="P26" s="64">
        <v>0.66</v>
      </c>
      <c r="Q26" s="64">
        <v>27.17</v>
      </c>
      <c r="R26" s="198"/>
      <c r="S26" s="198"/>
      <c r="T26" s="198"/>
      <c r="U26" s="198"/>
    </row>
    <row r="27" spans="1:21" s="12" customFormat="1" x14ac:dyDescent="0.25">
      <c r="A27" s="211" t="s">
        <v>263</v>
      </c>
      <c r="B27" s="64">
        <v>4.91</v>
      </c>
      <c r="C27" s="64">
        <v>25.64</v>
      </c>
      <c r="D27" s="64">
        <v>18.739999999999998</v>
      </c>
      <c r="E27" s="64">
        <v>1.84</v>
      </c>
      <c r="F27" s="64">
        <v>3.52</v>
      </c>
      <c r="G27" s="64">
        <v>16.91</v>
      </c>
      <c r="H27" s="64">
        <v>7.57</v>
      </c>
      <c r="I27" s="64">
        <v>0.52</v>
      </c>
      <c r="J27" s="64">
        <v>1.1599999999999999</v>
      </c>
      <c r="K27" s="64">
        <v>196.95</v>
      </c>
      <c r="L27" s="64">
        <v>17.14</v>
      </c>
      <c r="M27" s="64">
        <v>91.26</v>
      </c>
      <c r="N27" s="64">
        <v>5.7</v>
      </c>
      <c r="O27" s="64">
        <v>0</v>
      </c>
      <c r="P27" s="64">
        <v>0.64</v>
      </c>
      <c r="Q27" s="64">
        <v>26.99</v>
      </c>
      <c r="R27" s="198"/>
      <c r="S27" s="198"/>
      <c r="T27" s="198"/>
      <c r="U27" s="198"/>
    </row>
    <row r="28" spans="1:21" s="12" customFormat="1" x14ac:dyDescent="0.25">
      <c r="A28" s="211" t="s">
        <v>264</v>
      </c>
      <c r="B28" s="64">
        <v>4.4000000000000004</v>
      </c>
      <c r="C28" s="64">
        <v>25.23</v>
      </c>
      <c r="D28" s="64">
        <v>18.09</v>
      </c>
      <c r="E28" s="64">
        <v>1.57</v>
      </c>
      <c r="F28" s="64">
        <v>3.61</v>
      </c>
      <c r="G28" s="64">
        <v>16.91</v>
      </c>
      <c r="H28" s="64">
        <v>7.57</v>
      </c>
      <c r="I28" s="64">
        <v>0.51</v>
      </c>
      <c r="J28" s="64">
        <v>0.46</v>
      </c>
      <c r="K28" s="64">
        <v>200.7</v>
      </c>
      <c r="L28" s="64">
        <v>17.18</v>
      </c>
      <c r="M28" s="64">
        <v>91.26</v>
      </c>
      <c r="N28" s="64">
        <v>5.5</v>
      </c>
      <c r="O28" s="64">
        <v>0</v>
      </c>
      <c r="P28" s="64">
        <v>0.63</v>
      </c>
      <c r="Q28" s="64">
        <v>26.8</v>
      </c>
      <c r="R28" s="198"/>
      <c r="S28" s="198"/>
      <c r="T28" s="198"/>
      <c r="U28" s="198"/>
    </row>
    <row r="29" spans="1:21" s="12" customFormat="1" x14ac:dyDescent="0.25">
      <c r="A29" s="211" t="s">
        <v>265</v>
      </c>
      <c r="B29" s="64">
        <v>4.09</v>
      </c>
      <c r="C29" s="64">
        <v>25.56</v>
      </c>
      <c r="D29" s="64">
        <v>18.03</v>
      </c>
      <c r="E29" s="64">
        <v>1.49</v>
      </c>
      <c r="F29" s="64">
        <v>3.55</v>
      </c>
      <c r="G29" s="64">
        <v>11.95</v>
      </c>
      <c r="H29" s="64">
        <v>7.57</v>
      </c>
      <c r="I29" s="64">
        <v>0.52</v>
      </c>
      <c r="J29" s="64">
        <v>1.25</v>
      </c>
      <c r="K29" s="64">
        <v>218.02</v>
      </c>
      <c r="L29" s="64">
        <v>17.21</v>
      </c>
      <c r="M29" s="64">
        <v>90.29</v>
      </c>
      <c r="N29" s="64">
        <v>5.9</v>
      </c>
      <c r="O29" s="64">
        <v>0.2</v>
      </c>
      <c r="P29" s="64">
        <v>0.61</v>
      </c>
      <c r="Q29" s="64">
        <v>27.06</v>
      </c>
      <c r="R29" s="198"/>
      <c r="S29" s="198"/>
      <c r="T29" s="198"/>
      <c r="U29" s="198"/>
    </row>
    <row r="30" spans="1:21" s="12" customFormat="1" x14ac:dyDescent="0.25">
      <c r="A30" s="211" t="s">
        <v>266</v>
      </c>
      <c r="B30" s="64">
        <v>3.87</v>
      </c>
      <c r="C30" s="64">
        <v>24.9</v>
      </c>
      <c r="D30" s="64">
        <v>17.489999999999998</v>
      </c>
      <c r="E30" s="64">
        <v>1.35</v>
      </c>
      <c r="F30" s="64">
        <v>3.55</v>
      </c>
      <c r="G30" s="64">
        <v>11.84</v>
      </c>
      <c r="H30" s="64">
        <v>7.57</v>
      </c>
      <c r="I30" s="64">
        <v>0.52</v>
      </c>
      <c r="J30" s="64">
        <v>1.57</v>
      </c>
      <c r="K30" s="64">
        <v>215.59</v>
      </c>
      <c r="L30" s="64">
        <v>17.22</v>
      </c>
      <c r="M30" s="64">
        <v>89.57</v>
      </c>
      <c r="N30" s="64">
        <v>6</v>
      </c>
      <c r="O30" s="64">
        <v>0</v>
      </c>
      <c r="P30" s="64">
        <v>0.57999999999999996</v>
      </c>
      <c r="Q30" s="64">
        <v>27.72</v>
      </c>
      <c r="R30" s="198"/>
      <c r="S30" s="198"/>
      <c r="T30" s="198"/>
      <c r="U30" s="198"/>
    </row>
    <row r="31" spans="1:21" s="12" customFormat="1" x14ac:dyDescent="0.25">
      <c r="A31" s="211" t="s">
        <v>267</v>
      </c>
      <c r="B31" s="64">
        <v>3.62</v>
      </c>
      <c r="C31" s="64">
        <v>24.83</v>
      </c>
      <c r="D31" s="64">
        <v>17.260000000000002</v>
      </c>
      <c r="E31" s="64">
        <v>1.68</v>
      </c>
      <c r="F31" s="64">
        <v>3.38</v>
      </c>
      <c r="G31" s="64">
        <v>11.84</v>
      </c>
      <c r="H31" s="64">
        <v>7.57</v>
      </c>
      <c r="I31" s="64">
        <v>0.51</v>
      </c>
      <c r="J31" s="64">
        <v>2.11</v>
      </c>
      <c r="K31" s="64">
        <v>214.84</v>
      </c>
      <c r="L31" s="64">
        <v>17.18</v>
      </c>
      <c r="M31" s="64">
        <v>90.21</v>
      </c>
      <c r="N31" s="64">
        <v>7.8</v>
      </c>
      <c r="O31" s="64">
        <v>0</v>
      </c>
      <c r="P31" s="64">
        <v>0.55000000000000004</v>
      </c>
      <c r="Q31" s="64">
        <v>28</v>
      </c>
      <c r="R31" s="198"/>
      <c r="S31" s="198"/>
      <c r="T31" s="198"/>
      <c r="U31" s="198"/>
    </row>
    <row r="32" spans="1:21" s="12" customFormat="1" x14ac:dyDescent="0.25">
      <c r="A32" s="211" t="s">
        <v>268</v>
      </c>
      <c r="B32" s="64">
        <v>3.34</v>
      </c>
      <c r="C32" s="64">
        <v>25.62</v>
      </c>
      <c r="D32" s="64">
        <v>17.47</v>
      </c>
      <c r="E32" s="64">
        <v>1.68</v>
      </c>
      <c r="F32" s="64">
        <v>3.77</v>
      </c>
      <c r="G32" s="64">
        <v>11.84</v>
      </c>
      <c r="H32" s="64">
        <v>7.57</v>
      </c>
      <c r="I32" s="64">
        <v>0.51</v>
      </c>
      <c r="J32" s="64">
        <v>1.9</v>
      </c>
      <c r="K32" s="64">
        <v>228.46</v>
      </c>
      <c r="L32" s="64">
        <v>17.21</v>
      </c>
      <c r="M32" s="64">
        <v>91.73</v>
      </c>
      <c r="N32" s="64">
        <v>10</v>
      </c>
      <c r="O32" s="64">
        <v>0</v>
      </c>
      <c r="P32" s="64">
        <v>0.52</v>
      </c>
      <c r="Q32" s="64">
        <v>27.75</v>
      </c>
      <c r="R32" s="198"/>
      <c r="S32" s="198"/>
      <c r="T32" s="198"/>
      <c r="U32" s="198"/>
    </row>
    <row r="33" spans="1:21" s="12" customFormat="1" x14ac:dyDescent="0.25">
      <c r="A33" s="211" t="s">
        <v>269</v>
      </c>
      <c r="B33" s="64">
        <v>3.11</v>
      </c>
      <c r="C33" s="64">
        <v>25.92</v>
      </c>
      <c r="D33" s="64">
        <v>17.440000000000001</v>
      </c>
      <c r="E33" s="64">
        <v>1.65</v>
      </c>
      <c r="F33" s="64">
        <v>3.82</v>
      </c>
      <c r="G33" s="64">
        <v>8.41</v>
      </c>
      <c r="H33" s="64">
        <v>5.44</v>
      </c>
      <c r="I33" s="64">
        <v>0.5</v>
      </c>
      <c r="J33" s="64">
        <v>0.81</v>
      </c>
      <c r="K33" s="64">
        <v>231.88</v>
      </c>
      <c r="L33" s="64">
        <v>17.239999999999998</v>
      </c>
      <c r="M33" s="64">
        <v>91.34</v>
      </c>
      <c r="N33" s="64">
        <v>13.5</v>
      </c>
      <c r="O33" s="64">
        <v>0</v>
      </c>
      <c r="P33" s="64">
        <v>0.5</v>
      </c>
      <c r="Q33" s="64">
        <v>27.82</v>
      </c>
      <c r="R33" s="198"/>
      <c r="S33" s="198"/>
      <c r="T33" s="198"/>
      <c r="U33" s="198"/>
    </row>
    <row r="34" spans="1:21" s="12" customFormat="1" x14ac:dyDescent="0.25">
      <c r="A34" s="211" t="s">
        <v>270</v>
      </c>
      <c r="B34" s="64">
        <v>3.08</v>
      </c>
      <c r="C34" s="64">
        <v>25.21</v>
      </c>
      <c r="D34" s="64">
        <v>17.03</v>
      </c>
      <c r="E34" s="64">
        <v>1.69</v>
      </c>
      <c r="F34" s="64">
        <v>3.46</v>
      </c>
      <c r="G34" s="64">
        <v>8.2899999999999991</v>
      </c>
      <c r="H34" s="64">
        <v>5.44</v>
      </c>
      <c r="I34" s="64">
        <v>0.49</v>
      </c>
      <c r="J34" s="64">
        <v>0.64</v>
      </c>
      <c r="K34" s="64">
        <v>209.54</v>
      </c>
      <c r="L34" s="64">
        <v>17.21</v>
      </c>
      <c r="M34" s="64">
        <v>92.3</v>
      </c>
      <c r="N34" s="64">
        <v>26.3</v>
      </c>
      <c r="O34" s="64">
        <v>0.4</v>
      </c>
      <c r="P34" s="64">
        <v>0.49</v>
      </c>
      <c r="Q34" s="64">
        <v>27.22</v>
      </c>
      <c r="R34" s="198"/>
      <c r="S34" s="198"/>
      <c r="T34" s="198"/>
      <c r="U34" s="198"/>
    </row>
    <row r="35" spans="1:21" s="12" customFormat="1" x14ac:dyDescent="0.25">
      <c r="A35" s="211" t="s">
        <v>271</v>
      </c>
      <c r="B35" s="64">
        <v>3.24</v>
      </c>
      <c r="C35" s="64">
        <v>23.6</v>
      </c>
      <c r="D35" s="64">
        <v>16.260000000000002</v>
      </c>
      <c r="E35" s="64">
        <v>1.74</v>
      </c>
      <c r="F35" s="64">
        <v>3.6</v>
      </c>
      <c r="G35" s="64">
        <v>8.2899999999999991</v>
      </c>
      <c r="H35" s="64">
        <v>5.44</v>
      </c>
      <c r="I35" s="64">
        <v>0.5</v>
      </c>
      <c r="J35" s="64">
        <v>1.46</v>
      </c>
      <c r="K35" s="64">
        <v>213.36</v>
      </c>
      <c r="L35" s="64">
        <v>17.350000000000001</v>
      </c>
      <c r="M35" s="64">
        <v>92.4</v>
      </c>
      <c r="N35" s="64">
        <v>36.9</v>
      </c>
      <c r="O35" s="64">
        <v>0</v>
      </c>
      <c r="P35" s="64">
        <v>0.47</v>
      </c>
      <c r="Q35" s="64">
        <v>26.68</v>
      </c>
      <c r="R35" s="198"/>
      <c r="S35" s="198"/>
      <c r="T35" s="198"/>
      <c r="U35" s="198"/>
    </row>
    <row r="36" spans="1:21" s="12" customFormat="1" x14ac:dyDescent="0.25">
      <c r="A36" s="211" t="s">
        <v>272</v>
      </c>
      <c r="B36" s="64">
        <v>3.21</v>
      </c>
      <c r="C36" s="64">
        <v>24.74</v>
      </c>
      <c r="D36" s="64">
        <v>16.88</v>
      </c>
      <c r="E36" s="64">
        <v>2.09</v>
      </c>
      <c r="F36" s="64">
        <v>3.66</v>
      </c>
      <c r="G36" s="64">
        <v>8.2899999999999991</v>
      </c>
      <c r="H36" s="64">
        <v>5.44</v>
      </c>
      <c r="I36" s="64">
        <v>0.5</v>
      </c>
      <c r="J36" s="64">
        <v>1.23</v>
      </c>
      <c r="K36" s="64">
        <v>211.23</v>
      </c>
      <c r="L36" s="64">
        <v>17.45</v>
      </c>
      <c r="M36" s="64">
        <v>92.03</v>
      </c>
      <c r="N36" s="64">
        <v>35.5</v>
      </c>
      <c r="O36" s="64">
        <v>0.2</v>
      </c>
      <c r="P36" s="64">
        <v>0.47</v>
      </c>
      <c r="Q36" s="64">
        <v>26.18</v>
      </c>
      <c r="R36" s="198"/>
      <c r="S36" s="198"/>
      <c r="T36" s="198"/>
      <c r="U36" s="198"/>
    </row>
    <row r="37" spans="1:21" s="12" customFormat="1" x14ac:dyDescent="0.25">
      <c r="A37" s="211" t="s">
        <v>273</v>
      </c>
      <c r="B37" s="64">
        <v>3.2</v>
      </c>
      <c r="C37" s="64">
        <v>24.56</v>
      </c>
      <c r="D37" s="64">
        <v>16.760000000000002</v>
      </c>
      <c r="E37" s="64">
        <v>1.85</v>
      </c>
      <c r="F37" s="64">
        <v>3.16</v>
      </c>
      <c r="G37" s="64">
        <v>5.86</v>
      </c>
      <c r="H37" s="64">
        <v>4.21</v>
      </c>
      <c r="I37" s="64">
        <v>0.49</v>
      </c>
      <c r="J37" s="64">
        <v>0.22</v>
      </c>
      <c r="K37" s="64">
        <v>186.69</v>
      </c>
      <c r="L37" s="64">
        <v>17.57</v>
      </c>
      <c r="M37" s="64">
        <v>92.58</v>
      </c>
      <c r="N37" s="64">
        <v>48.1</v>
      </c>
      <c r="O37" s="64">
        <v>0</v>
      </c>
      <c r="P37" s="64">
        <v>0.43</v>
      </c>
      <c r="Q37" s="64">
        <v>26.07</v>
      </c>
      <c r="R37" s="198"/>
      <c r="S37" s="198"/>
      <c r="T37" s="198"/>
      <c r="U37" s="198"/>
    </row>
    <row r="38" spans="1:21" s="12" customFormat="1" x14ac:dyDescent="0.25">
      <c r="A38" s="211" t="s">
        <v>274</v>
      </c>
      <c r="B38" s="64">
        <v>4.05</v>
      </c>
      <c r="C38" s="64">
        <v>25.61</v>
      </c>
      <c r="D38" s="64">
        <v>18.03</v>
      </c>
      <c r="E38" s="64">
        <v>1.82</v>
      </c>
      <c r="F38" s="64">
        <v>2.58</v>
      </c>
      <c r="G38" s="64">
        <v>5.8</v>
      </c>
      <c r="H38" s="64">
        <v>4.21</v>
      </c>
      <c r="I38" s="64">
        <v>0.48</v>
      </c>
      <c r="J38" s="64">
        <v>0.11</v>
      </c>
      <c r="K38" s="64">
        <v>275.58</v>
      </c>
      <c r="L38" s="64">
        <v>17.829999999999998</v>
      </c>
      <c r="M38" s="64">
        <v>92.37</v>
      </c>
      <c r="N38" s="64">
        <v>46.6</v>
      </c>
      <c r="O38" s="64">
        <v>0</v>
      </c>
      <c r="P38" s="64">
        <v>0.45</v>
      </c>
      <c r="Q38" s="64">
        <v>26.19</v>
      </c>
      <c r="R38" s="198"/>
      <c r="S38" s="198"/>
      <c r="T38" s="198"/>
      <c r="U38" s="198"/>
    </row>
    <row r="39" spans="1:21" s="12" customFormat="1" x14ac:dyDescent="0.25">
      <c r="A39" s="211" t="s">
        <v>275</v>
      </c>
      <c r="B39" s="64">
        <v>6.17</v>
      </c>
      <c r="C39" s="64">
        <v>26.19</v>
      </c>
      <c r="D39" s="64">
        <v>20.04</v>
      </c>
      <c r="E39" s="64">
        <v>2.0499999999999998</v>
      </c>
      <c r="F39" s="64">
        <v>2.63</v>
      </c>
      <c r="G39" s="64">
        <v>5.8</v>
      </c>
      <c r="H39" s="64">
        <v>4.21</v>
      </c>
      <c r="I39" s="64">
        <v>0.49</v>
      </c>
      <c r="J39" s="64">
        <v>0.08</v>
      </c>
      <c r="K39" s="64">
        <v>359.05</v>
      </c>
      <c r="L39" s="64">
        <v>18.09</v>
      </c>
      <c r="M39" s="64">
        <v>93.94</v>
      </c>
      <c r="N39" s="64">
        <v>86</v>
      </c>
      <c r="O39" s="64">
        <v>0</v>
      </c>
      <c r="P39" s="64">
        <v>0.49</v>
      </c>
      <c r="Q39" s="64">
        <v>26.14</v>
      </c>
      <c r="R39" s="198"/>
      <c r="S39" s="198"/>
      <c r="T39" s="198"/>
      <c r="U39" s="198"/>
    </row>
    <row r="40" spans="1:21" s="12" customFormat="1" x14ac:dyDescent="0.25">
      <c r="A40" s="211" t="s">
        <v>276</v>
      </c>
      <c r="B40" s="64">
        <v>7.97</v>
      </c>
      <c r="C40" s="64">
        <v>27</v>
      </c>
      <c r="D40" s="64">
        <v>21.94</v>
      </c>
      <c r="E40" s="64">
        <v>0.36</v>
      </c>
      <c r="F40" s="64">
        <v>2.88</v>
      </c>
      <c r="G40" s="64">
        <v>5.8</v>
      </c>
      <c r="H40" s="64">
        <v>4.21</v>
      </c>
      <c r="I40" s="64">
        <v>0.49</v>
      </c>
      <c r="J40" s="64">
        <v>0.22</v>
      </c>
      <c r="K40" s="64">
        <v>307.87</v>
      </c>
      <c r="L40" s="64">
        <v>18.55</v>
      </c>
      <c r="M40" s="64">
        <v>93.52</v>
      </c>
      <c r="N40" s="64">
        <v>134.9</v>
      </c>
      <c r="O40" s="64">
        <v>0</v>
      </c>
      <c r="P40" s="64">
        <v>0.51</v>
      </c>
      <c r="Q40" s="64">
        <v>26.21</v>
      </c>
      <c r="R40" s="198"/>
      <c r="S40" s="198"/>
      <c r="T40" s="198"/>
      <c r="U40" s="198"/>
    </row>
    <row r="41" spans="1:21" s="12" customFormat="1" x14ac:dyDescent="0.25">
      <c r="A41" s="211" t="s">
        <v>277</v>
      </c>
      <c r="B41" s="64">
        <v>9.1999999999999993</v>
      </c>
      <c r="C41" s="64">
        <v>27.97</v>
      </c>
      <c r="D41" s="64">
        <v>23.46</v>
      </c>
      <c r="E41" s="64">
        <v>0.59</v>
      </c>
      <c r="F41" s="64">
        <v>2.98</v>
      </c>
      <c r="G41" s="212" t="s">
        <v>43</v>
      </c>
      <c r="H41" s="212" t="s">
        <v>43</v>
      </c>
      <c r="I41" s="64">
        <v>0.48</v>
      </c>
      <c r="J41" s="64">
        <v>1.06</v>
      </c>
      <c r="K41" s="64">
        <v>119.7</v>
      </c>
      <c r="L41" s="64">
        <v>18.670000000000002</v>
      </c>
      <c r="M41" s="64">
        <v>91.45</v>
      </c>
      <c r="N41" s="64">
        <v>182.9</v>
      </c>
      <c r="O41" s="64">
        <v>0</v>
      </c>
      <c r="P41" s="64">
        <v>0.52</v>
      </c>
      <c r="Q41" s="64">
        <v>26.36</v>
      </c>
      <c r="R41" s="198"/>
      <c r="S41" s="198"/>
      <c r="T41" s="198"/>
      <c r="U41" s="198"/>
    </row>
    <row r="42" spans="1:21" s="12" customFormat="1" x14ac:dyDescent="0.25">
      <c r="A42" s="211" t="s">
        <v>278</v>
      </c>
      <c r="B42" s="64">
        <v>9.3699999999999992</v>
      </c>
      <c r="C42" s="64">
        <v>25.79</v>
      </c>
      <c r="D42" s="64">
        <v>22.39</v>
      </c>
      <c r="E42" s="64">
        <v>0.52</v>
      </c>
      <c r="F42" s="64">
        <v>3.28</v>
      </c>
      <c r="G42" s="212" t="s">
        <v>43</v>
      </c>
      <c r="H42" s="212" t="s">
        <v>43</v>
      </c>
      <c r="I42" s="64">
        <v>0.49</v>
      </c>
      <c r="J42" s="64">
        <v>1.69</v>
      </c>
      <c r="K42" s="64">
        <v>130.22</v>
      </c>
      <c r="L42" s="64">
        <v>18.68</v>
      </c>
      <c r="M42" s="64">
        <v>89.51</v>
      </c>
      <c r="N42" s="64">
        <v>174.8</v>
      </c>
      <c r="O42" s="64">
        <v>0</v>
      </c>
      <c r="P42" s="64">
        <v>0.51</v>
      </c>
      <c r="Q42" s="64">
        <v>27.5</v>
      </c>
      <c r="R42" s="198"/>
      <c r="S42" s="198"/>
      <c r="T42" s="198"/>
      <c r="U42" s="198"/>
    </row>
    <row r="43" spans="1:21" s="12" customFormat="1" x14ac:dyDescent="0.25">
      <c r="A43" s="211" t="s">
        <v>279</v>
      </c>
      <c r="B43" s="64">
        <v>9.3000000000000007</v>
      </c>
      <c r="C43" s="64">
        <v>25.7</v>
      </c>
      <c r="D43" s="64">
        <v>22.29</v>
      </c>
      <c r="E43" s="64">
        <v>0.7</v>
      </c>
      <c r="F43" s="64">
        <v>3.58</v>
      </c>
      <c r="G43" s="212" t="s">
        <v>43</v>
      </c>
      <c r="H43" s="212" t="s">
        <v>43</v>
      </c>
      <c r="I43" s="64">
        <v>0.5</v>
      </c>
      <c r="J43" s="64">
        <v>1.02</v>
      </c>
      <c r="K43" s="64">
        <v>126.95</v>
      </c>
      <c r="L43" s="64">
        <v>18.98</v>
      </c>
      <c r="M43" s="64">
        <v>87.96</v>
      </c>
      <c r="N43" s="64">
        <v>179.8</v>
      </c>
      <c r="O43" s="64">
        <v>0</v>
      </c>
      <c r="P43" s="64">
        <v>0.52</v>
      </c>
      <c r="Q43" s="64">
        <v>28.47</v>
      </c>
      <c r="R43" s="198"/>
      <c r="S43" s="198"/>
      <c r="T43" s="198"/>
      <c r="U43" s="198"/>
    </row>
    <row r="44" spans="1:21" s="12" customFormat="1" x14ac:dyDescent="0.25">
      <c r="A44" s="211" t="s">
        <v>280</v>
      </c>
      <c r="B44" s="64">
        <v>9.09</v>
      </c>
      <c r="C44" s="64">
        <v>25.25</v>
      </c>
      <c r="D44" s="64">
        <v>21.87</v>
      </c>
      <c r="E44" s="64">
        <v>0.83</v>
      </c>
      <c r="F44" s="64">
        <v>3.45</v>
      </c>
      <c r="G44" s="212" t="s">
        <v>43</v>
      </c>
      <c r="H44" s="212" t="s">
        <v>43</v>
      </c>
      <c r="I44" s="64">
        <v>0.51</v>
      </c>
      <c r="J44" s="64">
        <v>0.7</v>
      </c>
      <c r="K44" s="64">
        <v>125.12</v>
      </c>
      <c r="L44" s="64">
        <v>19.16</v>
      </c>
      <c r="M44" s="64">
        <v>88.09</v>
      </c>
      <c r="N44" s="64">
        <v>292.3</v>
      </c>
      <c r="O44" s="64">
        <v>0</v>
      </c>
      <c r="P44" s="64">
        <v>0.51</v>
      </c>
      <c r="Q44" s="64">
        <v>29.42</v>
      </c>
      <c r="R44" s="198"/>
      <c r="S44" s="198"/>
      <c r="T44" s="198"/>
      <c r="U44" s="198"/>
    </row>
    <row r="45" spans="1:21" s="12" customFormat="1" x14ac:dyDescent="0.25">
      <c r="A45" s="211" t="s">
        <v>281</v>
      </c>
      <c r="B45" s="64">
        <v>8.9499999999999993</v>
      </c>
      <c r="C45" s="64">
        <v>25.11</v>
      </c>
      <c r="D45" s="64">
        <v>21.68</v>
      </c>
      <c r="E45" s="64">
        <v>1.06</v>
      </c>
      <c r="F45" s="64">
        <v>3.21</v>
      </c>
      <c r="G45" s="212" t="s">
        <v>43</v>
      </c>
      <c r="H45" s="212" t="s">
        <v>43</v>
      </c>
      <c r="I45" s="64">
        <v>0.51</v>
      </c>
      <c r="J45" s="64">
        <v>0.22</v>
      </c>
      <c r="K45" s="64">
        <v>221.49</v>
      </c>
      <c r="L45" s="64">
        <v>19.86</v>
      </c>
      <c r="M45" s="64">
        <v>85.39</v>
      </c>
      <c r="N45" s="64">
        <v>250.9</v>
      </c>
      <c r="O45" s="64">
        <v>0</v>
      </c>
      <c r="P45" s="64">
        <v>0.5</v>
      </c>
      <c r="Q45" s="64">
        <v>29.76</v>
      </c>
      <c r="R45" s="198"/>
      <c r="S45" s="198"/>
      <c r="T45" s="198"/>
      <c r="U45" s="198"/>
    </row>
    <row r="46" spans="1:21" s="12" customFormat="1" x14ac:dyDescent="0.25">
      <c r="A46" s="211" t="s">
        <v>282</v>
      </c>
      <c r="B46" s="64">
        <v>8.84</v>
      </c>
      <c r="C46" s="64">
        <v>26.99</v>
      </c>
      <c r="D46" s="64">
        <v>22.63</v>
      </c>
      <c r="E46" s="64">
        <v>1.2</v>
      </c>
      <c r="F46" s="64">
        <v>3.3</v>
      </c>
      <c r="G46" s="212" t="s">
        <v>43</v>
      </c>
      <c r="H46" s="212" t="s">
        <v>43</v>
      </c>
      <c r="I46" s="64">
        <v>0.52</v>
      </c>
      <c r="J46" s="64">
        <v>0.15</v>
      </c>
      <c r="K46" s="64">
        <v>253.51</v>
      </c>
      <c r="L46" s="64">
        <v>20.3</v>
      </c>
      <c r="M46" s="64">
        <v>84.43</v>
      </c>
      <c r="N46" s="64">
        <v>332.3</v>
      </c>
      <c r="O46" s="64">
        <v>0</v>
      </c>
      <c r="P46" s="64">
        <v>0.5</v>
      </c>
      <c r="Q46" s="64">
        <v>29.79</v>
      </c>
      <c r="R46" s="198"/>
      <c r="S46" s="198"/>
      <c r="T46" s="198"/>
      <c r="U46" s="198"/>
    </row>
    <row r="47" spans="1:21" s="12" customFormat="1" x14ac:dyDescent="0.25">
      <c r="A47" s="211" t="s">
        <v>283</v>
      </c>
      <c r="B47" s="64">
        <v>8.6300000000000008</v>
      </c>
      <c r="C47" s="64">
        <v>26.62</v>
      </c>
      <c r="D47" s="64">
        <v>22.26</v>
      </c>
      <c r="E47" s="64">
        <v>1.1100000000000001</v>
      </c>
      <c r="F47" s="64">
        <v>3.34</v>
      </c>
      <c r="G47" s="212" t="s">
        <v>43</v>
      </c>
      <c r="H47" s="212" t="s">
        <v>43</v>
      </c>
      <c r="I47" s="64">
        <v>0.52</v>
      </c>
      <c r="J47" s="64">
        <v>0.28000000000000003</v>
      </c>
      <c r="K47" s="64">
        <v>299.54000000000002</v>
      </c>
      <c r="L47" s="64">
        <v>22.25</v>
      </c>
      <c r="M47" s="64">
        <v>78.03</v>
      </c>
      <c r="N47" s="64">
        <v>455.4</v>
      </c>
      <c r="O47" s="64">
        <v>0</v>
      </c>
      <c r="P47" s="64">
        <v>0.52</v>
      </c>
      <c r="Q47" s="64">
        <v>28.89</v>
      </c>
      <c r="R47" s="198"/>
      <c r="S47" s="198"/>
      <c r="T47" s="198"/>
      <c r="U47" s="198"/>
    </row>
    <row r="48" spans="1:21" s="12" customFormat="1" x14ac:dyDescent="0.25">
      <c r="A48" s="211" t="s">
        <v>284</v>
      </c>
      <c r="B48" s="64">
        <v>8.68</v>
      </c>
      <c r="C48" s="64">
        <v>26.97</v>
      </c>
      <c r="D48" s="64">
        <v>22.5</v>
      </c>
      <c r="E48" s="64">
        <v>0.98</v>
      </c>
      <c r="F48" s="64">
        <v>3.38</v>
      </c>
      <c r="G48" s="212" t="s">
        <v>43</v>
      </c>
      <c r="H48" s="212" t="s">
        <v>43</v>
      </c>
      <c r="I48" s="64">
        <v>0.52</v>
      </c>
      <c r="J48" s="64">
        <v>0.4</v>
      </c>
      <c r="K48" s="64">
        <v>337.34</v>
      </c>
      <c r="L48" s="64">
        <v>22.94</v>
      </c>
      <c r="M48" s="64">
        <v>74.17</v>
      </c>
      <c r="N48" s="64">
        <v>296</v>
      </c>
      <c r="O48" s="64">
        <v>0</v>
      </c>
      <c r="P48" s="64">
        <v>0.54</v>
      </c>
      <c r="Q48" s="64">
        <v>28.41</v>
      </c>
      <c r="R48" s="198"/>
      <c r="S48" s="198"/>
      <c r="T48" s="198"/>
      <c r="U48" s="198"/>
    </row>
    <row r="49" spans="1:21" s="12" customFormat="1" x14ac:dyDescent="0.25">
      <c r="A49" s="211" t="s">
        <v>285</v>
      </c>
      <c r="B49" s="64">
        <v>8.5</v>
      </c>
      <c r="C49" s="64">
        <v>27.33</v>
      </c>
      <c r="D49" s="64">
        <v>22.54</v>
      </c>
      <c r="E49" s="64">
        <v>0.92</v>
      </c>
      <c r="F49" s="64">
        <v>3.28</v>
      </c>
      <c r="G49" s="212" t="s">
        <v>43</v>
      </c>
      <c r="H49" s="212" t="s">
        <v>43</v>
      </c>
      <c r="I49" s="64">
        <v>0.52</v>
      </c>
      <c r="J49" s="64">
        <v>0.23</v>
      </c>
      <c r="K49" s="64">
        <v>204.3</v>
      </c>
      <c r="L49" s="64">
        <v>23.62</v>
      </c>
      <c r="M49" s="64">
        <v>70.25</v>
      </c>
      <c r="N49" s="64">
        <v>0</v>
      </c>
      <c r="O49" s="64">
        <v>0</v>
      </c>
      <c r="P49" s="64">
        <v>0.56000000000000005</v>
      </c>
      <c r="Q49" s="64">
        <v>28.25</v>
      </c>
      <c r="R49" s="198"/>
      <c r="S49" s="198"/>
      <c r="T49" s="198"/>
      <c r="U49" s="198"/>
    </row>
    <row r="50" spans="1:21" s="12" customFormat="1" x14ac:dyDescent="0.25">
      <c r="A50" s="211" t="s">
        <v>286</v>
      </c>
      <c r="B50" s="64">
        <v>7.76</v>
      </c>
      <c r="C50" s="64">
        <v>26.45</v>
      </c>
      <c r="D50" s="64">
        <v>21.47</v>
      </c>
      <c r="E50" s="64">
        <v>0.8</v>
      </c>
      <c r="F50" s="64">
        <v>3.49</v>
      </c>
      <c r="G50" s="212" t="s">
        <v>43</v>
      </c>
      <c r="H50" s="212" t="s">
        <v>43</v>
      </c>
      <c r="I50" s="64">
        <v>0.51</v>
      </c>
      <c r="J50" s="64">
        <v>0.8</v>
      </c>
      <c r="K50" s="64">
        <v>167.44</v>
      </c>
      <c r="L50" s="64">
        <v>22.94</v>
      </c>
      <c r="M50" s="64">
        <v>72.75</v>
      </c>
      <c r="N50" s="64">
        <v>0</v>
      </c>
      <c r="O50" s="64">
        <v>0</v>
      </c>
      <c r="P50" s="64">
        <v>0.56000000000000005</v>
      </c>
      <c r="Q50" s="64">
        <v>27.95</v>
      </c>
      <c r="R50" s="198"/>
      <c r="S50" s="198"/>
      <c r="T50" s="198"/>
      <c r="U50" s="198"/>
    </row>
    <row r="51" spans="1:21" s="12" customFormat="1" x14ac:dyDescent="0.25">
      <c r="A51" s="211" t="s">
        <v>287</v>
      </c>
      <c r="B51" s="64">
        <v>6.82</v>
      </c>
      <c r="C51" s="64">
        <v>26.87</v>
      </c>
      <c r="D51" s="64">
        <v>20.94</v>
      </c>
      <c r="E51" s="64">
        <v>0.53</v>
      </c>
      <c r="F51" s="64">
        <v>3.58</v>
      </c>
      <c r="G51" s="212" t="s">
        <v>43</v>
      </c>
      <c r="H51" s="212" t="s">
        <v>43</v>
      </c>
      <c r="I51" s="64">
        <v>0.53</v>
      </c>
      <c r="J51" s="64">
        <v>0.75</v>
      </c>
      <c r="K51" s="64">
        <v>163.61000000000001</v>
      </c>
      <c r="L51" s="64">
        <v>22.94</v>
      </c>
      <c r="M51" s="64">
        <v>72.290000000000006</v>
      </c>
      <c r="N51" s="64">
        <v>0</v>
      </c>
      <c r="O51" s="64">
        <v>0</v>
      </c>
      <c r="P51" s="64">
        <v>0.54</v>
      </c>
      <c r="Q51" s="64">
        <v>27.88</v>
      </c>
      <c r="R51" s="198"/>
      <c r="S51" s="198"/>
      <c r="T51" s="198"/>
      <c r="U51" s="198"/>
    </row>
    <row r="52" spans="1:21" s="12" customFormat="1" x14ac:dyDescent="0.25">
      <c r="A52" s="211" t="s">
        <v>288</v>
      </c>
      <c r="B52" s="64">
        <v>5.84</v>
      </c>
      <c r="C52" s="64">
        <v>25.59</v>
      </c>
      <c r="D52" s="64">
        <v>19.45</v>
      </c>
      <c r="E52" s="64">
        <v>0.94</v>
      </c>
      <c r="F52" s="64">
        <v>3.8</v>
      </c>
      <c r="G52" s="212" t="s">
        <v>43</v>
      </c>
      <c r="H52" s="212" t="s">
        <v>43</v>
      </c>
      <c r="I52" s="64">
        <v>0.53</v>
      </c>
      <c r="J52" s="64">
        <v>0.14000000000000001</v>
      </c>
      <c r="K52" s="64">
        <v>196.7</v>
      </c>
      <c r="L52" s="64">
        <v>23.9</v>
      </c>
      <c r="M52" s="64">
        <v>70.05</v>
      </c>
      <c r="N52" s="64">
        <v>0</v>
      </c>
      <c r="O52" s="64">
        <v>0</v>
      </c>
      <c r="P52" s="64">
        <v>0.53</v>
      </c>
      <c r="Q52" s="64">
        <v>27.94</v>
      </c>
      <c r="R52" s="198"/>
      <c r="S52" s="198"/>
      <c r="T52" s="198"/>
      <c r="U52" s="198"/>
    </row>
    <row r="53" spans="1:21" s="12" customFormat="1" x14ac:dyDescent="0.25">
      <c r="A53" s="211" t="s">
        <v>289</v>
      </c>
      <c r="B53" s="64">
        <v>5.2</v>
      </c>
      <c r="C53" s="64">
        <v>28.06</v>
      </c>
      <c r="D53" s="64">
        <v>20.3</v>
      </c>
      <c r="E53" s="64">
        <v>0.99</v>
      </c>
      <c r="F53" s="64">
        <v>6.21</v>
      </c>
      <c r="G53" s="212" t="s">
        <v>43</v>
      </c>
      <c r="H53" s="212" t="s">
        <v>43</v>
      </c>
      <c r="I53" s="64">
        <v>0.52</v>
      </c>
      <c r="J53" s="64">
        <v>0.49</v>
      </c>
      <c r="K53" s="64">
        <v>101.44</v>
      </c>
      <c r="L53" s="64">
        <v>23.95</v>
      </c>
      <c r="M53" s="64">
        <v>68.83</v>
      </c>
      <c r="N53" s="64">
        <v>0</v>
      </c>
      <c r="O53" s="64">
        <v>0</v>
      </c>
      <c r="P53" s="64">
        <v>0.53</v>
      </c>
      <c r="Q53" s="64">
        <v>28.92</v>
      </c>
      <c r="R53" s="198"/>
      <c r="S53" s="198"/>
      <c r="T53" s="198"/>
      <c r="U53" s="198"/>
    </row>
    <row r="54" spans="1:21" s="12" customFormat="1" x14ac:dyDescent="0.25">
      <c r="A54" s="211" t="s">
        <v>290</v>
      </c>
      <c r="B54" s="64">
        <v>4.92</v>
      </c>
      <c r="C54" s="64">
        <v>25.08</v>
      </c>
      <c r="D54" s="64">
        <v>18.43</v>
      </c>
      <c r="E54" s="64">
        <v>0.91</v>
      </c>
      <c r="F54" s="64">
        <v>4.58</v>
      </c>
      <c r="G54" s="212" t="s">
        <v>43</v>
      </c>
      <c r="H54" s="212" t="s">
        <v>43</v>
      </c>
      <c r="I54" s="64">
        <v>0.52</v>
      </c>
      <c r="J54" s="64">
        <v>0.56000000000000005</v>
      </c>
      <c r="K54" s="64">
        <v>140.65</v>
      </c>
      <c r="L54" s="64">
        <v>24.13</v>
      </c>
      <c r="M54" s="64">
        <v>67.17</v>
      </c>
      <c r="N54" s="64">
        <v>0</v>
      </c>
      <c r="O54" s="64">
        <v>0</v>
      </c>
      <c r="P54" s="64">
        <v>0.54</v>
      </c>
      <c r="Q54" s="64">
        <v>30.21</v>
      </c>
      <c r="R54" s="198"/>
      <c r="S54" s="198"/>
      <c r="T54" s="198"/>
      <c r="U54" s="198"/>
    </row>
    <row r="55" spans="1:21" s="12" customFormat="1" x14ac:dyDescent="0.25">
      <c r="A55" s="211" t="s">
        <v>291</v>
      </c>
      <c r="B55" s="64">
        <v>4.78</v>
      </c>
      <c r="C55" s="64">
        <v>24.04</v>
      </c>
      <c r="D55" s="64">
        <v>17.739999999999998</v>
      </c>
      <c r="E55" s="64">
        <v>0.97</v>
      </c>
      <c r="F55" s="64">
        <v>3.68</v>
      </c>
      <c r="G55" s="212" t="s">
        <v>43</v>
      </c>
      <c r="H55" s="212" t="s">
        <v>43</v>
      </c>
      <c r="I55" s="64">
        <v>0.52</v>
      </c>
      <c r="J55" s="64">
        <v>0.85</v>
      </c>
      <c r="K55" s="64">
        <v>139.02000000000001</v>
      </c>
      <c r="L55" s="64">
        <v>23.91</v>
      </c>
      <c r="M55" s="64">
        <v>68.89</v>
      </c>
      <c r="N55" s="64">
        <v>0</v>
      </c>
      <c r="O55" s="64">
        <v>0</v>
      </c>
      <c r="P55" s="64">
        <v>0.53</v>
      </c>
      <c r="Q55" s="64">
        <v>30.31</v>
      </c>
      <c r="R55" s="198"/>
      <c r="S55" s="198"/>
      <c r="T55" s="198"/>
      <c r="U55" s="198"/>
    </row>
    <row r="56" spans="1:21" s="12" customFormat="1" x14ac:dyDescent="0.25">
      <c r="A56" s="211" t="s">
        <v>292</v>
      </c>
      <c r="B56" s="64">
        <v>4.6399999999999997</v>
      </c>
      <c r="C56" s="64">
        <v>23.31</v>
      </c>
      <c r="D56" s="64">
        <v>17.239999999999998</v>
      </c>
      <c r="E56" s="64">
        <v>-0.56000000000000005</v>
      </c>
      <c r="F56" s="64">
        <v>3.32</v>
      </c>
      <c r="G56" s="212" t="s">
        <v>43</v>
      </c>
      <c r="H56" s="212" t="s">
        <v>43</v>
      </c>
      <c r="I56" s="64">
        <v>0.51</v>
      </c>
      <c r="J56" s="64">
        <v>0.35</v>
      </c>
      <c r="K56" s="64">
        <v>236.33</v>
      </c>
      <c r="L56" s="64">
        <v>24.84</v>
      </c>
      <c r="M56" s="64">
        <v>66.12</v>
      </c>
      <c r="N56" s="64">
        <v>0</v>
      </c>
      <c r="O56" s="64">
        <v>0</v>
      </c>
      <c r="P56" s="64">
        <v>0.53</v>
      </c>
      <c r="Q56" s="64">
        <v>30.57</v>
      </c>
      <c r="R56" s="198"/>
      <c r="S56" s="198"/>
      <c r="T56" s="198"/>
      <c r="U56" s="198"/>
    </row>
    <row r="57" spans="1:21" s="12" customFormat="1" x14ac:dyDescent="0.25">
      <c r="A57" s="211" t="s">
        <v>293</v>
      </c>
      <c r="B57" s="64">
        <v>4.3899999999999997</v>
      </c>
      <c r="C57" s="64">
        <v>22.76</v>
      </c>
      <c r="D57" s="64">
        <v>16.73</v>
      </c>
      <c r="E57" s="64">
        <v>0.71</v>
      </c>
      <c r="F57" s="64">
        <v>4.6399999999999997</v>
      </c>
      <c r="G57" s="212" t="s">
        <v>43</v>
      </c>
      <c r="H57" s="212" t="s">
        <v>43</v>
      </c>
      <c r="I57" s="64">
        <v>0.53</v>
      </c>
      <c r="J57" s="64">
        <v>0.43</v>
      </c>
      <c r="K57" s="64">
        <v>167.69</v>
      </c>
      <c r="L57" s="64">
        <v>24.6</v>
      </c>
      <c r="M57" s="64">
        <v>65.59</v>
      </c>
      <c r="N57" s="64">
        <v>0</v>
      </c>
      <c r="O57" s="64">
        <v>0</v>
      </c>
      <c r="P57" s="64">
        <v>0.52</v>
      </c>
      <c r="Q57" s="64">
        <v>30.51</v>
      </c>
      <c r="R57" s="198"/>
      <c r="S57" s="198"/>
      <c r="T57" s="198"/>
      <c r="U57" s="198"/>
    </row>
    <row r="58" spans="1:21" s="12" customFormat="1" x14ac:dyDescent="0.25">
      <c r="A58" s="211" t="s">
        <v>294</v>
      </c>
      <c r="B58" s="64">
        <v>4.12</v>
      </c>
      <c r="C58" s="64">
        <v>21.99</v>
      </c>
      <c r="D58" s="64">
        <v>16.09</v>
      </c>
      <c r="E58" s="64">
        <v>1.42</v>
      </c>
      <c r="F58" s="64">
        <v>4.47</v>
      </c>
      <c r="G58" s="212" t="s">
        <v>43</v>
      </c>
      <c r="H58" s="212" t="s">
        <v>43</v>
      </c>
      <c r="I58" s="64">
        <v>0.53</v>
      </c>
      <c r="J58" s="64">
        <v>0.98</v>
      </c>
      <c r="K58" s="64">
        <v>218.03</v>
      </c>
      <c r="L58" s="64">
        <v>25.1</v>
      </c>
      <c r="M58" s="64">
        <v>63.1</v>
      </c>
      <c r="N58" s="64">
        <v>0</v>
      </c>
      <c r="O58" s="64">
        <v>0</v>
      </c>
      <c r="P58" s="64">
        <v>0.5</v>
      </c>
      <c r="Q58" s="64">
        <v>29.89</v>
      </c>
      <c r="R58" s="198"/>
      <c r="S58" s="198"/>
      <c r="T58" s="198"/>
      <c r="U58" s="198"/>
    </row>
    <row r="59" spans="1:21" s="12" customFormat="1" x14ac:dyDescent="0.25">
      <c r="A59" s="211" t="s">
        <v>295</v>
      </c>
      <c r="B59" s="64">
        <v>3.48</v>
      </c>
      <c r="C59" s="64">
        <v>23.77</v>
      </c>
      <c r="D59" s="64">
        <v>16.55</v>
      </c>
      <c r="E59" s="64">
        <v>1.5</v>
      </c>
      <c r="F59" s="64">
        <v>4.3600000000000003</v>
      </c>
      <c r="G59" s="212" t="s">
        <v>43</v>
      </c>
      <c r="H59" s="212" t="s">
        <v>43</v>
      </c>
      <c r="I59" s="64">
        <v>0.53</v>
      </c>
      <c r="J59" s="64">
        <v>0.98</v>
      </c>
      <c r="K59" s="64">
        <v>212.99</v>
      </c>
      <c r="L59" s="64">
        <v>24.81</v>
      </c>
      <c r="M59" s="64">
        <v>64.87</v>
      </c>
      <c r="N59" s="64">
        <v>0</v>
      </c>
      <c r="O59" s="64">
        <v>0</v>
      </c>
      <c r="P59" s="64">
        <v>0.49</v>
      </c>
      <c r="Q59" s="64">
        <v>28.72</v>
      </c>
      <c r="R59" s="198"/>
      <c r="S59" s="198"/>
      <c r="T59" s="198"/>
      <c r="U59" s="198"/>
    </row>
    <row r="60" spans="1:21" s="12" customFormat="1" x14ac:dyDescent="0.25">
      <c r="A60" s="211" t="s">
        <v>296</v>
      </c>
      <c r="B60" s="64">
        <v>2.82</v>
      </c>
      <c r="C60" s="64">
        <v>24.19</v>
      </c>
      <c r="D60" s="64">
        <v>16.260000000000002</v>
      </c>
      <c r="E60" s="64">
        <v>1.08</v>
      </c>
      <c r="F60" s="64">
        <v>4.45</v>
      </c>
      <c r="G60" s="212" t="s">
        <v>43</v>
      </c>
      <c r="H60" s="212" t="s">
        <v>43</v>
      </c>
      <c r="I60" s="64">
        <v>0.52</v>
      </c>
      <c r="J60" s="64">
        <v>0.97</v>
      </c>
      <c r="K60" s="64">
        <v>168.31</v>
      </c>
      <c r="L60" s="64">
        <v>24.55</v>
      </c>
      <c r="M60" s="64">
        <v>65.66</v>
      </c>
      <c r="N60" s="64">
        <v>0</v>
      </c>
      <c r="O60" s="64">
        <v>0</v>
      </c>
      <c r="P60" s="64">
        <v>0.48</v>
      </c>
      <c r="Q60" s="64">
        <v>28.04</v>
      </c>
      <c r="R60" s="198"/>
      <c r="S60" s="198"/>
      <c r="T60" s="198"/>
      <c r="U60" s="198"/>
    </row>
    <row r="61" spans="1:21" s="12" customFormat="1" x14ac:dyDescent="0.25">
      <c r="A61" s="211" t="s">
        <v>297</v>
      </c>
      <c r="B61" s="64">
        <v>2.48</v>
      </c>
      <c r="C61" s="64">
        <v>23.43</v>
      </c>
      <c r="D61" s="64">
        <v>15.57</v>
      </c>
      <c r="E61" s="64">
        <v>1.29</v>
      </c>
      <c r="F61" s="64">
        <v>4.55</v>
      </c>
      <c r="G61" s="212" t="s">
        <v>43</v>
      </c>
      <c r="H61" s="212" t="s">
        <v>43</v>
      </c>
      <c r="I61" s="64">
        <v>0.51</v>
      </c>
      <c r="J61" s="64">
        <v>1</v>
      </c>
      <c r="K61" s="64">
        <v>150.4</v>
      </c>
      <c r="L61" s="64">
        <v>24.44</v>
      </c>
      <c r="M61" s="64">
        <v>65.75</v>
      </c>
      <c r="N61" s="64">
        <v>0</v>
      </c>
      <c r="O61" s="64">
        <v>0</v>
      </c>
      <c r="P61" s="64">
        <v>0.44</v>
      </c>
      <c r="Q61" s="64">
        <v>27.88</v>
      </c>
      <c r="R61" s="198"/>
      <c r="S61" s="198"/>
      <c r="T61" s="198"/>
      <c r="U61" s="198"/>
    </row>
    <row r="62" spans="1:21" s="12" customFormat="1" x14ac:dyDescent="0.25">
      <c r="A62" s="211" t="s">
        <v>298</v>
      </c>
      <c r="B62" s="64">
        <v>2.2999999999999998</v>
      </c>
      <c r="C62" s="64">
        <v>23.7</v>
      </c>
      <c r="D62" s="64">
        <v>15.57</v>
      </c>
      <c r="E62" s="64">
        <v>0.99</v>
      </c>
      <c r="F62" s="64">
        <v>4.49</v>
      </c>
      <c r="G62" s="212" t="s">
        <v>43</v>
      </c>
      <c r="H62" s="212" t="s">
        <v>43</v>
      </c>
      <c r="I62" s="64">
        <v>0.51</v>
      </c>
      <c r="J62" s="64">
        <v>0.51</v>
      </c>
      <c r="K62" s="64">
        <v>214.06</v>
      </c>
      <c r="L62" s="64">
        <v>24.95</v>
      </c>
      <c r="M62" s="64">
        <v>63.29</v>
      </c>
      <c r="N62" s="64">
        <v>0</v>
      </c>
      <c r="O62" s="64">
        <v>0</v>
      </c>
      <c r="P62" s="64">
        <v>0.45</v>
      </c>
      <c r="Q62" s="64">
        <v>28.44</v>
      </c>
      <c r="R62" s="198"/>
      <c r="S62" s="198"/>
      <c r="T62" s="198"/>
      <c r="U62" s="198"/>
    </row>
    <row r="63" spans="1:21" s="12" customFormat="1" x14ac:dyDescent="0.25">
      <c r="A63" s="211" t="s">
        <v>299</v>
      </c>
      <c r="B63" s="64">
        <v>2.19</v>
      </c>
      <c r="C63" s="64">
        <v>23.09</v>
      </c>
      <c r="D63" s="64">
        <v>15.14</v>
      </c>
      <c r="E63" s="64">
        <v>0.92</v>
      </c>
      <c r="F63" s="64">
        <v>4.29</v>
      </c>
      <c r="G63" s="212" t="s">
        <v>43</v>
      </c>
      <c r="H63" s="212" t="s">
        <v>43</v>
      </c>
      <c r="I63" s="64">
        <v>0.51</v>
      </c>
      <c r="J63" s="64">
        <v>0.52</v>
      </c>
      <c r="K63" s="64">
        <v>170.91</v>
      </c>
      <c r="L63" s="64">
        <v>25.37</v>
      </c>
      <c r="M63" s="64">
        <v>61.76</v>
      </c>
      <c r="N63" s="64">
        <v>0</v>
      </c>
      <c r="O63" s="64">
        <v>0</v>
      </c>
      <c r="P63" s="64">
        <v>0.44</v>
      </c>
      <c r="Q63" s="64">
        <v>28.29</v>
      </c>
      <c r="R63" s="198"/>
      <c r="S63" s="198"/>
      <c r="T63" s="198"/>
      <c r="U63" s="198"/>
    </row>
    <row r="64" spans="1:21" s="12" customFormat="1" x14ac:dyDescent="0.25">
      <c r="A64" s="211" t="s">
        <v>300</v>
      </c>
      <c r="B64" s="64">
        <v>2.08</v>
      </c>
      <c r="C64" s="64">
        <v>21.43</v>
      </c>
      <c r="D64" s="64">
        <v>14.14</v>
      </c>
      <c r="E64" s="64">
        <v>1.33</v>
      </c>
      <c r="F64" s="64">
        <v>4.8</v>
      </c>
      <c r="G64" s="212" t="s">
        <v>43</v>
      </c>
      <c r="H64" s="212" t="s">
        <v>43</v>
      </c>
      <c r="I64" s="64">
        <v>0.52</v>
      </c>
      <c r="J64" s="64">
        <v>0.89</v>
      </c>
      <c r="K64" s="64">
        <v>148.85</v>
      </c>
      <c r="L64" s="64">
        <v>25.39</v>
      </c>
      <c r="M64" s="64">
        <v>62.28</v>
      </c>
      <c r="N64" s="64">
        <v>0</v>
      </c>
      <c r="O64" s="64">
        <v>0</v>
      </c>
      <c r="P64" s="64">
        <v>0.43</v>
      </c>
      <c r="Q64" s="64">
        <v>27.62</v>
      </c>
      <c r="R64" s="198"/>
      <c r="S64" s="198"/>
      <c r="T64" s="198"/>
      <c r="U64" s="198"/>
    </row>
    <row r="65" spans="1:21" s="12" customFormat="1" x14ac:dyDescent="0.25">
      <c r="A65" s="211" t="s">
        <v>301</v>
      </c>
      <c r="B65" s="64">
        <v>2.08</v>
      </c>
      <c r="C65" s="64">
        <v>22.67</v>
      </c>
      <c r="D65" s="64">
        <v>14.82</v>
      </c>
      <c r="E65" s="64">
        <v>1.23</v>
      </c>
      <c r="F65" s="64">
        <v>6.36</v>
      </c>
      <c r="G65" s="212" t="s">
        <v>43</v>
      </c>
      <c r="H65" s="212" t="s">
        <v>43</v>
      </c>
      <c r="I65" s="64">
        <v>0.52</v>
      </c>
      <c r="J65" s="64">
        <v>0.93</v>
      </c>
      <c r="K65" s="64">
        <v>155.47</v>
      </c>
      <c r="L65" s="64">
        <v>25.38</v>
      </c>
      <c r="M65" s="64">
        <v>61.76</v>
      </c>
      <c r="N65" s="64">
        <v>0</v>
      </c>
      <c r="O65" s="64">
        <v>0</v>
      </c>
      <c r="P65" s="64">
        <v>0.41</v>
      </c>
      <c r="Q65" s="64">
        <v>28.56</v>
      </c>
      <c r="R65" s="198"/>
      <c r="S65" s="198"/>
      <c r="T65" s="198"/>
      <c r="U65" s="198"/>
    </row>
    <row r="66" spans="1:21" s="12" customFormat="1" x14ac:dyDescent="0.25">
      <c r="A66" s="211" t="s">
        <v>302</v>
      </c>
      <c r="B66" s="64">
        <v>2.2999999999999998</v>
      </c>
      <c r="C66" s="64">
        <v>21.96</v>
      </c>
      <c r="D66" s="64">
        <v>14.61</v>
      </c>
      <c r="E66" s="64">
        <v>1.27</v>
      </c>
      <c r="F66" s="64">
        <v>7.18</v>
      </c>
      <c r="G66" s="212" t="s">
        <v>43</v>
      </c>
      <c r="H66" s="212" t="s">
        <v>43</v>
      </c>
      <c r="I66" s="64">
        <v>0.52</v>
      </c>
      <c r="J66" s="64">
        <v>1.1499999999999999</v>
      </c>
      <c r="K66" s="64">
        <v>158.63</v>
      </c>
      <c r="L66" s="64">
        <v>25.94</v>
      </c>
      <c r="M66" s="64">
        <v>58.8</v>
      </c>
      <c r="N66" s="64">
        <v>0</v>
      </c>
      <c r="O66" s="64">
        <v>0</v>
      </c>
      <c r="P66" s="64">
        <v>0.4</v>
      </c>
      <c r="Q66" s="64">
        <v>29.68</v>
      </c>
      <c r="R66" s="198"/>
      <c r="S66" s="198"/>
      <c r="T66" s="198"/>
      <c r="U66" s="198"/>
    </row>
    <row r="67" spans="1:21" s="12" customFormat="1" x14ac:dyDescent="0.25">
      <c r="A67" s="211" t="s">
        <v>303</v>
      </c>
      <c r="B67" s="64">
        <v>2.48</v>
      </c>
      <c r="C67" s="64">
        <v>21.66</v>
      </c>
      <c r="D67" s="64">
        <v>14.59</v>
      </c>
      <c r="E67" s="64">
        <v>1.29</v>
      </c>
      <c r="F67" s="64">
        <v>6.64</v>
      </c>
      <c r="G67" s="212" t="s">
        <v>43</v>
      </c>
      <c r="H67" s="212" t="s">
        <v>43</v>
      </c>
      <c r="I67" s="64">
        <v>0.5</v>
      </c>
      <c r="J67" s="64">
        <v>1.01</v>
      </c>
      <c r="K67" s="64">
        <v>158.05000000000001</v>
      </c>
      <c r="L67" s="64">
        <v>25.64</v>
      </c>
      <c r="M67" s="64">
        <v>60.5</v>
      </c>
      <c r="N67" s="64">
        <v>0</v>
      </c>
      <c r="O67" s="64">
        <v>0</v>
      </c>
      <c r="P67" s="64">
        <v>0.39</v>
      </c>
      <c r="Q67" s="64">
        <v>30.58</v>
      </c>
      <c r="R67" s="198"/>
      <c r="S67" s="198"/>
      <c r="T67" s="198"/>
      <c r="U67" s="198"/>
    </row>
    <row r="68" spans="1:21" s="12" customFormat="1" x14ac:dyDescent="0.25">
      <c r="A68" s="211" t="s">
        <v>304</v>
      </c>
      <c r="B68" s="64">
        <v>2.66</v>
      </c>
      <c r="C68" s="64">
        <v>19.87</v>
      </c>
      <c r="D68" s="64">
        <v>13.74</v>
      </c>
      <c r="E68" s="64">
        <v>1.61</v>
      </c>
      <c r="F68" s="64">
        <v>10.92</v>
      </c>
      <c r="G68" s="212" t="s">
        <v>43</v>
      </c>
      <c r="H68" s="212" t="s">
        <v>43</v>
      </c>
      <c r="I68" s="64">
        <v>0.51</v>
      </c>
      <c r="J68" s="64">
        <v>0.86</v>
      </c>
      <c r="K68" s="64">
        <v>151.54</v>
      </c>
      <c r="L68" s="64">
        <v>25.86</v>
      </c>
      <c r="M68" s="64">
        <v>58.93</v>
      </c>
      <c r="N68" s="64">
        <v>0</v>
      </c>
      <c r="O68" s="64">
        <v>0</v>
      </c>
      <c r="P68" s="64">
        <v>0.37</v>
      </c>
      <c r="Q68" s="64">
        <v>31.3</v>
      </c>
      <c r="R68" s="198"/>
      <c r="S68" s="198"/>
      <c r="T68" s="198"/>
      <c r="U68" s="198"/>
    </row>
    <row r="69" spans="1:21" s="12" customFormat="1" x14ac:dyDescent="0.25">
      <c r="A69" s="211" t="s">
        <v>305</v>
      </c>
      <c r="B69" s="64">
        <v>2.61</v>
      </c>
      <c r="C69" s="64">
        <v>21.25</v>
      </c>
      <c r="D69" s="64">
        <v>14.46</v>
      </c>
      <c r="E69" s="64">
        <v>1.23</v>
      </c>
      <c r="F69" s="64">
        <v>6.48</v>
      </c>
      <c r="G69" s="212" t="s">
        <v>43</v>
      </c>
      <c r="H69" s="212" t="s">
        <v>43</v>
      </c>
      <c r="I69" s="64">
        <v>0.52</v>
      </c>
      <c r="J69" s="64">
        <v>0.67</v>
      </c>
      <c r="K69" s="64">
        <v>197.61</v>
      </c>
      <c r="L69" s="64">
        <v>25.41</v>
      </c>
      <c r="M69" s="64">
        <v>58.76</v>
      </c>
      <c r="N69" s="64">
        <v>0</v>
      </c>
      <c r="O69" s="64">
        <v>0</v>
      </c>
      <c r="P69" s="64">
        <v>0.38</v>
      </c>
      <c r="Q69" s="64">
        <v>31.39</v>
      </c>
      <c r="R69" s="198"/>
      <c r="S69" s="198"/>
      <c r="T69" s="198"/>
      <c r="U69" s="198"/>
    </row>
    <row r="70" spans="1:21" s="12" customFormat="1" x14ac:dyDescent="0.25">
      <c r="A70" s="211" t="s">
        <v>306</v>
      </c>
      <c r="B70" s="64">
        <v>2.4900000000000002</v>
      </c>
      <c r="C70" s="64">
        <v>25.1</v>
      </c>
      <c r="D70" s="64">
        <v>16.5</v>
      </c>
      <c r="E70" s="64">
        <v>1.51</v>
      </c>
      <c r="F70" s="64">
        <v>5.73</v>
      </c>
      <c r="G70" s="212" t="s">
        <v>43</v>
      </c>
      <c r="H70" s="212" t="s">
        <v>43</v>
      </c>
      <c r="I70" s="64">
        <v>0.51</v>
      </c>
      <c r="J70" s="64">
        <v>0.78</v>
      </c>
      <c r="K70" s="64">
        <v>233.46</v>
      </c>
      <c r="L70" s="64">
        <v>25.61</v>
      </c>
      <c r="M70" s="64">
        <v>56.89</v>
      </c>
      <c r="N70" s="64">
        <v>0</v>
      </c>
      <c r="O70" s="64">
        <v>0</v>
      </c>
      <c r="P70" s="64">
        <v>0.37</v>
      </c>
      <c r="Q70" s="64">
        <v>30.7</v>
      </c>
      <c r="R70" s="198"/>
      <c r="S70" s="198"/>
      <c r="T70" s="198"/>
      <c r="U70" s="198"/>
    </row>
    <row r="71" spans="1:21" s="12" customFormat="1" x14ac:dyDescent="0.25">
      <c r="A71" s="211" t="s">
        <v>307</v>
      </c>
      <c r="B71" s="64">
        <v>2.23</v>
      </c>
      <c r="C71" s="64">
        <v>23.68</v>
      </c>
      <c r="D71" s="64">
        <v>15.5</v>
      </c>
      <c r="E71" s="64">
        <v>1.04</v>
      </c>
      <c r="F71" s="64">
        <v>5.03</v>
      </c>
      <c r="G71" s="212" t="s">
        <v>43</v>
      </c>
      <c r="H71" s="212" t="s">
        <v>43</v>
      </c>
      <c r="I71" s="64">
        <v>0.51</v>
      </c>
      <c r="J71" s="64">
        <v>0.64</v>
      </c>
      <c r="K71" s="64">
        <v>204.1</v>
      </c>
      <c r="L71" s="64">
        <v>26.05</v>
      </c>
      <c r="M71" s="64">
        <v>55.54</v>
      </c>
      <c r="N71" s="64">
        <v>0</v>
      </c>
      <c r="O71" s="64">
        <v>0</v>
      </c>
      <c r="P71" s="64">
        <v>0.36</v>
      </c>
      <c r="Q71" s="64">
        <v>29.79</v>
      </c>
      <c r="R71" s="198"/>
      <c r="S71" s="198"/>
      <c r="T71" s="198"/>
      <c r="U71" s="198"/>
    </row>
    <row r="72" spans="1:21" s="12" customFormat="1" x14ac:dyDescent="0.25">
      <c r="A72" s="211" t="s">
        <v>308</v>
      </c>
      <c r="B72" s="64">
        <v>2.0699999999999998</v>
      </c>
      <c r="C72" s="64">
        <v>21.95</v>
      </c>
      <c r="D72" s="64">
        <v>14.42</v>
      </c>
      <c r="E72" s="64">
        <v>1.0900000000000001</v>
      </c>
      <c r="F72" s="64">
        <v>5.25</v>
      </c>
      <c r="G72" s="212" t="s">
        <v>43</v>
      </c>
      <c r="H72" s="212" t="s">
        <v>43</v>
      </c>
      <c r="I72" s="64">
        <v>0.49</v>
      </c>
      <c r="J72" s="64">
        <v>0.35</v>
      </c>
      <c r="K72" s="64">
        <v>172.09</v>
      </c>
      <c r="L72" s="64">
        <v>25.92</v>
      </c>
      <c r="M72" s="64">
        <v>55.98</v>
      </c>
      <c r="N72" s="64">
        <v>0</v>
      </c>
      <c r="O72" s="64">
        <v>0</v>
      </c>
      <c r="P72" s="64">
        <v>0.35</v>
      </c>
      <c r="Q72" s="64">
        <v>29.06</v>
      </c>
      <c r="R72" s="198"/>
      <c r="S72" s="198"/>
      <c r="T72" s="198"/>
      <c r="U72" s="198"/>
    </row>
    <row r="73" spans="1:21" s="12" customFormat="1" x14ac:dyDescent="0.25">
      <c r="A73" s="211" t="s">
        <v>309</v>
      </c>
      <c r="B73" s="64">
        <v>2</v>
      </c>
      <c r="C73" s="64">
        <v>21.7</v>
      </c>
      <c r="D73" s="64">
        <v>14.22</v>
      </c>
      <c r="E73" s="64">
        <v>2.09</v>
      </c>
      <c r="F73" s="64">
        <v>6.73</v>
      </c>
      <c r="G73" s="212" t="s">
        <v>43</v>
      </c>
      <c r="H73" s="212" t="s">
        <v>43</v>
      </c>
      <c r="I73" s="64">
        <v>0.49</v>
      </c>
      <c r="J73" s="64">
        <v>0.68</v>
      </c>
      <c r="K73" s="64">
        <v>183.17</v>
      </c>
      <c r="L73" s="64">
        <v>25.53</v>
      </c>
      <c r="M73" s="64">
        <v>55.89</v>
      </c>
      <c r="N73" s="64">
        <v>0</v>
      </c>
      <c r="O73" s="64">
        <v>0</v>
      </c>
      <c r="P73" s="64">
        <v>0.34</v>
      </c>
      <c r="Q73" s="64">
        <v>28.92</v>
      </c>
      <c r="R73" s="198"/>
      <c r="S73" s="198"/>
      <c r="T73" s="198"/>
      <c r="U73" s="198"/>
    </row>
    <row r="74" spans="1:21" s="12" customFormat="1" x14ac:dyDescent="0.25">
      <c r="A74" s="211" t="s">
        <v>310</v>
      </c>
      <c r="B74" s="64">
        <v>1.99</v>
      </c>
      <c r="C74" s="64">
        <v>22.53</v>
      </c>
      <c r="D74" s="64">
        <v>14.68</v>
      </c>
      <c r="E74" s="64">
        <v>1.82</v>
      </c>
      <c r="F74" s="64">
        <v>6.07</v>
      </c>
      <c r="G74" s="212" t="s">
        <v>43</v>
      </c>
      <c r="H74" s="212" t="s">
        <v>43</v>
      </c>
      <c r="I74" s="64">
        <v>0.51</v>
      </c>
      <c r="J74" s="64">
        <v>0.43</v>
      </c>
      <c r="K74" s="64">
        <v>156.85</v>
      </c>
      <c r="L74" s="64">
        <v>25.53</v>
      </c>
      <c r="M74" s="64">
        <v>55.56</v>
      </c>
      <c r="N74" s="64">
        <v>49.5</v>
      </c>
      <c r="O74" s="64">
        <v>0</v>
      </c>
      <c r="P74" s="64">
        <v>0.34</v>
      </c>
      <c r="Q74" s="64">
        <v>28.91</v>
      </c>
      <c r="R74" s="198"/>
      <c r="S74" s="198"/>
      <c r="T74" s="198"/>
      <c r="U74" s="198"/>
    </row>
    <row r="75" spans="1:21" s="12" customFormat="1" x14ac:dyDescent="0.25">
      <c r="A75" s="211" t="s">
        <v>311</v>
      </c>
      <c r="B75" s="64">
        <v>2</v>
      </c>
      <c r="C75" s="64">
        <v>20.79</v>
      </c>
      <c r="D75" s="64">
        <v>13.72</v>
      </c>
      <c r="E75" s="64">
        <v>1.63</v>
      </c>
      <c r="F75" s="64">
        <v>5.91</v>
      </c>
      <c r="G75" s="212" t="s">
        <v>43</v>
      </c>
      <c r="H75" s="212" t="s">
        <v>43</v>
      </c>
      <c r="I75" s="64">
        <v>0.51</v>
      </c>
      <c r="J75" s="64">
        <v>1.05</v>
      </c>
      <c r="K75" s="64">
        <v>129.6</v>
      </c>
      <c r="L75" s="64">
        <v>25.53</v>
      </c>
      <c r="M75" s="64">
        <v>56.19</v>
      </c>
      <c r="N75" s="64">
        <v>75.599999999999994</v>
      </c>
      <c r="O75" s="64">
        <v>0</v>
      </c>
      <c r="P75" s="64">
        <v>0.33</v>
      </c>
      <c r="Q75" s="64">
        <v>28.94</v>
      </c>
      <c r="R75" s="198"/>
      <c r="S75" s="198"/>
      <c r="T75" s="198"/>
      <c r="U75" s="198"/>
    </row>
    <row r="76" spans="1:21" s="12" customFormat="1" x14ac:dyDescent="0.25">
      <c r="A76" s="211" t="s">
        <v>312</v>
      </c>
      <c r="B76" s="64">
        <v>2.0299999999999998</v>
      </c>
      <c r="C76" s="64">
        <v>21.47</v>
      </c>
      <c r="D76" s="64">
        <v>14.13</v>
      </c>
      <c r="E76" s="64">
        <v>1.8</v>
      </c>
      <c r="F76" s="64">
        <v>5.72</v>
      </c>
      <c r="G76" s="212" t="s">
        <v>43</v>
      </c>
      <c r="H76" s="212" t="s">
        <v>43</v>
      </c>
      <c r="I76" s="64">
        <v>0.5</v>
      </c>
      <c r="J76" s="64">
        <v>0.95</v>
      </c>
      <c r="K76" s="64">
        <v>141.47999999999999</v>
      </c>
      <c r="L76" s="64">
        <v>25.6</v>
      </c>
      <c r="M76" s="64">
        <v>56.49</v>
      </c>
      <c r="N76" s="64">
        <v>55.5</v>
      </c>
      <c r="O76" s="64">
        <v>0</v>
      </c>
      <c r="P76" s="64">
        <v>0.32</v>
      </c>
      <c r="Q76" s="64">
        <v>28.48</v>
      </c>
      <c r="R76" s="198"/>
      <c r="S76" s="198"/>
      <c r="T76" s="198"/>
      <c r="U76" s="198"/>
    </row>
    <row r="77" spans="1:21" s="12" customFormat="1" x14ac:dyDescent="0.25">
      <c r="A77" s="211" t="s">
        <v>313</v>
      </c>
      <c r="B77" s="64">
        <v>2.2200000000000002</v>
      </c>
      <c r="C77" s="64">
        <v>22.21</v>
      </c>
      <c r="D77" s="64">
        <v>14.68</v>
      </c>
      <c r="E77" s="64">
        <v>2.48</v>
      </c>
      <c r="F77" s="64">
        <v>7.37</v>
      </c>
      <c r="G77" s="212" t="s">
        <v>43</v>
      </c>
      <c r="H77" s="212" t="s">
        <v>43</v>
      </c>
      <c r="I77" s="64">
        <v>0.51</v>
      </c>
      <c r="J77" s="64">
        <v>1.29</v>
      </c>
      <c r="K77" s="64">
        <v>125.08</v>
      </c>
      <c r="L77" s="64">
        <v>25.24</v>
      </c>
      <c r="M77" s="64">
        <v>56.64</v>
      </c>
      <c r="N77" s="64">
        <v>49.4</v>
      </c>
      <c r="O77" s="64">
        <v>0</v>
      </c>
      <c r="P77" s="64">
        <v>0.31</v>
      </c>
      <c r="Q77" s="64">
        <v>29.67</v>
      </c>
      <c r="R77" s="198"/>
      <c r="S77" s="198"/>
      <c r="T77" s="198"/>
      <c r="U77" s="198"/>
    </row>
    <row r="78" spans="1:21" s="12" customFormat="1" x14ac:dyDescent="0.25">
      <c r="A78" s="211" t="s">
        <v>314</v>
      </c>
      <c r="B78" s="64">
        <v>2.4700000000000002</v>
      </c>
      <c r="C78" s="64">
        <v>23.36</v>
      </c>
      <c r="D78" s="64">
        <v>15.52</v>
      </c>
      <c r="E78" s="64">
        <v>2.2799999999999998</v>
      </c>
      <c r="F78" s="64">
        <v>9.06</v>
      </c>
      <c r="G78" s="212" t="s">
        <v>43</v>
      </c>
      <c r="H78" s="212" t="s">
        <v>43</v>
      </c>
      <c r="I78" s="64">
        <v>0.51</v>
      </c>
      <c r="J78" s="64">
        <v>0.75</v>
      </c>
      <c r="K78" s="64">
        <v>129.36000000000001</v>
      </c>
      <c r="L78" s="64">
        <v>25.11</v>
      </c>
      <c r="M78" s="64">
        <v>57.69</v>
      </c>
      <c r="N78" s="64">
        <v>40</v>
      </c>
      <c r="O78" s="64">
        <v>0</v>
      </c>
      <c r="P78" s="64">
        <v>0.31</v>
      </c>
      <c r="Q78" s="64">
        <v>30.53</v>
      </c>
      <c r="R78" s="198"/>
      <c r="S78" s="198"/>
      <c r="T78" s="198"/>
      <c r="U78" s="198"/>
    </row>
    <row r="79" spans="1:21" s="12" customFormat="1" x14ac:dyDescent="0.25">
      <c r="A79" s="211" t="s">
        <v>315</v>
      </c>
      <c r="B79" s="64">
        <v>2.65</v>
      </c>
      <c r="C79" s="64">
        <v>21.73</v>
      </c>
      <c r="D79" s="64">
        <v>14.76</v>
      </c>
      <c r="E79" s="64">
        <v>1.72</v>
      </c>
      <c r="F79" s="64">
        <v>7.68</v>
      </c>
      <c r="G79" s="212" t="s">
        <v>43</v>
      </c>
      <c r="H79" s="212" t="s">
        <v>43</v>
      </c>
      <c r="I79" s="64">
        <v>0.5</v>
      </c>
      <c r="J79" s="64">
        <v>1.57</v>
      </c>
      <c r="K79" s="64">
        <v>125.88</v>
      </c>
      <c r="L79" s="64">
        <v>24.98</v>
      </c>
      <c r="M79" s="64">
        <v>56.58</v>
      </c>
      <c r="N79" s="64">
        <v>27.1</v>
      </c>
      <c r="O79" s="64">
        <v>0</v>
      </c>
      <c r="P79" s="64">
        <v>0.31</v>
      </c>
      <c r="Q79" s="64">
        <v>30.74</v>
      </c>
      <c r="R79" s="198"/>
      <c r="S79" s="198"/>
      <c r="T79" s="198"/>
      <c r="U79" s="198"/>
    </row>
    <row r="80" spans="1:21" s="12" customFormat="1" x14ac:dyDescent="0.25">
      <c r="A80" s="211" t="s">
        <v>316</v>
      </c>
      <c r="B80" s="64">
        <v>3.04</v>
      </c>
      <c r="C80" s="64">
        <v>22.42</v>
      </c>
      <c r="D80" s="64">
        <v>15.46</v>
      </c>
      <c r="E80" s="64">
        <v>2.21</v>
      </c>
      <c r="F80" s="64">
        <v>10.16</v>
      </c>
      <c r="G80" s="212" t="s">
        <v>43</v>
      </c>
      <c r="H80" s="212" t="s">
        <v>43</v>
      </c>
      <c r="I80" s="64">
        <v>0.5</v>
      </c>
      <c r="J80" s="64">
        <v>0.44</v>
      </c>
      <c r="K80" s="64">
        <v>139.12</v>
      </c>
      <c r="L80" s="64">
        <v>25.11</v>
      </c>
      <c r="M80" s="64">
        <v>57.02</v>
      </c>
      <c r="N80" s="64">
        <v>20.100000000000001</v>
      </c>
      <c r="O80" s="64">
        <v>0</v>
      </c>
      <c r="P80" s="64">
        <v>0.31</v>
      </c>
      <c r="Q80" s="64">
        <v>31.49</v>
      </c>
      <c r="R80" s="198"/>
      <c r="S80" s="198"/>
      <c r="T80" s="198"/>
      <c r="U80" s="198"/>
    </row>
    <row r="81" spans="1:26" s="12" customFormat="1" x14ac:dyDescent="0.25">
      <c r="A81" s="211" t="s">
        <v>317</v>
      </c>
      <c r="B81" s="64">
        <v>3.02</v>
      </c>
      <c r="C81" s="64">
        <v>21.59</v>
      </c>
      <c r="D81" s="64">
        <v>14.98</v>
      </c>
      <c r="E81" s="64">
        <v>2.06</v>
      </c>
      <c r="F81" s="64">
        <v>8.48</v>
      </c>
      <c r="G81" s="212" t="s">
        <v>43</v>
      </c>
      <c r="H81" s="212" t="s">
        <v>43</v>
      </c>
      <c r="I81" s="64">
        <v>0.5</v>
      </c>
      <c r="J81" s="64">
        <v>0.96</v>
      </c>
      <c r="K81" s="64">
        <v>126.39</v>
      </c>
      <c r="L81" s="64">
        <v>24.92</v>
      </c>
      <c r="M81" s="64">
        <v>55.41</v>
      </c>
      <c r="N81" s="64">
        <v>11.5</v>
      </c>
      <c r="O81" s="64">
        <v>0</v>
      </c>
      <c r="P81" s="64">
        <v>0.3</v>
      </c>
      <c r="Q81" s="64">
        <v>31.27</v>
      </c>
      <c r="R81" s="198"/>
      <c r="S81" s="198"/>
      <c r="T81" s="198"/>
      <c r="U81" s="198"/>
    </row>
    <row r="82" spans="1:26" s="12" customFormat="1" x14ac:dyDescent="0.25">
      <c r="A82" s="211" t="s">
        <v>318</v>
      </c>
      <c r="B82" s="64">
        <v>3.21</v>
      </c>
      <c r="C82" s="64">
        <v>23.7</v>
      </c>
      <c r="D82" s="64">
        <v>16.3</v>
      </c>
      <c r="E82" s="64">
        <v>1.75</v>
      </c>
      <c r="F82" s="64">
        <v>5.03</v>
      </c>
      <c r="G82" s="212" t="s">
        <v>43</v>
      </c>
      <c r="H82" s="212" t="s">
        <v>43</v>
      </c>
      <c r="I82" s="64">
        <v>0.5</v>
      </c>
      <c r="J82" s="64">
        <v>0.56999999999999995</v>
      </c>
      <c r="K82" s="64">
        <v>132.68</v>
      </c>
      <c r="L82" s="64">
        <v>24.65</v>
      </c>
      <c r="M82" s="64">
        <v>55.43</v>
      </c>
      <c r="N82" s="64">
        <v>7</v>
      </c>
      <c r="O82" s="64">
        <v>0</v>
      </c>
      <c r="P82" s="64">
        <v>0.31</v>
      </c>
      <c r="Q82" s="64">
        <v>30.39</v>
      </c>
      <c r="R82" s="198"/>
      <c r="S82" s="198"/>
      <c r="T82" s="198"/>
      <c r="U82" s="198"/>
    </row>
    <row r="83" spans="1:26" s="12" customFormat="1" x14ac:dyDescent="0.25">
      <c r="A83" s="211" t="s">
        <v>319</v>
      </c>
      <c r="B83" s="64">
        <v>3.18</v>
      </c>
      <c r="C83" s="64">
        <v>23.8</v>
      </c>
      <c r="D83" s="64">
        <v>16.329999999999998</v>
      </c>
      <c r="E83" s="64">
        <v>1.67</v>
      </c>
      <c r="F83" s="64">
        <v>4.57</v>
      </c>
      <c r="G83" s="212" t="s">
        <v>43</v>
      </c>
      <c r="H83" s="212" t="s">
        <v>43</v>
      </c>
      <c r="I83" s="64">
        <v>0.51</v>
      </c>
      <c r="J83" s="64">
        <v>0.46</v>
      </c>
      <c r="K83" s="64">
        <v>136.88999999999999</v>
      </c>
      <c r="L83" s="64">
        <v>24.43</v>
      </c>
      <c r="M83" s="64">
        <v>55.97</v>
      </c>
      <c r="N83" s="64">
        <v>5.0999999999999996</v>
      </c>
      <c r="O83" s="64">
        <v>0</v>
      </c>
      <c r="P83" s="64">
        <v>0.31</v>
      </c>
      <c r="Q83" s="64">
        <v>29.73</v>
      </c>
      <c r="R83" s="198"/>
      <c r="S83" s="198"/>
      <c r="T83" s="198"/>
      <c r="U83" s="198"/>
    </row>
    <row r="84" spans="1:26" s="12" customFormat="1" x14ac:dyDescent="0.25">
      <c r="A84" s="211" t="s">
        <v>320</v>
      </c>
      <c r="B84" s="64">
        <v>3.17</v>
      </c>
      <c r="C84" s="64">
        <v>24.9</v>
      </c>
      <c r="D84" s="64">
        <v>16.93</v>
      </c>
      <c r="E84" s="64">
        <v>2.06</v>
      </c>
      <c r="F84" s="64">
        <v>4.59</v>
      </c>
      <c r="G84" s="64">
        <v>36.36</v>
      </c>
      <c r="H84" s="64">
        <v>6.06</v>
      </c>
      <c r="I84" s="64">
        <v>0.51</v>
      </c>
      <c r="J84" s="64">
        <v>0.54</v>
      </c>
      <c r="K84" s="64">
        <v>126.23</v>
      </c>
      <c r="L84" s="64">
        <v>24.52</v>
      </c>
      <c r="M84" s="64">
        <v>57.75</v>
      </c>
      <c r="N84" s="64">
        <v>4.8</v>
      </c>
      <c r="O84" s="64">
        <v>0</v>
      </c>
      <c r="P84" s="64">
        <v>0.33</v>
      </c>
      <c r="Q84" s="64">
        <v>29.72</v>
      </c>
      <c r="R84" s="198"/>
      <c r="S84" s="198"/>
      <c r="T84" s="198"/>
      <c r="U84" s="198"/>
    </row>
    <row r="85" spans="1:26" s="12" customFormat="1" x14ac:dyDescent="0.25">
      <c r="A85" s="211" t="s">
        <v>321</v>
      </c>
      <c r="B85" s="64">
        <v>3.3</v>
      </c>
      <c r="C85" s="64">
        <v>24.75</v>
      </c>
      <c r="D85" s="64">
        <v>16.95</v>
      </c>
      <c r="E85" s="64">
        <v>1.85</v>
      </c>
      <c r="F85" s="64">
        <v>4.1100000000000003</v>
      </c>
      <c r="G85" s="64">
        <v>36.36</v>
      </c>
      <c r="H85" s="64">
        <v>6.06</v>
      </c>
      <c r="I85" s="64">
        <v>0.51</v>
      </c>
      <c r="J85" s="64">
        <v>0.36</v>
      </c>
      <c r="K85" s="64">
        <v>148.76</v>
      </c>
      <c r="L85" s="64">
        <v>24.39</v>
      </c>
      <c r="M85" s="64">
        <v>58.77</v>
      </c>
      <c r="N85" s="64">
        <v>4.8</v>
      </c>
      <c r="O85" s="64">
        <v>0</v>
      </c>
      <c r="P85" s="64">
        <v>0.33</v>
      </c>
      <c r="Q85" s="64">
        <v>29.46</v>
      </c>
      <c r="R85" s="198"/>
      <c r="S85" s="198"/>
      <c r="T85" s="198"/>
      <c r="U85" s="198"/>
    </row>
    <row r="86" spans="1:26" s="12" customFormat="1" x14ac:dyDescent="0.25">
      <c r="A86" s="211" t="s">
        <v>322</v>
      </c>
      <c r="B86" s="64">
        <v>3.58</v>
      </c>
      <c r="C86" s="64">
        <v>25.83</v>
      </c>
      <c r="D86" s="64">
        <v>17.78</v>
      </c>
      <c r="E86" s="64">
        <v>2</v>
      </c>
      <c r="F86" s="64">
        <v>3.96</v>
      </c>
      <c r="G86" s="64">
        <v>36.36</v>
      </c>
      <c r="H86" s="64">
        <v>6.06</v>
      </c>
      <c r="I86" s="64">
        <v>0.51</v>
      </c>
      <c r="J86" s="64">
        <v>0.79</v>
      </c>
      <c r="K86" s="64">
        <v>137.78</v>
      </c>
      <c r="L86" s="64">
        <v>24.22</v>
      </c>
      <c r="M86" s="64">
        <v>59.53</v>
      </c>
      <c r="N86" s="64">
        <v>4.5</v>
      </c>
      <c r="O86" s="64">
        <v>0</v>
      </c>
      <c r="P86" s="64">
        <v>0.37</v>
      </c>
      <c r="Q86" s="64">
        <v>29.45</v>
      </c>
      <c r="R86" s="198"/>
      <c r="S86" s="198"/>
      <c r="T86" s="198"/>
      <c r="U86" s="198"/>
    </row>
    <row r="87" spans="1:26" s="12" customFormat="1" x14ac:dyDescent="0.25">
      <c r="A87" s="211" t="s">
        <v>323</v>
      </c>
      <c r="B87" s="64">
        <v>3.89</v>
      </c>
      <c r="C87" s="64">
        <v>25.35</v>
      </c>
      <c r="D87" s="64">
        <v>17.75</v>
      </c>
      <c r="E87" s="64">
        <v>2.29</v>
      </c>
      <c r="F87" s="64">
        <v>3.47</v>
      </c>
      <c r="G87" s="64">
        <v>36.380000000000003</v>
      </c>
      <c r="H87" s="64">
        <v>6.04</v>
      </c>
      <c r="I87" s="64">
        <v>0.52</v>
      </c>
      <c r="J87" s="64">
        <v>1.41</v>
      </c>
      <c r="K87" s="64">
        <v>141.71</v>
      </c>
      <c r="L87" s="64">
        <v>24.14</v>
      </c>
      <c r="M87" s="64">
        <v>62.85</v>
      </c>
      <c r="N87" s="64">
        <v>4.5999999999999996</v>
      </c>
      <c r="O87" s="64">
        <v>0</v>
      </c>
      <c r="P87" s="64">
        <v>0.39</v>
      </c>
      <c r="Q87" s="64">
        <v>29.29</v>
      </c>
      <c r="R87" s="198"/>
      <c r="S87" s="198"/>
      <c r="T87" s="198"/>
      <c r="U87" s="198"/>
    </row>
    <row r="88" spans="1:26" s="12" customFormat="1" x14ac:dyDescent="0.25">
      <c r="A88" s="211" t="s">
        <v>324</v>
      </c>
      <c r="B88" s="64">
        <v>8.23</v>
      </c>
      <c r="C88" s="64">
        <v>32.090000000000003</v>
      </c>
      <c r="D88" s="64">
        <v>24.96</v>
      </c>
      <c r="E88" s="64">
        <v>1.1100000000000001</v>
      </c>
      <c r="F88" s="64">
        <v>3.98</v>
      </c>
      <c r="G88" s="64">
        <v>36.590000000000003</v>
      </c>
      <c r="H88" s="64">
        <v>5.82</v>
      </c>
      <c r="I88" s="64">
        <v>0.53</v>
      </c>
      <c r="J88" s="64">
        <v>0.3</v>
      </c>
      <c r="K88" s="64">
        <v>131.47</v>
      </c>
      <c r="L88" s="64">
        <v>23.71</v>
      </c>
      <c r="M88" s="64">
        <v>68.06</v>
      </c>
      <c r="N88" s="64">
        <v>5.3</v>
      </c>
      <c r="O88" s="64">
        <v>0</v>
      </c>
      <c r="P88" s="64">
        <v>0.51</v>
      </c>
      <c r="Q88" s="64">
        <v>29.52</v>
      </c>
      <c r="R88" s="198"/>
      <c r="S88" s="198"/>
      <c r="T88" s="198"/>
      <c r="U88" s="198"/>
    </row>
    <row r="89" spans="1:26" s="12" customFormat="1" x14ac:dyDescent="0.25">
      <c r="A89" s="211" t="s">
        <v>325</v>
      </c>
      <c r="B89" s="64">
        <v>11.92</v>
      </c>
      <c r="C89" s="64">
        <v>34.520000000000003</v>
      </c>
      <c r="D89" s="64">
        <v>29.26</v>
      </c>
      <c r="E89" s="64">
        <v>1.56</v>
      </c>
      <c r="F89" s="64">
        <v>5.81</v>
      </c>
      <c r="G89" s="64">
        <v>36.590000000000003</v>
      </c>
      <c r="H89" s="64">
        <v>5.82</v>
      </c>
      <c r="I89" s="64">
        <v>0.54</v>
      </c>
      <c r="J89" s="64">
        <v>0.57999999999999996</v>
      </c>
      <c r="K89" s="64">
        <v>138.30000000000001</v>
      </c>
      <c r="L89" s="64">
        <v>23.52</v>
      </c>
      <c r="M89" s="64">
        <v>69.34</v>
      </c>
      <c r="N89" s="64">
        <v>4.9000000000000004</v>
      </c>
      <c r="O89" s="64">
        <v>0</v>
      </c>
      <c r="P89" s="64">
        <v>0.61</v>
      </c>
      <c r="Q89" s="64">
        <v>29.19</v>
      </c>
      <c r="R89" s="198"/>
      <c r="S89" s="198"/>
      <c r="T89" s="198"/>
      <c r="U89" s="198"/>
    </row>
    <row r="90" spans="1:26" s="12" customFormat="1" x14ac:dyDescent="0.25">
      <c r="A90" s="211" t="s">
        <v>326</v>
      </c>
      <c r="B90" s="64">
        <v>5.54</v>
      </c>
      <c r="C90" s="64">
        <v>27.33</v>
      </c>
      <c r="D90" s="64">
        <v>20.170000000000002</v>
      </c>
      <c r="E90" s="64">
        <v>1.55</v>
      </c>
      <c r="F90" s="64">
        <v>6.77</v>
      </c>
      <c r="G90" s="64">
        <v>36.590000000000003</v>
      </c>
      <c r="H90" s="64">
        <v>5.82</v>
      </c>
      <c r="I90" s="64">
        <v>0.55000000000000004</v>
      </c>
      <c r="J90" s="64">
        <v>0.95</v>
      </c>
      <c r="K90" s="64">
        <v>147.19999999999999</v>
      </c>
      <c r="L90" s="64">
        <v>23.66</v>
      </c>
      <c r="M90" s="64">
        <v>68.59</v>
      </c>
      <c r="N90" s="64">
        <v>4.5999999999999996</v>
      </c>
      <c r="O90" s="64">
        <v>0</v>
      </c>
      <c r="P90" s="64">
        <v>0.47</v>
      </c>
      <c r="Q90" s="64">
        <v>30.83</v>
      </c>
      <c r="R90" s="198"/>
      <c r="S90" s="198"/>
      <c r="T90" s="198"/>
      <c r="U90" s="198"/>
    </row>
    <row r="91" spans="1:26" s="12" customFormat="1" x14ac:dyDescent="0.25">
      <c r="A91" s="211" t="s">
        <v>327</v>
      </c>
      <c r="B91" s="64">
        <v>6</v>
      </c>
      <c r="C91" s="64">
        <v>27.79</v>
      </c>
      <c r="D91" s="64">
        <v>20.8</v>
      </c>
      <c r="E91" s="64">
        <v>1.66</v>
      </c>
      <c r="F91" s="64">
        <v>5.84</v>
      </c>
      <c r="G91" s="64">
        <v>36.97</v>
      </c>
      <c r="H91" s="64">
        <v>6.12</v>
      </c>
      <c r="I91" s="64">
        <v>0.56000000000000005</v>
      </c>
      <c r="J91" s="64">
        <v>0.6</v>
      </c>
      <c r="K91" s="64">
        <v>145.13</v>
      </c>
      <c r="L91" s="64">
        <v>23.61</v>
      </c>
      <c r="M91" s="64">
        <v>68.97</v>
      </c>
      <c r="N91" s="64">
        <v>5.0999999999999996</v>
      </c>
      <c r="O91" s="64">
        <v>0</v>
      </c>
      <c r="P91" s="64">
        <v>0.48</v>
      </c>
      <c r="Q91" s="64">
        <v>31.58</v>
      </c>
      <c r="R91" s="198"/>
      <c r="S91" s="198"/>
      <c r="T91" s="198"/>
      <c r="U91" s="198"/>
    </row>
    <row r="92" spans="1:26" s="12" customFormat="1" x14ac:dyDescent="0.25">
      <c r="A92" s="211" t="s">
        <v>328</v>
      </c>
      <c r="B92" s="64">
        <v>8.01</v>
      </c>
      <c r="C92" s="64">
        <v>32.270000000000003</v>
      </c>
      <c r="D92" s="64">
        <v>24.88</v>
      </c>
      <c r="E92" s="64">
        <v>1.55</v>
      </c>
      <c r="F92" s="64">
        <v>6.62</v>
      </c>
      <c r="G92" s="64">
        <v>40.869999999999997</v>
      </c>
      <c r="H92" s="64">
        <v>9.59</v>
      </c>
      <c r="I92" s="64">
        <v>0.55000000000000004</v>
      </c>
      <c r="J92" s="64">
        <v>0.76</v>
      </c>
      <c r="K92" s="64">
        <v>144.1</v>
      </c>
      <c r="L92" s="64">
        <v>23.52</v>
      </c>
      <c r="M92" s="64">
        <v>69.47</v>
      </c>
      <c r="N92" s="64">
        <v>5.0999999999999996</v>
      </c>
      <c r="O92" s="64">
        <v>0</v>
      </c>
      <c r="P92" s="64">
        <v>0.51</v>
      </c>
      <c r="Q92" s="64">
        <v>31.74</v>
      </c>
      <c r="R92" s="198"/>
      <c r="S92" s="198"/>
      <c r="T92" s="198"/>
      <c r="U92" s="198"/>
    </row>
    <row r="93" spans="1:26" s="12" customFormat="1" x14ac:dyDescent="0.25">
      <c r="A93" s="211" t="s">
        <v>329</v>
      </c>
      <c r="B93" s="64">
        <v>7.12</v>
      </c>
      <c r="C93" s="64">
        <v>26.27</v>
      </c>
      <c r="D93" s="64">
        <v>20.86</v>
      </c>
      <c r="E93" s="64">
        <v>2.17</v>
      </c>
      <c r="F93" s="64">
        <v>3.35</v>
      </c>
      <c r="G93" s="64">
        <v>40.869999999999997</v>
      </c>
      <c r="H93" s="64">
        <v>9.59</v>
      </c>
      <c r="I93" s="64">
        <v>0.55000000000000004</v>
      </c>
      <c r="J93" s="64">
        <v>1.3</v>
      </c>
      <c r="K93" s="64">
        <v>208.96</v>
      </c>
      <c r="L93" s="64">
        <v>23.17</v>
      </c>
      <c r="M93" s="64">
        <v>73.069999999999993</v>
      </c>
      <c r="N93" s="64">
        <v>5.0999999999999996</v>
      </c>
      <c r="O93" s="64">
        <v>0.2</v>
      </c>
      <c r="P93" s="64">
        <v>0.5</v>
      </c>
      <c r="Q93" s="64">
        <v>32.06</v>
      </c>
      <c r="R93" s="198"/>
      <c r="S93" s="198"/>
      <c r="T93" s="198"/>
      <c r="U93" s="198"/>
    </row>
    <row r="94" spans="1:26" s="12" customFormat="1" x14ac:dyDescent="0.25">
      <c r="A94" s="211" t="s">
        <v>330</v>
      </c>
      <c r="B94" s="64">
        <v>7.57</v>
      </c>
      <c r="C94" s="64">
        <v>24.14</v>
      </c>
      <c r="D94" s="64">
        <v>20.04</v>
      </c>
      <c r="E94" s="64">
        <v>1.88</v>
      </c>
      <c r="F94" s="64">
        <v>2.83</v>
      </c>
      <c r="G94" s="64">
        <v>40.869999999999997</v>
      </c>
      <c r="H94" s="64">
        <v>9.59</v>
      </c>
      <c r="I94" s="64">
        <v>0.55000000000000004</v>
      </c>
      <c r="J94" s="64">
        <v>0.36</v>
      </c>
      <c r="K94" s="64">
        <v>293.99</v>
      </c>
      <c r="L94" s="64">
        <v>22.16</v>
      </c>
      <c r="M94" s="64">
        <v>83.67</v>
      </c>
      <c r="N94" s="64">
        <v>5</v>
      </c>
      <c r="O94" s="64">
        <v>0.2</v>
      </c>
      <c r="P94" s="64">
        <v>0.51</v>
      </c>
      <c r="Q94" s="64">
        <v>31.31</v>
      </c>
      <c r="R94" s="198"/>
      <c r="S94" s="198"/>
      <c r="T94" s="198"/>
      <c r="U94" s="198"/>
    </row>
    <row r="95" spans="1:26" s="12" customFormat="1" x14ac:dyDescent="0.25">
      <c r="A95" s="211" t="s">
        <v>331</v>
      </c>
      <c r="B95" s="64">
        <v>8.18</v>
      </c>
      <c r="C95" s="64">
        <v>23.33</v>
      </c>
      <c r="D95" s="64">
        <v>20.079999999999998</v>
      </c>
      <c r="E95" s="64">
        <v>1.77</v>
      </c>
      <c r="F95" s="64">
        <v>3.49</v>
      </c>
      <c r="G95" s="64">
        <v>40.46</v>
      </c>
      <c r="H95" s="64">
        <v>9.4</v>
      </c>
      <c r="I95" s="64">
        <v>0.56000000000000005</v>
      </c>
      <c r="J95" s="64">
        <v>0.66</v>
      </c>
      <c r="K95" s="64">
        <v>231.05</v>
      </c>
      <c r="L95" s="64">
        <v>21.21</v>
      </c>
      <c r="M95" s="64">
        <v>73.239999999999995</v>
      </c>
      <c r="N95" s="64">
        <v>7.8</v>
      </c>
      <c r="O95" s="64">
        <v>0</v>
      </c>
      <c r="P95" s="64">
        <v>0.53</v>
      </c>
      <c r="Q95" s="64">
        <v>30.06</v>
      </c>
      <c r="R95" s="198"/>
      <c r="S95" s="198"/>
      <c r="T95" s="198"/>
      <c r="U95" s="198"/>
    </row>
    <row r="96" spans="1:26" s="12" customFormat="1" x14ac:dyDescent="0.25">
      <c r="A96" s="211" t="s">
        <v>332</v>
      </c>
      <c r="B96" s="64">
        <v>7.02</v>
      </c>
      <c r="C96" s="64">
        <v>24.78</v>
      </c>
      <c r="D96" s="64">
        <v>19.95</v>
      </c>
      <c r="E96" s="64">
        <v>1.63</v>
      </c>
      <c r="F96" s="64">
        <v>3.75</v>
      </c>
      <c r="G96" s="64">
        <v>35.53</v>
      </c>
      <c r="H96" s="64">
        <v>7.15</v>
      </c>
      <c r="I96" s="64">
        <v>0.56000000000000005</v>
      </c>
      <c r="J96" s="64">
        <v>1.01</v>
      </c>
      <c r="K96" s="64">
        <v>197.49</v>
      </c>
      <c r="L96" s="64">
        <v>20.28</v>
      </c>
      <c r="M96" s="64">
        <v>74.72</v>
      </c>
      <c r="N96" s="64">
        <v>7.4</v>
      </c>
      <c r="O96" s="64">
        <v>0.2</v>
      </c>
      <c r="P96" s="64">
        <v>0.5</v>
      </c>
      <c r="Q96" s="64">
        <v>29.88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333</v>
      </c>
      <c r="B97" s="64">
        <v>5.8</v>
      </c>
      <c r="C97" s="64">
        <v>24.39</v>
      </c>
      <c r="D97" s="64">
        <v>18.760000000000002</v>
      </c>
      <c r="E97" s="64">
        <v>1.67</v>
      </c>
      <c r="F97" s="64">
        <v>4.04</v>
      </c>
      <c r="G97" s="64">
        <v>35.53</v>
      </c>
      <c r="H97" s="64">
        <v>7.15</v>
      </c>
      <c r="I97" s="64">
        <v>0.56000000000000005</v>
      </c>
      <c r="J97" s="64">
        <v>1.1299999999999999</v>
      </c>
      <c r="K97" s="64">
        <v>150.44</v>
      </c>
      <c r="L97" s="64">
        <v>20.61</v>
      </c>
      <c r="M97" s="64">
        <v>74.150000000000006</v>
      </c>
      <c r="N97" s="64">
        <v>5.8</v>
      </c>
      <c r="O97" s="64">
        <v>0</v>
      </c>
      <c r="P97" s="64">
        <v>0.47</v>
      </c>
      <c r="Q97" s="64">
        <v>29.75</v>
      </c>
      <c r="R97" s="198"/>
      <c r="S97" s="198"/>
      <c r="T97" s="198"/>
      <c r="U97" s="198"/>
    </row>
    <row r="98" spans="1:33" s="12" customFormat="1" x14ac:dyDescent="0.25">
      <c r="A98" s="211" t="s">
        <v>334</v>
      </c>
      <c r="B98" s="64">
        <v>4.92</v>
      </c>
      <c r="C98" s="64">
        <v>24.04</v>
      </c>
      <c r="D98" s="64">
        <v>17.86</v>
      </c>
      <c r="E98" s="64">
        <v>1.84</v>
      </c>
      <c r="F98" s="64">
        <v>3.75</v>
      </c>
      <c r="G98" s="64">
        <v>35.53</v>
      </c>
      <c r="H98" s="64">
        <v>7.15</v>
      </c>
      <c r="I98" s="64">
        <v>0.55000000000000004</v>
      </c>
      <c r="J98" s="64">
        <v>0.4</v>
      </c>
      <c r="K98" s="64">
        <v>175.03</v>
      </c>
      <c r="L98" s="64">
        <v>20.77</v>
      </c>
      <c r="M98" s="64">
        <v>73.25</v>
      </c>
      <c r="N98" s="64">
        <v>6</v>
      </c>
      <c r="O98" s="64">
        <v>0</v>
      </c>
      <c r="P98" s="64">
        <v>0.45</v>
      </c>
      <c r="Q98" s="64">
        <v>29.71</v>
      </c>
      <c r="R98" s="198"/>
      <c r="S98" s="198"/>
      <c r="T98" s="198"/>
      <c r="U98" s="198"/>
    </row>
    <row r="99" spans="1:33" s="12" customFormat="1" x14ac:dyDescent="0.25">
      <c r="A99" s="211" t="s">
        <v>335</v>
      </c>
      <c r="B99" s="64">
        <v>4.37</v>
      </c>
      <c r="C99" s="64">
        <v>23.63</v>
      </c>
      <c r="D99" s="64">
        <v>17.190000000000001</v>
      </c>
      <c r="E99" s="64">
        <v>1.55</v>
      </c>
      <c r="F99" s="64">
        <v>3.63</v>
      </c>
      <c r="G99" s="64">
        <v>34.549999999999997</v>
      </c>
      <c r="H99" s="64">
        <v>7.08</v>
      </c>
      <c r="I99" s="64">
        <v>0.54</v>
      </c>
      <c r="J99" s="64">
        <v>0.32</v>
      </c>
      <c r="K99" s="64">
        <v>263.81</v>
      </c>
      <c r="L99" s="64">
        <v>20.7</v>
      </c>
      <c r="M99" s="64">
        <v>74.290000000000006</v>
      </c>
      <c r="N99" s="64">
        <v>5.5</v>
      </c>
      <c r="O99" s="64">
        <v>0</v>
      </c>
      <c r="P99" s="64">
        <v>0.45</v>
      </c>
      <c r="Q99" s="64">
        <v>29.64</v>
      </c>
      <c r="R99" s="198"/>
      <c r="S99" s="198"/>
      <c r="T99" s="198"/>
      <c r="U99" s="198"/>
    </row>
    <row r="100" spans="1:33" s="12" customFormat="1" x14ac:dyDescent="0.25">
      <c r="A100" s="211" t="s">
        <v>336</v>
      </c>
      <c r="B100" s="64">
        <v>4.07</v>
      </c>
      <c r="C100" s="64">
        <v>23.71</v>
      </c>
      <c r="D100" s="64">
        <v>16.989999999999998</v>
      </c>
      <c r="E100" s="64">
        <v>1.47</v>
      </c>
      <c r="F100" s="64">
        <v>4.21</v>
      </c>
      <c r="G100" s="64">
        <v>24.49</v>
      </c>
      <c r="H100" s="64">
        <v>6.29</v>
      </c>
      <c r="I100" s="64">
        <v>0.54</v>
      </c>
      <c r="J100" s="64">
        <v>0.76</v>
      </c>
      <c r="K100" s="64">
        <v>223.88</v>
      </c>
      <c r="L100" s="64">
        <v>20.81</v>
      </c>
      <c r="M100" s="64">
        <v>71.48</v>
      </c>
      <c r="N100" s="64">
        <v>4.5999999999999996</v>
      </c>
      <c r="O100" s="64">
        <v>0</v>
      </c>
      <c r="P100" s="64">
        <v>0.43</v>
      </c>
      <c r="Q100" s="64">
        <v>29.48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337</v>
      </c>
      <c r="B101" s="64">
        <v>4.01</v>
      </c>
      <c r="C101" s="64">
        <v>23.63</v>
      </c>
      <c r="D101" s="64">
        <v>16.899999999999999</v>
      </c>
      <c r="E101" s="64">
        <v>1.61</v>
      </c>
      <c r="F101" s="64">
        <v>4.53</v>
      </c>
      <c r="G101" s="64">
        <v>24.49</v>
      </c>
      <c r="H101" s="64">
        <v>6.29</v>
      </c>
      <c r="I101" s="64">
        <v>0.52</v>
      </c>
      <c r="J101" s="64">
        <v>1.1499999999999999</v>
      </c>
      <c r="K101" s="64">
        <v>217.94</v>
      </c>
      <c r="L101" s="64">
        <v>21.12</v>
      </c>
      <c r="M101" s="64">
        <v>71.77</v>
      </c>
      <c r="N101" s="64">
        <v>3.7</v>
      </c>
      <c r="O101" s="64">
        <v>0</v>
      </c>
      <c r="P101" s="64">
        <v>0.42</v>
      </c>
      <c r="Q101" s="64">
        <v>29.61</v>
      </c>
      <c r="R101" s="198"/>
      <c r="S101" s="198"/>
      <c r="T101" s="198"/>
      <c r="U101" s="198"/>
    </row>
    <row r="102" spans="1:33" s="12" customFormat="1" x14ac:dyDescent="0.25">
      <c r="A102" s="211" t="s">
        <v>338</v>
      </c>
      <c r="B102" s="64">
        <v>4.09</v>
      </c>
      <c r="C102" s="64">
        <v>24.39</v>
      </c>
      <c r="D102" s="64">
        <v>17.39</v>
      </c>
      <c r="E102" s="64">
        <v>1.75</v>
      </c>
      <c r="F102" s="64">
        <v>4.17</v>
      </c>
      <c r="G102" s="64">
        <v>24.49</v>
      </c>
      <c r="H102" s="64">
        <v>6.29</v>
      </c>
      <c r="I102" s="64">
        <v>0.54</v>
      </c>
      <c r="J102" s="64">
        <v>0.93</v>
      </c>
      <c r="K102" s="64">
        <v>239.83</v>
      </c>
      <c r="L102" s="64">
        <v>21.17</v>
      </c>
      <c r="M102" s="64">
        <v>75.790000000000006</v>
      </c>
      <c r="N102" s="64">
        <v>4.5999999999999996</v>
      </c>
      <c r="O102" s="64">
        <v>0</v>
      </c>
      <c r="P102" s="64">
        <v>0.41</v>
      </c>
      <c r="Q102" s="64">
        <v>29.64</v>
      </c>
      <c r="R102" s="198"/>
      <c r="S102" s="198"/>
      <c r="T102" s="198"/>
      <c r="U102" s="198"/>
    </row>
    <row r="103" spans="1:33" s="12" customFormat="1" x14ac:dyDescent="0.25">
      <c r="A103" s="211" t="s">
        <v>339</v>
      </c>
      <c r="B103" s="64">
        <v>3.9</v>
      </c>
      <c r="C103" s="64">
        <v>24.38</v>
      </c>
      <c r="D103" s="64">
        <v>17.22</v>
      </c>
      <c r="E103" s="64">
        <v>1.39</v>
      </c>
      <c r="F103" s="64">
        <v>4.22</v>
      </c>
      <c r="G103" s="64">
        <v>24.08</v>
      </c>
      <c r="H103" s="64">
        <v>6.15</v>
      </c>
      <c r="I103" s="64">
        <v>0.53</v>
      </c>
      <c r="J103" s="64">
        <v>0.53</v>
      </c>
      <c r="K103" s="64">
        <v>251.74</v>
      </c>
      <c r="L103" s="64">
        <v>20.37</v>
      </c>
      <c r="M103" s="64">
        <v>82.31</v>
      </c>
      <c r="N103" s="64">
        <v>5.7</v>
      </c>
      <c r="O103" s="64">
        <v>0</v>
      </c>
      <c r="P103" s="64">
        <v>0.4</v>
      </c>
      <c r="Q103" s="64">
        <v>29.53</v>
      </c>
      <c r="R103" s="198"/>
      <c r="S103" s="198"/>
      <c r="T103" s="198"/>
      <c r="U103" s="198"/>
    </row>
    <row r="104" spans="1:33" s="12" customFormat="1" x14ac:dyDescent="0.25">
      <c r="A104" s="211" t="s">
        <v>340</v>
      </c>
      <c r="B104" s="64">
        <v>3.85</v>
      </c>
      <c r="C104" s="64">
        <v>24.32</v>
      </c>
      <c r="D104" s="64">
        <v>17.16</v>
      </c>
      <c r="E104" s="64">
        <v>0.75</v>
      </c>
      <c r="F104" s="64">
        <v>3.95</v>
      </c>
      <c r="G104" s="64">
        <v>19.88</v>
      </c>
      <c r="H104" s="64">
        <v>4.58</v>
      </c>
      <c r="I104" s="64">
        <v>0.53</v>
      </c>
      <c r="J104" s="64">
        <v>0.2</v>
      </c>
      <c r="K104" s="64">
        <v>300.54000000000002</v>
      </c>
      <c r="L104" s="64">
        <v>19.87</v>
      </c>
      <c r="M104" s="64">
        <v>86.11</v>
      </c>
      <c r="N104" s="64">
        <v>5.3</v>
      </c>
      <c r="O104" s="64">
        <v>0</v>
      </c>
      <c r="P104" s="64">
        <v>0.4</v>
      </c>
      <c r="Q104" s="64">
        <v>29.39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1.99</v>
      </c>
      <c r="C106" s="67">
        <f>MIN(C9:C104)</f>
        <v>19.87</v>
      </c>
      <c r="D106" s="67">
        <f t="shared" ref="D106:Q106" si="0">MIN(D9:D104)</f>
        <v>13.72</v>
      </c>
      <c r="E106" s="67">
        <f t="shared" si="0"/>
        <v>-0.56000000000000005</v>
      </c>
      <c r="F106" s="67">
        <f t="shared" si="0"/>
        <v>2.58</v>
      </c>
      <c r="G106" s="67">
        <f t="shared" si="0"/>
        <v>5.8</v>
      </c>
      <c r="H106" s="67">
        <f t="shared" si="0"/>
        <v>4.21</v>
      </c>
      <c r="I106" s="67">
        <f t="shared" si="0"/>
        <v>0.48</v>
      </c>
      <c r="J106" s="67">
        <f t="shared" si="0"/>
        <v>0.04</v>
      </c>
      <c r="K106" s="67">
        <f t="shared" si="0"/>
        <v>55.92</v>
      </c>
      <c r="L106" s="67">
        <f t="shared" si="0"/>
        <v>17.100000000000001</v>
      </c>
      <c r="M106" s="67">
        <f t="shared" si="0"/>
        <v>55.41</v>
      </c>
      <c r="N106" s="67">
        <f t="shared" si="0"/>
        <v>0</v>
      </c>
      <c r="O106" s="67">
        <f t="shared" si="0"/>
        <v>0</v>
      </c>
      <c r="P106" s="67">
        <f t="shared" si="0"/>
        <v>0.3</v>
      </c>
      <c r="Q106" s="67">
        <f t="shared" si="0"/>
        <v>26.07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11.92</v>
      </c>
      <c r="C107" s="66">
        <f t="shared" ref="C107:Q107" si="1">MAX(C9:C104)</f>
        <v>34.520000000000003</v>
      </c>
      <c r="D107" s="66">
        <f t="shared" si="1"/>
        <v>29.26</v>
      </c>
      <c r="E107" s="66">
        <f t="shared" si="1"/>
        <v>2.48</v>
      </c>
      <c r="F107" s="66">
        <f t="shared" si="1"/>
        <v>10.92</v>
      </c>
      <c r="G107" s="66">
        <f t="shared" si="1"/>
        <v>40.869999999999997</v>
      </c>
      <c r="H107" s="66">
        <f t="shared" si="1"/>
        <v>9.7100000000000009</v>
      </c>
      <c r="I107" s="66">
        <f t="shared" si="1"/>
        <v>0.56000000000000005</v>
      </c>
      <c r="J107" s="66">
        <f t="shared" si="1"/>
        <v>2.11</v>
      </c>
      <c r="K107" s="66">
        <f t="shared" si="1"/>
        <v>359.05</v>
      </c>
      <c r="L107" s="66">
        <f t="shared" si="1"/>
        <v>26.05</v>
      </c>
      <c r="M107" s="66">
        <f t="shared" si="1"/>
        <v>93.94</v>
      </c>
      <c r="N107" s="66">
        <f t="shared" si="1"/>
        <v>455.4</v>
      </c>
      <c r="O107" s="66">
        <f t="shared" si="1"/>
        <v>1</v>
      </c>
      <c r="P107" s="66">
        <f t="shared" si="1"/>
        <v>0.74</v>
      </c>
      <c r="Q107" s="66">
        <f t="shared" si="1"/>
        <v>32.06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5.2273958333333335</v>
      </c>
      <c r="C108" s="67">
        <f t="shared" ref="C108:Q108" si="2">AVERAGE(C9:C104)</f>
        <v>25.142708333333331</v>
      </c>
      <c r="D108" s="67">
        <f t="shared" si="2"/>
        <v>18.713750000000005</v>
      </c>
      <c r="E108" s="67">
        <f t="shared" si="2"/>
        <v>1.5376041666666669</v>
      </c>
      <c r="F108" s="67">
        <f t="shared" si="2"/>
        <v>4.3712500000000007</v>
      </c>
      <c r="G108" s="67">
        <f t="shared" si="2"/>
        <v>23.04264150943397</v>
      </c>
      <c r="H108" s="67">
        <f t="shared" si="2"/>
        <v>7.1030188679245239</v>
      </c>
      <c r="I108" s="67">
        <f t="shared" si="2"/>
        <v>0.52031249999999996</v>
      </c>
      <c r="J108" s="67">
        <f t="shared" si="2"/>
        <v>0.71468750000000003</v>
      </c>
      <c r="K108" s="67">
        <f t="shared" si="2"/>
        <v>192.6766666666667</v>
      </c>
      <c r="L108" s="67">
        <f t="shared" si="2"/>
        <v>21.450833333333335</v>
      </c>
      <c r="M108" s="67">
        <f t="shared" si="2"/>
        <v>75.4479166666667</v>
      </c>
      <c r="N108" s="67">
        <f t="shared" si="2"/>
        <v>33.133333333333333</v>
      </c>
      <c r="O108" s="67">
        <f t="shared" si="2"/>
        <v>7.7083333333333351E-2</v>
      </c>
      <c r="P108" s="67">
        <f t="shared" si="2"/>
        <v>0.50020833333333325</v>
      </c>
      <c r="Q108" s="67">
        <f t="shared" si="2"/>
        <v>28.912604166666664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2.5356470137834166</v>
      </c>
      <c r="C109" s="67">
        <f t="shared" ref="C109:Q109" si="3">STDEV(C9:C104)</f>
        <v>2.5724407738736619</v>
      </c>
      <c r="D109" s="67">
        <f t="shared" si="3"/>
        <v>3.2546045923631857</v>
      </c>
      <c r="E109" s="67">
        <f t="shared" si="3"/>
        <v>0.54021973071717699</v>
      </c>
      <c r="F109" s="67">
        <f t="shared" si="3"/>
        <v>1.6430217668417482</v>
      </c>
      <c r="G109" s="67">
        <f t="shared" si="3"/>
        <v>10.883615976981051</v>
      </c>
      <c r="H109" s="67">
        <f t="shared" si="3"/>
        <v>1.5628974385683123</v>
      </c>
      <c r="I109" s="67">
        <f t="shared" si="3"/>
        <v>1.9328360673264301E-2</v>
      </c>
      <c r="J109" s="67">
        <f t="shared" si="3"/>
        <v>0.42323056581738688</v>
      </c>
      <c r="K109" s="67">
        <f t="shared" si="3"/>
        <v>61.92284883400707</v>
      </c>
      <c r="L109" s="67">
        <f t="shared" si="3"/>
        <v>3.3289301795547916</v>
      </c>
      <c r="M109" s="67">
        <f t="shared" si="3"/>
        <v>13.786035720147643</v>
      </c>
      <c r="N109" s="67">
        <f t="shared" si="3"/>
        <v>79.231891062901624</v>
      </c>
      <c r="O109" s="67">
        <f t="shared" si="3"/>
        <v>0.19329778862604532</v>
      </c>
      <c r="P109" s="67">
        <f t="shared" si="3"/>
        <v>0.12277475453397271</v>
      </c>
      <c r="Q109" s="67">
        <f t="shared" si="3"/>
        <v>1.4362013088565972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53</v>
      </c>
      <c r="H110" s="66">
        <f t="shared" si="4"/>
        <v>53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F143" sqref="F14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341</v>
      </c>
      <c r="B9" s="64">
        <v>4.17</v>
      </c>
      <c r="C9" s="64">
        <v>23.94</v>
      </c>
      <c r="D9" s="64">
        <v>17.2</v>
      </c>
      <c r="E9" s="64">
        <v>0.88</v>
      </c>
      <c r="F9" s="64">
        <v>3.16</v>
      </c>
      <c r="G9" s="64">
        <v>19.88</v>
      </c>
      <c r="H9" s="64">
        <v>4.58</v>
      </c>
      <c r="I9" s="64">
        <v>0.53</v>
      </c>
      <c r="J9" s="64">
        <v>0.42</v>
      </c>
      <c r="K9" s="64">
        <v>287.22000000000003</v>
      </c>
      <c r="L9" s="64">
        <v>19.510000000000002</v>
      </c>
      <c r="M9" s="64">
        <v>87.93</v>
      </c>
      <c r="N9" s="64">
        <v>4.9000000000000004</v>
      </c>
      <c r="O9" s="64">
        <v>0</v>
      </c>
      <c r="P9" s="64">
        <v>0.39</v>
      </c>
      <c r="Q9" s="64">
        <v>28.87</v>
      </c>
      <c r="R9" s="198"/>
      <c r="S9" s="198"/>
      <c r="T9" s="198"/>
      <c r="U9" s="198"/>
    </row>
    <row r="10" spans="1:21" s="12" customFormat="1" x14ac:dyDescent="0.25">
      <c r="A10" s="211" t="s">
        <v>342</v>
      </c>
      <c r="B10" s="64">
        <v>4.1100000000000003</v>
      </c>
      <c r="C10" s="64">
        <v>21.94</v>
      </c>
      <c r="D10" s="64">
        <v>16.05</v>
      </c>
      <c r="E10" s="64">
        <v>1.34</v>
      </c>
      <c r="F10" s="64">
        <v>3.28</v>
      </c>
      <c r="G10" s="64">
        <v>19.88</v>
      </c>
      <c r="H10" s="64">
        <v>4.58</v>
      </c>
      <c r="I10" s="64">
        <v>0.53</v>
      </c>
      <c r="J10" s="64">
        <v>0.51</v>
      </c>
      <c r="K10" s="64">
        <v>290.98</v>
      </c>
      <c r="L10" s="64">
        <v>19.350000000000001</v>
      </c>
      <c r="M10" s="64">
        <v>88.98</v>
      </c>
      <c r="N10" s="64">
        <v>4.5</v>
      </c>
      <c r="O10" s="64">
        <v>0</v>
      </c>
      <c r="P10" s="64">
        <v>0.39</v>
      </c>
      <c r="Q10" s="64">
        <v>28.02</v>
      </c>
      <c r="R10" s="198"/>
      <c r="S10" s="198"/>
      <c r="T10" s="198"/>
      <c r="U10" s="198"/>
    </row>
    <row r="11" spans="1:21" s="12" customFormat="1" x14ac:dyDescent="0.25">
      <c r="A11" s="211" t="s">
        <v>343</v>
      </c>
      <c r="B11" s="64">
        <v>4.01</v>
      </c>
      <c r="C11" s="64">
        <v>21.19</v>
      </c>
      <c r="D11" s="64">
        <v>15.56</v>
      </c>
      <c r="E11" s="64">
        <v>0.45</v>
      </c>
      <c r="F11" s="64">
        <v>3.37</v>
      </c>
      <c r="G11" s="64">
        <v>20.350000000000001</v>
      </c>
      <c r="H11" s="64">
        <v>4.63</v>
      </c>
      <c r="I11" s="64">
        <v>0.53</v>
      </c>
      <c r="J11" s="64">
        <v>0.17</v>
      </c>
      <c r="K11" s="64">
        <v>288.18</v>
      </c>
      <c r="L11" s="64">
        <v>19.329999999999998</v>
      </c>
      <c r="M11" s="64">
        <v>88.12</v>
      </c>
      <c r="N11" s="64">
        <v>4.9000000000000004</v>
      </c>
      <c r="O11" s="64">
        <v>0</v>
      </c>
      <c r="P11" s="64">
        <v>0.38</v>
      </c>
      <c r="Q11" s="64">
        <v>27.47</v>
      </c>
      <c r="R11" s="198"/>
      <c r="S11" s="198"/>
      <c r="T11" s="198"/>
      <c r="U11" s="198"/>
    </row>
    <row r="12" spans="1:21" s="12" customFormat="1" x14ac:dyDescent="0.25">
      <c r="A12" s="211" t="s">
        <v>344</v>
      </c>
      <c r="B12" s="64">
        <v>4.0199999999999996</v>
      </c>
      <c r="C12" s="64">
        <v>21.22</v>
      </c>
      <c r="D12" s="64">
        <v>15.58</v>
      </c>
      <c r="E12" s="64">
        <v>0.67</v>
      </c>
      <c r="F12" s="64">
        <v>3.24</v>
      </c>
      <c r="G12" s="64">
        <v>25.14</v>
      </c>
      <c r="H12" s="64">
        <v>5.22</v>
      </c>
      <c r="I12" s="64">
        <v>0.52</v>
      </c>
      <c r="J12" s="64">
        <v>0.16</v>
      </c>
      <c r="K12" s="64">
        <v>266.2</v>
      </c>
      <c r="L12" s="64">
        <v>19.350000000000001</v>
      </c>
      <c r="M12" s="64">
        <v>87.84</v>
      </c>
      <c r="N12" s="64">
        <v>4.5999999999999996</v>
      </c>
      <c r="O12" s="64">
        <v>0</v>
      </c>
      <c r="P12" s="64">
        <v>0.38</v>
      </c>
      <c r="Q12" s="64">
        <v>27.44</v>
      </c>
      <c r="R12" s="198"/>
      <c r="S12" s="198"/>
      <c r="T12" s="198"/>
      <c r="U12" s="198"/>
    </row>
    <row r="13" spans="1:21" s="12" customFormat="1" x14ac:dyDescent="0.25">
      <c r="A13" s="211" t="s">
        <v>345</v>
      </c>
      <c r="B13" s="64">
        <v>4.04</v>
      </c>
      <c r="C13" s="64">
        <v>20.85</v>
      </c>
      <c r="D13" s="64">
        <v>15.39</v>
      </c>
      <c r="E13" s="64">
        <v>0.88</v>
      </c>
      <c r="F13" s="64">
        <v>3.4</v>
      </c>
      <c r="G13" s="64">
        <v>25.14</v>
      </c>
      <c r="H13" s="64">
        <v>5.22</v>
      </c>
      <c r="I13" s="64">
        <v>0.52</v>
      </c>
      <c r="J13" s="64">
        <v>0.04</v>
      </c>
      <c r="K13" s="64">
        <v>296.62</v>
      </c>
      <c r="L13" s="64">
        <v>19.510000000000002</v>
      </c>
      <c r="M13" s="64">
        <v>85.42</v>
      </c>
      <c r="N13" s="64">
        <v>4.9000000000000004</v>
      </c>
      <c r="O13" s="64">
        <v>0</v>
      </c>
      <c r="P13" s="64">
        <v>0.38</v>
      </c>
      <c r="Q13" s="64">
        <v>27.24</v>
      </c>
      <c r="R13" s="198"/>
      <c r="S13" s="198"/>
      <c r="T13" s="198"/>
      <c r="U13" s="198"/>
    </row>
    <row r="14" spans="1:21" s="12" customFormat="1" x14ac:dyDescent="0.25">
      <c r="A14" s="211" t="s">
        <v>346</v>
      </c>
      <c r="B14" s="64">
        <v>4.12</v>
      </c>
      <c r="C14" s="64">
        <v>21.07</v>
      </c>
      <c r="D14" s="64">
        <v>15.58</v>
      </c>
      <c r="E14" s="64">
        <v>0.97</v>
      </c>
      <c r="F14" s="64">
        <v>3.24</v>
      </c>
      <c r="G14" s="64">
        <v>25.14</v>
      </c>
      <c r="H14" s="64">
        <v>5.22</v>
      </c>
      <c r="I14" s="64">
        <v>0.52</v>
      </c>
      <c r="J14" s="64">
        <v>0.3</v>
      </c>
      <c r="K14" s="64">
        <v>293.75</v>
      </c>
      <c r="L14" s="64">
        <v>19.309999999999999</v>
      </c>
      <c r="M14" s="64">
        <v>85.7</v>
      </c>
      <c r="N14" s="64">
        <v>4.5999999999999996</v>
      </c>
      <c r="O14" s="64">
        <v>0</v>
      </c>
      <c r="P14" s="64">
        <v>0.42</v>
      </c>
      <c r="Q14" s="64">
        <v>26.91</v>
      </c>
      <c r="R14" s="198"/>
      <c r="S14" s="198"/>
      <c r="T14" s="198"/>
      <c r="U14" s="198"/>
    </row>
    <row r="15" spans="1:21" s="12" customFormat="1" x14ac:dyDescent="0.25">
      <c r="A15" s="211" t="s">
        <v>347</v>
      </c>
      <c r="B15" s="64">
        <v>4.16</v>
      </c>
      <c r="C15" s="64">
        <v>21.5</v>
      </c>
      <c r="D15" s="64">
        <v>15.85</v>
      </c>
      <c r="E15" s="64">
        <v>0.93</v>
      </c>
      <c r="F15" s="64">
        <v>3.15</v>
      </c>
      <c r="G15" s="64">
        <v>25.15</v>
      </c>
      <c r="H15" s="64">
        <v>5.14</v>
      </c>
      <c r="I15" s="64">
        <v>0.51</v>
      </c>
      <c r="J15" s="64">
        <v>0.44</v>
      </c>
      <c r="K15" s="64">
        <v>296.27</v>
      </c>
      <c r="L15" s="64">
        <v>19.28</v>
      </c>
      <c r="M15" s="64">
        <v>85.56</v>
      </c>
      <c r="N15" s="64">
        <v>4.5</v>
      </c>
      <c r="O15" s="64">
        <v>0</v>
      </c>
      <c r="P15" s="64">
        <v>0.4</v>
      </c>
      <c r="Q15" s="64">
        <v>26.79</v>
      </c>
      <c r="R15" s="198"/>
      <c r="S15" s="198"/>
      <c r="T15" s="198"/>
      <c r="U15" s="198"/>
    </row>
    <row r="16" spans="1:21" s="12" customFormat="1" x14ac:dyDescent="0.25">
      <c r="A16" s="211" t="s">
        <v>348</v>
      </c>
      <c r="B16" s="64">
        <v>4.12</v>
      </c>
      <c r="C16" s="64">
        <v>22.11</v>
      </c>
      <c r="D16" s="64">
        <v>16.16</v>
      </c>
      <c r="E16" s="64">
        <v>0.87</v>
      </c>
      <c r="F16" s="64">
        <v>6.65</v>
      </c>
      <c r="G16" s="64">
        <v>25.29</v>
      </c>
      <c r="H16" s="64">
        <v>4.0199999999999996</v>
      </c>
      <c r="I16" s="64">
        <v>0.5</v>
      </c>
      <c r="J16" s="64">
        <v>7.0000000000000007E-2</v>
      </c>
      <c r="K16" s="64">
        <v>337</v>
      </c>
      <c r="L16" s="64">
        <v>19.170000000000002</v>
      </c>
      <c r="M16" s="64">
        <v>83.93</v>
      </c>
      <c r="N16" s="64">
        <v>5</v>
      </c>
      <c r="O16" s="64">
        <v>0</v>
      </c>
      <c r="P16" s="64">
        <v>0.39</v>
      </c>
      <c r="Q16" s="64">
        <v>27.34</v>
      </c>
      <c r="R16" s="198"/>
      <c r="S16" s="198"/>
      <c r="T16" s="198"/>
      <c r="U16" s="198"/>
    </row>
    <row r="17" spans="1:21" s="12" customFormat="1" x14ac:dyDescent="0.25">
      <c r="A17" s="211" t="s">
        <v>349</v>
      </c>
      <c r="B17" s="64">
        <v>4.66</v>
      </c>
      <c r="C17" s="64">
        <v>22.19</v>
      </c>
      <c r="D17" s="64">
        <v>16.63</v>
      </c>
      <c r="E17" s="64">
        <v>1.1299999999999999</v>
      </c>
      <c r="F17" s="64">
        <v>4.17</v>
      </c>
      <c r="G17" s="64">
        <v>25.29</v>
      </c>
      <c r="H17" s="64">
        <v>4.0199999999999996</v>
      </c>
      <c r="I17" s="64">
        <v>0.51</v>
      </c>
      <c r="J17" s="64">
        <v>0.18</v>
      </c>
      <c r="K17" s="64">
        <v>343.45</v>
      </c>
      <c r="L17" s="64">
        <v>19.03</v>
      </c>
      <c r="M17" s="64">
        <v>87.02</v>
      </c>
      <c r="N17" s="64">
        <v>4.5999999999999996</v>
      </c>
      <c r="O17" s="64">
        <v>0</v>
      </c>
      <c r="P17" s="64">
        <v>0.39</v>
      </c>
      <c r="Q17" s="64">
        <v>27.39</v>
      </c>
      <c r="R17" s="198"/>
      <c r="S17" s="198"/>
      <c r="T17" s="198"/>
      <c r="U17" s="198"/>
    </row>
    <row r="18" spans="1:21" s="12" customFormat="1" x14ac:dyDescent="0.25">
      <c r="A18" s="211" t="s">
        <v>350</v>
      </c>
      <c r="B18" s="64">
        <v>5.01</v>
      </c>
      <c r="C18" s="64">
        <v>22.25</v>
      </c>
      <c r="D18" s="64">
        <v>16.940000000000001</v>
      </c>
      <c r="E18" s="64">
        <v>1.43</v>
      </c>
      <c r="F18" s="64">
        <v>3.91</v>
      </c>
      <c r="G18" s="64">
        <v>25.29</v>
      </c>
      <c r="H18" s="64">
        <v>4.0199999999999996</v>
      </c>
      <c r="I18" s="64">
        <v>0.51</v>
      </c>
      <c r="J18" s="64">
        <v>0.14000000000000001</v>
      </c>
      <c r="K18" s="64">
        <v>101.67</v>
      </c>
      <c r="L18" s="64">
        <v>19.309999999999999</v>
      </c>
      <c r="M18" s="64">
        <v>83.48</v>
      </c>
      <c r="N18" s="64">
        <v>4.5999999999999996</v>
      </c>
      <c r="O18" s="64">
        <v>0</v>
      </c>
      <c r="P18" s="64">
        <v>0.4</v>
      </c>
      <c r="Q18" s="64">
        <v>27.67</v>
      </c>
      <c r="R18" s="198"/>
      <c r="S18" s="198"/>
      <c r="T18" s="198"/>
      <c r="U18" s="198"/>
    </row>
    <row r="19" spans="1:21" s="12" customFormat="1" x14ac:dyDescent="0.25">
      <c r="A19" s="211" t="s">
        <v>351</v>
      </c>
      <c r="B19" s="64">
        <v>5.39</v>
      </c>
      <c r="C19" s="64">
        <v>22.16</v>
      </c>
      <c r="D19" s="64">
        <v>17.2</v>
      </c>
      <c r="E19" s="64">
        <v>1.32</v>
      </c>
      <c r="F19" s="64">
        <v>3.63</v>
      </c>
      <c r="G19" s="64">
        <v>24.75</v>
      </c>
      <c r="H19" s="64">
        <v>4.01</v>
      </c>
      <c r="I19" s="64">
        <v>0.52</v>
      </c>
      <c r="J19" s="64">
        <v>0.13</v>
      </c>
      <c r="K19" s="64">
        <v>108.42</v>
      </c>
      <c r="L19" s="64">
        <v>19.37</v>
      </c>
      <c r="M19" s="64">
        <v>83.9</v>
      </c>
      <c r="N19" s="64">
        <v>4.5</v>
      </c>
      <c r="O19" s="64">
        <v>0</v>
      </c>
      <c r="P19" s="64">
        <v>0.4</v>
      </c>
      <c r="Q19" s="64">
        <v>27.92</v>
      </c>
      <c r="R19" s="198"/>
      <c r="S19" s="198"/>
      <c r="T19" s="198"/>
      <c r="U19" s="198"/>
    </row>
    <row r="20" spans="1:21" s="12" customFormat="1" x14ac:dyDescent="0.25">
      <c r="A20" s="211" t="s">
        <v>352</v>
      </c>
      <c r="B20" s="64">
        <v>5.89</v>
      </c>
      <c r="C20" s="64">
        <v>23.33</v>
      </c>
      <c r="D20" s="64">
        <v>18.25</v>
      </c>
      <c r="E20" s="64">
        <v>1.22</v>
      </c>
      <c r="F20" s="64">
        <v>3.35</v>
      </c>
      <c r="G20" s="64">
        <v>18.37</v>
      </c>
      <c r="H20" s="64">
        <v>3.83</v>
      </c>
      <c r="I20" s="64">
        <v>0.52</v>
      </c>
      <c r="J20" s="64">
        <v>0.09</v>
      </c>
      <c r="K20" s="64">
        <v>328.36</v>
      </c>
      <c r="L20" s="64">
        <v>19.36</v>
      </c>
      <c r="M20" s="64">
        <v>85.39</v>
      </c>
      <c r="N20" s="64">
        <v>4.7</v>
      </c>
      <c r="O20" s="64">
        <v>0</v>
      </c>
      <c r="P20" s="64">
        <v>0.41</v>
      </c>
      <c r="Q20" s="64">
        <v>27.83</v>
      </c>
      <c r="R20" s="198"/>
      <c r="S20" s="198"/>
      <c r="T20" s="198"/>
      <c r="U20" s="198"/>
    </row>
    <row r="21" spans="1:21" s="12" customFormat="1" x14ac:dyDescent="0.25">
      <c r="A21" s="211" t="s">
        <v>353</v>
      </c>
      <c r="B21" s="64">
        <v>6.45</v>
      </c>
      <c r="C21" s="64">
        <v>25.31</v>
      </c>
      <c r="D21" s="64">
        <v>19.79</v>
      </c>
      <c r="E21" s="64">
        <v>1.4</v>
      </c>
      <c r="F21" s="64">
        <v>3.55</v>
      </c>
      <c r="G21" s="64">
        <v>18.37</v>
      </c>
      <c r="H21" s="64">
        <v>3.83</v>
      </c>
      <c r="I21" s="64">
        <v>0.52</v>
      </c>
      <c r="J21" s="64">
        <v>0.28000000000000003</v>
      </c>
      <c r="K21" s="64">
        <v>357.1</v>
      </c>
      <c r="L21" s="64">
        <v>19.309999999999999</v>
      </c>
      <c r="M21" s="64">
        <v>87.09</v>
      </c>
      <c r="N21" s="64">
        <v>4.7</v>
      </c>
      <c r="O21" s="64">
        <v>0</v>
      </c>
      <c r="P21" s="64">
        <v>0.42</v>
      </c>
      <c r="Q21" s="64">
        <v>27.23</v>
      </c>
      <c r="R21" s="198"/>
      <c r="S21" s="198"/>
      <c r="T21" s="198"/>
      <c r="U21" s="198"/>
    </row>
    <row r="22" spans="1:21" s="12" customFormat="1" x14ac:dyDescent="0.25">
      <c r="A22" s="211" t="s">
        <v>354</v>
      </c>
      <c r="B22" s="64">
        <v>6.74</v>
      </c>
      <c r="C22" s="64">
        <v>25.38</v>
      </c>
      <c r="D22" s="64">
        <v>20.059999999999999</v>
      </c>
      <c r="E22" s="64">
        <v>1.2</v>
      </c>
      <c r="F22" s="64">
        <v>3.29</v>
      </c>
      <c r="G22" s="64">
        <v>18.37</v>
      </c>
      <c r="H22" s="64">
        <v>3.83</v>
      </c>
      <c r="I22" s="64">
        <v>0.53</v>
      </c>
      <c r="J22" s="64">
        <v>0.56000000000000005</v>
      </c>
      <c r="K22" s="64">
        <v>324.39</v>
      </c>
      <c r="L22" s="64">
        <v>19.54</v>
      </c>
      <c r="M22" s="64">
        <v>84.48</v>
      </c>
      <c r="N22" s="64">
        <v>4.5</v>
      </c>
      <c r="O22" s="64">
        <v>0</v>
      </c>
      <c r="P22" s="64">
        <v>0.43</v>
      </c>
      <c r="Q22" s="64">
        <v>26.94</v>
      </c>
      <c r="R22" s="198"/>
      <c r="S22" s="198"/>
      <c r="T22" s="198"/>
      <c r="U22" s="198"/>
    </row>
    <row r="23" spans="1:21" s="12" customFormat="1" x14ac:dyDescent="0.25">
      <c r="A23" s="211" t="s">
        <v>355</v>
      </c>
      <c r="B23" s="64">
        <v>6.8</v>
      </c>
      <c r="C23" s="64">
        <v>25.25</v>
      </c>
      <c r="D23" s="64">
        <v>20.03</v>
      </c>
      <c r="E23" s="64">
        <v>1.1599999999999999</v>
      </c>
      <c r="F23" s="64">
        <v>3.1</v>
      </c>
      <c r="G23" s="64">
        <v>20.399999999999999</v>
      </c>
      <c r="H23" s="64">
        <v>4.34</v>
      </c>
      <c r="I23" s="64">
        <v>0.53</v>
      </c>
      <c r="J23" s="64">
        <v>0.52</v>
      </c>
      <c r="K23" s="64">
        <v>314.05</v>
      </c>
      <c r="L23" s="64">
        <v>19.600000000000001</v>
      </c>
      <c r="M23" s="64">
        <v>83.47</v>
      </c>
      <c r="N23" s="64">
        <v>4.8</v>
      </c>
      <c r="O23" s="64">
        <v>0</v>
      </c>
      <c r="P23" s="64">
        <v>0.45</v>
      </c>
      <c r="Q23" s="64">
        <v>26.69</v>
      </c>
      <c r="R23" s="198"/>
      <c r="S23" s="198"/>
      <c r="T23" s="198"/>
      <c r="U23" s="198"/>
    </row>
    <row r="24" spans="1:21" s="12" customFormat="1" x14ac:dyDescent="0.25">
      <c r="A24" s="211" t="s">
        <v>356</v>
      </c>
      <c r="B24" s="64">
        <v>6.79</v>
      </c>
      <c r="C24" s="64">
        <v>25.31</v>
      </c>
      <c r="D24" s="64">
        <v>20.059999999999999</v>
      </c>
      <c r="E24" s="64">
        <v>0.79</v>
      </c>
      <c r="F24" s="64">
        <v>3.11</v>
      </c>
      <c r="G24" s="64">
        <v>44.52</v>
      </c>
      <c r="H24" s="64">
        <v>11.41</v>
      </c>
      <c r="I24" s="64">
        <v>0.53</v>
      </c>
      <c r="J24" s="64">
        <v>0.99</v>
      </c>
      <c r="K24" s="64">
        <v>322.77</v>
      </c>
      <c r="L24" s="64">
        <v>19.760000000000002</v>
      </c>
      <c r="M24" s="64">
        <v>83.76</v>
      </c>
      <c r="N24" s="64">
        <v>4.5999999999999996</v>
      </c>
      <c r="O24" s="64">
        <v>0</v>
      </c>
      <c r="P24" s="64">
        <v>0.46</v>
      </c>
      <c r="Q24" s="64">
        <v>26.96</v>
      </c>
      <c r="R24" s="198"/>
      <c r="S24" s="198"/>
      <c r="T24" s="198"/>
      <c r="U24" s="198"/>
    </row>
    <row r="25" spans="1:21" s="12" customFormat="1" x14ac:dyDescent="0.25">
      <c r="A25" s="211" t="s">
        <v>357</v>
      </c>
      <c r="B25" s="64">
        <v>6.52</v>
      </c>
      <c r="C25" s="64">
        <v>25.73</v>
      </c>
      <c r="D25" s="64">
        <v>20.07</v>
      </c>
      <c r="E25" s="64">
        <v>0.92</v>
      </c>
      <c r="F25" s="64">
        <v>3.46</v>
      </c>
      <c r="G25" s="64">
        <v>44.52</v>
      </c>
      <c r="H25" s="64">
        <v>11.41</v>
      </c>
      <c r="I25" s="64">
        <v>0.53</v>
      </c>
      <c r="J25" s="64">
        <v>1.33</v>
      </c>
      <c r="K25" s="64">
        <v>316.44</v>
      </c>
      <c r="L25" s="64">
        <v>19.98</v>
      </c>
      <c r="M25" s="64">
        <v>85.34</v>
      </c>
      <c r="N25" s="64">
        <v>5.0999999999999996</v>
      </c>
      <c r="O25" s="64">
        <v>0</v>
      </c>
      <c r="P25" s="64">
        <v>0.47</v>
      </c>
      <c r="Q25" s="64">
        <v>26.85</v>
      </c>
      <c r="R25" s="198"/>
      <c r="S25" s="198"/>
      <c r="T25" s="198"/>
      <c r="U25" s="198"/>
    </row>
    <row r="26" spans="1:21" s="12" customFormat="1" x14ac:dyDescent="0.25">
      <c r="A26" s="211" t="s">
        <v>358</v>
      </c>
      <c r="B26" s="64">
        <v>6.19</v>
      </c>
      <c r="C26" s="64">
        <v>25.53</v>
      </c>
      <c r="D26" s="64">
        <v>19.690000000000001</v>
      </c>
      <c r="E26" s="64">
        <v>0.88</v>
      </c>
      <c r="F26" s="64">
        <v>3.42</v>
      </c>
      <c r="G26" s="64">
        <v>44.52</v>
      </c>
      <c r="H26" s="64">
        <v>11.41</v>
      </c>
      <c r="I26" s="64">
        <v>0.53</v>
      </c>
      <c r="J26" s="64">
        <v>0.97</v>
      </c>
      <c r="K26" s="64">
        <v>327.27999999999997</v>
      </c>
      <c r="L26" s="64">
        <v>20.02</v>
      </c>
      <c r="M26" s="64">
        <v>87.02</v>
      </c>
      <c r="N26" s="64">
        <v>5.2</v>
      </c>
      <c r="O26" s="64">
        <v>0</v>
      </c>
      <c r="P26" s="64">
        <v>0.48</v>
      </c>
      <c r="Q26" s="64">
        <v>26.74</v>
      </c>
      <c r="R26" s="198"/>
      <c r="S26" s="198"/>
      <c r="T26" s="198"/>
      <c r="U26" s="198"/>
    </row>
    <row r="27" spans="1:21" s="12" customFormat="1" x14ac:dyDescent="0.25">
      <c r="A27" s="211" t="s">
        <v>359</v>
      </c>
      <c r="B27" s="64">
        <v>6.39</v>
      </c>
      <c r="C27" s="64">
        <v>26.01</v>
      </c>
      <c r="D27" s="64">
        <v>20.12</v>
      </c>
      <c r="E27" s="64">
        <v>0.8</v>
      </c>
      <c r="F27" s="64">
        <v>3.21</v>
      </c>
      <c r="G27" s="64">
        <v>44.88</v>
      </c>
      <c r="H27" s="64">
        <v>11.62</v>
      </c>
      <c r="I27" s="64">
        <v>0.53</v>
      </c>
      <c r="J27" s="64">
        <v>0.71</v>
      </c>
      <c r="K27" s="64">
        <v>315.43</v>
      </c>
      <c r="L27" s="64">
        <v>19.95</v>
      </c>
      <c r="M27" s="64">
        <v>88.53</v>
      </c>
      <c r="N27" s="64">
        <v>5.4</v>
      </c>
      <c r="O27" s="64">
        <v>0</v>
      </c>
      <c r="P27" s="64">
        <v>0.51</v>
      </c>
      <c r="Q27" s="64">
        <v>26.68</v>
      </c>
      <c r="R27" s="198"/>
      <c r="S27" s="198"/>
      <c r="T27" s="198"/>
      <c r="U27" s="198"/>
    </row>
    <row r="28" spans="1:21" s="12" customFormat="1" x14ac:dyDescent="0.25">
      <c r="A28" s="211" t="s">
        <v>360</v>
      </c>
      <c r="B28" s="64">
        <v>6.69</v>
      </c>
      <c r="C28" s="64">
        <v>25.67</v>
      </c>
      <c r="D28" s="64">
        <v>20.170000000000002</v>
      </c>
      <c r="E28" s="64">
        <v>1.42</v>
      </c>
      <c r="F28" s="64">
        <v>3.49</v>
      </c>
      <c r="G28" s="64">
        <v>49.26</v>
      </c>
      <c r="H28" s="64">
        <v>14.13</v>
      </c>
      <c r="I28" s="64">
        <v>0.52</v>
      </c>
      <c r="J28" s="64">
        <v>0.82</v>
      </c>
      <c r="K28" s="64">
        <v>324.39999999999998</v>
      </c>
      <c r="L28" s="64">
        <v>19.77</v>
      </c>
      <c r="M28" s="64">
        <v>89.87</v>
      </c>
      <c r="N28" s="64">
        <v>5.6</v>
      </c>
      <c r="O28" s="64">
        <v>0</v>
      </c>
      <c r="P28" s="64">
        <v>0.51</v>
      </c>
      <c r="Q28" s="64">
        <v>27.58</v>
      </c>
      <c r="R28" s="198"/>
      <c r="S28" s="198"/>
      <c r="T28" s="198"/>
      <c r="U28" s="198"/>
    </row>
    <row r="29" spans="1:21" s="12" customFormat="1" x14ac:dyDescent="0.25">
      <c r="A29" s="211" t="s">
        <v>361</v>
      </c>
      <c r="B29" s="64">
        <v>7.11</v>
      </c>
      <c r="C29" s="64">
        <v>26.6</v>
      </c>
      <c r="D29" s="64">
        <v>21.03</v>
      </c>
      <c r="E29" s="64">
        <v>1.47</v>
      </c>
      <c r="F29" s="64">
        <v>3.69</v>
      </c>
      <c r="G29" s="64">
        <v>49.26</v>
      </c>
      <c r="H29" s="64">
        <v>14.13</v>
      </c>
      <c r="I29" s="64">
        <v>0.5</v>
      </c>
      <c r="J29" s="64">
        <v>0.62</v>
      </c>
      <c r="K29" s="64">
        <v>336.3</v>
      </c>
      <c r="L29" s="64">
        <v>19.510000000000002</v>
      </c>
      <c r="M29" s="64">
        <v>86.9</v>
      </c>
      <c r="N29" s="64">
        <v>5.9</v>
      </c>
      <c r="O29" s="64">
        <v>0</v>
      </c>
      <c r="P29" s="64">
        <v>0.5</v>
      </c>
      <c r="Q29" s="64">
        <v>28.35</v>
      </c>
      <c r="R29" s="198"/>
      <c r="S29" s="198"/>
      <c r="T29" s="198"/>
      <c r="U29" s="198"/>
    </row>
    <row r="30" spans="1:21" s="12" customFormat="1" x14ac:dyDescent="0.25">
      <c r="A30" s="211" t="s">
        <v>362</v>
      </c>
      <c r="B30" s="64">
        <v>7.5</v>
      </c>
      <c r="C30" s="64">
        <v>26.77</v>
      </c>
      <c r="D30" s="64">
        <v>21.44</v>
      </c>
      <c r="E30" s="64">
        <v>1.63</v>
      </c>
      <c r="F30" s="64">
        <v>4.18</v>
      </c>
      <c r="G30" s="64">
        <v>49.26</v>
      </c>
      <c r="H30" s="64">
        <v>14.13</v>
      </c>
      <c r="I30" s="64">
        <v>0.51</v>
      </c>
      <c r="J30" s="64">
        <v>0.7</v>
      </c>
      <c r="K30" s="64">
        <v>337.08</v>
      </c>
      <c r="L30" s="64">
        <v>19.28</v>
      </c>
      <c r="M30" s="64">
        <v>82.76</v>
      </c>
      <c r="N30" s="64">
        <v>7</v>
      </c>
      <c r="O30" s="64">
        <v>0</v>
      </c>
      <c r="P30" s="64">
        <v>0.48</v>
      </c>
      <c r="Q30" s="64">
        <v>28.98</v>
      </c>
      <c r="R30" s="198"/>
      <c r="S30" s="198"/>
      <c r="T30" s="198"/>
      <c r="U30" s="198"/>
    </row>
    <row r="31" spans="1:21" s="12" customFormat="1" x14ac:dyDescent="0.25">
      <c r="A31" s="211" t="s">
        <v>363</v>
      </c>
      <c r="B31" s="64">
        <v>7.08</v>
      </c>
      <c r="C31" s="64">
        <v>27.83</v>
      </c>
      <c r="D31" s="64">
        <v>21.69</v>
      </c>
      <c r="E31" s="64">
        <v>1.65</v>
      </c>
      <c r="F31" s="64">
        <v>4.5599999999999996</v>
      </c>
      <c r="G31" s="64">
        <v>48.95</v>
      </c>
      <c r="H31" s="64">
        <v>13.82</v>
      </c>
      <c r="I31" s="64">
        <v>0.51</v>
      </c>
      <c r="J31" s="64">
        <v>0.62</v>
      </c>
      <c r="K31" s="64">
        <v>310.52999999999997</v>
      </c>
      <c r="L31" s="64">
        <v>18.920000000000002</v>
      </c>
      <c r="M31" s="64">
        <v>83.26</v>
      </c>
      <c r="N31" s="64">
        <v>9.3000000000000007</v>
      </c>
      <c r="O31" s="64">
        <v>0</v>
      </c>
      <c r="P31" s="64">
        <v>0.47</v>
      </c>
      <c r="Q31" s="64">
        <v>29.2</v>
      </c>
      <c r="R31" s="198"/>
      <c r="S31" s="198"/>
      <c r="T31" s="198"/>
      <c r="U31" s="198"/>
    </row>
    <row r="32" spans="1:21" s="12" customFormat="1" x14ac:dyDescent="0.25">
      <c r="A32" s="211" t="s">
        <v>364</v>
      </c>
      <c r="B32" s="64">
        <v>6.79</v>
      </c>
      <c r="C32" s="64">
        <v>29.15</v>
      </c>
      <c r="D32" s="64">
        <v>22.18</v>
      </c>
      <c r="E32" s="64">
        <v>1.72</v>
      </c>
      <c r="F32" s="64">
        <v>4.3499999999999996</v>
      </c>
      <c r="G32" s="64">
        <v>45.22</v>
      </c>
      <c r="H32" s="64">
        <v>10.11</v>
      </c>
      <c r="I32" s="64">
        <v>0.51</v>
      </c>
      <c r="J32" s="64">
        <v>0.31</v>
      </c>
      <c r="K32" s="64">
        <v>139.33000000000001</v>
      </c>
      <c r="L32" s="64">
        <v>18.73</v>
      </c>
      <c r="M32" s="64">
        <v>83.7</v>
      </c>
      <c r="N32" s="64">
        <v>17</v>
      </c>
      <c r="O32" s="64">
        <v>0</v>
      </c>
      <c r="P32" s="64">
        <v>0.46</v>
      </c>
      <c r="Q32" s="64">
        <v>29.17</v>
      </c>
      <c r="R32" s="198"/>
      <c r="S32" s="198"/>
      <c r="T32" s="198"/>
      <c r="U32" s="198"/>
    </row>
    <row r="33" spans="1:21" s="12" customFormat="1" x14ac:dyDescent="0.25">
      <c r="A33" s="211" t="s">
        <v>365</v>
      </c>
      <c r="B33" s="64">
        <v>6.33</v>
      </c>
      <c r="C33" s="64">
        <v>28.49</v>
      </c>
      <c r="D33" s="64">
        <v>21.45</v>
      </c>
      <c r="E33" s="64">
        <v>1.29</v>
      </c>
      <c r="F33" s="64">
        <v>4.0599999999999996</v>
      </c>
      <c r="G33" s="64">
        <v>45.22</v>
      </c>
      <c r="H33" s="64">
        <v>10.11</v>
      </c>
      <c r="I33" s="64">
        <v>0.51</v>
      </c>
      <c r="J33" s="64">
        <v>0.1</v>
      </c>
      <c r="K33" s="64">
        <v>314.82</v>
      </c>
      <c r="L33" s="64">
        <v>18.53</v>
      </c>
      <c r="M33" s="64">
        <v>83.42</v>
      </c>
      <c r="N33" s="64">
        <v>38.5</v>
      </c>
      <c r="O33" s="64">
        <v>0</v>
      </c>
      <c r="P33" s="64">
        <v>0.45</v>
      </c>
      <c r="Q33" s="64">
        <v>28.7</v>
      </c>
      <c r="R33" s="198"/>
      <c r="S33" s="198"/>
      <c r="T33" s="198"/>
      <c r="U33" s="198"/>
    </row>
    <row r="34" spans="1:21" s="12" customFormat="1" x14ac:dyDescent="0.25">
      <c r="A34" s="211" t="s">
        <v>366</v>
      </c>
      <c r="B34" s="64">
        <v>6.65</v>
      </c>
      <c r="C34" s="64">
        <v>27.05</v>
      </c>
      <c r="D34" s="64">
        <v>20.91</v>
      </c>
      <c r="E34" s="64">
        <v>1.1599999999999999</v>
      </c>
      <c r="F34" s="64">
        <v>3.67</v>
      </c>
      <c r="G34" s="64">
        <v>45.22</v>
      </c>
      <c r="H34" s="64">
        <v>10.11</v>
      </c>
      <c r="I34" s="64">
        <v>0.51</v>
      </c>
      <c r="J34" s="64">
        <v>0.08</v>
      </c>
      <c r="K34" s="64">
        <v>129.01</v>
      </c>
      <c r="L34" s="64">
        <v>18.73</v>
      </c>
      <c r="M34" s="64">
        <v>82.38</v>
      </c>
      <c r="N34" s="64">
        <v>55.1</v>
      </c>
      <c r="O34" s="64">
        <v>0</v>
      </c>
      <c r="P34" s="64">
        <v>0.43</v>
      </c>
      <c r="Q34" s="64">
        <v>28.58</v>
      </c>
      <c r="R34" s="198"/>
      <c r="S34" s="198"/>
      <c r="T34" s="198"/>
      <c r="U34" s="198"/>
    </row>
    <row r="35" spans="1:21" s="12" customFormat="1" x14ac:dyDescent="0.25">
      <c r="A35" s="211" t="s">
        <v>367</v>
      </c>
      <c r="B35" s="64">
        <v>6.71</v>
      </c>
      <c r="C35" s="64">
        <v>28.37</v>
      </c>
      <c r="D35" s="64">
        <v>21.68</v>
      </c>
      <c r="E35" s="64">
        <v>1.1499999999999999</v>
      </c>
      <c r="F35" s="64">
        <v>3.86</v>
      </c>
      <c r="G35" s="64">
        <v>44.64</v>
      </c>
      <c r="H35" s="64">
        <v>9.91</v>
      </c>
      <c r="I35" s="64">
        <v>0.51</v>
      </c>
      <c r="J35" s="64">
        <v>0.56999999999999995</v>
      </c>
      <c r="K35" s="64">
        <v>301.19</v>
      </c>
      <c r="L35" s="64">
        <v>19.32</v>
      </c>
      <c r="M35" s="64">
        <v>79.34</v>
      </c>
      <c r="N35" s="64">
        <v>0</v>
      </c>
      <c r="O35" s="64">
        <v>0</v>
      </c>
      <c r="P35" s="64">
        <v>0.44</v>
      </c>
      <c r="Q35" s="64">
        <v>28.38</v>
      </c>
      <c r="R35" s="198"/>
      <c r="S35" s="198"/>
      <c r="T35" s="198"/>
      <c r="U35" s="198"/>
    </row>
    <row r="36" spans="1:21" s="12" customFormat="1" x14ac:dyDescent="0.25">
      <c r="A36" s="211" t="s">
        <v>368</v>
      </c>
      <c r="B36" s="64">
        <v>6.07</v>
      </c>
      <c r="C36" s="64">
        <v>28.06</v>
      </c>
      <c r="D36" s="64">
        <v>21</v>
      </c>
      <c r="E36" s="64">
        <v>1.72</v>
      </c>
      <c r="F36" s="64">
        <v>4.29</v>
      </c>
      <c r="G36" s="64">
        <v>37.78</v>
      </c>
      <c r="H36" s="64">
        <v>7.56</v>
      </c>
      <c r="I36" s="64">
        <v>0.51</v>
      </c>
      <c r="J36" s="64">
        <v>0.89</v>
      </c>
      <c r="K36" s="64">
        <v>306.16000000000003</v>
      </c>
      <c r="L36" s="64">
        <v>19.77</v>
      </c>
      <c r="M36" s="64">
        <v>77.17</v>
      </c>
      <c r="N36" s="64">
        <v>0</v>
      </c>
      <c r="O36" s="64">
        <v>0</v>
      </c>
      <c r="P36" s="64">
        <v>0.42</v>
      </c>
      <c r="Q36" s="64">
        <v>28.29</v>
      </c>
      <c r="R36" s="198"/>
      <c r="S36" s="198"/>
      <c r="T36" s="198"/>
      <c r="U36" s="198"/>
    </row>
    <row r="37" spans="1:21" s="12" customFormat="1" x14ac:dyDescent="0.25">
      <c r="A37" s="211" t="s">
        <v>369</v>
      </c>
      <c r="B37" s="64">
        <v>5.65</v>
      </c>
      <c r="C37" s="64">
        <v>28.3</v>
      </c>
      <c r="D37" s="64">
        <v>20.79</v>
      </c>
      <c r="E37" s="64">
        <v>1.31</v>
      </c>
      <c r="F37" s="64">
        <v>3.99</v>
      </c>
      <c r="G37" s="64">
        <v>37.78</v>
      </c>
      <c r="H37" s="64">
        <v>7.56</v>
      </c>
      <c r="I37" s="64">
        <v>0.51</v>
      </c>
      <c r="J37" s="64">
        <v>0.16</v>
      </c>
      <c r="K37" s="64">
        <v>290.89999999999998</v>
      </c>
      <c r="L37" s="64">
        <v>19.5</v>
      </c>
      <c r="M37" s="64">
        <v>78.7</v>
      </c>
      <c r="N37" s="64">
        <v>48.3</v>
      </c>
      <c r="O37" s="64">
        <v>0</v>
      </c>
      <c r="P37" s="64">
        <v>0.41</v>
      </c>
      <c r="Q37" s="64">
        <v>27.94</v>
      </c>
      <c r="R37" s="198"/>
      <c r="S37" s="198"/>
      <c r="T37" s="198"/>
      <c r="U37" s="198"/>
    </row>
    <row r="38" spans="1:21" s="12" customFormat="1" x14ac:dyDescent="0.25">
      <c r="A38" s="211" t="s">
        <v>370</v>
      </c>
      <c r="B38" s="64">
        <v>5.56</v>
      </c>
      <c r="C38" s="64">
        <v>28.22</v>
      </c>
      <c r="D38" s="64">
        <v>20.68</v>
      </c>
      <c r="E38" s="64">
        <v>1.51</v>
      </c>
      <c r="F38" s="64">
        <v>3.75</v>
      </c>
      <c r="G38" s="64">
        <v>37.78</v>
      </c>
      <c r="H38" s="64">
        <v>7.56</v>
      </c>
      <c r="I38" s="64">
        <v>0.51</v>
      </c>
      <c r="J38" s="64">
        <v>0.38</v>
      </c>
      <c r="K38" s="64">
        <v>306.8</v>
      </c>
      <c r="L38" s="64">
        <v>19.64</v>
      </c>
      <c r="M38" s="64">
        <v>78.75</v>
      </c>
      <c r="N38" s="64">
        <v>90</v>
      </c>
      <c r="O38" s="64">
        <v>0</v>
      </c>
      <c r="P38" s="64">
        <v>0.42</v>
      </c>
      <c r="Q38" s="64">
        <v>27.73</v>
      </c>
      <c r="R38" s="198"/>
      <c r="S38" s="198"/>
      <c r="T38" s="198"/>
      <c r="U38" s="198"/>
    </row>
    <row r="39" spans="1:21" s="12" customFormat="1" x14ac:dyDescent="0.25">
      <c r="A39" s="211" t="s">
        <v>371</v>
      </c>
      <c r="B39" s="64">
        <v>5.84</v>
      </c>
      <c r="C39" s="64">
        <v>29.94</v>
      </c>
      <c r="D39" s="64">
        <v>21.86</v>
      </c>
      <c r="E39" s="64">
        <v>1.77</v>
      </c>
      <c r="F39" s="64">
        <v>3.92</v>
      </c>
      <c r="G39" s="64">
        <v>37.67</v>
      </c>
      <c r="H39" s="64">
        <v>7.43</v>
      </c>
      <c r="I39" s="64">
        <v>0.5</v>
      </c>
      <c r="J39" s="64">
        <v>0.91</v>
      </c>
      <c r="K39" s="64">
        <v>323.39999999999998</v>
      </c>
      <c r="L39" s="64">
        <v>19.66</v>
      </c>
      <c r="M39" s="64">
        <v>78.260000000000005</v>
      </c>
      <c r="N39" s="64">
        <v>78.8</v>
      </c>
      <c r="O39" s="64">
        <v>0</v>
      </c>
      <c r="P39" s="64">
        <v>0.43</v>
      </c>
      <c r="Q39" s="64">
        <v>28.01</v>
      </c>
      <c r="R39" s="198"/>
      <c r="S39" s="198"/>
      <c r="T39" s="198"/>
      <c r="U39" s="198"/>
    </row>
    <row r="40" spans="1:21" s="12" customFormat="1" x14ac:dyDescent="0.25">
      <c r="A40" s="211" t="s">
        <v>372</v>
      </c>
      <c r="B40" s="64">
        <v>6.07</v>
      </c>
      <c r="C40" s="64">
        <v>30.75</v>
      </c>
      <c r="D40" s="64">
        <v>22.48</v>
      </c>
      <c r="E40" s="64">
        <v>0.72</v>
      </c>
      <c r="F40" s="64">
        <v>4.09</v>
      </c>
      <c r="G40" s="64">
        <v>36.29</v>
      </c>
      <c r="H40" s="64">
        <v>5.82</v>
      </c>
      <c r="I40" s="64">
        <v>0.51</v>
      </c>
      <c r="J40" s="64">
        <v>1.2</v>
      </c>
      <c r="K40" s="64">
        <v>294.47000000000003</v>
      </c>
      <c r="L40" s="64">
        <v>19.21</v>
      </c>
      <c r="M40" s="64">
        <v>82</v>
      </c>
      <c r="N40" s="64">
        <v>16.3</v>
      </c>
      <c r="O40" s="64">
        <v>0</v>
      </c>
      <c r="P40" s="64">
        <v>0.43</v>
      </c>
      <c r="Q40" s="64">
        <v>28.69</v>
      </c>
      <c r="R40" s="198"/>
      <c r="S40" s="198"/>
      <c r="T40" s="198"/>
      <c r="U40" s="198"/>
    </row>
    <row r="41" spans="1:21" s="12" customFormat="1" x14ac:dyDescent="0.25">
      <c r="A41" s="211" t="s">
        <v>373</v>
      </c>
      <c r="B41" s="64">
        <v>6.18</v>
      </c>
      <c r="C41" s="64">
        <v>32.04</v>
      </c>
      <c r="D41" s="64">
        <v>23.29</v>
      </c>
      <c r="E41" s="64">
        <v>1.72</v>
      </c>
      <c r="F41" s="64">
        <v>3.41</v>
      </c>
      <c r="G41" s="64">
        <v>36.29</v>
      </c>
      <c r="H41" s="64">
        <v>5.82</v>
      </c>
      <c r="I41" s="64">
        <v>0.5</v>
      </c>
      <c r="J41" s="64">
        <v>0.59</v>
      </c>
      <c r="K41" s="64">
        <v>139.33000000000001</v>
      </c>
      <c r="L41" s="64">
        <v>18.46</v>
      </c>
      <c r="M41" s="64">
        <v>88.08</v>
      </c>
      <c r="N41" s="64">
        <v>86.8</v>
      </c>
      <c r="O41" s="64">
        <v>1.2</v>
      </c>
      <c r="P41" s="64">
        <v>0.43</v>
      </c>
      <c r="Q41" s="64">
        <v>28.78</v>
      </c>
      <c r="R41" s="198"/>
      <c r="S41" s="198"/>
      <c r="T41" s="198"/>
      <c r="U41" s="198"/>
    </row>
    <row r="42" spans="1:21" s="12" customFormat="1" x14ac:dyDescent="0.25">
      <c r="A42" s="211" t="s">
        <v>374</v>
      </c>
      <c r="B42" s="64">
        <v>6.88</v>
      </c>
      <c r="C42" s="64">
        <v>36.090000000000003</v>
      </c>
      <c r="D42" s="64">
        <v>26.08</v>
      </c>
      <c r="E42" s="64">
        <v>1.52</v>
      </c>
      <c r="F42" s="64">
        <v>3.23</v>
      </c>
      <c r="G42" s="64">
        <v>36.29</v>
      </c>
      <c r="H42" s="64">
        <v>5.82</v>
      </c>
      <c r="I42" s="64">
        <v>0.51</v>
      </c>
      <c r="J42" s="64">
        <v>1.01</v>
      </c>
      <c r="K42" s="64">
        <v>130.74</v>
      </c>
      <c r="L42" s="64">
        <v>19.04</v>
      </c>
      <c r="M42" s="64">
        <v>89.69</v>
      </c>
      <c r="N42" s="64">
        <v>587.1</v>
      </c>
      <c r="O42" s="64">
        <v>0</v>
      </c>
      <c r="P42" s="64">
        <v>0.44</v>
      </c>
      <c r="Q42" s="64">
        <v>29.42</v>
      </c>
      <c r="R42" s="198"/>
      <c r="S42" s="198"/>
      <c r="T42" s="198"/>
      <c r="U42" s="198"/>
    </row>
    <row r="43" spans="1:21" s="12" customFormat="1" x14ac:dyDescent="0.25">
      <c r="A43" s="211" t="s">
        <v>375</v>
      </c>
      <c r="B43" s="64">
        <v>7.29</v>
      </c>
      <c r="C43" s="64">
        <v>31.72</v>
      </c>
      <c r="D43" s="64">
        <v>24</v>
      </c>
      <c r="E43" s="64">
        <v>1.72</v>
      </c>
      <c r="F43" s="64">
        <v>3.39</v>
      </c>
      <c r="G43" s="64">
        <v>36.01</v>
      </c>
      <c r="H43" s="64">
        <v>5.94</v>
      </c>
      <c r="I43" s="64">
        <v>0.52</v>
      </c>
      <c r="J43" s="64">
        <v>2.3199999999999998</v>
      </c>
      <c r="K43" s="64">
        <v>137.26</v>
      </c>
      <c r="L43" s="64">
        <v>19.420000000000002</v>
      </c>
      <c r="M43" s="64">
        <v>86.47</v>
      </c>
      <c r="N43" s="64">
        <v>674.8</v>
      </c>
      <c r="O43" s="64">
        <v>0</v>
      </c>
      <c r="P43" s="64">
        <v>0.44</v>
      </c>
      <c r="Q43" s="64">
        <v>30.78</v>
      </c>
      <c r="R43" s="198"/>
      <c r="S43" s="198"/>
      <c r="T43" s="198"/>
      <c r="U43" s="198"/>
    </row>
    <row r="44" spans="1:21" s="12" customFormat="1" x14ac:dyDescent="0.25">
      <c r="A44" s="211" t="s">
        <v>376</v>
      </c>
      <c r="B44" s="64">
        <v>7.22</v>
      </c>
      <c r="C44" s="64">
        <v>30.9</v>
      </c>
      <c r="D44" s="64">
        <v>23.49</v>
      </c>
      <c r="E44" s="64">
        <v>1.98</v>
      </c>
      <c r="F44" s="64">
        <v>3.05</v>
      </c>
      <c r="G44" s="64">
        <v>32.76</v>
      </c>
      <c r="H44" s="64">
        <v>7.69</v>
      </c>
      <c r="I44" s="64">
        <v>0.52</v>
      </c>
      <c r="J44" s="64">
        <v>2.0299999999999998</v>
      </c>
      <c r="K44" s="64">
        <v>135.88999999999999</v>
      </c>
      <c r="L44" s="64">
        <v>19.91</v>
      </c>
      <c r="M44" s="64">
        <v>83.96</v>
      </c>
      <c r="N44" s="64">
        <v>596</v>
      </c>
      <c r="O44" s="64">
        <v>0</v>
      </c>
      <c r="P44" s="64">
        <v>0.44</v>
      </c>
      <c r="Q44" s="64">
        <v>32.33</v>
      </c>
      <c r="R44" s="198"/>
      <c r="S44" s="198"/>
      <c r="T44" s="198"/>
      <c r="U44" s="198"/>
    </row>
    <row r="45" spans="1:21" s="12" customFormat="1" x14ac:dyDescent="0.25">
      <c r="A45" s="211" t="s">
        <v>377</v>
      </c>
      <c r="B45" s="64">
        <v>6.71</v>
      </c>
      <c r="C45" s="64">
        <v>28.81</v>
      </c>
      <c r="D45" s="64">
        <v>21.92</v>
      </c>
      <c r="E45" s="64">
        <v>1.69</v>
      </c>
      <c r="F45" s="64">
        <v>3.54</v>
      </c>
      <c r="G45" s="64">
        <v>32.76</v>
      </c>
      <c r="H45" s="64">
        <v>7.69</v>
      </c>
      <c r="I45" s="64">
        <v>0.52</v>
      </c>
      <c r="J45" s="64">
        <v>1.73</v>
      </c>
      <c r="K45" s="64">
        <v>126.46</v>
      </c>
      <c r="L45" s="64">
        <v>20.87</v>
      </c>
      <c r="M45" s="64">
        <v>80</v>
      </c>
      <c r="N45" s="64">
        <v>835.3</v>
      </c>
      <c r="O45" s="64">
        <v>0</v>
      </c>
      <c r="P45" s="64">
        <v>0.43</v>
      </c>
      <c r="Q45" s="64">
        <v>31.85</v>
      </c>
      <c r="R45" s="198"/>
      <c r="S45" s="198"/>
      <c r="T45" s="198"/>
      <c r="U45" s="198"/>
    </row>
    <row r="46" spans="1:21" s="12" customFormat="1" x14ac:dyDescent="0.25">
      <c r="A46" s="211" t="s">
        <v>378</v>
      </c>
      <c r="B46" s="64">
        <v>5.92</v>
      </c>
      <c r="C46" s="64">
        <v>27.86</v>
      </c>
      <c r="D46" s="64">
        <v>20.76</v>
      </c>
      <c r="E46" s="64">
        <v>1.29</v>
      </c>
      <c r="F46" s="64">
        <v>3.81</v>
      </c>
      <c r="G46" s="64">
        <v>32.76</v>
      </c>
      <c r="H46" s="64">
        <v>7.69</v>
      </c>
      <c r="I46" s="64">
        <v>0.52</v>
      </c>
      <c r="J46" s="64">
        <v>1.6</v>
      </c>
      <c r="K46" s="64">
        <v>130.29</v>
      </c>
      <c r="L46" s="64">
        <v>21.75</v>
      </c>
      <c r="M46" s="64">
        <v>76</v>
      </c>
      <c r="N46" s="64">
        <v>883.5</v>
      </c>
      <c r="O46" s="64">
        <v>0</v>
      </c>
      <c r="P46" s="64">
        <v>0.41</v>
      </c>
      <c r="Q46" s="64">
        <v>31.69</v>
      </c>
      <c r="R46" s="198"/>
      <c r="S46" s="198"/>
      <c r="T46" s="198"/>
      <c r="U46" s="198"/>
    </row>
    <row r="47" spans="1:21" s="12" customFormat="1" x14ac:dyDescent="0.25">
      <c r="A47" s="211" t="s">
        <v>379</v>
      </c>
      <c r="B47" s="64">
        <v>5.3</v>
      </c>
      <c r="C47" s="64">
        <v>26.32</v>
      </c>
      <c r="D47" s="64">
        <v>19.420000000000002</v>
      </c>
      <c r="E47" s="64">
        <v>1.26</v>
      </c>
      <c r="F47" s="64">
        <v>3.69</v>
      </c>
      <c r="G47" s="64">
        <v>32.22</v>
      </c>
      <c r="H47" s="64">
        <v>7.6</v>
      </c>
      <c r="I47" s="64">
        <v>0.52</v>
      </c>
      <c r="J47" s="64">
        <v>1.3</v>
      </c>
      <c r="K47" s="64">
        <v>126.58</v>
      </c>
      <c r="L47" s="64">
        <v>22.43</v>
      </c>
      <c r="M47" s="64">
        <v>71.87</v>
      </c>
      <c r="N47" s="64">
        <v>900.3</v>
      </c>
      <c r="O47" s="64">
        <v>0</v>
      </c>
      <c r="P47" s="64">
        <v>0.42</v>
      </c>
      <c r="Q47" s="64">
        <v>31.63</v>
      </c>
      <c r="R47" s="198"/>
      <c r="S47" s="198"/>
      <c r="T47" s="198"/>
      <c r="U47" s="198"/>
    </row>
    <row r="48" spans="1:21" s="12" customFormat="1" x14ac:dyDescent="0.25">
      <c r="A48" s="211" t="s">
        <v>380</v>
      </c>
      <c r="B48" s="64">
        <v>4.99</v>
      </c>
      <c r="C48" s="64">
        <v>26.45</v>
      </c>
      <c r="D48" s="64">
        <v>19.239999999999998</v>
      </c>
      <c r="E48" s="64">
        <v>1.4</v>
      </c>
      <c r="F48" s="64">
        <v>3.72</v>
      </c>
      <c r="G48" s="64">
        <v>25.8</v>
      </c>
      <c r="H48" s="64">
        <v>6.71</v>
      </c>
      <c r="I48" s="64">
        <v>0.52</v>
      </c>
      <c r="J48" s="64">
        <v>1.32</v>
      </c>
      <c r="K48" s="64">
        <v>123.6</v>
      </c>
      <c r="L48" s="64">
        <v>22.8</v>
      </c>
      <c r="M48" s="64">
        <v>69.38</v>
      </c>
      <c r="N48" s="64">
        <v>898.5</v>
      </c>
      <c r="O48" s="64">
        <v>0</v>
      </c>
      <c r="P48" s="64">
        <v>0.4</v>
      </c>
      <c r="Q48" s="64">
        <v>31.9</v>
      </c>
      <c r="R48" s="198"/>
      <c r="S48" s="198"/>
      <c r="T48" s="198"/>
      <c r="U48" s="198"/>
    </row>
    <row r="49" spans="1:21" s="12" customFormat="1" x14ac:dyDescent="0.25">
      <c r="A49" s="211" t="s">
        <v>381</v>
      </c>
      <c r="B49" s="64">
        <v>4.6500000000000004</v>
      </c>
      <c r="C49" s="64">
        <v>25.67</v>
      </c>
      <c r="D49" s="64">
        <v>18.54</v>
      </c>
      <c r="E49" s="64">
        <v>1.75</v>
      </c>
      <c r="F49" s="64">
        <v>3.5</v>
      </c>
      <c r="G49" s="64">
        <v>25.8</v>
      </c>
      <c r="H49" s="64">
        <v>6.71</v>
      </c>
      <c r="I49" s="64">
        <v>0.52</v>
      </c>
      <c r="J49" s="64">
        <v>1.03</v>
      </c>
      <c r="K49" s="64">
        <v>116.92</v>
      </c>
      <c r="L49" s="64">
        <v>23.56</v>
      </c>
      <c r="M49" s="64">
        <v>64.53</v>
      </c>
      <c r="N49" s="64">
        <v>900.4</v>
      </c>
      <c r="O49" s="64">
        <v>0</v>
      </c>
      <c r="P49" s="64">
        <v>0.4</v>
      </c>
      <c r="Q49" s="64">
        <v>31.88</v>
      </c>
      <c r="R49" s="198"/>
      <c r="S49" s="198"/>
      <c r="T49" s="198"/>
      <c r="U49" s="198"/>
    </row>
    <row r="50" spans="1:21" s="12" customFormat="1" x14ac:dyDescent="0.25">
      <c r="A50" s="211" t="s">
        <v>382</v>
      </c>
      <c r="B50" s="64">
        <v>4.18</v>
      </c>
      <c r="C50" s="64">
        <v>24.86</v>
      </c>
      <c r="D50" s="64">
        <v>17.72</v>
      </c>
      <c r="E50" s="64">
        <v>1.61</v>
      </c>
      <c r="F50" s="64">
        <v>4.04</v>
      </c>
      <c r="G50" s="64">
        <v>25.8</v>
      </c>
      <c r="H50" s="64">
        <v>6.71</v>
      </c>
      <c r="I50" s="64">
        <v>0.51</v>
      </c>
      <c r="J50" s="64">
        <v>1.49</v>
      </c>
      <c r="K50" s="64">
        <v>124.62</v>
      </c>
      <c r="L50" s="64">
        <v>23.87</v>
      </c>
      <c r="M50" s="64">
        <v>63.78</v>
      </c>
      <c r="N50" s="64">
        <v>917.1</v>
      </c>
      <c r="O50" s="64">
        <v>0</v>
      </c>
      <c r="P50" s="64">
        <v>0.39</v>
      </c>
      <c r="Q50" s="64">
        <v>31.59</v>
      </c>
      <c r="R50" s="198"/>
      <c r="S50" s="198"/>
      <c r="T50" s="198"/>
      <c r="U50" s="198"/>
    </row>
    <row r="51" spans="1:21" s="12" customFormat="1" x14ac:dyDescent="0.25">
      <c r="A51" s="211" t="s">
        <v>383</v>
      </c>
      <c r="B51" s="64">
        <v>3.45</v>
      </c>
      <c r="C51" s="64">
        <v>25.5</v>
      </c>
      <c r="D51" s="64">
        <v>17.48</v>
      </c>
      <c r="E51" s="64">
        <v>1.66</v>
      </c>
      <c r="F51" s="64">
        <v>7.28</v>
      </c>
      <c r="G51" s="64">
        <v>25.44</v>
      </c>
      <c r="H51" s="64">
        <v>6.56</v>
      </c>
      <c r="I51" s="64">
        <v>0.51</v>
      </c>
      <c r="J51" s="64">
        <v>0.95</v>
      </c>
      <c r="K51" s="64">
        <v>126.53</v>
      </c>
      <c r="L51" s="64">
        <v>24.39</v>
      </c>
      <c r="M51" s="64">
        <v>62.08</v>
      </c>
      <c r="N51" s="64">
        <v>910.5</v>
      </c>
      <c r="O51" s="64">
        <v>0</v>
      </c>
      <c r="P51" s="64">
        <v>0.37</v>
      </c>
      <c r="Q51" s="64">
        <v>32.14</v>
      </c>
      <c r="R51" s="198"/>
      <c r="S51" s="198"/>
      <c r="T51" s="198"/>
      <c r="U51" s="198"/>
    </row>
    <row r="52" spans="1:21" s="12" customFormat="1" x14ac:dyDescent="0.25">
      <c r="A52" s="211" t="s">
        <v>384</v>
      </c>
      <c r="B52" s="64">
        <v>2.46</v>
      </c>
      <c r="C52" s="64">
        <v>24.02</v>
      </c>
      <c r="D52" s="64">
        <v>15.87</v>
      </c>
      <c r="E52" s="64">
        <v>1.9</v>
      </c>
      <c r="F52" s="64">
        <v>8.2100000000000009</v>
      </c>
      <c r="G52" s="64">
        <v>21.25</v>
      </c>
      <c r="H52" s="64">
        <v>5.03</v>
      </c>
      <c r="I52" s="64">
        <v>0.51</v>
      </c>
      <c r="J52" s="64">
        <v>0.88</v>
      </c>
      <c r="K52" s="64">
        <v>154.43</v>
      </c>
      <c r="L52" s="64">
        <v>24.65</v>
      </c>
      <c r="M52" s="64">
        <v>60.1</v>
      </c>
      <c r="N52" s="64">
        <v>829</v>
      </c>
      <c r="O52" s="64">
        <v>0</v>
      </c>
      <c r="P52" s="64">
        <v>0.35</v>
      </c>
      <c r="Q52" s="64">
        <v>31.19</v>
      </c>
      <c r="R52" s="198"/>
      <c r="S52" s="198"/>
      <c r="T52" s="198"/>
      <c r="U52" s="198"/>
    </row>
    <row r="53" spans="1:21" s="12" customFormat="1" x14ac:dyDescent="0.25">
      <c r="A53" s="211" t="s">
        <v>385</v>
      </c>
      <c r="B53" s="64">
        <v>3.82</v>
      </c>
      <c r="C53" s="64">
        <v>23.18</v>
      </c>
      <c r="D53" s="64">
        <v>16.510000000000002</v>
      </c>
      <c r="E53" s="64">
        <v>1.45</v>
      </c>
      <c r="F53" s="64">
        <v>12.93</v>
      </c>
      <c r="G53" s="64">
        <v>21.25</v>
      </c>
      <c r="H53" s="64">
        <v>5.03</v>
      </c>
      <c r="I53" s="64">
        <v>0.5</v>
      </c>
      <c r="J53" s="64">
        <v>0.15</v>
      </c>
      <c r="K53" s="64">
        <v>305.32</v>
      </c>
      <c r="L53" s="64">
        <v>26.11</v>
      </c>
      <c r="M53" s="64">
        <v>56.33</v>
      </c>
      <c r="N53" s="64">
        <v>625</v>
      </c>
      <c r="O53" s="64">
        <v>0</v>
      </c>
      <c r="P53" s="64">
        <v>0.35</v>
      </c>
      <c r="Q53" s="64">
        <v>30.88</v>
      </c>
      <c r="R53" s="198"/>
      <c r="S53" s="198"/>
      <c r="T53" s="198"/>
      <c r="U53" s="198"/>
    </row>
    <row r="54" spans="1:21" s="12" customFormat="1" x14ac:dyDescent="0.25">
      <c r="A54" s="211" t="s">
        <v>386</v>
      </c>
      <c r="B54" s="64">
        <v>7.01</v>
      </c>
      <c r="C54" s="64">
        <v>24.58</v>
      </c>
      <c r="D54" s="64">
        <v>19.829999999999998</v>
      </c>
      <c r="E54" s="64">
        <v>2.14</v>
      </c>
      <c r="F54" s="64">
        <v>15.94</v>
      </c>
      <c r="G54" s="64">
        <v>21.25</v>
      </c>
      <c r="H54" s="64">
        <v>5.03</v>
      </c>
      <c r="I54" s="64">
        <v>0.5</v>
      </c>
      <c r="J54" s="64">
        <v>0.53</v>
      </c>
      <c r="K54" s="64">
        <v>327.99</v>
      </c>
      <c r="L54" s="64">
        <v>28.13</v>
      </c>
      <c r="M54" s="64">
        <v>50.14</v>
      </c>
      <c r="N54" s="64">
        <v>608.79999999999995</v>
      </c>
      <c r="O54" s="64">
        <v>0</v>
      </c>
      <c r="P54" s="64">
        <v>0.4</v>
      </c>
      <c r="Q54" s="64">
        <v>29.03</v>
      </c>
      <c r="R54" s="198"/>
      <c r="S54" s="198"/>
      <c r="T54" s="198"/>
      <c r="U54" s="198"/>
    </row>
    <row r="55" spans="1:21" s="12" customFormat="1" x14ac:dyDescent="0.25">
      <c r="A55" s="211" t="s">
        <v>387</v>
      </c>
      <c r="B55" s="64">
        <v>5.75</v>
      </c>
      <c r="C55" s="64">
        <v>26.02</v>
      </c>
      <c r="D55" s="64">
        <v>19.62</v>
      </c>
      <c r="E55" s="64">
        <v>2.16</v>
      </c>
      <c r="F55" s="64">
        <v>13.14</v>
      </c>
      <c r="G55" s="64">
        <v>21.16</v>
      </c>
      <c r="H55" s="64">
        <v>4.9000000000000004</v>
      </c>
      <c r="I55" s="64">
        <v>0.49</v>
      </c>
      <c r="J55" s="64">
        <v>0.55000000000000004</v>
      </c>
      <c r="K55" s="64">
        <v>311.83999999999997</v>
      </c>
      <c r="L55" s="64">
        <v>29.45</v>
      </c>
      <c r="M55" s="64">
        <v>46.79</v>
      </c>
      <c r="N55" s="64">
        <v>872.9</v>
      </c>
      <c r="O55" s="64">
        <v>0</v>
      </c>
      <c r="P55" s="64">
        <v>0.42</v>
      </c>
      <c r="Q55" s="64">
        <v>28.42</v>
      </c>
      <c r="R55" s="198"/>
      <c r="S55" s="198"/>
      <c r="T55" s="198"/>
      <c r="U55" s="198"/>
    </row>
    <row r="56" spans="1:21" s="12" customFormat="1" x14ac:dyDescent="0.25">
      <c r="A56" s="211" t="s">
        <v>388</v>
      </c>
      <c r="B56" s="64">
        <v>3.62</v>
      </c>
      <c r="C56" s="64">
        <v>26.37</v>
      </c>
      <c r="D56" s="64">
        <v>18.100000000000001</v>
      </c>
      <c r="E56" s="64">
        <v>0.87</v>
      </c>
      <c r="F56" s="64">
        <v>9.2899999999999991</v>
      </c>
      <c r="G56" s="64">
        <v>20.079999999999998</v>
      </c>
      <c r="H56" s="64">
        <v>3.61</v>
      </c>
      <c r="I56" s="64">
        <v>0.49</v>
      </c>
      <c r="J56" s="64">
        <v>0.53</v>
      </c>
      <c r="K56" s="64">
        <v>170.05</v>
      </c>
      <c r="L56" s="64">
        <v>27.8</v>
      </c>
      <c r="M56" s="64">
        <v>51.82</v>
      </c>
      <c r="N56" s="64">
        <v>1041.4000000000001</v>
      </c>
      <c r="O56" s="64">
        <v>0</v>
      </c>
      <c r="P56" s="64">
        <v>0.4</v>
      </c>
      <c r="Q56" s="64">
        <v>29.91</v>
      </c>
      <c r="R56" s="198"/>
      <c r="S56" s="198"/>
      <c r="T56" s="198"/>
      <c r="U56" s="198"/>
    </row>
    <row r="57" spans="1:21" s="12" customFormat="1" x14ac:dyDescent="0.25">
      <c r="A57" s="211" t="s">
        <v>389</v>
      </c>
      <c r="B57" s="64">
        <v>2.65</v>
      </c>
      <c r="C57" s="64">
        <v>25.04</v>
      </c>
      <c r="D57" s="64">
        <v>16.59</v>
      </c>
      <c r="E57" s="64">
        <v>1.29</v>
      </c>
      <c r="F57" s="64">
        <v>12</v>
      </c>
      <c r="G57" s="64">
        <v>20.079999999999998</v>
      </c>
      <c r="H57" s="64">
        <v>3.72</v>
      </c>
      <c r="I57" s="64">
        <v>0.51</v>
      </c>
      <c r="J57" s="64">
        <v>0.28000000000000003</v>
      </c>
      <c r="K57" s="64">
        <v>182.81</v>
      </c>
      <c r="L57" s="64">
        <v>27.59</v>
      </c>
      <c r="M57" s="64">
        <v>52.13</v>
      </c>
      <c r="N57" s="64">
        <v>936.2</v>
      </c>
      <c r="O57" s="64">
        <v>0</v>
      </c>
      <c r="P57" s="64">
        <v>0.4</v>
      </c>
      <c r="Q57" s="64">
        <v>27.89</v>
      </c>
      <c r="R57" s="198"/>
      <c r="S57" s="198"/>
      <c r="T57" s="198"/>
      <c r="U57" s="198"/>
    </row>
    <row r="58" spans="1:21" s="12" customFormat="1" x14ac:dyDescent="0.25">
      <c r="A58" s="211" t="s">
        <v>390</v>
      </c>
      <c r="B58" s="64">
        <v>2.17</v>
      </c>
      <c r="C58" s="64">
        <v>25.51</v>
      </c>
      <c r="D58" s="64">
        <v>16.46</v>
      </c>
      <c r="E58" s="64">
        <v>1.49</v>
      </c>
      <c r="F58" s="64">
        <v>9.99</v>
      </c>
      <c r="G58" s="64">
        <v>20.079999999999998</v>
      </c>
      <c r="H58" s="64">
        <v>5.61</v>
      </c>
      <c r="I58" s="64">
        <v>0.5</v>
      </c>
      <c r="J58" s="64">
        <v>0.91</v>
      </c>
      <c r="K58" s="64">
        <v>196.83</v>
      </c>
      <c r="L58" s="64">
        <v>27.57</v>
      </c>
      <c r="M58" s="64">
        <v>52.47</v>
      </c>
      <c r="N58" s="64">
        <v>988.2</v>
      </c>
      <c r="O58" s="64">
        <v>0</v>
      </c>
      <c r="P58" s="64">
        <v>0.39</v>
      </c>
      <c r="Q58" s="64">
        <v>26.6</v>
      </c>
      <c r="R58" s="198"/>
      <c r="S58" s="198"/>
      <c r="T58" s="198"/>
      <c r="U58" s="198"/>
    </row>
    <row r="59" spans="1:21" s="12" customFormat="1" x14ac:dyDescent="0.25">
      <c r="A59" s="211" t="s">
        <v>391</v>
      </c>
      <c r="B59" s="64">
        <v>1.93</v>
      </c>
      <c r="C59" s="64">
        <v>23.48</v>
      </c>
      <c r="D59" s="64">
        <v>15.15</v>
      </c>
      <c r="E59" s="64">
        <v>1.1299999999999999</v>
      </c>
      <c r="F59" s="64">
        <v>13.32</v>
      </c>
      <c r="G59" s="64">
        <v>20.62</v>
      </c>
      <c r="H59" s="64">
        <v>5.81</v>
      </c>
      <c r="I59" s="64">
        <v>0.49</v>
      </c>
      <c r="J59" s="64">
        <v>0.46</v>
      </c>
      <c r="K59" s="64">
        <v>154.37</v>
      </c>
      <c r="L59" s="64">
        <v>27.09</v>
      </c>
      <c r="M59" s="64">
        <v>53.5</v>
      </c>
      <c r="N59" s="64">
        <v>839.3</v>
      </c>
      <c r="O59" s="64">
        <v>0</v>
      </c>
      <c r="P59" s="64">
        <v>0.37</v>
      </c>
      <c r="Q59" s="64">
        <v>26.82</v>
      </c>
      <c r="R59" s="198"/>
      <c r="S59" s="198"/>
      <c r="T59" s="198"/>
      <c r="U59" s="198"/>
    </row>
    <row r="60" spans="1:21" s="12" customFormat="1" x14ac:dyDescent="0.25">
      <c r="A60" s="211" t="s">
        <v>392</v>
      </c>
      <c r="B60" s="64">
        <v>1.81</v>
      </c>
      <c r="C60" s="64">
        <v>20.66</v>
      </c>
      <c r="D60" s="64">
        <v>13.5</v>
      </c>
      <c r="E60" s="64">
        <v>0.67</v>
      </c>
      <c r="F60" s="64">
        <v>8.66</v>
      </c>
      <c r="G60" s="64">
        <v>27.04</v>
      </c>
      <c r="H60" s="64">
        <v>7.83</v>
      </c>
      <c r="I60" s="64">
        <v>0.49</v>
      </c>
      <c r="J60" s="64">
        <v>0.9</v>
      </c>
      <c r="K60" s="64">
        <v>197.06</v>
      </c>
      <c r="L60" s="64">
        <v>27.22</v>
      </c>
      <c r="M60" s="64">
        <v>52.07</v>
      </c>
      <c r="N60" s="64">
        <v>862.4</v>
      </c>
      <c r="O60" s="64">
        <v>0</v>
      </c>
      <c r="P60" s="64">
        <v>0.36</v>
      </c>
      <c r="Q60" s="64">
        <v>25.94</v>
      </c>
      <c r="R60" s="198"/>
      <c r="S60" s="198"/>
      <c r="T60" s="198"/>
      <c r="U60" s="198"/>
    </row>
    <row r="61" spans="1:21" s="12" customFormat="1" x14ac:dyDescent="0.25">
      <c r="A61" s="211" t="s">
        <v>393</v>
      </c>
      <c r="B61" s="64">
        <v>1.85</v>
      </c>
      <c r="C61" s="64">
        <v>20.79</v>
      </c>
      <c r="D61" s="64">
        <v>13.6</v>
      </c>
      <c r="E61" s="64">
        <v>1.1299999999999999</v>
      </c>
      <c r="F61" s="64">
        <v>6.25</v>
      </c>
      <c r="G61" s="64">
        <v>27.04</v>
      </c>
      <c r="H61" s="64">
        <v>7.83</v>
      </c>
      <c r="I61" s="64">
        <v>0.48</v>
      </c>
      <c r="J61" s="64">
        <v>0.56000000000000005</v>
      </c>
      <c r="K61" s="64">
        <v>156.07</v>
      </c>
      <c r="L61" s="64">
        <v>27.2</v>
      </c>
      <c r="M61" s="64">
        <v>51.52</v>
      </c>
      <c r="N61" s="64">
        <v>782.9</v>
      </c>
      <c r="O61" s="64">
        <v>0</v>
      </c>
      <c r="P61" s="64">
        <v>0.33</v>
      </c>
      <c r="Q61" s="64">
        <v>26.38</v>
      </c>
      <c r="R61" s="198"/>
      <c r="S61" s="198"/>
      <c r="T61" s="198"/>
      <c r="U61" s="198"/>
    </row>
    <row r="62" spans="1:21" s="12" customFormat="1" x14ac:dyDescent="0.25">
      <c r="A62" s="211" t="s">
        <v>394</v>
      </c>
      <c r="B62" s="64">
        <v>2.04</v>
      </c>
      <c r="C62" s="64">
        <v>18.52</v>
      </c>
      <c r="D62" s="64">
        <v>12.5</v>
      </c>
      <c r="E62" s="64">
        <v>1.37</v>
      </c>
      <c r="F62" s="64">
        <v>6</v>
      </c>
      <c r="G62" s="64">
        <v>27.04</v>
      </c>
      <c r="H62" s="64">
        <v>7.83</v>
      </c>
      <c r="I62" s="64">
        <v>0.49</v>
      </c>
      <c r="J62" s="64">
        <v>0.24</v>
      </c>
      <c r="K62" s="64">
        <v>203.34</v>
      </c>
      <c r="L62" s="64">
        <v>28.36</v>
      </c>
      <c r="M62" s="64">
        <v>48.87</v>
      </c>
      <c r="N62" s="64">
        <v>883.4</v>
      </c>
      <c r="O62" s="64">
        <v>0</v>
      </c>
      <c r="P62" s="64">
        <v>0.33</v>
      </c>
      <c r="Q62" s="64">
        <v>26.31</v>
      </c>
      <c r="R62" s="198"/>
      <c r="S62" s="198"/>
      <c r="T62" s="198"/>
      <c r="U62" s="198"/>
    </row>
    <row r="63" spans="1:21" s="12" customFormat="1" x14ac:dyDescent="0.25">
      <c r="A63" s="211" t="s">
        <v>395</v>
      </c>
      <c r="B63" s="64">
        <v>2.1800000000000002</v>
      </c>
      <c r="C63" s="64">
        <v>19.37</v>
      </c>
      <c r="D63" s="64">
        <v>13.08</v>
      </c>
      <c r="E63" s="64">
        <v>1.28</v>
      </c>
      <c r="F63" s="64">
        <v>9.74</v>
      </c>
      <c r="G63" s="64">
        <v>26.9</v>
      </c>
      <c r="H63" s="64">
        <v>7.68</v>
      </c>
      <c r="I63" s="64">
        <v>0.49</v>
      </c>
      <c r="J63" s="64">
        <v>1.07</v>
      </c>
      <c r="K63" s="64">
        <v>140.99</v>
      </c>
      <c r="L63" s="64">
        <v>27.49</v>
      </c>
      <c r="M63" s="64">
        <v>50.67</v>
      </c>
      <c r="N63" s="64">
        <v>879.5</v>
      </c>
      <c r="O63" s="64">
        <v>0</v>
      </c>
      <c r="P63" s="64">
        <v>0.32</v>
      </c>
      <c r="Q63" s="64">
        <v>26.38</v>
      </c>
      <c r="R63" s="198"/>
      <c r="S63" s="198"/>
      <c r="T63" s="198"/>
      <c r="U63" s="198"/>
    </row>
    <row r="64" spans="1:21" s="12" customFormat="1" x14ac:dyDescent="0.25">
      <c r="A64" s="211" t="s">
        <v>396</v>
      </c>
      <c r="B64" s="64">
        <v>2.39</v>
      </c>
      <c r="C64" s="64">
        <v>19.91</v>
      </c>
      <c r="D64" s="64">
        <v>13.55</v>
      </c>
      <c r="E64" s="64">
        <v>1.05</v>
      </c>
      <c r="F64" s="64">
        <v>4.4000000000000004</v>
      </c>
      <c r="G64" s="64">
        <v>25.28</v>
      </c>
      <c r="H64" s="64">
        <v>6.1</v>
      </c>
      <c r="I64" s="64">
        <v>0.5</v>
      </c>
      <c r="J64" s="64">
        <v>0.32</v>
      </c>
      <c r="K64" s="64">
        <v>217.98</v>
      </c>
      <c r="L64" s="64">
        <v>28.05</v>
      </c>
      <c r="M64" s="64">
        <v>48.79</v>
      </c>
      <c r="N64" s="64">
        <v>849.9</v>
      </c>
      <c r="O64" s="64">
        <v>0</v>
      </c>
      <c r="P64" s="64">
        <v>0.33</v>
      </c>
      <c r="Q64" s="64">
        <v>27.2</v>
      </c>
      <c r="R64" s="198"/>
      <c r="S64" s="198"/>
      <c r="T64" s="198"/>
      <c r="U64" s="198"/>
    </row>
    <row r="65" spans="1:21" s="12" customFormat="1" x14ac:dyDescent="0.25">
      <c r="A65" s="211" t="s">
        <v>397</v>
      </c>
      <c r="B65" s="64">
        <v>2.4700000000000002</v>
      </c>
      <c r="C65" s="64">
        <v>17.920000000000002</v>
      </c>
      <c r="D65" s="64">
        <v>12.51</v>
      </c>
      <c r="E65" s="64">
        <v>1.1299999999999999</v>
      </c>
      <c r="F65" s="64">
        <v>8.4600000000000009</v>
      </c>
      <c r="G65" s="64">
        <v>25.28</v>
      </c>
      <c r="H65" s="64">
        <v>6.1</v>
      </c>
      <c r="I65" s="64">
        <v>0.49</v>
      </c>
      <c r="J65" s="64">
        <v>0.31</v>
      </c>
      <c r="K65" s="64">
        <v>155.4</v>
      </c>
      <c r="L65" s="64">
        <v>28.48</v>
      </c>
      <c r="M65" s="64">
        <v>48.21</v>
      </c>
      <c r="N65" s="64">
        <v>740.2</v>
      </c>
      <c r="O65" s="64">
        <v>0</v>
      </c>
      <c r="P65" s="64">
        <v>0.31</v>
      </c>
      <c r="Q65" s="64">
        <v>27.84</v>
      </c>
      <c r="R65" s="198"/>
      <c r="S65" s="198"/>
      <c r="T65" s="198"/>
      <c r="U65" s="198"/>
    </row>
    <row r="66" spans="1:21" s="12" customFormat="1" x14ac:dyDescent="0.25">
      <c r="A66" s="211" t="s">
        <v>398</v>
      </c>
      <c r="B66" s="64">
        <v>2.62</v>
      </c>
      <c r="C66" s="64">
        <v>15.97</v>
      </c>
      <c r="D66" s="64">
        <v>11.56</v>
      </c>
      <c r="E66" s="64">
        <v>1.6</v>
      </c>
      <c r="F66" s="64">
        <v>7.53</v>
      </c>
      <c r="G66" s="64">
        <v>25.28</v>
      </c>
      <c r="H66" s="64">
        <v>6.1</v>
      </c>
      <c r="I66" s="64">
        <v>0.5</v>
      </c>
      <c r="J66" s="64">
        <v>1.58</v>
      </c>
      <c r="K66" s="64">
        <v>129.88</v>
      </c>
      <c r="L66" s="64">
        <v>27.2</v>
      </c>
      <c r="M66" s="64">
        <v>51.31</v>
      </c>
      <c r="N66" s="64">
        <v>675.3</v>
      </c>
      <c r="O66" s="64">
        <v>0</v>
      </c>
      <c r="P66" s="64">
        <v>0.32</v>
      </c>
      <c r="Q66" s="64">
        <v>27.28</v>
      </c>
      <c r="R66" s="198"/>
      <c r="S66" s="198"/>
      <c r="T66" s="198"/>
      <c r="U66" s="198"/>
    </row>
    <row r="67" spans="1:21" s="12" customFormat="1" x14ac:dyDescent="0.25">
      <c r="A67" s="211" t="s">
        <v>399</v>
      </c>
      <c r="B67" s="64">
        <v>2.63</v>
      </c>
      <c r="C67" s="64">
        <v>19.63</v>
      </c>
      <c r="D67" s="64">
        <v>13.59</v>
      </c>
      <c r="E67" s="64">
        <v>1.1100000000000001</v>
      </c>
      <c r="F67" s="64">
        <v>5.01</v>
      </c>
      <c r="G67" s="64">
        <v>25.01</v>
      </c>
      <c r="H67" s="64">
        <v>6.17</v>
      </c>
      <c r="I67" s="64">
        <v>0.51</v>
      </c>
      <c r="J67" s="64">
        <v>1.44</v>
      </c>
      <c r="K67" s="64">
        <v>205.72</v>
      </c>
      <c r="L67" s="64">
        <v>27.61</v>
      </c>
      <c r="M67" s="64">
        <v>49.2</v>
      </c>
      <c r="N67" s="64">
        <v>584.9</v>
      </c>
      <c r="O67" s="64">
        <v>0</v>
      </c>
      <c r="P67" s="64">
        <v>0.31</v>
      </c>
      <c r="Q67" s="64">
        <v>29.04</v>
      </c>
      <c r="R67" s="198"/>
      <c r="S67" s="198"/>
      <c r="T67" s="198"/>
      <c r="U67" s="198"/>
    </row>
    <row r="68" spans="1:21" s="12" customFormat="1" x14ac:dyDescent="0.25">
      <c r="A68" s="211" t="s">
        <v>400</v>
      </c>
      <c r="B68" s="64">
        <v>2.39</v>
      </c>
      <c r="C68" s="64">
        <v>18.3</v>
      </c>
      <c r="D68" s="64">
        <v>12.66</v>
      </c>
      <c r="E68" s="64">
        <v>1.1100000000000001</v>
      </c>
      <c r="F68" s="64">
        <v>6.1</v>
      </c>
      <c r="G68" s="64">
        <v>21.75</v>
      </c>
      <c r="H68" s="64">
        <v>6.9</v>
      </c>
      <c r="I68" s="64">
        <v>0.51</v>
      </c>
      <c r="J68" s="64">
        <v>1.1200000000000001</v>
      </c>
      <c r="K68" s="64">
        <v>194.95</v>
      </c>
      <c r="L68" s="64">
        <v>27.6</v>
      </c>
      <c r="M68" s="64">
        <v>49.22</v>
      </c>
      <c r="N68" s="64">
        <v>315.7</v>
      </c>
      <c r="O68" s="64">
        <v>0</v>
      </c>
      <c r="P68" s="64">
        <v>0.28999999999999998</v>
      </c>
      <c r="Q68" s="64">
        <v>29.21</v>
      </c>
      <c r="R68" s="198"/>
      <c r="S68" s="198"/>
      <c r="T68" s="198"/>
      <c r="U68" s="198"/>
    </row>
    <row r="69" spans="1:21" s="12" customFormat="1" x14ac:dyDescent="0.25">
      <c r="A69" s="211" t="s">
        <v>401</v>
      </c>
      <c r="B69" s="64">
        <v>1.83</v>
      </c>
      <c r="C69" s="64">
        <v>16.07</v>
      </c>
      <c r="D69" s="64">
        <v>10.98</v>
      </c>
      <c r="E69" s="64">
        <v>1.26</v>
      </c>
      <c r="F69" s="64">
        <v>10.26</v>
      </c>
      <c r="G69" s="64">
        <v>21.75</v>
      </c>
      <c r="H69" s="64">
        <v>6.9</v>
      </c>
      <c r="I69" s="64">
        <v>0.51</v>
      </c>
      <c r="J69" s="64">
        <v>0.97</v>
      </c>
      <c r="K69" s="64">
        <v>198.14</v>
      </c>
      <c r="L69" s="64">
        <v>27.64</v>
      </c>
      <c r="M69" s="64">
        <v>49.22</v>
      </c>
      <c r="N69" s="64">
        <v>395.4</v>
      </c>
      <c r="O69" s="64">
        <v>0</v>
      </c>
      <c r="P69" s="64">
        <v>0.28999999999999998</v>
      </c>
      <c r="Q69" s="64">
        <v>27.11</v>
      </c>
      <c r="R69" s="198"/>
      <c r="S69" s="198"/>
      <c r="T69" s="198"/>
      <c r="U69" s="198"/>
    </row>
    <row r="70" spans="1:21" s="12" customFormat="1" x14ac:dyDescent="0.25">
      <c r="A70" s="211" t="s">
        <v>402</v>
      </c>
      <c r="B70" s="64">
        <v>1.65</v>
      </c>
      <c r="C70" s="64">
        <v>17.57</v>
      </c>
      <c r="D70" s="64">
        <v>11.67</v>
      </c>
      <c r="E70" s="64">
        <v>1</v>
      </c>
      <c r="F70" s="64">
        <v>6.37</v>
      </c>
      <c r="G70" s="64">
        <v>21.75</v>
      </c>
      <c r="H70" s="64">
        <v>6.9</v>
      </c>
      <c r="I70" s="64">
        <v>0.51</v>
      </c>
      <c r="J70" s="64">
        <v>0.64</v>
      </c>
      <c r="K70" s="64">
        <v>207.07</v>
      </c>
      <c r="L70" s="64">
        <v>27.68</v>
      </c>
      <c r="M70" s="64">
        <v>48.18</v>
      </c>
      <c r="N70" s="64">
        <v>212.2</v>
      </c>
      <c r="O70" s="64">
        <v>0</v>
      </c>
      <c r="P70" s="64">
        <v>0.28999999999999998</v>
      </c>
      <c r="Q70" s="64">
        <v>26.86</v>
      </c>
      <c r="R70" s="198"/>
      <c r="S70" s="198"/>
      <c r="T70" s="198"/>
      <c r="U70" s="198"/>
    </row>
    <row r="71" spans="1:21" s="12" customFormat="1" x14ac:dyDescent="0.25">
      <c r="A71" s="211" t="s">
        <v>403</v>
      </c>
      <c r="B71" s="64">
        <v>1.77</v>
      </c>
      <c r="C71" s="64">
        <v>15.5</v>
      </c>
      <c r="D71" s="64">
        <v>10.62</v>
      </c>
      <c r="E71" s="64">
        <v>0.93</v>
      </c>
      <c r="F71" s="64">
        <v>10.98</v>
      </c>
      <c r="G71" s="64">
        <v>21.33</v>
      </c>
      <c r="H71" s="64">
        <v>6.9</v>
      </c>
      <c r="I71" s="64">
        <v>0.5</v>
      </c>
      <c r="J71" s="64">
        <v>0.1</v>
      </c>
      <c r="K71" s="64">
        <v>305.10000000000002</v>
      </c>
      <c r="L71" s="64">
        <v>27.81</v>
      </c>
      <c r="M71" s="64">
        <v>48.9</v>
      </c>
      <c r="N71" s="64">
        <v>319</v>
      </c>
      <c r="O71" s="64">
        <v>0</v>
      </c>
      <c r="P71" s="64">
        <v>0.28000000000000003</v>
      </c>
      <c r="Q71" s="64">
        <v>26.17</v>
      </c>
      <c r="R71" s="198"/>
      <c r="S71" s="198"/>
      <c r="T71" s="198"/>
      <c r="U71" s="198"/>
    </row>
    <row r="72" spans="1:21" s="12" customFormat="1" x14ac:dyDescent="0.25">
      <c r="A72" s="211" t="s">
        <v>404</v>
      </c>
      <c r="B72" s="64">
        <v>1.76</v>
      </c>
      <c r="C72" s="64">
        <v>16.02</v>
      </c>
      <c r="D72" s="64">
        <v>10.9</v>
      </c>
      <c r="E72" s="64">
        <v>0.68</v>
      </c>
      <c r="F72" s="64">
        <v>8.94</v>
      </c>
      <c r="G72" s="64">
        <v>16.36</v>
      </c>
      <c r="H72" s="64">
        <v>6.88</v>
      </c>
      <c r="I72" s="64">
        <v>0.49</v>
      </c>
      <c r="J72" s="64">
        <v>0.41</v>
      </c>
      <c r="K72" s="64">
        <v>226.11</v>
      </c>
      <c r="L72" s="64">
        <v>28.1</v>
      </c>
      <c r="M72" s="64">
        <v>48.99</v>
      </c>
      <c r="N72" s="64">
        <v>150.6</v>
      </c>
      <c r="O72" s="64">
        <v>0</v>
      </c>
      <c r="P72" s="64">
        <v>0.28999999999999998</v>
      </c>
      <c r="Q72" s="64">
        <v>25.16</v>
      </c>
      <c r="R72" s="198"/>
      <c r="S72" s="198"/>
      <c r="T72" s="198"/>
      <c r="U72" s="198"/>
    </row>
    <row r="73" spans="1:21" s="12" customFormat="1" x14ac:dyDescent="0.25">
      <c r="A73" s="211" t="s">
        <v>405</v>
      </c>
      <c r="B73" s="64">
        <v>1.56</v>
      </c>
      <c r="C73" s="64">
        <v>16.12</v>
      </c>
      <c r="D73" s="64">
        <v>10.79</v>
      </c>
      <c r="E73" s="64">
        <v>0.92</v>
      </c>
      <c r="F73" s="64">
        <v>11.87</v>
      </c>
      <c r="G73" s="64">
        <v>16.36</v>
      </c>
      <c r="H73" s="64">
        <v>6.88</v>
      </c>
      <c r="I73" s="64">
        <v>0.48</v>
      </c>
      <c r="J73" s="64">
        <v>0.8</v>
      </c>
      <c r="K73" s="64">
        <v>202.76</v>
      </c>
      <c r="L73" s="64">
        <v>27.61</v>
      </c>
      <c r="M73" s="64">
        <v>48.36</v>
      </c>
      <c r="N73" s="64">
        <v>128.80000000000001</v>
      </c>
      <c r="O73" s="64">
        <v>0</v>
      </c>
      <c r="P73" s="64">
        <v>0.28000000000000003</v>
      </c>
      <c r="Q73" s="64">
        <v>23.81</v>
      </c>
      <c r="R73" s="198"/>
      <c r="S73" s="198"/>
      <c r="T73" s="198"/>
      <c r="U73" s="198"/>
    </row>
    <row r="74" spans="1:21" s="12" customFormat="1" x14ac:dyDescent="0.25">
      <c r="A74" s="211" t="s">
        <v>406</v>
      </c>
      <c r="B74" s="64">
        <v>1.67</v>
      </c>
      <c r="C74" s="64">
        <v>16.559999999999999</v>
      </c>
      <c r="D74" s="64">
        <v>11.12</v>
      </c>
      <c r="E74" s="64">
        <v>1.26</v>
      </c>
      <c r="F74" s="64">
        <v>16.149999999999999</v>
      </c>
      <c r="G74" s="64">
        <v>16.36</v>
      </c>
      <c r="H74" s="64">
        <v>6.88</v>
      </c>
      <c r="I74" s="64">
        <v>0.48</v>
      </c>
      <c r="J74" s="64">
        <v>0.31</v>
      </c>
      <c r="K74" s="64">
        <v>171.8</v>
      </c>
      <c r="L74" s="64">
        <v>27.52</v>
      </c>
      <c r="M74" s="64">
        <v>48.91</v>
      </c>
      <c r="N74" s="64">
        <v>102</v>
      </c>
      <c r="O74" s="64">
        <v>0</v>
      </c>
      <c r="P74" s="64">
        <v>0.28000000000000003</v>
      </c>
      <c r="Q74" s="64">
        <v>23.33</v>
      </c>
      <c r="R74" s="198"/>
      <c r="S74" s="198"/>
      <c r="T74" s="198"/>
      <c r="U74" s="198"/>
    </row>
    <row r="75" spans="1:21" s="12" customFormat="1" x14ac:dyDescent="0.25">
      <c r="A75" s="211" t="s">
        <v>407</v>
      </c>
      <c r="B75" s="64">
        <v>2.19</v>
      </c>
      <c r="C75" s="64">
        <v>18.829999999999998</v>
      </c>
      <c r="D75" s="64">
        <v>12.8</v>
      </c>
      <c r="E75" s="64">
        <v>1.49</v>
      </c>
      <c r="F75" s="64">
        <v>16.18</v>
      </c>
      <c r="G75" s="64">
        <v>16.579999999999998</v>
      </c>
      <c r="H75" s="64">
        <v>6.81</v>
      </c>
      <c r="I75" s="64">
        <v>0.48</v>
      </c>
      <c r="J75" s="64">
        <v>0.06</v>
      </c>
      <c r="K75" s="64">
        <v>168.76</v>
      </c>
      <c r="L75" s="64">
        <v>27.89</v>
      </c>
      <c r="M75" s="64">
        <v>49.02</v>
      </c>
      <c r="N75" s="64">
        <v>77.8</v>
      </c>
      <c r="O75" s="64">
        <v>0</v>
      </c>
      <c r="P75" s="64">
        <v>0.3</v>
      </c>
      <c r="Q75" s="64">
        <v>24.94</v>
      </c>
      <c r="R75" s="198"/>
      <c r="S75" s="198"/>
      <c r="T75" s="198"/>
      <c r="U75" s="198"/>
    </row>
    <row r="76" spans="1:21" s="12" customFormat="1" x14ac:dyDescent="0.25">
      <c r="A76" s="211" t="s">
        <v>408</v>
      </c>
      <c r="B76" s="64">
        <v>2.46</v>
      </c>
      <c r="C76" s="64">
        <v>18.41</v>
      </c>
      <c r="D76" s="64">
        <v>12.78</v>
      </c>
      <c r="E76" s="64">
        <v>1.19</v>
      </c>
      <c r="F76" s="64">
        <v>12.22</v>
      </c>
      <c r="G76" s="64">
        <v>19.25</v>
      </c>
      <c r="H76" s="64">
        <v>6.08</v>
      </c>
      <c r="I76" s="64">
        <v>0.48</v>
      </c>
      <c r="J76" s="64">
        <v>0.12</v>
      </c>
      <c r="K76" s="64">
        <v>248.32</v>
      </c>
      <c r="L76" s="64">
        <v>27.63</v>
      </c>
      <c r="M76" s="64">
        <v>49.09</v>
      </c>
      <c r="N76" s="64">
        <v>64</v>
      </c>
      <c r="O76" s="64">
        <v>0</v>
      </c>
      <c r="P76" s="64">
        <v>0.31</v>
      </c>
      <c r="Q76" s="64">
        <v>22.65</v>
      </c>
      <c r="R76" s="198"/>
      <c r="S76" s="198"/>
      <c r="T76" s="198"/>
      <c r="U76" s="198"/>
    </row>
    <row r="77" spans="1:21" s="12" customFormat="1" x14ac:dyDescent="0.25">
      <c r="A77" s="211" t="s">
        <v>409</v>
      </c>
      <c r="B77" s="64">
        <v>2.57</v>
      </c>
      <c r="C77" s="64">
        <v>21.31</v>
      </c>
      <c r="D77" s="64">
        <v>14.47</v>
      </c>
      <c r="E77" s="64">
        <v>1.19</v>
      </c>
      <c r="F77" s="64">
        <v>8.49</v>
      </c>
      <c r="G77" s="64">
        <v>19.25</v>
      </c>
      <c r="H77" s="64">
        <v>6.08</v>
      </c>
      <c r="I77" s="64">
        <v>0.48</v>
      </c>
      <c r="J77" s="64">
        <v>0.05</v>
      </c>
      <c r="K77" s="64">
        <v>357.42</v>
      </c>
      <c r="L77" s="64">
        <v>27.5</v>
      </c>
      <c r="M77" s="64">
        <v>47.86</v>
      </c>
      <c r="N77" s="64">
        <v>53.7</v>
      </c>
      <c r="O77" s="64">
        <v>0</v>
      </c>
      <c r="P77" s="64">
        <v>0.31</v>
      </c>
      <c r="Q77" s="64">
        <v>24.6</v>
      </c>
      <c r="R77" s="198"/>
      <c r="S77" s="198"/>
      <c r="T77" s="198"/>
      <c r="U77" s="198"/>
    </row>
    <row r="78" spans="1:21" s="12" customFormat="1" x14ac:dyDescent="0.25">
      <c r="A78" s="211" t="s">
        <v>410</v>
      </c>
      <c r="B78" s="64">
        <v>2.7</v>
      </c>
      <c r="C78" s="64">
        <v>17.75</v>
      </c>
      <c r="D78" s="64">
        <v>12.61</v>
      </c>
      <c r="E78" s="64">
        <v>1.67</v>
      </c>
      <c r="F78" s="64">
        <v>25.6</v>
      </c>
      <c r="G78" s="64">
        <v>19.25</v>
      </c>
      <c r="H78" s="64">
        <v>6.08</v>
      </c>
      <c r="I78" s="64">
        <v>0.49</v>
      </c>
      <c r="J78" s="64">
        <v>0.19</v>
      </c>
      <c r="K78" s="64">
        <v>278.72000000000003</v>
      </c>
      <c r="L78" s="64">
        <v>27.03</v>
      </c>
      <c r="M78" s="64">
        <v>51.19</v>
      </c>
      <c r="N78" s="64">
        <v>42.6</v>
      </c>
      <c r="O78" s="64">
        <v>0</v>
      </c>
      <c r="P78" s="64">
        <v>0.3</v>
      </c>
      <c r="Q78" s="64">
        <v>24.44</v>
      </c>
      <c r="R78" s="198"/>
      <c r="S78" s="198"/>
      <c r="T78" s="198"/>
      <c r="U78" s="198"/>
    </row>
    <row r="79" spans="1:21" s="12" customFormat="1" x14ac:dyDescent="0.25">
      <c r="A79" s="211" t="s">
        <v>411</v>
      </c>
      <c r="B79" s="64">
        <v>2.78</v>
      </c>
      <c r="C79" s="64">
        <v>20.22</v>
      </c>
      <c r="D79" s="64">
        <v>14.03</v>
      </c>
      <c r="E79" s="64">
        <v>1.36</v>
      </c>
      <c r="F79" s="64">
        <v>13.33</v>
      </c>
      <c r="G79" s="64">
        <v>19.2</v>
      </c>
      <c r="H79" s="64">
        <v>6.01</v>
      </c>
      <c r="I79" s="64">
        <v>0.49</v>
      </c>
      <c r="J79" s="64">
        <v>0.12</v>
      </c>
      <c r="K79" s="64">
        <v>251.26</v>
      </c>
      <c r="L79" s="64">
        <v>26.37</v>
      </c>
      <c r="M79" s="64">
        <v>53.78</v>
      </c>
      <c r="N79" s="64">
        <v>31.9</v>
      </c>
      <c r="O79" s="64">
        <v>0</v>
      </c>
      <c r="P79" s="64">
        <v>0.35</v>
      </c>
      <c r="Q79" s="64">
        <v>23.38</v>
      </c>
      <c r="R79" s="198"/>
      <c r="S79" s="198"/>
      <c r="T79" s="198"/>
      <c r="U79" s="198"/>
    </row>
    <row r="80" spans="1:21" s="12" customFormat="1" x14ac:dyDescent="0.25">
      <c r="A80" s="211" t="s">
        <v>412</v>
      </c>
      <c r="B80" s="64">
        <v>4.21</v>
      </c>
      <c r="C80" s="64">
        <v>21.37</v>
      </c>
      <c r="D80" s="64">
        <v>15.82</v>
      </c>
      <c r="E80" s="64">
        <v>1.58</v>
      </c>
      <c r="F80" s="64">
        <v>30.65</v>
      </c>
      <c r="G80" s="64">
        <v>18.55</v>
      </c>
      <c r="H80" s="64">
        <v>5.31</v>
      </c>
      <c r="I80" s="64">
        <v>0.48</v>
      </c>
      <c r="J80" s="64">
        <v>0.19</v>
      </c>
      <c r="K80" s="64">
        <v>301.62</v>
      </c>
      <c r="L80" s="64">
        <v>26.55</v>
      </c>
      <c r="M80" s="64">
        <v>52.57</v>
      </c>
      <c r="N80" s="64">
        <v>21.9</v>
      </c>
      <c r="O80" s="64">
        <v>0</v>
      </c>
      <c r="P80" s="64">
        <v>0.37</v>
      </c>
      <c r="Q80" s="64">
        <v>22.88</v>
      </c>
      <c r="R80" s="198"/>
      <c r="S80" s="198"/>
      <c r="T80" s="198"/>
      <c r="U80" s="198"/>
    </row>
    <row r="81" spans="1:26" s="12" customFormat="1" x14ac:dyDescent="0.25">
      <c r="A81" s="211" t="s">
        <v>413</v>
      </c>
      <c r="B81" s="64">
        <v>3.54</v>
      </c>
      <c r="C81" s="64">
        <v>25.21</v>
      </c>
      <c r="D81" s="64">
        <v>17.399999999999999</v>
      </c>
      <c r="E81" s="64">
        <v>1.24</v>
      </c>
      <c r="F81" s="64">
        <v>13.34</v>
      </c>
      <c r="G81" s="64">
        <v>18.55</v>
      </c>
      <c r="H81" s="64">
        <v>5.31</v>
      </c>
      <c r="I81" s="64">
        <v>0.48</v>
      </c>
      <c r="J81" s="64">
        <v>0.27</v>
      </c>
      <c r="K81" s="64">
        <v>318.60000000000002</v>
      </c>
      <c r="L81" s="64">
        <v>26.19</v>
      </c>
      <c r="M81" s="64">
        <v>56.68</v>
      </c>
      <c r="N81" s="64">
        <v>13.5</v>
      </c>
      <c r="O81" s="64">
        <v>0</v>
      </c>
      <c r="P81" s="64">
        <v>0.46</v>
      </c>
      <c r="Q81" s="64">
        <v>22.45</v>
      </c>
      <c r="R81" s="198"/>
      <c r="S81" s="198"/>
      <c r="T81" s="198"/>
      <c r="U81" s="198"/>
    </row>
    <row r="82" spans="1:26" s="12" customFormat="1" x14ac:dyDescent="0.25">
      <c r="A82" s="211" t="s">
        <v>414</v>
      </c>
      <c r="B82" s="64">
        <v>5.01</v>
      </c>
      <c r="C82" s="64">
        <v>30.34</v>
      </c>
      <c r="D82" s="64">
        <v>21.41</v>
      </c>
      <c r="E82" s="64">
        <v>1.47</v>
      </c>
      <c r="F82" s="64">
        <v>8.1300000000000008</v>
      </c>
      <c r="G82" s="64">
        <v>18.55</v>
      </c>
      <c r="H82" s="64">
        <v>5.31</v>
      </c>
      <c r="I82" s="64">
        <v>0.47</v>
      </c>
      <c r="J82" s="64">
        <v>0.22</v>
      </c>
      <c r="K82" s="64">
        <v>323.16000000000003</v>
      </c>
      <c r="L82" s="64">
        <v>26.01</v>
      </c>
      <c r="M82" s="64">
        <v>55.93</v>
      </c>
      <c r="N82" s="64">
        <v>7.2</v>
      </c>
      <c r="O82" s="64">
        <v>0</v>
      </c>
      <c r="P82" s="64">
        <v>0.59</v>
      </c>
      <c r="Q82" s="64">
        <v>22.7</v>
      </c>
      <c r="R82" s="198"/>
      <c r="S82" s="198"/>
      <c r="T82" s="198"/>
      <c r="U82" s="198"/>
    </row>
    <row r="83" spans="1:26" s="12" customFormat="1" x14ac:dyDescent="0.25">
      <c r="A83" s="211" t="s">
        <v>415</v>
      </c>
      <c r="B83" s="64">
        <v>12.39</v>
      </c>
      <c r="C83" s="64">
        <v>41.64</v>
      </c>
      <c r="D83" s="64">
        <v>33.57</v>
      </c>
      <c r="E83" s="64">
        <v>1.49</v>
      </c>
      <c r="F83" s="64">
        <v>7.56</v>
      </c>
      <c r="G83" s="64">
        <v>20.41</v>
      </c>
      <c r="H83" s="64">
        <v>5.88</v>
      </c>
      <c r="I83" s="64">
        <v>0.48</v>
      </c>
      <c r="J83" s="64">
        <v>0.04</v>
      </c>
      <c r="K83" s="64">
        <v>284.39</v>
      </c>
      <c r="L83" s="64">
        <v>25.85</v>
      </c>
      <c r="M83" s="64">
        <v>54.59</v>
      </c>
      <c r="N83" s="64">
        <v>5.2</v>
      </c>
      <c r="O83" s="64">
        <v>0</v>
      </c>
      <c r="P83" s="64">
        <v>0.91</v>
      </c>
      <c r="Q83" s="64">
        <v>23.42</v>
      </c>
      <c r="R83" s="198"/>
      <c r="S83" s="198"/>
      <c r="T83" s="198"/>
      <c r="U83" s="198"/>
    </row>
    <row r="84" spans="1:26" s="12" customFormat="1" x14ac:dyDescent="0.25">
      <c r="A84" s="211" t="s">
        <v>416</v>
      </c>
      <c r="B84" s="64">
        <v>6.66</v>
      </c>
      <c r="C84" s="64">
        <v>28.85</v>
      </c>
      <c r="D84" s="64">
        <v>21.91</v>
      </c>
      <c r="E84" s="64">
        <v>1.33</v>
      </c>
      <c r="F84" s="64">
        <v>4.99</v>
      </c>
      <c r="G84" s="64">
        <v>42.45</v>
      </c>
      <c r="H84" s="64">
        <v>11.63</v>
      </c>
      <c r="I84" s="64">
        <v>0.5</v>
      </c>
      <c r="J84" s="64">
        <v>0.98</v>
      </c>
      <c r="K84" s="64">
        <v>316.45999999999998</v>
      </c>
      <c r="L84" s="64">
        <v>25.54</v>
      </c>
      <c r="M84" s="64">
        <v>61.86</v>
      </c>
      <c r="N84" s="64">
        <v>4.9000000000000004</v>
      </c>
      <c r="O84" s="64">
        <v>0</v>
      </c>
      <c r="P84" s="64">
        <v>0.69</v>
      </c>
      <c r="Q84" s="64">
        <v>23.66</v>
      </c>
      <c r="R84" s="198"/>
      <c r="S84" s="198"/>
      <c r="T84" s="198"/>
      <c r="U84" s="198"/>
    </row>
    <row r="85" spans="1:26" s="12" customFormat="1" x14ac:dyDescent="0.25">
      <c r="A85" s="211" t="s">
        <v>417</v>
      </c>
      <c r="B85" s="64">
        <v>6.26</v>
      </c>
      <c r="C85" s="64">
        <v>28.15</v>
      </c>
      <c r="D85" s="64">
        <v>21.2</v>
      </c>
      <c r="E85" s="64">
        <v>1.2</v>
      </c>
      <c r="F85" s="64">
        <v>5.6</v>
      </c>
      <c r="G85" s="64">
        <v>42.45</v>
      </c>
      <c r="H85" s="64">
        <v>11.63</v>
      </c>
      <c r="I85" s="64">
        <v>0.54</v>
      </c>
      <c r="J85" s="64">
        <v>1.1200000000000001</v>
      </c>
      <c r="K85" s="64">
        <v>318.76</v>
      </c>
      <c r="L85" s="64">
        <v>25.04</v>
      </c>
      <c r="M85" s="64">
        <v>68.56</v>
      </c>
      <c r="N85" s="64">
        <v>5.3</v>
      </c>
      <c r="O85" s="64">
        <v>0</v>
      </c>
      <c r="P85" s="64">
        <v>0.67</v>
      </c>
      <c r="Q85" s="64">
        <v>24.17</v>
      </c>
      <c r="R85" s="198"/>
      <c r="S85" s="198"/>
      <c r="T85" s="198"/>
      <c r="U85" s="198"/>
    </row>
    <row r="86" spans="1:26" s="12" customFormat="1" x14ac:dyDescent="0.25">
      <c r="A86" s="211" t="s">
        <v>418</v>
      </c>
      <c r="B86" s="64">
        <v>5.64</v>
      </c>
      <c r="C86" s="64">
        <v>31.73</v>
      </c>
      <c r="D86" s="64">
        <v>22.68</v>
      </c>
      <c r="E86" s="64">
        <v>1.35</v>
      </c>
      <c r="F86" s="64">
        <v>5.88</v>
      </c>
      <c r="G86" s="64">
        <v>42.45</v>
      </c>
      <c r="H86" s="64">
        <v>11.63</v>
      </c>
      <c r="I86" s="64">
        <v>0.49</v>
      </c>
      <c r="J86" s="64">
        <v>1.01</v>
      </c>
      <c r="K86" s="64">
        <v>321.77</v>
      </c>
      <c r="L86" s="64">
        <v>24.77</v>
      </c>
      <c r="M86" s="64">
        <v>69.89</v>
      </c>
      <c r="N86" s="64">
        <v>5</v>
      </c>
      <c r="O86" s="64">
        <v>0</v>
      </c>
      <c r="P86" s="64">
        <v>0.74</v>
      </c>
      <c r="Q86" s="64">
        <v>24.93</v>
      </c>
      <c r="R86" s="198"/>
      <c r="S86" s="198"/>
      <c r="T86" s="198"/>
      <c r="U86" s="198"/>
    </row>
    <row r="87" spans="1:26" s="12" customFormat="1" x14ac:dyDescent="0.25">
      <c r="A87" s="211" t="s">
        <v>419</v>
      </c>
      <c r="B87" s="64">
        <v>7.19</v>
      </c>
      <c r="C87" s="64">
        <v>32.85</v>
      </c>
      <c r="D87" s="64">
        <v>24.54</v>
      </c>
      <c r="E87" s="64">
        <v>1.85</v>
      </c>
      <c r="F87" s="64">
        <v>7.19</v>
      </c>
      <c r="G87" s="64">
        <v>43.98</v>
      </c>
      <c r="H87" s="64">
        <v>12.04</v>
      </c>
      <c r="I87" s="64">
        <v>0.5</v>
      </c>
      <c r="J87" s="64">
        <v>0.83</v>
      </c>
      <c r="K87" s="64">
        <v>328.96</v>
      </c>
      <c r="L87" s="64">
        <v>24.55</v>
      </c>
      <c r="M87" s="64">
        <v>70.92</v>
      </c>
      <c r="N87" s="64">
        <v>5.2</v>
      </c>
      <c r="O87" s="64">
        <v>0</v>
      </c>
      <c r="P87" s="64">
        <v>0.84</v>
      </c>
      <c r="Q87" s="64">
        <v>25.17</v>
      </c>
      <c r="R87" s="198"/>
      <c r="S87" s="198"/>
      <c r="T87" s="198"/>
      <c r="U87" s="198"/>
    </row>
    <row r="88" spans="1:26" s="12" customFormat="1" x14ac:dyDescent="0.25">
      <c r="A88" s="211" t="s">
        <v>420</v>
      </c>
      <c r="B88" s="64">
        <v>9</v>
      </c>
      <c r="C88" s="64">
        <v>38.11</v>
      </c>
      <c r="D88" s="64">
        <v>28.9</v>
      </c>
      <c r="E88" s="64">
        <v>1.65</v>
      </c>
      <c r="F88" s="64">
        <v>7.03</v>
      </c>
      <c r="G88" s="64">
        <v>59.72</v>
      </c>
      <c r="H88" s="64">
        <v>16.16</v>
      </c>
      <c r="I88" s="64">
        <v>0.52</v>
      </c>
      <c r="J88" s="64">
        <v>0.47</v>
      </c>
      <c r="K88" s="64">
        <v>317.47000000000003</v>
      </c>
      <c r="L88" s="64">
        <v>24.3</v>
      </c>
      <c r="M88" s="64">
        <v>72.150000000000006</v>
      </c>
      <c r="N88" s="64">
        <v>5.0999999999999996</v>
      </c>
      <c r="O88" s="64">
        <v>0</v>
      </c>
      <c r="P88" s="64">
        <v>0.93</v>
      </c>
      <c r="Q88" s="64">
        <v>26.01</v>
      </c>
      <c r="R88" s="198"/>
      <c r="S88" s="198"/>
      <c r="T88" s="198"/>
      <c r="U88" s="198"/>
    </row>
    <row r="89" spans="1:26" s="12" customFormat="1" x14ac:dyDescent="0.25">
      <c r="A89" s="211" t="s">
        <v>421</v>
      </c>
      <c r="B89" s="64">
        <v>6.77</v>
      </c>
      <c r="C89" s="64">
        <v>35.520000000000003</v>
      </c>
      <c r="D89" s="64">
        <v>25.67</v>
      </c>
      <c r="E89" s="64">
        <v>2.95</v>
      </c>
      <c r="F89" s="64">
        <v>6.93</v>
      </c>
      <c r="G89" s="64">
        <v>59.72</v>
      </c>
      <c r="H89" s="64">
        <v>16.16</v>
      </c>
      <c r="I89" s="64">
        <v>0.5</v>
      </c>
      <c r="J89" s="64">
        <v>0.77</v>
      </c>
      <c r="K89" s="64">
        <v>328.31</v>
      </c>
      <c r="L89" s="64">
        <v>24.14</v>
      </c>
      <c r="M89" s="64">
        <v>72.58</v>
      </c>
      <c r="N89" s="64">
        <v>5</v>
      </c>
      <c r="O89" s="64">
        <v>0</v>
      </c>
      <c r="P89" s="64">
        <v>0.91</v>
      </c>
      <c r="Q89" s="64">
        <v>25.75</v>
      </c>
      <c r="R89" s="198"/>
      <c r="S89" s="198"/>
      <c r="T89" s="198"/>
      <c r="U89" s="198"/>
    </row>
    <row r="90" spans="1:26" s="12" customFormat="1" x14ac:dyDescent="0.25">
      <c r="A90" s="211" t="s">
        <v>422</v>
      </c>
      <c r="B90" s="64">
        <v>9.68</v>
      </c>
      <c r="C90" s="64">
        <v>35.479999999999997</v>
      </c>
      <c r="D90" s="64">
        <v>27.99</v>
      </c>
      <c r="E90" s="64">
        <v>3.04</v>
      </c>
      <c r="F90" s="64">
        <v>6.12</v>
      </c>
      <c r="G90" s="64">
        <v>59.72</v>
      </c>
      <c r="H90" s="64">
        <v>16.16</v>
      </c>
      <c r="I90" s="64">
        <v>0.51</v>
      </c>
      <c r="J90" s="64">
        <v>0.59</v>
      </c>
      <c r="K90" s="64">
        <v>312.39</v>
      </c>
      <c r="L90" s="64">
        <v>24.13</v>
      </c>
      <c r="M90" s="64">
        <v>73.099999999999994</v>
      </c>
      <c r="N90" s="64">
        <v>5.6</v>
      </c>
      <c r="O90" s="64">
        <v>0</v>
      </c>
      <c r="P90" s="64">
        <v>0.98</v>
      </c>
      <c r="Q90" s="64">
        <v>26.58</v>
      </c>
      <c r="R90" s="198"/>
      <c r="S90" s="198"/>
      <c r="T90" s="198"/>
      <c r="U90" s="198"/>
    </row>
    <row r="91" spans="1:26" s="12" customFormat="1" x14ac:dyDescent="0.25">
      <c r="A91" s="211" t="s">
        <v>423</v>
      </c>
      <c r="B91" s="64">
        <v>8.81</v>
      </c>
      <c r="C91" s="64">
        <v>33.549999999999997</v>
      </c>
      <c r="D91" s="64">
        <v>26.23</v>
      </c>
      <c r="E91" s="64">
        <v>2.04</v>
      </c>
      <c r="F91" s="64">
        <v>4.6500000000000004</v>
      </c>
      <c r="G91" s="64">
        <v>59.98</v>
      </c>
      <c r="H91" s="64">
        <v>15.82</v>
      </c>
      <c r="I91" s="64">
        <v>0.55000000000000004</v>
      </c>
      <c r="J91" s="64">
        <v>0.4</v>
      </c>
      <c r="K91" s="64">
        <v>315.83</v>
      </c>
      <c r="L91" s="64">
        <v>23.34</v>
      </c>
      <c r="M91" s="64">
        <v>80.61</v>
      </c>
      <c r="N91" s="64">
        <v>5.7</v>
      </c>
      <c r="O91" s="64">
        <v>0.2</v>
      </c>
      <c r="P91" s="64">
        <v>0.95</v>
      </c>
      <c r="Q91" s="64">
        <v>26.15</v>
      </c>
      <c r="R91" s="198"/>
      <c r="S91" s="198"/>
      <c r="T91" s="198"/>
      <c r="U91" s="198"/>
    </row>
    <row r="92" spans="1:26" s="12" customFormat="1" x14ac:dyDescent="0.25">
      <c r="A92" s="211" t="s">
        <v>424</v>
      </c>
      <c r="B92" s="64">
        <v>8.31</v>
      </c>
      <c r="C92" s="64">
        <v>31.15</v>
      </c>
      <c r="D92" s="64">
        <v>24.5</v>
      </c>
      <c r="E92" s="64">
        <v>1.55</v>
      </c>
      <c r="F92" s="64">
        <v>3.78</v>
      </c>
      <c r="G92" s="64">
        <v>62.65</v>
      </c>
      <c r="H92" s="64">
        <v>12.32</v>
      </c>
      <c r="I92" s="64">
        <v>0.55000000000000004</v>
      </c>
      <c r="J92" s="64">
        <v>0.24</v>
      </c>
      <c r="K92" s="64">
        <v>175.25</v>
      </c>
      <c r="L92" s="64">
        <v>22.32</v>
      </c>
      <c r="M92" s="64">
        <v>80.58</v>
      </c>
      <c r="N92" s="64">
        <v>6.9</v>
      </c>
      <c r="O92" s="64">
        <v>1.2</v>
      </c>
      <c r="P92" s="64">
        <v>0.95</v>
      </c>
      <c r="Q92" s="64">
        <v>26.86</v>
      </c>
      <c r="R92" s="198"/>
      <c r="S92" s="198"/>
      <c r="T92" s="198"/>
      <c r="U92" s="198"/>
    </row>
    <row r="93" spans="1:26" s="12" customFormat="1" x14ac:dyDescent="0.25">
      <c r="A93" s="211" t="s">
        <v>425</v>
      </c>
      <c r="B93" s="64">
        <v>8.52</v>
      </c>
      <c r="C93" s="64">
        <v>28.75</v>
      </c>
      <c r="D93" s="64">
        <v>23.35</v>
      </c>
      <c r="E93" s="64">
        <v>1.52</v>
      </c>
      <c r="F93" s="64">
        <v>3.64</v>
      </c>
      <c r="G93" s="64">
        <v>62.65</v>
      </c>
      <c r="H93" s="64">
        <v>12.32</v>
      </c>
      <c r="I93" s="64">
        <v>0.55000000000000004</v>
      </c>
      <c r="J93" s="64">
        <v>0.56000000000000005</v>
      </c>
      <c r="K93" s="64">
        <v>320.51</v>
      </c>
      <c r="L93" s="64">
        <v>20.9</v>
      </c>
      <c r="M93" s="64">
        <v>85.76</v>
      </c>
      <c r="N93" s="64">
        <v>6.4</v>
      </c>
      <c r="O93" s="64">
        <v>1.2</v>
      </c>
      <c r="P93" s="64">
        <v>0.94</v>
      </c>
      <c r="Q93" s="64">
        <v>27.14</v>
      </c>
      <c r="R93" s="198"/>
      <c r="S93" s="198"/>
      <c r="T93" s="198"/>
      <c r="U93" s="198"/>
    </row>
    <row r="94" spans="1:26" s="12" customFormat="1" x14ac:dyDescent="0.25">
      <c r="A94" s="211" t="s">
        <v>426</v>
      </c>
      <c r="B94" s="64">
        <v>8.8699999999999992</v>
      </c>
      <c r="C94" s="64">
        <v>27.33</v>
      </c>
      <c r="D94" s="64">
        <v>22.85</v>
      </c>
      <c r="E94" s="64">
        <v>1.5</v>
      </c>
      <c r="F94" s="64">
        <v>3.19</v>
      </c>
      <c r="G94" s="64">
        <v>62.65</v>
      </c>
      <c r="H94" s="64">
        <v>12.32</v>
      </c>
      <c r="I94" s="64">
        <v>0.56000000000000005</v>
      </c>
      <c r="J94" s="64">
        <v>0.71</v>
      </c>
      <c r="K94" s="64">
        <v>312.12</v>
      </c>
      <c r="L94" s="64">
        <v>20.27</v>
      </c>
      <c r="M94" s="64">
        <v>90.35</v>
      </c>
      <c r="N94" s="64">
        <v>6</v>
      </c>
      <c r="O94" s="64">
        <v>4.4000000000000004</v>
      </c>
      <c r="P94" s="64">
        <v>0.92</v>
      </c>
      <c r="Q94" s="64">
        <v>26.92</v>
      </c>
      <c r="R94" s="198"/>
      <c r="S94" s="198"/>
      <c r="T94" s="198"/>
      <c r="U94" s="198"/>
    </row>
    <row r="95" spans="1:26" s="12" customFormat="1" x14ac:dyDescent="0.25">
      <c r="A95" s="211" t="s">
        <v>427</v>
      </c>
      <c r="B95" s="64">
        <v>9.6999999999999993</v>
      </c>
      <c r="C95" s="64">
        <v>25.87</v>
      </c>
      <c r="D95" s="64">
        <v>22.7</v>
      </c>
      <c r="E95" s="64">
        <v>1.1499999999999999</v>
      </c>
      <c r="F95" s="64">
        <v>3.42</v>
      </c>
      <c r="G95" s="64">
        <v>62.1</v>
      </c>
      <c r="H95" s="64">
        <v>12.21</v>
      </c>
      <c r="I95" s="64">
        <v>0.55000000000000004</v>
      </c>
      <c r="J95" s="64">
        <v>1.98</v>
      </c>
      <c r="K95" s="64">
        <v>303.06</v>
      </c>
      <c r="L95" s="64">
        <v>18.850000000000001</v>
      </c>
      <c r="M95" s="64">
        <v>96.16</v>
      </c>
      <c r="N95" s="64">
        <v>6.5</v>
      </c>
      <c r="O95" s="64">
        <v>7.2</v>
      </c>
      <c r="P95" s="64">
        <v>0.88</v>
      </c>
      <c r="Q95" s="64">
        <v>26.46</v>
      </c>
      <c r="R95" s="198"/>
      <c r="S95" s="198"/>
      <c r="T95" s="198"/>
      <c r="U95" s="198"/>
    </row>
    <row r="96" spans="1:26" s="12" customFormat="1" x14ac:dyDescent="0.25">
      <c r="A96" s="211" t="s">
        <v>428</v>
      </c>
      <c r="B96" s="64">
        <v>8.68</v>
      </c>
      <c r="C96" s="64">
        <v>26.84</v>
      </c>
      <c r="D96" s="64">
        <v>22.42</v>
      </c>
      <c r="E96" s="64">
        <v>1.47</v>
      </c>
      <c r="F96" s="64">
        <v>3.66</v>
      </c>
      <c r="G96" s="64">
        <v>55.52</v>
      </c>
      <c r="H96" s="64">
        <v>11</v>
      </c>
      <c r="I96" s="64">
        <v>0.55000000000000004</v>
      </c>
      <c r="J96" s="64">
        <v>1.1499999999999999</v>
      </c>
      <c r="K96" s="64">
        <v>281.66000000000003</v>
      </c>
      <c r="L96" s="64">
        <v>18.670000000000002</v>
      </c>
      <c r="M96" s="64">
        <v>97.1</v>
      </c>
      <c r="N96" s="64">
        <v>5.5</v>
      </c>
      <c r="O96" s="64">
        <v>0.6</v>
      </c>
      <c r="P96" s="64">
        <v>0.84</v>
      </c>
      <c r="Q96" s="64">
        <v>26.19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429</v>
      </c>
      <c r="B97" s="64">
        <v>7.39</v>
      </c>
      <c r="C97" s="64">
        <v>27.12</v>
      </c>
      <c r="D97" s="64">
        <v>21.54</v>
      </c>
      <c r="E97" s="64">
        <v>1.43</v>
      </c>
      <c r="F97" s="64">
        <v>3.85</v>
      </c>
      <c r="G97" s="64">
        <v>55.52</v>
      </c>
      <c r="H97" s="64">
        <v>11</v>
      </c>
      <c r="I97" s="64">
        <v>0.54</v>
      </c>
      <c r="J97" s="64">
        <v>0.39</v>
      </c>
      <c r="K97" s="64">
        <v>274.24</v>
      </c>
      <c r="L97" s="64">
        <v>18.55</v>
      </c>
      <c r="M97" s="64">
        <v>97.1</v>
      </c>
      <c r="N97" s="64">
        <v>5.2</v>
      </c>
      <c r="O97" s="64">
        <v>0.8</v>
      </c>
      <c r="P97" s="64">
        <v>0.79</v>
      </c>
      <c r="Q97" s="64">
        <v>25.96</v>
      </c>
      <c r="R97" s="198"/>
      <c r="S97" s="198"/>
      <c r="T97" s="198"/>
      <c r="U97" s="198"/>
    </row>
    <row r="98" spans="1:33" s="12" customFormat="1" x14ac:dyDescent="0.25">
      <c r="A98" s="211" t="s">
        <v>430</v>
      </c>
      <c r="B98" s="64">
        <v>5.78</v>
      </c>
      <c r="C98" s="64">
        <v>29.74</v>
      </c>
      <c r="D98" s="64">
        <v>21.69</v>
      </c>
      <c r="E98" s="64">
        <v>1.17</v>
      </c>
      <c r="F98" s="64">
        <v>4.4800000000000004</v>
      </c>
      <c r="G98" s="64">
        <v>55.52</v>
      </c>
      <c r="H98" s="64">
        <v>11</v>
      </c>
      <c r="I98" s="64">
        <v>0.54</v>
      </c>
      <c r="J98" s="64">
        <v>1.36</v>
      </c>
      <c r="K98" s="64">
        <v>210.73</v>
      </c>
      <c r="L98" s="64">
        <v>18.440000000000001</v>
      </c>
      <c r="M98" s="64">
        <v>97.1</v>
      </c>
      <c r="N98" s="64">
        <v>5.7</v>
      </c>
      <c r="O98" s="64">
        <v>7.4</v>
      </c>
      <c r="P98" s="64">
        <v>0.74</v>
      </c>
      <c r="Q98" s="64">
        <v>25.94</v>
      </c>
      <c r="R98" s="198"/>
      <c r="S98" s="198"/>
      <c r="T98" s="198"/>
      <c r="U98" s="198"/>
    </row>
    <row r="99" spans="1:33" s="12" customFormat="1" x14ac:dyDescent="0.25">
      <c r="A99" s="211" t="s">
        <v>431</v>
      </c>
      <c r="B99" s="64">
        <v>4.74</v>
      </c>
      <c r="C99" s="64">
        <v>26.63</v>
      </c>
      <c r="D99" s="64">
        <v>19.14</v>
      </c>
      <c r="E99" s="64">
        <v>1.29</v>
      </c>
      <c r="F99" s="64">
        <v>4.8</v>
      </c>
      <c r="G99" s="64">
        <v>54.11</v>
      </c>
      <c r="H99" s="64">
        <v>10.8</v>
      </c>
      <c r="I99" s="64">
        <v>0.53</v>
      </c>
      <c r="J99" s="64">
        <v>1.66</v>
      </c>
      <c r="K99" s="64">
        <v>195.92</v>
      </c>
      <c r="L99" s="64">
        <v>18.21</v>
      </c>
      <c r="M99" s="64">
        <v>97.1</v>
      </c>
      <c r="N99" s="64">
        <v>5.5</v>
      </c>
      <c r="O99" s="64">
        <v>6.4</v>
      </c>
      <c r="P99" s="64">
        <v>0.72</v>
      </c>
      <c r="Q99" s="64">
        <v>25.92</v>
      </c>
      <c r="R99" s="198"/>
      <c r="S99" s="198"/>
      <c r="T99" s="198"/>
      <c r="U99" s="198"/>
    </row>
    <row r="100" spans="1:33" s="12" customFormat="1" x14ac:dyDescent="0.25">
      <c r="A100" s="211" t="s">
        <v>432</v>
      </c>
      <c r="B100" s="64">
        <v>4.04</v>
      </c>
      <c r="C100" s="64">
        <v>25.84</v>
      </c>
      <c r="D100" s="64">
        <v>18.14</v>
      </c>
      <c r="E100" s="64">
        <v>1.23</v>
      </c>
      <c r="F100" s="64">
        <v>3.93</v>
      </c>
      <c r="G100" s="64">
        <v>37.340000000000003</v>
      </c>
      <c r="H100" s="64">
        <v>8.74</v>
      </c>
      <c r="I100" s="64">
        <v>0.51</v>
      </c>
      <c r="J100" s="64">
        <v>0.99</v>
      </c>
      <c r="K100" s="64">
        <v>219.24</v>
      </c>
      <c r="L100" s="64">
        <v>17.93</v>
      </c>
      <c r="M100" s="64">
        <v>97.1</v>
      </c>
      <c r="N100" s="64">
        <v>6.3</v>
      </c>
      <c r="O100" s="64">
        <v>1.4</v>
      </c>
      <c r="P100" s="64">
        <v>0.67</v>
      </c>
      <c r="Q100" s="64">
        <v>26.79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433</v>
      </c>
      <c r="B101" s="64">
        <v>3.45</v>
      </c>
      <c r="C101" s="64">
        <v>26.16</v>
      </c>
      <c r="D101" s="64">
        <v>17.84</v>
      </c>
      <c r="E101" s="64">
        <v>0.9</v>
      </c>
      <c r="F101" s="64">
        <v>3.84</v>
      </c>
      <c r="G101" s="64">
        <v>37.340000000000003</v>
      </c>
      <c r="H101" s="64">
        <v>8.74</v>
      </c>
      <c r="I101" s="64">
        <v>0.52</v>
      </c>
      <c r="J101" s="64">
        <v>1.88</v>
      </c>
      <c r="K101" s="64">
        <v>131.27000000000001</v>
      </c>
      <c r="L101" s="64">
        <v>17.579999999999998</v>
      </c>
      <c r="M101" s="64">
        <v>97.1</v>
      </c>
      <c r="N101" s="64">
        <v>6.4</v>
      </c>
      <c r="O101" s="64">
        <v>0.8</v>
      </c>
      <c r="P101" s="64">
        <v>0.64</v>
      </c>
      <c r="Q101" s="64">
        <v>27.09</v>
      </c>
      <c r="R101" s="198"/>
      <c r="S101" s="198"/>
      <c r="T101" s="198"/>
      <c r="U101" s="198"/>
    </row>
    <row r="102" spans="1:33" s="12" customFormat="1" x14ac:dyDescent="0.25">
      <c r="A102" s="211" t="s">
        <v>434</v>
      </c>
      <c r="B102" s="64">
        <v>3.19</v>
      </c>
      <c r="C102" s="64">
        <v>23.22</v>
      </c>
      <c r="D102" s="64">
        <v>16.02</v>
      </c>
      <c r="E102" s="64">
        <v>1.43</v>
      </c>
      <c r="F102" s="64">
        <v>4.3499999999999996</v>
      </c>
      <c r="G102" s="64">
        <v>37.340000000000003</v>
      </c>
      <c r="H102" s="64">
        <v>8.74</v>
      </c>
      <c r="I102" s="64">
        <v>0.52</v>
      </c>
      <c r="J102" s="64">
        <v>2.12</v>
      </c>
      <c r="K102" s="64">
        <v>135.27000000000001</v>
      </c>
      <c r="L102" s="64">
        <v>17.86</v>
      </c>
      <c r="M102" s="64">
        <v>97.1</v>
      </c>
      <c r="N102" s="64">
        <v>5</v>
      </c>
      <c r="O102" s="64">
        <v>0.6</v>
      </c>
      <c r="P102" s="64">
        <v>0.6</v>
      </c>
      <c r="Q102" s="64">
        <v>27.86</v>
      </c>
      <c r="R102" s="198"/>
      <c r="S102" s="198"/>
      <c r="T102" s="198"/>
      <c r="U102" s="198"/>
    </row>
    <row r="103" spans="1:33" s="12" customFormat="1" x14ac:dyDescent="0.25">
      <c r="A103" s="211" t="s">
        <v>435</v>
      </c>
      <c r="B103" s="64">
        <v>2.94</v>
      </c>
      <c r="C103" s="64">
        <v>22.89</v>
      </c>
      <c r="D103" s="64">
        <v>15.63</v>
      </c>
      <c r="E103" s="64">
        <v>1.41</v>
      </c>
      <c r="F103" s="64">
        <v>4.12</v>
      </c>
      <c r="G103" s="64">
        <v>36.340000000000003</v>
      </c>
      <c r="H103" s="64">
        <v>8.57</v>
      </c>
      <c r="I103" s="64">
        <v>0.51</v>
      </c>
      <c r="J103" s="64">
        <v>3.09</v>
      </c>
      <c r="K103" s="64">
        <v>133.69999999999999</v>
      </c>
      <c r="L103" s="64">
        <v>18.18</v>
      </c>
      <c r="M103" s="64">
        <v>97.1</v>
      </c>
      <c r="N103" s="64">
        <v>5.2</v>
      </c>
      <c r="O103" s="64">
        <v>0.8</v>
      </c>
      <c r="P103" s="64">
        <v>0.56000000000000005</v>
      </c>
      <c r="Q103" s="64">
        <v>28.03</v>
      </c>
      <c r="R103" s="198"/>
      <c r="S103" s="198"/>
      <c r="T103" s="198"/>
      <c r="U103" s="198"/>
    </row>
    <row r="104" spans="1:33" s="12" customFormat="1" x14ac:dyDescent="0.25">
      <c r="A104" s="211" t="s">
        <v>436</v>
      </c>
      <c r="B104" s="64">
        <v>2.6</v>
      </c>
      <c r="C104" s="64">
        <v>20.92</v>
      </c>
      <c r="D104" s="64">
        <v>14.28</v>
      </c>
      <c r="E104" s="64">
        <v>0.55000000000000004</v>
      </c>
      <c r="F104" s="64">
        <v>4.1399999999999997</v>
      </c>
      <c r="G104" s="64">
        <v>26.07</v>
      </c>
      <c r="H104" s="64">
        <v>6.81</v>
      </c>
      <c r="I104" s="64">
        <v>0.51</v>
      </c>
      <c r="J104" s="64">
        <v>3.06</v>
      </c>
      <c r="K104" s="64">
        <v>140.91</v>
      </c>
      <c r="L104" s="64">
        <v>18.350000000000001</v>
      </c>
      <c r="M104" s="64">
        <v>96.75</v>
      </c>
      <c r="N104" s="64">
        <v>6.2</v>
      </c>
      <c r="O104" s="64">
        <v>0</v>
      </c>
      <c r="P104" s="64">
        <v>0.53</v>
      </c>
      <c r="Q104" s="64">
        <v>28.29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1.56</v>
      </c>
      <c r="C106" s="67">
        <f>MIN(C9:C104)</f>
        <v>15.5</v>
      </c>
      <c r="D106" s="67">
        <f t="shared" ref="D106:Q106" si="0">MIN(D9:D104)</f>
        <v>10.62</v>
      </c>
      <c r="E106" s="67">
        <f t="shared" si="0"/>
        <v>0.45</v>
      </c>
      <c r="F106" s="67">
        <f t="shared" si="0"/>
        <v>3.05</v>
      </c>
      <c r="G106" s="67">
        <f t="shared" si="0"/>
        <v>16.36</v>
      </c>
      <c r="H106" s="67">
        <f t="shared" si="0"/>
        <v>3.61</v>
      </c>
      <c r="I106" s="67">
        <f t="shared" si="0"/>
        <v>0.47</v>
      </c>
      <c r="J106" s="67">
        <f t="shared" si="0"/>
        <v>0.04</v>
      </c>
      <c r="K106" s="67">
        <f t="shared" si="0"/>
        <v>101.67</v>
      </c>
      <c r="L106" s="67">
        <f t="shared" si="0"/>
        <v>17.579999999999998</v>
      </c>
      <c r="M106" s="67">
        <f t="shared" si="0"/>
        <v>46.79</v>
      </c>
      <c r="N106" s="67">
        <f t="shared" si="0"/>
        <v>0</v>
      </c>
      <c r="O106" s="67">
        <f t="shared" si="0"/>
        <v>0</v>
      </c>
      <c r="P106" s="67">
        <f t="shared" si="0"/>
        <v>0.28000000000000003</v>
      </c>
      <c r="Q106" s="67">
        <f t="shared" si="0"/>
        <v>22.45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12.39</v>
      </c>
      <c r="C107" s="66">
        <f t="shared" ref="C107:Q107" si="1">MAX(C9:C104)</f>
        <v>41.64</v>
      </c>
      <c r="D107" s="66">
        <f t="shared" si="1"/>
        <v>33.57</v>
      </c>
      <c r="E107" s="66">
        <f t="shared" si="1"/>
        <v>3.04</v>
      </c>
      <c r="F107" s="66">
        <f t="shared" si="1"/>
        <v>30.65</v>
      </c>
      <c r="G107" s="66">
        <f t="shared" si="1"/>
        <v>62.65</v>
      </c>
      <c r="H107" s="66">
        <f t="shared" si="1"/>
        <v>16.16</v>
      </c>
      <c r="I107" s="66">
        <f t="shared" si="1"/>
        <v>0.56000000000000005</v>
      </c>
      <c r="J107" s="66">
        <f t="shared" si="1"/>
        <v>3.09</v>
      </c>
      <c r="K107" s="66">
        <f t="shared" si="1"/>
        <v>357.42</v>
      </c>
      <c r="L107" s="66">
        <f t="shared" si="1"/>
        <v>29.45</v>
      </c>
      <c r="M107" s="66">
        <f t="shared" si="1"/>
        <v>97.1</v>
      </c>
      <c r="N107" s="66">
        <f t="shared" si="1"/>
        <v>1041.4000000000001</v>
      </c>
      <c r="O107" s="66">
        <f t="shared" si="1"/>
        <v>7.4</v>
      </c>
      <c r="P107" s="66">
        <f t="shared" si="1"/>
        <v>0.98</v>
      </c>
      <c r="Q107" s="66">
        <f t="shared" si="1"/>
        <v>32.33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5.0260416666666661</v>
      </c>
      <c r="C108" s="67">
        <f t="shared" ref="C108:Q108" si="2">AVERAGE(C9:C104)</f>
        <v>25.131041666666658</v>
      </c>
      <c r="D108" s="67">
        <f t="shared" si="2"/>
        <v>18.545625000000001</v>
      </c>
      <c r="E108" s="67">
        <f t="shared" si="2"/>
        <v>1.3435416666666669</v>
      </c>
      <c r="F108" s="67">
        <f t="shared" si="2"/>
        <v>6.4466666666666654</v>
      </c>
      <c r="G108" s="67">
        <f t="shared" si="2"/>
        <v>32.88562499999999</v>
      </c>
      <c r="H108" s="67">
        <f t="shared" si="2"/>
        <v>7.9265624999999993</v>
      </c>
      <c r="I108" s="67">
        <f t="shared" si="2"/>
        <v>0.51052083333333298</v>
      </c>
      <c r="J108" s="67">
        <f t="shared" si="2"/>
        <v>0.75437499999999991</v>
      </c>
      <c r="K108" s="67">
        <f t="shared" si="2"/>
        <v>242.60708333333324</v>
      </c>
      <c r="L108" s="67">
        <f t="shared" si="2"/>
        <v>22.645937499999988</v>
      </c>
      <c r="M108" s="67">
        <f t="shared" si="2"/>
        <v>72.581145833333366</v>
      </c>
      <c r="N108" s="67">
        <f t="shared" si="2"/>
        <v>247.00104166666679</v>
      </c>
      <c r="O108" s="67">
        <f t="shared" si="2"/>
        <v>0.3562499999999999</v>
      </c>
      <c r="P108" s="67">
        <f t="shared" si="2"/>
        <v>0.48385416666666675</v>
      </c>
      <c r="Q108" s="67">
        <f t="shared" si="2"/>
        <v>27.340208333333354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2.2933673147472242</v>
      </c>
      <c r="C109" s="67">
        <f t="shared" ref="C109:Q109" si="3">STDEV(C9:C104)</f>
        <v>5.1885829074728989</v>
      </c>
      <c r="D109" s="67">
        <f t="shared" si="3"/>
        <v>4.4967269529596257</v>
      </c>
      <c r="E109" s="67">
        <f t="shared" si="3"/>
        <v>0.42265073092433753</v>
      </c>
      <c r="F109" s="67">
        <f t="shared" si="3"/>
        <v>4.6811646474077762</v>
      </c>
      <c r="G109" s="67">
        <f t="shared" si="3"/>
        <v>13.723453747623379</v>
      </c>
      <c r="H109" s="67">
        <f t="shared" si="3"/>
        <v>3.2631830853760389</v>
      </c>
      <c r="I109" s="67">
        <f t="shared" si="3"/>
        <v>1.8994170389146515E-2</v>
      </c>
      <c r="J109" s="67">
        <f t="shared" si="3"/>
        <v>0.63566428163565125</v>
      </c>
      <c r="K109" s="67">
        <f t="shared" si="3"/>
        <v>80.272174216902997</v>
      </c>
      <c r="L109" s="67">
        <f t="shared" si="3"/>
        <v>3.7893464450039254</v>
      </c>
      <c r="M109" s="67">
        <f t="shared" si="3"/>
        <v>17.068493527690659</v>
      </c>
      <c r="N109" s="67">
        <f t="shared" si="3"/>
        <v>358.45102447373745</v>
      </c>
      <c r="O109" s="67">
        <f t="shared" si="3"/>
        <v>1.3126760533553705</v>
      </c>
      <c r="P109" s="67">
        <f t="shared" si="3"/>
        <v>0.18948889589278456</v>
      </c>
      <c r="Q109" s="67">
        <f t="shared" si="3"/>
        <v>2.2578359360314666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38" sqref="J13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437</v>
      </c>
      <c r="B9" s="64">
        <v>2.34</v>
      </c>
      <c r="C9" s="64">
        <v>19.61</v>
      </c>
      <c r="D9" s="64">
        <v>13.35</v>
      </c>
      <c r="E9" s="64">
        <v>0.61</v>
      </c>
      <c r="F9" s="64">
        <v>3.95</v>
      </c>
      <c r="G9" s="64">
        <v>26.07</v>
      </c>
      <c r="H9" s="64">
        <v>6.81</v>
      </c>
      <c r="I9" s="64">
        <v>0.51</v>
      </c>
      <c r="J9" s="64">
        <v>2.52</v>
      </c>
      <c r="K9" s="64">
        <v>137.25</v>
      </c>
      <c r="L9" s="64">
        <v>18.559999999999999</v>
      </c>
      <c r="M9" s="64">
        <v>89.57</v>
      </c>
      <c r="N9" s="64">
        <v>7.8</v>
      </c>
      <c r="O9" s="64">
        <v>0</v>
      </c>
      <c r="P9" s="64">
        <v>0.47</v>
      </c>
      <c r="Q9" s="64">
        <v>28.78</v>
      </c>
      <c r="R9" s="198"/>
      <c r="S9" s="198"/>
      <c r="T9" s="198"/>
      <c r="U9" s="198"/>
    </row>
    <row r="10" spans="1:21" s="12" customFormat="1" x14ac:dyDescent="0.25">
      <c r="A10" s="211" t="s">
        <v>438</v>
      </c>
      <c r="B10" s="64">
        <v>2.15</v>
      </c>
      <c r="C10" s="64">
        <v>18.14</v>
      </c>
      <c r="D10" s="64">
        <v>12.38</v>
      </c>
      <c r="E10" s="64">
        <v>0.87</v>
      </c>
      <c r="F10" s="64">
        <v>4.22</v>
      </c>
      <c r="G10" s="64">
        <v>26.07</v>
      </c>
      <c r="H10" s="64">
        <v>6.81</v>
      </c>
      <c r="I10" s="64">
        <v>0.51</v>
      </c>
      <c r="J10" s="64">
        <v>1.96</v>
      </c>
      <c r="K10" s="64">
        <v>138.03</v>
      </c>
      <c r="L10" s="64">
        <v>18.8</v>
      </c>
      <c r="M10" s="64">
        <v>86.98</v>
      </c>
      <c r="N10" s="64">
        <v>6.9</v>
      </c>
      <c r="O10" s="64">
        <v>0</v>
      </c>
      <c r="P10" s="64">
        <v>0.45</v>
      </c>
      <c r="Q10" s="64">
        <v>28.77</v>
      </c>
      <c r="R10" s="198"/>
      <c r="S10" s="198"/>
      <c r="T10" s="198"/>
      <c r="U10" s="198"/>
    </row>
    <row r="11" spans="1:21" s="12" customFormat="1" x14ac:dyDescent="0.25">
      <c r="A11" s="211" t="s">
        <v>439</v>
      </c>
      <c r="B11" s="64">
        <v>2.08</v>
      </c>
      <c r="C11" s="64">
        <v>17.25</v>
      </c>
      <c r="D11" s="64">
        <v>11.84</v>
      </c>
      <c r="E11" s="64">
        <v>0.82</v>
      </c>
      <c r="F11" s="64">
        <v>4.07</v>
      </c>
      <c r="G11" s="64">
        <v>25.68</v>
      </c>
      <c r="H11" s="64">
        <v>6.67</v>
      </c>
      <c r="I11" s="64">
        <v>0.5</v>
      </c>
      <c r="J11" s="64">
        <v>2.2400000000000002</v>
      </c>
      <c r="K11" s="64">
        <v>136.87</v>
      </c>
      <c r="L11" s="64">
        <v>18.899999999999999</v>
      </c>
      <c r="M11" s="64">
        <v>86.2</v>
      </c>
      <c r="N11" s="64">
        <v>6.7</v>
      </c>
      <c r="O11" s="64">
        <v>0</v>
      </c>
      <c r="P11" s="64">
        <v>0.42</v>
      </c>
      <c r="Q11" s="64">
        <v>28.68</v>
      </c>
      <c r="R11" s="198"/>
      <c r="S11" s="198"/>
      <c r="T11" s="198"/>
      <c r="U11" s="198"/>
    </row>
    <row r="12" spans="1:21" s="12" customFormat="1" x14ac:dyDescent="0.25">
      <c r="A12" s="211" t="s">
        <v>440</v>
      </c>
      <c r="B12" s="64">
        <v>2.06</v>
      </c>
      <c r="C12" s="64">
        <v>16.88</v>
      </c>
      <c r="D12" s="64">
        <v>11.62</v>
      </c>
      <c r="E12" s="64">
        <v>0.59</v>
      </c>
      <c r="F12" s="64">
        <v>4.13</v>
      </c>
      <c r="G12" s="64">
        <v>21</v>
      </c>
      <c r="H12" s="64">
        <v>5.23</v>
      </c>
      <c r="I12" s="64">
        <v>0.49</v>
      </c>
      <c r="J12" s="64">
        <v>0.26</v>
      </c>
      <c r="K12" s="64">
        <v>167.45</v>
      </c>
      <c r="L12" s="64">
        <v>18.8</v>
      </c>
      <c r="M12" s="64">
        <v>88.47</v>
      </c>
      <c r="N12" s="64">
        <v>6</v>
      </c>
      <c r="O12" s="64">
        <v>0</v>
      </c>
      <c r="P12" s="64">
        <v>0.4</v>
      </c>
      <c r="Q12" s="64">
        <v>28.98</v>
      </c>
      <c r="R12" s="198"/>
      <c r="S12" s="198"/>
      <c r="T12" s="198"/>
      <c r="U12" s="198"/>
    </row>
    <row r="13" spans="1:21" s="12" customFormat="1" x14ac:dyDescent="0.25">
      <c r="A13" s="211" t="s">
        <v>441</v>
      </c>
      <c r="B13" s="64">
        <v>2.12</v>
      </c>
      <c r="C13" s="64">
        <v>16.68</v>
      </c>
      <c r="D13" s="64">
        <v>11.55</v>
      </c>
      <c r="E13" s="64">
        <v>0.66</v>
      </c>
      <c r="F13" s="64">
        <v>3.89</v>
      </c>
      <c r="G13" s="64">
        <v>21</v>
      </c>
      <c r="H13" s="64">
        <v>5.23</v>
      </c>
      <c r="I13" s="64">
        <v>0.49</v>
      </c>
      <c r="J13" s="64">
        <v>0.51</v>
      </c>
      <c r="K13" s="64">
        <v>258.56</v>
      </c>
      <c r="L13" s="64">
        <v>18.760000000000002</v>
      </c>
      <c r="M13" s="64">
        <v>89.51</v>
      </c>
      <c r="N13" s="64">
        <v>5.7</v>
      </c>
      <c r="O13" s="64">
        <v>0</v>
      </c>
      <c r="P13" s="64">
        <v>0.36</v>
      </c>
      <c r="Q13" s="64">
        <v>28.75</v>
      </c>
      <c r="R13" s="198"/>
      <c r="S13" s="198"/>
      <c r="T13" s="198"/>
      <c r="U13" s="198"/>
    </row>
    <row r="14" spans="1:21" s="12" customFormat="1" x14ac:dyDescent="0.25">
      <c r="A14" s="211" t="s">
        <v>442</v>
      </c>
      <c r="B14" s="64">
        <v>2.25</v>
      </c>
      <c r="C14" s="64">
        <v>19.12</v>
      </c>
      <c r="D14" s="64">
        <v>13</v>
      </c>
      <c r="E14" s="64">
        <v>0.67</v>
      </c>
      <c r="F14" s="64">
        <v>3.36</v>
      </c>
      <c r="G14" s="64">
        <v>21</v>
      </c>
      <c r="H14" s="64">
        <v>5.23</v>
      </c>
      <c r="I14" s="64">
        <v>0.49</v>
      </c>
      <c r="J14" s="64">
        <v>1.06</v>
      </c>
      <c r="K14" s="64">
        <v>209.26</v>
      </c>
      <c r="L14" s="64">
        <v>18.89</v>
      </c>
      <c r="M14" s="64">
        <v>85.9</v>
      </c>
      <c r="N14" s="64">
        <v>5.5</v>
      </c>
      <c r="O14" s="64">
        <v>0</v>
      </c>
      <c r="P14" s="64">
        <v>0.38</v>
      </c>
      <c r="Q14" s="64">
        <v>28.86</v>
      </c>
      <c r="R14" s="198"/>
      <c r="S14" s="198"/>
      <c r="T14" s="198"/>
      <c r="U14" s="198"/>
    </row>
    <row r="15" spans="1:21" s="12" customFormat="1" x14ac:dyDescent="0.25">
      <c r="A15" s="211" t="s">
        <v>443</v>
      </c>
      <c r="B15" s="64">
        <v>2.42</v>
      </c>
      <c r="C15" s="64">
        <v>19.600000000000001</v>
      </c>
      <c r="D15" s="64">
        <v>13.4</v>
      </c>
      <c r="E15" s="64">
        <v>0.93</v>
      </c>
      <c r="F15" s="64">
        <v>3.55</v>
      </c>
      <c r="G15" s="64">
        <v>20.93</v>
      </c>
      <c r="H15" s="64">
        <v>5.13</v>
      </c>
      <c r="I15" s="64">
        <v>0.49</v>
      </c>
      <c r="J15" s="64">
        <v>0.71</v>
      </c>
      <c r="K15" s="64">
        <v>218.09</v>
      </c>
      <c r="L15" s="64">
        <v>19.04</v>
      </c>
      <c r="M15" s="64">
        <v>83.78</v>
      </c>
      <c r="N15" s="64">
        <v>5.4</v>
      </c>
      <c r="O15" s="64">
        <v>0.2</v>
      </c>
      <c r="P15" s="64">
        <v>0.37</v>
      </c>
      <c r="Q15" s="64">
        <v>28.66</v>
      </c>
      <c r="R15" s="198"/>
      <c r="S15" s="198"/>
      <c r="T15" s="198"/>
      <c r="U15" s="198"/>
    </row>
    <row r="16" spans="1:21" s="12" customFormat="1" x14ac:dyDescent="0.25">
      <c r="A16" s="211" t="s">
        <v>444</v>
      </c>
      <c r="B16" s="64">
        <v>2.6</v>
      </c>
      <c r="C16" s="64">
        <v>17.329999999999998</v>
      </c>
      <c r="D16" s="64">
        <v>12.3</v>
      </c>
      <c r="E16" s="64">
        <v>0.7</v>
      </c>
      <c r="F16" s="64">
        <v>3.89</v>
      </c>
      <c r="G16" s="64">
        <v>20.02</v>
      </c>
      <c r="H16" s="64">
        <v>4.16</v>
      </c>
      <c r="I16" s="64">
        <v>0.49</v>
      </c>
      <c r="J16" s="64">
        <v>0.15</v>
      </c>
      <c r="K16" s="64">
        <v>61.41</v>
      </c>
      <c r="L16" s="64">
        <v>18.55</v>
      </c>
      <c r="M16" s="64">
        <v>90.44</v>
      </c>
      <c r="N16" s="64">
        <v>5.7</v>
      </c>
      <c r="O16" s="64">
        <v>0.8</v>
      </c>
      <c r="P16" s="64">
        <v>0.36</v>
      </c>
      <c r="Q16" s="64">
        <v>28.27</v>
      </c>
      <c r="R16" s="198"/>
      <c r="S16" s="198"/>
      <c r="T16" s="198"/>
      <c r="U16" s="198"/>
    </row>
    <row r="17" spans="1:21" s="12" customFormat="1" x14ac:dyDescent="0.25">
      <c r="A17" s="211" t="s">
        <v>445</v>
      </c>
      <c r="B17" s="64">
        <v>2.42</v>
      </c>
      <c r="C17" s="64">
        <v>20.350000000000001</v>
      </c>
      <c r="D17" s="64">
        <v>13.82</v>
      </c>
      <c r="E17" s="64">
        <v>0.8</v>
      </c>
      <c r="F17" s="64">
        <v>4.2</v>
      </c>
      <c r="G17" s="64">
        <v>20.02</v>
      </c>
      <c r="H17" s="64">
        <v>4.16</v>
      </c>
      <c r="I17" s="64">
        <v>0.49</v>
      </c>
      <c r="J17" s="64">
        <v>0.2</v>
      </c>
      <c r="K17" s="64">
        <v>74.08</v>
      </c>
      <c r="L17" s="64">
        <v>18.260000000000002</v>
      </c>
      <c r="M17" s="64">
        <v>95.56</v>
      </c>
      <c r="N17" s="64">
        <v>5.0999999999999996</v>
      </c>
      <c r="O17" s="64">
        <v>1.2</v>
      </c>
      <c r="P17" s="64">
        <v>0.33</v>
      </c>
      <c r="Q17" s="64">
        <v>28.24</v>
      </c>
      <c r="R17" s="198"/>
      <c r="S17" s="198"/>
      <c r="T17" s="198"/>
      <c r="U17" s="198"/>
    </row>
    <row r="18" spans="1:21" s="12" customFormat="1" x14ac:dyDescent="0.25">
      <c r="A18" s="211" t="s">
        <v>446</v>
      </c>
      <c r="B18" s="64">
        <v>2.0499999999999998</v>
      </c>
      <c r="C18" s="64">
        <v>20.62</v>
      </c>
      <c r="D18" s="64">
        <v>13.67</v>
      </c>
      <c r="E18" s="64">
        <v>0.72</v>
      </c>
      <c r="F18" s="64">
        <v>4.42</v>
      </c>
      <c r="G18" s="64">
        <v>20.02</v>
      </c>
      <c r="H18" s="64">
        <v>4.16</v>
      </c>
      <c r="I18" s="64">
        <v>0.49</v>
      </c>
      <c r="J18" s="64">
        <v>0.05</v>
      </c>
      <c r="K18" s="64">
        <v>5.71</v>
      </c>
      <c r="L18" s="64">
        <v>18.12</v>
      </c>
      <c r="M18" s="64">
        <v>97.06</v>
      </c>
      <c r="N18" s="64">
        <v>5.2</v>
      </c>
      <c r="O18" s="64">
        <v>1.8</v>
      </c>
      <c r="P18" s="64">
        <v>0.32</v>
      </c>
      <c r="Q18" s="64">
        <v>28.14</v>
      </c>
      <c r="R18" s="198"/>
      <c r="S18" s="198"/>
      <c r="T18" s="198"/>
      <c r="U18" s="198"/>
    </row>
    <row r="19" spans="1:21" s="12" customFormat="1" x14ac:dyDescent="0.25">
      <c r="A19" s="211" t="s">
        <v>447</v>
      </c>
      <c r="B19" s="64">
        <v>1.87</v>
      </c>
      <c r="C19" s="64">
        <v>20.059999999999999</v>
      </c>
      <c r="D19" s="64">
        <v>13.22</v>
      </c>
      <c r="E19" s="64">
        <v>0.48</v>
      </c>
      <c r="F19" s="64">
        <v>4.1500000000000004</v>
      </c>
      <c r="G19" s="64">
        <v>19.73</v>
      </c>
      <c r="H19" s="64">
        <v>4.0999999999999996</v>
      </c>
      <c r="I19" s="64">
        <v>0.49</v>
      </c>
      <c r="J19" s="64">
        <v>0.51</v>
      </c>
      <c r="K19" s="64">
        <v>231.49</v>
      </c>
      <c r="L19" s="64">
        <v>18.03</v>
      </c>
      <c r="M19" s="64">
        <v>97.1</v>
      </c>
      <c r="N19" s="64">
        <v>5.2</v>
      </c>
      <c r="O19" s="64">
        <v>0.6</v>
      </c>
      <c r="P19" s="64">
        <v>0.31</v>
      </c>
      <c r="Q19" s="64">
        <v>27.1</v>
      </c>
      <c r="R19" s="198"/>
      <c r="S19" s="198"/>
      <c r="T19" s="198"/>
      <c r="U19" s="198"/>
    </row>
    <row r="20" spans="1:21" s="12" customFormat="1" x14ac:dyDescent="0.25">
      <c r="A20" s="211" t="s">
        <v>448</v>
      </c>
      <c r="B20" s="64">
        <v>1.92</v>
      </c>
      <c r="C20" s="64">
        <v>16.95</v>
      </c>
      <c r="D20" s="64">
        <v>11.54</v>
      </c>
      <c r="E20" s="64">
        <v>0.52</v>
      </c>
      <c r="F20" s="64">
        <v>3.96</v>
      </c>
      <c r="G20" s="64">
        <v>16.329999999999998</v>
      </c>
      <c r="H20" s="64">
        <v>3.52</v>
      </c>
      <c r="I20" s="64">
        <v>0.48</v>
      </c>
      <c r="J20" s="64">
        <v>0.49</v>
      </c>
      <c r="K20" s="64">
        <v>219.5</v>
      </c>
      <c r="L20" s="64">
        <v>17.96</v>
      </c>
      <c r="M20" s="64">
        <v>97.1</v>
      </c>
      <c r="N20" s="64">
        <v>5.7</v>
      </c>
      <c r="O20" s="64">
        <v>0.4</v>
      </c>
      <c r="P20" s="64">
        <v>0.3</v>
      </c>
      <c r="Q20" s="64">
        <v>26.65</v>
      </c>
      <c r="R20" s="198"/>
      <c r="S20" s="198"/>
      <c r="T20" s="198"/>
      <c r="U20" s="198"/>
    </row>
    <row r="21" spans="1:21" s="12" customFormat="1" x14ac:dyDescent="0.25">
      <c r="A21" s="211" t="s">
        <v>449</v>
      </c>
      <c r="B21" s="64">
        <v>1.99</v>
      </c>
      <c r="C21" s="64">
        <v>15.73</v>
      </c>
      <c r="D21" s="64">
        <v>10.92</v>
      </c>
      <c r="E21" s="64">
        <v>0.53</v>
      </c>
      <c r="F21" s="64">
        <v>3.78</v>
      </c>
      <c r="G21" s="64">
        <v>16.329999999999998</v>
      </c>
      <c r="H21" s="64">
        <v>3.52</v>
      </c>
      <c r="I21" s="64">
        <v>0.47</v>
      </c>
      <c r="J21" s="64">
        <v>0.42</v>
      </c>
      <c r="K21" s="64">
        <v>223.86</v>
      </c>
      <c r="L21" s="64">
        <v>17.809999999999999</v>
      </c>
      <c r="M21" s="64">
        <v>97.1</v>
      </c>
      <c r="N21" s="64">
        <v>5.5</v>
      </c>
      <c r="O21" s="64">
        <v>0.2</v>
      </c>
      <c r="P21" s="64">
        <v>0.3</v>
      </c>
      <c r="Q21" s="64">
        <v>26.33</v>
      </c>
      <c r="R21" s="198"/>
      <c r="S21" s="198"/>
      <c r="T21" s="198"/>
      <c r="U21" s="198"/>
    </row>
    <row r="22" spans="1:21" s="12" customFormat="1" x14ac:dyDescent="0.25">
      <c r="A22" s="211" t="s">
        <v>450</v>
      </c>
      <c r="B22" s="64">
        <v>2.08</v>
      </c>
      <c r="C22" s="64">
        <v>15.02</v>
      </c>
      <c r="D22" s="64">
        <v>10.6</v>
      </c>
      <c r="E22" s="64">
        <v>0.83</v>
      </c>
      <c r="F22" s="64">
        <v>3.72</v>
      </c>
      <c r="G22" s="64">
        <v>16.329999999999998</v>
      </c>
      <c r="H22" s="64">
        <v>3.52</v>
      </c>
      <c r="I22" s="64">
        <v>0.47</v>
      </c>
      <c r="J22" s="64">
        <v>0.13</v>
      </c>
      <c r="K22" s="64">
        <v>194.05</v>
      </c>
      <c r="L22" s="64">
        <v>17.86</v>
      </c>
      <c r="M22" s="64">
        <v>97.1</v>
      </c>
      <c r="N22" s="64">
        <v>5.0999999999999996</v>
      </c>
      <c r="O22" s="64">
        <v>0.2</v>
      </c>
      <c r="P22" s="64">
        <v>0.3</v>
      </c>
      <c r="Q22" s="64">
        <v>26.05</v>
      </c>
      <c r="R22" s="198"/>
      <c r="S22" s="198"/>
      <c r="T22" s="198"/>
      <c r="U22" s="198"/>
    </row>
    <row r="23" spans="1:21" s="12" customFormat="1" x14ac:dyDescent="0.25">
      <c r="A23" s="211" t="s">
        <v>451</v>
      </c>
      <c r="B23" s="64">
        <v>2.13</v>
      </c>
      <c r="C23" s="64">
        <v>14.56</v>
      </c>
      <c r="D23" s="64">
        <v>10.39</v>
      </c>
      <c r="E23" s="64">
        <v>0.53</v>
      </c>
      <c r="F23" s="64">
        <v>3.68</v>
      </c>
      <c r="G23" s="64">
        <v>16.170000000000002</v>
      </c>
      <c r="H23" s="64">
        <v>3.45</v>
      </c>
      <c r="I23" s="64">
        <v>0.47</v>
      </c>
      <c r="J23" s="64">
        <v>0.78</v>
      </c>
      <c r="K23" s="64">
        <v>231.19</v>
      </c>
      <c r="L23" s="64">
        <v>17.899999999999999</v>
      </c>
      <c r="M23" s="64">
        <v>97.1</v>
      </c>
      <c r="N23" s="64">
        <v>5.4</v>
      </c>
      <c r="O23" s="64">
        <v>0.4</v>
      </c>
      <c r="P23" s="64">
        <v>0.28999999999999998</v>
      </c>
      <c r="Q23" s="64">
        <v>25.78</v>
      </c>
      <c r="R23" s="198"/>
      <c r="S23" s="198"/>
      <c r="T23" s="198"/>
      <c r="U23" s="198"/>
    </row>
    <row r="24" spans="1:21" s="12" customFormat="1" x14ac:dyDescent="0.25">
      <c r="A24" s="211" t="s">
        <v>452</v>
      </c>
      <c r="B24" s="64">
        <v>2.14</v>
      </c>
      <c r="C24" s="64">
        <v>14.47</v>
      </c>
      <c r="D24" s="64">
        <v>10.35</v>
      </c>
      <c r="E24" s="64">
        <v>0.37</v>
      </c>
      <c r="F24" s="64">
        <v>3.99</v>
      </c>
      <c r="G24" s="64">
        <v>14.22</v>
      </c>
      <c r="H24" s="64">
        <v>2.77</v>
      </c>
      <c r="I24" s="64">
        <v>0.48</v>
      </c>
      <c r="J24" s="64">
        <v>0.64</v>
      </c>
      <c r="K24" s="64">
        <v>227.45</v>
      </c>
      <c r="L24" s="64">
        <v>17.88</v>
      </c>
      <c r="M24" s="64">
        <v>97.08</v>
      </c>
      <c r="N24" s="64">
        <v>5.5</v>
      </c>
      <c r="O24" s="64">
        <v>0</v>
      </c>
      <c r="P24" s="64">
        <v>0.28999999999999998</v>
      </c>
      <c r="Q24" s="64">
        <v>25.54</v>
      </c>
      <c r="R24" s="198"/>
      <c r="S24" s="198"/>
      <c r="T24" s="198"/>
      <c r="U24" s="198"/>
    </row>
    <row r="25" spans="1:21" s="12" customFormat="1" x14ac:dyDescent="0.25">
      <c r="A25" s="211" t="s">
        <v>453</v>
      </c>
      <c r="B25" s="64">
        <v>2.2000000000000002</v>
      </c>
      <c r="C25" s="64">
        <v>16.309999999999999</v>
      </c>
      <c r="D25" s="64">
        <v>11.41</v>
      </c>
      <c r="E25" s="64">
        <v>1.1299999999999999</v>
      </c>
      <c r="F25" s="64">
        <v>3.86</v>
      </c>
      <c r="G25" s="64">
        <v>14.22</v>
      </c>
      <c r="H25" s="64">
        <v>2.77</v>
      </c>
      <c r="I25" s="64">
        <v>0.48</v>
      </c>
      <c r="J25" s="64">
        <v>0.39</v>
      </c>
      <c r="K25" s="64">
        <v>186.13</v>
      </c>
      <c r="L25" s="64">
        <v>17.77</v>
      </c>
      <c r="M25" s="64">
        <v>96.54</v>
      </c>
      <c r="N25" s="64">
        <v>5.8</v>
      </c>
      <c r="O25" s="64">
        <v>0</v>
      </c>
      <c r="P25" s="64">
        <v>0.28000000000000003</v>
      </c>
      <c r="Q25" s="64">
        <v>25.67</v>
      </c>
      <c r="R25" s="198"/>
      <c r="S25" s="198"/>
      <c r="T25" s="198"/>
      <c r="U25" s="198"/>
    </row>
    <row r="26" spans="1:21" s="12" customFormat="1" x14ac:dyDescent="0.25">
      <c r="A26" s="211" t="s">
        <v>454</v>
      </c>
      <c r="B26" s="64">
        <v>2.44</v>
      </c>
      <c r="C26" s="64">
        <v>18.03</v>
      </c>
      <c r="D26" s="64">
        <v>12.55</v>
      </c>
      <c r="E26" s="64">
        <v>1.26</v>
      </c>
      <c r="F26" s="64">
        <v>3.68</v>
      </c>
      <c r="G26" s="64">
        <v>14.22</v>
      </c>
      <c r="H26" s="64">
        <v>2.77</v>
      </c>
      <c r="I26" s="64">
        <v>0.48</v>
      </c>
      <c r="J26" s="64">
        <v>0.04</v>
      </c>
      <c r="K26" s="64">
        <v>194.23</v>
      </c>
      <c r="L26" s="64">
        <v>17.809999999999999</v>
      </c>
      <c r="M26" s="64">
        <v>96.41</v>
      </c>
      <c r="N26" s="64">
        <v>5.3</v>
      </c>
      <c r="O26" s="64">
        <v>0</v>
      </c>
      <c r="P26" s="64">
        <v>0.28000000000000003</v>
      </c>
      <c r="Q26" s="64">
        <v>25.96</v>
      </c>
      <c r="R26" s="198"/>
      <c r="S26" s="198"/>
      <c r="T26" s="198"/>
      <c r="U26" s="198"/>
    </row>
    <row r="27" spans="1:21" s="12" customFormat="1" x14ac:dyDescent="0.25">
      <c r="A27" s="211" t="s">
        <v>455</v>
      </c>
      <c r="B27" s="64">
        <v>2.75</v>
      </c>
      <c r="C27" s="64">
        <v>18.34</v>
      </c>
      <c r="D27" s="64">
        <v>12.97</v>
      </c>
      <c r="E27" s="64">
        <v>1.41</v>
      </c>
      <c r="F27" s="64">
        <v>3.49</v>
      </c>
      <c r="G27" s="64">
        <v>13.95</v>
      </c>
      <c r="H27" s="64">
        <v>2.74</v>
      </c>
      <c r="I27" s="64">
        <v>0.47</v>
      </c>
      <c r="J27" s="64">
        <v>0.6</v>
      </c>
      <c r="K27" s="64">
        <v>163.41</v>
      </c>
      <c r="L27" s="64">
        <v>17.829999999999998</v>
      </c>
      <c r="M27" s="64">
        <v>96.05</v>
      </c>
      <c r="N27" s="64">
        <v>5.4</v>
      </c>
      <c r="O27" s="64">
        <v>0.2</v>
      </c>
      <c r="P27" s="64">
        <v>0.28000000000000003</v>
      </c>
      <c r="Q27" s="64">
        <v>26.18</v>
      </c>
      <c r="R27" s="198"/>
      <c r="S27" s="198"/>
      <c r="T27" s="198"/>
      <c r="U27" s="198"/>
    </row>
    <row r="28" spans="1:21" s="12" customFormat="1" x14ac:dyDescent="0.25">
      <c r="A28" s="211" t="s">
        <v>456</v>
      </c>
      <c r="B28" s="64">
        <v>3.03</v>
      </c>
      <c r="C28" s="64">
        <v>18.34</v>
      </c>
      <c r="D28" s="64">
        <v>13.2</v>
      </c>
      <c r="E28" s="64">
        <v>1.41</v>
      </c>
      <c r="F28" s="64">
        <v>3.44</v>
      </c>
      <c r="G28" s="64">
        <v>10.73</v>
      </c>
      <c r="H28" s="64">
        <v>2.42</v>
      </c>
      <c r="I28" s="64">
        <v>0.48</v>
      </c>
      <c r="J28" s="64">
        <v>1.03</v>
      </c>
      <c r="K28" s="64">
        <v>172.73</v>
      </c>
      <c r="L28" s="64">
        <v>17.84</v>
      </c>
      <c r="M28" s="64">
        <v>94.51</v>
      </c>
      <c r="N28" s="64">
        <v>5.5</v>
      </c>
      <c r="O28" s="64">
        <v>0.2</v>
      </c>
      <c r="P28" s="64">
        <v>0.28000000000000003</v>
      </c>
      <c r="Q28" s="64">
        <v>26.65</v>
      </c>
      <c r="R28" s="198"/>
      <c r="S28" s="198"/>
      <c r="T28" s="198"/>
      <c r="U28" s="198"/>
    </row>
    <row r="29" spans="1:21" s="12" customFormat="1" x14ac:dyDescent="0.25">
      <c r="A29" s="211" t="s">
        <v>457</v>
      </c>
      <c r="B29" s="64">
        <v>3.23</v>
      </c>
      <c r="C29" s="64">
        <v>18.36</v>
      </c>
      <c r="D29" s="64">
        <v>13.37</v>
      </c>
      <c r="E29" s="64">
        <v>1.24</v>
      </c>
      <c r="F29" s="64">
        <v>3.37</v>
      </c>
      <c r="G29" s="64">
        <v>10.73</v>
      </c>
      <c r="H29" s="64">
        <v>2.42</v>
      </c>
      <c r="I29" s="64">
        <v>0.48</v>
      </c>
      <c r="J29" s="64">
        <v>1.24</v>
      </c>
      <c r="K29" s="64">
        <v>158.6</v>
      </c>
      <c r="L29" s="64">
        <v>17.829999999999998</v>
      </c>
      <c r="M29" s="64">
        <v>94.08</v>
      </c>
      <c r="N29" s="64">
        <v>5.2</v>
      </c>
      <c r="O29" s="64">
        <v>0.2</v>
      </c>
      <c r="P29" s="64">
        <v>0.28000000000000003</v>
      </c>
      <c r="Q29" s="64">
        <v>27.38</v>
      </c>
      <c r="R29" s="198"/>
      <c r="S29" s="198"/>
      <c r="T29" s="198"/>
      <c r="U29" s="198"/>
    </row>
    <row r="30" spans="1:21" s="12" customFormat="1" x14ac:dyDescent="0.25">
      <c r="A30" s="211" t="s">
        <v>458</v>
      </c>
      <c r="B30" s="64">
        <v>3.34</v>
      </c>
      <c r="C30" s="64">
        <v>17.47</v>
      </c>
      <c r="D30" s="64">
        <v>12.97</v>
      </c>
      <c r="E30" s="64">
        <v>1.2</v>
      </c>
      <c r="F30" s="64">
        <v>3.56</v>
      </c>
      <c r="G30" s="64">
        <v>10.73</v>
      </c>
      <c r="H30" s="64">
        <v>2.42</v>
      </c>
      <c r="I30" s="64">
        <v>0.49</v>
      </c>
      <c r="J30" s="64">
        <v>1.37</v>
      </c>
      <c r="K30" s="64">
        <v>151.94999999999999</v>
      </c>
      <c r="L30" s="64">
        <v>17.86</v>
      </c>
      <c r="M30" s="64">
        <v>94.96</v>
      </c>
      <c r="N30" s="64">
        <v>5.9</v>
      </c>
      <c r="O30" s="64">
        <v>0</v>
      </c>
      <c r="P30" s="64">
        <v>0.27</v>
      </c>
      <c r="Q30" s="64">
        <v>28.39</v>
      </c>
      <c r="R30" s="198"/>
      <c r="S30" s="198"/>
      <c r="T30" s="198"/>
      <c r="U30" s="198"/>
    </row>
    <row r="31" spans="1:21" s="12" customFormat="1" x14ac:dyDescent="0.25">
      <c r="A31" s="211" t="s">
        <v>459</v>
      </c>
      <c r="B31" s="64">
        <v>3.29</v>
      </c>
      <c r="C31" s="64">
        <v>18.23</v>
      </c>
      <c r="D31" s="64">
        <v>13.35</v>
      </c>
      <c r="E31" s="64">
        <v>1.57</v>
      </c>
      <c r="F31" s="64">
        <v>3.48</v>
      </c>
      <c r="G31" s="64">
        <v>10.63</v>
      </c>
      <c r="H31" s="64">
        <v>2.41</v>
      </c>
      <c r="I31" s="64">
        <v>0.49</v>
      </c>
      <c r="J31" s="64">
        <v>0.68</v>
      </c>
      <c r="K31" s="64">
        <v>140.25</v>
      </c>
      <c r="L31" s="64">
        <v>17.84</v>
      </c>
      <c r="M31" s="64">
        <v>95.74</v>
      </c>
      <c r="N31" s="64">
        <v>10.199999999999999</v>
      </c>
      <c r="O31" s="64">
        <v>0</v>
      </c>
      <c r="P31" s="64">
        <v>0.26</v>
      </c>
      <c r="Q31" s="64">
        <v>28.06</v>
      </c>
      <c r="R31" s="198"/>
      <c r="S31" s="198"/>
      <c r="T31" s="198"/>
      <c r="U31" s="198"/>
    </row>
    <row r="32" spans="1:21" s="12" customFormat="1" x14ac:dyDescent="0.25">
      <c r="A32" s="211" t="s">
        <v>460</v>
      </c>
      <c r="B32" s="64">
        <v>3.41</v>
      </c>
      <c r="C32" s="64">
        <v>16.39</v>
      </c>
      <c r="D32" s="64">
        <v>12.42</v>
      </c>
      <c r="E32" s="64">
        <v>0.88</v>
      </c>
      <c r="F32" s="64">
        <v>3.8</v>
      </c>
      <c r="G32" s="64">
        <v>9.51</v>
      </c>
      <c r="H32" s="64">
        <v>2.2999999999999998</v>
      </c>
      <c r="I32" s="64">
        <v>0.48</v>
      </c>
      <c r="J32" s="64">
        <v>0.54</v>
      </c>
      <c r="K32" s="64">
        <v>281.58999999999997</v>
      </c>
      <c r="L32" s="64">
        <v>17.850000000000001</v>
      </c>
      <c r="M32" s="64">
        <v>96.89</v>
      </c>
      <c r="N32" s="64">
        <v>21.4</v>
      </c>
      <c r="O32" s="64">
        <v>0</v>
      </c>
      <c r="P32" s="64">
        <v>0.27</v>
      </c>
      <c r="Q32" s="64">
        <v>27.92</v>
      </c>
      <c r="R32" s="198"/>
      <c r="S32" s="198"/>
      <c r="T32" s="198"/>
      <c r="U32" s="198"/>
    </row>
    <row r="33" spans="1:21" s="12" customFormat="1" x14ac:dyDescent="0.25">
      <c r="A33" s="211" t="s">
        <v>461</v>
      </c>
      <c r="B33" s="64">
        <v>3.81</v>
      </c>
      <c r="C33" s="64">
        <v>16.54</v>
      </c>
      <c r="D33" s="64">
        <v>12.84</v>
      </c>
      <c r="E33" s="64">
        <v>1</v>
      </c>
      <c r="F33" s="64">
        <v>3.32</v>
      </c>
      <c r="G33" s="64">
        <v>9.51</v>
      </c>
      <c r="H33" s="64">
        <v>2.2999999999999998</v>
      </c>
      <c r="I33" s="64">
        <v>0.49</v>
      </c>
      <c r="J33" s="64">
        <v>0.69</v>
      </c>
      <c r="K33" s="64">
        <v>283.33999999999997</v>
      </c>
      <c r="L33" s="64">
        <v>18.04</v>
      </c>
      <c r="M33" s="64">
        <v>97.09</v>
      </c>
      <c r="N33" s="64">
        <v>38.6</v>
      </c>
      <c r="O33" s="64">
        <v>0</v>
      </c>
      <c r="P33" s="64">
        <v>0.27</v>
      </c>
      <c r="Q33" s="64">
        <v>27.92</v>
      </c>
      <c r="R33" s="198"/>
      <c r="S33" s="198"/>
      <c r="T33" s="198"/>
      <c r="U33" s="198"/>
    </row>
    <row r="34" spans="1:21" s="12" customFormat="1" x14ac:dyDescent="0.25">
      <c r="A34" s="211" t="s">
        <v>462</v>
      </c>
      <c r="B34" s="64">
        <v>4.3099999999999996</v>
      </c>
      <c r="C34" s="64">
        <v>16.78</v>
      </c>
      <c r="D34" s="64">
        <v>13.37</v>
      </c>
      <c r="E34" s="64">
        <v>0.99</v>
      </c>
      <c r="F34" s="64">
        <v>3.2</v>
      </c>
      <c r="G34" s="64">
        <v>9.51</v>
      </c>
      <c r="H34" s="64">
        <v>2.2999999999999998</v>
      </c>
      <c r="I34" s="64">
        <v>0.49</v>
      </c>
      <c r="J34" s="64">
        <v>0.48</v>
      </c>
      <c r="K34" s="64">
        <v>281.83999999999997</v>
      </c>
      <c r="L34" s="64">
        <v>18.34</v>
      </c>
      <c r="M34" s="64">
        <v>97.07</v>
      </c>
      <c r="N34" s="64">
        <v>70.5</v>
      </c>
      <c r="O34" s="64">
        <v>0</v>
      </c>
      <c r="P34" s="64">
        <v>0.28000000000000003</v>
      </c>
      <c r="Q34" s="64">
        <v>27.4</v>
      </c>
      <c r="R34" s="198"/>
      <c r="S34" s="198"/>
      <c r="T34" s="198"/>
      <c r="U34" s="198"/>
    </row>
    <row r="35" spans="1:21" s="12" customFormat="1" x14ac:dyDescent="0.25">
      <c r="A35" s="211" t="s">
        <v>463</v>
      </c>
      <c r="B35" s="64">
        <v>4.78</v>
      </c>
      <c r="C35" s="64">
        <v>16.829999999999998</v>
      </c>
      <c r="D35" s="64">
        <v>13.77</v>
      </c>
      <c r="E35" s="64">
        <v>1.24</v>
      </c>
      <c r="F35" s="64">
        <v>3.33</v>
      </c>
      <c r="G35" s="64">
        <v>9.35</v>
      </c>
      <c r="H35" s="64">
        <v>2.54</v>
      </c>
      <c r="I35" s="64">
        <v>0.49</v>
      </c>
      <c r="J35" s="64">
        <v>0.2</v>
      </c>
      <c r="K35" s="64">
        <v>288.23</v>
      </c>
      <c r="L35" s="64">
        <v>18.940000000000001</v>
      </c>
      <c r="M35" s="64">
        <v>96.65</v>
      </c>
      <c r="N35" s="64">
        <v>134.5</v>
      </c>
      <c r="O35" s="64">
        <v>0</v>
      </c>
      <c r="P35" s="64">
        <v>0.28999999999999998</v>
      </c>
      <c r="Q35" s="64">
        <v>26.83</v>
      </c>
      <c r="R35" s="198"/>
      <c r="S35" s="198"/>
      <c r="T35" s="198"/>
      <c r="U35" s="198"/>
    </row>
    <row r="36" spans="1:21" s="12" customFormat="1" x14ac:dyDescent="0.25">
      <c r="A36" s="211" t="s">
        <v>464</v>
      </c>
      <c r="B36" s="64">
        <v>5.55</v>
      </c>
      <c r="C36" s="64">
        <v>18.260000000000002</v>
      </c>
      <c r="D36" s="64">
        <v>15.17</v>
      </c>
      <c r="E36" s="64">
        <v>0.98</v>
      </c>
      <c r="F36" s="64">
        <v>3.42</v>
      </c>
      <c r="G36" s="64">
        <v>7.39</v>
      </c>
      <c r="H36" s="64">
        <v>4.97</v>
      </c>
      <c r="I36" s="64">
        <v>0.49</v>
      </c>
      <c r="J36" s="64">
        <v>0.12</v>
      </c>
      <c r="K36" s="64">
        <v>332.35</v>
      </c>
      <c r="L36" s="64">
        <v>19.25</v>
      </c>
      <c r="M36" s="64">
        <v>95.13</v>
      </c>
      <c r="N36" s="64">
        <v>118.9</v>
      </c>
      <c r="O36" s="64">
        <v>0</v>
      </c>
      <c r="P36" s="64">
        <v>0.31</v>
      </c>
      <c r="Q36" s="64">
        <v>26.56</v>
      </c>
      <c r="R36" s="198"/>
      <c r="S36" s="198"/>
      <c r="T36" s="198"/>
      <c r="U36" s="198"/>
    </row>
    <row r="37" spans="1:21" s="12" customFormat="1" x14ac:dyDescent="0.25">
      <c r="A37" s="211" t="s">
        <v>465</v>
      </c>
      <c r="B37" s="64">
        <v>5.68</v>
      </c>
      <c r="C37" s="64">
        <v>19.68</v>
      </c>
      <c r="D37" s="64">
        <v>16.059999999999999</v>
      </c>
      <c r="E37" s="64">
        <v>0.96</v>
      </c>
      <c r="F37" s="64">
        <v>3.35</v>
      </c>
      <c r="G37" s="64">
        <v>7.39</v>
      </c>
      <c r="H37" s="64">
        <v>4.97</v>
      </c>
      <c r="I37" s="64">
        <v>0.49</v>
      </c>
      <c r="J37" s="64">
        <v>0.1</v>
      </c>
      <c r="K37" s="64">
        <v>338.69</v>
      </c>
      <c r="L37" s="64">
        <v>19.510000000000002</v>
      </c>
      <c r="M37" s="64">
        <v>93.96</v>
      </c>
      <c r="N37" s="64">
        <v>202.4</v>
      </c>
      <c r="O37" s="64">
        <v>0</v>
      </c>
      <c r="P37" s="64">
        <v>0.3</v>
      </c>
      <c r="Q37" s="64">
        <v>26.61</v>
      </c>
      <c r="R37" s="198"/>
      <c r="S37" s="198"/>
      <c r="T37" s="198"/>
      <c r="U37" s="198"/>
    </row>
    <row r="38" spans="1:21" s="12" customFormat="1" x14ac:dyDescent="0.25">
      <c r="A38" s="211" t="s">
        <v>466</v>
      </c>
      <c r="B38" s="64">
        <v>5.7</v>
      </c>
      <c r="C38" s="64">
        <v>20.76</v>
      </c>
      <c r="D38" s="64">
        <v>16.68</v>
      </c>
      <c r="E38" s="64">
        <v>1.25</v>
      </c>
      <c r="F38" s="64">
        <v>3.37</v>
      </c>
      <c r="G38" s="64">
        <v>7.39</v>
      </c>
      <c r="H38" s="64">
        <v>4.97</v>
      </c>
      <c r="I38" s="64">
        <v>0.49</v>
      </c>
      <c r="J38" s="64">
        <v>0.13</v>
      </c>
      <c r="K38" s="64">
        <v>287.54000000000002</v>
      </c>
      <c r="L38" s="64">
        <v>20.100000000000001</v>
      </c>
      <c r="M38" s="64">
        <v>90.97</v>
      </c>
      <c r="N38" s="64">
        <v>202.2</v>
      </c>
      <c r="O38" s="64">
        <v>0</v>
      </c>
      <c r="P38" s="64">
        <v>0.34</v>
      </c>
      <c r="Q38" s="64">
        <v>26.49</v>
      </c>
      <c r="R38" s="198"/>
      <c r="S38" s="198"/>
      <c r="T38" s="198"/>
      <c r="U38" s="198"/>
    </row>
    <row r="39" spans="1:21" s="12" customFormat="1" x14ac:dyDescent="0.25">
      <c r="A39" s="211" t="s">
        <v>467</v>
      </c>
      <c r="B39" s="64">
        <v>5.92</v>
      </c>
      <c r="C39" s="64">
        <v>21.02</v>
      </c>
      <c r="D39" s="64">
        <v>16.989999999999998</v>
      </c>
      <c r="E39" s="64">
        <v>1.25</v>
      </c>
      <c r="F39" s="64">
        <v>3.68</v>
      </c>
      <c r="G39" s="64">
        <v>7.27</v>
      </c>
      <c r="H39" s="64">
        <v>5.1100000000000003</v>
      </c>
      <c r="I39" s="64">
        <v>0.49</v>
      </c>
      <c r="J39" s="64">
        <v>0.35</v>
      </c>
      <c r="K39" s="64">
        <v>298.91000000000003</v>
      </c>
      <c r="L39" s="64">
        <v>21.5</v>
      </c>
      <c r="M39" s="64">
        <v>84.91</v>
      </c>
      <c r="N39" s="64">
        <v>407.8</v>
      </c>
      <c r="O39" s="64">
        <v>0</v>
      </c>
      <c r="P39" s="64">
        <v>0.33</v>
      </c>
      <c r="Q39" s="64">
        <v>26.51</v>
      </c>
      <c r="R39" s="198"/>
      <c r="S39" s="198"/>
      <c r="T39" s="198"/>
      <c r="U39" s="198"/>
    </row>
    <row r="40" spans="1:21" s="12" customFormat="1" x14ac:dyDescent="0.25">
      <c r="A40" s="211" t="s">
        <v>468</v>
      </c>
      <c r="B40" s="64">
        <v>6.38</v>
      </c>
      <c r="C40" s="64">
        <v>21.18</v>
      </c>
      <c r="D40" s="64">
        <v>17.45</v>
      </c>
      <c r="E40" s="64">
        <v>0.64</v>
      </c>
      <c r="F40" s="64">
        <v>3.25</v>
      </c>
      <c r="G40" s="64">
        <v>5.91</v>
      </c>
      <c r="H40" s="64">
        <v>6.56</v>
      </c>
      <c r="I40" s="64">
        <v>0.48</v>
      </c>
      <c r="J40" s="64">
        <v>0.18</v>
      </c>
      <c r="K40" s="64">
        <v>227.12</v>
      </c>
      <c r="L40" s="64">
        <v>22.32</v>
      </c>
      <c r="M40" s="64">
        <v>77.94</v>
      </c>
      <c r="N40" s="64">
        <v>195.2</v>
      </c>
      <c r="O40" s="64">
        <v>0</v>
      </c>
      <c r="P40" s="64">
        <v>0.35</v>
      </c>
      <c r="Q40" s="64">
        <v>26.54</v>
      </c>
      <c r="R40" s="198"/>
      <c r="S40" s="198"/>
      <c r="T40" s="198"/>
      <c r="U40" s="198"/>
    </row>
    <row r="41" spans="1:21" s="12" customFormat="1" x14ac:dyDescent="0.25">
      <c r="A41" s="211" t="s">
        <v>469</v>
      </c>
      <c r="B41" s="64">
        <v>6.65</v>
      </c>
      <c r="C41" s="64">
        <v>20.84</v>
      </c>
      <c r="D41" s="64">
        <v>17.48</v>
      </c>
      <c r="E41" s="64">
        <v>0.67</v>
      </c>
      <c r="F41" s="64">
        <v>3.3</v>
      </c>
      <c r="G41" s="64">
        <v>5.91</v>
      </c>
      <c r="H41" s="64">
        <v>6.56</v>
      </c>
      <c r="I41" s="64">
        <v>0.49</v>
      </c>
      <c r="J41" s="64">
        <v>0.53</v>
      </c>
      <c r="K41" s="64">
        <v>143.21</v>
      </c>
      <c r="L41" s="64">
        <v>20.77</v>
      </c>
      <c r="M41" s="64">
        <v>83.79</v>
      </c>
      <c r="N41" s="64">
        <v>209.2</v>
      </c>
      <c r="O41" s="64">
        <v>0</v>
      </c>
      <c r="P41" s="64">
        <v>0.35</v>
      </c>
      <c r="Q41" s="64">
        <v>26.64</v>
      </c>
      <c r="R41" s="198"/>
      <c r="S41" s="198"/>
      <c r="T41" s="198"/>
      <c r="U41" s="198"/>
    </row>
    <row r="42" spans="1:21" s="12" customFormat="1" x14ac:dyDescent="0.25">
      <c r="A42" s="211" t="s">
        <v>470</v>
      </c>
      <c r="B42" s="64">
        <v>6.61</v>
      </c>
      <c r="C42" s="64">
        <v>20.62</v>
      </c>
      <c r="D42" s="64">
        <v>17.32</v>
      </c>
      <c r="E42" s="64">
        <v>0.85</v>
      </c>
      <c r="F42" s="64">
        <v>3.26</v>
      </c>
      <c r="G42" s="64">
        <v>5.91</v>
      </c>
      <c r="H42" s="64">
        <v>6.56</v>
      </c>
      <c r="I42" s="64">
        <v>0.49</v>
      </c>
      <c r="J42" s="64">
        <v>0.3</v>
      </c>
      <c r="K42" s="64">
        <v>169.61</v>
      </c>
      <c r="L42" s="64">
        <v>20.440000000000001</v>
      </c>
      <c r="M42" s="64">
        <v>84.82</v>
      </c>
      <c r="N42" s="64">
        <v>190.5</v>
      </c>
      <c r="O42" s="64">
        <v>0</v>
      </c>
      <c r="P42" s="64">
        <v>0.35</v>
      </c>
      <c r="Q42" s="64">
        <v>26.85</v>
      </c>
      <c r="R42" s="198"/>
      <c r="S42" s="198"/>
      <c r="T42" s="198"/>
      <c r="U42" s="198"/>
    </row>
    <row r="43" spans="1:21" s="12" customFormat="1" x14ac:dyDescent="0.25">
      <c r="A43" s="211" t="s">
        <v>471</v>
      </c>
      <c r="B43" s="64">
        <v>6.12</v>
      </c>
      <c r="C43" s="64">
        <v>19.899999999999999</v>
      </c>
      <c r="D43" s="64">
        <v>16.53</v>
      </c>
      <c r="E43" s="64">
        <v>1.01</v>
      </c>
      <c r="F43" s="64">
        <v>3.33</v>
      </c>
      <c r="G43" s="64">
        <v>6.69</v>
      </c>
      <c r="H43" s="64">
        <v>6.71</v>
      </c>
      <c r="I43" s="64">
        <v>0.51</v>
      </c>
      <c r="J43" s="64">
        <v>0.4</v>
      </c>
      <c r="K43" s="64">
        <v>222.23</v>
      </c>
      <c r="L43" s="64">
        <v>20.91</v>
      </c>
      <c r="M43" s="64">
        <v>83.78</v>
      </c>
      <c r="N43" s="64">
        <v>276.89999999999998</v>
      </c>
      <c r="O43" s="64">
        <v>0</v>
      </c>
      <c r="P43" s="64">
        <v>0.36</v>
      </c>
      <c r="Q43" s="64">
        <v>26.58</v>
      </c>
      <c r="R43" s="198"/>
      <c r="S43" s="198"/>
      <c r="T43" s="198"/>
      <c r="U43" s="198"/>
    </row>
    <row r="44" spans="1:21" s="12" customFormat="1" x14ac:dyDescent="0.25">
      <c r="A44" s="211" t="s">
        <v>472</v>
      </c>
      <c r="B44" s="64">
        <v>5.51</v>
      </c>
      <c r="C44" s="64">
        <v>19.66</v>
      </c>
      <c r="D44" s="64">
        <v>15.92</v>
      </c>
      <c r="E44" s="64">
        <v>0.82</v>
      </c>
      <c r="F44" s="64">
        <v>3.57</v>
      </c>
      <c r="G44" s="64">
        <v>15.91</v>
      </c>
      <c r="H44" s="64">
        <v>8.1999999999999993</v>
      </c>
      <c r="I44" s="64">
        <v>0.51</v>
      </c>
      <c r="J44" s="64">
        <v>0.33</v>
      </c>
      <c r="K44" s="64">
        <v>261.19</v>
      </c>
      <c r="L44" s="64">
        <v>20.76</v>
      </c>
      <c r="M44" s="64">
        <v>85.29</v>
      </c>
      <c r="N44" s="64">
        <v>222.8</v>
      </c>
      <c r="O44" s="64">
        <v>0</v>
      </c>
      <c r="P44" s="64">
        <v>0.37</v>
      </c>
      <c r="Q44" s="64">
        <v>26.5</v>
      </c>
      <c r="R44" s="198"/>
      <c r="S44" s="198"/>
      <c r="T44" s="198"/>
      <c r="U44" s="198"/>
    </row>
    <row r="45" spans="1:21" s="12" customFormat="1" x14ac:dyDescent="0.25">
      <c r="A45" s="211" t="s">
        <v>473</v>
      </c>
      <c r="B45" s="64">
        <v>4.87</v>
      </c>
      <c r="C45" s="64">
        <v>19.53</v>
      </c>
      <c r="D45" s="64">
        <v>15.33</v>
      </c>
      <c r="E45" s="64">
        <v>0.68</v>
      </c>
      <c r="F45" s="64">
        <v>3.78</v>
      </c>
      <c r="G45" s="64">
        <v>15.91</v>
      </c>
      <c r="H45" s="64">
        <v>8.1999999999999993</v>
      </c>
      <c r="I45" s="64">
        <v>0.51</v>
      </c>
      <c r="J45" s="64">
        <v>0.14000000000000001</v>
      </c>
      <c r="K45" s="64">
        <v>35.42</v>
      </c>
      <c r="L45" s="64">
        <v>21.26</v>
      </c>
      <c r="M45" s="64">
        <v>84.49</v>
      </c>
      <c r="N45" s="64">
        <v>243.9</v>
      </c>
      <c r="O45" s="64">
        <v>0</v>
      </c>
      <c r="P45" s="64">
        <v>0.4</v>
      </c>
      <c r="Q45" s="64">
        <v>26.24</v>
      </c>
      <c r="R45" s="198"/>
      <c r="S45" s="198"/>
      <c r="T45" s="198"/>
      <c r="U45" s="198"/>
    </row>
    <row r="46" spans="1:21" s="12" customFormat="1" x14ac:dyDescent="0.25">
      <c r="A46" s="211" t="s">
        <v>474</v>
      </c>
      <c r="B46" s="64">
        <v>4.38</v>
      </c>
      <c r="C46" s="64">
        <v>20.55</v>
      </c>
      <c r="D46" s="64">
        <v>15.5</v>
      </c>
      <c r="E46" s="64">
        <v>0.69</v>
      </c>
      <c r="F46" s="64">
        <v>4.2699999999999996</v>
      </c>
      <c r="G46" s="64">
        <v>15.91</v>
      </c>
      <c r="H46" s="64">
        <v>8.1999999999999993</v>
      </c>
      <c r="I46" s="64">
        <v>0.5</v>
      </c>
      <c r="J46" s="64">
        <v>0.12</v>
      </c>
      <c r="K46" s="64">
        <v>346.26</v>
      </c>
      <c r="L46" s="64">
        <v>21.35</v>
      </c>
      <c r="M46" s="64">
        <v>84.31</v>
      </c>
      <c r="N46" s="64">
        <v>212.9</v>
      </c>
      <c r="O46" s="64">
        <v>0</v>
      </c>
      <c r="P46" s="64">
        <v>0.5</v>
      </c>
      <c r="Q46" s="64">
        <v>25.93</v>
      </c>
      <c r="R46" s="198"/>
      <c r="S46" s="198"/>
      <c r="T46" s="198"/>
      <c r="U46" s="198"/>
    </row>
    <row r="47" spans="1:21" s="12" customFormat="1" x14ac:dyDescent="0.25">
      <c r="A47" s="211" t="s">
        <v>475</v>
      </c>
      <c r="B47" s="64">
        <v>3.9</v>
      </c>
      <c r="C47" s="64">
        <v>21.31</v>
      </c>
      <c r="D47" s="64">
        <v>15.54</v>
      </c>
      <c r="E47" s="64">
        <v>1</v>
      </c>
      <c r="F47" s="64">
        <v>4.5</v>
      </c>
      <c r="G47" s="64">
        <v>16.48</v>
      </c>
      <c r="H47" s="64">
        <v>8.18</v>
      </c>
      <c r="I47" s="64">
        <v>0.5</v>
      </c>
      <c r="J47" s="64">
        <v>0.15</v>
      </c>
      <c r="K47" s="64">
        <v>331.69</v>
      </c>
      <c r="L47" s="64">
        <v>21.78</v>
      </c>
      <c r="M47" s="64">
        <v>82.31</v>
      </c>
      <c r="N47" s="64">
        <v>246.9</v>
      </c>
      <c r="O47" s="64">
        <v>0</v>
      </c>
      <c r="P47" s="64">
        <v>0.53</v>
      </c>
      <c r="Q47" s="64">
        <v>25.59</v>
      </c>
      <c r="R47" s="198"/>
      <c r="S47" s="198"/>
      <c r="T47" s="198"/>
      <c r="U47" s="198"/>
    </row>
    <row r="48" spans="1:21" s="12" customFormat="1" x14ac:dyDescent="0.25">
      <c r="A48" s="211" t="s">
        <v>476</v>
      </c>
      <c r="B48" s="64">
        <v>3.66</v>
      </c>
      <c r="C48" s="64">
        <v>21.95</v>
      </c>
      <c r="D48" s="64">
        <v>15.69</v>
      </c>
      <c r="E48" s="64">
        <v>0.65</v>
      </c>
      <c r="F48" s="64">
        <v>4.32</v>
      </c>
      <c r="G48" s="64">
        <v>23.2</v>
      </c>
      <c r="H48" s="64">
        <v>7.96</v>
      </c>
      <c r="I48" s="64">
        <v>0.5</v>
      </c>
      <c r="J48" s="64">
        <v>0.34</v>
      </c>
      <c r="K48" s="64">
        <v>221.07</v>
      </c>
      <c r="L48" s="64">
        <v>21.44</v>
      </c>
      <c r="M48" s="64">
        <v>82.77</v>
      </c>
      <c r="N48" s="64">
        <v>318.5</v>
      </c>
      <c r="O48" s="64">
        <v>0</v>
      </c>
      <c r="P48" s="64">
        <v>0.56999999999999995</v>
      </c>
      <c r="Q48" s="64">
        <v>25.4</v>
      </c>
      <c r="R48" s="198"/>
      <c r="S48" s="198"/>
      <c r="T48" s="198"/>
      <c r="U48" s="198"/>
    </row>
    <row r="49" spans="1:21" s="12" customFormat="1" x14ac:dyDescent="0.25">
      <c r="A49" s="211" t="s">
        <v>477</v>
      </c>
      <c r="B49" s="64">
        <v>3.89</v>
      </c>
      <c r="C49" s="64">
        <v>22.05</v>
      </c>
      <c r="D49" s="64">
        <v>15.93</v>
      </c>
      <c r="E49" s="64">
        <v>0.82</v>
      </c>
      <c r="F49" s="64">
        <v>2.31</v>
      </c>
      <c r="G49" s="64">
        <v>23.2</v>
      </c>
      <c r="H49" s="64">
        <v>7.96</v>
      </c>
      <c r="I49" s="64">
        <v>0.5</v>
      </c>
      <c r="J49" s="64">
        <v>0.73</v>
      </c>
      <c r="K49" s="64">
        <v>140.41999999999999</v>
      </c>
      <c r="L49" s="64">
        <v>21.63</v>
      </c>
      <c r="M49" s="64">
        <v>80.86</v>
      </c>
      <c r="N49" s="64">
        <v>378.5</v>
      </c>
      <c r="O49" s="64">
        <v>0</v>
      </c>
      <c r="P49" s="64">
        <v>0.6</v>
      </c>
      <c r="Q49" s="64">
        <v>26.29</v>
      </c>
      <c r="R49" s="198"/>
      <c r="S49" s="198"/>
      <c r="T49" s="198"/>
      <c r="U49" s="198"/>
    </row>
    <row r="50" spans="1:21" s="12" customFormat="1" x14ac:dyDescent="0.25">
      <c r="A50" s="211" t="s">
        <v>478</v>
      </c>
      <c r="B50" s="64">
        <v>4.32</v>
      </c>
      <c r="C50" s="64">
        <v>20.71</v>
      </c>
      <c r="D50" s="64">
        <v>15.54</v>
      </c>
      <c r="E50" s="64">
        <v>1.23</v>
      </c>
      <c r="F50" s="64">
        <v>2.6</v>
      </c>
      <c r="G50" s="64">
        <v>23.2</v>
      </c>
      <c r="H50" s="64">
        <v>7.96</v>
      </c>
      <c r="I50" s="64">
        <v>0.5</v>
      </c>
      <c r="J50" s="64">
        <v>1.02</v>
      </c>
      <c r="K50" s="64">
        <v>197.06</v>
      </c>
      <c r="L50" s="64">
        <v>21.87</v>
      </c>
      <c r="M50" s="64">
        <v>79.459999999999994</v>
      </c>
      <c r="N50" s="64">
        <v>178.8</v>
      </c>
      <c r="O50" s="64">
        <v>0</v>
      </c>
      <c r="P50" s="64">
        <v>0.64</v>
      </c>
      <c r="Q50" s="64">
        <v>26.81</v>
      </c>
      <c r="R50" s="198"/>
      <c r="S50" s="198"/>
      <c r="T50" s="198"/>
      <c r="U50" s="198"/>
    </row>
    <row r="51" spans="1:21" s="12" customFormat="1" x14ac:dyDescent="0.25">
      <c r="A51" s="211" t="s">
        <v>479</v>
      </c>
      <c r="B51" s="64">
        <v>4.66</v>
      </c>
      <c r="C51" s="64">
        <v>19.16</v>
      </c>
      <c r="D51" s="64">
        <v>14.95</v>
      </c>
      <c r="E51" s="64">
        <v>0.42</v>
      </c>
      <c r="F51" s="64">
        <v>2.99</v>
      </c>
      <c r="G51" s="64">
        <v>23.69</v>
      </c>
      <c r="H51" s="64">
        <v>8.11</v>
      </c>
      <c r="I51" s="64">
        <v>0.49</v>
      </c>
      <c r="J51" s="64">
        <v>0.32</v>
      </c>
      <c r="K51" s="64">
        <v>204.49</v>
      </c>
      <c r="L51" s="64">
        <v>21.86</v>
      </c>
      <c r="M51" s="64">
        <v>79.95</v>
      </c>
      <c r="N51" s="64">
        <v>189.7</v>
      </c>
      <c r="O51" s="64">
        <v>0</v>
      </c>
      <c r="P51" s="64">
        <v>0.7</v>
      </c>
      <c r="Q51" s="64">
        <v>26.49</v>
      </c>
      <c r="R51" s="198"/>
      <c r="S51" s="198"/>
      <c r="T51" s="198"/>
      <c r="U51" s="198"/>
    </row>
    <row r="52" spans="1:21" s="12" customFormat="1" x14ac:dyDescent="0.25">
      <c r="A52" s="211" t="s">
        <v>480</v>
      </c>
      <c r="B52" s="64">
        <v>4.5</v>
      </c>
      <c r="C52" s="64">
        <v>20.66</v>
      </c>
      <c r="D52" s="64">
        <v>15.65</v>
      </c>
      <c r="E52" s="64">
        <v>1.28</v>
      </c>
      <c r="F52" s="64">
        <v>3.26</v>
      </c>
      <c r="G52" s="64">
        <v>29.57</v>
      </c>
      <c r="H52" s="64">
        <v>9.64</v>
      </c>
      <c r="I52" s="64">
        <v>0.51</v>
      </c>
      <c r="J52" s="64">
        <v>0.11</v>
      </c>
      <c r="K52" s="64">
        <v>319.63</v>
      </c>
      <c r="L52" s="64">
        <v>22.39</v>
      </c>
      <c r="M52" s="64">
        <v>76.599999999999994</v>
      </c>
      <c r="N52" s="64">
        <v>175.7</v>
      </c>
      <c r="O52" s="64">
        <v>0</v>
      </c>
      <c r="P52" s="64">
        <v>0.77</v>
      </c>
      <c r="Q52" s="64">
        <v>26.71</v>
      </c>
      <c r="R52" s="198"/>
      <c r="S52" s="198"/>
      <c r="T52" s="198"/>
      <c r="U52" s="198"/>
    </row>
    <row r="53" spans="1:21" s="12" customFormat="1" x14ac:dyDescent="0.25">
      <c r="A53" s="211" t="s">
        <v>481</v>
      </c>
      <c r="B53" s="64">
        <v>3.43</v>
      </c>
      <c r="C53" s="64">
        <v>26.7</v>
      </c>
      <c r="D53" s="64">
        <v>18.13</v>
      </c>
      <c r="E53" s="64">
        <v>1.31</v>
      </c>
      <c r="F53" s="64">
        <v>21.21</v>
      </c>
      <c r="G53" s="64">
        <v>29.57</v>
      </c>
      <c r="H53" s="64">
        <v>9.64</v>
      </c>
      <c r="I53" s="64">
        <v>0.51</v>
      </c>
      <c r="J53" s="64">
        <v>0.27</v>
      </c>
      <c r="K53" s="64">
        <v>256.20999999999998</v>
      </c>
      <c r="L53" s="64">
        <v>22.4</v>
      </c>
      <c r="M53" s="64">
        <v>76.239999999999995</v>
      </c>
      <c r="N53" s="64">
        <v>240.8</v>
      </c>
      <c r="O53" s="64">
        <v>0</v>
      </c>
      <c r="P53" s="64">
        <v>0.55000000000000004</v>
      </c>
      <c r="Q53" s="64">
        <v>25.64</v>
      </c>
      <c r="R53" s="198"/>
      <c r="S53" s="198"/>
      <c r="T53" s="198"/>
      <c r="U53" s="198"/>
    </row>
    <row r="54" spans="1:21" s="12" customFormat="1" x14ac:dyDescent="0.25">
      <c r="A54" s="211" t="s">
        <v>482</v>
      </c>
      <c r="B54" s="64">
        <v>1.83</v>
      </c>
      <c r="C54" s="64">
        <v>26.17</v>
      </c>
      <c r="D54" s="64">
        <v>16.559999999999999</v>
      </c>
      <c r="E54" s="64">
        <v>0.8</v>
      </c>
      <c r="F54" s="64">
        <v>22.42</v>
      </c>
      <c r="G54" s="64">
        <v>29.57</v>
      </c>
      <c r="H54" s="64">
        <v>9.64</v>
      </c>
      <c r="I54" s="64">
        <v>0.51</v>
      </c>
      <c r="J54" s="64">
        <v>0.18</v>
      </c>
      <c r="K54" s="64">
        <v>287.33999999999997</v>
      </c>
      <c r="L54" s="64">
        <v>21.98</v>
      </c>
      <c r="M54" s="64">
        <v>79.56</v>
      </c>
      <c r="N54" s="64">
        <v>175.7</v>
      </c>
      <c r="O54" s="64">
        <v>0.2</v>
      </c>
      <c r="P54" s="64">
        <v>0.39</v>
      </c>
      <c r="Q54" s="64">
        <v>21.78</v>
      </c>
      <c r="R54" s="198"/>
      <c r="S54" s="198"/>
      <c r="T54" s="198"/>
      <c r="U54" s="198"/>
    </row>
    <row r="55" spans="1:21" s="12" customFormat="1" x14ac:dyDescent="0.25">
      <c r="A55" s="211" t="s">
        <v>483</v>
      </c>
      <c r="B55" s="64">
        <v>1.37</v>
      </c>
      <c r="C55" s="64">
        <v>21.4</v>
      </c>
      <c r="D55" s="64">
        <v>13.56</v>
      </c>
      <c r="E55" s="64">
        <v>0.06</v>
      </c>
      <c r="F55" s="64">
        <v>11.35</v>
      </c>
      <c r="G55" s="64">
        <v>29.62</v>
      </c>
      <c r="H55" s="64">
        <v>9.6199999999999992</v>
      </c>
      <c r="I55" s="64">
        <v>0.48</v>
      </c>
      <c r="J55" s="64">
        <v>0.1</v>
      </c>
      <c r="K55" s="64">
        <v>297.08</v>
      </c>
      <c r="L55" s="64">
        <v>21.93</v>
      </c>
      <c r="M55" s="64">
        <v>81.93</v>
      </c>
      <c r="N55" s="64">
        <v>214</v>
      </c>
      <c r="O55" s="64">
        <v>0</v>
      </c>
      <c r="P55" s="64">
        <v>0.37</v>
      </c>
      <c r="Q55" s="64">
        <v>16.96</v>
      </c>
      <c r="R55" s="198"/>
      <c r="S55" s="198"/>
      <c r="T55" s="198"/>
      <c r="U55" s="198"/>
    </row>
    <row r="56" spans="1:21" s="12" customFormat="1" x14ac:dyDescent="0.25">
      <c r="A56" s="211" t="s">
        <v>484</v>
      </c>
      <c r="B56" s="64">
        <v>1.76</v>
      </c>
      <c r="C56" s="64">
        <v>20.38</v>
      </c>
      <c r="D56" s="64">
        <v>13.3</v>
      </c>
      <c r="E56" s="64">
        <v>0.32</v>
      </c>
      <c r="F56" s="64">
        <v>5.71</v>
      </c>
      <c r="G56" s="64">
        <v>30.26</v>
      </c>
      <c r="H56" s="64">
        <v>9.4600000000000009</v>
      </c>
      <c r="I56" s="64">
        <v>0.46</v>
      </c>
      <c r="J56" s="64">
        <v>0.21</v>
      </c>
      <c r="K56" s="64">
        <v>296.68</v>
      </c>
      <c r="L56" s="64">
        <v>23.74</v>
      </c>
      <c r="M56" s="64">
        <v>76.23</v>
      </c>
      <c r="N56" s="64">
        <v>503.1</v>
      </c>
      <c r="O56" s="64">
        <v>0</v>
      </c>
      <c r="P56" s="64">
        <v>0.41</v>
      </c>
      <c r="Q56" s="64">
        <v>17.260000000000002</v>
      </c>
      <c r="R56" s="198"/>
      <c r="S56" s="198"/>
      <c r="T56" s="198"/>
      <c r="U56" s="198"/>
    </row>
    <row r="57" spans="1:21" s="12" customFormat="1" x14ac:dyDescent="0.25">
      <c r="A57" s="211" t="s">
        <v>485</v>
      </c>
      <c r="B57" s="64">
        <v>2.54</v>
      </c>
      <c r="C57" s="64">
        <v>20.43</v>
      </c>
      <c r="D57" s="64">
        <v>13.96</v>
      </c>
      <c r="E57" s="64">
        <v>0.3</v>
      </c>
      <c r="F57" s="64">
        <v>5.0199999999999996</v>
      </c>
      <c r="G57" s="64">
        <v>30.26</v>
      </c>
      <c r="H57" s="64">
        <v>9.4600000000000009</v>
      </c>
      <c r="I57" s="64">
        <v>0.46</v>
      </c>
      <c r="J57" s="64">
        <v>0.32</v>
      </c>
      <c r="K57" s="64">
        <v>286.04000000000002</v>
      </c>
      <c r="L57" s="64">
        <v>25.16</v>
      </c>
      <c r="M57" s="64">
        <v>67.959999999999994</v>
      </c>
      <c r="N57" s="64">
        <v>636.6</v>
      </c>
      <c r="O57" s="64">
        <v>0</v>
      </c>
      <c r="P57" s="64">
        <v>0.42</v>
      </c>
      <c r="Q57" s="64">
        <v>18.010000000000002</v>
      </c>
      <c r="R57" s="198"/>
      <c r="S57" s="198"/>
      <c r="T57" s="198"/>
      <c r="U57" s="198"/>
    </row>
    <row r="58" spans="1:21" s="12" customFormat="1" x14ac:dyDescent="0.25">
      <c r="A58" s="211" t="s">
        <v>486</v>
      </c>
      <c r="B58" s="64">
        <v>2.97</v>
      </c>
      <c r="C58" s="64">
        <v>20.27</v>
      </c>
      <c r="D58" s="64">
        <v>14.21</v>
      </c>
      <c r="E58" s="64">
        <v>1.25</v>
      </c>
      <c r="F58" s="64">
        <v>4.9000000000000004</v>
      </c>
      <c r="G58" s="64">
        <v>30.26</v>
      </c>
      <c r="H58" s="64">
        <v>9.4600000000000009</v>
      </c>
      <c r="I58" s="64">
        <v>0.46</v>
      </c>
      <c r="J58" s="64">
        <v>0.09</v>
      </c>
      <c r="K58" s="64">
        <v>8.24</v>
      </c>
      <c r="L58" s="64">
        <v>25.47</v>
      </c>
      <c r="M58" s="64">
        <v>59.31</v>
      </c>
      <c r="N58" s="64">
        <v>1004.4</v>
      </c>
      <c r="O58" s="64">
        <v>0</v>
      </c>
      <c r="P58" s="64">
        <v>0.43</v>
      </c>
      <c r="Q58" s="64">
        <v>17.63</v>
      </c>
      <c r="R58" s="198"/>
      <c r="S58" s="198"/>
      <c r="T58" s="198"/>
      <c r="U58" s="198"/>
    </row>
    <row r="59" spans="1:21" s="12" customFormat="1" x14ac:dyDescent="0.25">
      <c r="A59" s="211" t="s">
        <v>487</v>
      </c>
      <c r="B59" s="64">
        <v>2.92</v>
      </c>
      <c r="C59" s="64">
        <v>20.14</v>
      </c>
      <c r="D59" s="64">
        <v>14.1</v>
      </c>
      <c r="E59" s="64">
        <v>1.36</v>
      </c>
      <c r="F59" s="64">
        <v>4.75</v>
      </c>
      <c r="G59" s="64">
        <v>30.34</v>
      </c>
      <c r="H59" s="64">
        <v>9.41</v>
      </c>
      <c r="I59" s="64">
        <v>0.46</v>
      </c>
      <c r="J59" s="64">
        <v>0.24</v>
      </c>
      <c r="K59" s="64">
        <v>301.45</v>
      </c>
      <c r="L59" s="64">
        <v>26.3</v>
      </c>
      <c r="M59" s="64">
        <v>56.05</v>
      </c>
      <c r="N59" s="64">
        <v>613.1</v>
      </c>
      <c r="O59" s="64">
        <v>0</v>
      </c>
      <c r="P59" s="64">
        <v>0.42</v>
      </c>
      <c r="Q59" s="64">
        <v>17.95</v>
      </c>
      <c r="R59" s="198"/>
      <c r="S59" s="198"/>
      <c r="T59" s="198"/>
      <c r="U59" s="198"/>
    </row>
    <row r="60" spans="1:21" s="12" customFormat="1" x14ac:dyDescent="0.25">
      <c r="A60" s="211" t="s">
        <v>488</v>
      </c>
      <c r="B60" s="64">
        <v>2.84</v>
      </c>
      <c r="C60" s="64">
        <v>21.56</v>
      </c>
      <c r="D60" s="64">
        <v>14.82</v>
      </c>
      <c r="E60" s="64">
        <v>0.86</v>
      </c>
      <c r="F60" s="64">
        <v>5.09</v>
      </c>
      <c r="G60" s="64">
        <v>31.35</v>
      </c>
      <c r="H60" s="64">
        <v>8.8800000000000008</v>
      </c>
      <c r="I60" s="64">
        <v>0.46</v>
      </c>
      <c r="J60" s="64">
        <v>0.28000000000000003</v>
      </c>
      <c r="K60" s="64">
        <v>289.12</v>
      </c>
      <c r="L60" s="64">
        <v>26.7</v>
      </c>
      <c r="M60" s="64">
        <v>55.37</v>
      </c>
      <c r="N60" s="213" t="s">
        <v>42</v>
      </c>
      <c r="O60" s="64">
        <v>0</v>
      </c>
      <c r="P60" s="64">
        <v>0.42</v>
      </c>
      <c r="Q60" s="64">
        <v>19.84</v>
      </c>
      <c r="R60" s="198"/>
      <c r="S60" s="198"/>
      <c r="T60" s="198"/>
      <c r="U60" s="198"/>
    </row>
    <row r="61" spans="1:21" s="12" customFormat="1" x14ac:dyDescent="0.25">
      <c r="A61" s="211" t="s">
        <v>489</v>
      </c>
      <c r="B61" s="64">
        <v>2.93</v>
      </c>
      <c r="C61" s="64">
        <v>25.28</v>
      </c>
      <c r="D61" s="64">
        <v>16.95</v>
      </c>
      <c r="E61" s="64">
        <v>0.96</v>
      </c>
      <c r="F61" s="64">
        <v>10.09</v>
      </c>
      <c r="G61" s="64">
        <v>31.35</v>
      </c>
      <c r="H61" s="64">
        <v>8.8800000000000008</v>
      </c>
      <c r="I61" s="64">
        <v>0.47</v>
      </c>
      <c r="J61" s="64">
        <v>0.2</v>
      </c>
      <c r="K61" s="64">
        <v>301.45999999999998</v>
      </c>
      <c r="L61" s="64">
        <v>27.58</v>
      </c>
      <c r="M61" s="64">
        <v>52.96</v>
      </c>
      <c r="N61" s="213" t="s">
        <v>42</v>
      </c>
      <c r="O61" s="64">
        <v>0</v>
      </c>
      <c r="P61" s="64">
        <v>0.4</v>
      </c>
      <c r="Q61" s="64">
        <v>20.77</v>
      </c>
      <c r="R61" s="198"/>
      <c r="S61" s="198"/>
      <c r="T61" s="198"/>
      <c r="U61" s="198"/>
    </row>
    <row r="62" spans="1:21" s="12" customFormat="1" x14ac:dyDescent="0.25">
      <c r="A62" s="211" t="s">
        <v>490</v>
      </c>
      <c r="B62" s="64">
        <v>1.98</v>
      </c>
      <c r="C62" s="64">
        <v>26.88</v>
      </c>
      <c r="D62" s="64">
        <v>17.07</v>
      </c>
      <c r="E62" s="64">
        <v>0.72</v>
      </c>
      <c r="F62" s="64">
        <v>10.37</v>
      </c>
      <c r="G62" s="64">
        <v>31.35</v>
      </c>
      <c r="H62" s="64">
        <v>8.8800000000000008</v>
      </c>
      <c r="I62" s="64">
        <v>0.48</v>
      </c>
      <c r="J62" s="64">
        <v>0.15</v>
      </c>
      <c r="K62" s="64">
        <v>297.45999999999998</v>
      </c>
      <c r="L62" s="64">
        <v>27.28</v>
      </c>
      <c r="M62" s="64">
        <v>55.98</v>
      </c>
      <c r="N62" s="213" t="s">
        <v>42</v>
      </c>
      <c r="O62" s="64">
        <v>0</v>
      </c>
      <c r="P62" s="64">
        <v>0.45</v>
      </c>
      <c r="Q62" s="64">
        <v>20.83</v>
      </c>
      <c r="R62" s="198"/>
      <c r="S62" s="198"/>
      <c r="T62" s="198"/>
      <c r="U62" s="198"/>
    </row>
    <row r="63" spans="1:21" s="12" customFormat="1" x14ac:dyDescent="0.25">
      <c r="A63" s="211" t="s">
        <v>491</v>
      </c>
      <c r="B63" s="64">
        <v>1.75</v>
      </c>
      <c r="C63" s="64">
        <v>24.29</v>
      </c>
      <c r="D63" s="64">
        <v>15.46</v>
      </c>
      <c r="E63" s="64">
        <v>1.01</v>
      </c>
      <c r="F63" s="64">
        <v>7.88</v>
      </c>
      <c r="G63" s="64">
        <v>31.29</v>
      </c>
      <c r="H63" s="64">
        <v>8.7200000000000006</v>
      </c>
      <c r="I63" s="64">
        <v>0.47</v>
      </c>
      <c r="J63" s="64">
        <v>0.23</v>
      </c>
      <c r="K63" s="64">
        <v>303.76</v>
      </c>
      <c r="L63" s="64">
        <v>26.75</v>
      </c>
      <c r="M63" s="64">
        <v>58.17</v>
      </c>
      <c r="N63" s="213" t="s">
        <v>42</v>
      </c>
      <c r="O63" s="64">
        <v>0</v>
      </c>
      <c r="P63" s="64">
        <v>0.45</v>
      </c>
      <c r="Q63" s="64">
        <v>20.41</v>
      </c>
      <c r="R63" s="198"/>
      <c r="S63" s="198"/>
      <c r="T63" s="198"/>
      <c r="U63" s="198"/>
    </row>
    <row r="64" spans="1:21" s="12" customFormat="1" x14ac:dyDescent="0.25">
      <c r="A64" s="211" t="s">
        <v>492</v>
      </c>
      <c r="B64" s="64">
        <v>1.87</v>
      </c>
      <c r="C64" s="64">
        <v>22.99</v>
      </c>
      <c r="D64" s="64">
        <v>14.83</v>
      </c>
      <c r="E64" s="64">
        <v>0.82</v>
      </c>
      <c r="F64" s="64">
        <v>5.9</v>
      </c>
      <c r="G64" s="64">
        <v>30.52</v>
      </c>
      <c r="H64" s="64">
        <v>7.14</v>
      </c>
      <c r="I64" s="64">
        <v>0.47</v>
      </c>
      <c r="J64" s="64">
        <v>0.44</v>
      </c>
      <c r="K64" s="64">
        <v>293.92</v>
      </c>
      <c r="L64" s="64">
        <v>27.09</v>
      </c>
      <c r="M64" s="64">
        <v>56.25</v>
      </c>
      <c r="N64" s="213" t="s">
        <v>42</v>
      </c>
      <c r="O64" s="64">
        <v>0</v>
      </c>
      <c r="P64" s="64">
        <v>0.45</v>
      </c>
      <c r="Q64" s="64">
        <v>21.23</v>
      </c>
      <c r="R64" s="198"/>
      <c r="S64" s="198"/>
      <c r="T64" s="198"/>
      <c r="U64" s="198"/>
    </row>
    <row r="65" spans="1:21" s="12" customFormat="1" x14ac:dyDescent="0.25">
      <c r="A65" s="211" t="s">
        <v>493</v>
      </c>
      <c r="B65" s="64">
        <v>2.14</v>
      </c>
      <c r="C65" s="64">
        <v>21.44</v>
      </c>
      <c r="D65" s="64">
        <v>14.19</v>
      </c>
      <c r="E65" s="64">
        <v>0.66</v>
      </c>
      <c r="F65" s="64">
        <v>5.75</v>
      </c>
      <c r="G65" s="64">
        <v>30.52</v>
      </c>
      <c r="H65" s="64">
        <v>7.14</v>
      </c>
      <c r="I65" s="64">
        <v>0.47</v>
      </c>
      <c r="J65" s="64">
        <v>0.34</v>
      </c>
      <c r="K65" s="64">
        <v>284.29000000000002</v>
      </c>
      <c r="L65" s="64">
        <v>26.52</v>
      </c>
      <c r="M65" s="64">
        <v>55.42</v>
      </c>
      <c r="N65" s="213" t="s">
        <v>42</v>
      </c>
      <c r="O65" s="64">
        <v>0</v>
      </c>
      <c r="P65" s="64">
        <v>0.46</v>
      </c>
      <c r="Q65" s="64">
        <v>20.76</v>
      </c>
      <c r="R65" s="198"/>
      <c r="S65" s="198"/>
      <c r="T65" s="198"/>
      <c r="U65" s="198"/>
    </row>
    <row r="66" spans="1:21" s="12" customFormat="1" x14ac:dyDescent="0.25">
      <c r="A66" s="211" t="s">
        <v>494</v>
      </c>
      <c r="B66" s="64">
        <v>2.29</v>
      </c>
      <c r="C66" s="64">
        <v>21.11</v>
      </c>
      <c r="D66" s="64">
        <v>14.14</v>
      </c>
      <c r="E66" s="64">
        <v>1.19</v>
      </c>
      <c r="F66" s="64">
        <v>5.96</v>
      </c>
      <c r="G66" s="64">
        <v>30.52</v>
      </c>
      <c r="H66" s="64">
        <v>7.14</v>
      </c>
      <c r="I66" s="64">
        <v>0.46</v>
      </c>
      <c r="J66" s="64">
        <v>0.43</v>
      </c>
      <c r="K66" s="64">
        <v>297.23</v>
      </c>
      <c r="L66" s="64">
        <v>28.01</v>
      </c>
      <c r="M66" s="64">
        <v>51.13</v>
      </c>
      <c r="N66" s="213" t="s">
        <v>42</v>
      </c>
      <c r="O66" s="64">
        <v>0</v>
      </c>
      <c r="P66" s="64">
        <v>0.56000000000000005</v>
      </c>
      <c r="Q66" s="64">
        <v>19.309999999999999</v>
      </c>
      <c r="R66" s="198"/>
      <c r="S66" s="198"/>
      <c r="T66" s="198"/>
      <c r="U66" s="198"/>
    </row>
    <row r="67" spans="1:21" s="12" customFormat="1" x14ac:dyDescent="0.25">
      <c r="A67" s="211" t="s">
        <v>495</v>
      </c>
      <c r="B67" s="64">
        <v>2.31</v>
      </c>
      <c r="C67" s="64">
        <v>21.08</v>
      </c>
      <c r="D67" s="64">
        <v>14.13</v>
      </c>
      <c r="E67" s="64">
        <v>1.3</v>
      </c>
      <c r="F67" s="64">
        <v>5.57</v>
      </c>
      <c r="G67" s="64">
        <v>30.17</v>
      </c>
      <c r="H67" s="64">
        <v>7.09</v>
      </c>
      <c r="I67" s="64">
        <v>0.45</v>
      </c>
      <c r="J67" s="64">
        <v>1.01</v>
      </c>
      <c r="K67" s="64">
        <v>286.04000000000002</v>
      </c>
      <c r="L67" s="64">
        <v>27.46</v>
      </c>
      <c r="M67" s="64">
        <v>52.1</v>
      </c>
      <c r="N67" s="64">
        <v>126.5</v>
      </c>
      <c r="O67" s="64">
        <v>0</v>
      </c>
      <c r="P67" s="64">
        <v>0.57999999999999996</v>
      </c>
      <c r="Q67" s="64">
        <v>19.829999999999998</v>
      </c>
      <c r="R67" s="198"/>
      <c r="S67" s="198"/>
      <c r="T67" s="198"/>
      <c r="U67" s="198"/>
    </row>
    <row r="68" spans="1:21" s="12" customFormat="1" x14ac:dyDescent="0.25">
      <c r="A68" s="211" t="s">
        <v>496</v>
      </c>
      <c r="B68" s="64">
        <v>2.39</v>
      </c>
      <c r="C68" s="64">
        <v>20.47</v>
      </c>
      <c r="D68" s="64">
        <v>13.86</v>
      </c>
      <c r="E68" s="64">
        <v>0.79</v>
      </c>
      <c r="F68" s="64">
        <v>5.35</v>
      </c>
      <c r="G68" s="64">
        <v>26.05</v>
      </c>
      <c r="H68" s="64">
        <v>6.62</v>
      </c>
      <c r="I68" s="64">
        <v>0.47</v>
      </c>
      <c r="J68" s="64">
        <v>0.6</v>
      </c>
      <c r="K68" s="64">
        <v>285.51</v>
      </c>
      <c r="L68" s="64">
        <v>27.23</v>
      </c>
      <c r="M68" s="64">
        <v>53.72</v>
      </c>
      <c r="N68" s="64">
        <v>325</v>
      </c>
      <c r="O68" s="64">
        <v>0</v>
      </c>
      <c r="P68" s="64">
        <v>0.55000000000000004</v>
      </c>
      <c r="Q68" s="64">
        <v>17.73</v>
      </c>
      <c r="R68" s="198"/>
      <c r="S68" s="198"/>
      <c r="T68" s="198"/>
      <c r="U68" s="198"/>
    </row>
    <row r="69" spans="1:21" s="12" customFormat="1" x14ac:dyDescent="0.25">
      <c r="A69" s="211" t="s">
        <v>497</v>
      </c>
      <c r="B69" s="64">
        <v>3.72</v>
      </c>
      <c r="C69" s="64">
        <v>22.64</v>
      </c>
      <c r="D69" s="64">
        <v>16.13</v>
      </c>
      <c r="E69" s="64">
        <v>0.83</v>
      </c>
      <c r="F69" s="64">
        <v>6.19</v>
      </c>
      <c r="G69" s="64">
        <v>26.05</v>
      </c>
      <c r="H69" s="64">
        <v>6.62</v>
      </c>
      <c r="I69" s="64">
        <v>0.47</v>
      </c>
      <c r="J69" s="64">
        <v>1.4</v>
      </c>
      <c r="K69" s="64">
        <v>281.04000000000002</v>
      </c>
      <c r="L69" s="64">
        <v>27.44</v>
      </c>
      <c r="M69" s="64">
        <v>54.28</v>
      </c>
      <c r="N69" s="64">
        <v>333.7</v>
      </c>
      <c r="O69" s="64">
        <v>0</v>
      </c>
      <c r="P69" s="64">
        <v>0.54</v>
      </c>
      <c r="Q69" s="64">
        <v>18.920000000000002</v>
      </c>
      <c r="R69" s="198"/>
      <c r="S69" s="198"/>
      <c r="T69" s="198"/>
      <c r="U69" s="198"/>
    </row>
    <row r="70" spans="1:21" s="12" customFormat="1" x14ac:dyDescent="0.25">
      <c r="A70" s="211" t="s">
        <v>498</v>
      </c>
      <c r="B70" s="64">
        <v>3.97</v>
      </c>
      <c r="C70" s="64">
        <v>26.33</v>
      </c>
      <c r="D70" s="64">
        <v>18.36</v>
      </c>
      <c r="E70" s="64">
        <v>1.03</v>
      </c>
      <c r="F70" s="64">
        <v>6.38</v>
      </c>
      <c r="G70" s="64">
        <v>26.05</v>
      </c>
      <c r="H70" s="64">
        <v>6.62</v>
      </c>
      <c r="I70" s="64">
        <v>0.47</v>
      </c>
      <c r="J70" s="64">
        <v>1.63</v>
      </c>
      <c r="K70" s="64">
        <v>278.23</v>
      </c>
      <c r="L70" s="64">
        <v>27.24</v>
      </c>
      <c r="M70" s="64">
        <v>53.94</v>
      </c>
      <c r="N70" s="64">
        <v>156.4</v>
      </c>
      <c r="O70" s="64">
        <v>0</v>
      </c>
      <c r="P70" s="64">
        <v>0.52</v>
      </c>
      <c r="Q70" s="64">
        <v>20.14</v>
      </c>
      <c r="R70" s="198"/>
      <c r="S70" s="198"/>
      <c r="T70" s="198"/>
      <c r="U70" s="198"/>
    </row>
    <row r="71" spans="1:21" s="12" customFormat="1" x14ac:dyDescent="0.25">
      <c r="A71" s="211" t="s">
        <v>499</v>
      </c>
      <c r="B71" s="64">
        <v>3.21</v>
      </c>
      <c r="C71" s="64">
        <v>24.43</v>
      </c>
      <c r="D71" s="64">
        <v>16.7</v>
      </c>
      <c r="E71" s="64">
        <v>0.7</v>
      </c>
      <c r="F71" s="64">
        <v>6.02</v>
      </c>
      <c r="G71" s="64">
        <v>25.91</v>
      </c>
      <c r="H71" s="64">
        <v>6.53</v>
      </c>
      <c r="I71" s="64">
        <v>0.47</v>
      </c>
      <c r="J71" s="64">
        <v>1.46</v>
      </c>
      <c r="K71" s="64">
        <v>285.77999999999997</v>
      </c>
      <c r="L71" s="64">
        <v>26.96</v>
      </c>
      <c r="M71" s="64">
        <v>56.19</v>
      </c>
      <c r="N71" s="64">
        <v>319.8</v>
      </c>
      <c r="O71" s="64">
        <v>0</v>
      </c>
      <c r="P71" s="64">
        <v>0.5</v>
      </c>
      <c r="Q71" s="64">
        <v>19.57</v>
      </c>
      <c r="R71" s="198"/>
      <c r="S71" s="198"/>
      <c r="T71" s="198"/>
      <c r="U71" s="198"/>
    </row>
    <row r="72" spans="1:21" s="12" customFormat="1" x14ac:dyDescent="0.25">
      <c r="A72" s="211" t="s">
        <v>500</v>
      </c>
      <c r="B72" s="64">
        <v>3.35</v>
      </c>
      <c r="C72" s="64">
        <v>23.53</v>
      </c>
      <c r="D72" s="64">
        <v>16.309999999999999</v>
      </c>
      <c r="E72" s="64">
        <v>0.45</v>
      </c>
      <c r="F72" s="64">
        <v>5.81</v>
      </c>
      <c r="G72" s="64">
        <v>24.19</v>
      </c>
      <c r="H72" s="64">
        <v>5.61</v>
      </c>
      <c r="I72" s="64">
        <v>0.47</v>
      </c>
      <c r="J72" s="64">
        <v>0.89</v>
      </c>
      <c r="K72" s="64">
        <v>285.01</v>
      </c>
      <c r="L72" s="64">
        <v>26.68</v>
      </c>
      <c r="M72" s="64">
        <v>56.15</v>
      </c>
      <c r="N72" s="64">
        <v>100.1</v>
      </c>
      <c r="O72" s="64">
        <v>0</v>
      </c>
      <c r="P72" s="64">
        <v>0.5</v>
      </c>
      <c r="Q72" s="64">
        <v>21.51</v>
      </c>
      <c r="R72" s="198"/>
      <c r="S72" s="198"/>
      <c r="T72" s="198"/>
      <c r="U72" s="198"/>
    </row>
    <row r="73" spans="1:21" s="12" customFormat="1" x14ac:dyDescent="0.25">
      <c r="A73" s="211" t="s">
        <v>501</v>
      </c>
      <c r="B73" s="64">
        <v>6.35</v>
      </c>
      <c r="C73" s="64">
        <v>19.850000000000001</v>
      </c>
      <c r="D73" s="64">
        <v>16.7</v>
      </c>
      <c r="E73" s="64">
        <v>1.27</v>
      </c>
      <c r="F73" s="64">
        <v>7.6</v>
      </c>
      <c r="G73" s="64">
        <v>24.19</v>
      </c>
      <c r="H73" s="64">
        <v>5.61</v>
      </c>
      <c r="I73" s="64">
        <v>0.47</v>
      </c>
      <c r="J73" s="64">
        <v>0.79</v>
      </c>
      <c r="K73" s="64">
        <v>280.75</v>
      </c>
      <c r="L73" s="64">
        <v>26.92</v>
      </c>
      <c r="M73" s="64">
        <v>55.24</v>
      </c>
      <c r="N73" s="64">
        <v>167.9</v>
      </c>
      <c r="O73" s="64">
        <v>0</v>
      </c>
      <c r="P73" s="64">
        <v>0.5</v>
      </c>
      <c r="Q73" s="64">
        <v>20.46</v>
      </c>
      <c r="R73" s="198"/>
      <c r="S73" s="198"/>
      <c r="T73" s="198"/>
      <c r="U73" s="198"/>
    </row>
    <row r="74" spans="1:21" s="12" customFormat="1" x14ac:dyDescent="0.25">
      <c r="A74" s="211" t="s">
        <v>502</v>
      </c>
      <c r="B74" s="64">
        <v>4.49</v>
      </c>
      <c r="C74" s="64">
        <v>21.2</v>
      </c>
      <c r="D74" s="64">
        <v>15.94</v>
      </c>
      <c r="E74" s="64">
        <v>0.55000000000000004</v>
      </c>
      <c r="F74" s="64">
        <v>4.72</v>
      </c>
      <c r="G74" s="64">
        <v>24.19</v>
      </c>
      <c r="H74" s="64">
        <v>5.61</v>
      </c>
      <c r="I74" s="64">
        <v>0.47</v>
      </c>
      <c r="J74" s="64">
        <v>0.77</v>
      </c>
      <c r="K74" s="64">
        <v>278.5</v>
      </c>
      <c r="L74" s="64">
        <v>27.01</v>
      </c>
      <c r="M74" s="64">
        <v>55.86</v>
      </c>
      <c r="N74" s="64">
        <v>163.6</v>
      </c>
      <c r="O74" s="64">
        <v>0</v>
      </c>
      <c r="P74" s="64">
        <v>0.5</v>
      </c>
      <c r="Q74" s="64">
        <v>21.76</v>
      </c>
      <c r="R74" s="198"/>
      <c r="S74" s="198"/>
      <c r="T74" s="198"/>
      <c r="U74" s="198"/>
    </row>
    <row r="75" spans="1:21" s="12" customFormat="1" x14ac:dyDescent="0.25">
      <c r="A75" s="211" t="s">
        <v>503</v>
      </c>
      <c r="B75" s="64">
        <v>3.52</v>
      </c>
      <c r="C75" s="64">
        <v>19.79</v>
      </c>
      <c r="D75" s="64">
        <v>14.39</v>
      </c>
      <c r="E75" s="64">
        <v>0.68</v>
      </c>
      <c r="F75" s="64">
        <v>5.89</v>
      </c>
      <c r="G75" s="64">
        <v>23.94</v>
      </c>
      <c r="H75" s="64">
        <v>5.67</v>
      </c>
      <c r="I75" s="64">
        <v>0.48</v>
      </c>
      <c r="J75" s="64">
        <v>0.51</v>
      </c>
      <c r="K75" s="64">
        <v>279.07</v>
      </c>
      <c r="L75" s="64">
        <v>26.53</v>
      </c>
      <c r="M75" s="64">
        <v>56.14</v>
      </c>
      <c r="N75" s="64">
        <v>134.9</v>
      </c>
      <c r="O75" s="64">
        <v>0</v>
      </c>
      <c r="P75" s="64">
        <v>0.48</v>
      </c>
      <c r="Q75" s="64">
        <v>20</v>
      </c>
      <c r="R75" s="198"/>
      <c r="S75" s="198"/>
      <c r="T75" s="198"/>
      <c r="U75" s="198"/>
    </row>
    <row r="76" spans="1:21" s="12" customFormat="1" x14ac:dyDescent="0.25">
      <c r="A76" s="211" t="s">
        <v>504</v>
      </c>
      <c r="B76" s="64">
        <v>3.12</v>
      </c>
      <c r="C76" s="64">
        <v>19.7</v>
      </c>
      <c r="D76" s="64">
        <v>14.02</v>
      </c>
      <c r="E76" s="64">
        <v>0.89</v>
      </c>
      <c r="F76" s="64">
        <v>3.58</v>
      </c>
      <c r="G76" s="64">
        <v>21.06</v>
      </c>
      <c r="H76" s="64">
        <v>6.18</v>
      </c>
      <c r="I76" s="64">
        <v>0.48</v>
      </c>
      <c r="J76" s="64">
        <v>0.53</v>
      </c>
      <c r="K76" s="64">
        <v>279.23</v>
      </c>
      <c r="L76" s="64">
        <v>26.11</v>
      </c>
      <c r="M76" s="64">
        <v>55.95</v>
      </c>
      <c r="N76" s="64">
        <v>108</v>
      </c>
      <c r="O76" s="64">
        <v>0</v>
      </c>
      <c r="P76" s="64">
        <v>0.47</v>
      </c>
      <c r="Q76" s="64">
        <v>21.15</v>
      </c>
      <c r="R76" s="198"/>
      <c r="S76" s="198"/>
      <c r="T76" s="198"/>
      <c r="U76" s="198"/>
    </row>
    <row r="77" spans="1:21" s="12" customFormat="1" x14ac:dyDescent="0.25">
      <c r="A77" s="211" t="s">
        <v>505</v>
      </c>
      <c r="B77" s="64">
        <v>3.2</v>
      </c>
      <c r="C77" s="64">
        <v>19.489999999999998</v>
      </c>
      <c r="D77" s="64">
        <v>13.96</v>
      </c>
      <c r="E77" s="64">
        <v>0.67</v>
      </c>
      <c r="F77" s="64">
        <v>4.28</v>
      </c>
      <c r="G77" s="64">
        <v>21.06</v>
      </c>
      <c r="H77" s="64">
        <v>6.18</v>
      </c>
      <c r="I77" s="64">
        <v>0.48</v>
      </c>
      <c r="J77" s="64">
        <v>0.87</v>
      </c>
      <c r="K77" s="64">
        <v>278.47000000000003</v>
      </c>
      <c r="L77" s="64">
        <v>25.6</v>
      </c>
      <c r="M77" s="64">
        <v>61.21</v>
      </c>
      <c r="N77" s="64">
        <v>81</v>
      </c>
      <c r="O77" s="64">
        <v>0</v>
      </c>
      <c r="P77" s="64">
        <v>0.49</v>
      </c>
      <c r="Q77" s="64">
        <v>19.57</v>
      </c>
      <c r="R77" s="198"/>
      <c r="S77" s="198"/>
      <c r="T77" s="198"/>
      <c r="U77" s="198"/>
    </row>
    <row r="78" spans="1:21" s="12" customFormat="1" x14ac:dyDescent="0.25">
      <c r="A78" s="211" t="s">
        <v>506</v>
      </c>
      <c r="B78" s="64">
        <v>3.36</v>
      </c>
      <c r="C78" s="64">
        <v>19.95</v>
      </c>
      <c r="D78" s="64">
        <v>14.35</v>
      </c>
      <c r="E78" s="64">
        <v>0.67</v>
      </c>
      <c r="F78" s="64">
        <v>4.3</v>
      </c>
      <c r="G78" s="64">
        <v>21.06</v>
      </c>
      <c r="H78" s="64">
        <v>6.18</v>
      </c>
      <c r="I78" s="64">
        <v>0.48</v>
      </c>
      <c r="J78" s="64">
        <v>0.7</v>
      </c>
      <c r="K78" s="64">
        <v>286.62</v>
      </c>
      <c r="L78" s="64">
        <v>25.3</v>
      </c>
      <c r="M78" s="64">
        <v>62.92</v>
      </c>
      <c r="N78" s="64">
        <v>63.9</v>
      </c>
      <c r="O78" s="64">
        <v>0</v>
      </c>
      <c r="P78" s="64">
        <v>0.5</v>
      </c>
      <c r="Q78" s="64">
        <v>19.940000000000001</v>
      </c>
      <c r="R78" s="198"/>
      <c r="S78" s="198"/>
      <c r="T78" s="198"/>
      <c r="U78" s="198"/>
    </row>
    <row r="79" spans="1:21" s="12" customFormat="1" x14ac:dyDescent="0.25">
      <c r="A79" s="211" t="s">
        <v>507</v>
      </c>
      <c r="B79" s="64">
        <v>4.05</v>
      </c>
      <c r="C79" s="64">
        <v>19.36</v>
      </c>
      <c r="D79" s="64">
        <v>14.58</v>
      </c>
      <c r="E79" s="64">
        <v>0.27</v>
      </c>
      <c r="F79" s="64">
        <v>4.7</v>
      </c>
      <c r="G79" s="64">
        <v>21.51</v>
      </c>
      <c r="H79" s="64">
        <v>6.21</v>
      </c>
      <c r="I79" s="64">
        <v>0.48</v>
      </c>
      <c r="J79" s="64">
        <v>0.49</v>
      </c>
      <c r="K79" s="64">
        <v>279.16000000000003</v>
      </c>
      <c r="L79" s="64">
        <v>25.13</v>
      </c>
      <c r="M79" s="64">
        <v>62.97</v>
      </c>
      <c r="N79" s="64">
        <v>43.9</v>
      </c>
      <c r="O79" s="64">
        <v>0</v>
      </c>
      <c r="P79" s="64">
        <v>0.53</v>
      </c>
      <c r="Q79" s="64">
        <v>17.989999999999998</v>
      </c>
      <c r="R79" s="198"/>
      <c r="S79" s="198"/>
      <c r="T79" s="198"/>
      <c r="U79" s="198"/>
    </row>
    <row r="80" spans="1:21" s="12" customFormat="1" x14ac:dyDescent="0.25">
      <c r="A80" s="211" t="s">
        <v>508</v>
      </c>
      <c r="B80" s="64">
        <v>4.76</v>
      </c>
      <c r="C80" s="64">
        <v>21.18</v>
      </c>
      <c r="D80" s="64">
        <v>16.149999999999999</v>
      </c>
      <c r="E80" s="64">
        <v>0.86</v>
      </c>
      <c r="F80" s="64">
        <v>4.5999999999999996</v>
      </c>
      <c r="G80" s="64">
        <v>26.91</v>
      </c>
      <c r="H80" s="64">
        <v>6.49</v>
      </c>
      <c r="I80" s="64">
        <v>0.48</v>
      </c>
      <c r="J80" s="64">
        <v>0.48</v>
      </c>
      <c r="K80" s="64">
        <v>293.47000000000003</v>
      </c>
      <c r="L80" s="64">
        <v>24.88</v>
      </c>
      <c r="M80" s="64">
        <v>64.239999999999995</v>
      </c>
      <c r="N80" s="64">
        <v>29.8</v>
      </c>
      <c r="O80" s="64">
        <v>0</v>
      </c>
      <c r="P80" s="64">
        <v>0.56000000000000005</v>
      </c>
      <c r="Q80" s="64">
        <v>21.37</v>
      </c>
      <c r="R80" s="198"/>
      <c r="S80" s="198"/>
      <c r="T80" s="198"/>
      <c r="U80" s="198"/>
    </row>
    <row r="81" spans="1:26" s="12" customFormat="1" x14ac:dyDescent="0.25">
      <c r="A81" s="211" t="s">
        <v>509</v>
      </c>
      <c r="B81" s="64">
        <v>5.61</v>
      </c>
      <c r="C81" s="64">
        <v>21.7</v>
      </c>
      <c r="D81" s="64">
        <v>17.12</v>
      </c>
      <c r="E81" s="64">
        <v>1.1000000000000001</v>
      </c>
      <c r="F81" s="64">
        <v>3.54</v>
      </c>
      <c r="G81" s="64">
        <v>26.91</v>
      </c>
      <c r="H81" s="64">
        <v>6.49</v>
      </c>
      <c r="I81" s="64">
        <v>0.49</v>
      </c>
      <c r="J81" s="64">
        <v>0.48</v>
      </c>
      <c r="K81" s="64">
        <v>289.64</v>
      </c>
      <c r="L81" s="64">
        <v>24.59</v>
      </c>
      <c r="M81" s="64">
        <v>65.45</v>
      </c>
      <c r="N81" s="64">
        <v>18</v>
      </c>
      <c r="O81" s="64">
        <v>0</v>
      </c>
      <c r="P81" s="64">
        <v>0.61</v>
      </c>
      <c r="Q81" s="64">
        <v>22.19</v>
      </c>
      <c r="R81" s="198"/>
      <c r="S81" s="198"/>
      <c r="T81" s="198"/>
      <c r="U81" s="198"/>
    </row>
    <row r="82" spans="1:26" s="12" customFormat="1" x14ac:dyDescent="0.25">
      <c r="A82" s="211" t="s">
        <v>510</v>
      </c>
      <c r="B82" s="64">
        <v>6.29</v>
      </c>
      <c r="C82" s="64">
        <v>21.8</v>
      </c>
      <c r="D82" s="64">
        <v>17.73</v>
      </c>
      <c r="E82" s="64">
        <v>0.75</v>
      </c>
      <c r="F82" s="64">
        <v>3.54</v>
      </c>
      <c r="G82" s="64">
        <v>26.91</v>
      </c>
      <c r="H82" s="64">
        <v>6.49</v>
      </c>
      <c r="I82" s="64">
        <v>0.5</v>
      </c>
      <c r="J82" s="64">
        <v>0.63</v>
      </c>
      <c r="K82" s="64">
        <v>283.45</v>
      </c>
      <c r="L82" s="64">
        <v>24.25</v>
      </c>
      <c r="M82" s="64">
        <v>66.38</v>
      </c>
      <c r="N82" s="64">
        <v>7.9</v>
      </c>
      <c r="O82" s="64">
        <v>0</v>
      </c>
      <c r="P82" s="64">
        <v>0.65</v>
      </c>
      <c r="Q82" s="64">
        <v>22.34</v>
      </c>
      <c r="R82" s="198"/>
      <c r="S82" s="198"/>
      <c r="T82" s="198"/>
      <c r="U82" s="198"/>
    </row>
    <row r="83" spans="1:26" s="12" customFormat="1" x14ac:dyDescent="0.25">
      <c r="A83" s="211" t="s">
        <v>511</v>
      </c>
      <c r="B83" s="64">
        <v>7.54</v>
      </c>
      <c r="C83" s="64">
        <v>22.81</v>
      </c>
      <c r="D83" s="64">
        <v>19.28</v>
      </c>
      <c r="E83" s="64">
        <v>0.9</v>
      </c>
      <c r="F83" s="64">
        <v>3.77</v>
      </c>
      <c r="G83" s="64">
        <v>27.43</v>
      </c>
      <c r="H83" s="64">
        <v>6.46</v>
      </c>
      <c r="I83" s="64">
        <v>0.51</v>
      </c>
      <c r="J83" s="64">
        <v>0.48</v>
      </c>
      <c r="K83" s="64">
        <v>284.01</v>
      </c>
      <c r="L83" s="64">
        <v>23.94</v>
      </c>
      <c r="M83" s="64">
        <v>66.599999999999994</v>
      </c>
      <c r="N83" s="64">
        <v>5.5</v>
      </c>
      <c r="O83" s="64">
        <v>0</v>
      </c>
      <c r="P83" s="64">
        <v>0.7</v>
      </c>
      <c r="Q83" s="64">
        <v>22.32</v>
      </c>
      <c r="R83" s="198"/>
      <c r="S83" s="198"/>
      <c r="T83" s="198"/>
      <c r="U83" s="198"/>
    </row>
    <row r="84" spans="1:26" s="12" customFormat="1" x14ac:dyDescent="0.25">
      <c r="A84" s="211" t="s">
        <v>512</v>
      </c>
      <c r="B84" s="64">
        <v>12.44</v>
      </c>
      <c r="C84" s="64">
        <v>30.84</v>
      </c>
      <c r="D84" s="64">
        <v>27.64</v>
      </c>
      <c r="E84" s="64">
        <v>1.05</v>
      </c>
      <c r="F84" s="64">
        <v>8.4700000000000006</v>
      </c>
      <c r="G84" s="64">
        <v>33.51</v>
      </c>
      <c r="H84" s="64">
        <v>6.12</v>
      </c>
      <c r="I84" s="64">
        <v>0.51</v>
      </c>
      <c r="J84" s="64">
        <v>0.1</v>
      </c>
      <c r="K84" s="64">
        <v>285.52999999999997</v>
      </c>
      <c r="L84" s="64">
        <v>23.63</v>
      </c>
      <c r="M84" s="64">
        <v>66.819999999999993</v>
      </c>
      <c r="N84" s="64">
        <v>5.3</v>
      </c>
      <c r="O84" s="64">
        <v>0</v>
      </c>
      <c r="P84" s="64">
        <v>0.87</v>
      </c>
      <c r="Q84" s="64">
        <v>22.99</v>
      </c>
      <c r="R84" s="198"/>
      <c r="S84" s="198"/>
      <c r="T84" s="198"/>
      <c r="U84" s="198"/>
    </row>
    <row r="85" spans="1:26" s="12" customFormat="1" x14ac:dyDescent="0.25">
      <c r="A85" s="211" t="s">
        <v>513</v>
      </c>
      <c r="B85" s="64">
        <v>10.52</v>
      </c>
      <c r="C85" s="64">
        <v>33.36</v>
      </c>
      <c r="D85" s="64">
        <v>27.5</v>
      </c>
      <c r="E85" s="64">
        <v>1.08</v>
      </c>
      <c r="F85" s="64">
        <v>9.76</v>
      </c>
      <c r="G85" s="64">
        <v>33.51</v>
      </c>
      <c r="H85" s="64">
        <v>6.12</v>
      </c>
      <c r="I85" s="64">
        <v>0.52</v>
      </c>
      <c r="J85" s="64">
        <v>0.09</v>
      </c>
      <c r="K85" s="64">
        <v>266.74</v>
      </c>
      <c r="L85" s="64">
        <v>23.45</v>
      </c>
      <c r="M85" s="64">
        <v>67.91</v>
      </c>
      <c r="N85" s="64">
        <v>5.2</v>
      </c>
      <c r="O85" s="64">
        <v>0</v>
      </c>
      <c r="P85" s="64">
        <v>0.77</v>
      </c>
      <c r="Q85" s="64">
        <v>23.56</v>
      </c>
      <c r="R85" s="198"/>
      <c r="S85" s="198"/>
      <c r="T85" s="198"/>
      <c r="U85" s="198"/>
    </row>
    <row r="86" spans="1:26" s="12" customFormat="1" x14ac:dyDescent="0.25">
      <c r="A86" s="211" t="s">
        <v>514</v>
      </c>
      <c r="B86" s="64">
        <v>8.66</v>
      </c>
      <c r="C86" s="64">
        <v>28.7</v>
      </c>
      <c r="D86" s="64">
        <v>23.43</v>
      </c>
      <c r="E86" s="64">
        <v>1.57</v>
      </c>
      <c r="F86" s="64">
        <v>8.43</v>
      </c>
      <c r="G86" s="64">
        <v>33.51</v>
      </c>
      <c r="H86" s="64">
        <v>6.12</v>
      </c>
      <c r="I86" s="64">
        <v>0.54</v>
      </c>
      <c r="J86" s="64">
        <v>0.19</v>
      </c>
      <c r="K86" s="64">
        <v>271.16000000000003</v>
      </c>
      <c r="L86" s="64">
        <v>23.49</v>
      </c>
      <c r="M86" s="64">
        <v>67.22</v>
      </c>
      <c r="N86" s="64">
        <v>5</v>
      </c>
      <c r="O86" s="64">
        <v>0</v>
      </c>
      <c r="P86" s="64">
        <v>0.77</v>
      </c>
      <c r="Q86" s="64">
        <v>23.63</v>
      </c>
      <c r="R86" s="198"/>
      <c r="S86" s="198"/>
      <c r="T86" s="198"/>
      <c r="U86" s="198"/>
    </row>
    <row r="87" spans="1:26" s="12" customFormat="1" x14ac:dyDescent="0.25">
      <c r="A87" s="211" t="s">
        <v>515</v>
      </c>
      <c r="B87" s="64">
        <v>8.8699999999999992</v>
      </c>
      <c r="C87" s="64">
        <v>29.02</v>
      </c>
      <c r="D87" s="64">
        <v>23.77</v>
      </c>
      <c r="E87" s="64">
        <v>1.79</v>
      </c>
      <c r="F87" s="64">
        <v>6.88</v>
      </c>
      <c r="G87" s="64">
        <v>33.82</v>
      </c>
      <c r="H87" s="64">
        <v>6.2</v>
      </c>
      <c r="I87" s="64">
        <v>0.54</v>
      </c>
      <c r="J87" s="64">
        <v>0.2</v>
      </c>
      <c r="K87" s="64">
        <v>263.33</v>
      </c>
      <c r="L87" s="64">
        <v>23.26</v>
      </c>
      <c r="M87" s="64">
        <v>71.040000000000006</v>
      </c>
      <c r="N87" s="64">
        <v>4.9000000000000004</v>
      </c>
      <c r="O87" s="64">
        <v>0</v>
      </c>
      <c r="P87" s="64">
        <v>0.72</v>
      </c>
      <c r="Q87" s="64">
        <v>24.5</v>
      </c>
      <c r="R87" s="198"/>
      <c r="S87" s="198"/>
      <c r="T87" s="198"/>
      <c r="U87" s="198"/>
    </row>
    <row r="88" spans="1:26" s="12" customFormat="1" x14ac:dyDescent="0.25">
      <c r="A88" s="211" t="s">
        <v>516</v>
      </c>
      <c r="B88" s="64">
        <v>10.02</v>
      </c>
      <c r="C88" s="64">
        <v>31.49</v>
      </c>
      <c r="D88" s="64">
        <v>26.06</v>
      </c>
      <c r="E88" s="64">
        <v>7.0000000000000007E-2</v>
      </c>
      <c r="F88" s="64">
        <v>5.82</v>
      </c>
      <c r="G88" s="64">
        <v>37.450000000000003</v>
      </c>
      <c r="H88" s="64">
        <v>6.96</v>
      </c>
      <c r="I88" s="64">
        <v>0.55000000000000004</v>
      </c>
      <c r="J88" s="64">
        <v>0.19</v>
      </c>
      <c r="K88" s="64">
        <v>248.08</v>
      </c>
      <c r="L88" s="64">
        <v>23.14</v>
      </c>
      <c r="M88" s="64">
        <v>72.010000000000005</v>
      </c>
      <c r="N88" s="64">
        <v>4.9000000000000004</v>
      </c>
      <c r="O88" s="64">
        <v>0</v>
      </c>
      <c r="P88" s="64">
        <v>0.7</v>
      </c>
      <c r="Q88" s="64">
        <v>24.47</v>
      </c>
      <c r="R88" s="198"/>
      <c r="S88" s="198"/>
      <c r="T88" s="198"/>
      <c r="U88" s="198"/>
    </row>
    <row r="89" spans="1:26" s="12" customFormat="1" x14ac:dyDescent="0.25">
      <c r="A89" s="211" t="s">
        <v>517</v>
      </c>
      <c r="B89" s="64">
        <v>9.25</v>
      </c>
      <c r="C89" s="64">
        <v>24.3</v>
      </c>
      <c r="D89" s="64">
        <v>21.47</v>
      </c>
      <c r="E89" s="64">
        <v>0.54</v>
      </c>
      <c r="F89" s="64">
        <v>3.94</v>
      </c>
      <c r="G89" s="64">
        <v>37.450000000000003</v>
      </c>
      <c r="H89" s="64">
        <v>6.96</v>
      </c>
      <c r="I89" s="64">
        <v>0.55000000000000004</v>
      </c>
      <c r="J89" s="64">
        <v>0.15</v>
      </c>
      <c r="K89" s="64">
        <v>263.02</v>
      </c>
      <c r="L89" s="64">
        <v>23.05</v>
      </c>
      <c r="M89" s="64">
        <v>72.27</v>
      </c>
      <c r="N89" s="64">
        <v>4.9000000000000004</v>
      </c>
      <c r="O89" s="64">
        <v>0</v>
      </c>
      <c r="P89" s="64">
        <v>0.73</v>
      </c>
      <c r="Q89" s="64">
        <v>24.63</v>
      </c>
      <c r="R89" s="198"/>
      <c r="S89" s="198"/>
      <c r="T89" s="198"/>
      <c r="U89" s="198"/>
    </row>
    <row r="90" spans="1:26" s="12" customFormat="1" x14ac:dyDescent="0.25">
      <c r="A90" s="211" t="s">
        <v>518</v>
      </c>
      <c r="B90" s="64">
        <v>9.01</v>
      </c>
      <c r="C90" s="64">
        <v>21.82</v>
      </c>
      <c r="D90" s="64">
        <v>19.91</v>
      </c>
      <c r="E90" s="64">
        <v>0.52</v>
      </c>
      <c r="F90" s="64">
        <v>3.45</v>
      </c>
      <c r="G90" s="64">
        <v>37.450000000000003</v>
      </c>
      <c r="H90" s="64">
        <v>6.96</v>
      </c>
      <c r="I90" s="64">
        <v>0.55000000000000004</v>
      </c>
      <c r="J90" s="64">
        <v>0.12</v>
      </c>
      <c r="K90" s="64">
        <v>259.20999999999998</v>
      </c>
      <c r="L90" s="64">
        <v>22.98</v>
      </c>
      <c r="M90" s="64">
        <v>73.03</v>
      </c>
      <c r="N90" s="64">
        <v>5</v>
      </c>
      <c r="O90" s="64">
        <v>0</v>
      </c>
      <c r="P90" s="64">
        <v>0.74</v>
      </c>
      <c r="Q90" s="64">
        <v>24.73</v>
      </c>
      <c r="R90" s="198"/>
      <c r="S90" s="198"/>
      <c r="T90" s="198"/>
      <c r="U90" s="198"/>
    </row>
    <row r="91" spans="1:26" s="12" customFormat="1" x14ac:dyDescent="0.25">
      <c r="A91" s="211" t="s">
        <v>519</v>
      </c>
      <c r="B91" s="64">
        <v>8.5</v>
      </c>
      <c r="C91" s="64">
        <v>22.46</v>
      </c>
      <c r="D91" s="64">
        <v>19.850000000000001</v>
      </c>
      <c r="E91" s="64">
        <v>0.57999999999999996</v>
      </c>
      <c r="F91" s="64">
        <v>3.57</v>
      </c>
      <c r="G91" s="64">
        <v>37.64</v>
      </c>
      <c r="H91" s="64">
        <v>7.21</v>
      </c>
      <c r="I91" s="64">
        <v>0.56000000000000005</v>
      </c>
      <c r="J91" s="64">
        <v>0.2</v>
      </c>
      <c r="K91" s="64">
        <v>244.41</v>
      </c>
      <c r="L91" s="64">
        <v>22.86</v>
      </c>
      <c r="M91" s="64">
        <v>73.400000000000006</v>
      </c>
      <c r="N91" s="64">
        <v>4.8</v>
      </c>
      <c r="O91" s="64">
        <v>0</v>
      </c>
      <c r="P91" s="64">
        <v>0.73</v>
      </c>
      <c r="Q91" s="64">
        <v>24.88</v>
      </c>
      <c r="R91" s="198"/>
      <c r="S91" s="198"/>
      <c r="T91" s="198"/>
      <c r="U91" s="198"/>
    </row>
    <row r="92" spans="1:26" s="12" customFormat="1" x14ac:dyDescent="0.25">
      <c r="A92" s="211" t="s">
        <v>520</v>
      </c>
      <c r="B92" s="64">
        <v>8.31</v>
      </c>
      <c r="C92" s="64">
        <v>21.96</v>
      </c>
      <c r="D92" s="64">
        <v>19.420000000000002</v>
      </c>
      <c r="E92" s="64">
        <v>0.31</v>
      </c>
      <c r="F92" s="64">
        <v>3.06</v>
      </c>
      <c r="G92" s="64">
        <v>39.9</v>
      </c>
      <c r="H92" s="64">
        <v>9.8000000000000007</v>
      </c>
      <c r="I92" s="64">
        <v>0.56999999999999995</v>
      </c>
      <c r="J92" s="64">
        <v>0.16</v>
      </c>
      <c r="K92" s="64">
        <v>264.45999999999998</v>
      </c>
      <c r="L92" s="64">
        <v>22.86</v>
      </c>
      <c r="M92" s="64">
        <v>73.430000000000007</v>
      </c>
      <c r="N92" s="64">
        <v>5</v>
      </c>
      <c r="O92" s="64">
        <v>0</v>
      </c>
      <c r="P92" s="64">
        <v>0.73</v>
      </c>
      <c r="Q92" s="64">
        <v>25.09</v>
      </c>
      <c r="R92" s="198"/>
      <c r="S92" s="198"/>
      <c r="T92" s="198"/>
      <c r="U92" s="198"/>
    </row>
    <row r="93" spans="1:26" s="12" customFormat="1" x14ac:dyDescent="0.25">
      <c r="A93" s="211" t="s">
        <v>521</v>
      </c>
      <c r="B93" s="64">
        <v>8.09</v>
      </c>
      <c r="C93" s="64">
        <v>21.33</v>
      </c>
      <c r="D93" s="64">
        <v>18.91</v>
      </c>
      <c r="E93" s="64">
        <v>0.44</v>
      </c>
      <c r="F93" s="64">
        <v>3.18</v>
      </c>
      <c r="G93" s="64">
        <v>39.9</v>
      </c>
      <c r="H93" s="64">
        <v>9.8000000000000007</v>
      </c>
      <c r="I93" s="64">
        <v>0.56999999999999995</v>
      </c>
      <c r="J93" s="64">
        <v>0.09</v>
      </c>
      <c r="K93" s="64">
        <v>242.02</v>
      </c>
      <c r="L93" s="64">
        <v>22.69</v>
      </c>
      <c r="M93" s="64">
        <v>74.819999999999993</v>
      </c>
      <c r="N93" s="64">
        <v>5.2</v>
      </c>
      <c r="O93" s="64">
        <v>0</v>
      </c>
      <c r="P93" s="64">
        <v>0.72</v>
      </c>
      <c r="Q93" s="64">
        <v>25.06</v>
      </c>
      <c r="R93" s="198"/>
      <c r="S93" s="198"/>
      <c r="T93" s="198"/>
      <c r="U93" s="198"/>
    </row>
    <row r="94" spans="1:26" s="12" customFormat="1" x14ac:dyDescent="0.25">
      <c r="A94" s="211" t="s">
        <v>522</v>
      </c>
      <c r="B94" s="64">
        <v>8.36</v>
      </c>
      <c r="C94" s="64">
        <v>21.9</v>
      </c>
      <c r="D94" s="64">
        <v>19.43</v>
      </c>
      <c r="E94" s="64">
        <v>0.66</v>
      </c>
      <c r="F94" s="64">
        <v>2.8</v>
      </c>
      <c r="G94" s="64">
        <v>39.9</v>
      </c>
      <c r="H94" s="64">
        <v>9.8000000000000007</v>
      </c>
      <c r="I94" s="64">
        <v>0.56999999999999995</v>
      </c>
      <c r="J94" s="64">
        <v>0.11</v>
      </c>
      <c r="K94" s="64">
        <v>254.29</v>
      </c>
      <c r="L94" s="64">
        <v>22.39</v>
      </c>
      <c r="M94" s="64">
        <v>76.849999999999994</v>
      </c>
      <c r="N94" s="64">
        <v>5.0999999999999996</v>
      </c>
      <c r="O94" s="64">
        <v>0</v>
      </c>
      <c r="P94" s="64">
        <v>0.73</v>
      </c>
      <c r="Q94" s="64">
        <v>24.84</v>
      </c>
      <c r="R94" s="198"/>
      <c r="S94" s="198"/>
      <c r="T94" s="198"/>
      <c r="U94" s="198"/>
    </row>
    <row r="95" spans="1:26" s="12" customFormat="1" x14ac:dyDescent="0.25">
      <c r="A95" s="211" t="s">
        <v>523</v>
      </c>
      <c r="B95" s="64">
        <v>24.57</v>
      </c>
      <c r="C95" s="64">
        <v>30.96</v>
      </c>
      <c r="D95" s="64">
        <v>37.44</v>
      </c>
      <c r="E95" s="64">
        <v>0.57999999999999996</v>
      </c>
      <c r="F95" s="64">
        <v>2.66</v>
      </c>
      <c r="G95" s="64">
        <v>40.1</v>
      </c>
      <c r="H95" s="64">
        <v>10.06</v>
      </c>
      <c r="I95" s="64">
        <v>0.56999999999999995</v>
      </c>
      <c r="J95" s="64">
        <v>0.05</v>
      </c>
      <c r="K95" s="64">
        <v>67.819999999999993</v>
      </c>
      <c r="L95" s="64">
        <v>21.94</v>
      </c>
      <c r="M95" s="64">
        <v>81.650000000000006</v>
      </c>
      <c r="N95" s="64">
        <v>5.2</v>
      </c>
      <c r="O95" s="64">
        <v>0</v>
      </c>
      <c r="P95" s="64">
        <v>0.95</v>
      </c>
      <c r="Q95" s="64">
        <v>24.25</v>
      </c>
      <c r="R95" s="198"/>
      <c r="S95" s="198"/>
      <c r="T95" s="198"/>
      <c r="U95" s="198"/>
    </row>
    <row r="96" spans="1:26" s="12" customFormat="1" x14ac:dyDescent="0.25">
      <c r="A96" s="211" t="s">
        <v>524</v>
      </c>
      <c r="B96" s="64">
        <v>30.03</v>
      </c>
      <c r="C96" s="64">
        <v>33.130000000000003</v>
      </c>
      <c r="D96" s="64">
        <v>43.02</v>
      </c>
      <c r="E96" s="64">
        <v>0.83</v>
      </c>
      <c r="F96" s="64">
        <v>3.13</v>
      </c>
      <c r="G96" s="64">
        <v>42.42</v>
      </c>
      <c r="H96" s="64">
        <v>12.64</v>
      </c>
      <c r="I96" s="64">
        <v>0.57999999999999996</v>
      </c>
      <c r="J96" s="64">
        <v>0.16</v>
      </c>
      <c r="K96" s="64">
        <v>303.22000000000003</v>
      </c>
      <c r="L96" s="64">
        <v>21.7</v>
      </c>
      <c r="M96" s="64">
        <v>84</v>
      </c>
      <c r="N96" s="64">
        <v>4.8</v>
      </c>
      <c r="O96" s="64">
        <v>0</v>
      </c>
      <c r="P96" s="64">
        <v>1.1299999999999999</v>
      </c>
      <c r="Q96" s="64">
        <v>22.89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525</v>
      </c>
      <c r="B97" s="64">
        <v>26.61</v>
      </c>
      <c r="C97" s="64">
        <v>29.61</v>
      </c>
      <c r="D97" s="64">
        <v>38.33</v>
      </c>
      <c r="E97" s="64">
        <v>0.88</v>
      </c>
      <c r="F97" s="64">
        <v>2.8</v>
      </c>
      <c r="G97" s="64">
        <v>42.42</v>
      </c>
      <c r="H97" s="64">
        <v>12.64</v>
      </c>
      <c r="I97" s="64">
        <v>0.59</v>
      </c>
      <c r="J97" s="64">
        <v>0.06</v>
      </c>
      <c r="K97" s="64">
        <v>245.34</v>
      </c>
      <c r="L97" s="64">
        <v>21.4</v>
      </c>
      <c r="M97" s="64">
        <v>85.84</v>
      </c>
      <c r="N97" s="64">
        <v>5</v>
      </c>
      <c r="O97" s="64">
        <v>0</v>
      </c>
      <c r="P97" s="64">
        <v>1.06</v>
      </c>
      <c r="Q97" s="64">
        <v>24.83</v>
      </c>
      <c r="R97" s="198"/>
      <c r="S97" s="198"/>
      <c r="T97" s="198"/>
      <c r="U97" s="198"/>
    </row>
    <row r="98" spans="1:33" s="12" customFormat="1" x14ac:dyDescent="0.25">
      <c r="A98" s="211" t="s">
        <v>526</v>
      </c>
      <c r="B98" s="64">
        <v>24.14</v>
      </c>
      <c r="C98" s="64">
        <v>31.29</v>
      </c>
      <c r="D98" s="64">
        <v>37.270000000000003</v>
      </c>
      <c r="E98" s="64">
        <v>0.7</v>
      </c>
      <c r="F98" s="64">
        <v>3.17</v>
      </c>
      <c r="G98" s="64">
        <v>42.42</v>
      </c>
      <c r="H98" s="64">
        <v>12.64</v>
      </c>
      <c r="I98" s="64">
        <v>0.63</v>
      </c>
      <c r="J98" s="64">
        <v>0.14000000000000001</v>
      </c>
      <c r="K98" s="64">
        <v>292.89</v>
      </c>
      <c r="L98" s="64">
        <v>21.3</v>
      </c>
      <c r="M98" s="64">
        <v>86.1</v>
      </c>
      <c r="N98" s="64">
        <v>4.7</v>
      </c>
      <c r="O98" s="64">
        <v>0</v>
      </c>
      <c r="P98" s="64">
        <v>1.05</v>
      </c>
      <c r="Q98" s="64">
        <v>25.83</v>
      </c>
      <c r="R98" s="198"/>
      <c r="S98" s="198"/>
      <c r="T98" s="198"/>
      <c r="U98" s="198"/>
    </row>
    <row r="99" spans="1:33" s="12" customFormat="1" x14ac:dyDescent="0.25">
      <c r="A99" s="211" t="s">
        <v>527</v>
      </c>
      <c r="B99" s="64">
        <v>26.12</v>
      </c>
      <c r="C99" s="64">
        <v>35.08</v>
      </c>
      <c r="D99" s="64">
        <v>40.950000000000003</v>
      </c>
      <c r="E99" s="64">
        <v>0.39</v>
      </c>
      <c r="F99" s="64">
        <v>3.06</v>
      </c>
      <c r="G99" s="64">
        <v>43</v>
      </c>
      <c r="H99" s="64">
        <v>12.36</v>
      </c>
      <c r="I99" s="64">
        <v>0.64</v>
      </c>
      <c r="J99" s="64">
        <v>0.05</v>
      </c>
      <c r="K99" s="64">
        <v>220.15</v>
      </c>
      <c r="L99" s="64">
        <v>21.21</v>
      </c>
      <c r="M99" s="64">
        <v>84.81</v>
      </c>
      <c r="N99" s="64">
        <v>4.7</v>
      </c>
      <c r="O99" s="64">
        <v>0</v>
      </c>
      <c r="P99" s="64">
        <v>1.1499999999999999</v>
      </c>
      <c r="Q99" s="64">
        <v>26.37</v>
      </c>
      <c r="R99" s="198"/>
      <c r="S99" s="198"/>
      <c r="T99" s="198"/>
      <c r="U99" s="198"/>
    </row>
    <row r="100" spans="1:33" s="12" customFormat="1" x14ac:dyDescent="0.25">
      <c r="A100" s="211" t="s">
        <v>528</v>
      </c>
      <c r="B100" s="64">
        <v>23.63</v>
      </c>
      <c r="C100" s="64">
        <v>22.34</v>
      </c>
      <c r="D100" s="64">
        <v>31.93</v>
      </c>
      <c r="E100" s="64">
        <v>0.61</v>
      </c>
      <c r="F100" s="64">
        <v>3.18</v>
      </c>
      <c r="G100" s="64">
        <v>49.8</v>
      </c>
      <c r="H100" s="64">
        <v>9.52</v>
      </c>
      <c r="I100" s="64">
        <v>0.64</v>
      </c>
      <c r="J100" s="64">
        <v>0.1</v>
      </c>
      <c r="K100" s="64">
        <v>128.08000000000001</v>
      </c>
      <c r="L100" s="64">
        <v>21.3</v>
      </c>
      <c r="M100" s="64">
        <v>84.33</v>
      </c>
      <c r="N100" s="64">
        <v>4.8</v>
      </c>
      <c r="O100" s="64">
        <v>0</v>
      </c>
      <c r="P100" s="64">
        <v>1</v>
      </c>
      <c r="Q100" s="64">
        <v>26.84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529</v>
      </c>
      <c r="B101" s="64">
        <v>22.8</v>
      </c>
      <c r="C101" s="64">
        <v>19.84</v>
      </c>
      <c r="D101" s="64">
        <v>29.88</v>
      </c>
      <c r="E101" s="64">
        <v>1.02</v>
      </c>
      <c r="F101" s="64">
        <v>2.0099999999999998</v>
      </c>
      <c r="G101" s="64">
        <v>49.8</v>
      </c>
      <c r="H101" s="64">
        <v>9.52</v>
      </c>
      <c r="I101" s="64">
        <v>0.61</v>
      </c>
      <c r="J101" s="64">
        <v>0.08</v>
      </c>
      <c r="K101" s="64">
        <v>286.93</v>
      </c>
      <c r="L101" s="64">
        <v>21.31</v>
      </c>
      <c r="M101" s="64">
        <v>85.36</v>
      </c>
      <c r="N101" s="64">
        <v>4.9000000000000004</v>
      </c>
      <c r="O101" s="64">
        <v>0</v>
      </c>
      <c r="P101" s="64">
        <v>1.02</v>
      </c>
      <c r="Q101" s="64">
        <v>27.69</v>
      </c>
      <c r="R101" s="198"/>
      <c r="S101" s="198"/>
      <c r="T101" s="198"/>
      <c r="U101" s="198"/>
    </row>
    <row r="102" spans="1:33" s="12" customFormat="1" x14ac:dyDescent="0.25">
      <c r="A102" s="211" t="s">
        <v>530</v>
      </c>
      <c r="B102" s="64">
        <v>23.94</v>
      </c>
      <c r="C102" s="64">
        <v>18.87</v>
      </c>
      <c r="D102" s="64">
        <v>30.26</v>
      </c>
      <c r="E102" s="64">
        <v>0.83</v>
      </c>
      <c r="F102" s="64">
        <v>2.75</v>
      </c>
      <c r="G102" s="64">
        <v>49.8</v>
      </c>
      <c r="H102" s="64">
        <v>9.52</v>
      </c>
      <c r="I102" s="64">
        <v>0.66</v>
      </c>
      <c r="J102" s="64">
        <v>0.08</v>
      </c>
      <c r="K102" s="64">
        <v>284.97000000000003</v>
      </c>
      <c r="L102" s="64">
        <v>20.98</v>
      </c>
      <c r="M102" s="64">
        <v>88.5</v>
      </c>
      <c r="N102" s="64">
        <v>4.9000000000000004</v>
      </c>
      <c r="O102" s="64">
        <v>0</v>
      </c>
      <c r="P102" s="64">
        <v>1.07</v>
      </c>
      <c r="Q102" s="64">
        <v>27.38</v>
      </c>
      <c r="R102" s="198"/>
      <c r="S102" s="198"/>
      <c r="T102" s="198"/>
      <c r="U102" s="198"/>
    </row>
    <row r="103" spans="1:33" s="12" customFormat="1" x14ac:dyDescent="0.25">
      <c r="A103" s="211" t="s">
        <v>531</v>
      </c>
      <c r="B103" s="64">
        <v>26.13</v>
      </c>
      <c r="C103" s="64">
        <v>18.899999999999999</v>
      </c>
      <c r="D103" s="64">
        <v>32.04</v>
      </c>
      <c r="E103" s="64">
        <v>0.63</v>
      </c>
      <c r="F103" s="64">
        <v>2.77</v>
      </c>
      <c r="G103" s="64">
        <v>51.32</v>
      </c>
      <c r="H103" s="64">
        <v>9.6999999999999993</v>
      </c>
      <c r="I103" s="64">
        <v>0.66</v>
      </c>
      <c r="J103" s="64">
        <v>0.06</v>
      </c>
      <c r="K103" s="64">
        <v>287.94</v>
      </c>
      <c r="L103" s="64">
        <v>20.77</v>
      </c>
      <c r="M103" s="64">
        <v>90.57</v>
      </c>
      <c r="N103" s="64">
        <v>4.9000000000000004</v>
      </c>
      <c r="O103" s="64">
        <v>0</v>
      </c>
      <c r="P103" s="64">
        <v>1.1200000000000001</v>
      </c>
      <c r="Q103" s="64">
        <v>27.2</v>
      </c>
      <c r="R103" s="198"/>
      <c r="S103" s="198"/>
      <c r="T103" s="198"/>
      <c r="U103" s="198"/>
    </row>
    <row r="104" spans="1:33" s="12" customFormat="1" x14ac:dyDescent="0.25">
      <c r="A104" s="211" t="s">
        <v>532</v>
      </c>
      <c r="B104" s="64">
        <v>27.31</v>
      </c>
      <c r="C104" s="64">
        <v>19.29</v>
      </c>
      <c r="D104" s="64">
        <v>33.19</v>
      </c>
      <c r="E104" s="64">
        <v>0.84</v>
      </c>
      <c r="F104" s="64">
        <v>2.62</v>
      </c>
      <c r="G104" s="64">
        <v>66.83</v>
      </c>
      <c r="H104" s="64">
        <v>11.57</v>
      </c>
      <c r="I104" s="64">
        <v>0.67</v>
      </c>
      <c r="J104" s="64">
        <v>0.1</v>
      </c>
      <c r="K104" s="64">
        <v>216.88</v>
      </c>
      <c r="L104" s="64">
        <v>20.66</v>
      </c>
      <c r="M104" s="64">
        <v>89.65</v>
      </c>
      <c r="N104" s="64">
        <v>4.7</v>
      </c>
      <c r="O104" s="64">
        <v>0</v>
      </c>
      <c r="P104" s="64">
        <v>1.1499999999999999</v>
      </c>
      <c r="Q104" s="64">
        <v>27.39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1.37</v>
      </c>
      <c r="C106" s="67">
        <f>MIN(C9:C104)</f>
        <v>14.47</v>
      </c>
      <c r="D106" s="67">
        <f t="shared" ref="D106:Q106" si="0">MIN(D9:D104)</f>
        <v>10.35</v>
      </c>
      <c r="E106" s="67">
        <f t="shared" si="0"/>
        <v>0.06</v>
      </c>
      <c r="F106" s="67">
        <f t="shared" si="0"/>
        <v>2.0099999999999998</v>
      </c>
      <c r="G106" s="67">
        <f t="shared" si="0"/>
        <v>5.91</v>
      </c>
      <c r="H106" s="67">
        <f t="shared" si="0"/>
        <v>2.2999999999999998</v>
      </c>
      <c r="I106" s="67">
        <f t="shared" si="0"/>
        <v>0.45</v>
      </c>
      <c r="J106" s="67">
        <f t="shared" si="0"/>
        <v>0.04</v>
      </c>
      <c r="K106" s="67">
        <f t="shared" si="0"/>
        <v>5.71</v>
      </c>
      <c r="L106" s="67">
        <f t="shared" si="0"/>
        <v>17.77</v>
      </c>
      <c r="M106" s="67">
        <f t="shared" si="0"/>
        <v>51.13</v>
      </c>
      <c r="N106" s="67">
        <f t="shared" si="0"/>
        <v>4.7</v>
      </c>
      <c r="O106" s="67">
        <f t="shared" si="0"/>
        <v>0</v>
      </c>
      <c r="P106" s="67">
        <f t="shared" si="0"/>
        <v>0.26</v>
      </c>
      <c r="Q106" s="67">
        <f t="shared" si="0"/>
        <v>16.96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30.03</v>
      </c>
      <c r="C107" s="66">
        <f t="shared" ref="C107:Q107" si="1">MAX(C9:C104)</f>
        <v>35.08</v>
      </c>
      <c r="D107" s="66">
        <f t="shared" si="1"/>
        <v>43.02</v>
      </c>
      <c r="E107" s="66">
        <f t="shared" si="1"/>
        <v>1.79</v>
      </c>
      <c r="F107" s="66">
        <f t="shared" si="1"/>
        <v>22.42</v>
      </c>
      <c r="G107" s="66">
        <f t="shared" si="1"/>
        <v>66.83</v>
      </c>
      <c r="H107" s="66">
        <f t="shared" si="1"/>
        <v>12.64</v>
      </c>
      <c r="I107" s="66">
        <f t="shared" si="1"/>
        <v>0.67</v>
      </c>
      <c r="J107" s="66">
        <f t="shared" si="1"/>
        <v>2.52</v>
      </c>
      <c r="K107" s="66">
        <f t="shared" si="1"/>
        <v>346.26</v>
      </c>
      <c r="L107" s="66">
        <f t="shared" si="1"/>
        <v>28.01</v>
      </c>
      <c r="M107" s="66">
        <f t="shared" si="1"/>
        <v>97.1</v>
      </c>
      <c r="N107" s="66">
        <f t="shared" si="1"/>
        <v>1004.4</v>
      </c>
      <c r="O107" s="66">
        <f t="shared" si="1"/>
        <v>1.8</v>
      </c>
      <c r="P107" s="66">
        <f t="shared" si="1"/>
        <v>1.1499999999999999</v>
      </c>
      <c r="Q107" s="66">
        <f t="shared" si="1"/>
        <v>28.98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6.4654166666666661</v>
      </c>
      <c r="C108" s="67">
        <f t="shared" ref="C108:Q108" si="2">AVERAGE(C9:C104)</f>
        <v>21.381979166666657</v>
      </c>
      <c r="D108" s="67">
        <f t="shared" si="2"/>
        <v>17.631145833333342</v>
      </c>
      <c r="E108" s="67">
        <f t="shared" si="2"/>
        <v>0.83760416666666637</v>
      </c>
      <c r="F108" s="67">
        <f t="shared" si="2"/>
        <v>4.7895833333333337</v>
      </c>
      <c r="G108" s="67">
        <f t="shared" si="2"/>
        <v>25.179791666666688</v>
      </c>
      <c r="H108" s="67">
        <f t="shared" si="2"/>
        <v>6.7190624999999962</v>
      </c>
      <c r="I108" s="67">
        <f t="shared" si="2"/>
        <v>0.50624999999999976</v>
      </c>
      <c r="J108" s="67">
        <f t="shared" si="2"/>
        <v>0.46812499999999996</v>
      </c>
      <c r="K108" s="67">
        <f t="shared" si="2"/>
        <v>238.7934375000001</v>
      </c>
      <c r="L108" s="67">
        <f t="shared" si="2"/>
        <v>22.060000000000002</v>
      </c>
      <c r="M108" s="67">
        <f t="shared" si="2"/>
        <v>78.071770833333318</v>
      </c>
      <c r="N108" s="67">
        <f t="shared" si="2"/>
        <v>112.91011235955054</v>
      </c>
      <c r="O108" s="67">
        <f t="shared" si="2"/>
        <v>6.8750000000000019E-2</v>
      </c>
      <c r="P108" s="67">
        <f t="shared" si="2"/>
        <v>0.52843749999999989</v>
      </c>
      <c r="Q108" s="67">
        <f t="shared" si="2"/>
        <v>24.426041666666666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6.95841844049224</v>
      </c>
      <c r="C109" s="67">
        <f t="shared" ref="C109:Q109" si="3">STDEV(C9:C104)</f>
        <v>4.269568847896716</v>
      </c>
      <c r="D109" s="67">
        <f t="shared" si="3"/>
        <v>7.0738468459220307</v>
      </c>
      <c r="E109" s="67">
        <f t="shared" si="3"/>
        <v>0.33118843353712235</v>
      </c>
      <c r="F109" s="67">
        <f t="shared" si="3"/>
        <v>3.0744580751964015</v>
      </c>
      <c r="G109" s="67">
        <f t="shared" si="3"/>
        <v>11.973979330563878</v>
      </c>
      <c r="H109" s="67">
        <f t="shared" si="3"/>
        <v>2.5953639144991314</v>
      </c>
      <c r="I109" s="67">
        <f t="shared" si="3"/>
        <v>4.9038116216931334E-2</v>
      </c>
      <c r="J109" s="67">
        <f t="shared" si="3"/>
        <v>0.47795466091956529</v>
      </c>
      <c r="K109" s="67">
        <f t="shared" si="3"/>
        <v>73.172545208361328</v>
      </c>
      <c r="L109" s="67">
        <f t="shared" si="3"/>
        <v>3.1976665834553746</v>
      </c>
      <c r="M109" s="67">
        <f t="shared" si="3"/>
        <v>14.828909602160214</v>
      </c>
      <c r="N109" s="67">
        <f t="shared" si="3"/>
        <v>170.35867512995239</v>
      </c>
      <c r="O109" s="67">
        <f t="shared" si="3"/>
        <v>0.24764681982295081</v>
      </c>
      <c r="P109" s="67">
        <f t="shared" si="3"/>
        <v>0.23882752254779166</v>
      </c>
      <c r="Q109" s="67">
        <f t="shared" si="3"/>
        <v>3.3651343851062081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COUNT(N9:N104)+7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3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S64" sqref="S6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533</v>
      </c>
      <c r="B9" s="64">
        <v>27.42</v>
      </c>
      <c r="C9" s="64">
        <v>19.28</v>
      </c>
      <c r="D9" s="64">
        <v>33.270000000000003</v>
      </c>
      <c r="E9" s="64">
        <v>2.25</v>
      </c>
      <c r="F9" s="64">
        <v>3.2</v>
      </c>
      <c r="G9" s="64">
        <v>66.83</v>
      </c>
      <c r="H9" s="64">
        <v>11.57</v>
      </c>
      <c r="I9" s="64">
        <v>0.69</v>
      </c>
      <c r="J9" s="64">
        <v>0.06</v>
      </c>
      <c r="K9" s="64">
        <v>343.67</v>
      </c>
      <c r="L9" s="64">
        <v>20.75</v>
      </c>
      <c r="M9" s="64">
        <v>89.29</v>
      </c>
      <c r="N9" s="64">
        <v>4.8</v>
      </c>
      <c r="O9" s="64">
        <v>0</v>
      </c>
      <c r="P9" s="64">
        <v>1.17</v>
      </c>
      <c r="Q9" s="64">
        <v>27.08</v>
      </c>
      <c r="R9" s="198"/>
      <c r="S9" s="198"/>
      <c r="T9" s="198"/>
      <c r="U9" s="198"/>
    </row>
    <row r="10" spans="1:21" s="12" customFormat="1" x14ac:dyDescent="0.25">
      <c r="A10" s="211" t="s">
        <v>534</v>
      </c>
      <c r="B10" s="64">
        <v>28.04</v>
      </c>
      <c r="C10" s="64">
        <v>19.38</v>
      </c>
      <c r="D10" s="64">
        <v>33.83</v>
      </c>
      <c r="E10" s="64">
        <v>1.73</v>
      </c>
      <c r="F10" s="64">
        <v>3.02</v>
      </c>
      <c r="G10" s="64">
        <v>66.83</v>
      </c>
      <c r="H10" s="64">
        <v>11.57</v>
      </c>
      <c r="I10" s="64">
        <v>0.69</v>
      </c>
      <c r="J10" s="214" t="s">
        <v>42</v>
      </c>
      <c r="K10" s="64">
        <v>38.96</v>
      </c>
      <c r="L10" s="64">
        <v>20.54</v>
      </c>
      <c r="M10" s="64">
        <v>89.45</v>
      </c>
      <c r="N10" s="64">
        <v>4.9000000000000004</v>
      </c>
      <c r="O10" s="64">
        <v>0</v>
      </c>
      <c r="P10" s="64">
        <v>1.2</v>
      </c>
      <c r="Q10" s="64">
        <v>27.06</v>
      </c>
      <c r="R10" s="198"/>
      <c r="S10" s="198"/>
      <c r="T10" s="198"/>
      <c r="U10" s="198"/>
    </row>
    <row r="11" spans="1:21" s="12" customFormat="1" x14ac:dyDescent="0.25">
      <c r="A11" s="211" t="s">
        <v>535</v>
      </c>
      <c r="B11" s="64">
        <v>26.04</v>
      </c>
      <c r="C11" s="64">
        <v>23.9</v>
      </c>
      <c r="D11" s="64">
        <v>34.72</v>
      </c>
      <c r="E11" s="64">
        <v>1.99</v>
      </c>
      <c r="F11" s="64">
        <v>2.8</v>
      </c>
      <c r="G11" s="64">
        <v>66.930000000000007</v>
      </c>
      <c r="H11" s="64">
        <v>11.84</v>
      </c>
      <c r="I11" s="64">
        <v>0.69</v>
      </c>
      <c r="J11" s="64">
        <v>7.0000000000000007E-2</v>
      </c>
      <c r="K11" s="64">
        <v>265.86</v>
      </c>
      <c r="L11" s="64">
        <v>20.41</v>
      </c>
      <c r="M11" s="64">
        <v>88.94</v>
      </c>
      <c r="N11" s="64">
        <v>4.8</v>
      </c>
      <c r="O11" s="64">
        <v>0</v>
      </c>
      <c r="P11" s="64">
        <v>1.2</v>
      </c>
      <c r="Q11" s="64">
        <v>27.08</v>
      </c>
      <c r="R11" s="198"/>
      <c r="S11" s="198"/>
      <c r="T11" s="198"/>
      <c r="U11" s="198"/>
    </row>
    <row r="12" spans="1:21" s="12" customFormat="1" x14ac:dyDescent="0.25">
      <c r="A12" s="211" t="s">
        <v>536</v>
      </c>
      <c r="B12" s="64">
        <v>24.77</v>
      </c>
      <c r="C12" s="64">
        <v>27.19</v>
      </c>
      <c r="D12" s="64">
        <v>35.520000000000003</v>
      </c>
      <c r="E12" s="64">
        <v>1.65</v>
      </c>
      <c r="F12" s="64">
        <v>3.13</v>
      </c>
      <c r="G12" s="64">
        <v>68.08</v>
      </c>
      <c r="H12" s="64">
        <v>14.51</v>
      </c>
      <c r="I12" s="64">
        <v>0.7</v>
      </c>
      <c r="J12" s="64">
        <v>0.12</v>
      </c>
      <c r="K12" s="64">
        <v>278.64</v>
      </c>
      <c r="L12" s="64">
        <v>20.41</v>
      </c>
      <c r="M12" s="64">
        <v>91.05</v>
      </c>
      <c r="N12" s="64">
        <v>4.5999999999999996</v>
      </c>
      <c r="O12" s="64">
        <v>0</v>
      </c>
      <c r="P12" s="64">
        <v>1.21</v>
      </c>
      <c r="Q12" s="64">
        <v>27.15</v>
      </c>
      <c r="R12" s="198"/>
      <c r="S12" s="198"/>
      <c r="T12" s="198"/>
      <c r="U12" s="198"/>
    </row>
    <row r="13" spans="1:21" s="12" customFormat="1" x14ac:dyDescent="0.25">
      <c r="A13" s="211" t="s">
        <v>537</v>
      </c>
      <c r="B13" s="64">
        <v>25.83</v>
      </c>
      <c r="C13" s="64">
        <v>25.29</v>
      </c>
      <c r="D13" s="64">
        <v>35.32</v>
      </c>
      <c r="E13" s="64">
        <v>1.98</v>
      </c>
      <c r="F13" s="64">
        <v>3.16</v>
      </c>
      <c r="G13" s="64">
        <v>68.08</v>
      </c>
      <c r="H13" s="64">
        <v>14.51</v>
      </c>
      <c r="I13" s="64">
        <v>0.67</v>
      </c>
      <c r="J13" s="64">
        <v>0.09</v>
      </c>
      <c r="K13" s="64">
        <v>291.05</v>
      </c>
      <c r="L13" s="64">
        <v>20.37</v>
      </c>
      <c r="M13" s="64">
        <v>90.8</v>
      </c>
      <c r="N13" s="64">
        <v>4.8</v>
      </c>
      <c r="O13" s="64">
        <v>0</v>
      </c>
      <c r="P13" s="64">
        <v>1.17</v>
      </c>
      <c r="Q13" s="64">
        <v>27.27</v>
      </c>
      <c r="R13" s="198"/>
      <c r="S13" s="198"/>
      <c r="T13" s="198"/>
      <c r="U13" s="198"/>
    </row>
    <row r="14" spans="1:21" s="12" customFormat="1" x14ac:dyDescent="0.25">
      <c r="A14" s="211" t="s">
        <v>538</v>
      </c>
      <c r="B14" s="64">
        <v>26.63</v>
      </c>
      <c r="C14" s="64">
        <v>23.02</v>
      </c>
      <c r="D14" s="64">
        <v>34.71</v>
      </c>
      <c r="E14" s="64">
        <v>1.94</v>
      </c>
      <c r="F14" s="64">
        <v>3.29</v>
      </c>
      <c r="G14" s="64">
        <v>68.08</v>
      </c>
      <c r="H14" s="64">
        <v>14.51</v>
      </c>
      <c r="I14" s="64">
        <v>0.66</v>
      </c>
      <c r="J14" s="64">
        <v>0.05</v>
      </c>
      <c r="K14" s="64">
        <v>212.22</v>
      </c>
      <c r="L14" s="64">
        <v>20.170000000000002</v>
      </c>
      <c r="M14" s="64">
        <v>91.1</v>
      </c>
      <c r="N14" s="64">
        <v>4.7</v>
      </c>
      <c r="O14" s="64">
        <v>0</v>
      </c>
      <c r="P14" s="64">
        <v>1.2</v>
      </c>
      <c r="Q14" s="64">
        <v>27.34</v>
      </c>
      <c r="R14" s="198"/>
      <c r="S14" s="198"/>
      <c r="T14" s="198"/>
      <c r="U14" s="198"/>
    </row>
    <row r="15" spans="1:21" s="12" customFormat="1" x14ac:dyDescent="0.25">
      <c r="A15" s="211" t="s">
        <v>539</v>
      </c>
      <c r="B15" s="64">
        <v>26.8</v>
      </c>
      <c r="C15" s="64">
        <v>24.71</v>
      </c>
      <c r="D15" s="64">
        <v>35.78</v>
      </c>
      <c r="E15" s="64">
        <v>1.62</v>
      </c>
      <c r="F15" s="64">
        <v>3.61</v>
      </c>
      <c r="G15" s="64">
        <v>69.11</v>
      </c>
      <c r="H15" s="64">
        <v>15.26</v>
      </c>
      <c r="I15" s="64">
        <v>0.71</v>
      </c>
      <c r="J15" s="64">
        <v>0.27</v>
      </c>
      <c r="K15" s="64">
        <v>311.22000000000003</v>
      </c>
      <c r="L15" s="64">
        <v>20.29</v>
      </c>
      <c r="M15" s="64">
        <v>89.36</v>
      </c>
      <c r="N15" s="64">
        <v>4.5</v>
      </c>
      <c r="O15" s="64">
        <v>0</v>
      </c>
      <c r="P15" s="64">
        <v>1.18</v>
      </c>
      <c r="Q15" s="64">
        <v>27.93</v>
      </c>
      <c r="R15" s="198"/>
      <c r="S15" s="198"/>
      <c r="T15" s="198"/>
      <c r="U15" s="198"/>
    </row>
    <row r="16" spans="1:21" s="12" customFormat="1" x14ac:dyDescent="0.25">
      <c r="A16" s="211" t="s">
        <v>540</v>
      </c>
      <c r="B16" s="64">
        <v>28.16</v>
      </c>
      <c r="C16" s="64">
        <v>23.36</v>
      </c>
      <c r="D16" s="64">
        <v>36.119999999999997</v>
      </c>
      <c r="E16" s="64">
        <v>2.0099999999999998</v>
      </c>
      <c r="F16" s="64">
        <v>3.32</v>
      </c>
      <c r="G16" s="64">
        <v>81.319999999999993</v>
      </c>
      <c r="H16" s="64">
        <v>22.87</v>
      </c>
      <c r="I16" s="64">
        <v>0.7</v>
      </c>
      <c r="J16" s="64">
        <v>0.23</v>
      </c>
      <c r="K16" s="64">
        <v>284.33</v>
      </c>
      <c r="L16" s="64">
        <v>20.36</v>
      </c>
      <c r="M16" s="64">
        <v>88.39</v>
      </c>
      <c r="N16" s="64">
        <v>2.8</v>
      </c>
      <c r="O16" s="64">
        <v>0</v>
      </c>
      <c r="P16" s="64">
        <v>1.2</v>
      </c>
      <c r="Q16" s="64">
        <v>28.36</v>
      </c>
      <c r="R16" s="198"/>
      <c r="S16" s="198"/>
      <c r="T16" s="198"/>
      <c r="U16" s="198"/>
    </row>
    <row r="17" spans="1:21" s="12" customFormat="1" x14ac:dyDescent="0.25">
      <c r="A17" s="211" t="s">
        <v>541</v>
      </c>
      <c r="B17" s="64">
        <v>27.39</v>
      </c>
      <c r="C17" s="64">
        <v>20.309999999999999</v>
      </c>
      <c r="D17" s="64">
        <v>33.82</v>
      </c>
      <c r="E17" s="64">
        <v>1.8</v>
      </c>
      <c r="F17" s="64">
        <v>2.98</v>
      </c>
      <c r="G17" s="64">
        <v>81.319999999999993</v>
      </c>
      <c r="H17" s="64">
        <v>22.87</v>
      </c>
      <c r="I17" s="64">
        <v>0.67</v>
      </c>
      <c r="J17" s="64">
        <v>0.42</v>
      </c>
      <c r="K17" s="64">
        <v>282.32</v>
      </c>
      <c r="L17" s="64">
        <v>20.23</v>
      </c>
      <c r="M17" s="64">
        <v>88.8</v>
      </c>
      <c r="N17" s="64">
        <v>0</v>
      </c>
      <c r="O17" s="64">
        <v>0</v>
      </c>
      <c r="P17" s="64">
        <v>1.18</v>
      </c>
      <c r="Q17" s="64">
        <v>28.28</v>
      </c>
      <c r="R17" s="198"/>
      <c r="S17" s="198"/>
      <c r="T17" s="198"/>
      <c r="U17" s="198"/>
    </row>
    <row r="18" spans="1:21" s="12" customFormat="1" x14ac:dyDescent="0.25">
      <c r="A18" s="211" t="s">
        <v>542</v>
      </c>
      <c r="B18" s="64">
        <v>26.23</v>
      </c>
      <c r="C18" s="64">
        <v>19.260000000000002</v>
      </c>
      <c r="D18" s="64">
        <v>32.31</v>
      </c>
      <c r="E18" s="64">
        <v>2.1800000000000002</v>
      </c>
      <c r="F18" s="64">
        <v>3.03</v>
      </c>
      <c r="G18" s="64">
        <v>81.319999999999993</v>
      </c>
      <c r="H18" s="64">
        <v>22.87</v>
      </c>
      <c r="I18" s="64">
        <v>0.69</v>
      </c>
      <c r="J18" s="64">
        <v>0.77</v>
      </c>
      <c r="K18" s="64">
        <v>285.25</v>
      </c>
      <c r="L18" s="64">
        <v>20.57</v>
      </c>
      <c r="M18" s="64">
        <v>86.13</v>
      </c>
      <c r="N18" s="64">
        <v>0</v>
      </c>
      <c r="O18" s="64">
        <v>0</v>
      </c>
      <c r="P18" s="64">
        <v>1.1499999999999999</v>
      </c>
      <c r="Q18" s="64">
        <v>28.02</v>
      </c>
      <c r="R18" s="198"/>
      <c r="S18" s="198"/>
      <c r="T18" s="198"/>
      <c r="U18" s="198"/>
    </row>
    <row r="19" spans="1:21" s="12" customFormat="1" x14ac:dyDescent="0.25">
      <c r="A19" s="211" t="s">
        <v>543</v>
      </c>
      <c r="B19" s="64">
        <v>24.68</v>
      </c>
      <c r="C19" s="64">
        <v>19.010000000000002</v>
      </c>
      <c r="D19" s="64">
        <v>30.93</v>
      </c>
      <c r="E19" s="64">
        <v>2.2599999999999998</v>
      </c>
      <c r="F19" s="64">
        <v>3.07</v>
      </c>
      <c r="G19" s="64">
        <v>82.72</v>
      </c>
      <c r="H19" s="64">
        <v>23.29</v>
      </c>
      <c r="I19" s="64">
        <v>0.72</v>
      </c>
      <c r="J19" s="64">
        <v>0.3</v>
      </c>
      <c r="K19" s="64">
        <v>300.64</v>
      </c>
      <c r="L19" s="64">
        <v>20.83</v>
      </c>
      <c r="M19" s="64">
        <v>83.89</v>
      </c>
      <c r="N19" s="64">
        <v>0</v>
      </c>
      <c r="O19" s="64">
        <v>0</v>
      </c>
      <c r="P19" s="64">
        <v>1.1200000000000001</v>
      </c>
      <c r="Q19" s="64">
        <v>27.75</v>
      </c>
      <c r="R19" s="198"/>
      <c r="S19" s="198"/>
      <c r="T19" s="198"/>
      <c r="U19" s="198"/>
    </row>
    <row r="20" spans="1:21" s="12" customFormat="1" x14ac:dyDescent="0.25">
      <c r="A20" s="211" t="s">
        <v>544</v>
      </c>
      <c r="B20" s="64">
        <v>23.49</v>
      </c>
      <c r="C20" s="64">
        <v>18.97</v>
      </c>
      <c r="D20" s="64">
        <v>29.95</v>
      </c>
      <c r="E20" s="64">
        <v>1.62</v>
      </c>
      <c r="F20" s="64">
        <v>3.16</v>
      </c>
      <c r="G20" s="64">
        <v>99.28</v>
      </c>
      <c r="H20" s="64">
        <v>27.63</v>
      </c>
      <c r="I20" s="64">
        <v>0.68</v>
      </c>
      <c r="J20" s="64">
        <v>0.15</v>
      </c>
      <c r="K20" s="64">
        <v>319.87</v>
      </c>
      <c r="L20" s="64">
        <v>20.86</v>
      </c>
      <c r="M20" s="64">
        <v>83.46</v>
      </c>
      <c r="N20" s="64">
        <v>0</v>
      </c>
      <c r="O20" s="64">
        <v>0</v>
      </c>
      <c r="P20" s="64">
        <v>1.1000000000000001</v>
      </c>
      <c r="Q20" s="64">
        <v>27.71</v>
      </c>
      <c r="R20" s="198"/>
      <c r="S20" s="198"/>
      <c r="T20" s="198"/>
      <c r="U20" s="198"/>
    </row>
    <row r="21" spans="1:21" s="12" customFormat="1" x14ac:dyDescent="0.25">
      <c r="A21" s="211" t="s">
        <v>545</v>
      </c>
      <c r="B21" s="64">
        <v>22.79</v>
      </c>
      <c r="C21" s="64">
        <v>18.91</v>
      </c>
      <c r="D21" s="64">
        <v>29.36</v>
      </c>
      <c r="E21" s="64">
        <v>1.93</v>
      </c>
      <c r="F21" s="64">
        <v>3.18</v>
      </c>
      <c r="G21" s="64">
        <v>99.28</v>
      </c>
      <c r="H21" s="64">
        <v>27.63</v>
      </c>
      <c r="I21" s="64">
        <v>0.72</v>
      </c>
      <c r="J21" s="64">
        <v>0.05</v>
      </c>
      <c r="K21" s="64">
        <v>91.54</v>
      </c>
      <c r="L21" s="64">
        <v>20.81</v>
      </c>
      <c r="M21" s="64">
        <v>82.85</v>
      </c>
      <c r="N21" s="64">
        <v>0</v>
      </c>
      <c r="O21" s="64">
        <v>0</v>
      </c>
      <c r="P21" s="64">
        <v>1.0900000000000001</v>
      </c>
      <c r="Q21" s="64">
        <v>27.67</v>
      </c>
      <c r="R21" s="198"/>
      <c r="S21" s="198"/>
      <c r="T21" s="198"/>
      <c r="U21" s="198"/>
    </row>
    <row r="22" spans="1:21" s="12" customFormat="1" x14ac:dyDescent="0.25">
      <c r="A22" s="211" t="s">
        <v>546</v>
      </c>
      <c r="B22" s="64">
        <v>22.2</v>
      </c>
      <c r="C22" s="64">
        <v>18.78</v>
      </c>
      <c r="D22" s="64">
        <v>28.81</v>
      </c>
      <c r="E22" s="64">
        <v>1.72</v>
      </c>
      <c r="F22" s="64">
        <v>3.08</v>
      </c>
      <c r="G22" s="64">
        <v>99.28</v>
      </c>
      <c r="H22" s="64">
        <v>27.63</v>
      </c>
      <c r="I22" s="64">
        <v>0.71</v>
      </c>
      <c r="J22" s="64">
        <v>0.08</v>
      </c>
      <c r="K22" s="64">
        <v>325.20999999999998</v>
      </c>
      <c r="L22" s="64">
        <v>20.73</v>
      </c>
      <c r="M22" s="64">
        <v>82.65</v>
      </c>
      <c r="N22" s="64">
        <v>0</v>
      </c>
      <c r="O22" s="64">
        <v>0</v>
      </c>
      <c r="P22" s="64">
        <v>1.07</v>
      </c>
      <c r="Q22" s="64">
        <v>27.39</v>
      </c>
      <c r="R22" s="198"/>
      <c r="S22" s="198"/>
      <c r="T22" s="198"/>
      <c r="U22" s="198"/>
    </row>
    <row r="23" spans="1:21" s="12" customFormat="1" x14ac:dyDescent="0.25">
      <c r="A23" s="211" t="s">
        <v>547</v>
      </c>
      <c r="B23" s="64">
        <v>20.98</v>
      </c>
      <c r="C23" s="64">
        <v>22.51</v>
      </c>
      <c r="D23" s="64">
        <v>29.9</v>
      </c>
      <c r="E23" s="64">
        <v>1.84</v>
      </c>
      <c r="F23" s="64">
        <v>2.99</v>
      </c>
      <c r="G23" s="64">
        <v>100.24</v>
      </c>
      <c r="H23" s="64">
        <v>28.03</v>
      </c>
      <c r="I23" s="64">
        <v>0.68</v>
      </c>
      <c r="J23" s="64">
        <v>7.0000000000000007E-2</v>
      </c>
      <c r="K23" s="64">
        <v>22.57</v>
      </c>
      <c r="L23" s="64">
        <v>20.63</v>
      </c>
      <c r="M23" s="64">
        <v>81.14</v>
      </c>
      <c r="N23" s="64">
        <v>0</v>
      </c>
      <c r="O23" s="64">
        <v>0</v>
      </c>
      <c r="P23" s="64">
        <v>1.07</v>
      </c>
      <c r="Q23" s="64">
        <v>27.38</v>
      </c>
      <c r="R23" s="198"/>
      <c r="S23" s="198"/>
      <c r="T23" s="198"/>
      <c r="U23" s="198"/>
    </row>
    <row r="24" spans="1:21" s="12" customFormat="1" x14ac:dyDescent="0.25">
      <c r="A24" s="211" t="s">
        <v>548</v>
      </c>
      <c r="B24" s="64">
        <v>20.39</v>
      </c>
      <c r="C24" s="64">
        <v>23.46</v>
      </c>
      <c r="D24" s="64">
        <v>29.95</v>
      </c>
      <c r="E24" s="64">
        <v>0.85</v>
      </c>
      <c r="F24" s="64">
        <v>3.59</v>
      </c>
      <c r="G24" s="64">
        <v>111.58</v>
      </c>
      <c r="H24" s="64">
        <v>32.119999999999997</v>
      </c>
      <c r="I24" s="64">
        <v>0.64</v>
      </c>
      <c r="J24" s="64">
        <v>0.04</v>
      </c>
      <c r="K24" s="64">
        <v>322.17</v>
      </c>
      <c r="L24" s="64">
        <v>20.440000000000001</v>
      </c>
      <c r="M24" s="64">
        <v>81.489999999999995</v>
      </c>
      <c r="N24" s="64">
        <v>3.9</v>
      </c>
      <c r="O24" s="64">
        <v>0</v>
      </c>
      <c r="P24" s="64">
        <v>1.05</v>
      </c>
      <c r="Q24" s="64">
        <v>27.67</v>
      </c>
      <c r="R24" s="198"/>
      <c r="S24" s="198"/>
      <c r="T24" s="198"/>
      <c r="U24" s="198"/>
    </row>
    <row r="25" spans="1:21" s="12" customFormat="1" x14ac:dyDescent="0.25">
      <c r="A25" s="211" t="s">
        <v>549</v>
      </c>
      <c r="B25" s="64">
        <v>20.84</v>
      </c>
      <c r="C25" s="64">
        <v>21.85</v>
      </c>
      <c r="D25" s="64">
        <v>29.42</v>
      </c>
      <c r="E25" s="64">
        <v>1.54</v>
      </c>
      <c r="F25" s="64">
        <v>3.73</v>
      </c>
      <c r="G25" s="64">
        <v>111.58</v>
      </c>
      <c r="H25" s="64">
        <v>32.119999999999997</v>
      </c>
      <c r="I25" s="64">
        <v>0.65</v>
      </c>
      <c r="J25" s="64">
        <v>0.04</v>
      </c>
      <c r="K25" s="64">
        <v>233.24</v>
      </c>
      <c r="L25" s="64">
        <v>20.329999999999998</v>
      </c>
      <c r="M25" s="64">
        <v>81.36</v>
      </c>
      <c r="N25" s="64">
        <v>5</v>
      </c>
      <c r="O25" s="64">
        <v>0</v>
      </c>
      <c r="P25" s="64">
        <v>1.06</v>
      </c>
      <c r="Q25" s="64">
        <v>27.75</v>
      </c>
      <c r="R25" s="198"/>
      <c r="S25" s="198"/>
      <c r="T25" s="198"/>
      <c r="U25" s="198"/>
    </row>
    <row r="26" spans="1:21" s="12" customFormat="1" x14ac:dyDescent="0.25">
      <c r="A26" s="211" t="s">
        <v>550</v>
      </c>
      <c r="B26" s="64">
        <v>21.05</v>
      </c>
      <c r="C26" s="64">
        <v>21.6</v>
      </c>
      <c r="D26" s="64">
        <v>29.44</v>
      </c>
      <c r="E26" s="64">
        <v>1.67</v>
      </c>
      <c r="F26" s="64">
        <v>3.17</v>
      </c>
      <c r="G26" s="64">
        <v>111.58</v>
      </c>
      <c r="H26" s="64">
        <v>32.119999999999997</v>
      </c>
      <c r="I26" s="64">
        <v>0.63</v>
      </c>
      <c r="J26" s="64">
        <v>0.08</v>
      </c>
      <c r="K26" s="64">
        <v>129.6</v>
      </c>
      <c r="L26" s="64">
        <v>20.170000000000002</v>
      </c>
      <c r="M26" s="64">
        <v>81.83</v>
      </c>
      <c r="N26" s="64">
        <v>4.8</v>
      </c>
      <c r="O26" s="64">
        <v>0</v>
      </c>
      <c r="P26" s="64">
        <v>1.02</v>
      </c>
      <c r="Q26" s="64">
        <v>28.24</v>
      </c>
      <c r="R26" s="198"/>
      <c r="S26" s="198"/>
      <c r="T26" s="198"/>
      <c r="U26" s="198"/>
    </row>
    <row r="27" spans="1:21" s="12" customFormat="1" x14ac:dyDescent="0.25">
      <c r="A27" s="211" t="s">
        <v>551</v>
      </c>
      <c r="B27" s="64">
        <v>21.71</v>
      </c>
      <c r="C27" s="64">
        <v>19.47</v>
      </c>
      <c r="D27" s="64">
        <v>28.8</v>
      </c>
      <c r="E27" s="64">
        <v>1.72</v>
      </c>
      <c r="F27" s="64">
        <v>3.8</v>
      </c>
      <c r="G27" s="64">
        <v>111.21</v>
      </c>
      <c r="H27" s="64">
        <v>32.14</v>
      </c>
      <c r="I27" s="64">
        <v>0.68</v>
      </c>
      <c r="J27" s="64">
        <v>0.08</v>
      </c>
      <c r="K27" s="64">
        <v>98.35</v>
      </c>
      <c r="L27" s="64">
        <v>20.12</v>
      </c>
      <c r="M27" s="64">
        <v>83.39</v>
      </c>
      <c r="N27" s="64">
        <v>4.9000000000000004</v>
      </c>
      <c r="O27" s="64">
        <v>0</v>
      </c>
      <c r="P27" s="64">
        <v>1.04</v>
      </c>
      <c r="Q27" s="64">
        <v>28.01</v>
      </c>
      <c r="R27" s="198"/>
      <c r="S27" s="198"/>
      <c r="T27" s="198"/>
      <c r="U27" s="198"/>
    </row>
    <row r="28" spans="1:21" s="12" customFormat="1" x14ac:dyDescent="0.25">
      <c r="A28" s="211" t="s">
        <v>552</v>
      </c>
      <c r="B28" s="64">
        <v>22.6</v>
      </c>
      <c r="C28" s="64">
        <v>20.04</v>
      </c>
      <c r="D28" s="64">
        <v>29.83</v>
      </c>
      <c r="E28" s="64">
        <v>1.7</v>
      </c>
      <c r="F28" s="64">
        <v>2.29</v>
      </c>
      <c r="G28" s="64">
        <v>106.87</v>
      </c>
      <c r="H28" s="64">
        <v>32.35</v>
      </c>
      <c r="I28" s="64">
        <v>0.66</v>
      </c>
      <c r="J28" s="64">
        <v>0.28000000000000003</v>
      </c>
      <c r="K28" s="64">
        <v>89.69</v>
      </c>
      <c r="L28" s="64">
        <v>19.96</v>
      </c>
      <c r="M28" s="64">
        <v>85.04</v>
      </c>
      <c r="N28" s="64">
        <v>4.5999999999999996</v>
      </c>
      <c r="O28" s="64">
        <v>0</v>
      </c>
      <c r="P28" s="64">
        <v>1.02</v>
      </c>
      <c r="Q28" s="64">
        <v>29.09</v>
      </c>
      <c r="R28" s="198"/>
      <c r="S28" s="198"/>
      <c r="T28" s="198"/>
      <c r="U28" s="198"/>
    </row>
    <row r="29" spans="1:21" s="12" customFormat="1" x14ac:dyDescent="0.25">
      <c r="A29" s="211" t="s">
        <v>553</v>
      </c>
      <c r="B29" s="64">
        <v>23.53</v>
      </c>
      <c r="C29" s="64">
        <v>18.05</v>
      </c>
      <c r="D29" s="64">
        <v>29.47</v>
      </c>
      <c r="E29" s="64">
        <v>1.33</v>
      </c>
      <c r="F29" s="64">
        <v>2.99</v>
      </c>
      <c r="G29" s="64">
        <v>106.87</v>
      </c>
      <c r="H29" s="64">
        <v>32.35</v>
      </c>
      <c r="I29" s="64">
        <v>0.64</v>
      </c>
      <c r="J29" s="64">
        <v>0.22</v>
      </c>
      <c r="K29" s="64">
        <v>355.42</v>
      </c>
      <c r="L29" s="64">
        <v>19.88</v>
      </c>
      <c r="M29" s="64">
        <v>86.13</v>
      </c>
      <c r="N29" s="64">
        <v>5</v>
      </c>
      <c r="O29" s="64">
        <v>0</v>
      </c>
      <c r="P29" s="64">
        <v>1.01</v>
      </c>
      <c r="Q29" s="64">
        <v>28.58</v>
      </c>
      <c r="R29" s="198"/>
      <c r="S29" s="198"/>
      <c r="T29" s="198"/>
      <c r="U29" s="198"/>
    </row>
    <row r="30" spans="1:21" s="12" customFormat="1" x14ac:dyDescent="0.25">
      <c r="A30" s="211" t="s">
        <v>554</v>
      </c>
      <c r="B30" s="64">
        <v>24.03</v>
      </c>
      <c r="C30" s="64">
        <v>17.579999999999998</v>
      </c>
      <c r="D30" s="64">
        <v>29.61</v>
      </c>
      <c r="E30" s="64">
        <v>1.81</v>
      </c>
      <c r="F30" s="64">
        <v>3.13</v>
      </c>
      <c r="G30" s="64">
        <v>106.87</v>
      </c>
      <c r="H30" s="64">
        <v>32.35</v>
      </c>
      <c r="I30" s="64">
        <v>0.65</v>
      </c>
      <c r="J30" s="64">
        <v>0.21</v>
      </c>
      <c r="K30" s="64">
        <v>314.43</v>
      </c>
      <c r="L30" s="64">
        <v>19.88</v>
      </c>
      <c r="M30" s="64">
        <v>86.25</v>
      </c>
      <c r="N30" s="64">
        <v>7.7</v>
      </c>
      <c r="O30" s="64">
        <v>0</v>
      </c>
      <c r="P30" s="64">
        <v>1</v>
      </c>
      <c r="Q30" s="64">
        <v>28.11</v>
      </c>
      <c r="R30" s="198"/>
      <c r="S30" s="198"/>
      <c r="T30" s="198"/>
      <c r="U30" s="198"/>
    </row>
    <row r="31" spans="1:21" s="12" customFormat="1" x14ac:dyDescent="0.25">
      <c r="A31" s="211" t="s">
        <v>555</v>
      </c>
      <c r="B31" s="64">
        <v>24.28</v>
      </c>
      <c r="C31" s="64">
        <v>17.670000000000002</v>
      </c>
      <c r="D31" s="64">
        <v>29.87</v>
      </c>
      <c r="E31" s="64">
        <v>1.26</v>
      </c>
      <c r="F31" s="64">
        <v>2.92</v>
      </c>
      <c r="G31" s="64">
        <v>107.64</v>
      </c>
      <c r="H31" s="64">
        <v>32.409999999999997</v>
      </c>
      <c r="I31" s="64">
        <v>0.68</v>
      </c>
      <c r="J31" s="64">
        <v>0.06</v>
      </c>
      <c r="K31" s="64">
        <v>100.55</v>
      </c>
      <c r="L31" s="64">
        <v>19.940000000000001</v>
      </c>
      <c r="M31" s="64">
        <v>84.49</v>
      </c>
      <c r="N31" s="64">
        <v>20</v>
      </c>
      <c r="O31" s="64">
        <v>0</v>
      </c>
      <c r="P31" s="64">
        <v>0.99</v>
      </c>
      <c r="Q31" s="64">
        <v>27.97</v>
      </c>
      <c r="R31" s="198"/>
      <c r="S31" s="198"/>
      <c r="T31" s="198"/>
      <c r="U31" s="198"/>
    </row>
    <row r="32" spans="1:21" s="12" customFormat="1" x14ac:dyDescent="0.25">
      <c r="A32" s="211" t="s">
        <v>556</v>
      </c>
      <c r="B32" s="64">
        <v>24.77</v>
      </c>
      <c r="C32" s="64">
        <v>17.93</v>
      </c>
      <c r="D32" s="64">
        <v>30.4</v>
      </c>
      <c r="E32" s="64">
        <v>1.22</v>
      </c>
      <c r="F32" s="64">
        <v>2.94</v>
      </c>
      <c r="G32" s="64">
        <v>116.85</v>
      </c>
      <c r="H32" s="64">
        <v>32.99</v>
      </c>
      <c r="I32" s="64">
        <v>0.66</v>
      </c>
      <c r="J32" s="64">
        <v>0.14000000000000001</v>
      </c>
      <c r="K32" s="64">
        <v>149.13999999999999</v>
      </c>
      <c r="L32" s="64">
        <v>20.5</v>
      </c>
      <c r="M32" s="64">
        <v>83.69</v>
      </c>
      <c r="N32" s="64">
        <v>50.7</v>
      </c>
      <c r="O32" s="64">
        <v>0</v>
      </c>
      <c r="P32" s="64">
        <v>1</v>
      </c>
      <c r="Q32" s="64">
        <v>28.13</v>
      </c>
      <c r="R32" s="198"/>
      <c r="S32" s="198"/>
      <c r="T32" s="198"/>
      <c r="U32" s="198"/>
    </row>
    <row r="33" spans="1:21" s="12" customFormat="1" x14ac:dyDescent="0.25">
      <c r="A33" s="211" t="s">
        <v>557</v>
      </c>
      <c r="B33" s="64">
        <v>25.17</v>
      </c>
      <c r="C33" s="64">
        <v>18.37</v>
      </c>
      <c r="D33" s="64">
        <v>30.97</v>
      </c>
      <c r="E33" s="64">
        <v>1.39</v>
      </c>
      <c r="F33" s="64">
        <v>3.06</v>
      </c>
      <c r="G33" s="64">
        <v>116.85</v>
      </c>
      <c r="H33" s="64">
        <v>32.99</v>
      </c>
      <c r="I33" s="64">
        <v>0.66</v>
      </c>
      <c r="J33" s="64">
        <v>0.2</v>
      </c>
      <c r="K33" s="64">
        <v>325.75</v>
      </c>
      <c r="L33" s="64">
        <v>21.85</v>
      </c>
      <c r="M33" s="64">
        <v>80.099999999999994</v>
      </c>
      <c r="N33" s="64">
        <v>76</v>
      </c>
      <c r="O33" s="64">
        <v>0</v>
      </c>
      <c r="P33" s="64">
        <v>0.99</v>
      </c>
      <c r="Q33" s="64">
        <v>28.28</v>
      </c>
      <c r="R33" s="198"/>
      <c r="S33" s="198"/>
      <c r="T33" s="198"/>
      <c r="U33" s="198"/>
    </row>
    <row r="34" spans="1:21" s="12" customFormat="1" x14ac:dyDescent="0.25">
      <c r="A34" s="211" t="s">
        <v>558</v>
      </c>
      <c r="B34" s="64">
        <v>26.98</v>
      </c>
      <c r="C34" s="64">
        <v>19.61</v>
      </c>
      <c r="D34" s="64">
        <v>33.1</v>
      </c>
      <c r="E34" s="64">
        <v>1.1200000000000001</v>
      </c>
      <c r="F34" s="64">
        <v>3.12</v>
      </c>
      <c r="G34" s="64">
        <v>116.85</v>
      </c>
      <c r="H34" s="64">
        <v>32.99</v>
      </c>
      <c r="I34" s="64">
        <v>0.64</v>
      </c>
      <c r="J34" s="64">
        <v>0.17</v>
      </c>
      <c r="K34" s="64">
        <v>296.58999999999997</v>
      </c>
      <c r="L34" s="64">
        <v>22.19</v>
      </c>
      <c r="M34" s="64">
        <v>79.64</v>
      </c>
      <c r="N34" s="64">
        <v>95.7</v>
      </c>
      <c r="O34" s="64">
        <v>0</v>
      </c>
      <c r="P34" s="64">
        <v>1.01</v>
      </c>
      <c r="Q34" s="64">
        <v>28.07</v>
      </c>
      <c r="R34" s="198"/>
      <c r="S34" s="198"/>
      <c r="T34" s="198"/>
      <c r="U34" s="198"/>
    </row>
    <row r="35" spans="1:21" s="12" customFormat="1" x14ac:dyDescent="0.25">
      <c r="A35" s="211" t="s">
        <v>559</v>
      </c>
      <c r="B35" s="64">
        <v>33.770000000000003</v>
      </c>
      <c r="C35" s="64">
        <v>28.7</v>
      </c>
      <c r="D35" s="64">
        <v>43.57</v>
      </c>
      <c r="E35" s="64">
        <v>2.34</v>
      </c>
      <c r="F35" s="64">
        <v>3.43</v>
      </c>
      <c r="G35" s="64">
        <v>119.37</v>
      </c>
      <c r="H35" s="64">
        <v>33.67</v>
      </c>
      <c r="I35" s="64">
        <v>0.62</v>
      </c>
      <c r="J35" s="64">
        <v>0.22</v>
      </c>
      <c r="K35" s="64">
        <v>298.58999999999997</v>
      </c>
      <c r="L35" s="64">
        <v>23.93</v>
      </c>
      <c r="M35" s="64">
        <v>72.28</v>
      </c>
      <c r="N35" s="64">
        <v>186.2</v>
      </c>
      <c r="O35" s="64">
        <v>0</v>
      </c>
      <c r="P35" s="64">
        <v>1.08</v>
      </c>
      <c r="Q35" s="64">
        <v>28.07</v>
      </c>
      <c r="R35" s="198"/>
      <c r="S35" s="198"/>
      <c r="T35" s="198"/>
      <c r="U35" s="198"/>
    </row>
    <row r="36" spans="1:21" s="12" customFormat="1" x14ac:dyDescent="0.25">
      <c r="A36" s="211" t="s">
        <v>560</v>
      </c>
      <c r="B36" s="64">
        <v>29.92</v>
      </c>
      <c r="C36" s="64">
        <v>22.51</v>
      </c>
      <c r="D36" s="64">
        <v>37.06</v>
      </c>
      <c r="E36" s="64">
        <v>1.87</v>
      </c>
      <c r="F36" s="64">
        <v>3.56</v>
      </c>
      <c r="G36" s="64">
        <v>149.19999999999999</v>
      </c>
      <c r="H36" s="64">
        <v>40.549999999999997</v>
      </c>
      <c r="I36" s="64">
        <v>0.64</v>
      </c>
      <c r="J36" s="64">
        <v>0.28999999999999998</v>
      </c>
      <c r="K36" s="64">
        <v>294.77999999999997</v>
      </c>
      <c r="L36" s="64">
        <v>25.11</v>
      </c>
      <c r="M36" s="64">
        <v>67.680000000000007</v>
      </c>
      <c r="N36" s="64">
        <v>161.5</v>
      </c>
      <c r="O36" s="64">
        <v>0</v>
      </c>
      <c r="P36" s="64">
        <v>1.06</v>
      </c>
      <c r="Q36" s="64">
        <v>28.49</v>
      </c>
      <c r="R36" s="198"/>
      <c r="S36" s="198"/>
      <c r="T36" s="198"/>
      <c r="U36" s="198"/>
    </row>
    <row r="37" spans="1:21" s="12" customFormat="1" x14ac:dyDescent="0.25">
      <c r="A37" s="211" t="s">
        <v>561</v>
      </c>
      <c r="B37" s="64">
        <v>30.12</v>
      </c>
      <c r="C37" s="64">
        <v>20.83</v>
      </c>
      <c r="D37" s="64">
        <v>36.299999999999997</v>
      </c>
      <c r="E37" s="64">
        <v>2.19</v>
      </c>
      <c r="F37" s="64">
        <v>3.44</v>
      </c>
      <c r="G37" s="64">
        <v>149.19999999999999</v>
      </c>
      <c r="H37" s="64">
        <v>40.549999999999997</v>
      </c>
      <c r="I37" s="64">
        <v>0.61</v>
      </c>
      <c r="J37" s="64">
        <v>0.22</v>
      </c>
      <c r="K37" s="64">
        <v>294.2</v>
      </c>
      <c r="L37" s="64">
        <v>25.89</v>
      </c>
      <c r="M37" s="64">
        <v>64.19</v>
      </c>
      <c r="N37" s="64">
        <v>240.5</v>
      </c>
      <c r="O37" s="64">
        <v>0</v>
      </c>
      <c r="P37" s="64">
        <v>1.04</v>
      </c>
      <c r="Q37" s="64">
        <v>28.74</v>
      </c>
      <c r="R37" s="198"/>
      <c r="S37" s="198"/>
      <c r="T37" s="198"/>
      <c r="U37" s="198"/>
    </row>
    <row r="38" spans="1:21" s="12" customFormat="1" x14ac:dyDescent="0.25">
      <c r="A38" s="211" t="s">
        <v>562</v>
      </c>
      <c r="B38" s="64">
        <v>30.55</v>
      </c>
      <c r="C38" s="64">
        <v>20.170000000000002</v>
      </c>
      <c r="D38" s="64">
        <v>36.28</v>
      </c>
      <c r="E38" s="64">
        <v>2.4</v>
      </c>
      <c r="F38" s="64">
        <v>4.33</v>
      </c>
      <c r="G38" s="64">
        <v>149.19999999999999</v>
      </c>
      <c r="H38" s="64">
        <v>40.549999999999997</v>
      </c>
      <c r="I38" s="64">
        <v>0.63</v>
      </c>
      <c r="J38" s="64">
        <v>0.3</v>
      </c>
      <c r="K38" s="64">
        <v>291.36</v>
      </c>
      <c r="L38" s="64">
        <v>27.34</v>
      </c>
      <c r="M38" s="64">
        <v>58.73</v>
      </c>
      <c r="N38" s="64">
        <v>324.10000000000002</v>
      </c>
      <c r="O38" s="64">
        <v>0</v>
      </c>
      <c r="P38" s="64">
        <v>1.1000000000000001</v>
      </c>
      <c r="Q38" s="64">
        <v>28.98</v>
      </c>
      <c r="R38" s="198"/>
      <c r="S38" s="198"/>
      <c r="T38" s="198"/>
      <c r="U38" s="198"/>
    </row>
    <row r="39" spans="1:21" s="12" customFormat="1" x14ac:dyDescent="0.25">
      <c r="A39" s="211" t="s">
        <v>563</v>
      </c>
      <c r="B39" s="64">
        <v>31.13</v>
      </c>
      <c r="C39" s="64">
        <v>24.15</v>
      </c>
      <c r="D39" s="64">
        <v>38.94</v>
      </c>
      <c r="E39" s="64">
        <v>1.92</v>
      </c>
      <c r="F39" s="64">
        <v>3.77</v>
      </c>
      <c r="G39" s="64">
        <v>149.34</v>
      </c>
      <c r="H39" s="64">
        <v>40.58</v>
      </c>
      <c r="I39" s="64">
        <v>0.61</v>
      </c>
      <c r="J39" s="64">
        <v>0.38</v>
      </c>
      <c r="K39" s="64">
        <v>294.68</v>
      </c>
      <c r="L39" s="64">
        <v>28.5</v>
      </c>
      <c r="M39" s="64">
        <v>55.24</v>
      </c>
      <c r="N39" s="64">
        <v>394</v>
      </c>
      <c r="O39" s="64">
        <v>0</v>
      </c>
      <c r="P39" s="64">
        <v>1.1000000000000001</v>
      </c>
      <c r="Q39" s="64">
        <v>29.12</v>
      </c>
      <c r="R39" s="198"/>
      <c r="S39" s="198"/>
      <c r="T39" s="198"/>
      <c r="U39" s="198"/>
    </row>
    <row r="40" spans="1:21" s="12" customFormat="1" x14ac:dyDescent="0.25">
      <c r="A40" s="211" t="s">
        <v>564</v>
      </c>
      <c r="B40" s="64">
        <v>30.86</v>
      </c>
      <c r="C40" s="64">
        <v>24.85</v>
      </c>
      <c r="D40" s="64">
        <v>39.1</v>
      </c>
      <c r="E40" s="64">
        <v>1.54</v>
      </c>
      <c r="F40" s="64">
        <v>3.45</v>
      </c>
      <c r="G40" s="64">
        <v>151.04</v>
      </c>
      <c r="H40" s="64">
        <v>40.82</v>
      </c>
      <c r="I40" s="64">
        <v>0.64</v>
      </c>
      <c r="J40" s="64">
        <v>0.48</v>
      </c>
      <c r="K40" s="64">
        <v>296.14999999999998</v>
      </c>
      <c r="L40" s="64">
        <v>29.45</v>
      </c>
      <c r="M40" s="64">
        <v>52.86</v>
      </c>
      <c r="N40" s="64">
        <v>449.7</v>
      </c>
      <c r="O40" s="64">
        <v>0</v>
      </c>
      <c r="P40" s="64">
        <v>1.1100000000000001</v>
      </c>
      <c r="Q40" s="64">
        <v>29.43</v>
      </c>
      <c r="R40" s="198"/>
      <c r="S40" s="198"/>
      <c r="T40" s="198"/>
      <c r="U40" s="198"/>
    </row>
    <row r="41" spans="1:21" s="12" customFormat="1" x14ac:dyDescent="0.25">
      <c r="A41" s="211" t="s">
        <v>565</v>
      </c>
      <c r="B41" s="64">
        <v>29.84</v>
      </c>
      <c r="C41" s="64">
        <v>24.75</v>
      </c>
      <c r="D41" s="64">
        <v>38.24</v>
      </c>
      <c r="E41" s="64">
        <v>2.41</v>
      </c>
      <c r="F41" s="64">
        <v>3.42</v>
      </c>
      <c r="G41" s="64">
        <v>151.04</v>
      </c>
      <c r="H41" s="64">
        <v>40.82</v>
      </c>
      <c r="I41" s="64">
        <v>0.65</v>
      </c>
      <c r="J41" s="64">
        <v>0.37</v>
      </c>
      <c r="K41" s="64">
        <v>295.36</v>
      </c>
      <c r="L41" s="64">
        <v>30.34</v>
      </c>
      <c r="M41" s="64">
        <v>50</v>
      </c>
      <c r="N41" s="64">
        <v>265.60000000000002</v>
      </c>
      <c r="O41" s="64">
        <v>0</v>
      </c>
      <c r="P41" s="64">
        <v>1.1200000000000001</v>
      </c>
      <c r="Q41" s="64">
        <v>29.1</v>
      </c>
      <c r="R41" s="198"/>
      <c r="S41" s="198"/>
      <c r="T41" s="198"/>
      <c r="U41" s="198"/>
    </row>
    <row r="42" spans="1:21" s="12" customFormat="1" x14ac:dyDescent="0.25">
      <c r="A42" s="211" t="s">
        <v>566</v>
      </c>
      <c r="B42" s="64">
        <v>28.32</v>
      </c>
      <c r="C42" s="64">
        <v>25.34</v>
      </c>
      <c r="D42" s="64">
        <v>37.340000000000003</v>
      </c>
      <c r="E42" s="64">
        <v>2.72</v>
      </c>
      <c r="F42" s="64">
        <v>3.45</v>
      </c>
      <c r="G42" s="64">
        <v>151.04</v>
      </c>
      <c r="H42" s="64">
        <v>40.82</v>
      </c>
      <c r="I42" s="64">
        <v>0.65</v>
      </c>
      <c r="J42" s="64">
        <v>0.01</v>
      </c>
      <c r="K42" s="64">
        <v>189.12</v>
      </c>
      <c r="L42" s="64">
        <v>29.51</v>
      </c>
      <c r="M42" s="64">
        <v>51.84</v>
      </c>
      <c r="N42" s="214" t="s">
        <v>42</v>
      </c>
      <c r="O42" s="64">
        <v>0</v>
      </c>
      <c r="P42" s="64">
        <v>1.1299999999999999</v>
      </c>
      <c r="Q42" s="64">
        <v>28.87</v>
      </c>
      <c r="R42" s="198"/>
      <c r="S42" s="198"/>
      <c r="T42" s="198"/>
      <c r="U42" s="198"/>
    </row>
    <row r="43" spans="1:21" s="12" customFormat="1" x14ac:dyDescent="0.25">
      <c r="A43" s="211" t="s">
        <v>567</v>
      </c>
      <c r="B43" s="64">
        <v>26.79</v>
      </c>
      <c r="C43" s="64">
        <v>26.64</v>
      </c>
      <c r="D43" s="64">
        <v>36.83</v>
      </c>
      <c r="E43" s="64">
        <v>2.83</v>
      </c>
      <c r="F43" s="64">
        <v>3.21</v>
      </c>
      <c r="G43" s="64">
        <v>150.4</v>
      </c>
      <c r="H43" s="64">
        <v>41.05</v>
      </c>
      <c r="I43" s="64">
        <v>0.64</v>
      </c>
      <c r="J43" s="64">
        <v>0.18</v>
      </c>
      <c r="K43" s="64">
        <v>313.66000000000003</v>
      </c>
      <c r="L43" s="64">
        <v>29.35</v>
      </c>
      <c r="M43" s="64">
        <v>52.77</v>
      </c>
      <c r="N43" s="214" t="s">
        <v>42</v>
      </c>
      <c r="O43" s="64">
        <v>0</v>
      </c>
      <c r="P43" s="64">
        <v>1.1399999999999999</v>
      </c>
      <c r="Q43" s="64">
        <v>28.79</v>
      </c>
      <c r="R43" s="198"/>
      <c r="S43" s="198"/>
      <c r="T43" s="198"/>
      <c r="U43" s="198"/>
    </row>
    <row r="44" spans="1:21" s="12" customFormat="1" x14ac:dyDescent="0.25">
      <c r="A44" s="211" t="s">
        <v>568</v>
      </c>
      <c r="B44" s="64">
        <v>24.82</v>
      </c>
      <c r="C44" s="64">
        <v>27.78</v>
      </c>
      <c r="D44" s="64">
        <v>35.880000000000003</v>
      </c>
      <c r="E44" s="64">
        <v>2.57</v>
      </c>
      <c r="F44" s="64">
        <v>3.37</v>
      </c>
      <c r="G44" s="64">
        <v>142.84</v>
      </c>
      <c r="H44" s="64">
        <v>43.49</v>
      </c>
      <c r="I44" s="64">
        <v>0.6</v>
      </c>
      <c r="J44" s="64">
        <v>0.39</v>
      </c>
      <c r="K44" s="64">
        <v>302.82</v>
      </c>
      <c r="L44" s="64">
        <v>31.33</v>
      </c>
      <c r="M44" s="64">
        <v>45.58</v>
      </c>
      <c r="N44" s="214" t="s">
        <v>42</v>
      </c>
      <c r="O44" s="64">
        <v>0</v>
      </c>
      <c r="P44" s="64">
        <v>1.1299999999999999</v>
      </c>
      <c r="Q44" s="64">
        <v>28.42</v>
      </c>
      <c r="R44" s="198"/>
      <c r="S44" s="198"/>
      <c r="T44" s="198"/>
      <c r="U44" s="198"/>
    </row>
    <row r="45" spans="1:21" s="12" customFormat="1" x14ac:dyDescent="0.25">
      <c r="A45" s="211" t="s">
        <v>569</v>
      </c>
      <c r="B45" s="64">
        <v>22.47</v>
      </c>
      <c r="C45" s="64">
        <v>28.45</v>
      </c>
      <c r="D45" s="64">
        <v>34.369999999999997</v>
      </c>
      <c r="E45" s="64">
        <v>2.86</v>
      </c>
      <c r="F45" s="64">
        <v>4.72</v>
      </c>
      <c r="G45" s="64">
        <v>142.84</v>
      </c>
      <c r="H45" s="64">
        <v>43.49</v>
      </c>
      <c r="I45" s="64">
        <v>0.6</v>
      </c>
      <c r="J45" s="64">
        <v>0.31</v>
      </c>
      <c r="K45" s="64">
        <v>287.35000000000002</v>
      </c>
      <c r="L45" s="64">
        <v>31.61</v>
      </c>
      <c r="M45" s="64">
        <v>44.5</v>
      </c>
      <c r="N45" s="214" t="s">
        <v>42</v>
      </c>
      <c r="O45" s="64">
        <v>0</v>
      </c>
      <c r="P45" s="64">
        <v>1.1100000000000001</v>
      </c>
      <c r="Q45" s="64">
        <v>28.27</v>
      </c>
      <c r="R45" s="198"/>
      <c r="S45" s="198"/>
      <c r="T45" s="198"/>
      <c r="U45" s="198"/>
    </row>
    <row r="46" spans="1:21" s="12" customFormat="1" x14ac:dyDescent="0.25">
      <c r="A46" s="211" t="s">
        <v>570</v>
      </c>
      <c r="B46" s="64">
        <v>20.2</v>
      </c>
      <c r="C46" s="64">
        <v>31.02</v>
      </c>
      <c r="D46" s="64">
        <v>33.96</v>
      </c>
      <c r="E46" s="64">
        <v>2.5099999999999998</v>
      </c>
      <c r="F46" s="64">
        <v>3.76</v>
      </c>
      <c r="G46" s="64">
        <v>142.84</v>
      </c>
      <c r="H46" s="64">
        <v>43.49</v>
      </c>
      <c r="I46" s="64">
        <v>0.6</v>
      </c>
      <c r="J46" s="64">
        <v>0.25</v>
      </c>
      <c r="K46" s="64">
        <v>299.79000000000002</v>
      </c>
      <c r="L46" s="64">
        <v>31.34</v>
      </c>
      <c r="M46" s="64">
        <v>45.69</v>
      </c>
      <c r="N46" s="214" t="s">
        <v>42</v>
      </c>
      <c r="O46" s="64">
        <v>0</v>
      </c>
      <c r="P46" s="64">
        <v>1.1000000000000001</v>
      </c>
      <c r="Q46" s="64">
        <v>28.17</v>
      </c>
      <c r="R46" s="198"/>
      <c r="S46" s="198"/>
      <c r="T46" s="198"/>
      <c r="U46" s="198"/>
    </row>
    <row r="47" spans="1:21" s="12" customFormat="1" x14ac:dyDescent="0.25">
      <c r="A47" s="211" t="s">
        <v>571</v>
      </c>
      <c r="B47" s="64">
        <v>18.53</v>
      </c>
      <c r="C47" s="64">
        <v>28.84</v>
      </c>
      <c r="D47" s="64">
        <v>31.42</v>
      </c>
      <c r="E47" s="64">
        <v>2.88</v>
      </c>
      <c r="F47" s="64">
        <v>4.63</v>
      </c>
      <c r="G47" s="64">
        <v>141.72</v>
      </c>
      <c r="H47" s="64">
        <v>42.9</v>
      </c>
      <c r="I47" s="64">
        <v>0.62</v>
      </c>
      <c r="J47" s="64">
        <v>0.23</v>
      </c>
      <c r="K47" s="64">
        <v>243.55</v>
      </c>
      <c r="L47" s="64">
        <v>29.68</v>
      </c>
      <c r="M47" s="64">
        <v>47.42</v>
      </c>
      <c r="N47" s="214" t="s">
        <v>42</v>
      </c>
      <c r="O47" s="64">
        <v>0</v>
      </c>
      <c r="P47" s="64">
        <v>1.07</v>
      </c>
      <c r="Q47" s="64">
        <v>28.26</v>
      </c>
      <c r="R47" s="198"/>
      <c r="S47" s="198"/>
      <c r="T47" s="198"/>
      <c r="U47" s="198"/>
    </row>
    <row r="48" spans="1:21" s="12" customFormat="1" x14ac:dyDescent="0.25">
      <c r="A48" s="211" t="s">
        <v>572</v>
      </c>
      <c r="B48" s="64">
        <v>17.329999999999998</v>
      </c>
      <c r="C48" s="64">
        <v>28.71</v>
      </c>
      <c r="D48" s="64">
        <v>30.39</v>
      </c>
      <c r="E48" s="64">
        <v>2.84</v>
      </c>
      <c r="F48" s="64">
        <v>8.82</v>
      </c>
      <c r="G48" s="64">
        <v>128.47999999999999</v>
      </c>
      <c r="H48" s="64">
        <v>36.89</v>
      </c>
      <c r="I48" s="64">
        <v>0.59</v>
      </c>
      <c r="J48" s="64">
        <v>0.43</v>
      </c>
      <c r="K48" s="64">
        <v>297.37</v>
      </c>
      <c r="L48" s="64">
        <v>30.74</v>
      </c>
      <c r="M48" s="64">
        <v>46.44</v>
      </c>
      <c r="N48" s="214" t="s">
        <v>42</v>
      </c>
      <c r="O48" s="64">
        <v>0</v>
      </c>
      <c r="P48" s="64">
        <v>1.04</v>
      </c>
      <c r="Q48" s="64">
        <v>27.48</v>
      </c>
      <c r="R48" s="198"/>
      <c r="S48" s="198"/>
      <c r="T48" s="198"/>
      <c r="U48" s="198"/>
    </row>
    <row r="49" spans="1:21" s="12" customFormat="1" x14ac:dyDescent="0.25">
      <c r="A49" s="211" t="s">
        <v>573</v>
      </c>
      <c r="B49" s="64">
        <v>15.55</v>
      </c>
      <c r="C49" s="64">
        <v>28.55</v>
      </c>
      <c r="D49" s="64">
        <v>28.88</v>
      </c>
      <c r="E49" s="64">
        <v>3.66</v>
      </c>
      <c r="F49" s="64">
        <v>10.69</v>
      </c>
      <c r="G49" s="64">
        <v>128.47999999999999</v>
      </c>
      <c r="H49" s="64">
        <v>36.89</v>
      </c>
      <c r="I49" s="64">
        <v>0.61</v>
      </c>
      <c r="J49" s="64">
        <v>0.74</v>
      </c>
      <c r="K49" s="64">
        <v>189.33</v>
      </c>
      <c r="L49" s="64">
        <v>29.52</v>
      </c>
      <c r="M49" s="64">
        <v>48.03</v>
      </c>
      <c r="N49" s="214" t="s">
        <v>42</v>
      </c>
      <c r="O49" s="64">
        <v>0</v>
      </c>
      <c r="P49" s="64">
        <v>1.01</v>
      </c>
      <c r="Q49" s="64">
        <v>28.33</v>
      </c>
      <c r="R49" s="198"/>
      <c r="S49" s="198"/>
      <c r="T49" s="198"/>
      <c r="U49" s="198"/>
    </row>
    <row r="50" spans="1:21" s="12" customFormat="1" x14ac:dyDescent="0.25">
      <c r="A50" s="211" t="s">
        <v>574</v>
      </c>
      <c r="B50" s="64">
        <v>13.97</v>
      </c>
      <c r="C50" s="64">
        <v>23.61</v>
      </c>
      <c r="D50" s="64">
        <v>24.88</v>
      </c>
      <c r="E50" s="64">
        <v>4.28</v>
      </c>
      <c r="F50" s="64">
        <v>6.62</v>
      </c>
      <c r="G50" s="64">
        <v>128.47999999999999</v>
      </c>
      <c r="H50" s="64">
        <v>36.89</v>
      </c>
      <c r="I50" s="64">
        <v>0.59</v>
      </c>
      <c r="J50" s="64">
        <v>0.3</v>
      </c>
      <c r="K50" s="64">
        <v>209.35</v>
      </c>
      <c r="L50" s="64">
        <v>29.35</v>
      </c>
      <c r="M50" s="64">
        <v>50.15</v>
      </c>
      <c r="N50" s="214" t="s">
        <v>42</v>
      </c>
      <c r="O50" s="64">
        <v>0</v>
      </c>
      <c r="P50" s="64">
        <v>1.02</v>
      </c>
      <c r="Q50" s="64">
        <v>27.48</v>
      </c>
      <c r="R50" s="198"/>
      <c r="S50" s="198"/>
      <c r="T50" s="198"/>
      <c r="U50" s="198"/>
    </row>
    <row r="51" spans="1:21" s="12" customFormat="1" x14ac:dyDescent="0.25">
      <c r="A51" s="211" t="s">
        <v>575</v>
      </c>
      <c r="B51" s="64">
        <v>12.87</v>
      </c>
      <c r="C51" s="64">
        <v>28.12</v>
      </c>
      <c r="D51" s="64">
        <v>26.49</v>
      </c>
      <c r="E51" s="64">
        <v>2.4300000000000002</v>
      </c>
      <c r="F51" s="64">
        <v>3.51</v>
      </c>
      <c r="G51" s="64">
        <v>126.13</v>
      </c>
      <c r="H51" s="64">
        <v>36.08</v>
      </c>
      <c r="I51" s="64">
        <v>0.59</v>
      </c>
      <c r="J51" s="64">
        <v>1.0900000000000001</v>
      </c>
      <c r="K51" s="64">
        <v>198.91</v>
      </c>
      <c r="L51" s="64">
        <v>28.66</v>
      </c>
      <c r="M51" s="64">
        <v>51.85</v>
      </c>
      <c r="N51" s="214" t="s">
        <v>42</v>
      </c>
      <c r="O51" s="64">
        <v>0</v>
      </c>
      <c r="P51" s="64">
        <v>1</v>
      </c>
      <c r="Q51" s="64">
        <v>28.56</v>
      </c>
      <c r="R51" s="198"/>
      <c r="S51" s="198"/>
      <c r="T51" s="198"/>
      <c r="U51" s="198"/>
    </row>
    <row r="52" spans="1:21" s="12" customFormat="1" x14ac:dyDescent="0.25">
      <c r="A52" s="211" t="s">
        <v>576</v>
      </c>
      <c r="B52" s="64">
        <v>10.27</v>
      </c>
      <c r="C52" s="64">
        <v>25.79</v>
      </c>
      <c r="D52" s="64">
        <v>23.12</v>
      </c>
      <c r="E52" s="64">
        <v>2.44</v>
      </c>
      <c r="F52" s="64">
        <v>4.0199999999999996</v>
      </c>
      <c r="G52" s="64">
        <v>98.21</v>
      </c>
      <c r="H52" s="64">
        <v>27.77</v>
      </c>
      <c r="I52" s="64">
        <v>0.64</v>
      </c>
      <c r="J52" s="64">
        <v>0.57999999999999996</v>
      </c>
      <c r="K52" s="64">
        <v>216.44</v>
      </c>
      <c r="L52" s="64">
        <v>28.65</v>
      </c>
      <c r="M52" s="64">
        <v>51.86</v>
      </c>
      <c r="N52" s="214" t="s">
        <v>42</v>
      </c>
      <c r="O52" s="64">
        <v>0</v>
      </c>
      <c r="P52" s="64">
        <v>0.93</v>
      </c>
      <c r="Q52" s="64">
        <v>28.41</v>
      </c>
      <c r="R52" s="198"/>
      <c r="S52" s="198"/>
      <c r="T52" s="198"/>
      <c r="U52" s="198"/>
    </row>
    <row r="53" spans="1:21" s="12" customFormat="1" x14ac:dyDescent="0.25">
      <c r="A53" s="211" t="s">
        <v>577</v>
      </c>
      <c r="B53" s="64">
        <v>7.29</v>
      </c>
      <c r="C53" s="64">
        <v>24.59</v>
      </c>
      <c r="D53" s="64">
        <v>20.059999999999999</v>
      </c>
      <c r="E53" s="64">
        <v>2.74</v>
      </c>
      <c r="F53" s="64">
        <v>5.09</v>
      </c>
      <c r="G53" s="64">
        <v>98.21</v>
      </c>
      <c r="H53" s="64">
        <v>27.77</v>
      </c>
      <c r="I53" s="64">
        <v>0.64</v>
      </c>
      <c r="J53" s="64">
        <v>0.24</v>
      </c>
      <c r="K53" s="64">
        <v>256.70999999999998</v>
      </c>
      <c r="L53" s="64">
        <v>29.05</v>
      </c>
      <c r="M53" s="64">
        <v>50.79</v>
      </c>
      <c r="N53" s="214" t="s">
        <v>42</v>
      </c>
      <c r="O53" s="64">
        <v>0</v>
      </c>
      <c r="P53" s="64">
        <v>0.89</v>
      </c>
      <c r="Q53" s="64">
        <v>26.89</v>
      </c>
      <c r="R53" s="198"/>
      <c r="S53" s="198"/>
      <c r="T53" s="198"/>
      <c r="U53" s="198"/>
    </row>
    <row r="54" spans="1:21" s="12" customFormat="1" x14ac:dyDescent="0.25">
      <c r="A54" s="211" t="s">
        <v>578</v>
      </c>
      <c r="B54" s="64">
        <v>4.92</v>
      </c>
      <c r="C54" s="64">
        <v>24.72</v>
      </c>
      <c r="D54" s="64">
        <v>18.23</v>
      </c>
      <c r="E54" s="64">
        <v>2.58</v>
      </c>
      <c r="F54" s="64">
        <v>4.5999999999999996</v>
      </c>
      <c r="G54" s="64">
        <v>98.21</v>
      </c>
      <c r="H54" s="64">
        <v>27.77</v>
      </c>
      <c r="I54" s="64">
        <v>0.62</v>
      </c>
      <c r="J54" s="64">
        <v>0.2</v>
      </c>
      <c r="K54" s="64">
        <v>258.33</v>
      </c>
      <c r="L54" s="64">
        <v>29.85</v>
      </c>
      <c r="M54" s="64">
        <v>49.59</v>
      </c>
      <c r="N54" s="214" t="s">
        <v>42</v>
      </c>
      <c r="O54" s="64">
        <v>0</v>
      </c>
      <c r="P54" s="64">
        <v>0.82</v>
      </c>
      <c r="Q54" s="64">
        <v>26.82</v>
      </c>
      <c r="R54" s="198"/>
      <c r="S54" s="198"/>
      <c r="T54" s="198"/>
      <c r="U54" s="198"/>
    </row>
    <row r="55" spans="1:21" s="12" customFormat="1" x14ac:dyDescent="0.25">
      <c r="A55" s="211" t="s">
        <v>579</v>
      </c>
      <c r="B55" s="64">
        <v>3.37</v>
      </c>
      <c r="C55" s="64">
        <v>22.86</v>
      </c>
      <c r="D55" s="64">
        <v>15.96</v>
      </c>
      <c r="E55" s="64">
        <v>2.5499999999999998</v>
      </c>
      <c r="F55" s="64">
        <v>6.84</v>
      </c>
      <c r="G55" s="64">
        <v>96.1</v>
      </c>
      <c r="H55" s="64">
        <v>27.11</v>
      </c>
      <c r="I55" s="64">
        <v>0.61</v>
      </c>
      <c r="J55" s="64">
        <v>1.22</v>
      </c>
      <c r="K55" s="64">
        <v>189.54</v>
      </c>
      <c r="L55" s="64">
        <v>29.47</v>
      </c>
      <c r="M55" s="64">
        <v>49.54</v>
      </c>
      <c r="N55" s="214" t="s">
        <v>42</v>
      </c>
      <c r="O55" s="64">
        <v>0</v>
      </c>
      <c r="P55" s="64">
        <v>0.78</v>
      </c>
      <c r="Q55" s="64">
        <v>25.54</v>
      </c>
      <c r="R55" s="198"/>
      <c r="S55" s="198"/>
      <c r="T55" s="198"/>
      <c r="U55" s="198"/>
    </row>
    <row r="56" spans="1:21" s="12" customFormat="1" x14ac:dyDescent="0.25">
      <c r="A56" s="211" t="s">
        <v>580</v>
      </c>
      <c r="B56" s="64">
        <v>2.69</v>
      </c>
      <c r="C56" s="64">
        <v>22.7</v>
      </c>
      <c r="D56" s="64">
        <v>15.34</v>
      </c>
      <c r="E56" s="64">
        <v>2.11</v>
      </c>
      <c r="F56" s="64">
        <v>5.34</v>
      </c>
      <c r="G56" s="64">
        <v>71.13</v>
      </c>
      <c r="H56" s="64">
        <v>20.41</v>
      </c>
      <c r="I56" s="64">
        <v>0.6</v>
      </c>
      <c r="J56" s="64">
        <v>0.53</v>
      </c>
      <c r="K56" s="64">
        <v>244.66</v>
      </c>
      <c r="L56" s="64">
        <v>30.43</v>
      </c>
      <c r="M56" s="64">
        <v>48.28</v>
      </c>
      <c r="N56" s="214" t="s">
        <v>42</v>
      </c>
      <c r="O56" s="64">
        <v>0</v>
      </c>
      <c r="P56" s="64">
        <v>0.76</v>
      </c>
      <c r="Q56" s="64">
        <v>25.53</v>
      </c>
      <c r="R56" s="198"/>
      <c r="S56" s="198"/>
      <c r="T56" s="198"/>
      <c r="U56" s="198"/>
    </row>
    <row r="57" spans="1:21" s="12" customFormat="1" x14ac:dyDescent="0.25">
      <c r="A57" s="211" t="s">
        <v>581</v>
      </c>
      <c r="B57" s="64">
        <v>2.39</v>
      </c>
      <c r="C57" s="64">
        <v>20.81</v>
      </c>
      <c r="D57" s="64">
        <v>14.05</v>
      </c>
      <c r="E57" s="64">
        <v>2.25</v>
      </c>
      <c r="F57" s="64">
        <v>5.36</v>
      </c>
      <c r="G57" s="64">
        <v>71.13</v>
      </c>
      <c r="H57" s="64">
        <v>20.41</v>
      </c>
      <c r="I57" s="64">
        <v>0.59</v>
      </c>
      <c r="J57" s="64">
        <v>0.23</v>
      </c>
      <c r="K57" s="64">
        <v>233.95</v>
      </c>
      <c r="L57" s="64">
        <v>29.85</v>
      </c>
      <c r="M57" s="64">
        <v>47.78</v>
      </c>
      <c r="N57" s="214" t="s">
        <v>42</v>
      </c>
      <c r="O57" s="64">
        <v>0</v>
      </c>
      <c r="P57" s="64">
        <v>0.71</v>
      </c>
      <c r="Q57" s="64">
        <v>25.39</v>
      </c>
      <c r="R57" s="198"/>
      <c r="S57" s="198"/>
      <c r="T57" s="198"/>
      <c r="U57" s="198"/>
    </row>
    <row r="58" spans="1:21" s="12" customFormat="1" x14ac:dyDescent="0.25">
      <c r="A58" s="211" t="s">
        <v>582</v>
      </c>
      <c r="B58" s="64">
        <v>2.1</v>
      </c>
      <c r="C58" s="64">
        <v>20.86</v>
      </c>
      <c r="D58" s="64">
        <v>13.84</v>
      </c>
      <c r="E58" s="64">
        <v>2.34</v>
      </c>
      <c r="F58" s="64">
        <v>8.65</v>
      </c>
      <c r="G58" s="64">
        <v>71.13</v>
      </c>
      <c r="H58" s="64">
        <v>20.41</v>
      </c>
      <c r="I58" s="64">
        <v>0.57999999999999996</v>
      </c>
      <c r="J58" s="64">
        <v>0.54</v>
      </c>
      <c r="K58" s="64">
        <v>230.79</v>
      </c>
      <c r="L58" s="64">
        <v>30.04</v>
      </c>
      <c r="M58" s="64">
        <v>45.5</v>
      </c>
      <c r="N58" s="214" t="s">
        <v>42</v>
      </c>
      <c r="O58" s="64">
        <v>0</v>
      </c>
      <c r="P58" s="64">
        <v>0.67</v>
      </c>
      <c r="Q58" s="64">
        <v>24.69</v>
      </c>
      <c r="R58" s="198"/>
      <c r="S58" s="198"/>
      <c r="T58" s="198"/>
      <c r="U58" s="198"/>
    </row>
    <row r="59" spans="1:21" s="12" customFormat="1" x14ac:dyDescent="0.25">
      <c r="A59" s="211" t="s">
        <v>583</v>
      </c>
      <c r="B59" s="64">
        <v>2.0499999999999998</v>
      </c>
      <c r="C59" s="64">
        <v>18.53</v>
      </c>
      <c r="D59" s="64">
        <v>12.52</v>
      </c>
      <c r="E59" s="64">
        <v>2.6</v>
      </c>
      <c r="F59" s="64">
        <v>7.47</v>
      </c>
      <c r="G59" s="64">
        <v>69.27</v>
      </c>
      <c r="H59" s="64">
        <v>19.690000000000001</v>
      </c>
      <c r="I59" s="64">
        <v>0.57999999999999996</v>
      </c>
      <c r="J59" s="64">
        <v>0.76</v>
      </c>
      <c r="K59" s="64">
        <v>264.8</v>
      </c>
      <c r="L59" s="64">
        <v>31.52</v>
      </c>
      <c r="M59" s="64">
        <v>43.68</v>
      </c>
      <c r="N59" s="214" t="s">
        <v>42</v>
      </c>
      <c r="O59" s="64">
        <v>0</v>
      </c>
      <c r="P59" s="64">
        <v>0.66</v>
      </c>
      <c r="Q59" s="64">
        <v>24.42</v>
      </c>
      <c r="R59" s="198"/>
      <c r="S59" s="198"/>
      <c r="T59" s="198"/>
      <c r="U59" s="198"/>
    </row>
    <row r="60" spans="1:21" s="12" customFormat="1" x14ac:dyDescent="0.25">
      <c r="A60" s="211" t="s">
        <v>584</v>
      </c>
      <c r="B60" s="64">
        <v>2.31</v>
      </c>
      <c r="C60" s="64">
        <v>17.52</v>
      </c>
      <c r="D60" s="64">
        <v>12.17</v>
      </c>
      <c r="E60" s="64">
        <v>2.38</v>
      </c>
      <c r="F60" s="64">
        <v>11.03</v>
      </c>
      <c r="G60" s="64">
        <v>30.26</v>
      </c>
      <c r="H60" s="64">
        <v>12.43</v>
      </c>
      <c r="I60" s="64">
        <v>0.56999999999999995</v>
      </c>
      <c r="J60" s="64">
        <v>1.01</v>
      </c>
      <c r="K60" s="64">
        <v>284.31</v>
      </c>
      <c r="L60" s="64">
        <v>33.33</v>
      </c>
      <c r="M60" s="64">
        <v>39.770000000000003</v>
      </c>
      <c r="N60" s="214" t="s">
        <v>42</v>
      </c>
      <c r="O60" s="64">
        <v>0</v>
      </c>
      <c r="P60" s="64">
        <v>0.69</v>
      </c>
      <c r="Q60" s="214" t="s">
        <v>42</v>
      </c>
      <c r="R60" s="198"/>
      <c r="S60" s="198"/>
      <c r="T60" s="198"/>
      <c r="U60" s="198"/>
    </row>
    <row r="61" spans="1:21" s="12" customFormat="1" x14ac:dyDescent="0.25">
      <c r="A61" s="211" t="s">
        <v>585</v>
      </c>
      <c r="B61" s="215" t="s">
        <v>32</v>
      </c>
      <c r="C61" s="215" t="s">
        <v>32</v>
      </c>
      <c r="D61" s="215" t="s">
        <v>32</v>
      </c>
      <c r="E61" s="215" t="s">
        <v>32</v>
      </c>
      <c r="F61" s="215" t="s">
        <v>32</v>
      </c>
      <c r="G61" s="215" t="s">
        <v>32</v>
      </c>
      <c r="H61" s="215" t="s">
        <v>32</v>
      </c>
      <c r="I61" s="215" t="s">
        <v>32</v>
      </c>
      <c r="J61" s="215" t="s">
        <v>32</v>
      </c>
      <c r="K61" s="215" t="s">
        <v>32</v>
      </c>
      <c r="L61" s="215" t="s">
        <v>32</v>
      </c>
      <c r="M61" s="215" t="s">
        <v>32</v>
      </c>
      <c r="N61" s="215" t="s">
        <v>32</v>
      </c>
      <c r="O61" s="215" t="s">
        <v>32</v>
      </c>
      <c r="P61" s="215" t="s">
        <v>32</v>
      </c>
      <c r="Q61" s="215" t="s">
        <v>32</v>
      </c>
      <c r="R61" s="198"/>
      <c r="S61" s="198"/>
      <c r="T61" s="198"/>
      <c r="U61" s="198"/>
    </row>
    <row r="62" spans="1:21" s="12" customFormat="1" x14ac:dyDescent="0.25">
      <c r="A62" s="211" t="s">
        <v>586</v>
      </c>
      <c r="B62" s="215" t="s">
        <v>32</v>
      </c>
      <c r="C62" s="215" t="s">
        <v>32</v>
      </c>
      <c r="D62" s="215" t="s">
        <v>32</v>
      </c>
      <c r="E62" s="215" t="s">
        <v>32</v>
      </c>
      <c r="F62" s="215" t="s">
        <v>32</v>
      </c>
      <c r="G62" s="215" t="s">
        <v>32</v>
      </c>
      <c r="H62" s="215" t="s">
        <v>32</v>
      </c>
      <c r="I62" s="215" t="s">
        <v>32</v>
      </c>
      <c r="J62" s="215" t="s">
        <v>32</v>
      </c>
      <c r="K62" s="215" t="s">
        <v>32</v>
      </c>
      <c r="L62" s="215" t="s">
        <v>32</v>
      </c>
      <c r="M62" s="215" t="s">
        <v>32</v>
      </c>
      <c r="N62" s="215" t="s">
        <v>32</v>
      </c>
      <c r="O62" s="215" t="s">
        <v>32</v>
      </c>
      <c r="P62" s="215" t="s">
        <v>32</v>
      </c>
      <c r="Q62" s="215" t="s">
        <v>32</v>
      </c>
      <c r="R62" s="198"/>
      <c r="S62" s="198"/>
      <c r="T62" s="198"/>
      <c r="U62" s="198"/>
    </row>
    <row r="63" spans="1:21" s="12" customFormat="1" x14ac:dyDescent="0.25">
      <c r="A63" s="211" t="s">
        <v>587</v>
      </c>
      <c r="B63" s="215" t="s">
        <v>32</v>
      </c>
      <c r="C63" s="215" t="s">
        <v>32</v>
      </c>
      <c r="D63" s="215" t="s">
        <v>32</v>
      </c>
      <c r="E63" s="215" t="s">
        <v>32</v>
      </c>
      <c r="F63" s="215" t="s">
        <v>32</v>
      </c>
      <c r="G63" s="215" t="s">
        <v>32</v>
      </c>
      <c r="H63" s="215" t="s">
        <v>32</v>
      </c>
      <c r="I63" s="215" t="s">
        <v>32</v>
      </c>
      <c r="J63" s="215" t="s">
        <v>32</v>
      </c>
      <c r="K63" s="215" t="s">
        <v>32</v>
      </c>
      <c r="L63" s="215" t="s">
        <v>32</v>
      </c>
      <c r="M63" s="215" t="s">
        <v>32</v>
      </c>
      <c r="N63" s="215" t="s">
        <v>32</v>
      </c>
      <c r="O63" s="215" t="s">
        <v>32</v>
      </c>
      <c r="P63" s="215" t="s">
        <v>32</v>
      </c>
      <c r="Q63" s="215" t="s">
        <v>32</v>
      </c>
      <c r="R63" s="198"/>
      <c r="S63" s="198"/>
      <c r="T63" s="198"/>
      <c r="U63" s="198"/>
    </row>
    <row r="64" spans="1:21" s="12" customFormat="1" x14ac:dyDescent="0.25">
      <c r="A64" s="211" t="s">
        <v>588</v>
      </c>
      <c r="B64" s="215" t="s">
        <v>32</v>
      </c>
      <c r="C64" s="215" t="s">
        <v>32</v>
      </c>
      <c r="D64" s="215" t="s">
        <v>32</v>
      </c>
      <c r="E64" s="215" t="s">
        <v>32</v>
      </c>
      <c r="F64" s="215" t="s">
        <v>32</v>
      </c>
      <c r="G64" s="215" t="s">
        <v>32</v>
      </c>
      <c r="H64" s="215" t="s">
        <v>32</v>
      </c>
      <c r="I64" s="215" t="s">
        <v>32</v>
      </c>
      <c r="J64" s="215" t="s">
        <v>32</v>
      </c>
      <c r="K64" s="215" t="s">
        <v>32</v>
      </c>
      <c r="L64" s="215" t="s">
        <v>32</v>
      </c>
      <c r="M64" s="215" t="s">
        <v>32</v>
      </c>
      <c r="N64" s="215" t="s">
        <v>32</v>
      </c>
      <c r="O64" s="215" t="s">
        <v>32</v>
      </c>
      <c r="P64" s="215" t="s">
        <v>32</v>
      </c>
      <c r="Q64" s="215" t="s">
        <v>32</v>
      </c>
      <c r="R64" s="198"/>
      <c r="S64" s="198"/>
      <c r="T64" s="198"/>
      <c r="U64" s="198"/>
    </row>
    <row r="65" spans="1:21" s="12" customFormat="1" x14ac:dyDescent="0.25">
      <c r="A65" s="211" t="s">
        <v>589</v>
      </c>
      <c r="B65" s="215" t="s">
        <v>32</v>
      </c>
      <c r="C65" s="215" t="s">
        <v>32</v>
      </c>
      <c r="D65" s="215" t="s">
        <v>32</v>
      </c>
      <c r="E65" s="215" t="s">
        <v>32</v>
      </c>
      <c r="F65" s="215" t="s">
        <v>32</v>
      </c>
      <c r="G65" s="215" t="s">
        <v>32</v>
      </c>
      <c r="H65" s="215" t="s">
        <v>32</v>
      </c>
      <c r="I65" s="215" t="s">
        <v>32</v>
      </c>
      <c r="J65" s="215" t="s">
        <v>32</v>
      </c>
      <c r="K65" s="215" t="s">
        <v>32</v>
      </c>
      <c r="L65" s="215" t="s">
        <v>32</v>
      </c>
      <c r="M65" s="215" t="s">
        <v>32</v>
      </c>
      <c r="N65" s="215" t="s">
        <v>32</v>
      </c>
      <c r="O65" s="215" t="s">
        <v>32</v>
      </c>
      <c r="P65" s="215" t="s">
        <v>32</v>
      </c>
      <c r="Q65" s="215" t="s">
        <v>32</v>
      </c>
      <c r="R65" s="198"/>
      <c r="S65" s="198"/>
      <c r="T65" s="198"/>
      <c r="U65" s="198"/>
    </row>
    <row r="66" spans="1:21" s="12" customFormat="1" x14ac:dyDescent="0.25">
      <c r="A66" s="211" t="s">
        <v>590</v>
      </c>
      <c r="B66" s="215" t="s">
        <v>32</v>
      </c>
      <c r="C66" s="215" t="s">
        <v>32</v>
      </c>
      <c r="D66" s="215" t="s">
        <v>32</v>
      </c>
      <c r="E66" s="215" t="s">
        <v>32</v>
      </c>
      <c r="F66" s="215" t="s">
        <v>32</v>
      </c>
      <c r="G66" s="215" t="s">
        <v>32</v>
      </c>
      <c r="H66" s="215" t="s">
        <v>32</v>
      </c>
      <c r="I66" s="215" t="s">
        <v>32</v>
      </c>
      <c r="J66" s="215" t="s">
        <v>32</v>
      </c>
      <c r="K66" s="215" t="s">
        <v>32</v>
      </c>
      <c r="L66" s="215" t="s">
        <v>32</v>
      </c>
      <c r="M66" s="215" t="s">
        <v>32</v>
      </c>
      <c r="N66" s="215" t="s">
        <v>32</v>
      </c>
      <c r="O66" s="215" t="s">
        <v>32</v>
      </c>
      <c r="P66" s="215" t="s">
        <v>32</v>
      </c>
      <c r="Q66" s="215" t="s">
        <v>32</v>
      </c>
      <c r="R66" s="198"/>
      <c r="S66" s="198"/>
      <c r="T66" s="198"/>
      <c r="U66" s="198"/>
    </row>
    <row r="67" spans="1:21" s="12" customFormat="1" x14ac:dyDescent="0.25">
      <c r="A67" s="211" t="s">
        <v>591</v>
      </c>
      <c r="B67" s="215" t="s">
        <v>32</v>
      </c>
      <c r="C67" s="215" t="s">
        <v>32</v>
      </c>
      <c r="D67" s="215" t="s">
        <v>32</v>
      </c>
      <c r="E67" s="215" t="s">
        <v>32</v>
      </c>
      <c r="F67" s="215" t="s">
        <v>32</v>
      </c>
      <c r="G67" s="215" t="s">
        <v>32</v>
      </c>
      <c r="H67" s="215" t="s">
        <v>32</v>
      </c>
      <c r="I67" s="215" t="s">
        <v>32</v>
      </c>
      <c r="J67" s="215" t="s">
        <v>32</v>
      </c>
      <c r="K67" s="215" t="s">
        <v>32</v>
      </c>
      <c r="L67" s="215" t="s">
        <v>32</v>
      </c>
      <c r="M67" s="215" t="s">
        <v>32</v>
      </c>
      <c r="N67" s="215" t="s">
        <v>32</v>
      </c>
      <c r="O67" s="215" t="s">
        <v>32</v>
      </c>
      <c r="P67" s="215" t="s">
        <v>32</v>
      </c>
      <c r="Q67" s="215" t="s">
        <v>32</v>
      </c>
      <c r="R67" s="198"/>
      <c r="S67" s="198"/>
      <c r="T67" s="198"/>
      <c r="U67" s="198"/>
    </row>
    <row r="68" spans="1:21" s="12" customFormat="1" x14ac:dyDescent="0.25">
      <c r="A68" s="211" t="s">
        <v>592</v>
      </c>
      <c r="B68" s="215" t="s">
        <v>32</v>
      </c>
      <c r="C68" s="215" t="s">
        <v>32</v>
      </c>
      <c r="D68" s="215" t="s">
        <v>32</v>
      </c>
      <c r="E68" s="215" t="s">
        <v>32</v>
      </c>
      <c r="F68" s="215" t="s">
        <v>32</v>
      </c>
      <c r="G68" s="215" t="s">
        <v>32</v>
      </c>
      <c r="H68" s="215" t="s">
        <v>32</v>
      </c>
      <c r="I68" s="215" t="s">
        <v>32</v>
      </c>
      <c r="J68" s="215" t="s">
        <v>32</v>
      </c>
      <c r="K68" s="215" t="s">
        <v>32</v>
      </c>
      <c r="L68" s="215" t="s">
        <v>32</v>
      </c>
      <c r="M68" s="215" t="s">
        <v>32</v>
      </c>
      <c r="N68" s="215" t="s">
        <v>32</v>
      </c>
      <c r="O68" s="215" t="s">
        <v>32</v>
      </c>
      <c r="P68" s="215" t="s">
        <v>32</v>
      </c>
      <c r="Q68" s="215" t="s">
        <v>32</v>
      </c>
      <c r="R68" s="198"/>
      <c r="S68" s="198"/>
      <c r="T68" s="198"/>
      <c r="U68" s="198"/>
    </row>
    <row r="69" spans="1:21" s="12" customFormat="1" x14ac:dyDescent="0.25">
      <c r="A69" s="211" t="s">
        <v>593</v>
      </c>
      <c r="B69" s="215" t="s">
        <v>32</v>
      </c>
      <c r="C69" s="215" t="s">
        <v>32</v>
      </c>
      <c r="D69" s="215" t="s">
        <v>32</v>
      </c>
      <c r="E69" s="215" t="s">
        <v>32</v>
      </c>
      <c r="F69" s="215" t="s">
        <v>32</v>
      </c>
      <c r="G69" s="215" t="s">
        <v>32</v>
      </c>
      <c r="H69" s="215" t="s">
        <v>32</v>
      </c>
      <c r="I69" s="215" t="s">
        <v>32</v>
      </c>
      <c r="J69" s="215" t="s">
        <v>32</v>
      </c>
      <c r="K69" s="215" t="s">
        <v>32</v>
      </c>
      <c r="L69" s="215" t="s">
        <v>32</v>
      </c>
      <c r="M69" s="215" t="s">
        <v>32</v>
      </c>
      <c r="N69" s="215" t="s">
        <v>32</v>
      </c>
      <c r="O69" s="215" t="s">
        <v>32</v>
      </c>
      <c r="P69" s="215" t="s">
        <v>32</v>
      </c>
      <c r="Q69" s="215" t="s">
        <v>32</v>
      </c>
      <c r="R69" s="198"/>
      <c r="S69" s="198"/>
      <c r="T69" s="198"/>
      <c r="U69" s="198"/>
    </row>
    <row r="70" spans="1:21" s="12" customFormat="1" x14ac:dyDescent="0.25">
      <c r="A70" s="211" t="s">
        <v>594</v>
      </c>
      <c r="B70" s="215" t="s">
        <v>32</v>
      </c>
      <c r="C70" s="215" t="s">
        <v>32</v>
      </c>
      <c r="D70" s="215" t="s">
        <v>32</v>
      </c>
      <c r="E70" s="215" t="s">
        <v>32</v>
      </c>
      <c r="F70" s="215" t="s">
        <v>32</v>
      </c>
      <c r="G70" s="215" t="s">
        <v>32</v>
      </c>
      <c r="H70" s="215" t="s">
        <v>32</v>
      </c>
      <c r="I70" s="215" t="s">
        <v>32</v>
      </c>
      <c r="J70" s="215" t="s">
        <v>32</v>
      </c>
      <c r="K70" s="215" t="s">
        <v>32</v>
      </c>
      <c r="L70" s="215" t="s">
        <v>32</v>
      </c>
      <c r="M70" s="215" t="s">
        <v>32</v>
      </c>
      <c r="N70" s="215" t="s">
        <v>32</v>
      </c>
      <c r="O70" s="215" t="s">
        <v>32</v>
      </c>
      <c r="P70" s="215" t="s">
        <v>32</v>
      </c>
      <c r="Q70" s="215" t="s">
        <v>32</v>
      </c>
      <c r="R70" s="198"/>
      <c r="S70" s="198"/>
      <c r="T70" s="198"/>
      <c r="U70" s="198"/>
    </row>
    <row r="71" spans="1:21" s="12" customFormat="1" x14ac:dyDescent="0.25">
      <c r="A71" s="211" t="s">
        <v>595</v>
      </c>
      <c r="B71" s="215" t="s">
        <v>32</v>
      </c>
      <c r="C71" s="215" t="s">
        <v>32</v>
      </c>
      <c r="D71" s="215" t="s">
        <v>32</v>
      </c>
      <c r="E71" s="215" t="s">
        <v>32</v>
      </c>
      <c r="F71" s="215" t="s">
        <v>32</v>
      </c>
      <c r="G71" s="215" t="s">
        <v>32</v>
      </c>
      <c r="H71" s="215" t="s">
        <v>32</v>
      </c>
      <c r="I71" s="215" t="s">
        <v>32</v>
      </c>
      <c r="J71" s="215" t="s">
        <v>32</v>
      </c>
      <c r="K71" s="215" t="s">
        <v>32</v>
      </c>
      <c r="L71" s="215" t="s">
        <v>32</v>
      </c>
      <c r="M71" s="215" t="s">
        <v>32</v>
      </c>
      <c r="N71" s="215" t="s">
        <v>32</v>
      </c>
      <c r="O71" s="215" t="s">
        <v>32</v>
      </c>
      <c r="P71" s="215" t="s">
        <v>32</v>
      </c>
      <c r="Q71" s="215" t="s">
        <v>32</v>
      </c>
      <c r="R71" s="198"/>
      <c r="S71" s="198"/>
      <c r="T71" s="198"/>
      <c r="U71" s="198"/>
    </row>
    <row r="72" spans="1:21" s="12" customFormat="1" x14ac:dyDescent="0.25">
      <c r="A72" s="211" t="s">
        <v>596</v>
      </c>
      <c r="B72" s="215" t="s">
        <v>32</v>
      </c>
      <c r="C72" s="215" t="s">
        <v>32</v>
      </c>
      <c r="D72" s="215" t="s">
        <v>32</v>
      </c>
      <c r="E72" s="215" t="s">
        <v>32</v>
      </c>
      <c r="F72" s="215" t="s">
        <v>32</v>
      </c>
      <c r="G72" s="215" t="s">
        <v>32</v>
      </c>
      <c r="H72" s="215" t="s">
        <v>32</v>
      </c>
      <c r="I72" s="215" t="s">
        <v>32</v>
      </c>
      <c r="J72" s="215" t="s">
        <v>32</v>
      </c>
      <c r="K72" s="215" t="s">
        <v>32</v>
      </c>
      <c r="L72" s="215" t="s">
        <v>32</v>
      </c>
      <c r="M72" s="215" t="s">
        <v>32</v>
      </c>
      <c r="N72" s="215" t="s">
        <v>32</v>
      </c>
      <c r="O72" s="215" t="s">
        <v>32</v>
      </c>
      <c r="P72" s="215" t="s">
        <v>32</v>
      </c>
      <c r="Q72" s="215" t="s">
        <v>32</v>
      </c>
      <c r="R72" s="198"/>
      <c r="S72" s="198"/>
      <c r="T72" s="198"/>
      <c r="U72" s="198"/>
    </row>
    <row r="73" spans="1:21" s="12" customFormat="1" x14ac:dyDescent="0.25">
      <c r="A73" s="211" t="s">
        <v>597</v>
      </c>
      <c r="B73" s="215" t="s">
        <v>32</v>
      </c>
      <c r="C73" s="215" t="s">
        <v>32</v>
      </c>
      <c r="D73" s="215" t="s">
        <v>32</v>
      </c>
      <c r="E73" s="215" t="s">
        <v>32</v>
      </c>
      <c r="F73" s="215" t="s">
        <v>32</v>
      </c>
      <c r="G73" s="215" t="s">
        <v>32</v>
      </c>
      <c r="H73" s="215" t="s">
        <v>32</v>
      </c>
      <c r="I73" s="215" t="s">
        <v>32</v>
      </c>
      <c r="J73" s="215" t="s">
        <v>32</v>
      </c>
      <c r="K73" s="215" t="s">
        <v>32</v>
      </c>
      <c r="L73" s="215" t="s">
        <v>32</v>
      </c>
      <c r="M73" s="215" t="s">
        <v>32</v>
      </c>
      <c r="N73" s="215" t="s">
        <v>32</v>
      </c>
      <c r="O73" s="215" t="s">
        <v>32</v>
      </c>
      <c r="P73" s="215" t="s">
        <v>32</v>
      </c>
      <c r="Q73" s="215" t="s">
        <v>32</v>
      </c>
      <c r="R73" s="198"/>
      <c r="S73" s="198"/>
      <c r="T73" s="198"/>
      <c r="U73" s="198"/>
    </row>
    <row r="74" spans="1:21" s="12" customFormat="1" x14ac:dyDescent="0.25">
      <c r="A74" s="211" t="s">
        <v>598</v>
      </c>
      <c r="B74" s="215" t="s">
        <v>32</v>
      </c>
      <c r="C74" s="215" t="s">
        <v>32</v>
      </c>
      <c r="D74" s="215" t="s">
        <v>32</v>
      </c>
      <c r="E74" s="215" t="s">
        <v>32</v>
      </c>
      <c r="F74" s="215" t="s">
        <v>32</v>
      </c>
      <c r="G74" s="215" t="s">
        <v>32</v>
      </c>
      <c r="H74" s="215" t="s">
        <v>32</v>
      </c>
      <c r="I74" s="215" t="s">
        <v>32</v>
      </c>
      <c r="J74" s="215" t="s">
        <v>32</v>
      </c>
      <c r="K74" s="215" t="s">
        <v>32</v>
      </c>
      <c r="L74" s="215" t="s">
        <v>32</v>
      </c>
      <c r="M74" s="215" t="s">
        <v>32</v>
      </c>
      <c r="N74" s="215" t="s">
        <v>32</v>
      </c>
      <c r="O74" s="215" t="s">
        <v>32</v>
      </c>
      <c r="P74" s="215" t="s">
        <v>32</v>
      </c>
      <c r="Q74" s="215" t="s">
        <v>32</v>
      </c>
      <c r="R74" s="198"/>
      <c r="S74" s="198"/>
      <c r="T74" s="198"/>
      <c r="U74" s="198"/>
    </row>
    <row r="75" spans="1:21" s="12" customFormat="1" x14ac:dyDescent="0.25">
      <c r="A75" s="211" t="s">
        <v>599</v>
      </c>
      <c r="B75" s="216" t="s">
        <v>49</v>
      </c>
      <c r="C75" s="216" t="s">
        <v>49</v>
      </c>
      <c r="D75" s="216" t="s">
        <v>49</v>
      </c>
      <c r="E75" s="216" t="s">
        <v>49</v>
      </c>
      <c r="F75" s="64">
        <v>43.13</v>
      </c>
      <c r="G75" s="64">
        <v>47.19</v>
      </c>
      <c r="H75" s="64">
        <v>12.43</v>
      </c>
      <c r="I75" s="216" t="s">
        <v>49</v>
      </c>
      <c r="J75" s="64">
        <v>0.09</v>
      </c>
      <c r="K75" s="64">
        <v>176.09</v>
      </c>
      <c r="L75" s="64">
        <v>29.57</v>
      </c>
      <c r="M75" s="64">
        <v>39.840000000000003</v>
      </c>
      <c r="N75" s="216" t="s">
        <v>49</v>
      </c>
      <c r="O75" s="64">
        <v>0</v>
      </c>
      <c r="P75" s="216" t="s">
        <v>49</v>
      </c>
      <c r="Q75" s="216" t="s">
        <v>49</v>
      </c>
      <c r="R75" s="198"/>
      <c r="S75" s="198"/>
      <c r="T75" s="198"/>
      <c r="U75" s="198"/>
    </row>
    <row r="76" spans="1:21" s="12" customFormat="1" x14ac:dyDescent="0.25">
      <c r="A76" s="211" t="s">
        <v>600</v>
      </c>
      <c r="B76" s="216" t="s">
        <v>49</v>
      </c>
      <c r="C76" s="216" t="s">
        <v>49</v>
      </c>
      <c r="D76" s="216" t="s">
        <v>49</v>
      </c>
      <c r="E76" s="216" t="s">
        <v>49</v>
      </c>
      <c r="F76" s="64">
        <v>5.24</v>
      </c>
      <c r="G76" s="64">
        <v>23.99</v>
      </c>
      <c r="H76" s="64">
        <v>6.78</v>
      </c>
      <c r="I76" s="214" t="s">
        <v>42</v>
      </c>
      <c r="J76" s="64">
        <v>0.13</v>
      </c>
      <c r="K76" s="64">
        <v>287.92</v>
      </c>
      <c r="L76" s="64">
        <v>29.85</v>
      </c>
      <c r="M76" s="64">
        <v>40.049999999999997</v>
      </c>
      <c r="N76" s="216" t="s">
        <v>49</v>
      </c>
      <c r="O76" s="64">
        <v>0</v>
      </c>
      <c r="P76" s="64">
        <v>0.53</v>
      </c>
      <c r="Q76" s="214" t="s">
        <v>42</v>
      </c>
      <c r="R76" s="198"/>
      <c r="S76" s="198"/>
      <c r="T76" s="198"/>
      <c r="U76" s="198"/>
    </row>
    <row r="77" spans="1:21" s="12" customFormat="1" x14ac:dyDescent="0.25">
      <c r="A77" s="211" t="s">
        <v>601</v>
      </c>
      <c r="B77" s="64">
        <v>2.4500000000000002</v>
      </c>
      <c r="C77" s="64">
        <v>20.03</v>
      </c>
      <c r="D77" s="64">
        <v>13.66</v>
      </c>
      <c r="E77" s="64">
        <v>0.46</v>
      </c>
      <c r="F77" s="64">
        <v>13.5</v>
      </c>
      <c r="G77" s="64">
        <v>22.34</v>
      </c>
      <c r="H77" s="64">
        <v>6.78</v>
      </c>
      <c r="I77" s="214" t="s">
        <v>42</v>
      </c>
      <c r="J77" s="64">
        <v>0.15</v>
      </c>
      <c r="K77" s="64">
        <v>282.36</v>
      </c>
      <c r="L77" s="64">
        <v>29.95</v>
      </c>
      <c r="M77" s="64">
        <v>39.32</v>
      </c>
      <c r="N77" s="214" t="s">
        <v>42</v>
      </c>
      <c r="O77" s="64">
        <v>0</v>
      </c>
      <c r="P77" s="64">
        <v>0.5</v>
      </c>
      <c r="Q77" s="214" t="s">
        <v>42</v>
      </c>
      <c r="R77" s="198"/>
      <c r="S77" s="198"/>
      <c r="T77" s="198"/>
      <c r="U77" s="198"/>
    </row>
    <row r="78" spans="1:21" s="12" customFormat="1" x14ac:dyDescent="0.25">
      <c r="A78" s="211" t="s">
        <v>602</v>
      </c>
      <c r="B78" s="64">
        <v>5.59</v>
      </c>
      <c r="C78" s="64">
        <v>25.76</v>
      </c>
      <c r="D78" s="64">
        <v>19.350000000000001</v>
      </c>
      <c r="E78" s="214" t="s">
        <v>42</v>
      </c>
      <c r="F78" s="64">
        <v>9.98</v>
      </c>
      <c r="G78" s="64">
        <v>22.34</v>
      </c>
      <c r="H78" s="64">
        <v>6.78</v>
      </c>
      <c r="I78" s="214" t="s">
        <v>42</v>
      </c>
      <c r="J78" s="64">
        <v>0.4</v>
      </c>
      <c r="K78" s="64">
        <v>285.88</v>
      </c>
      <c r="L78" s="64">
        <v>29.88</v>
      </c>
      <c r="M78" s="64">
        <v>42.13</v>
      </c>
      <c r="N78" s="214" t="s">
        <v>42</v>
      </c>
      <c r="O78" s="64">
        <v>0</v>
      </c>
      <c r="P78" s="64">
        <v>0.46</v>
      </c>
      <c r="Q78" s="64">
        <v>37.83</v>
      </c>
      <c r="R78" s="198"/>
      <c r="S78" s="198"/>
      <c r="T78" s="198"/>
      <c r="U78" s="198"/>
    </row>
    <row r="79" spans="1:21" s="12" customFormat="1" x14ac:dyDescent="0.25">
      <c r="A79" s="211" t="s">
        <v>603</v>
      </c>
      <c r="B79" s="64">
        <v>6.51</v>
      </c>
      <c r="C79" s="64">
        <v>27.93</v>
      </c>
      <c r="D79" s="64">
        <v>21.28</v>
      </c>
      <c r="E79" s="214" t="s">
        <v>42</v>
      </c>
      <c r="F79" s="64">
        <v>11.32</v>
      </c>
      <c r="G79" s="64">
        <v>25.87</v>
      </c>
      <c r="H79" s="64">
        <v>7.04</v>
      </c>
      <c r="I79" s="214" t="s">
        <v>42</v>
      </c>
      <c r="J79" s="64">
        <v>0.15</v>
      </c>
      <c r="K79" s="64">
        <v>293.13</v>
      </c>
      <c r="L79" s="64">
        <v>29.48</v>
      </c>
      <c r="M79" s="64">
        <v>42.36</v>
      </c>
      <c r="N79" s="64">
        <v>35.4</v>
      </c>
      <c r="O79" s="64">
        <v>0</v>
      </c>
      <c r="P79" s="64">
        <v>0.45</v>
      </c>
      <c r="Q79" s="64">
        <v>34.97</v>
      </c>
      <c r="R79" s="198"/>
      <c r="S79" s="198"/>
      <c r="T79" s="198"/>
      <c r="U79" s="198"/>
    </row>
    <row r="80" spans="1:21" s="12" customFormat="1" x14ac:dyDescent="0.25">
      <c r="A80" s="211" t="s">
        <v>604</v>
      </c>
      <c r="B80" s="64">
        <v>5.76</v>
      </c>
      <c r="C80" s="64">
        <v>31.56</v>
      </c>
      <c r="D80" s="64">
        <v>22.68</v>
      </c>
      <c r="E80" s="214" t="s">
        <v>42</v>
      </c>
      <c r="F80" s="64">
        <v>10.77</v>
      </c>
      <c r="G80" s="64">
        <v>67.84</v>
      </c>
      <c r="H80" s="64">
        <v>9.7200000000000006</v>
      </c>
      <c r="I80" s="214" t="s">
        <v>42</v>
      </c>
      <c r="J80" s="64">
        <v>0.09</v>
      </c>
      <c r="K80" s="64">
        <v>295.10000000000002</v>
      </c>
      <c r="L80" s="64">
        <v>29.14</v>
      </c>
      <c r="M80" s="64">
        <v>42.7</v>
      </c>
      <c r="N80" s="64">
        <v>22.8</v>
      </c>
      <c r="O80" s="64">
        <v>0</v>
      </c>
      <c r="P80" s="64">
        <v>0.47</v>
      </c>
      <c r="Q80" s="64">
        <v>35.33</v>
      </c>
      <c r="R80" s="198"/>
      <c r="S80" s="198"/>
      <c r="T80" s="198"/>
      <c r="U80" s="198"/>
    </row>
    <row r="81" spans="1:26" s="12" customFormat="1" x14ac:dyDescent="0.25">
      <c r="A81" s="211" t="s">
        <v>605</v>
      </c>
      <c r="B81" s="64">
        <v>11.97</v>
      </c>
      <c r="C81" s="64">
        <v>40.549999999999997</v>
      </c>
      <c r="D81" s="64">
        <v>32.299999999999997</v>
      </c>
      <c r="E81" s="214" t="s">
        <v>42</v>
      </c>
      <c r="F81" s="64">
        <v>9.93</v>
      </c>
      <c r="G81" s="64">
        <v>67.84</v>
      </c>
      <c r="H81" s="64">
        <v>9.7200000000000006</v>
      </c>
      <c r="I81" s="214" t="s">
        <v>42</v>
      </c>
      <c r="J81" s="64">
        <v>0.09</v>
      </c>
      <c r="K81" s="64">
        <v>281.98</v>
      </c>
      <c r="L81" s="64">
        <v>28.99</v>
      </c>
      <c r="M81" s="64">
        <v>41.82</v>
      </c>
      <c r="N81" s="64">
        <v>15</v>
      </c>
      <c r="O81" s="64">
        <v>0</v>
      </c>
      <c r="P81" s="64">
        <v>0.53</v>
      </c>
      <c r="Q81" s="64">
        <v>27.25</v>
      </c>
      <c r="R81" s="198"/>
      <c r="S81" s="198"/>
      <c r="T81" s="198"/>
      <c r="U81" s="198"/>
    </row>
    <row r="82" spans="1:26" s="12" customFormat="1" x14ac:dyDescent="0.25">
      <c r="A82" s="211" t="s">
        <v>606</v>
      </c>
      <c r="B82" s="64">
        <v>5.9</v>
      </c>
      <c r="C82" s="64">
        <v>35.159999999999997</v>
      </c>
      <c r="D82" s="64">
        <v>24.78</v>
      </c>
      <c r="E82" s="214" t="s">
        <v>42</v>
      </c>
      <c r="F82" s="64">
        <v>10.53</v>
      </c>
      <c r="G82" s="64">
        <v>67.84</v>
      </c>
      <c r="H82" s="64">
        <v>9.7200000000000006</v>
      </c>
      <c r="I82" s="214" t="s">
        <v>42</v>
      </c>
      <c r="J82" s="64">
        <v>0.05</v>
      </c>
      <c r="K82" s="64">
        <v>311.24</v>
      </c>
      <c r="L82" s="64">
        <v>28.77</v>
      </c>
      <c r="M82" s="64">
        <v>42.32</v>
      </c>
      <c r="N82" s="64">
        <v>7.5</v>
      </c>
      <c r="O82" s="64">
        <v>0</v>
      </c>
      <c r="P82" s="64">
        <v>0.42</v>
      </c>
      <c r="Q82" s="64">
        <v>25.59</v>
      </c>
      <c r="R82" s="198"/>
      <c r="S82" s="198"/>
      <c r="T82" s="198"/>
      <c r="U82" s="198"/>
    </row>
    <row r="83" spans="1:26" s="12" customFormat="1" x14ac:dyDescent="0.25">
      <c r="A83" s="211" t="s">
        <v>607</v>
      </c>
      <c r="B83" s="64">
        <v>3.93</v>
      </c>
      <c r="C83" s="64">
        <v>43.75</v>
      </c>
      <c r="D83" s="64">
        <v>27.94</v>
      </c>
      <c r="E83" s="214" t="s">
        <v>42</v>
      </c>
      <c r="F83" s="64">
        <v>26.39</v>
      </c>
      <c r="G83" s="64">
        <v>67.44</v>
      </c>
      <c r="H83" s="64">
        <v>9.9499999999999993</v>
      </c>
      <c r="I83" s="214" t="s">
        <v>42</v>
      </c>
      <c r="J83" s="64">
        <v>0.16</v>
      </c>
      <c r="K83" s="64">
        <v>277.93</v>
      </c>
      <c r="L83" s="64">
        <v>28.37</v>
      </c>
      <c r="M83" s="64">
        <v>45.17</v>
      </c>
      <c r="N83" s="64">
        <v>5.2</v>
      </c>
      <c r="O83" s="64">
        <v>0</v>
      </c>
      <c r="P83" s="64">
        <v>0.43</v>
      </c>
      <c r="Q83" s="64">
        <v>30.17</v>
      </c>
      <c r="R83" s="198"/>
      <c r="S83" s="198"/>
      <c r="T83" s="198"/>
      <c r="U83" s="198"/>
    </row>
    <row r="84" spans="1:26" s="12" customFormat="1" x14ac:dyDescent="0.25">
      <c r="A84" s="211" t="s">
        <v>608</v>
      </c>
      <c r="B84" s="64">
        <v>3.44</v>
      </c>
      <c r="C84" s="64">
        <v>43.13</v>
      </c>
      <c r="D84" s="64">
        <v>27.21</v>
      </c>
      <c r="E84" s="214" t="s">
        <v>42</v>
      </c>
      <c r="F84" s="64">
        <v>23.46</v>
      </c>
      <c r="G84" s="64">
        <v>62.74</v>
      </c>
      <c r="H84" s="64">
        <v>12.24</v>
      </c>
      <c r="I84" s="214" t="s">
        <v>42</v>
      </c>
      <c r="J84" s="64">
        <v>0.21</v>
      </c>
      <c r="K84" s="64">
        <v>273.02</v>
      </c>
      <c r="L84" s="64">
        <v>28.06</v>
      </c>
      <c r="M84" s="64">
        <v>45.81</v>
      </c>
      <c r="N84" s="64">
        <v>4.8</v>
      </c>
      <c r="O84" s="64">
        <v>0</v>
      </c>
      <c r="P84" s="64">
        <v>0.39</v>
      </c>
      <c r="Q84" s="64">
        <v>24.65</v>
      </c>
      <c r="R84" s="198"/>
      <c r="S84" s="198"/>
      <c r="T84" s="198"/>
      <c r="U84" s="198"/>
    </row>
    <row r="85" spans="1:26" s="12" customFormat="1" x14ac:dyDescent="0.25">
      <c r="A85" s="211" t="s">
        <v>609</v>
      </c>
      <c r="B85" s="64">
        <v>2.93</v>
      </c>
      <c r="C85" s="64">
        <v>37.49</v>
      </c>
      <c r="D85" s="64">
        <v>23.69</v>
      </c>
      <c r="E85" s="214" t="s">
        <v>42</v>
      </c>
      <c r="F85" s="64">
        <v>30.97</v>
      </c>
      <c r="G85" s="64">
        <v>62.74</v>
      </c>
      <c r="H85" s="64">
        <v>12.24</v>
      </c>
      <c r="I85" s="214" t="s">
        <v>42</v>
      </c>
      <c r="J85" s="64">
        <v>0.16</v>
      </c>
      <c r="K85" s="64">
        <v>273.67</v>
      </c>
      <c r="L85" s="64">
        <v>27.63</v>
      </c>
      <c r="M85" s="64">
        <v>47.65</v>
      </c>
      <c r="N85" s="64">
        <v>5.0999999999999996</v>
      </c>
      <c r="O85" s="64">
        <v>0</v>
      </c>
      <c r="P85" s="64">
        <v>0.69</v>
      </c>
      <c r="Q85" s="64">
        <v>26.31</v>
      </c>
      <c r="R85" s="198"/>
      <c r="S85" s="198"/>
      <c r="T85" s="198"/>
      <c r="U85" s="198"/>
    </row>
    <row r="86" spans="1:26" s="12" customFormat="1" x14ac:dyDescent="0.25">
      <c r="A86" s="211" t="s">
        <v>610</v>
      </c>
      <c r="B86" s="64">
        <v>3.06</v>
      </c>
      <c r="C86" s="64">
        <v>32.01</v>
      </c>
      <c r="D86" s="64">
        <v>20.77</v>
      </c>
      <c r="E86" s="214" t="s">
        <v>42</v>
      </c>
      <c r="F86" s="64">
        <v>23.36</v>
      </c>
      <c r="G86" s="64">
        <v>62.74</v>
      </c>
      <c r="H86" s="64">
        <v>12.24</v>
      </c>
      <c r="I86" s="214" t="s">
        <v>42</v>
      </c>
      <c r="J86" s="64">
        <v>0.3</v>
      </c>
      <c r="K86" s="64">
        <v>260.99</v>
      </c>
      <c r="L86" s="64">
        <v>27.31</v>
      </c>
      <c r="M86" s="64">
        <v>48.76</v>
      </c>
      <c r="N86" s="64">
        <v>4.7</v>
      </c>
      <c r="O86" s="64">
        <v>0</v>
      </c>
      <c r="P86" s="64">
        <v>0.7</v>
      </c>
      <c r="Q86" s="64">
        <v>24.08</v>
      </c>
      <c r="R86" s="198"/>
      <c r="S86" s="198"/>
      <c r="T86" s="198"/>
      <c r="U86" s="198"/>
    </row>
    <row r="87" spans="1:26" s="12" customFormat="1" x14ac:dyDescent="0.25">
      <c r="A87" s="211" t="s">
        <v>611</v>
      </c>
      <c r="B87" s="64">
        <v>2.93</v>
      </c>
      <c r="C87" s="64">
        <v>29.79</v>
      </c>
      <c r="D87" s="64">
        <v>19.43</v>
      </c>
      <c r="E87" s="214" t="s">
        <v>42</v>
      </c>
      <c r="F87" s="64">
        <v>20.350000000000001</v>
      </c>
      <c r="G87" s="64">
        <v>61.77</v>
      </c>
      <c r="H87" s="64">
        <v>12.51</v>
      </c>
      <c r="I87" s="214" t="s">
        <v>42</v>
      </c>
      <c r="J87" s="64">
        <v>0.31</v>
      </c>
      <c r="K87" s="64">
        <v>261.42</v>
      </c>
      <c r="L87" s="64">
        <v>27.22</v>
      </c>
      <c r="M87" s="64">
        <v>49.43</v>
      </c>
      <c r="N87" s="64">
        <v>4.8</v>
      </c>
      <c r="O87" s="64">
        <v>0</v>
      </c>
      <c r="P87" s="64">
        <v>0.71</v>
      </c>
      <c r="Q87" s="64">
        <v>25.98</v>
      </c>
      <c r="R87" s="198"/>
      <c r="S87" s="198"/>
      <c r="T87" s="198"/>
      <c r="U87" s="198"/>
    </row>
    <row r="88" spans="1:26" s="12" customFormat="1" x14ac:dyDescent="0.25">
      <c r="A88" s="211" t="s">
        <v>612</v>
      </c>
      <c r="B88" s="64">
        <v>3.22</v>
      </c>
      <c r="C88" s="64">
        <v>34.17</v>
      </c>
      <c r="D88" s="64">
        <v>22.08</v>
      </c>
      <c r="E88" s="64">
        <v>2.02</v>
      </c>
      <c r="F88" s="64">
        <v>17.239999999999998</v>
      </c>
      <c r="G88" s="64">
        <v>50.3</v>
      </c>
      <c r="H88" s="64">
        <v>15.27</v>
      </c>
      <c r="I88" s="214" t="s">
        <v>42</v>
      </c>
      <c r="J88" s="64">
        <v>0.12</v>
      </c>
      <c r="K88" s="64">
        <v>282.54000000000002</v>
      </c>
      <c r="L88" s="64">
        <v>26.91</v>
      </c>
      <c r="M88" s="64">
        <v>50.75</v>
      </c>
      <c r="N88" s="64">
        <v>5.3</v>
      </c>
      <c r="O88" s="64">
        <v>0</v>
      </c>
      <c r="P88" s="64">
        <v>0.74</v>
      </c>
      <c r="Q88" s="64">
        <v>26.47</v>
      </c>
      <c r="R88" s="198"/>
      <c r="S88" s="198"/>
      <c r="T88" s="198"/>
      <c r="U88" s="198"/>
    </row>
    <row r="89" spans="1:26" s="12" customFormat="1" x14ac:dyDescent="0.25">
      <c r="A89" s="211" t="s">
        <v>613</v>
      </c>
      <c r="B89" s="64">
        <v>4.3899999999999997</v>
      </c>
      <c r="C89" s="64">
        <v>45.49</v>
      </c>
      <c r="D89" s="64">
        <v>29.28</v>
      </c>
      <c r="E89" s="64">
        <v>2.4900000000000002</v>
      </c>
      <c r="F89" s="64">
        <v>13.01</v>
      </c>
      <c r="G89" s="64">
        <v>50.3</v>
      </c>
      <c r="H89" s="64">
        <v>15.27</v>
      </c>
      <c r="I89" s="214" t="s">
        <v>42</v>
      </c>
      <c r="J89" s="64">
        <v>0.15</v>
      </c>
      <c r="K89" s="64">
        <v>247.97</v>
      </c>
      <c r="L89" s="64">
        <v>26.29</v>
      </c>
      <c r="M89" s="64">
        <v>54.01</v>
      </c>
      <c r="N89" s="64">
        <v>5.0999999999999996</v>
      </c>
      <c r="O89" s="64">
        <v>0</v>
      </c>
      <c r="P89" s="64">
        <v>0.81</v>
      </c>
      <c r="Q89" s="64">
        <v>25.31</v>
      </c>
      <c r="R89" s="198"/>
      <c r="S89" s="198"/>
      <c r="T89" s="198"/>
      <c r="U89" s="198"/>
    </row>
    <row r="90" spans="1:26" s="12" customFormat="1" x14ac:dyDescent="0.25">
      <c r="A90" s="211" t="s">
        <v>614</v>
      </c>
      <c r="B90" s="64">
        <v>3.85</v>
      </c>
      <c r="C90" s="64">
        <v>39.44</v>
      </c>
      <c r="D90" s="64">
        <v>25.5</v>
      </c>
      <c r="E90" s="64">
        <v>2.02</v>
      </c>
      <c r="F90" s="64">
        <v>8.31</v>
      </c>
      <c r="G90" s="64">
        <v>50.3</v>
      </c>
      <c r="H90" s="64">
        <v>15.27</v>
      </c>
      <c r="I90" s="214" t="s">
        <v>42</v>
      </c>
      <c r="J90" s="64">
        <v>0.68</v>
      </c>
      <c r="K90" s="64">
        <v>195.41</v>
      </c>
      <c r="L90" s="64">
        <v>26.4</v>
      </c>
      <c r="M90" s="64">
        <v>54.34</v>
      </c>
      <c r="N90" s="64">
        <v>4</v>
      </c>
      <c r="O90" s="64">
        <v>0</v>
      </c>
      <c r="P90" s="64">
        <v>0.78</v>
      </c>
      <c r="Q90" s="64">
        <v>24.31</v>
      </c>
      <c r="R90" s="198"/>
      <c r="S90" s="198"/>
      <c r="T90" s="198"/>
      <c r="U90" s="198"/>
    </row>
    <row r="91" spans="1:26" s="12" customFormat="1" x14ac:dyDescent="0.25">
      <c r="A91" s="211" t="s">
        <v>615</v>
      </c>
      <c r="B91" s="64">
        <v>3.76</v>
      </c>
      <c r="C91" s="64">
        <v>42.22</v>
      </c>
      <c r="D91" s="64">
        <v>26.96</v>
      </c>
      <c r="E91" s="64">
        <v>2.71</v>
      </c>
      <c r="F91" s="64">
        <v>10.17</v>
      </c>
      <c r="G91" s="64">
        <v>51.16</v>
      </c>
      <c r="H91" s="64">
        <v>15.26</v>
      </c>
      <c r="I91" s="214" t="s">
        <v>42</v>
      </c>
      <c r="J91" s="64">
        <v>0.17</v>
      </c>
      <c r="K91" s="64">
        <v>254.18</v>
      </c>
      <c r="L91" s="64">
        <v>26.37</v>
      </c>
      <c r="M91" s="64">
        <v>55.18</v>
      </c>
      <c r="N91" s="64">
        <v>4.9000000000000004</v>
      </c>
      <c r="O91" s="64">
        <v>0</v>
      </c>
      <c r="P91" s="64">
        <v>0.84</v>
      </c>
      <c r="Q91" s="64">
        <v>22.08</v>
      </c>
      <c r="R91" s="198"/>
      <c r="S91" s="198"/>
      <c r="T91" s="198"/>
      <c r="U91" s="198"/>
    </row>
    <row r="92" spans="1:26" s="12" customFormat="1" x14ac:dyDescent="0.25">
      <c r="A92" s="211" t="s">
        <v>616</v>
      </c>
      <c r="B92" s="64">
        <v>7.83</v>
      </c>
      <c r="C92" s="64">
        <v>50.31</v>
      </c>
      <c r="D92" s="64">
        <v>34.69</v>
      </c>
      <c r="E92" s="64">
        <v>1.85</v>
      </c>
      <c r="F92" s="64">
        <v>7.12</v>
      </c>
      <c r="G92" s="64">
        <v>61.28</v>
      </c>
      <c r="H92" s="64">
        <v>15.2</v>
      </c>
      <c r="I92" s="214" t="s">
        <v>42</v>
      </c>
      <c r="J92" s="64">
        <v>0.22</v>
      </c>
      <c r="K92" s="64">
        <v>213.9</v>
      </c>
      <c r="L92" s="64">
        <v>26.3</v>
      </c>
      <c r="M92" s="64">
        <v>56.21</v>
      </c>
      <c r="N92" s="64">
        <v>4.7</v>
      </c>
      <c r="O92" s="64">
        <v>0</v>
      </c>
      <c r="P92" s="64">
        <v>0.86</v>
      </c>
      <c r="Q92" s="64">
        <v>25.14</v>
      </c>
      <c r="R92" s="198"/>
      <c r="S92" s="198"/>
      <c r="T92" s="198"/>
      <c r="U92" s="198"/>
    </row>
    <row r="93" spans="1:26" s="12" customFormat="1" x14ac:dyDescent="0.25">
      <c r="A93" s="211" t="s">
        <v>617</v>
      </c>
      <c r="B93" s="64">
        <v>11.42</v>
      </c>
      <c r="C93" s="64">
        <v>39.46</v>
      </c>
      <c r="D93" s="64">
        <v>31.58</v>
      </c>
      <c r="E93" s="64">
        <v>2.12</v>
      </c>
      <c r="F93" s="64">
        <v>6.5</v>
      </c>
      <c r="G93" s="64">
        <v>61.28</v>
      </c>
      <c r="H93" s="64">
        <v>15.2</v>
      </c>
      <c r="I93" s="214" t="s">
        <v>42</v>
      </c>
      <c r="J93" s="64">
        <v>0.34</v>
      </c>
      <c r="K93" s="64">
        <v>196.53</v>
      </c>
      <c r="L93" s="64">
        <v>26.36</v>
      </c>
      <c r="M93" s="64">
        <v>55.74</v>
      </c>
      <c r="N93" s="64">
        <v>4.7</v>
      </c>
      <c r="O93" s="64">
        <v>0</v>
      </c>
      <c r="P93" s="64">
        <v>0.82</v>
      </c>
      <c r="Q93" s="64">
        <v>23.77</v>
      </c>
      <c r="R93" s="198"/>
      <c r="S93" s="198"/>
      <c r="T93" s="198"/>
      <c r="U93" s="198"/>
    </row>
    <row r="94" spans="1:26" s="12" customFormat="1" x14ac:dyDescent="0.25">
      <c r="A94" s="211" t="s">
        <v>618</v>
      </c>
      <c r="B94" s="64">
        <v>8.15</v>
      </c>
      <c r="C94" s="64">
        <v>41.64</v>
      </c>
      <c r="D94" s="64">
        <v>30.16</v>
      </c>
      <c r="E94" s="64">
        <v>2.08</v>
      </c>
      <c r="F94" s="64">
        <v>11.59</v>
      </c>
      <c r="G94" s="64">
        <v>61.28</v>
      </c>
      <c r="H94" s="64">
        <v>15.2</v>
      </c>
      <c r="I94" s="214" t="s">
        <v>42</v>
      </c>
      <c r="J94" s="64">
        <v>0.11</v>
      </c>
      <c r="K94" s="64">
        <v>258.45</v>
      </c>
      <c r="L94" s="64">
        <v>26.5</v>
      </c>
      <c r="M94" s="64">
        <v>55.19</v>
      </c>
      <c r="N94" s="64">
        <v>5</v>
      </c>
      <c r="O94" s="64">
        <v>0</v>
      </c>
      <c r="P94" s="64">
        <v>0.84</v>
      </c>
      <c r="Q94" s="64">
        <v>22.3</v>
      </c>
      <c r="R94" s="198"/>
      <c r="S94" s="198"/>
      <c r="T94" s="198"/>
      <c r="U94" s="198"/>
    </row>
    <row r="95" spans="1:26" s="12" customFormat="1" x14ac:dyDescent="0.25">
      <c r="A95" s="211" t="s">
        <v>619</v>
      </c>
      <c r="B95" s="64">
        <v>4.55</v>
      </c>
      <c r="C95" s="64">
        <v>40.18</v>
      </c>
      <c r="D95" s="64">
        <v>26.47</v>
      </c>
      <c r="E95" s="64">
        <v>3.18</v>
      </c>
      <c r="F95" s="64">
        <v>23.41</v>
      </c>
      <c r="G95" s="64">
        <v>61.23</v>
      </c>
      <c r="H95" s="64">
        <v>15.58</v>
      </c>
      <c r="I95" s="214" t="s">
        <v>42</v>
      </c>
      <c r="J95" s="64">
        <v>0.11</v>
      </c>
      <c r="K95" s="64">
        <v>254.9</v>
      </c>
      <c r="L95" s="64">
        <v>26.46</v>
      </c>
      <c r="M95" s="64">
        <v>53.97</v>
      </c>
      <c r="N95" s="64">
        <v>5.0999999999999996</v>
      </c>
      <c r="O95" s="64">
        <v>0</v>
      </c>
      <c r="P95" s="64">
        <v>0.79</v>
      </c>
      <c r="Q95" s="64">
        <v>22.07</v>
      </c>
      <c r="R95" s="198"/>
      <c r="S95" s="198"/>
      <c r="T95" s="198"/>
      <c r="U95" s="198"/>
    </row>
    <row r="96" spans="1:26" s="12" customFormat="1" x14ac:dyDescent="0.25">
      <c r="A96" s="211" t="s">
        <v>620</v>
      </c>
      <c r="B96" s="64">
        <v>8.98</v>
      </c>
      <c r="C96" s="64">
        <v>49.41</v>
      </c>
      <c r="D96" s="64">
        <v>35.11</v>
      </c>
      <c r="E96" s="64">
        <v>2.89</v>
      </c>
      <c r="F96" s="64">
        <v>16.809999999999999</v>
      </c>
      <c r="G96" s="64">
        <v>60.72</v>
      </c>
      <c r="H96" s="64">
        <v>19.45</v>
      </c>
      <c r="I96" s="214" t="s">
        <v>42</v>
      </c>
      <c r="J96" s="64">
        <v>0.1</v>
      </c>
      <c r="K96" s="64">
        <v>260.33999999999997</v>
      </c>
      <c r="L96" s="64">
        <v>26.19</v>
      </c>
      <c r="M96" s="64">
        <v>55.01</v>
      </c>
      <c r="N96" s="64">
        <v>5.3</v>
      </c>
      <c r="O96" s="64">
        <v>0</v>
      </c>
      <c r="P96" s="64">
        <v>0.92</v>
      </c>
      <c r="Q96" s="64">
        <v>24.68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621</v>
      </c>
      <c r="B97" s="64">
        <v>11.1</v>
      </c>
      <c r="C97" s="64">
        <v>39.22</v>
      </c>
      <c r="D97" s="64">
        <v>31.19</v>
      </c>
      <c r="E97" s="64">
        <v>2.54</v>
      </c>
      <c r="F97" s="64">
        <v>11.22</v>
      </c>
      <c r="G97" s="64">
        <v>60.72</v>
      </c>
      <c r="H97" s="64">
        <v>19.45</v>
      </c>
      <c r="I97" s="214" t="s">
        <v>42</v>
      </c>
      <c r="J97" s="64">
        <v>0.51</v>
      </c>
      <c r="K97" s="64">
        <v>278.57</v>
      </c>
      <c r="L97" s="64">
        <v>25.89</v>
      </c>
      <c r="M97" s="64">
        <v>57.92</v>
      </c>
      <c r="N97" s="64">
        <v>5.0999999999999996</v>
      </c>
      <c r="O97" s="64">
        <v>0</v>
      </c>
      <c r="P97" s="64">
        <v>0.86</v>
      </c>
      <c r="Q97" s="64">
        <v>24.68</v>
      </c>
      <c r="R97" s="198"/>
      <c r="S97" s="198"/>
      <c r="T97" s="198"/>
      <c r="U97" s="198"/>
    </row>
    <row r="98" spans="1:33" s="12" customFormat="1" x14ac:dyDescent="0.25">
      <c r="A98" s="211" t="s">
        <v>622</v>
      </c>
      <c r="B98" s="64">
        <v>10.89</v>
      </c>
      <c r="C98" s="64">
        <v>29.59</v>
      </c>
      <c r="D98" s="64">
        <v>25.71</v>
      </c>
      <c r="E98" s="64">
        <v>2.5499999999999998</v>
      </c>
      <c r="F98" s="64">
        <v>8.0399999999999991</v>
      </c>
      <c r="G98" s="64">
        <v>60.72</v>
      </c>
      <c r="H98" s="64">
        <v>19.45</v>
      </c>
      <c r="I98" s="214" t="s">
        <v>42</v>
      </c>
      <c r="J98" s="64">
        <v>0.36</v>
      </c>
      <c r="K98" s="64">
        <v>277.98</v>
      </c>
      <c r="L98" s="64">
        <v>25.78</v>
      </c>
      <c r="M98" s="64">
        <v>59.19</v>
      </c>
      <c r="N98" s="64">
        <v>4.9000000000000004</v>
      </c>
      <c r="O98" s="64">
        <v>0</v>
      </c>
      <c r="P98" s="64">
        <v>0.86</v>
      </c>
      <c r="Q98" s="64">
        <v>22.83</v>
      </c>
      <c r="R98" s="198"/>
      <c r="S98" s="198"/>
      <c r="T98" s="198"/>
      <c r="U98" s="198"/>
    </row>
    <row r="99" spans="1:33" s="12" customFormat="1" x14ac:dyDescent="0.25">
      <c r="A99" s="211" t="s">
        <v>623</v>
      </c>
      <c r="B99" s="64">
        <v>10.43</v>
      </c>
      <c r="C99" s="64">
        <v>30.43</v>
      </c>
      <c r="D99" s="64">
        <v>25.8</v>
      </c>
      <c r="E99" s="64">
        <v>1.55</v>
      </c>
      <c r="F99" s="64">
        <v>4.4800000000000004</v>
      </c>
      <c r="G99" s="64">
        <v>59.68</v>
      </c>
      <c r="H99" s="64">
        <v>19.63</v>
      </c>
      <c r="I99" s="214" t="s">
        <v>42</v>
      </c>
      <c r="J99" s="64">
        <v>0.1</v>
      </c>
      <c r="K99" s="64">
        <v>304.18</v>
      </c>
      <c r="L99" s="64">
        <v>25.7</v>
      </c>
      <c r="M99" s="64">
        <v>60.53</v>
      </c>
      <c r="N99" s="64">
        <v>5.4</v>
      </c>
      <c r="O99" s="64">
        <v>0</v>
      </c>
      <c r="P99" s="64">
        <v>0.84</v>
      </c>
      <c r="Q99" s="64">
        <v>27.38</v>
      </c>
      <c r="R99" s="198"/>
      <c r="S99" s="198"/>
      <c r="T99" s="198"/>
      <c r="U99" s="198"/>
    </row>
    <row r="100" spans="1:33" s="12" customFormat="1" x14ac:dyDescent="0.25">
      <c r="A100" s="211" t="s">
        <v>624</v>
      </c>
      <c r="B100" s="64">
        <v>9.68</v>
      </c>
      <c r="C100" s="64">
        <v>25.81</v>
      </c>
      <c r="D100" s="64">
        <v>22.65</v>
      </c>
      <c r="E100" s="64">
        <v>1.5</v>
      </c>
      <c r="F100" s="64">
        <v>3.56</v>
      </c>
      <c r="G100" s="64">
        <v>47.26</v>
      </c>
      <c r="H100" s="64">
        <v>21.39</v>
      </c>
      <c r="I100" s="214" t="s">
        <v>42</v>
      </c>
      <c r="J100" s="64">
        <v>0.47</v>
      </c>
      <c r="K100" s="64">
        <v>275.43</v>
      </c>
      <c r="L100" s="64">
        <v>25.45</v>
      </c>
      <c r="M100" s="64">
        <v>63.31</v>
      </c>
      <c r="N100" s="64">
        <v>5</v>
      </c>
      <c r="O100" s="64">
        <v>0</v>
      </c>
      <c r="P100" s="64">
        <v>0.83</v>
      </c>
      <c r="Q100" s="64">
        <v>24.29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625</v>
      </c>
      <c r="B101" s="64">
        <v>10.050000000000001</v>
      </c>
      <c r="C101" s="64">
        <v>24.7</v>
      </c>
      <c r="D101" s="64">
        <v>22.33</v>
      </c>
      <c r="E101" s="64">
        <v>1.04</v>
      </c>
      <c r="F101" s="64">
        <v>3.53</v>
      </c>
      <c r="G101" s="64">
        <v>47.26</v>
      </c>
      <c r="H101" s="64">
        <v>21.39</v>
      </c>
      <c r="I101" s="214" t="s">
        <v>42</v>
      </c>
      <c r="J101" s="64">
        <v>0.69</v>
      </c>
      <c r="K101" s="64">
        <v>276.5</v>
      </c>
      <c r="L101" s="64">
        <v>25.18</v>
      </c>
      <c r="M101" s="64">
        <v>64.66</v>
      </c>
      <c r="N101" s="64">
        <v>3.3</v>
      </c>
      <c r="O101" s="64">
        <v>0</v>
      </c>
      <c r="P101" s="64">
        <v>0.82</v>
      </c>
      <c r="Q101" s="64">
        <v>22.62</v>
      </c>
      <c r="R101" s="198"/>
      <c r="S101" s="198"/>
      <c r="T101" s="198"/>
      <c r="U101" s="198"/>
    </row>
    <row r="102" spans="1:33" s="12" customFormat="1" x14ac:dyDescent="0.25">
      <c r="A102" s="211" t="s">
        <v>626</v>
      </c>
      <c r="B102" s="64">
        <v>10.18</v>
      </c>
      <c r="C102" s="64">
        <v>23.63</v>
      </c>
      <c r="D102" s="64">
        <v>21.85</v>
      </c>
      <c r="E102" s="64">
        <v>1.19</v>
      </c>
      <c r="F102" s="64">
        <v>3.45</v>
      </c>
      <c r="G102" s="64">
        <v>47.26</v>
      </c>
      <c r="H102" s="64">
        <v>21.39</v>
      </c>
      <c r="I102" s="214" t="s">
        <v>42</v>
      </c>
      <c r="J102" s="64">
        <v>0.82</v>
      </c>
      <c r="K102" s="64">
        <v>278.38</v>
      </c>
      <c r="L102" s="64">
        <v>25.05</v>
      </c>
      <c r="M102" s="64">
        <v>62.84</v>
      </c>
      <c r="N102" s="214" t="s">
        <v>42</v>
      </c>
      <c r="O102" s="64">
        <v>0</v>
      </c>
      <c r="P102" s="64">
        <v>0.82</v>
      </c>
      <c r="Q102" s="64">
        <v>22.13</v>
      </c>
      <c r="R102" s="198"/>
      <c r="S102" s="198"/>
      <c r="T102" s="198"/>
      <c r="U102" s="198"/>
    </row>
    <row r="103" spans="1:33" s="12" customFormat="1" x14ac:dyDescent="0.25">
      <c r="A103" s="211" t="s">
        <v>627</v>
      </c>
      <c r="B103" s="64">
        <v>9.91</v>
      </c>
      <c r="C103" s="64">
        <v>22.93</v>
      </c>
      <c r="D103" s="64">
        <v>21.25</v>
      </c>
      <c r="E103" s="64">
        <v>1.1100000000000001</v>
      </c>
      <c r="F103" s="64">
        <v>3.49</v>
      </c>
      <c r="G103" s="64">
        <v>48.98</v>
      </c>
      <c r="H103" s="64">
        <v>21.29</v>
      </c>
      <c r="I103" s="214" t="s">
        <v>42</v>
      </c>
      <c r="J103" s="64">
        <v>0.68</v>
      </c>
      <c r="K103" s="64">
        <v>283.79000000000002</v>
      </c>
      <c r="L103" s="64">
        <v>24.82</v>
      </c>
      <c r="M103" s="64">
        <v>63.3</v>
      </c>
      <c r="N103" s="214" t="s">
        <v>42</v>
      </c>
      <c r="O103" s="64">
        <v>0</v>
      </c>
      <c r="P103" s="64">
        <v>0.8</v>
      </c>
      <c r="Q103" s="64">
        <v>20.82</v>
      </c>
      <c r="R103" s="198"/>
      <c r="S103" s="198"/>
      <c r="T103" s="198"/>
      <c r="U103" s="198"/>
    </row>
    <row r="104" spans="1:33" s="12" customFormat="1" x14ac:dyDescent="0.25">
      <c r="A104" s="211" t="s">
        <v>628</v>
      </c>
      <c r="B104" s="64">
        <v>10.130000000000001</v>
      </c>
      <c r="C104" s="64">
        <v>24.02</v>
      </c>
      <c r="D104" s="64">
        <v>22.03</v>
      </c>
      <c r="E104" s="64">
        <v>0.8</v>
      </c>
      <c r="F104" s="64">
        <v>3.82</v>
      </c>
      <c r="G104" s="64">
        <v>69.37</v>
      </c>
      <c r="H104" s="64">
        <v>20.34</v>
      </c>
      <c r="I104" s="214" t="s">
        <v>42</v>
      </c>
      <c r="J104" s="64">
        <v>0.47</v>
      </c>
      <c r="K104" s="64">
        <v>279.91000000000003</v>
      </c>
      <c r="L104" s="64">
        <v>24.41</v>
      </c>
      <c r="M104" s="64">
        <v>65.75</v>
      </c>
      <c r="N104" s="214" t="s">
        <v>42</v>
      </c>
      <c r="O104" s="64">
        <v>0</v>
      </c>
      <c r="P104" s="64">
        <v>0.8</v>
      </c>
      <c r="Q104" s="64">
        <v>20.96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2.0499999999999998</v>
      </c>
      <c r="C106" s="67">
        <f>MIN(C9:C104)</f>
        <v>17.52</v>
      </c>
      <c r="D106" s="67">
        <f t="shared" ref="D106:Q106" si="0">MIN(D9:D104)</f>
        <v>12.17</v>
      </c>
      <c r="E106" s="67">
        <f t="shared" si="0"/>
        <v>0.46</v>
      </c>
      <c r="F106" s="67">
        <f t="shared" si="0"/>
        <v>2.29</v>
      </c>
      <c r="G106" s="67">
        <f t="shared" si="0"/>
        <v>22.34</v>
      </c>
      <c r="H106" s="67">
        <f t="shared" si="0"/>
        <v>6.78</v>
      </c>
      <c r="I106" s="67">
        <f t="shared" si="0"/>
        <v>0.56999999999999995</v>
      </c>
      <c r="J106" s="67">
        <f t="shared" si="0"/>
        <v>0.01</v>
      </c>
      <c r="K106" s="67">
        <f t="shared" si="0"/>
        <v>22.57</v>
      </c>
      <c r="L106" s="67">
        <f t="shared" si="0"/>
        <v>19.88</v>
      </c>
      <c r="M106" s="67">
        <f t="shared" si="0"/>
        <v>39.32</v>
      </c>
      <c r="N106" s="67">
        <f t="shared" si="0"/>
        <v>0</v>
      </c>
      <c r="O106" s="67">
        <f t="shared" si="0"/>
        <v>0</v>
      </c>
      <c r="P106" s="67">
        <f t="shared" si="0"/>
        <v>0.39</v>
      </c>
      <c r="Q106" s="67">
        <f t="shared" si="0"/>
        <v>20.82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33.770000000000003</v>
      </c>
      <c r="C107" s="66">
        <f t="shared" ref="C107:Q107" si="1">MAX(C9:C104)</f>
        <v>50.31</v>
      </c>
      <c r="D107" s="66">
        <f t="shared" si="1"/>
        <v>43.57</v>
      </c>
      <c r="E107" s="66">
        <f t="shared" si="1"/>
        <v>4.28</v>
      </c>
      <c r="F107" s="66">
        <f t="shared" si="1"/>
        <v>43.13</v>
      </c>
      <c r="G107" s="66">
        <f t="shared" si="1"/>
        <v>151.04</v>
      </c>
      <c r="H107" s="66">
        <f t="shared" si="1"/>
        <v>43.49</v>
      </c>
      <c r="I107" s="66">
        <f t="shared" si="1"/>
        <v>0.72</v>
      </c>
      <c r="J107" s="66">
        <f t="shared" si="1"/>
        <v>1.22</v>
      </c>
      <c r="K107" s="66">
        <f t="shared" si="1"/>
        <v>355.42</v>
      </c>
      <c r="L107" s="66">
        <f t="shared" si="1"/>
        <v>33.33</v>
      </c>
      <c r="M107" s="66">
        <f t="shared" si="1"/>
        <v>91.1</v>
      </c>
      <c r="N107" s="66">
        <f t="shared" si="1"/>
        <v>449.7</v>
      </c>
      <c r="O107" s="66">
        <f t="shared" si="1"/>
        <v>0</v>
      </c>
      <c r="P107" s="66">
        <f t="shared" si="1"/>
        <v>1.21</v>
      </c>
      <c r="Q107" s="66">
        <f t="shared" si="1"/>
        <v>37.83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16.052750000000007</v>
      </c>
      <c r="C108" s="67">
        <f t="shared" ref="C108:Q108" si="2">AVERAGE(C9:C104)</f>
        <v>26.884000000000004</v>
      </c>
      <c r="D108" s="67">
        <f t="shared" si="2"/>
        <v>28.352000000000011</v>
      </c>
      <c r="E108" s="67">
        <f t="shared" si="2"/>
        <v>2.0638571428571426</v>
      </c>
      <c r="F108" s="67">
        <f t="shared" si="2"/>
        <v>7.4758536585365851</v>
      </c>
      <c r="G108" s="67">
        <f t="shared" si="2"/>
        <v>87.079512195121936</v>
      </c>
      <c r="H108" s="67">
        <f t="shared" si="2"/>
        <v>24.036585365853671</v>
      </c>
      <c r="I108" s="67">
        <f t="shared" si="2"/>
        <v>0.64403846153846156</v>
      </c>
      <c r="J108" s="67">
        <f t="shared" si="2"/>
        <v>0.29802469135802467</v>
      </c>
      <c r="K108" s="67">
        <f t="shared" si="2"/>
        <v>253.94963414634154</v>
      </c>
      <c r="L108" s="67">
        <f t="shared" si="2"/>
        <v>25.748048780487807</v>
      </c>
      <c r="M108" s="67">
        <f t="shared" si="2"/>
        <v>62.292804878048806</v>
      </c>
      <c r="N108" s="67">
        <f t="shared" si="2"/>
        <v>44.801785714285714</v>
      </c>
      <c r="O108" s="67">
        <f t="shared" si="2"/>
        <v>0</v>
      </c>
      <c r="P108" s="67">
        <f t="shared" si="2"/>
        <v>0.91456790123456788</v>
      </c>
      <c r="Q108" s="67">
        <f t="shared" si="2"/>
        <v>27.046410256410262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10.025913888708459</v>
      </c>
      <c r="C109" s="67">
        <f t="shared" ref="C109:Q109" si="3">STDEV(C9:C104)</f>
        <v>8.1366924204066891</v>
      </c>
      <c r="D109" s="67">
        <f t="shared" si="3"/>
        <v>7.0382172656490471</v>
      </c>
      <c r="E109" s="67">
        <f t="shared" si="3"/>
        <v>0.66216879685466123</v>
      </c>
      <c r="F109" s="67">
        <f t="shared" si="3"/>
        <v>7.2764639952806807</v>
      </c>
      <c r="G109" s="67">
        <f t="shared" si="3"/>
        <v>36.092347429461881</v>
      </c>
      <c r="H109" s="67">
        <f t="shared" si="3"/>
        <v>10.977972132727551</v>
      </c>
      <c r="I109" s="67">
        <f t="shared" si="3"/>
        <v>4.0256998679543486E-2</v>
      </c>
      <c r="J109" s="67">
        <f t="shared" si="3"/>
        <v>0.25454085994731018</v>
      </c>
      <c r="K109" s="67">
        <f t="shared" si="3"/>
        <v>66.733223377367423</v>
      </c>
      <c r="L109" s="67">
        <f t="shared" si="3"/>
        <v>4.0169952037221304</v>
      </c>
      <c r="M109" s="67">
        <f t="shared" si="3"/>
        <v>17.231657148542372</v>
      </c>
      <c r="N109" s="67">
        <f t="shared" si="3"/>
        <v>100.90590484761972</v>
      </c>
      <c r="O109" s="67">
        <f t="shared" si="3"/>
        <v>0</v>
      </c>
      <c r="P109" s="67">
        <f t="shared" si="3"/>
        <v>0.22148955608965074</v>
      </c>
      <c r="Q109" s="67">
        <f t="shared" si="3"/>
        <v>2.8235135035675976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COUNT(B9:B104)+16</f>
        <v>96</v>
      </c>
      <c r="C110" s="66">
        <f>COUNT(C9:C104)+16</f>
        <v>96</v>
      </c>
      <c r="D110" s="66">
        <f>COUNT(D9:D104)+16</f>
        <v>96</v>
      </c>
      <c r="E110" s="66">
        <f>COUNT(E9:E104)+26</f>
        <v>96</v>
      </c>
      <c r="F110" s="66">
        <f>COUNT(F9:F104)+14</f>
        <v>96</v>
      </c>
      <c r="G110" s="66">
        <f>COUNT(G9:G104)+14</f>
        <v>96</v>
      </c>
      <c r="H110" s="66">
        <f>COUNT(H9:H104)+14</f>
        <v>96</v>
      </c>
      <c r="I110" s="66">
        <f>COUNT(I9:I104)+44</f>
        <v>96</v>
      </c>
      <c r="J110" s="66">
        <f>COUNT(J9:J104)+15</f>
        <v>96</v>
      </c>
      <c r="K110" s="66">
        <f>COUNT(K9:K104)+14</f>
        <v>96</v>
      </c>
      <c r="L110" s="66">
        <f>COUNT(L9:L104)+14</f>
        <v>96</v>
      </c>
      <c r="M110" s="66">
        <f>COUNT(M9:M104)+14</f>
        <v>96</v>
      </c>
      <c r="N110" s="66">
        <f>COUNT(N9:N104)+40</f>
        <v>96</v>
      </c>
      <c r="O110" s="66">
        <f>COUNT(O9:O104)+14</f>
        <v>96</v>
      </c>
      <c r="P110" s="66">
        <f>COUNT(P9:P104)+15</f>
        <v>96</v>
      </c>
      <c r="Q110" s="66">
        <f>COUNT(Q9:Q104)+18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4">IF(C110&gt;=87,"&gt;90%",IF(C110&lt;=87,"&lt;90%"))</f>
        <v>&gt;90%</v>
      </c>
      <c r="D111" s="13" t="str">
        <f t="shared" si="4"/>
        <v>&gt;90%</v>
      </c>
      <c r="E111" s="13" t="str">
        <f t="shared" si="4"/>
        <v>&gt;90%</v>
      </c>
      <c r="F111" s="13" t="str">
        <f t="shared" si="4"/>
        <v>&gt;90%</v>
      </c>
      <c r="G111" s="13" t="str">
        <f t="shared" si="4"/>
        <v>&gt;90%</v>
      </c>
      <c r="H111" s="13" t="str">
        <f t="shared" si="4"/>
        <v>&gt;90%</v>
      </c>
      <c r="I111" s="13" t="str">
        <f t="shared" si="4"/>
        <v>&gt;90%</v>
      </c>
      <c r="J111" s="13" t="str">
        <f t="shared" si="4"/>
        <v>&gt;90%</v>
      </c>
      <c r="K111" s="13" t="str">
        <f t="shared" si="4"/>
        <v>&gt;90%</v>
      </c>
      <c r="L111" s="13" t="str">
        <f t="shared" si="4"/>
        <v>&gt;90%</v>
      </c>
      <c r="M111" s="13" t="str">
        <f t="shared" si="4"/>
        <v>&gt;90%</v>
      </c>
      <c r="N111" s="13" t="str">
        <f t="shared" si="4"/>
        <v>&gt;90%</v>
      </c>
      <c r="O111" s="13" t="str">
        <f t="shared" si="4"/>
        <v>&gt;90%</v>
      </c>
      <c r="P111" s="13" t="str">
        <f t="shared" si="4"/>
        <v>&gt;90%</v>
      </c>
      <c r="Q111" s="13" t="str">
        <f t="shared" si="4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5">IF(C110&gt;=87,"OK",IF(C110&lt;=87,"LESS"))</f>
        <v>OK</v>
      </c>
      <c r="D112" s="13" t="str">
        <f t="shared" si="5"/>
        <v>OK</v>
      </c>
      <c r="E112" s="13" t="str">
        <f t="shared" si="5"/>
        <v>OK</v>
      </c>
      <c r="F112" s="13" t="str">
        <f t="shared" si="5"/>
        <v>OK</v>
      </c>
      <c r="G112" s="13" t="str">
        <f t="shared" si="5"/>
        <v>OK</v>
      </c>
      <c r="H112" s="13" t="str">
        <f t="shared" si="5"/>
        <v>OK</v>
      </c>
      <c r="I112" s="13" t="str">
        <f t="shared" si="5"/>
        <v>OK</v>
      </c>
      <c r="J112" s="13" t="str">
        <f t="shared" si="5"/>
        <v>OK</v>
      </c>
      <c r="K112" s="13" t="str">
        <f t="shared" si="5"/>
        <v>OK</v>
      </c>
      <c r="L112" s="13" t="str">
        <f t="shared" si="5"/>
        <v>OK</v>
      </c>
      <c r="M112" s="13" t="str">
        <f t="shared" si="5"/>
        <v>OK</v>
      </c>
      <c r="N112" s="13" t="str">
        <f t="shared" si="5"/>
        <v>OK</v>
      </c>
      <c r="O112" s="13" t="str">
        <f t="shared" si="5"/>
        <v>OK</v>
      </c>
      <c r="P112" s="13" t="str">
        <f t="shared" si="5"/>
        <v>OK</v>
      </c>
      <c r="Q112" s="13" t="str">
        <f t="shared" si="5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7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629</v>
      </c>
      <c r="B9" s="64">
        <v>11.11</v>
      </c>
      <c r="C9" s="64">
        <v>24.37</v>
      </c>
      <c r="D9" s="64">
        <v>23.01</v>
      </c>
      <c r="E9" s="64">
        <v>2.23</v>
      </c>
      <c r="F9" s="64">
        <v>4.1100000000000003</v>
      </c>
      <c r="G9" s="64">
        <v>69.37</v>
      </c>
      <c r="H9" s="64">
        <v>20.34</v>
      </c>
      <c r="I9" s="214" t="s">
        <v>42</v>
      </c>
      <c r="J9" s="64">
        <v>0.28999999999999998</v>
      </c>
      <c r="K9" s="64">
        <v>283.8</v>
      </c>
      <c r="L9" s="64">
        <v>24.29</v>
      </c>
      <c r="M9" s="64">
        <v>65.66</v>
      </c>
      <c r="N9" s="64">
        <v>0</v>
      </c>
      <c r="O9" s="64">
        <v>0</v>
      </c>
      <c r="P9" s="64">
        <v>0.8</v>
      </c>
      <c r="Q9" s="64">
        <v>20.71</v>
      </c>
      <c r="R9" s="198"/>
      <c r="S9" s="198"/>
      <c r="T9" s="198"/>
      <c r="U9" s="198"/>
    </row>
    <row r="10" spans="1:21" s="12" customFormat="1" x14ac:dyDescent="0.25">
      <c r="A10" s="211" t="s">
        <v>630</v>
      </c>
      <c r="B10" s="64">
        <v>12.03</v>
      </c>
      <c r="C10" s="64">
        <v>27.63</v>
      </c>
      <c r="D10" s="64">
        <v>25.54</v>
      </c>
      <c r="E10" s="64">
        <v>2.83</v>
      </c>
      <c r="F10" s="64">
        <v>4.3899999999999997</v>
      </c>
      <c r="G10" s="64">
        <v>69.37</v>
      </c>
      <c r="H10" s="64">
        <v>20.34</v>
      </c>
      <c r="I10" s="214" t="s">
        <v>42</v>
      </c>
      <c r="J10" s="64">
        <v>0.46</v>
      </c>
      <c r="K10" s="64">
        <v>277.18</v>
      </c>
      <c r="L10" s="64">
        <v>23.98</v>
      </c>
      <c r="M10" s="64">
        <v>68.459999999999994</v>
      </c>
      <c r="N10" s="64">
        <v>0</v>
      </c>
      <c r="O10" s="64">
        <v>0</v>
      </c>
      <c r="P10" s="64">
        <v>0.8</v>
      </c>
      <c r="Q10" s="64">
        <v>21.55</v>
      </c>
      <c r="R10" s="198"/>
      <c r="S10" s="198"/>
      <c r="T10" s="198"/>
      <c r="U10" s="198"/>
    </row>
    <row r="11" spans="1:21" s="12" customFormat="1" x14ac:dyDescent="0.25">
      <c r="A11" s="211" t="s">
        <v>631</v>
      </c>
      <c r="B11" s="64">
        <v>12.89</v>
      </c>
      <c r="C11" s="64">
        <v>28.63</v>
      </c>
      <c r="D11" s="64">
        <v>26.78</v>
      </c>
      <c r="E11" s="64">
        <v>3.66</v>
      </c>
      <c r="F11" s="64">
        <v>5.37</v>
      </c>
      <c r="G11" s="64">
        <v>70.7</v>
      </c>
      <c r="H11" s="64">
        <v>20.55</v>
      </c>
      <c r="I11" s="214" t="s">
        <v>42</v>
      </c>
      <c r="J11" s="64">
        <v>0.75</v>
      </c>
      <c r="K11" s="64">
        <v>275.18</v>
      </c>
      <c r="L11" s="64">
        <v>23.84</v>
      </c>
      <c r="M11" s="64">
        <v>68.52</v>
      </c>
      <c r="N11" s="64">
        <v>0</v>
      </c>
      <c r="O11" s="64">
        <v>0</v>
      </c>
      <c r="P11" s="64">
        <v>0.8</v>
      </c>
      <c r="Q11" s="64">
        <v>21.26</v>
      </c>
      <c r="R11" s="198"/>
      <c r="S11" s="198"/>
      <c r="T11" s="198"/>
      <c r="U11" s="198"/>
    </row>
    <row r="12" spans="1:21" s="12" customFormat="1" x14ac:dyDescent="0.25">
      <c r="A12" s="211" t="s">
        <v>632</v>
      </c>
      <c r="B12" s="64">
        <v>11.69</v>
      </c>
      <c r="C12" s="64">
        <v>25.93</v>
      </c>
      <c r="D12" s="64">
        <v>24.33</v>
      </c>
      <c r="E12" s="64">
        <v>3.28</v>
      </c>
      <c r="F12" s="64">
        <v>7.4</v>
      </c>
      <c r="G12" s="64">
        <v>86.46</v>
      </c>
      <c r="H12" s="64">
        <v>22.68</v>
      </c>
      <c r="I12" s="214" t="s">
        <v>42</v>
      </c>
      <c r="J12" s="64">
        <v>0.37</v>
      </c>
      <c r="K12" s="64">
        <v>304.86</v>
      </c>
      <c r="L12" s="64">
        <v>23.66</v>
      </c>
      <c r="M12" s="64">
        <v>68.11</v>
      </c>
      <c r="N12" s="64">
        <v>0</v>
      </c>
      <c r="O12" s="64">
        <v>0</v>
      </c>
      <c r="P12" s="64">
        <v>0.73</v>
      </c>
      <c r="Q12" s="64">
        <v>21.71</v>
      </c>
      <c r="R12" s="198"/>
      <c r="S12" s="198"/>
      <c r="T12" s="198"/>
      <c r="U12" s="198"/>
    </row>
    <row r="13" spans="1:21" s="12" customFormat="1" x14ac:dyDescent="0.25">
      <c r="A13" s="211" t="s">
        <v>633</v>
      </c>
      <c r="B13" s="64">
        <v>11.13</v>
      </c>
      <c r="C13" s="64">
        <v>25.6</v>
      </c>
      <c r="D13" s="64">
        <v>23.7</v>
      </c>
      <c r="E13" s="64">
        <v>3.73</v>
      </c>
      <c r="F13" s="64">
        <v>7.54</v>
      </c>
      <c r="G13" s="64">
        <v>86.46</v>
      </c>
      <c r="H13" s="64">
        <v>22.68</v>
      </c>
      <c r="I13" s="214" t="s">
        <v>42</v>
      </c>
      <c r="J13" s="64">
        <v>0.35</v>
      </c>
      <c r="K13" s="64">
        <v>276.54000000000002</v>
      </c>
      <c r="L13" s="64">
        <v>23.4</v>
      </c>
      <c r="M13" s="64">
        <v>69.48</v>
      </c>
      <c r="N13" s="64">
        <v>2.2999999999999998</v>
      </c>
      <c r="O13" s="64">
        <v>0</v>
      </c>
      <c r="P13" s="64">
        <v>0.77</v>
      </c>
      <c r="Q13" s="64">
        <v>22.63</v>
      </c>
      <c r="R13" s="198"/>
      <c r="S13" s="198"/>
      <c r="T13" s="198"/>
      <c r="U13" s="198"/>
    </row>
    <row r="14" spans="1:21" s="12" customFormat="1" x14ac:dyDescent="0.25">
      <c r="A14" s="211" t="s">
        <v>634</v>
      </c>
      <c r="B14" s="64">
        <v>11.64</v>
      </c>
      <c r="C14" s="64">
        <v>22.87</v>
      </c>
      <c r="D14" s="64">
        <v>22.6</v>
      </c>
      <c r="E14" s="64">
        <v>3.84</v>
      </c>
      <c r="F14" s="64">
        <v>6.24</v>
      </c>
      <c r="G14" s="64">
        <v>86.46</v>
      </c>
      <c r="H14" s="64">
        <v>22.68</v>
      </c>
      <c r="I14" s="214" t="s">
        <v>42</v>
      </c>
      <c r="J14" s="64">
        <v>0.6</v>
      </c>
      <c r="K14" s="64">
        <v>283.86</v>
      </c>
      <c r="L14" s="64">
        <v>23.17</v>
      </c>
      <c r="M14" s="64">
        <v>70.930000000000007</v>
      </c>
      <c r="N14" s="64">
        <v>4.5999999999999996</v>
      </c>
      <c r="O14" s="64">
        <v>0</v>
      </c>
      <c r="P14" s="64">
        <v>0.82</v>
      </c>
      <c r="Q14" s="64">
        <v>22.57</v>
      </c>
      <c r="R14" s="198"/>
      <c r="S14" s="198"/>
      <c r="T14" s="198"/>
      <c r="U14" s="198"/>
    </row>
    <row r="15" spans="1:21" s="12" customFormat="1" x14ac:dyDescent="0.25">
      <c r="A15" s="211" t="s">
        <v>635</v>
      </c>
      <c r="B15" s="64">
        <v>12.59</v>
      </c>
      <c r="C15" s="64">
        <v>23.4</v>
      </c>
      <c r="D15" s="64">
        <v>23.66</v>
      </c>
      <c r="E15" s="64">
        <v>2.58</v>
      </c>
      <c r="F15" s="64">
        <v>4.6100000000000003</v>
      </c>
      <c r="G15" s="64">
        <v>86.53</v>
      </c>
      <c r="H15" s="64">
        <v>22.59</v>
      </c>
      <c r="I15" s="214" t="s">
        <v>42</v>
      </c>
      <c r="J15" s="64">
        <v>0.55000000000000004</v>
      </c>
      <c r="K15" s="64">
        <v>280.62</v>
      </c>
      <c r="L15" s="64">
        <v>23.21</v>
      </c>
      <c r="M15" s="64">
        <v>69.180000000000007</v>
      </c>
      <c r="N15" s="64">
        <v>4.8</v>
      </c>
      <c r="O15" s="64">
        <v>0</v>
      </c>
      <c r="P15" s="64">
        <v>0.83</v>
      </c>
      <c r="Q15" s="64">
        <v>25.82</v>
      </c>
      <c r="R15" s="198"/>
      <c r="S15" s="198"/>
      <c r="T15" s="198"/>
      <c r="U15" s="198"/>
    </row>
    <row r="16" spans="1:21" s="12" customFormat="1" x14ac:dyDescent="0.25">
      <c r="A16" s="211" t="s">
        <v>636</v>
      </c>
      <c r="B16" s="64">
        <v>12.26</v>
      </c>
      <c r="C16" s="64">
        <v>22.59</v>
      </c>
      <c r="D16" s="64">
        <v>22.95</v>
      </c>
      <c r="E16" s="64">
        <v>2.29</v>
      </c>
      <c r="F16" s="64">
        <v>4.08</v>
      </c>
      <c r="G16" s="64">
        <v>87.33</v>
      </c>
      <c r="H16" s="64">
        <v>21.68</v>
      </c>
      <c r="I16" s="214" t="s">
        <v>42</v>
      </c>
      <c r="J16" s="64">
        <v>0.17</v>
      </c>
      <c r="K16" s="64">
        <v>282.44</v>
      </c>
      <c r="L16" s="64">
        <v>22.98</v>
      </c>
      <c r="M16" s="64">
        <v>69.349999999999994</v>
      </c>
      <c r="N16" s="64">
        <v>2.1</v>
      </c>
      <c r="O16" s="64">
        <v>0</v>
      </c>
      <c r="P16" s="64">
        <v>0.82</v>
      </c>
      <c r="Q16" s="64">
        <v>25.89</v>
      </c>
      <c r="R16" s="198"/>
      <c r="S16" s="198"/>
      <c r="T16" s="198"/>
      <c r="U16" s="198"/>
    </row>
    <row r="17" spans="1:21" s="12" customFormat="1" x14ac:dyDescent="0.25">
      <c r="A17" s="211" t="s">
        <v>637</v>
      </c>
      <c r="B17" s="64">
        <v>11.36</v>
      </c>
      <c r="C17" s="64">
        <v>22.01</v>
      </c>
      <c r="D17" s="64">
        <v>21.9</v>
      </c>
      <c r="E17" s="64">
        <v>2.74</v>
      </c>
      <c r="F17" s="64">
        <v>3.99</v>
      </c>
      <c r="G17" s="64">
        <v>87.33</v>
      </c>
      <c r="H17" s="64">
        <v>21.68</v>
      </c>
      <c r="I17" s="214" t="s">
        <v>42</v>
      </c>
      <c r="J17" s="64">
        <v>0.17</v>
      </c>
      <c r="K17" s="64">
        <v>120.41</v>
      </c>
      <c r="L17" s="64">
        <v>23.01</v>
      </c>
      <c r="M17" s="64">
        <v>67.94</v>
      </c>
      <c r="N17" s="64">
        <v>0</v>
      </c>
      <c r="O17" s="64">
        <v>0</v>
      </c>
      <c r="P17" s="64">
        <v>0.78</v>
      </c>
      <c r="Q17" s="64">
        <v>24.67</v>
      </c>
      <c r="R17" s="198"/>
      <c r="S17" s="198"/>
      <c r="T17" s="198"/>
      <c r="U17" s="198"/>
    </row>
    <row r="18" spans="1:21" s="12" customFormat="1" x14ac:dyDescent="0.25">
      <c r="A18" s="211" t="s">
        <v>638</v>
      </c>
      <c r="B18" s="64">
        <v>10.66</v>
      </c>
      <c r="C18" s="64">
        <v>20.63</v>
      </c>
      <c r="D18" s="64">
        <v>20.58</v>
      </c>
      <c r="E18" s="64">
        <v>2.91</v>
      </c>
      <c r="F18" s="64">
        <v>4.51</v>
      </c>
      <c r="G18" s="64">
        <v>87.33</v>
      </c>
      <c r="H18" s="64">
        <v>21.68</v>
      </c>
      <c r="I18" s="214" t="s">
        <v>42</v>
      </c>
      <c r="J18" s="64">
        <v>0.02</v>
      </c>
      <c r="K18" s="64">
        <v>203.07</v>
      </c>
      <c r="L18" s="64">
        <v>23.09</v>
      </c>
      <c r="M18" s="64">
        <v>68.97</v>
      </c>
      <c r="N18" s="64">
        <v>0</v>
      </c>
      <c r="O18" s="64">
        <v>0</v>
      </c>
      <c r="P18" s="64">
        <v>0.76</v>
      </c>
      <c r="Q18" s="64">
        <v>21.74</v>
      </c>
      <c r="R18" s="198"/>
      <c r="S18" s="198"/>
      <c r="T18" s="198"/>
      <c r="U18" s="198"/>
    </row>
    <row r="19" spans="1:21" s="12" customFormat="1" x14ac:dyDescent="0.25">
      <c r="A19" s="211" t="s">
        <v>639</v>
      </c>
      <c r="B19" s="64">
        <v>11.17</v>
      </c>
      <c r="C19" s="64">
        <v>20.86</v>
      </c>
      <c r="D19" s="64">
        <v>21.12</v>
      </c>
      <c r="E19" s="64">
        <v>2.33</v>
      </c>
      <c r="F19" s="64">
        <v>3.03</v>
      </c>
      <c r="G19" s="64">
        <v>85.94</v>
      </c>
      <c r="H19" s="64">
        <v>21.59</v>
      </c>
      <c r="I19" s="214" t="s">
        <v>42</v>
      </c>
      <c r="J19" s="64">
        <v>0.16</v>
      </c>
      <c r="K19" s="64">
        <v>280.39</v>
      </c>
      <c r="L19" s="64">
        <v>22.56</v>
      </c>
      <c r="M19" s="64">
        <v>76.11</v>
      </c>
      <c r="N19" s="64">
        <v>0</v>
      </c>
      <c r="O19" s="64">
        <v>0</v>
      </c>
      <c r="P19" s="64">
        <v>0.76</v>
      </c>
      <c r="Q19" s="64">
        <v>21.88</v>
      </c>
      <c r="R19" s="198"/>
      <c r="S19" s="198"/>
      <c r="T19" s="198"/>
      <c r="U19" s="198"/>
    </row>
    <row r="20" spans="1:21" s="12" customFormat="1" x14ac:dyDescent="0.25">
      <c r="A20" s="211" t="s">
        <v>640</v>
      </c>
      <c r="B20" s="64">
        <v>11.48</v>
      </c>
      <c r="C20" s="64">
        <v>21.04</v>
      </c>
      <c r="D20" s="64">
        <v>21.46</v>
      </c>
      <c r="E20" s="64">
        <v>2.23</v>
      </c>
      <c r="F20" s="64">
        <v>2.91</v>
      </c>
      <c r="G20" s="64">
        <v>69.540000000000006</v>
      </c>
      <c r="H20" s="64">
        <v>20.68</v>
      </c>
      <c r="I20" s="214" t="s">
        <v>42</v>
      </c>
      <c r="J20" s="64">
        <v>0.09</v>
      </c>
      <c r="K20" s="64">
        <v>278.17</v>
      </c>
      <c r="L20" s="64">
        <v>22.07</v>
      </c>
      <c r="M20" s="64">
        <v>80.39</v>
      </c>
      <c r="N20" s="64">
        <v>0</v>
      </c>
      <c r="O20" s="64">
        <v>0</v>
      </c>
      <c r="P20" s="64">
        <v>0.76</v>
      </c>
      <c r="Q20" s="64">
        <v>23.15</v>
      </c>
      <c r="R20" s="198"/>
      <c r="S20" s="198"/>
      <c r="T20" s="198"/>
      <c r="U20" s="198"/>
    </row>
    <row r="21" spans="1:21" s="12" customFormat="1" x14ac:dyDescent="0.25">
      <c r="A21" s="211" t="s">
        <v>641</v>
      </c>
      <c r="B21" s="64">
        <v>11.74</v>
      </c>
      <c r="C21" s="64">
        <v>19.87</v>
      </c>
      <c r="D21" s="64">
        <v>21.02</v>
      </c>
      <c r="E21" s="64">
        <v>2.25</v>
      </c>
      <c r="F21" s="64">
        <v>3.14</v>
      </c>
      <c r="G21" s="64">
        <v>69.540000000000006</v>
      </c>
      <c r="H21" s="64">
        <v>20.68</v>
      </c>
      <c r="I21" s="214" t="s">
        <v>42</v>
      </c>
      <c r="J21" s="64">
        <v>0.14000000000000001</v>
      </c>
      <c r="K21" s="64">
        <v>283.74</v>
      </c>
      <c r="L21" s="64">
        <v>21.95</v>
      </c>
      <c r="M21" s="64">
        <v>79.61</v>
      </c>
      <c r="N21" s="64">
        <v>1.8</v>
      </c>
      <c r="O21" s="64">
        <v>0</v>
      </c>
      <c r="P21" s="64">
        <v>0.75</v>
      </c>
      <c r="Q21" s="64">
        <v>21.13</v>
      </c>
      <c r="R21" s="198"/>
      <c r="S21" s="198"/>
      <c r="T21" s="198"/>
      <c r="U21" s="198"/>
    </row>
    <row r="22" spans="1:21" s="12" customFormat="1" x14ac:dyDescent="0.25">
      <c r="A22" s="211" t="s">
        <v>642</v>
      </c>
      <c r="B22" s="64">
        <v>11.04</v>
      </c>
      <c r="C22" s="64">
        <v>25.01</v>
      </c>
      <c r="D22" s="64">
        <v>23.3</v>
      </c>
      <c r="E22" s="64">
        <v>2.5099999999999998</v>
      </c>
      <c r="F22" s="64">
        <v>3.45</v>
      </c>
      <c r="G22" s="64">
        <v>69.540000000000006</v>
      </c>
      <c r="H22" s="64">
        <v>20.68</v>
      </c>
      <c r="I22" s="214" t="s">
        <v>42</v>
      </c>
      <c r="J22" s="64">
        <v>0.23</v>
      </c>
      <c r="K22" s="64">
        <v>278.68</v>
      </c>
      <c r="L22" s="64">
        <v>22.13</v>
      </c>
      <c r="M22" s="64">
        <v>78.349999999999994</v>
      </c>
      <c r="N22" s="64">
        <v>4.5999999999999996</v>
      </c>
      <c r="O22" s="64">
        <v>0</v>
      </c>
      <c r="P22" s="64">
        <v>0.71</v>
      </c>
      <c r="Q22" s="64">
        <v>20.5</v>
      </c>
      <c r="R22" s="198"/>
      <c r="S22" s="198"/>
      <c r="T22" s="198"/>
      <c r="U22" s="198"/>
    </row>
    <row r="23" spans="1:21" s="12" customFormat="1" x14ac:dyDescent="0.25">
      <c r="A23" s="211" t="s">
        <v>643</v>
      </c>
      <c r="B23" s="64">
        <v>12.73</v>
      </c>
      <c r="C23" s="64">
        <v>29.76</v>
      </c>
      <c r="D23" s="64">
        <v>27.28</v>
      </c>
      <c r="E23" s="64">
        <v>2.17</v>
      </c>
      <c r="F23" s="64">
        <v>3.32</v>
      </c>
      <c r="G23" s="64">
        <v>70.09</v>
      </c>
      <c r="H23" s="64">
        <v>20.78</v>
      </c>
      <c r="I23" s="214" t="s">
        <v>42</v>
      </c>
      <c r="J23" s="64">
        <v>0.15</v>
      </c>
      <c r="K23" s="64">
        <v>277.88</v>
      </c>
      <c r="L23" s="64">
        <v>21.78</v>
      </c>
      <c r="M23" s="64">
        <v>82.53</v>
      </c>
      <c r="N23" s="64">
        <v>5</v>
      </c>
      <c r="O23" s="64">
        <v>0</v>
      </c>
      <c r="P23" s="64">
        <v>0.7</v>
      </c>
      <c r="Q23" s="64">
        <v>20.71</v>
      </c>
      <c r="R23" s="198"/>
      <c r="S23" s="198"/>
      <c r="T23" s="198"/>
      <c r="U23" s="198"/>
    </row>
    <row r="24" spans="1:21" s="12" customFormat="1" x14ac:dyDescent="0.25">
      <c r="A24" s="211" t="s">
        <v>644</v>
      </c>
      <c r="B24" s="64">
        <v>13.97</v>
      </c>
      <c r="C24" s="64">
        <v>28.81</v>
      </c>
      <c r="D24" s="64">
        <v>27.75</v>
      </c>
      <c r="E24" s="64">
        <v>1.51</v>
      </c>
      <c r="F24" s="64">
        <v>3.3</v>
      </c>
      <c r="G24" s="64">
        <v>76.59</v>
      </c>
      <c r="H24" s="64">
        <v>21.71</v>
      </c>
      <c r="I24" s="214" t="s">
        <v>42</v>
      </c>
      <c r="J24" s="64">
        <v>0.1</v>
      </c>
      <c r="K24" s="64">
        <v>283.77999999999997</v>
      </c>
      <c r="L24" s="64">
        <v>21.6</v>
      </c>
      <c r="M24" s="64">
        <v>84.09</v>
      </c>
      <c r="N24" s="64">
        <v>5</v>
      </c>
      <c r="O24" s="64">
        <v>0</v>
      </c>
      <c r="P24" s="64">
        <v>0.72</v>
      </c>
      <c r="Q24" s="64">
        <v>22.34</v>
      </c>
      <c r="R24" s="198"/>
      <c r="S24" s="198"/>
      <c r="T24" s="198"/>
      <c r="U24" s="198"/>
    </row>
    <row r="25" spans="1:21" s="12" customFormat="1" x14ac:dyDescent="0.25">
      <c r="A25" s="211" t="s">
        <v>645</v>
      </c>
      <c r="B25" s="64">
        <v>18</v>
      </c>
      <c r="C25" s="64">
        <v>28.16</v>
      </c>
      <c r="D25" s="64">
        <v>30.62</v>
      </c>
      <c r="E25" s="64">
        <v>2.75</v>
      </c>
      <c r="F25" s="64">
        <v>3.17</v>
      </c>
      <c r="G25" s="64">
        <v>76.59</v>
      </c>
      <c r="H25" s="64">
        <v>21.71</v>
      </c>
      <c r="I25" s="214" t="s">
        <v>42</v>
      </c>
      <c r="J25" s="64">
        <v>7.0000000000000007E-2</v>
      </c>
      <c r="K25" s="64">
        <v>283.33</v>
      </c>
      <c r="L25" s="64">
        <v>21.47</v>
      </c>
      <c r="M25" s="64">
        <v>83.14</v>
      </c>
      <c r="N25" s="64">
        <v>4.9000000000000004</v>
      </c>
      <c r="O25" s="64">
        <v>0</v>
      </c>
      <c r="P25" s="64">
        <v>0.71</v>
      </c>
      <c r="Q25" s="64">
        <v>22.96</v>
      </c>
      <c r="R25" s="198"/>
      <c r="S25" s="198"/>
      <c r="T25" s="198"/>
      <c r="U25" s="198"/>
    </row>
    <row r="26" spans="1:21" s="12" customFormat="1" x14ac:dyDescent="0.25">
      <c r="A26" s="211" t="s">
        <v>646</v>
      </c>
      <c r="B26" s="64">
        <v>17.52</v>
      </c>
      <c r="C26" s="64">
        <v>20.56</v>
      </c>
      <c r="D26" s="64">
        <v>26.04</v>
      </c>
      <c r="E26" s="64">
        <v>2.69</v>
      </c>
      <c r="F26" s="64">
        <v>3.78</v>
      </c>
      <c r="G26" s="64">
        <v>76.59</v>
      </c>
      <c r="H26" s="64">
        <v>21.71</v>
      </c>
      <c r="I26" s="214" t="s">
        <v>42</v>
      </c>
      <c r="J26" s="64">
        <v>0.13</v>
      </c>
      <c r="K26" s="64">
        <v>328.09</v>
      </c>
      <c r="L26" s="64">
        <v>21.64</v>
      </c>
      <c r="M26" s="64">
        <v>80.12</v>
      </c>
      <c r="N26" s="64">
        <v>4.5999999999999996</v>
      </c>
      <c r="O26" s="64">
        <v>0</v>
      </c>
      <c r="P26" s="64">
        <v>0.74</v>
      </c>
      <c r="Q26" s="64">
        <v>23.18</v>
      </c>
      <c r="R26" s="198"/>
      <c r="S26" s="198"/>
      <c r="T26" s="198"/>
      <c r="U26" s="198"/>
    </row>
    <row r="27" spans="1:21" s="12" customFormat="1" x14ac:dyDescent="0.25">
      <c r="A27" s="211" t="s">
        <v>647</v>
      </c>
      <c r="B27" s="64">
        <v>16.059999999999999</v>
      </c>
      <c r="C27" s="64">
        <v>18.79</v>
      </c>
      <c r="D27" s="64">
        <v>23.9</v>
      </c>
      <c r="E27" s="64">
        <v>2.3199999999999998</v>
      </c>
      <c r="F27" s="64">
        <v>3.17</v>
      </c>
      <c r="G27" s="64">
        <v>77.14</v>
      </c>
      <c r="H27" s="64">
        <v>21.83</v>
      </c>
      <c r="I27" s="214" t="s">
        <v>42</v>
      </c>
      <c r="J27" s="64">
        <v>0.12</v>
      </c>
      <c r="K27" s="64">
        <v>283.74</v>
      </c>
      <c r="L27" s="64">
        <v>21.67</v>
      </c>
      <c r="M27" s="64">
        <v>78.849999999999994</v>
      </c>
      <c r="N27" s="64">
        <v>4.7</v>
      </c>
      <c r="O27" s="64">
        <v>0</v>
      </c>
      <c r="P27" s="64">
        <v>0.74</v>
      </c>
      <c r="Q27" s="64">
        <v>25.62</v>
      </c>
      <c r="R27" s="198"/>
      <c r="S27" s="198"/>
      <c r="T27" s="198"/>
      <c r="U27" s="198"/>
    </row>
    <row r="28" spans="1:21" s="12" customFormat="1" x14ac:dyDescent="0.25">
      <c r="A28" s="211" t="s">
        <v>648</v>
      </c>
      <c r="B28" s="64">
        <v>16.28</v>
      </c>
      <c r="C28" s="64">
        <v>18.670000000000002</v>
      </c>
      <c r="D28" s="64">
        <v>24.01</v>
      </c>
      <c r="E28" s="64">
        <v>2.15</v>
      </c>
      <c r="F28" s="64">
        <v>3.2</v>
      </c>
      <c r="G28" s="64">
        <v>83.67</v>
      </c>
      <c r="H28" s="64">
        <v>23.05</v>
      </c>
      <c r="I28" s="214" t="s">
        <v>42</v>
      </c>
      <c r="J28" s="64">
        <v>0.43</v>
      </c>
      <c r="K28" s="64">
        <v>281.99</v>
      </c>
      <c r="L28" s="64">
        <v>21.62</v>
      </c>
      <c r="M28" s="64">
        <v>79.88</v>
      </c>
      <c r="N28" s="64">
        <v>4.3</v>
      </c>
      <c r="O28" s="64">
        <v>0</v>
      </c>
      <c r="P28" s="64">
        <v>0.74</v>
      </c>
      <c r="Q28" s="64">
        <v>25.02</v>
      </c>
      <c r="R28" s="198"/>
      <c r="S28" s="198"/>
      <c r="T28" s="198"/>
      <c r="U28" s="198"/>
    </row>
    <row r="29" spans="1:21" s="12" customFormat="1" x14ac:dyDescent="0.25">
      <c r="A29" s="211" t="s">
        <v>649</v>
      </c>
      <c r="B29" s="64">
        <v>16.46</v>
      </c>
      <c r="C29" s="64">
        <v>19.04</v>
      </c>
      <c r="D29" s="64">
        <v>24.35</v>
      </c>
      <c r="E29" s="64">
        <v>1.98</v>
      </c>
      <c r="F29" s="64">
        <v>2.93</v>
      </c>
      <c r="G29" s="64">
        <v>83.67</v>
      </c>
      <c r="H29" s="64">
        <v>23.05</v>
      </c>
      <c r="I29" s="214" t="s">
        <v>42</v>
      </c>
      <c r="J29" s="64">
        <v>0.41</v>
      </c>
      <c r="K29" s="64">
        <v>298.31</v>
      </c>
      <c r="L29" s="64">
        <v>21.7</v>
      </c>
      <c r="M29" s="64">
        <v>76.58</v>
      </c>
      <c r="N29" s="64">
        <v>4.8</v>
      </c>
      <c r="O29" s="64">
        <v>0</v>
      </c>
      <c r="P29" s="64">
        <v>0.75</v>
      </c>
      <c r="Q29" s="64">
        <v>25.31</v>
      </c>
      <c r="R29" s="198"/>
      <c r="S29" s="198"/>
      <c r="T29" s="198"/>
      <c r="U29" s="198"/>
    </row>
    <row r="30" spans="1:21" s="12" customFormat="1" x14ac:dyDescent="0.25">
      <c r="A30" s="211" t="s">
        <v>650</v>
      </c>
      <c r="B30" s="64">
        <v>16.68</v>
      </c>
      <c r="C30" s="64">
        <v>18.59</v>
      </c>
      <c r="D30" s="64">
        <v>24.28</v>
      </c>
      <c r="E30" s="64">
        <v>2.81</v>
      </c>
      <c r="F30" s="64">
        <v>3.48</v>
      </c>
      <c r="G30" s="64">
        <v>83.67</v>
      </c>
      <c r="H30" s="64">
        <v>23.05</v>
      </c>
      <c r="I30" s="214" t="s">
        <v>42</v>
      </c>
      <c r="J30" s="64">
        <v>0.27</v>
      </c>
      <c r="K30" s="64">
        <v>284.37</v>
      </c>
      <c r="L30" s="64">
        <v>21.69</v>
      </c>
      <c r="M30" s="64">
        <v>77.209999999999994</v>
      </c>
      <c r="N30" s="64">
        <v>8.8000000000000007</v>
      </c>
      <c r="O30" s="64">
        <v>0</v>
      </c>
      <c r="P30" s="64">
        <v>0.75</v>
      </c>
      <c r="Q30" s="64">
        <v>23.04</v>
      </c>
      <c r="R30" s="198"/>
      <c r="S30" s="198"/>
      <c r="T30" s="198"/>
      <c r="U30" s="198"/>
    </row>
    <row r="31" spans="1:21" s="12" customFormat="1" x14ac:dyDescent="0.25">
      <c r="A31" s="211" t="s">
        <v>651</v>
      </c>
      <c r="B31" s="64">
        <v>17.84</v>
      </c>
      <c r="C31" s="64">
        <v>19.7</v>
      </c>
      <c r="D31" s="64">
        <v>25.82</v>
      </c>
      <c r="E31" s="64">
        <v>2.4</v>
      </c>
      <c r="F31" s="64">
        <v>3.26</v>
      </c>
      <c r="G31" s="64">
        <v>83.93</v>
      </c>
      <c r="H31" s="64">
        <v>23.38</v>
      </c>
      <c r="I31" s="214" t="s">
        <v>42</v>
      </c>
      <c r="J31" s="64">
        <v>0.06</v>
      </c>
      <c r="K31" s="64">
        <v>294.18</v>
      </c>
      <c r="L31" s="64">
        <v>21.73</v>
      </c>
      <c r="M31" s="64">
        <v>75.459999999999994</v>
      </c>
      <c r="N31" s="64">
        <v>26.2</v>
      </c>
      <c r="O31" s="64">
        <v>0</v>
      </c>
      <c r="P31" s="64">
        <v>0.74</v>
      </c>
      <c r="Q31" s="64">
        <v>23.27</v>
      </c>
      <c r="R31" s="198"/>
      <c r="S31" s="198"/>
      <c r="T31" s="198"/>
      <c r="U31" s="198"/>
    </row>
    <row r="32" spans="1:21" s="12" customFormat="1" x14ac:dyDescent="0.25">
      <c r="A32" s="211" t="s">
        <v>652</v>
      </c>
      <c r="B32" s="64">
        <v>18.91</v>
      </c>
      <c r="C32" s="64">
        <v>20.72</v>
      </c>
      <c r="D32" s="64">
        <v>27.25</v>
      </c>
      <c r="E32" s="64">
        <v>2.17</v>
      </c>
      <c r="F32" s="64">
        <v>3.28</v>
      </c>
      <c r="G32" s="64">
        <v>87.07</v>
      </c>
      <c r="H32" s="64">
        <v>26.74</v>
      </c>
      <c r="I32" s="214" t="s">
        <v>42</v>
      </c>
      <c r="J32" s="64">
        <v>0.3</v>
      </c>
      <c r="K32" s="64">
        <v>281.2</v>
      </c>
      <c r="L32" s="64">
        <v>22.33</v>
      </c>
      <c r="M32" s="64">
        <v>76.66</v>
      </c>
      <c r="N32" s="64">
        <v>41.9</v>
      </c>
      <c r="O32" s="64">
        <v>0</v>
      </c>
      <c r="P32" s="64">
        <v>0.73</v>
      </c>
      <c r="Q32" s="64">
        <v>24.33</v>
      </c>
      <c r="R32" s="198"/>
      <c r="S32" s="198"/>
      <c r="T32" s="198"/>
      <c r="U32" s="198"/>
    </row>
    <row r="33" spans="1:21" s="12" customFormat="1" x14ac:dyDescent="0.25">
      <c r="A33" s="211" t="s">
        <v>653</v>
      </c>
      <c r="B33" s="64">
        <v>19.73</v>
      </c>
      <c r="C33" s="64">
        <v>20.8</v>
      </c>
      <c r="D33" s="64">
        <v>27.95</v>
      </c>
      <c r="E33" s="64">
        <v>2.35</v>
      </c>
      <c r="F33" s="64">
        <v>2.66</v>
      </c>
      <c r="G33" s="64">
        <v>87.07</v>
      </c>
      <c r="H33" s="64">
        <v>26.74</v>
      </c>
      <c r="I33" s="214" t="s">
        <v>42</v>
      </c>
      <c r="J33" s="64">
        <v>0.15</v>
      </c>
      <c r="K33" s="64">
        <v>310.7</v>
      </c>
      <c r="L33" s="64">
        <v>23.02</v>
      </c>
      <c r="M33" s="64">
        <v>73.38</v>
      </c>
      <c r="N33" s="64">
        <v>59</v>
      </c>
      <c r="O33" s="64">
        <v>0</v>
      </c>
      <c r="P33" s="64">
        <v>0.73</v>
      </c>
      <c r="Q33" s="64">
        <v>24.96</v>
      </c>
      <c r="R33" s="198"/>
      <c r="S33" s="198"/>
      <c r="T33" s="198"/>
      <c r="U33" s="198"/>
    </row>
    <row r="34" spans="1:21" s="12" customFormat="1" x14ac:dyDescent="0.25">
      <c r="A34" s="211" t="s">
        <v>654</v>
      </c>
      <c r="B34" s="64">
        <v>19.97</v>
      </c>
      <c r="C34" s="64">
        <v>22.18</v>
      </c>
      <c r="D34" s="64">
        <v>28.91</v>
      </c>
      <c r="E34" s="64">
        <v>2.68</v>
      </c>
      <c r="F34" s="64">
        <v>4.28</v>
      </c>
      <c r="G34" s="64">
        <v>87.07</v>
      </c>
      <c r="H34" s="64">
        <v>26.74</v>
      </c>
      <c r="I34" s="214" t="s">
        <v>42</v>
      </c>
      <c r="J34" s="64">
        <v>0.43</v>
      </c>
      <c r="K34" s="64">
        <v>284.24</v>
      </c>
      <c r="L34" s="64">
        <v>24.15</v>
      </c>
      <c r="M34" s="64">
        <v>69.22</v>
      </c>
      <c r="N34" s="64">
        <v>111.7</v>
      </c>
      <c r="O34" s="64">
        <v>0</v>
      </c>
      <c r="P34" s="64">
        <v>0.72</v>
      </c>
      <c r="Q34" s="64">
        <v>23</v>
      </c>
      <c r="R34" s="198"/>
      <c r="S34" s="198"/>
      <c r="T34" s="198"/>
      <c r="U34" s="198"/>
    </row>
    <row r="35" spans="1:21" s="12" customFormat="1" x14ac:dyDescent="0.25">
      <c r="A35" s="211" t="s">
        <v>655</v>
      </c>
      <c r="B35" s="64">
        <v>23.95</v>
      </c>
      <c r="C35" s="64">
        <v>21.13</v>
      </c>
      <c r="D35" s="64">
        <v>31.51</v>
      </c>
      <c r="E35" s="64">
        <v>2.5099999999999998</v>
      </c>
      <c r="F35" s="64">
        <v>4.03</v>
      </c>
      <c r="G35" s="64">
        <v>87.32</v>
      </c>
      <c r="H35" s="64">
        <v>26.96</v>
      </c>
      <c r="I35" s="214" t="s">
        <v>42</v>
      </c>
      <c r="J35" s="64">
        <v>0.39</v>
      </c>
      <c r="K35" s="64">
        <v>281.32</v>
      </c>
      <c r="L35" s="64">
        <v>25.97</v>
      </c>
      <c r="M35" s="64">
        <v>63</v>
      </c>
      <c r="N35" s="64">
        <v>161.9</v>
      </c>
      <c r="O35" s="64">
        <v>0</v>
      </c>
      <c r="P35" s="64">
        <v>0.74</v>
      </c>
      <c r="Q35" s="64">
        <v>23.79</v>
      </c>
      <c r="R35" s="198"/>
      <c r="S35" s="198"/>
      <c r="T35" s="198"/>
      <c r="U35" s="198"/>
    </row>
    <row r="36" spans="1:21" s="12" customFormat="1" x14ac:dyDescent="0.25">
      <c r="A36" s="211" t="s">
        <v>656</v>
      </c>
      <c r="B36" s="64">
        <v>22.65</v>
      </c>
      <c r="C36" s="64">
        <v>21.13</v>
      </c>
      <c r="D36" s="64">
        <v>30.47</v>
      </c>
      <c r="E36" s="64">
        <v>2.4500000000000002</v>
      </c>
      <c r="F36" s="64">
        <v>3.68</v>
      </c>
      <c r="G36" s="64">
        <v>90.27</v>
      </c>
      <c r="H36" s="64">
        <v>29.24</v>
      </c>
      <c r="I36" s="214" t="s">
        <v>42</v>
      </c>
      <c r="J36" s="64">
        <v>0.39</v>
      </c>
      <c r="K36" s="64">
        <v>291.14</v>
      </c>
      <c r="L36" s="64">
        <v>27.62</v>
      </c>
      <c r="M36" s="64">
        <v>56.6</v>
      </c>
      <c r="N36" s="64">
        <v>212.5</v>
      </c>
      <c r="O36" s="64">
        <v>0</v>
      </c>
      <c r="P36" s="64">
        <v>0.76</v>
      </c>
      <c r="Q36" s="64">
        <v>25.02</v>
      </c>
      <c r="R36" s="198"/>
      <c r="S36" s="198"/>
      <c r="T36" s="198"/>
      <c r="U36" s="198"/>
    </row>
    <row r="37" spans="1:21" s="12" customFormat="1" x14ac:dyDescent="0.25">
      <c r="A37" s="211" t="s">
        <v>657</v>
      </c>
      <c r="B37" s="64">
        <v>25.37</v>
      </c>
      <c r="C37" s="64">
        <v>20.52</v>
      </c>
      <c r="D37" s="64">
        <v>32.31</v>
      </c>
      <c r="E37" s="64">
        <v>2.71</v>
      </c>
      <c r="F37" s="64">
        <v>4.0599999999999996</v>
      </c>
      <c r="G37" s="64">
        <v>90.27</v>
      </c>
      <c r="H37" s="64">
        <v>29.24</v>
      </c>
      <c r="I37" s="214" t="s">
        <v>42</v>
      </c>
      <c r="J37" s="64">
        <v>0.39</v>
      </c>
      <c r="K37" s="64">
        <v>285.87</v>
      </c>
      <c r="L37" s="64">
        <v>28.53</v>
      </c>
      <c r="M37" s="64">
        <v>54.06</v>
      </c>
      <c r="N37" s="64">
        <v>267.60000000000002</v>
      </c>
      <c r="O37" s="64">
        <v>0</v>
      </c>
      <c r="P37" s="64">
        <v>0.74</v>
      </c>
      <c r="Q37" s="64">
        <v>25.43</v>
      </c>
      <c r="R37" s="198"/>
      <c r="S37" s="198"/>
      <c r="T37" s="198"/>
      <c r="U37" s="198"/>
    </row>
    <row r="38" spans="1:21" s="12" customFormat="1" x14ac:dyDescent="0.25">
      <c r="A38" s="211" t="s">
        <v>658</v>
      </c>
      <c r="B38" s="64">
        <v>23.06</v>
      </c>
      <c r="C38" s="64">
        <v>20.07</v>
      </c>
      <c r="D38" s="64">
        <v>30.21</v>
      </c>
      <c r="E38" s="64">
        <v>2.42</v>
      </c>
      <c r="F38" s="64">
        <v>4.1399999999999997</v>
      </c>
      <c r="G38" s="64">
        <v>90.27</v>
      </c>
      <c r="H38" s="64">
        <v>29.24</v>
      </c>
      <c r="I38" s="214" t="s">
        <v>42</v>
      </c>
      <c r="J38" s="64">
        <v>0.17</v>
      </c>
      <c r="K38" s="64">
        <v>274.95</v>
      </c>
      <c r="L38" s="64">
        <v>28.69</v>
      </c>
      <c r="M38" s="64">
        <v>53.73</v>
      </c>
      <c r="N38" s="64">
        <v>325.10000000000002</v>
      </c>
      <c r="O38" s="64">
        <v>0</v>
      </c>
      <c r="P38" s="64">
        <v>0.77</v>
      </c>
      <c r="Q38" s="64">
        <v>26.03</v>
      </c>
      <c r="R38" s="198"/>
      <c r="S38" s="198"/>
      <c r="T38" s="198"/>
      <c r="U38" s="198"/>
    </row>
    <row r="39" spans="1:21" s="12" customFormat="1" x14ac:dyDescent="0.25">
      <c r="A39" s="211" t="s">
        <v>659</v>
      </c>
      <c r="B39" s="64">
        <v>23.5</v>
      </c>
      <c r="C39" s="64">
        <v>21.47</v>
      </c>
      <c r="D39" s="64">
        <v>31.35</v>
      </c>
      <c r="E39" s="64">
        <v>2.9</v>
      </c>
      <c r="F39" s="64">
        <v>3.39</v>
      </c>
      <c r="G39" s="64">
        <v>91.49</v>
      </c>
      <c r="H39" s="64">
        <v>29.37</v>
      </c>
      <c r="I39" s="214" t="s">
        <v>42</v>
      </c>
      <c r="J39" s="64">
        <v>0.28999999999999998</v>
      </c>
      <c r="K39" s="64">
        <v>291.48</v>
      </c>
      <c r="L39" s="64">
        <v>29.41</v>
      </c>
      <c r="M39" s="64">
        <v>51.8</v>
      </c>
      <c r="N39" s="64">
        <v>308.60000000000002</v>
      </c>
      <c r="O39" s="64">
        <v>0</v>
      </c>
      <c r="P39" s="64">
        <v>0.78</v>
      </c>
      <c r="Q39" s="64">
        <v>26.13</v>
      </c>
      <c r="R39" s="198"/>
      <c r="S39" s="198"/>
      <c r="T39" s="198"/>
      <c r="U39" s="198"/>
    </row>
    <row r="40" spans="1:21" s="12" customFormat="1" x14ac:dyDescent="0.25">
      <c r="A40" s="211" t="s">
        <v>660</v>
      </c>
      <c r="B40" s="64">
        <v>24.49</v>
      </c>
      <c r="C40" s="64">
        <v>25.62</v>
      </c>
      <c r="D40" s="64">
        <v>34.43</v>
      </c>
      <c r="E40" s="64">
        <v>1.19</v>
      </c>
      <c r="F40" s="64">
        <v>2.95</v>
      </c>
      <c r="G40" s="64">
        <v>105.93</v>
      </c>
      <c r="H40" s="64">
        <v>30.76</v>
      </c>
      <c r="I40" s="214" t="s">
        <v>42</v>
      </c>
      <c r="J40" s="64">
        <v>0.1</v>
      </c>
      <c r="K40" s="64">
        <v>297.18</v>
      </c>
      <c r="L40" s="64">
        <v>30.15</v>
      </c>
      <c r="M40" s="64">
        <v>49.17</v>
      </c>
      <c r="N40" s="64">
        <v>444.1</v>
      </c>
      <c r="O40" s="64">
        <v>0</v>
      </c>
      <c r="P40" s="64">
        <v>0.8</v>
      </c>
      <c r="Q40" s="64">
        <v>26.42</v>
      </c>
      <c r="R40" s="198"/>
      <c r="S40" s="198"/>
      <c r="T40" s="198"/>
      <c r="U40" s="198"/>
    </row>
    <row r="41" spans="1:21" s="12" customFormat="1" x14ac:dyDescent="0.25">
      <c r="A41" s="211" t="s">
        <v>661</v>
      </c>
      <c r="B41" s="64">
        <v>23.86</v>
      </c>
      <c r="C41" s="64">
        <v>23.74</v>
      </c>
      <c r="D41" s="64">
        <v>32.880000000000003</v>
      </c>
      <c r="E41" s="64">
        <v>1.93</v>
      </c>
      <c r="F41" s="64">
        <v>3.84</v>
      </c>
      <c r="G41" s="64">
        <v>105.93</v>
      </c>
      <c r="H41" s="64">
        <v>30.76</v>
      </c>
      <c r="I41" s="214" t="s">
        <v>42</v>
      </c>
      <c r="J41" s="64">
        <v>0.34</v>
      </c>
      <c r="K41" s="64">
        <v>301.74</v>
      </c>
      <c r="L41" s="64">
        <v>30.9</v>
      </c>
      <c r="M41" s="64">
        <v>46.11</v>
      </c>
      <c r="N41" s="64">
        <v>509.6</v>
      </c>
      <c r="O41" s="64">
        <v>0</v>
      </c>
      <c r="P41" s="64">
        <v>0.81</v>
      </c>
      <c r="Q41" s="64">
        <v>26.14</v>
      </c>
      <c r="R41" s="198"/>
      <c r="S41" s="198"/>
      <c r="T41" s="198"/>
      <c r="U41" s="198"/>
    </row>
    <row r="42" spans="1:21" s="12" customFormat="1" x14ac:dyDescent="0.25">
      <c r="A42" s="211" t="s">
        <v>662</v>
      </c>
      <c r="B42" s="64">
        <v>23.31</v>
      </c>
      <c r="C42" s="64">
        <v>24.55</v>
      </c>
      <c r="D42" s="64">
        <v>32.89</v>
      </c>
      <c r="E42" s="64">
        <v>2.19</v>
      </c>
      <c r="F42" s="64">
        <v>4.58</v>
      </c>
      <c r="G42" s="64">
        <v>105.93</v>
      </c>
      <c r="H42" s="64">
        <v>30.76</v>
      </c>
      <c r="I42" s="214" t="s">
        <v>42</v>
      </c>
      <c r="J42" s="64">
        <v>0.32</v>
      </c>
      <c r="K42" s="64">
        <v>300.42</v>
      </c>
      <c r="L42" s="64">
        <v>32.42</v>
      </c>
      <c r="M42" s="64">
        <v>42.98</v>
      </c>
      <c r="N42" s="64">
        <v>561.20000000000005</v>
      </c>
      <c r="O42" s="64">
        <v>0</v>
      </c>
      <c r="P42" s="64">
        <v>0.82</v>
      </c>
      <c r="Q42" s="64">
        <v>25.5</v>
      </c>
      <c r="R42" s="198"/>
      <c r="S42" s="198"/>
      <c r="T42" s="198"/>
      <c r="U42" s="198"/>
    </row>
    <row r="43" spans="1:21" s="12" customFormat="1" x14ac:dyDescent="0.25">
      <c r="A43" s="211" t="s">
        <v>663</v>
      </c>
      <c r="B43" s="64">
        <v>23.03</v>
      </c>
      <c r="C43" s="64">
        <v>24.9</v>
      </c>
      <c r="D43" s="64">
        <v>32.86</v>
      </c>
      <c r="E43" s="64">
        <v>2.33</v>
      </c>
      <c r="F43" s="64">
        <v>3.58</v>
      </c>
      <c r="G43" s="64">
        <v>105.27</v>
      </c>
      <c r="H43" s="64">
        <v>30.54</v>
      </c>
      <c r="I43" s="214" t="s">
        <v>42</v>
      </c>
      <c r="J43" s="64">
        <v>0.44</v>
      </c>
      <c r="K43" s="64">
        <v>287.14999999999998</v>
      </c>
      <c r="L43" s="64">
        <v>32.14</v>
      </c>
      <c r="M43" s="64">
        <v>43.9</v>
      </c>
      <c r="N43" s="64">
        <v>611</v>
      </c>
      <c r="O43" s="64">
        <v>0</v>
      </c>
      <c r="P43" s="64">
        <v>0.81</v>
      </c>
      <c r="Q43" s="64">
        <v>24.8</v>
      </c>
      <c r="R43" s="198"/>
      <c r="S43" s="198"/>
      <c r="T43" s="198"/>
      <c r="U43" s="198"/>
    </row>
    <row r="44" spans="1:21" s="12" customFormat="1" x14ac:dyDescent="0.25">
      <c r="A44" s="211" t="s">
        <v>664</v>
      </c>
      <c r="B44" s="64">
        <v>21.9</v>
      </c>
      <c r="C44" s="64">
        <v>26.1</v>
      </c>
      <c r="D44" s="64">
        <v>32.61</v>
      </c>
      <c r="E44" s="64">
        <v>1.92</v>
      </c>
      <c r="F44" s="64">
        <v>4.57</v>
      </c>
      <c r="G44" s="64">
        <v>97.52</v>
      </c>
      <c r="H44" s="64">
        <v>28.26</v>
      </c>
      <c r="I44" s="214" t="s">
        <v>42</v>
      </c>
      <c r="J44" s="64">
        <v>0.3</v>
      </c>
      <c r="K44" s="64">
        <v>293.35000000000002</v>
      </c>
      <c r="L44" s="64">
        <v>33.299999999999997</v>
      </c>
      <c r="M44" s="64">
        <v>41.36</v>
      </c>
      <c r="N44" s="64">
        <v>647.70000000000005</v>
      </c>
      <c r="O44" s="64">
        <v>0</v>
      </c>
      <c r="P44" s="64">
        <v>0.8</v>
      </c>
      <c r="Q44" s="64">
        <v>24.9</v>
      </c>
      <c r="R44" s="198"/>
      <c r="S44" s="198"/>
      <c r="T44" s="198"/>
      <c r="U44" s="198"/>
    </row>
    <row r="45" spans="1:21" s="12" customFormat="1" x14ac:dyDescent="0.25">
      <c r="A45" s="211" t="s">
        <v>665</v>
      </c>
      <c r="B45" s="64">
        <v>21.02</v>
      </c>
      <c r="C45" s="64">
        <v>27.58</v>
      </c>
      <c r="D45" s="64">
        <v>32.72</v>
      </c>
      <c r="E45" s="64">
        <v>2.84</v>
      </c>
      <c r="F45" s="64">
        <v>5.62</v>
      </c>
      <c r="G45" s="64">
        <v>97.52</v>
      </c>
      <c r="H45" s="64">
        <v>28.26</v>
      </c>
      <c r="I45" s="214" t="s">
        <v>42</v>
      </c>
      <c r="J45" s="64">
        <v>0.69</v>
      </c>
      <c r="K45" s="64">
        <v>282.17</v>
      </c>
      <c r="L45" s="64">
        <v>33.99</v>
      </c>
      <c r="M45" s="64">
        <v>40.07</v>
      </c>
      <c r="N45" s="64">
        <v>707.6</v>
      </c>
      <c r="O45" s="64">
        <v>0</v>
      </c>
      <c r="P45" s="64">
        <v>0.8</v>
      </c>
      <c r="Q45" s="64">
        <v>22.27</v>
      </c>
      <c r="R45" s="198"/>
      <c r="S45" s="198"/>
      <c r="T45" s="198"/>
      <c r="U45" s="198"/>
    </row>
    <row r="46" spans="1:21" s="12" customFormat="1" x14ac:dyDescent="0.25">
      <c r="A46" s="211" t="s">
        <v>666</v>
      </c>
      <c r="B46" s="64">
        <v>19.64</v>
      </c>
      <c r="C46" s="64">
        <v>26.15</v>
      </c>
      <c r="D46" s="64">
        <v>30.83</v>
      </c>
      <c r="E46" s="64">
        <v>3.84</v>
      </c>
      <c r="F46" s="64">
        <v>8.23</v>
      </c>
      <c r="G46" s="64">
        <v>97.52</v>
      </c>
      <c r="H46" s="64">
        <v>28.26</v>
      </c>
      <c r="I46" s="214" t="s">
        <v>42</v>
      </c>
      <c r="J46" s="64">
        <v>0.42</v>
      </c>
      <c r="K46" s="64">
        <v>295</v>
      </c>
      <c r="L46" s="64">
        <v>34.83</v>
      </c>
      <c r="M46" s="64">
        <v>38.25</v>
      </c>
      <c r="N46" s="64">
        <v>781.9</v>
      </c>
      <c r="O46" s="64">
        <v>0</v>
      </c>
      <c r="P46" s="64">
        <v>0.78</v>
      </c>
      <c r="Q46" s="64">
        <v>18.989999999999998</v>
      </c>
      <c r="R46" s="198"/>
      <c r="S46" s="198"/>
      <c r="T46" s="198"/>
      <c r="U46" s="198"/>
    </row>
    <row r="47" spans="1:21" s="12" customFormat="1" x14ac:dyDescent="0.25">
      <c r="A47" s="211" t="s">
        <v>667</v>
      </c>
      <c r="B47" s="64">
        <v>18.739999999999998</v>
      </c>
      <c r="C47" s="64">
        <v>27.97</v>
      </c>
      <c r="D47" s="64">
        <v>31.11</v>
      </c>
      <c r="E47" s="64">
        <v>3.94</v>
      </c>
      <c r="F47" s="64">
        <v>6.88</v>
      </c>
      <c r="G47" s="64">
        <v>97.5</v>
      </c>
      <c r="H47" s="64">
        <v>28.14</v>
      </c>
      <c r="I47" s="214" t="s">
        <v>42</v>
      </c>
      <c r="J47" s="64">
        <v>0.76</v>
      </c>
      <c r="K47" s="64">
        <v>293.44</v>
      </c>
      <c r="L47" s="64">
        <v>35.270000000000003</v>
      </c>
      <c r="M47" s="64">
        <v>37.21</v>
      </c>
      <c r="N47" s="64">
        <v>710.3</v>
      </c>
      <c r="O47" s="64">
        <v>0</v>
      </c>
      <c r="P47" s="64">
        <v>0.79</v>
      </c>
      <c r="Q47" s="64">
        <v>20.09</v>
      </c>
      <c r="R47" s="198"/>
      <c r="S47" s="198"/>
      <c r="T47" s="198"/>
      <c r="U47" s="198"/>
    </row>
    <row r="48" spans="1:21" s="12" customFormat="1" x14ac:dyDescent="0.25">
      <c r="A48" s="211" t="s">
        <v>668</v>
      </c>
      <c r="B48" s="64">
        <v>18.91</v>
      </c>
      <c r="C48" s="64">
        <v>31.25</v>
      </c>
      <c r="D48" s="64">
        <v>33.049999999999997</v>
      </c>
      <c r="E48" s="64">
        <v>4.0199999999999996</v>
      </c>
      <c r="F48" s="64">
        <v>6.93</v>
      </c>
      <c r="G48" s="64">
        <v>97.24</v>
      </c>
      <c r="H48" s="64">
        <v>26.9</v>
      </c>
      <c r="I48" s="214" t="s">
        <v>42</v>
      </c>
      <c r="J48" s="64">
        <v>0.76</v>
      </c>
      <c r="K48" s="64">
        <v>293.98</v>
      </c>
      <c r="L48" s="64">
        <v>34.96</v>
      </c>
      <c r="M48" s="64">
        <v>37.57</v>
      </c>
      <c r="N48" s="64">
        <v>822.9</v>
      </c>
      <c r="O48" s="64">
        <v>0</v>
      </c>
      <c r="P48" s="64">
        <v>0.8</v>
      </c>
      <c r="Q48" s="64">
        <v>21.66</v>
      </c>
      <c r="R48" s="198"/>
      <c r="S48" s="198"/>
      <c r="T48" s="198"/>
      <c r="U48" s="198"/>
    </row>
    <row r="49" spans="1:21" s="12" customFormat="1" x14ac:dyDescent="0.25">
      <c r="A49" s="211" t="s">
        <v>669</v>
      </c>
      <c r="B49" s="64">
        <v>16.760000000000002</v>
      </c>
      <c r="C49" s="64">
        <v>26.04</v>
      </c>
      <c r="D49" s="64">
        <v>28.46</v>
      </c>
      <c r="E49" s="64">
        <v>4.17</v>
      </c>
      <c r="F49" s="64">
        <v>6.24</v>
      </c>
      <c r="G49" s="64">
        <v>97.24</v>
      </c>
      <c r="H49" s="64">
        <v>26.9</v>
      </c>
      <c r="I49" s="214" t="s">
        <v>42</v>
      </c>
      <c r="J49" s="64">
        <v>0.88</v>
      </c>
      <c r="K49" s="64">
        <v>284.10000000000002</v>
      </c>
      <c r="L49" s="64">
        <v>35.21</v>
      </c>
      <c r="M49" s="64">
        <v>37.24</v>
      </c>
      <c r="N49" s="64">
        <v>864.5</v>
      </c>
      <c r="O49" s="64">
        <v>0</v>
      </c>
      <c r="P49" s="64">
        <v>0.79</v>
      </c>
      <c r="Q49" s="64">
        <v>20.53</v>
      </c>
      <c r="R49" s="198"/>
      <c r="S49" s="198"/>
      <c r="T49" s="198"/>
      <c r="U49" s="198"/>
    </row>
    <row r="50" spans="1:21" s="12" customFormat="1" x14ac:dyDescent="0.25">
      <c r="A50" s="211" t="s">
        <v>670</v>
      </c>
      <c r="B50" s="64">
        <v>17.07</v>
      </c>
      <c r="C50" s="64">
        <v>28.27</v>
      </c>
      <c r="D50" s="64">
        <v>29.94</v>
      </c>
      <c r="E50" s="64">
        <v>3.42</v>
      </c>
      <c r="F50" s="64">
        <v>9.83</v>
      </c>
      <c r="G50" s="64">
        <v>97.24</v>
      </c>
      <c r="H50" s="64">
        <v>26.9</v>
      </c>
      <c r="I50" s="214" t="s">
        <v>42</v>
      </c>
      <c r="J50" s="64">
        <v>1.28</v>
      </c>
      <c r="K50" s="64">
        <v>285.27</v>
      </c>
      <c r="L50" s="64">
        <v>35.43</v>
      </c>
      <c r="M50" s="64">
        <v>36.08</v>
      </c>
      <c r="N50" s="64">
        <v>881.5</v>
      </c>
      <c r="O50" s="64">
        <v>0</v>
      </c>
      <c r="P50" s="64">
        <v>0.89</v>
      </c>
      <c r="Q50" s="64">
        <v>23.45</v>
      </c>
      <c r="R50" s="198"/>
      <c r="S50" s="198"/>
      <c r="T50" s="198"/>
      <c r="U50" s="198"/>
    </row>
    <row r="51" spans="1:21" s="12" customFormat="1" x14ac:dyDescent="0.25">
      <c r="A51" s="211" t="s">
        <v>671</v>
      </c>
      <c r="B51" s="64">
        <v>6.3</v>
      </c>
      <c r="C51" s="64">
        <v>50.11</v>
      </c>
      <c r="D51" s="64">
        <v>33.35</v>
      </c>
      <c r="E51" s="64">
        <v>0.5</v>
      </c>
      <c r="F51" s="64">
        <v>36.729999999999997</v>
      </c>
      <c r="G51" s="64">
        <v>97.24</v>
      </c>
      <c r="H51" s="64">
        <v>26.9</v>
      </c>
      <c r="I51" s="214" t="s">
        <v>42</v>
      </c>
      <c r="J51" s="64">
        <v>0.33</v>
      </c>
      <c r="K51" s="64">
        <v>283.16000000000003</v>
      </c>
      <c r="L51" s="64">
        <v>35.53</v>
      </c>
      <c r="M51" s="64">
        <v>35.869999999999997</v>
      </c>
      <c r="N51" s="64">
        <v>870.4</v>
      </c>
      <c r="O51" s="64">
        <v>0</v>
      </c>
      <c r="P51" s="64">
        <v>0.88</v>
      </c>
      <c r="Q51" s="64">
        <v>15.83</v>
      </c>
      <c r="R51" s="198"/>
      <c r="S51" s="198"/>
      <c r="T51" s="198"/>
      <c r="U51" s="198"/>
    </row>
    <row r="52" spans="1:21" s="12" customFormat="1" x14ac:dyDescent="0.25">
      <c r="A52" s="211" t="s">
        <v>672</v>
      </c>
      <c r="B52" s="64">
        <v>3.87</v>
      </c>
      <c r="C52" s="64">
        <v>44.64</v>
      </c>
      <c r="D52" s="64">
        <v>28.39</v>
      </c>
      <c r="E52" s="214" t="s">
        <v>42</v>
      </c>
      <c r="F52" s="64">
        <v>23.82</v>
      </c>
      <c r="G52" s="64">
        <v>97.24</v>
      </c>
      <c r="H52" s="64">
        <v>26.9</v>
      </c>
      <c r="I52" s="214" t="s">
        <v>42</v>
      </c>
      <c r="J52" s="64">
        <v>0.66</v>
      </c>
      <c r="K52" s="64">
        <v>294.93</v>
      </c>
      <c r="L52" s="64">
        <v>33.42</v>
      </c>
      <c r="M52" s="64">
        <v>39.14</v>
      </c>
      <c r="N52" s="64">
        <v>735.5</v>
      </c>
      <c r="O52" s="64">
        <v>0</v>
      </c>
      <c r="P52" s="64">
        <v>0.7</v>
      </c>
      <c r="Q52" s="64">
        <v>10.28</v>
      </c>
      <c r="R52" s="198"/>
      <c r="S52" s="198"/>
      <c r="T52" s="198"/>
      <c r="U52" s="198"/>
    </row>
    <row r="53" spans="1:21" s="12" customFormat="1" x14ac:dyDescent="0.25">
      <c r="A53" s="211" t="s">
        <v>673</v>
      </c>
      <c r="B53" s="64">
        <v>4.3899999999999997</v>
      </c>
      <c r="C53" s="64">
        <v>44.38</v>
      </c>
      <c r="D53" s="64">
        <v>28.66</v>
      </c>
      <c r="E53" s="214" t="s">
        <v>42</v>
      </c>
      <c r="F53" s="64">
        <v>18.170000000000002</v>
      </c>
      <c r="G53" s="64">
        <v>97.24</v>
      </c>
      <c r="H53" s="64">
        <v>26.9</v>
      </c>
      <c r="I53" s="214" t="s">
        <v>42</v>
      </c>
      <c r="J53" s="64">
        <v>0.87</v>
      </c>
      <c r="K53" s="64">
        <v>284.57</v>
      </c>
      <c r="L53" s="64">
        <v>34.590000000000003</v>
      </c>
      <c r="M53" s="64">
        <v>37.01</v>
      </c>
      <c r="N53" s="64">
        <v>736.2</v>
      </c>
      <c r="O53" s="64">
        <v>0</v>
      </c>
      <c r="P53" s="64">
        <v>0.7</v>
      </c>
      <c r="Q53" s="64">
        <v>7.18</v>
      </c>
      <c r="R53" s="198"/>
      <c r="S53" s="198"/>
      <c r="T53" s="198"/>
      <c r="U53" s="198"/>
    </row>
    <row r="54" spans="1:21" s="12" customFormat="1" x14ac:dyDescent="0.25">
      <c r="A54" s="211" t="s">
        <v>674</v>
      </c>
      <c r="B54" s="64">
        <v>4.18</v>
      </c>
      <c r="C54" s="64">
        <v>44.34</v>
      </c>
      <c r="D54" s="64">
        <v>28.47</v>
      </c>
      <c r="E54" s="64">
        <v>0.9</v>
      </c>
      <c r="F54" s="64">
        <v>45.53</v>
      </c>
      <c r="G54" s="64">
        <v>97.24</v>
      </c>
      <c r="H54" s="64">
        <v>26.9</v>
      </c>
      <c r="I54" s="214" t="s">
        <v>42</v>
      </c>
      <c r="J54" s="64">
        <v>1.34</v>
      </c>
      <c r="K54" s="64">
        <v>278.07</v>
      </c>
      <c r="L54" s="64">
        <v>34.880000000000003</v>
      </c>
      <c r="M54" s="64">
        <v>35.75</v>
      </c>
      <c r="N54" s="64">
        <v>966.1</v>
      </c>
      <c r="O54" s="64">
        <v>0</v>
      </c>
      <c r="P54" s="64">
        <v>0.66</v>
      </c>
      <c r="Q54" s="64">
        <v>6.66</v>
      </c>
      <c r="R54" s="198"/>
      <c r="S54" s="198"/>
      <c r="T54" s="198"/>
      <c r="U54" s="198"/>
    </row>
    <row r="55" spans="1:21" s="12" customFormat="1" x14ac:dyDescent="0.25">
      <c r="A55" s="211" t="s">
        <v>675</v>
      </c>
      <c r="B55" s="64">
        <v>4.5</v>
      </c>
      <c r="C55" s="64">
        <v>47.66</v>
      </c>
      <c r="D55" s="64">
        <v>30.56</v>
      </c>
      <c r="E55" s="214" t="s">
        <v>42</v>
      </c>
      <c r="F55" s="64">
        <v>46.06</v>
      </c>
      <c r="G55" s="64">
        <v>8.14</v>
      </c>
      <c r="H55" s="64">
        <v>4.0599999999999996</v>
      </c>
      <c r="I55" s="214" t="s">
        <v>42</v>
      </c>
      <c r="J55" s="64">
        <v>0.76</v>
      </c>
      <c r="K55" s="64">
        <v>282.56</v>
      </c>
      <c r="L55" s="64">
        <v>35.090000000000003</v>
      </c>
      <c r="M55" s="64">
        <v>35.31</v>
      </c>
      <c r="N55" s="64">
        <v>988.6</v>
      </c>
      <c r="O55" s="64">
        <v>0</v>
      </c>
      <c r="P55" s="64">
        <v>0.7</v>
      </c>
      <c r="Q55" s="64">
        <v>7.76</v>
      </c>
      <c r="R55" s="198"/>
      <c r="S55" s="198"/>
      <c r="T55" s="198"/>
      <c r="U55" s="198"/>
    </row>
    <row r="56" spans="1:21" s="12" customFormat="1" x14ac:dyDescent="0.25">
      <c r="A56" s="211" t="s">
        <v>676</v>
      </c>
      <c r="B56" s="64">
        <v>2.69</v>
      </c>
      <c r="C56" s="64">
        <v>37.92</v>
      </c>
      <c r="D56" s="64">
        <v>23.73</v>
      </c>
      <c r="E56" s="214" t="s">
        <v>42</v>
      </c>
      <c r="F56" s="64">
        <v>36.07</v>
      </c>
      <c r="G56" s="217" t="s">
        <v>40</v>
      </c>
      <c r="H56" s="217" t="s">
        <v>40</v>
      </c>
      <c r="I56" s="64">
        <v>0.35</v>
      </c>
      <c r="J56" s="64">
        <v>0.66</v>
      </c>
      <c r="K56" s="64">
        <v>281.33999999999997</v>
      </c>
      <c r="L56" s="64">
        <v>35.75</v>
      </c>
      <c r="M56" s="64">
        <v>34.1</v>
      </c>
      <c r="N56" s="64">
        <v>935.8</v>
      </c>
      <c r="O56" s="64">
        <v>0</v>
      </c>
      <c r="P56" s="64">
        <v>0.63</v>
      </c>
      <c r="Q56" s="64">
        <v>7.86</v>
      </c>
      <c r="R56" s="198"/>
      <c r="S56" s="198"/>
      <c r="T56" s="198"/>
      <c r="U56" s="198"/>
    </row>
    <row r="57" spans="1:21" s="12" customFormat="1" x14ac:dyDescent="0.25">
      <c r="A57" s="211" t="s">
        <v>677</v>
      </c>
      <c r="B57" s="64">
        <v>1.49</v>
      </c>
      <c r="C57" s="64">
        <v>43.61</v>
      </c>
      <c r="D57" s="64">
        <v>25.91</v>
      </c>
      <c r="E57" s="64">
        <v>3.63</v>
      </c>
      <c r="F57" s="64">
        <v>15.46</v>
      </c>
      <c r="G57" s="217" t="s">
        <v>40</v>
      </c>
      <c r="H57" s="217" t="s">
        <v>40</v>
      </c>
      <c r="I57" s="64">
        <v>0.47</v>
      </c>
      <c r="J57" s="64">
        <v>0.18</v>
      </c>
      <c r="K57" s="64">
        <v>308.35000000000002</v>
      </c>
      <c r="L57" s="64">
        <v>33.25</v>
      </c>
      <c r="M57" s="64">
        <v>35.86</v>
      </c>
      <c r="N57" s="64">
        <v>816.2</v>
      </c>
      <c r="O57" s="64">
        <v>0</v>
      </c>
      <c r="P57" s="64">
        <v>0.56999999999999995</v>
      </c>
      <c r="Q57" s="64">
        <v>8.64</v>
      </c>
      <c r="R57" s="198"/>
      <c r="S57" s="198"/>
      <c r="T57" s="198"/>
      <c r="U57" s="198"/>
    </row>
    <row r="58" spans="1:21" s="12" customFormat="1" x14ac:dyDescent="0.25">
      <c r="A58" s="211" t="s">
        <v>678</v>
      </c>
      <c r="B58" s="64">
        <v>1.44</v>
      </c>
      <c r="C58" s="64">
        <v>36.5</v>
      </c>
      <c r="D58" s="64">
        <v>21.94</v>
      </c>
      <c r="E58" s="64">
        <v>38.11</v>
      </c>
      <c r="F58" s="64">
        <v>17.04</v>
      </c>
      <c r="G58" s="217" t="s">
        <v>40</v>
      </c>
      <c r="H58" s="217" t="s">
        <v>40</v>
      </c>
      <c r="I58" s="64">
        <v>0.47</v>
      </c>
      <c r="J58" s="64">
        <v>0.18</v>
      </c>
      <c r="K58" s="64">
        <v>290.7</v>
      </c>
      <c r="L58" s="64">
        <v>32.5</v>
      </c>
      <c r="M58" s="64">
        <v>37.69</v>
      </c>
      <c r="N58" s="64">
        <v>932</v>
      </c>
      <c r="O58" s="64">
        <v>0</v>
      </c>
      <c r="P58" s="64">
        <v>0.53</v>
      </c>
      <c r="Q58" s="64">
        <v>4.74</v>
      </c>
      <c r="R58" s="198"/>
      <c r="S58" s="198"/>
      <c r="T58" s="198"/>
      <c r="U58" s="198"/>
    </row>
    <row r="59" spans="1:21" s="12" customFormat="1" x14ac:dyDescent="0.25">
      <c r="A59" s="211" t="s">
        <v>679</v>
      </c>
      <c r="B59" s="64">
        <v>1.91</v>
      </c>
      <c r="C59" s="64">
        <v>29.09</v>
      </c>
      <c r="D59" s="64">
        <v>18.23</v>
      </c>
      <c r="E59" s="64">
        <v>165.89</v>
      </c>
      <c r="F59" s="64">
        <v>25.09</v>
      </c>
      <c r="G59" s="64">
        <v>88.81</v>
      </c>
      <c r="H59" s="64">
        <v>9.61</v>
      </c>
      <c r="I59" s="64">
        <v>0.48</v>
      </c>
      <c r="J59" s="64">
        <v>0.32</v>
      </c>
      <c r="K59" s="64">
        <v>296.77999999999997</v>
      </c>
      <c r="L59" s="64">
        <v>32.950000000000003</v>
      </c>
      <c r="M59" s="64">
        <v>37.58</v>
      </c>
      <c r="N59" s="64">
        <v>580.20000000000005</v>
      </c>
      <c r="O59" s="64">
        <v>0</v>
      </c>
      <c r="P59" s="64">
        <v>0.44</v>
      </c>
      <c r="Q59" s="64">
        <v>1.1100000000000001</v>
      </c>
      <c r="R59" s="198"/>
      <c r="S59" s="198"/>
      <c r="T59" s="198"/>
      <c r="U59" s="198"/>
    </row>
    <row r="60" spans="1:21" s="12" customFormat="1" x14ac:dyDescent="0.25">
      <c r="A60" s="211" t="s">
        <v>680</v>
      </c>
      <c r="B60" s="64">
        <v>1.9</v>
      </c>
      <c r="C60" s="64">
        <v>30.91</v>
      </c>
      <c r="D60" s="64">
        <v>19.23</v>
      </c>
      <c r="E60" s="64">
        <v>9.3699999999999992</v>
      </c>
      <c r="F60" s="64">
        <v>29.4</v>
      </c>
      <c r="G60" s="64">
        <v>87.73</v>
      </c>
      <c r="H60" s="64">
        <v>9.84</v>
      </c>
      <c r="I60" s="64">
        <v>0.47</v>
      </c>
      <c r="J60" s="64">
        <v>0.4</v>
      </c>
      <c r="K60" s="64">
        <v>293.58999999999997</v>
      </c>
      <c r="L60" s="64">
        <v>33.04</v>
      </c>
      <c r="M60" s="64">
        <v>37.619999999999997</v>
      </c>
      <c r="N60" s="64">
        <v>605.6</v>
      </c>
      <c r="O60" s="64">
        <v>0</v>
      </c>
      <c r="P60" s="64">
        <v>0.38</v>
      </c>
      <c r="Q60" s="64">
        <v>0.76</v>
      </c>
      <c r="R60" s="198"/>
      <c r="S60" s="198"/>
      <c r="T60" s="198"/>
      <c r="U60" s="198"/>
    </row>
    <row r="61" spans="1:21" s="12" customFormat="1" x14ac:dyDescent="0.25">
      <c r="A61" s="211" t="s">
        <v>681</v>
      </c>
      <c r="B61" s="64">
        <v>134.38</v>
      </c>
      <c r="C61" s="64">
        <v>4.59</v>
      </c>
      <c r="D61" s="64">
        <v>110.78</v>
      </c>
      <c r="E61" s="64">
        <v>4.87</v>
      </c>
      <c r="F61" s="64">
        <v>15.07</v>
      </c>
      <c r="G61" s="64">
        <v>87.73</v>
      </c>
      <c r="H61" s="64">
        <v>9.84</v>
      </c>
      <c r="I61" s="64">
        <v>0.45</v>
      </c>
      <c r="J61" s="64">
        <v>0.39</v>
      </c>
      <c r="K61" s="64">
        <v>292.72000000000003</v>
      </c>
      <c r="L61" s="64">
        <v>34.229999999999997</v>
      </c>
      <c r="M61" s="64">
        <v>35.58</v>
      </c>
      <c r="N61" s="64">
        <v>881.7</v>
      </c>
      <c r="O61" s="64">
        <v>0</v>
      </c>
      <c r="P61" s="64">
        <v>0.34</v>
      </c>
      <c r="Q61" s="64">
        <v>0.26</v>
      </c>
      <c r="R61" s="198"/>
      <c r="S61" s="198"/>
      <c r="T61" s="198"/>
      <c r="U61" s="198"/>
    </row>
    <row r="62" spans="1:21" s="12" customFormat="1" x14ac:dyDescent="0.25">
      <c r="A62" s="211" t="s">
        <v>682</v>
      </c>
      <c r="B62" s="64">
        <v>145.16</v>
      </c>
      <c r="C62" s="64">
        <v>5.07</v>
      </c>
      <c r="D62" s="64">
        <v>130.75</v>
      </c>
      <c r="E62" s="64">
        <v>4.07</v>
      </c>
      <c r="F62" s="64">
        <v>8.76</v>
      </c>
      <c r="G62" s="64">
        <v>87.73</v>
      </c>
      <c r="H62" s="64">
        <v>9.84</v>
      </c>
      <c r="I62" s="64">
        <v>0.45</v>
      </c>
      <c r="J62" s="64">
        <v>0.86</v>
      </c>
      <c r="K62" s="64">
        <v>283.36</v>
      </c>
      <c r="L62" s="64">
        <v>34.450000000000003</v>
      </c>
      <c r="M62" s="64">
        <v>33.869999999999997</v>
      </c>
      <c r="N62" s="64">
        <v>879.5</v>
      </c>
      <c r="O62" s="64">
        <v>0</v>
      </c>
      <c r="P62" s="64">
        <v>0.36</v>
      </c>
      <c r="Q62" s="217" t="s">
        <v>40</v>
      </c>
      <c r="R62" s="198"/>
      <c r="S62" s="198"/>
      <c r="T62" s="198"/>
      <c r="U62" s="198"/>
    </row>
    <row r="63" spans="1:21" s="12" customFormat="1" x14ac:dyDescent="0.25">
      <c r="A63" s="211" t="s">
        <v>683</v>
      </c>
      <c r="B63" s="64">
        <v>161.61000000000001</v>
      </c>
      <c r="C63" s="64">
        <v>6.06</v>
      </c>
      <c r="D63" s="64">
        <v>167.67</v>
      </c>
      <c r="E63" s="64">
        <v>4.5</v>
      </c>
      <c r="F63" s="64">
        <v>7.17</v>
      </c>
      <c r="G63" s="64">
        <v>55.12</v>
      </c>
      <c r="H63" s="64">
        <v>12.7</v>
      </c>
      <c r="I63" s="64">
        <v>0.45</v>
      </c>
      <c r="J63" s="64">
        <v>0.6</v>
      </c>
      <c r="K63" s="64">
        <v>284.08</v>
      </c>
      <c r="L63" s="64">
        <v>34.72</v>
      </c>
      <c r="M63" s="64">
        <v>33.92</v>
      </c>
      <c r="N63" s="64">
        <v>713.3</v>
      </c>
      <c r="O63" s="64">
        <v>0</v>
      </c>
      <c r="P63" s="64">
        <v>0.36</v>
      </c>
      <c r="Q63" s="64">
        <v>19.760000000000002</v>
      </c>
      <c r="R63" s="198"/>
      <c r="S63" s="198"/>
      <c r="T63" s="198"/>
      <c r="U63" s="198"/>
    </row>
    <row r="64" spans="1:21" s="12" customFormat="1" x14ac:dyDescent="0.25">
      <c r="A64" s="211" t="s">
        <v>684</v>
      </c>
      <c r="B64" s="64">
        <v>172.26</v>
      </c>
      <c r="C64" s="64">
        <v>6.25</v>
      </c>
      <c r="D64" s="64">
        <v>178.51</v>
      </c>
      <c r="E64" s="64">
        <v>2.35</v>
      </c>
      <c r="F64" s="64">
        <v>6.79</v>
      </c>
      <c r="G64" s="64">
        <v>54</v>
      </c>
      <c r="H64" s="64">
        <v>12.7</v>
      </c>
      <c r="I64" s="64">
        <v>0.44</v>
      </c>
      <c r="J64" s="64">
        <v>0.28000000000000003</v>
      </c>
      <c r="K64" s="64">
        <v>294.22000000000003</v>
      </c>
      <c r="L64" s="64">
        <v>33.99</v>
      </c>
      <c r="M64" s="64">
        <v>35.04</v>
      </c>
      <c r="N64" s="64">
        <v>829.3</v>
      </c>
      <c r="O64" s="64">
        <v>0</v>
      </c>
      <c r="P64" s="64">
        <v>0.36</v>
      </c>
      <c r="Q64" s="64">
        <v>19.61</v>
      </c>
      <c r="R64" s="198"/>
      <c r="S64" s="198"/>
      <c r="T64" s="198"/>
      <c r="U64" s="198"/>
    </row>
    <row r="65" spans="1:21" s="12" customFormat="1" x14ac:dyDescent="0.25">
      <c r="A65" s="211" t="s">
        <v>685</v>
      </c>
      <c r="B65" s="64">
        <v>177.73</v>
      </c>
      <c r="C65" s="64">
        <v>6.43</v>
      </c>
      <c r="D65" s="64">
        <v>184.16</v>
      </c>
      <c r="E65" s="64">
        <v>1.59</v>
      </c>
      <c r="F65" s="64">
        <v>6.79</v>
      </c>
      <c r="G65" s="64">
        <v>54</v>
      </c>
      <c r="H65" s="64">
        <v>12.7</v>
      </c>
      <c r="I65" s="64">
        <v>0.44</v>
      </c>
      <c r="J65" s="64">
        <v>0.33</v>
      </c>
      <c r="K65" s="64">
        <v>294.17</v>
      </c>
      <c r="L65" s="64">
        <v>33.85</v>
      </c>
      <c r="M65" s="64">
        <v>35.57</v>
      </c>
      <c r="N65" s="64">
        <v>753.5</v>
      </c>
      <c r="O65" s="64">
        <v>0</v>
      </c>
      <c r="P65" s="64">
        <v>0.37</v>
      </c>
      <c r="Q65" s="64">
        <v>19</v>
      </c>
      <c r="R65" s="198"/>
      <c r="S65" s="198"/>
      <c r="T65" s="198"/>
      <c r="U65" s="198"/>
    </row>
    <row r="66" spans="1:21" s="12" customFormat="1" x14ac:dyDescent="0.25">
      <c r="A66" s="211" t="s">
        <v>686</v>
      </c>
      <c r="B66" s="64">
        <v>1.61</v>
      </c>
      <c r="C66" s="64">
        <v>21.56</v>
      </c>
      <c r="D66" s="64">
        <v>13.84</v>
      </c>
      <c r="E66" s="64">
        <v>1.49</v>
      </c>
      <c r="F66" s="64">
        <v>6.37</v>
      </c>
      <c r="G66" s="64">
        <v>54</v>
      </c>
      <c r="H66" s="64">
        <v>12.7</v>
      </c>
      <c r="I66" s="64">
        <v>0.44</v>
      </c>
      <c r="J66" s="64">
        <v>0.49</v>
      </c>
      <c r="K66" s="64">
        <v>288.01</v>
      </c>
      <c r="L66" s="64">
        <v>34.78</v>
      </c>
      <c r="M66" s="64">
        <v>33.74</v>
      </c>
      <c r="N66" s="64">
        <v>575.9</v>
      </c>
      <c r="O66" s="64">
        <v>0</v>
      </c>
      <c r="P66" s="64">
        <v>0.37</v>
      </c>
      <c r="Q66" s="64">
        <v>18.5</v>
      </c>
      <c r="R66" s="198"/>
      <c r="S66" s="198"/>
      <c r="T66" s="198"/>
      <c r="U66" s="198"/>
    </row>
    <row r="67" spans="1:21" s="12" customFormat="1" x14ac:dyDescent="0.25">
      <c r="A67" s="211" t="s">
        <v>687</v>
      </c>
      <c r="B67" s="64">
        <v>2.1800000000000002</v>
      </c>
      <c r="C67" s="64">
        <v>25.63</v>
      </c>
      <c r="D67" s="64">
        <v>16.54</v>
      </c>
      <c r="E67" s="64">
        <v>1.79</v>
      </c>
      <c r="F67" s="64">
        <v>17.440000000000001</v>
      </c>
      <c r="G67" s="64">
        <v>38.659999999999997</v>
      </c>
      <c r="H67" s="64">
        <v>12.57</v>
      </c>
      <c r="I67" s="64">
        <v>0.45</v>
      </c>
      <c r="J67" s="64">
        <v>0.33</v>
      </c>
      <c r="K67" s="64">
        <v>267.27</v>
      </c>
      <c r="L67" s="64">
        <v>34.46</v>
      </c>
      <c r="M67" s="64">
        <v>33.76</v>
      </c>
      <c r="N67" s="64">
        <v>343.2</v>
      </c>
      <c r="O67" s="64">
        <v>0</v>
      </c>
      <c r="P67" s="64">
        <v>0.38</v>
      </c>
      <c r="Q67" s="64">
        <v>19.48</v>
      </c>
      <c r="R67" s="198"/>
      <c r="S67" s="198"/>
      <c r="T67" s="198"/>
      <c r="U67" s="198"/>
    </row>
    <row r="68" spans="1:21" s="12" customFormat="1" x14ac:dyDescent="0.25">
      <c r="A68" s="211" t="s">
        <v>688</v>
      </c>
      <c r="B68" s="64">
        <v>2.57</v>
      </c>
      <c r="C68" s="64">
        <v>26.37</v>
      </c>
      <c r="D68" s="64">
        <v>17.260000000000002</v>
      </c>
      <c r="E68" s="64">
        <v>1.63</v>
      </c>
      <c r="F68" s="64">
        <v>15.27</v>
      </c>
      <c r="G68" s="64">
        <v>38.130000000000003</v>
      </c>
      <c r="H68" s="64">
        <v>12.57</v>
      </c>
      <c r="I68" s="214" t="s">
        <v>42</v>
      </c>
      <c r="J68" s="64">
        <v>0.52</v>
      </c>
      <c r="K68" s="64">
        <v>277.32</v>
      </c>
      <c r="L68" s="64">
        <v>33.9</v>
      </c>
      <c r="M68" s="64">
        <v>34.770000000000003</v>
      </c>
      <c r="N68" s="64">
        <v>298.8</v>
      </c>
      <c r="O68" s="64">
        <v>0</v>
      </c>
      <c r="P68" s="64">
        <v>0.37</v>
      </c>
      <c r="Q68" s="64">
        <v>20</v>
      </c>
      <c r="R68" s="198"/>
      <c r="S68" s="198"/>
      <c r="T68" s="198"/>
      <c r="U68" s="198"/>
    </row>
    <row r="69" spans="1:21" s="12" customFormat="1" x14ac:dyDescent="0.25">
      <c r="A69" s="211" t="s">
        <v>689</v>
      </c>
      <c r="B69" s="64">
        <v>3.53</v>
      </c>
      <c r="C69" s="64">
        <v>29.1</v>
      </c>
      <c r="D69" s="64">
        <v>19.54</v>
      </c>
      <c r="E69" s="64">
        <v>2.23</v>
      </c>
      <c r="F69" s="64">
        <v>13.64</v>
      </c>
      <c r="G69" s="64">
        <v>38.130000000000003</v>
      </c>
      <c r="H69" s="64">
        <v>12.57</v>
      </c>
      <c r="I69" s="214" t="s">
        <v>42</v>
      </c>
      <c r="J69" s="64">
        <v>0.33</v>
      </c>
      <c r="K69" s="64">
        <v>280.5</v>
      </c>
      <c r="L69" s="64">
        <v>33.369999999999997</v>
      </c>
      <c r="M69" s="64">
        <v>35.520000000000003</v>
      </c>
      <c r="N69" s="64">
        <v>228.1</v>
      </c>
      <c r="O69" s="64">
        <v>0</v>
      </c>
      <c r="P69" s="64">
        <v>0.41</v>
      </c>
      <c r="Q69" s="64">
        <v>21.12</v>
      </c>
      <c r="R69" s="198"/>
      <c r="S69" s="198"/>
      <c r="T69" s="198"/>
      <c r="U69" s="198"/>
    </row>
    <row r="70" spans="1:21" s="12" customFormat="1" x14ac:dyDescent="0.25">
      <c r="A70" s="211" t="s">
        <v>690</v>
      </c>
      <c r="B70" s="64">
        <v>2.58</v>
      </c>
      <c r="C70" s="64">
        <v>28.95</v>
      </c>
      <c r="D70" s="64">
        <v>18.690000000000001</v>
      </c>
      <c r="E70" s="64">
        <v>1.21</v>
      </c>
      <c r="F70" s="64">
        <v>10.81</v>
      </c>
      <c r="G70" s="64">
        <v>38.130000000000003</v>
      </c>
      <c r="H70" s="64">
        <v>12.57</v>
      </c>
      <c r="I70" s="214" t="s">
        <v>42</v>
      </c>
      <c r="J70" s="64">
        <v>0.57999999999999996</v>
      </c>
      <c r="K70" s="64">
        <v>280.85000000000002</v>
      </c>
      <c r="L70" s="64">
        <v>33.229999999999997</v>
      </c>
      <c r="M70" s="64">
        <v>34.97</v>
      </c>
      <c r="N70" s="64">
        <v>228.3</v>
      </c>
      <c r="O70" s="64">
        <v>0</v>
      </c>
      <c r="P70" s="64">
        <v>0.4</v>
      </c>
      <c r="Q70" s="64">
        <v>19.97</v>
      </c>
      <c r="R70" s="198"/>
      <c r="S70" s="198"/>
      <c r="T70" s="198"/>
      <c r="U70" s="198"/>
    </row>
    <row r="71" spans="1:21" s="12" customFormat="1" x14ac:dyDescent="0.25">
      <c r="A71" s="211" t="s">
        <v>691</v>
      </c>
      <c r="B71" s="64">
        <v>4.16</v>
      </c>
      <c r="C71" s="64">
        <v>28.9</v>
      </c>
      <c r="D71" s="64">
        <v>19.93</v>
      </c>
      <c r="E71" s="64">
        <v>1.47</v>
      </c>
      <c r="F71" s="64">
        <v>14.86</v>
      </c>
      <c r="G71" s="64">
        <v>41.55</v>
      </c>
      <c r="H71" s="64">
        <v>10.01</v>
      </c>
      <c r="I71" s="64">
        <v>0.46</v>
      </c>
      <c r="J71" s="64">
        <v>0.68</v>
      </c>
      <c r="K71" s="64">
        <v>276.07</v>
      </c>
      <c r="L71" s="64">
        <v>33.04</v>
      </c>
      <c r="M71" s="64">
        <v>36.049999999999997</v>
      </c>
      <c r="N71" s="64">
        <v>236.6</v>
      </c>
      <c r="O71" s="64">
        <v>0</v>
      </c>
      <c r="P71" s="64">
        <v>0.41</v>
      </c>
      <c r="Q71" s="64">
        <v>18.09</v>
      </c>
      <c r="R71" s="198"/>
      <c r="S71" s="198"/>
      <c r="T71" s="198"/>
      <c r="U71" s="198"/>
    </row>
    <row r="72" spans="1:21" s="12" customFormat="1" x14ac:dyDescent="0.25">
      <c r="A72" s="211" t="s">
        <v>692</v>
      </c>
      <c r="B72" s="64">
        <v>4.21</v>
      </c>
      <c r="C72" s="64">
        <v>25.37</v>
      </c>
      <c r="D72" s="64">
        <v>18.02</v>
      </c>
      <c r="E72" s="64">
        <v>2.52</v>
      </c>
      <c r="F72" s="64">
        <v>13.13</v>
      </c>
      <c r="G72" s="64">
        <v>41.67</v>
      </c>
      <c r="H72" s="64">
        <v>10.01</v>
      </c>
      <c r="I72" s="64">
        <v>0.46</v>
      </c>
      <c r="J72" s="64">
        <v>0.48</v>
      </c>
      <c r="K72" s="64">
        <v>280.01</v>
      </c>
      <c r="L72" s="64">
        <v>33.049999999999997</v>
      </c>
      <c r="M72" s="64">
        <v>36.15</v>
      </c>
      <c r="N72" s="64">
        <v>196.3</v>
      </c>
      <c r="O72" s="64">
        <v>0</v>
      </c>
      <c r="P72" s="64">
        <v>0.43</v>
      </c>
      <c r="Q72" s="64">
        <v>16.78</v>
      </c>
      <c r="R72" s="198"/>
      <c r="S72" s="198"/>
      <c r="T72" s="198"/>
      <c r="U72" s="198"/>
    </row>
    <row r="73" spans="1:21" s="12" customFormat="1" x14ac:dyDescent="0.25">
      <c r="A73" s="211" t="s">
        <v>693</v>
      </c>
      <c r="B73" s="64">
        <v>5.92</v>
      </c>
      <c r="C73" s="64">
        <v>21.44</v>
      </c>
      <c r="D73" s="64">
        <v>17.22</v>
      </c>
      <c r="E73" s="64">
        <v>2.4500000000000002</v>
      </c>
      <c r="F73" s="64">
        <v>8.3699999999999992</v>
      </c>
      <c r="G73" s="64">
        <v>41.67</v>
      </c>
      <c r="H73" s="64">
        <v>10.01</v>
      </c>
      <c r="I73" s="64">
        <v>0.44</v>
      </c>
      <c r="J73" s="64">
        <v>0.78</v>
      </c>
      <c r="K73" s="64">
        <v>282.67</v>
      </c>
      <c r="L73" s="64">
        <v>32.770000000000003</v>
      </c>
      <c r="M73" s="64">
        <v>36.28</v>
      </c>
      <c r="N73" s="64">
        <v>164.2</v>
      </c>
      <c r="O73" s="64">
        <v>0</v>
      </c>
      <c r="P73" s="64">
        <v>0.41</v>
      </c>
      <c r="Q73" s="64">
        <v>17.149999999999999</v>
      </c>
      <c r="R73" s="198"/>
      <c r="S73" s="198"/>
      <c r="T73" s="198"/>
      <c r="U73" s="198"/>
    </row>
    <row r="74" spans="1:21" s="12" customFormat="1" x14ac:dyDescent="0.25">
      <c r="A74" s="211" t="s">
        <v>694</v>
      </c>
      <c r="B74" s="64">
        <v>7.11</v>
      </c>
      <c r="C74" s="64">
        <v>24.42</v>
      </c>
      <c r="D74" s="64">
        <v>19.82</v>
      </c>
      <c r="E74" s="64">
        <v>2.5499999999999998</v>
      </c>
      <c r="F74" s="64">
        <v>9.0399999999999991</v>
      </c>
      <c r="G74" s="64">
        <v>41.67</v>
      </c>
      <c r="H74" s="64">
        <v>10.01</v>
      </c>
      <c r="I74" s="64">
        <v>0.46</v>
      </c>
      <c r="J74" s="64">
        <v>0.55000000000000004</v>
      </c>
      <c r="K74" s="64">
        <v>278.49</v>
      </c>
      <c r="L74" s="64">
        <v>32.17</v>
      </c>
      <c r="M74" s="64">
        <v>36.19</v>
      </c>
      <c r="N74" s="64">
        <v>112.2</v>
      </c>
      <c r="O74" s="64">
        <v>0</v>
      </c>
      <c r="P74" s="64">
        <v>0.42</v>
      </c>
      <c r="Q74" s="64">
        <v>20.36</v>
      </c>
      <c r="R74" s="198"/>
      <c r="S74" s="198"/>
      <c r="T74" s="198"/>
      <c r="U74" s="198"/>
    </row>
    <row r="75" spans="1:21" s="12" customFormat="1" x14ac:dyDescent="0.25">
      <c r="A75" s="211" t="s">
        <v>695</v>
      </c>
      <c r="B75" s="64">
        <v>9.75</v>
      </c>
      <c r="C75" s="64">
        <v>27.14</v>
      </c>
      <c r="D75" s="64">
        <v>23.44</v>
      </c>
      <c r="E75" s="64">
        <v>2.68</v>
      </c>
      <c r="F75" s="64">
        <v>7.97</v>
      </c>
      <c r="G75" s="64">
        <v>34.53</v>
      </c>
      <c r="H75" s="64">
        <v>11.73</v>
      </c>
      <c r="I75" s="64">
        <v>0.49</v>
      </c>
      <c r="J75" s="64">
        <v>0.92</v>
      </c>
      <c r="K75" s="64">
        <v>277.01</v>
      </c>
      <c r="L75" s="64">
        <v>32.07</v>
      </c>
      <c r="M75" s="64">
        <v>36.92</v>
      </c>
      <c r="N75" s="64">
        <v>139.1</v>
      </c>
      <c r="O75" s="64">
        <v>0</v>
      </c>
      <c r="P75" s="64">
        <v>0.45</v>
      </c>
      <c r="Q75" s="64">
        <v>21.69</v>
      </c>
      <c r="R75" s="198"/>
      <c r="S75" s="198"/>
      <c r="T75" s="198"/>
      <c r="U75" s="198"/>
    </row>
    <row r="76" spans="1:21" s="12" customFormat="1" x14ac:dyDescent="0.25">
      <c r="A76" s="211" t="s">
        <v>696</v>
      </c>
      <c r="B76" s="64">
        <v>8.41</v>
      </c>
      <c r="C76" s="64">
        <v>26.79</v>
      </c>
      <c r="D76" s="64">
        <v>22.18</v>
      </c>
      <c r="E76" s="64">
        <v>2.0499999999999998</v>
      </c>
      <c r="F76" s="64">
        <v>6.27</v>
      </c>
      <c r="G76" s="64">
        <v>34.29</v>
      </c>
      <c r="H76" s="64">
        <v>11.73</v>
      </c>
      <c r="I76" s="64">
        <v>0.46</v>
      </c>
      <c r="J76" s="64">
        <v>0.38</v>
      </c>
      <c r="K76" s="64">
        <v>281.73</v>
      </c>
      <c r="L76" s="64">
        <v>32.33</v>
      </c>
      <c r="M76" s="64">
        <v>36.03</v>
      </c>
      <c r="N76" s="64">
        <v>143.6</v>
      </c>
      <c r="O76" s="64">
        <v>0</v>
      </c>
      <c r="P76" s="64">
        <v>0.45</v>
      </c>
      <c r="Q76" s="64">
        <v>21.77</v>
      </c>
      <c r="R76" s="198"/>
      <c r="S76" s="198"/>
      <c r="T76" s="198"/>
      <c r="U76" s="198"/>
    </row>
    <row r="77" spans="1:21" s="12" customFormat="1" x14ac:dyDescent="0.25">
      <c r="A77" s="211" t="s">
        <v>697</v>
      </c>
      <c r="B77" s="64">
        <v>8.68</v>
      </c>
      <c r="C77" s="64">
        <v>28.31</v>
      </c>
      <c r="D77" s="64">
        <v>23.23</v>
      </c>
      <c r="E77" s="64">
        <v>1.99</v>
      </c>
      <c r="F77" s="64">
        <v>10.32</v>
      </c>
      <c r="G77" s="64">
        <v>34.29</v>
      </c>
      <c r="H77" s="64">
        <v>11.73</v>
      </c>
      <c r="I77" s="64">
        <v>0.47</v>
      </c>
      <c r="J77" s="64">
        <v>0.14000000000000001</v>
      </c>
      <c r="K77" s="64">
        <v>292.95999999999998</v>
      </c>
      <c r="L77" s="64">
        <v>32.159999999999997</v>
      </c>
      <c r="M77" s="64">
        <v>35.869999999999997</v>
      </c>
      <c r="N77" s="64">
        <v>97.2</v>
      </c>
      <c r="O77" s="64">
        <v>0</v>
      </c>
      <c r="P77" s="64">
        <v>0.47</v>
      </c>
      <c r="Q77" s="64">
        <v>21.23</v>
      </c>
      <c r="R77" s="198"/>
      <c r="S77" s="198"/>
      <c r="T77" s="198"/>
      <c r="U77" s="198"/>
    </row>
    <row r="78" spans="1:21" s="12" customFormat="1" x14ac:dyDescent="0.25">
      <c r="A78" s="211" t="s">
        <v>698</v>
      </c>
      <c r="B78" s="64">
        <v>9.17</v>
      </c>
      <c r="C78" s="64">
        <v>34.58</v>
      </c>
      <c r="D78" s="64">
        <v>27.08</v>
      </c>
      <c r="E78" s="64">
        <v>2.2599999999999998</v>
      </c>
      <c r="F78" s="64">
        <v>11.22</v>
      </c>
      <c r="G78" s="64">
        <v>34.29</v>
      </c>
      <c r="H78" s="64">
        <v>11.73</v>
      </c>
      <c r="I78" s="64">
        <v>0.5</v>
      </c>
      <c r="J78" s="64">
        <v>0.24</v>
      </c>
      <c r="K78" s="64">
        <v>277.06</v>
      </c>
      <c r="L78" s="64">
        <v>31.78</v>
      </c>
      <c r="M78" s="64">
        <v>37.700000000000003</v>
      </c>
      <c r="N78" s="64">
        <v>68.900000000000006</v>
      </c>
      <c r="O78" s="64">
        <v>0</v>
      </c>
      <c r="P78" s="64">
        <v>0.53</v>
      </c>
      <c r="Q78" s="64">
        <v>20.91</v>
      </c>
      <c r="R78" s="198"/>
      <c r="S78" s="198"/>
      <c r="T78" s="198"/>
      <c r="U78" s="198"/>
    </row>
    <row r="79" spans="1:21" s="12" customFormat="1" x14ac:dyDescent="0.25">
      <c r="A79" s="211" t="s">
        <v>699</v>
      </c>
      <c r="B79" s="64">
        <v>8.69</v>
      </c>
      <c r="C79" s="64">
        <v>29.5</v>
      </c>
      <c r="D79" s="64">
        <v>23.89</v>
      </c>
      <c r="E79" s="64">
        <v>2.6</v>
      </c>
      <c r="F79" s="64">
        <v>8.94</v>
      </c>
      <c r="G79" s="64">
        <v>32.54</v>
      </c>
      <c r="H79" s="64">
        <v>9.57</v>
      </c>
      <c r="I79" s="64">
        <v>0.47</v>
      </c>
      <c r="J79" s="64">
        <v>0.04</v>
      </c>
      <c r="K79" s="64">
        <v>331.81</v>
      </c>
      <c r="L79" s="64">
        <v>31.05</v>
      </c>
      <c r="M79" s="64">
        <v>39.01</v>
      </c>
      <c r="N79" s="64">
        <v>58.3</v>
      </c>
      <c r="O79" s="64">
        <v>0</v>
      </c>
      <c r="P79" s="64">
        <v>0.55000000000000004</v>
      </c>
      <c r="Q79" s="64">
        <v>22.52</v>
      </c>
      <c r="R79" s="198"/>
      <c r="S79" s="198"/>
      <c r="T79" s="198"/>
      <c r="U79" s="198"/>
    </row>
    <row r="80" spans="1:21" s="12" customFormat="1" x14ac:dyDescent="0.25">
      <c r="A80" s="211" t="s">
        <v>700</v>
      </c>
      <c r="B80" s="64">
        <v>4.1900000000000004</v>
      </c>
      <c r="C80" s="64">
        <v>33.5</v>
      </c>
      <c r="D80" s="64">
        <v>22.49</v>
      </c>
      <c r="E80" s="64">
        <v>2.37</v>
      </c>
      <c r="F80" s="64">
        <v>9.7200000000000006</v>
      </c>
      <c r="G80" s="64">
        <v>32.47</v>
      </c>
      <c r="H80" s="64">
        <v>9.57</v>
      </c>
      <c r="I80" s="64">
        <v>0.48</v>
      </c>
      <c r="J80" s="64">
        <v>0.02</v>
      </c>
      <c r="K80" s="64">
        <v>263.27</v>
      </c>
      <c r="L80" s="64">
        <v>30.55</v>
      </c>
      <c r="M80" s="64">
        <v>40.32</v>
      </c>
      <c r="N80" s="64">
        <v>31.8</v>
      </c>
      <c r="O80" s="64">
        <v>0</v>
      </c>
      <c r="P80" s="64">
        <v>0.56999999999999995</v>
      </c>
      <c r="Q80" s="64">
        <v>21.83</v>
      </c>
      <c r="R80" s="198"/>
      <c r="S80" s="198"/>
      <c r="T80" s="198"/>
      <c r="U80" s="198"/>
    </row>
    <row r="81" spans="1:26" s="12" customFormat="1" x14ac:dyDescent="0.25">
      <c r="A81" s="211" t="s">
        <v>701</v>
      </c>
      <c r="B81" s="64">
        <v>2.39</v>
      </c>
      <c r="C81" s="64">
        <v>30.98</v>
      </c>
      <c r="D81" s="64">
        <v>19.66</v>
      </c>
      <c r="E81" s="64">
        <v>2.86</v>
      </c>
      <c r="F81" s="64">
        <v>19.53</v>
      </c>
      <c r="G81" s="64">
        <v>32.47</v>
      </c>
      <c r="H81" s="64">
        <v>9.57</v>
      </c>
      <c r="I81" s="64">
        <v>0.51</v>
      </c>
      <c r="J81" s="64">
        <v>0.21</v>
      </c>
      <c r="K81" s="64">
        <v>266.01</v>
      </c>
      <c r="L81" s="64">
        <v>30.04</v>
      </c>
      <c r="M81" s="64">
        <v>41.55</v>
      </c>
      <c r="N81" s="64">
        <v>19.7</v>
      </c>
      <c r="O81" s="64">
        <v>0</v>
      </c>
      <c r="P81" s="64">
        <v>0.5</v>
      </c>
      <c r="Q81" s="64">
        <v>22.06</v>
      </c>
      <c r="R81" s="198"/>
      <c r="S81" s="198"/>
      <c r="T81" s="198"/>
      <c r="U81" s="198"/>
    </row>
    <row r="82" spans="1:26" s="12" customFormat="1" x14ac:dyDescent="0.25">
      <c r="A82" s="211" t="s">
        <v>702</v>
      </c>
      <c r="B82" s="64">
        <v>2.17</v>
      </c>
      <c r="C82" s="64">
        <v>30.68</v>
      </c>
      <c r="D82" s="64">
        <v>19.309999999999999</v>
      </c>
      <c r="E82" s="64">
        <v>2.87</v>
      </c>
      <c r="F82" s="64">
        <v>18.52</v>
      </c>
      <c r="G82" s="64">
        <v>32.47</v>
      </c>
      <c r="H82" s="64">
        <v>9.57</v>
      </c>
      <c r="I82" s="64">
        <v>0.5</v>
      </c>
      <c r="J82" s="64">
        <v>0.11</v>
      </c>
      <c r="K82" s="64">
        <v>276.48</v>
      </c>
      <c r="L82" s="64">
        <v>29.67</v>
      </c>
      <c r="M82" s="64">
        <v>42.01</v>
      </c>
      <c r="N82" s="64">
        <v>9</v>
      </c>
      <c r="O82" s="64">
        <v>0</v>
      </c>
      <c r="P82" s="64">
        <v>0.56000000000000005</v>
      </c>
      <c r="Q82" s="64">
        <v>19.420000000000002</v>
      </c>
      <c r="R82" s="198"/>
      <c r="S82" s="198"/>
      <c r="T82" s="198"/>
      <c r="U82" s="198"/>
    </row>
    <row r="83" spans="1:26" s="12" customFormat="1" x14ac:dyDescent="0.25">
      <c r="A83" s="211" t="s">
        <v>703</v>
      </c>
      <c r="B83" s="64">
        <v>2.76</v>
      </c>
      <c r="C83" s="64">
        <v>30.99</v>
      </c>
      <c r="D83" s="64">
        <v>19.96</v>
      </c>
      <c r="E83" s="64">
        <v>3.13</v>
      </c>
      <c r="F83" s="64">
        <v>18.829999999999998</v>
      </c>
      <c r="G83" s="64">
        <v>36.909999999999997</v>
      </c>
      <c r="H83" s="64">
        <v>12.98</v>
      </c>
      <c r="I83" s="64">
        <v>0.49</v>
      </c>
      <c r="J83" s="64">
        <v>0.06</v>
      </c>
      <c r="K83" s="64">
        <v>298.07</v>
      </c>
      <c r="L83" s="64">
        <v>29.42</v>
      </c>
      <c r="M83" s="64">
        <v>42.55</v>
      </c>
      <c r="N83" s="64">
        <v>5.6</v>
      </c>
      <c r="O83" s="64">
        <v>0</v>
      </c>
      <c r="P83" s="64">
        <v>0.56000000000000005</v>
      </c>
      <c r="Q83" s="64">
        <v>17.16</v>
      </c>
      <c r="R83" s="198"/>
      <c r="S83" s="198"/>
      <c r="T83" s="198"/>
      <c r="U83" s="198"/>
    </row>
    <row r="84" spans="1:26" s="12" customFormat="1" x14ac:dyDescent="0.25">
      <c r="A84" s="211" t="s">
        <v>704</v>
      </c>
      <c r="B84" s="64">
        <v>4.03</v>
      </c>
      <c r="C84" s="64">
        <v>32.28</v>
      </c>
      <c r="D84" s="64">
        <v>21.69</v>
      </c>
      <c r="E84" s="64">
        <v>3.49</v>
      </c>
      <c r="F84" s="64">
        <v>15.23</v>
      </c>
      <c r="G84" s="64">
        <v>37.06</v>
      </c>
      <c r="H84" s="64">
        <v>12.98</v>
      </c>
      <c r="I84" s="64">
        <v>0.51</v>
      </c>
      <c r="J84" s="64">
        <v>0.1</v>
      </c>
      <c r="K84" s="64">
        <v>291.43</v>
      </c>
      <c r="L84" s="64">
        <v>29.07</v>
      </c>
      <c r="M84" s="64">
        <v>43.88</v>
      </c>
      <c r="N84" s="64">
        <v>5.0999999999999996</v>
      </c>
      <c r="O84" s="64">
        <v>0</v>
      </c>
      <c r="P84" s="64">
        <v>0.61</v>
      </c>
      <c r="Q84" s="64">
        <v>21.76</v>
      </c>
      <c r="R84" s="198"/>
      <c r="S84" s="198"/>
      <c r="T84" s="198"/>
      <c r="U84" s="198"/>
    </row>
    <row r="85" spans="1:26" s="12" customFormat="1" x14ac:dyDescent="0.25">
      <c r="A85" s="211" t="s">
        <v>705</v>
      </c>
      <c r="B85" s="64">
        <v>4.45</v>
      </c>
      <c r="C85" s="64">
        <v>29.23</v>
      </c>
      <c r="D85" s="64">
        <v>20.350000000000001</v>
      </c>
      <c r="E85" s="64">
        <v>3.1</v>
      </c>
      <c r="F85" s="64">
        <v>7.41</v>
      </c>
      <c r="G85" s="64">
        <v>37.06</v>
      </c>
      <c r="H85" s="64">
        <v>12.98</v>
      </c>
      <c r="I85" s="64">
        <v>0.52</v>
      </c>
      <c r="J85" s="64">
        <v>0.14000000000000001</v>
      </c>
      <c r="K85" s="64">
        <v>271.92</v>
      </c>
      <c r="L85" s="64">
        <v>28.89</v>
      </c>
      <c r="M85" s="64">
        <v>43.89</v>
      </c>
      <c r="N85" s="64">
        <v>4.8</v>
      </c>
      <c r="O85" s="64">
        <v>0</v>
      </c>
      <c r="P85" s="64">
        <v>0.56999999999999995</v>
      </c>
      <c r="Q85" s="64">
        <v>22</v>
      </c>
      <c r="R85" s="198"/>
      <c r="S85" s="198"/>
      <c r="T85" s="198"/>
      <c r="U85" s="198"/>
    </row>
    <row r="86" spans="1:26" s="12" customFormat="1" x14ac:dyDescent="0.25">
      <c r="A86" s="211" t="s">
        <v>706</v>
      </c>
      <c r="B86" s="64">
        <v>3.33</v>
      </c>
      <c r="C86" s="64">
        <v>29.54</v>
      </c>
      <c r="D86" s="64">
        <v>19.62</v>
      </c>
      <c r="E86" s="64">
        <v>3.64</v>
      </c>
      <c r="F86" s="64">
        <v>12.3</v>
      </c>
      <c r="G86" s="64">
        <v>37.06</v>
      </c>
      <c r="H86" s="64">
        <v>12.98</v>
      </c>
      <c r="I86" s="64">
        <v>0.53</v>
      </c>
      <c r="J86" s="64">
        <v>0.36</v>
      </c>
      <c r="K86" s="64">
        <v>224.9</v>
      </c>
      <c r="L86" s="64">
        <v>28.52</v>
      </c>
      <c r="M86" s="64">
        <v>45.98</v>
      </c>
      <c r="N86" s="64">
        <v>4.8</v>
      </c>
      <c r="O86" s="64">
        <v>0</v>
      </c>
      <c r="P86" s="64">
        <v>0.56999999999999995</v>
      </c>
      <c r="Q86" s="64">
        <v>21.89</v>
      </c>
      <c r="R86" s="198"/>
      <c r="S86" s="198"/>
      <c r="T86" s="198"/>
      <c r="U86" s="198"/>
    </row>
    <row r="87" spans="1:26" s="12" customFormat="1" x14ac:dyDescent="0.25">
      <c r="A87" s="211" t="s">
        <v>707</v>
      </c>
      <c r="B87" s="64">
        <v>2.99</v>
      </c>
      <c r="C87" s="64">
        <v>28.26</v>
      </c>
      <c r="D87" s="64">
        <v>18.64</v>
      </c>
      <c r="E87" s="64">
        <v>3.49</v>
      </c>
      <c r="F87" s="64">
        <v>9.33</v>
      </c>
      <c r="G87" s="64">
        <v>38.28</v>
      </c>
      <c r="H87" s="64">
        <v>15.03</v>
      </c>
      <c r="I87" s="64">
        <v>0.55000000000000004</v>
      </c>
      <c r="J87" s="64">
        <v>0.23</v>
      </c>
      <c r="K87" s="64">
        <v>249.38</v>
      </c>
      <c r="L87" s="64">
        <v>27.98</v>
      </c>
      <c r="M87" s="64">
        <v>48.14</v>
      </c>
      <c r="N87" s="64">
        <v>5.0999999999999996</v>
      </c>
      <c r="O87" s="64">
        <v>0</v>
      </c>
      <c r="P87" s="64">
        <v>0.59</v>
      </c>
      <c r="Q87" s="64">
        <v>20.76</v>
      </c>
      <c r="R87" s="198"/>
      <c r="S87" s="198"/>
      <c r="T87" s="198"/>
      <c r="U87" s="198"/>
    </row>
    <row r="88" spans="1:26" s="12" customFormat="1" x14ac:dyDescent="0.25">
      <c r="A88" s="211" t="s">
        <v>708</v>
      </c>
      <c r="B88" s="64">
        <v>4.1500000000000004</v>
      </c>
      <c r="C88" s="64">
        <v>30.25</v>
      </c>
      <c r="D88" s="64">
        <v>20.67</v>
      </c>
      <c r="E88" s="64">
        <v>1.84</v>
      </c>
      <c r="F88" s="64">
        <v>10.19</v>
      </c>
      <c r="G88" s="64">
        <v>38.32</v>
      </c>
      <c r="H88" s="64">
        <v>15.03</v>
      </c>
      <c r="I88" s="64">
        <v>0.53</v>
      </c>
      <c r="J88" s="64">
        <v>0.17</v>
      </c>
      <c r="K88" s="64">
        <v>274.49</v>
      </c>
      <c r="L88" s="64">
        <v>27.65</v>
      </c>
      <c r="M88" s="64">
        <v>50</v>
      </c>
      <c r="N88" s="64">
        <v>5</v>
      </c>
      <c r="O88" s="64">
        <v>0</v>
      </c>
      <c r="P88" s="64">
        <v>0.59</v>
      </c>
      <c r="Q88" s="64">
        <v>22.82</v>
      </c>
      <c r="R88" s="198"/>
      <c r="S88" s="198"/>
      <c r="T88" s="198"/>
      <c r="U88" s="198"/>
    </row>
    <row r="89" spans="1:26" s="12" customFormat="1" x14ac:dyDescent="0.25">
      <c r="A89" s="211" t="s">
        <v>709</v>
      </c>
      <c r="B89" s="64">
        <v>3.83</v>
      </c>
      <c r="C89" s="64">
        <v>29</v>
      </c>
      <c r="D89" s="64">
        <v>19.72</v>
      </c>
      <c r="E89" s="64">
        <v>3.31</v>
      </c>
      <c r="F89" s="64">
        <v>13.06</v>
      </c>
      <c r="G89" s="64">
        <v>38.32</v>
      </c>
      <c r="H89" s="64">
        <v>15.03</v>
      </c>
      <c r="I89" s="64">
        <v>0.52</v>
      </c>
      <c r="J89" s="64">
        <v>0.11</v>
      </c>
      <c r="K89" s="64">
        <v>254.86</v>
      </c>
      <c r="L89" s="64">
        <v>27.53</v>
      </c>
      <c r="M89" s="64">
        <v>50.37</v>
      </c>
      <c r="N89" s="64">
        <v>4.8</v>
      </c>
      <c r="O89" s="64">
        <v>0</v>
      </c>
      <c r="P89" s="64">
        <v>0.63</v>
      </c>
      <c r="Q89" s="64">
        <v>19.64</v>
      </c>
      <c r="R89" s="198"/>
      <c r="S89" s="198"/>
      <c r="T89" s="198"/>
      <c r="U89" s="198"/>
    </row>
    <row r="90" spans="1:26" s="12" customFormat="1" x14ac:dyDescent="0.25">
      <c r="A90" s="211" t="s">
        <v>710</v>
      </c>
      <c r="B90" s="64">
        <v>4.95</v>
      </c>
      <c r="C90" s="64">
        <v>29.76</v>
      </c>
      <c r="D90" s="64">
        <v>21.04</v>
      </c>
      <c r="E90" s="64">
        <v>2.5</v>
      </c>
      <c r="F90" s="64">
        <v>7.33</v>
      </c>
      <c r="G90" s="64">
        <v>38.32</v>
      </c>
      <c r="H90" s="64">
        <v>15.03</v>
      </c>
      <c r="I90" s="64">
        <v>0.51</v>
      </c>
      <c r="J90" s="64">
        <v>0.09</v>
      </c>
      <c r="K90" s="64">
        <v>283.08999999999997</v>
      </c>
      <c r="L90" s="64">
        <v>27.55</v>
      </c>
      <c r="M90" s="64">
        <v>50.21</v>
      </c>
      <c r="N90" s="64">
        <v>4.7</v>
      </c>
      <c r="O90" s="64">
        <v>0</v>
      </c>
      <c r="P90" s="64">
        <v>0.67</v>
      </c>
      <c r="Q90" s="64">
        <v>21.1</v>
      </c>
      <c r="R90" s="198"/>
      <c r="S90" s="198"/>
      <c r="T90" s="198"/>
      <c r="U90" s="198"/>
    </row>
    <row r="91" spans="1:26" s="12" customFormat="1" x14ac:dyDescent="0.25">
      <c r="A91" s="211" t="s">
        <v>711</v>
      </c>
      <c r="B91" s="64">
        <v>5.05</v>
      </c>
      <c r="C91" s="64">
        <v>29.66</v>
      </c>
      <c r="D91" s="64">
        <v>21.06</v>
      </c>
      <c r="E91" s="64">
        <v>2.65</v>
      </c>
      <c r="F91" s="64">
        <v>6.86</v>
      </c>
      <c r="G91" s="64">
        <v>37.67</v>
      </c>
      <c r="H91" s="64">
        <v>17.649999999999999</v>
      </c>
      <c r="I91" s="64">
        <v>0.53</v>
      </c>
      <c r="J91" s="64">
        <v>7.0000000000000007E-2</v>
      </c>
      <c r="K91" s="64">
        <v>18.690000000000001</v>
      </c>
      <c r="L91" s="64">
        <v>27.55</v>
      </c>
      <c r="M91" s="64">
        <v>50.38</v>
      </c>
      <c r="N91" s="64">
        <v>4.8</v>
      </c>
      <c r="O91" s="64">
        <v>0</v>
      </c>
      <c r="P91" s="64">
        <v>0.68</v>
      </c>
      <c r="Q91" s="64">
        <v>21.13</v>
      </c>
      <c r="R91" s="198"/>
      <c r="S91" s="198"/>
      <c r="T91" s="198"/>
      <c r="U91" s="198"/>
    </row>
    <row r="92" spans="1:26" s="12" customFormat="1" x14ac:dyDescent="0.25">
      <c r="A92" s="211" t="s">
        <v>712</v>
      </c>
      <c r="B92" s="64">
        <v>8.2899999999999991</v>
      </c>
      <c r="C92" s="64">
        <v>31.43</v>
      </c>
      <c r="D92" s="64">
        <v>24.64</v>
      </c>
      <c r="E92" s="64">
        <v>3</v>
      </c>
      <c r="F92" s="64">
        <v>9.3699999999999992</v>
      </c>
      <c r="G92" s="64">
        <v>37.65</v>
      </c>
      <c r="H92" s="64">
        <v>17.649999999999999</v>
      </c>
      <c r="I92" s="64">
        <v>0.55000000000000004</v>
      </c>
      <c r="J92" s="64">
        <v>0.05</v>
      </c>
      <c r="K92" s="64">
        <v>329.87</v>
      </c>
      <c r="L92" s="64">
        <v>27.4</v>
      </c>
      <c r="M92" s="64">
        <v>51.32</v>
      </c>
      <c r="N92" s="64">
        <v>4.9000000000000004</v>
      </c>
      <c r="O92" s="64">
        <v>0</v>
      </c>
      <c r="P92" s="64">
        <v>0.73</v>
      </c>
      <c r="Q92" s="64">
        <v>21.06</v>
      </c>
      <c r="R92" s="198"/>
      <c r="S92" s="198"/>
      <c r="T92" s="198"/>
      <c r="U92" s="198"/>
    </row>
    <row r="93" spans="1:26" s="12" customFormat="1" x14ac:dyDescent="0.25">
      <c r="A93" s="211" t="s">
        <v>713</v>
      </c>
      <c r="B93" s="64">
        <v>15.16</v>
      </c>
      <c r="C93" s="64">
        <v>40.9</v>
      </c>
      <c r="D93" s="64">
        <v>35.380000000000003</v>
      </c>
      <c r="E93" s="64">
        <v>3.09</v>
      </c>
      <c r="F93" s="64">
        <v>7.85</v>
      </c>
      <c r="G93" s="64">
        <v>37.65</v>
      </c>
      <c r="H93" s="64">
        <v>17.649999999999999</v>
      </c>
      <c r="I93" s="64">
        <v>0.53</v>
      </c>
      <c r="J93" s="64">
        <v>0.05</v>
      </c>
      <c r="K93" s="64">
        <v>26.97</v>
      </c>
      <c r="L93" s="64">
        <v>27.24</v>
      </c>
      <c r="M93" s="64">
        <v>52</v>
      </c>
      <c r="N93" s="64">
        <v>4.8</v>
      </c>
      <c r="O93" s="64">
        <v>0</v>
      </c>
      <c r="P93" s="64">
        <v>0.89</v>
      </c>
      <c r="Q93" s="64">
        <v>22.44</v>
      </c>
      <c r="R93" s="198"/>
      <c r="S93" s="198"/>
      <c r="T93" s="198"/>
      <c r="U93" s="198"/>
    </row>
    <row r="94" spans="1:26" s="12" customFormat="1" x14ac:dyDescent="0.25">
      <c r="A94" s="211" t="s">
        <v>714</v>
      </c>
      <c r="B94" s="64">
        <v>8.1999999999999993</v>
      </c>
      <c r="C94" s="64">
        <v>34.9</v>
      </c>
      <c r="D94" s="64">
        <v>26.48</v>
      </c>
      <c r="E94" s="64">
        <v>3.66</v>
      </c>
      <c r="F94" s="64">
        <v>11.3</v>
      </c>
      <c r="G94" s="64">
        <v>37.65</v>
      </c>
      <c r="H94" s="64">
        <v>17.649999999999999</v>
      </c>
      <c r="I94" s="64">
        <v>0.55000000000000004</v>
      </c>
      <c r="J94" s="64">
        <v>0.23</v>
      </c>
      <c r="K94" s="64">
        <v>258.73</v>
      </c>
      <c r="L94" s="64">
        <v>27.05</v>
      </c>
      <c r="M94" s="64">
        <v>52.46</v>
      </c>
      <c r="N94" s="64">
        <v>4.7</v>
      </c>
      <c r="O94" s="64">
        <v>0</v>
      </c>
      <c r="P94" s="64">
        <v>0.73</v>
      </c>
      <c r="Q94" s="64">
        <v>20.22</v>
      </c>
      <c r="R94" s="198"/>
      <c r="S94" s="198"/>
      <c r="T94" s="198"/>
      <c r="U94" s="198"/>
    </row>
    <row r="95" spans="1:26" s="12" customFormat="1" x14ac:dyDescent="0.25">
      <c r="A95" s="211" t="s">
        <v>715</v>
      </c>
      <c r="B95" s="64">
        <v>4.67</v>
      </c>
      <c r="C95" s="64">
        <v>29.73</v>
      </c>
      <c r="D95" s="64">
        <v>20.8</v>
      </c>
      <c r="E95" s="64">
        <v>3.18</v>
      </c>
      <c r="F95" s="64">
        <v>13.59</v>
      </c>
      <c r="G95" s="64">
        <v>41.31</v>
      </c>
      <c r="H95" s="64">
        <v>16.100000000000001</v>
      </c>
      <c r="I95" s="64">
        <v>0.56000000000000005</v>
      </c>
      <c r="J95" s="64">
        <v>0.38</v>
      </c>
      <c r="K95" s="64">
        <v>222.36</v>
      </c>
      <c r="L95" s="64">
        <v>26.79</v>
      </c>
      <c r="M95" s="64">
        <v>54.5</v>
      </c>
      <c r="N95" s="64">
        <v>5</v>
      </c>
      <c r="O95" s="64">
        <v>0</v>
      </c>
      <c r="P95" s="64">
        <v>0.63</v>
      </c>
      <c r="Q95" s="64">
        <v>23.95</v>
      </c>
      <c r="R95" s="198"/>
      <c r="S95" s="198"/>
      <c r="T95" s="198"/>
      <c r="U95" s="198"/>
    </row>
    <row r="96" spans="1:26" s="12" customFormat="1" x14ac:dyDescent="0.25">
      <c r="A96" s="211" t="s">
        <v>716</v>
      </c>
      <c r="B96" s="64">
        <v>4.5</v>
      </c>
      <c r="C96" s="64">
        <v>28.06</v>
      </c>
      <c r="D96" s="64">
        <v>19.739999999999998</v>
      </c>
      <c r="E96" s="64">
        <v>3.81</v>
      </c>
      <c r="F96" s="64">
        <v>11.79</v>
      </c>
      <c r="G96" s="64">
        <v>41.43</v>
      </c>
      <c r="H96" s="64">
        <v>16.100000000000001</v>
      </c>
      <c r="I96" s="64">
        <v>0.54</v>
      </c>
      <c r="J96" s="64">
        <v>0.41</v>
      </c>
      <c r="K96" s="64">
        <v>255.93</v>
      </c>
      <c r="L96" s="64">
        <v>26.35</v>
      </c>
      <c r="M96" s="64">
        <v>57.19</v>
      </c>
      <c r="N96" s="64">
        <v>4.9000000000000004</v>
      </c>
      <c r="O96" s="64">
        <v>0</v>
      </c>
      <c r="P96" s="64">
        <v>0.61</v>
      </c>
      <c r="Q96" s="64">
        <v>22.45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717</v>
      </c>
      <c r="B97" s="64">
        <v>5.63</v>
      </c>
      <c r="C97" s="64">
        <v>20.66</v>
      </c>
      <c r="D97" s="64">
        <v>16.559999999999999</v>
      </c>
      <c r="E97" s="64">
        <v>2.69</v>
      </c>
      <c r="F97" s="64">
        <v>3.9</v>
      </c>
      <c r="G97" s="64">
        <v>41.43</v>
      </c>
      <c r="H97" s="64">
        <v>16.100000000000001</v>
      </c>
      <c r="I97" s="64">
        <v>0.54</v>
      </c>
      <c r="J97" s="64">
        <v>0.37</v>
      </c>
      <c r="K97" s="64">
        <v>259.42</v>
      </c>
      <c r="L97" s="64">
        <v>26</v>
      </c>
      <c r="M97" s="64">
        <v>59.53</v>
      </c>
      <c r="N97" s="64">
        <v>4.9000000000000004</v>
      </c>
      <c r="O97" s="64">
        <v>0</v>
      </c>
      <c r="P97" s="64">
        <v>0.67</v>
      </c>
      <c r="Q97" s="64">
        <v>23.51</v>
      </c>
      <c r="R97" s="198"/>
      <c r="S97" s="198"/>
      <c r="T97" s="198"/>
      <c r="U97" s="198"/>
    </row>
    <row r="98" spans="1:33" s="12" customFormat="1" x14ac:dyDescent="0.25">
      <c r="A98" s="211" t="s">
        <v>718</v>
      </c>
      <c r="B98" s="64">
        <v>5.57</v>
      </c>
      <c r="C98" s="64">
        <v>17.440000000000001</v>
      </c>
      <c r="D98" s="64">
        <v>14.74</v>
      </c>
      <c r="E98" s="64">
        <v>2.6</v>
      </c>
      <c r="F98" s="64">
        <v>4.92</v>
      </c>
      <c r="G98" s="64">
        <v>41.43</v>
      </c>
      <c r="H98" s="64">
        <v>16.100000000000001</v>
      </c>
      <c r="I98" s="64">
        <v>0.55000000000000004</v>
      </c>
      <c r="J98" s="64">
        <v>0.3</v>
      </c>
      <c r="K98" s="64">
        <v>266.14</v>
      </c>
      <c r="L98" s="64">
        <v>25.69</v>
      </c>
      <c r="M98" s="64">
        <v>62.13</v>
      </c>
      <c r="N98" s="64">
        <v>5</v>
      </c>
      <c r="O98" s="64">
        <v>0</v>
      </c>
      <c r="P98" s="64">
        <v>0.64</v>
      </c>
      <c r="Q98" s="64">
        <v>21.58</v>
      </c>
      <c r="R98" s="198"/>
      <c r="S98" s="198"/>
      <c r="T98" s="198"/>
      <c r="U98" s="198"/>
    </row>
    <row r="99" spans="1:33" s="12" customFormat="1" x14ac:dyDescent="0.25">
      <c r="A99" s="211" t="s">
        <v>719</v>
      </c>
      <c r="B99" s="64">
        <v>5.29</v>
      </c>
      <c r="C99" s="64">
        <v>17.14</v>
      </c>
      <c r="D99" s="64">
        <v>14.35</v>
      </c>
      <c r="E99" s="64">
        <v>2.0299999999999998</v>
      </c>
      <c r="F99" s="64">
        <v>4.26</v>
      </c>
      <c r="G99" s="64">
        <v>41.22</v>
      </c>
      <c r="H99" s="64">
        <v>16.95</v>
      </c>
      <c r="I99" s="64">
        <v>0.61</v>
      </c>
      <c r="J99" s="64">
        <v>0.39</v>
      </c>
      <c r="K99" s="64">
        <v>239.61</v>
      </c>
      <c r="L99" s="64">
        <v>25.48</v>
      </c>
      <c r="M99" s="64">
        <v>63.99</v>
      </c>
      <c r="N99" s="64">
        <v>4.9000000000000004</v>
      </c>
      <c r="O99" s="64">
        <v>0</v>
      </c>
      <c r="P99" s="64">
        <v>0.64</v>
      </c>
      <c r="Q99" s="64">
        <v>22.94</v>
      </c>
      <c r="R99" s="198"/>
      <c r="S99" s="198"/>
      <c r="T99" s="198"/>
      <c r="U99" s="198"/>
    </row>
    <row r="100" spans="1:33" s="12" customFormat="1" x14ac:dyDescent="0.25">
      <c r="A100" s="211" t="s">
        <v>720</v>
      </c>
      <c r="B100" s="64">
        <v>5.1100000000000003</v>
      </c>
      <c r="C100" s="64">
        <v>15.92</v>
      </c>
      <c r="D100" s="64">
        <v>13.53</v>
      </c>
      <c r="E100" s="64">
        <v>2.5</v>
      </c>
      <c r="F100" s="64">
        <v>4.45</v>
      </c>
      <c r="G100" s="64">
        <v>41.21</v>
      </c>
      <c r="H100" s="64">
        <v>16.95</v>
      </c>
      <c r="I100" s="64">
        <v>0.6</v>
      </c>
      <c r="J100" s="64">
        <v>0.31</v>
      </c>
      <c r="K100" s="64">
        <v>250.14</v>
      </c>
      <c r="L100" s="64">
        <v>25.2</v>
      </c>
      <c r="M100" s="64">
        <v>65.930000000000007</v>
      </c>
      <c r="N100" s="64">
        <v>5.0999999999999996</v>
      </c>
      <c r="O100" s="64">
        <v>0</v>
      </c>
      <c r="P100" s="64">
        <v>0.62</v>
      </c>
      <c r="Q100" s="64">
        <v>21.09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721</v>
      </c>
      <c r="B101" s="64">
        <v>5.04</v>
      </c>
      <c r="C101" s="64">
        <v>15.36</v>
      </c>
      <c r="D101" s="64">
        <v>13.17</v>
      </c>
      <c r="E101" s="64">
        <v>2.2200000000000002</v>
      </c>
      <c r="F101" s="64">
        <v>4.01</v>
      </c>
      <c r="G101" s="64">
        <v>41.21</v>
      </c>
      <c r="H101" s="64">
        <v>16.95</v>
      </c>
      <c r="I101" s="64">
        <v>0.6</v>
      </c>
      <c r="J101" s="64">
        <v>1.07</v>
      </c>
      <c r="K101" s="64">
        <v>208.27</v>
      </c>
      <c r="L101" s="64">
        <v>24.93</v>
      </c>
      <c r="M101" s="64">
        <v>68.52</v>
      </c>
      <c r="N101" s="64">
        <v>4.9000000000000004</v>
      </c>
      <c r="O101" s="64">
        <v>0</v>
      </c>
      <c r="P101" s="64">
        <v>0.61</v>
      </c>
      <c r="Q101" s="64">
        <v>21.17</v>
      </c>
      <c r="R101" s="198"/>
      <c r="S101" s="198"/>
      <c r="T101" s="198"/>
      <c r="U101" s="198"/>
    </row>
    <row r="102" spans="1:33" s="12" customFormat="1" x14ac:dyDescent="0.25">
      <c r="A102" s="211" t="s">
        <v>722</v>
      </c>
      <c r="B102" s="64">
        <v>4.99</v>
      </c>
      <c r="C102" s="64">
        <v>14.39</v>
      </c>
      <c r="D102" s="64">
        <v>12.59</v>
      </c>
      <c r="E102" s="64">
        <v>1.65</v>
      </c>
      <c r="F102" s="64">
        <v>3.93</v>
      </c>
      <c r="G102" s="64">
        <v>41.21</v>
      </c>
      <c r="H102" s="64">
        <v>16.95</v>
      </c>
      <c r="I102" s="64">
        <v>0.6</v>
      </c>
      <c r="J102" s="64">
        <v>0.96</v>
      </c>
      <c r="K102" s="64">
        <v>223.76</v>
      </c>
      <c r="L102" s="64">
        <v>24.59</v>
      </c>
      <c r="M102" s="64">
        <v>71.010000000000005</v>
      </c>
      <c r="N102" s="64">
        <v>5.0999999999999996</v>
      </c>
      <c r="O102" s="64">
        <v>0</v>
      </c>
      <c r="P102" s="64">
        <v>0.6</v>
      </c>
      <c r="Q102" s="64">
        <v>19.71</v>
      </c>
      <c r="R102" s="198"/>
      <c r="S102" s="198"/>
      <c r="T102" s="198"/>
      <c r="U102" s="198"/>
    </row>
    <row r="103" spans="1:33" s="12" customFormat="1" x14ac:dyDescent="0.25">
      <c r="A103" s="211" t="s">
        <v>723</v>
      </c>
      <c r="B103" s="64">
        <v>4.78</v>
      </c>
      <c r="C103" s="64">
        <v>14.39</v>
      </c>
      <c r="D103" s="64">
        <v>12.42</v>
      </c>
      <c r="E103" s="64">
        <v>1.83</v>
      </c>
      <c r="F103" s="64">
        <v>4.22</v>
      </c>
      <c r="G103" s="64">
        <v>40.15</v>
      </c>
      <c r="H103" s="64">
        <v>14.97</v>
      </c>
      <c r="I103" s="64">
        <v>0.59</v>
      </c>
      <c r="J103" s="64">
        <v>0.5</v>
      </c>
      <c r="K103" s="64">
        <v>229.74</v>
      </c>
      <c r="L103" s="64">
        <v>24.31</v>
      </c>
      <c r="M103" s="64">
        <v>72.81</v>
      </c>
      <c r="N103" s="64">
        <v>5.0999999999999996</v>
      </c>
      <c r="O103" s="64">
        <v>0</v>
      </c>
      <c r="P103" s="64">
        <v>0.56000000000000005</v>
      </c>
      <c r="Q103" s="64">
        <v>20.73</v>
      </c>
      <c r="R103" s="198"/>
      <c r="S103" s="198"/>
      <c r="T103" s="198"/>
      <c r="U103" s="198"/>
    </row>
    <row r="104" spans="1:33" s="12" customFormat="1" x14ac:dyDescent="0.25">
      <c r="A104" s="211" t="s">
        <v>724</v>
      </c>
      <c r="B104" s="64">
        <v>4.17</v>
      </c>
      <c r="C104" s="64">
        <v>15.23</v>
      </c>
      <c r="D104" s="64">
        <v>12.4</v>
      </c>
      <c r="E104" s="64">
        <v>1.1399999999999999</v>
      </c>
      <c r="F104" s="64">
        <v>7.15</v>
      </c>
      <c r="G104" s="64">
        <v>40.11</v>
      </c>
      <c r="H104" s="64">
        <v>14.97</v>
      </c>
      <c r="I104" s="64">
        <v>0.56000000000000005</v>
      </c>
      <c r="J104" s="64">
        <v>0.22</v>
      </c>
      <c r="K104" s="64">
        <v>252.96</v>
      </c>
      <c r="L104" s="64">
        <v>24.09</v>
      </c>
      <c r="M104" s="64">
        <v>74.23</v>
      </c>
      <c r="N104" s="64">
        <v>4.9000000000000004</v>
      </c>
      <c r="O104" s="64">
        <v>0</v>
      </c>
      <c r="P104" s="64">
        <v>0.5</v>
      </c>
      <c r="Q104" s="64">
        <v>23.89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1.44</v>
      </c>
      <c r="C106" s="67">
        <f>MIN(C9:C104)</f>
        <v>4.59</v>
      </c>
      <c r="D106" s="67">
        <f t="shared" ref="D106:Q106" si="0">MIN(D9:D104)</f>
        <v>12.4</v>
      </c>
      <c r="E106" s="67">
        <f t="shared" si="0"/>
        <v>0.5</v>
      </c>
      <c r="F106" s="67">
        <f t="shared" si="0"/>
        <v>2.66</v>
      </c>
      <c r="G106" s="67">
        <f t="shared" si="0"/>
        <v>8.14</v>
      </c>
      <c r="H106" s="67">
        <f t="shared" si="0"/>
        <v>4.0599999999999996</v>
      </c>
      <c r="I106" s="67">
        <f t="shared" si="0"/>
        <v>0.35</v>
      </c>
      <c r="J106" s="67">
        <f t="shared" si="0"/>
        <v>0.02</v>
      </c>
      <c r="K106" s="67">
        <f t="shared" si="0"/>
        <v>18.690000000000001</v>
      </c>
      <c r="L106" s="67">
        <f t="shared" si="0"/>
        <v>21.47</v>
      </c>
      <c r="M106" s="67">
        <f t="shared" si="0"/>
        <v>33.74</v>
      </c>
      <c r="N106" s="67">
        <f t="shared" si="0"/>
        <v>0</v>
      </c>
      <c r="O106" s="67">
        <f t="shared" si="0"/>
        <v>0</v>
      </c>
      <c r="P106" s="67">
        <f t="shared" si="0"/>
        <v>0.34</v>
      </c>
      <c r="Q106" s="67">
        <f t="shared" si="0"/>
        <v>0.26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177.73</v>
      </c>
      <c r="C107" s="66">
        <f t="shared" ref="C107:Q107" si="1">MAX(C9:C104)</f>
        <v>50.11</v>
      </c>
      <c r="D107" s="66">
        <f t="shared" si="1"/>
        <v>184.16</v>
      </c>
      <c r="E107" s="66">
        <f t="shared" si="1"/>
        <v>165.89</v>
      </c>
      <c r="F107" s="66">
        <f t="shared" si="1"/>
        <v>46.06</v>
      </c>
      <c r="G107" s="66">
        <f t="shared" si="1"/>
        <v>105.93</v>
      </c>
      <c r="H107" s="66">
        <f t="shared" si="1"/>
        <v>30.76</v>
      </c>
      <c r="I107" s="66">
        <f t="shared" si="1"/>
        <v>0.61</v>
      </c>
      <c r="J107" s="66">
        <f t="shared" si="1"/>
        <v>1.34</v>
      </c>
      <c r="K107" s="66">
        <f t="shared" si="1"/>
        <v>331.81</v>
      </c>
      <c r="L107" s="66">
        <f t="shared" si="1"/>
        <v>35.75</v>
      </c>
      <c r="M107" s="66">
        <f t="shared" si="1"/>
        <v>84.09</v>
      </c>
      <c r="N107" s="66">
        <f t="shared" si="1"/>
        <v>988.6</v>
      </c>
      <c r="O107" s="66">
        <f t="shared" si="1"/>
        <v>0</v>
      </c>
      <c r="P107" s="66">
        <f t="shared" si="1"/>
        <v>0.89</v>
      </c>
      <c r="Q107" s="66">
        <f t="shared" si="1"/>
        <v>26.42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18.148645833333337</v>
      </c>
      <c r="C108" s="67">
        <f t="shared" ref="C108:Q108" si="2">AVERAGE(C9:C104)</f>
        <v>25.708437499999999</v>
      </c>
      <c r="D108" s="67">
        <f t="shared" si="2"/>
        <v>30.622604166666662</v>
      </c>
      <c r="E108" s="67">
        <f t="shared" si="2"/>
        <v>4.8426086956521743</v>
      </c>
      <c r="F108" s="67">
        <f t="shared" si="2"/>
        <v>9.5604166666666668</v>
      </c>
      <c r="G108" s="67">
        <f t="shared" si="2"/>
        <v>65.111290322580615</v>
      </c>
      <c r="H108" s="67">
        <f t="shared" si="2"/>
        <v>18.961290322580645</v>
      </c>
      <c r="I108" s="67">
        <f t="shared" si="2"/>
        <v>0.50282608695652176</v>
      </c>
      <c r="J108" s="67">
        <f t="shared" si="2"/>
        <v>0.37937499999999996</v>
      </c>
      <c r="K108" s="67">
        <f t="shared" si="2"/>
        <v>272.39749999999998</v>
      </c>
      <c r="L108" s="67">
        <f t="shared" si="2"/>
        <v>28.630208333333343</v>
      </c>
      <c r="M108" s="67">
        <f t="shared" si="2"/>
        <v>52.761250000000018</v>
      </c>
      <c r="N108" s="67">
        <f t="shared" si="2"/>
        <v>254.19895833333325</v>
      </c>
      <c r="O108" s="67">
        <f t="shared" si="2"/>
        <v>0</v>
      </c>
      <c r="P108" s="67">
        <f t="shared" si="2"/>
        <v>0.64479166666666676</v>
      </c>
      <c r="Q108" s="67">
        <f t="shared" si="2"/>
        <v>20.267684210526316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33.939588423512973</v>
      </c>
      <c r="C109" s="67">
        <f t="shared" ref="C109:Q109" si="3">STDEV(C9:C104)</f>
        <v>8.5842352849646115</v>
      </c>
      <c r="D109" s="67">
        <f t="shared" si="3"/>
        <v>30.41586830465107</v>
      </c>
      <c r="E109" s="67">
        <f t="shared" si="3"/>
        <v>17.404816490729441</v>
      </c>
      <c r="F109" s="67">
        <f t="shared" si="3"/>
        <v>8.6317398278759754</v>
      </c>
      <c r="G109" s="67">
        <f t="shared" si="3"/>
        <v>25.993126818357876</v>
      </c>
      <c r="H109" s="67">
        <f t="shared" si="3"/>
        <v>6.8082871857705092</v>
      </c>
      <c r="I109" s="67">
        <f t="shared" si="3"/>
        <v>5.451454621284299E-2</v>
      </c>
      <c r="J109" s="67">
        <f t="shared" si="3"/>
        <v>0.27863884378018444</v>
      </c>
      <c r="K109" s="67">
        <f t="shared" si="3"/>
        <v>45.618304890171508</v>
      </c>
      <c r="L109" s="67">
        <f t="shared" si="3"/>
        <v>4.7459427501518361</v>
      </c>
      <c r="M109" s="67">
        <f t="shared" si="3"/>
        <v>16.504067202072466</v>
      </c>
      <c r="N109" s="67">
        <f t="shared" si="3"/>
        <v>333.38941052699187</v>
      </c>
      <c r="O109" s="67">
        <f t="shared" si="3"/>
        <v>0</v>
      </c>
      <c r="P109" s="67">
        <f t="shared" si="3"/>
        <v>0.15123337954208102</v>
      </c>
      <c r="Q109" s="67">
        <f t="shared" si="3"/>
        <v>5.6541920905721446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>COUNT(E9:E104)+4</f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COUNT(I9:I104)+50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7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5" sqref="G12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726</v>
      </c>
      <c r="B9" s="64">
        <v>4.12</v>
      </c>
      <c r="C9" s="64">
        <v>13.78</v>
      </c>
      <c r="D9" s="64">
        <v>11.55</v>
      </c>
      <c r="E9" s="64">
        <v>1.1000000000000001</v>
      </c>
      <c r="F9" s="64">
        <v>8.1300000000000008</v>
      </c>
      <c r="G9" s="64">
        <v>40.11</v>
      </c>
      <c r="H9" s="64">
        <v>14.97</v>
      </c>
      <c r="I9" s="64">
        <v>0.56000000000000005</v>
      </c>
      <c r="J9" s="64">
        <v>0.79</v>
      </c>
      <c r="K9" s="64">
        <v>209.73</v>
      </c>
      <c r="L9" s="64">
        <v>23.93</v>
      </c>
      <c r="M9" s="64">
        <v>75.13</v>
      </c>
      <c r="N9" s="64">
        <v>4.5999999999999996</v>
      </c>
      <c r="O9" s="64">
        <v>0</v>
      </c>
      <c r="P9" s="64">
        <v>0.5</v>
      </c>
      <c r="Q9" s="64">
        <v>20.39</v>
      </c>
      <c r="R9" s="198"/>
      <c r="S9" s="198"/>
      <c r="T9" s="198"/>
      <c r="U9" s="198"/>
    </row>
    <row r="10" spans="1:21" s="12" customFormat="1" x14ac:dyDescent="0.25">
      <c r="A10" s="211" t="s">
        <v>727</v>
      </c>
      <c r="B10" s="64">
        <v>4.38</v>
      </c>
      <c r="C10" s="64">
        <v>13.85</v>
      </c>
      <c r="D10" s="64">
        <v>11.8</v>
      </c>
      <c r="E10" s="64">
        <v>1.33</v>
      </c>
      <c r="F10" s="64">
        <v>7.49</v>
      </c>
      <c r="G10" s="64">
        <v>40.11</v>
      </c>
      <c r="H10" s="64">
        <v>14.97</v>
      </c>
      <c r="I10" s="64">
        <v>0.51</v>
      </c>
      <c r="J10" s="64">
        <v>0.33</v>
      </c>
      <c r="K10" s="64">
        <v>235.2</v>
      </c>
      <c r="L10" s="64">
        <v>23.92</v>
      </c>
      <c r="M10" s="64">
        <v>75.150000000000006</v>
      </c>
      <c r="N10" s="64">
        <v>4.7</v>
      </c>
      <c r="O10" s="64">
        <v>0</v>
      </c>
      <c r="P10" s="64">
        <v>0.5</v>
      </c>
      <c r="Q10" s="64">
        <v>23.2</v>
      </c>
      <c r="R10" s="198"/>
      <c r="S10" s="198"/>
      <c r="T10" s="198"/>
      <c r="U10" s="198"/>
    </row>
    <row r="11" spans="1:21" s="12" customFormat="1" x14ac:dyDescent="0.25">
      <c r="A11" s="211" t="s">
        <v>728</v>
      </c>
      <c r="B11" s="64">
        <v>4.28</v>
      </c>
      <c r="C11" s="64">
        <v>12.46</v>
      </c>
      <c r="D11" s="64">
        <v>10.96</v>
      </c>
      <c r="E11" s="64">
        <v>1.22</v>
      </c>
      <c r="F11" s="64">
        <v>8.16</v>
      </c>
      <c r="G11" s="64">
        <v>30.92</v>
      </c>
      <c r="H11" s="64">
        <v>14.04</v>
      </c>
      <c r="I11" s="64">
        <v>0.52</v>
      </c>
      <c r="J11" s="64">
        <v>0.49</v>
      </c>
      <c r="K11" s="64">
        <v>206.47</v>
      </c>
      <c r="L11" s="64">
        <v>23.83</v>
      </c>
      <c r="M11" s="64">
        <v>75.209999999999994</v>
      </c>
      <c r="N11" s="64">
        <v>4.8</v>
      </c>
      <c r="O11" s="64">
        <v>0</v>
      </c>
      <c r="P11" s="64">
        <v>0.48</v>
      </c>
      <c r="Q11" s="64">
        <v>20.72</v>
      </c>
      <c r="R11" s="198"/>
      <c r="S11" s="198"/>
      <c r="T11" s="198"/>
      <c r="U11" s="198"/>
    </row>
    <row r="12" spans="1:21" s="12" customFormat="1" x14ac:dyDescent="0.25">
      <c r="A12" s="211" t="s">
        <v>729</v>
      </c>
      <c r="B12" s="64">
        <v>4.5999999999999996</v>
      </c>
      <c r="C12" s="64">
        <v>13.23</v>
      </c>
      <c r="D12" s="64">
        <v>11.64</v>
      </c>
      <c r="E12" s="64">
        <v>1.6</v>
      </c>
      <c r="F12" s="64">
        <v>6.39</v>
      </c>
      <c r="G12" s="64">
        <v>30.61</v>
      </c>
      <c r="H12" s="64">
        <v>14.04</v>
      </c>
      <c r="I12" s="64">
        <v>0.53</v>
      </c>
      <c r="J12" s="64">
        <v>0.28000000000000003</v>
      </c>
      <c r="K12" s="64">
        <v>250.24</v>
      </c>
      <c r="L12" s="64">
        <v>23.76</v>
      </c>
      <c r="M12" s="64">
        <v>74.92</v>
      </c>
      <c r="N12" s="64">
        <v>4.7</v>
      </c>
      <c r="O12" s="64">
        <v>0</v>
      </c>
      <c r="P12" s="64">
        <v>0.49</v>
      </c>
      <c r="Q12" s="64">
        <v>23.08</v>
      </c>
      <c r="R12" s="198"/>
      <c r="S12" s="198"/>
      <c r="T12" s="198"/>
      <c r="U12" s="198"/>
    </row>
    <row r="13" spans="1:21" s="12" customFormat="1" x14ac:dyDescent="0.25">
      <c r="A13" s="211" t="s">
        <v>730</v>
      </c>
      <c r="B13" s="64">
        <v>5.01</v>
      </c>
      <c r="C13" s="64">
        <v>15.09</v>
      </c>
      <c r="D13" s="64">
        <v>12.99</v>
      </c>
      <c r="E13" s="64">
        <v>1.74</v>
      </c>
      <c r="F13" s="64">
        <v>4.07</v>
      </c>
      <c r="G13" s="64">
        <v>30.61</v>
      </c>
      <c r="H13" s="64">
        <v>14.04</v>
      </c>
      <c r="I13" s="64">
        <v>0.53</v>
      </c>
      <c r="J13" s="64">
        <v>0.43</v>
      </c>
      <c r="K13" s="64">
        <v>244.93</v>
      </c>
      <c r="L13" s="64">
        <v>23.78</v>
      </c>
      <c r="M13" s="64">
        <v>74.760000000000005</v>
      </c>
      <c r="N13" s="64">
        <v>4.7</v>
      </c>
      <c r="O13" s="64">
        <v>0</v>
      </c>
      <c r="P13" s="64">
        <v>0.48</v>
      </c>
      <c r="Q13" s="64">
        <v>23.96</v>
      </c>
      <c r="R13" s="198"/>
      <c r="S13" s="198"/>
      <c r="T13" s="198"/>
      <c r="U13" s="198"/>
    </row>
    <row r="14" spans="1:21" s="12" customFormat="1" x14ac:dyDescent="0.25">
      <c r="A14" s="211" t="s">
        <v>731</v>
      </c>
      <c r="B14" s="64">
        <v>4.72</v>
      </c>
      <c r="C14" s="64">
        <v>14.15</v>
      </c>
      <c r="D14" s="64">
        <v>12.24</v>
      </c>
      <c r="E14" s="64">
        <v>1.44</v>
      </c>
      <c r="F14" s="64">
        <v>4.4800000000000004</v>
      </c>
      <c r="G14" s="64">
        <v>30.61</v>
      </c>
      <c r="H14" s="64">
        <v>14.04</v>
      </c>
      <c r="I14" s="64">
        <v>0.56000000000000005</v>
      </c>
      <c r="J14" s="64">
        <v>0.36</v>
      </c>
      <c r="K14" s="64">
        <v>224.8</v>
      </c>
      <c r="L14" s="64">
        <v>23.71</v>
      </c>
      <c r="M14" s="64">
        <v>75.150000000000006</v>
      </c>
      <c r="N14" s="64">
        <v>4.8</v>
      </c>
      <c r="O14" s="64">
        <v>0</v>
      </c>
      <c r="P14" s="64">
        <v>0.49</v>
      </c>
      <c r="Q14" s="64">
        <v>22.73</v>
      </c>
      <c r="R14" s="198"/>
      <c r="S14" s="198"/>
      <c r="T14" s="198"/>
      <c r="U14" s="198"/>
    </row>
    <row r="15" spans="1:21" s="12" customFormat="1" x14ac:dyDescent="0.25">
      <c r="A15" s="211" t="s">
        <v>732</v>
      </c>
      <c r="B15" s="64">
        <v>4.5</v>
      </c>
      <c r="C15" s="64">
        <v>14.12</v>
      </c>
      <c r="D15" s="64">
        <v>12.05</v>
      </c>
      <c r="E15" s="64">
        <v>1.44</v>
      </c>
      <c r="F15" s="64">
        <v>4.2300000000000004</v>
      </c>
      <c r="G15" s="64">
        <v>26.4</v>
      </c>
      <c r="H15" s="64">
        <v>11.89</v>
      </c>
      <c r="I15" s="64">
        <v>0.56999999999999995</v>
      </c>
      <c r="J15" s="64">
        <v>0.52</v>
      </c>
      <c r="K15" s="64">
        <v>198.27</v>
      </c>
      <c r="L15" s="64">
        <v>23.57</v>
      </c>
      <c r="M15" s="64">
        <v>76</v>
      </c>
      <c r="N15" s="64">
        <v>4.9000000000000004</v>
      </c>
      <c r="O15" s="64">
        <v>0</v>
      </c>
      <c r="P15" s="64">
        <v>0.47</v>
      </c>
      <c r="Q15" s="64">
        <v>23</v>
      </c>
      <c r="R15" s="198"/>
      <c r="S15" s="198"/>
      <c r="T15" s="198"/>
      <c r="U15" s="198"/>
    </row>
    <row r="16" spans="1:21" s="12" customFormat="1" x14ac:dyDescent="0.25">
      <c r="A16" s="211" t="s">
        <v>733</v>
      </c>
      <c r="B16" s="64">
        <v>4.38</v>
      </c>
      <c r="C16" s="64">
        <v>13.53</v>
      </c>
      <c r="D16" s="64">
        <v>11.62</v>
      </c>
      <c r="E16" s="64">
        <v>1.36</v>
      </c>
      <c r="F16" s="64">
        <v>3.71</v>
      </c>
      <c r="G16" s="64">
        <v>26.25</v>
      </c>
      <c r="H16" s="64">
        <v>11.89</v>
      </c>
      <c r="I16" s="64">
        <v>0.55000000000000004</v>
      </c>
      <c r="J16" s="64">
        <v>0.43</v>
      </c>
      <c r="K16" s="64">
        <v>214.49</v>
      </c>
      <c r="L16" s="64">
        <v>23.51</v>
      </c>
      <c r="M16" s="64">
        <v>76.260000000000005</v>
      </c>
      <c r="N16" s="64">
        <v>4.8</v>
      </c>
      <c r="O16" s="64">
        <v>0</v>
      </c>
      <c r="P16" s="64">
        <v>0.45</v>
      </c>
      <c r="Q16" s="64">
        <v>21.87</v>
      </c>
      <c r="R16" s="198"/>
      <c r="S16" s="198"/>
      <c r="T16" s="198"/>
      <c r="U16" s="198"/>
    </row>
    <row r="17" spans="1:21" s="12" customFormat="1" x14ac:dyDescent="0.25">
      <c r="A17" s="211" t="s">
        <v>734</v>
      </c>
      <c r="B17" s="64">
        <v>4.21</v>
      </c>
      <c r="C17" s="64">
        <v>13.33</v>
      </c>
      <c r="D17" s="64">
        <v>11.38</v>
      </c>
      <c r="E17" s="64">
        <v>0.74</v>
      </c>
      <c r="F17" s="64">
        <v>3.79</v>
      </c>
      <c r="G17" s="64">
        <v>26.25</v>
      </c>
      <c r="H17" s="64">
        <v>11.89</v>
      </c>
      <c r="I17" s="64">
        <v>0.55000000000000004</v>
      </c>
      <c r="J17" s="64">
        <v>0.36</v>
      </c>
      <c r="K17" s="64">
        <v>249.62</v>
      </c>
      <c r="L17" s="64">
        <v>23.41</v>
      </c>
      <c r="M17" s="64">
        <v>76.36</v>
      </c>
      <c r="N17" s="64">
        <v>4.7</v>
      </c>
      <c r="O17" s="64">
        <v>0</v>
      </c>
      <c r="P17" s="64">
        <v>0.44</v>
      </c>
      <c r="Q17" s="64">
        <v>21.51</v>
      </c>
      <c r="R17" s="198"/>
      <c r="S17" s="198"/>
      <c r="T17" s="198"/>
      <c r="U17" s="198"/>
    </row>
    <row r="18" spans="1:21" s="12" customFormat="1" x14ac:dyDescent="0.25">
      <c r="A18" s="211" t="s">
        <v>735</v>
      </c>
      <c r="B18" s="64">
        <v>4.0599999999999996</v>
      </c>
      <c r="C18" s="64">
        <v>12.6</v>
      </c>
      <c r="D18" s="64">
        <v>10.85</v>
      </c>
      <c r="E18" s="64">
        <v>1.2</v>
      </c>
      <c r="F18" s="64">
        <v>3.73</v>
      </c>
      <c r="G18" s="64">
        <v>26.25</v>
      </c>
      <c r="H18" s="64">
        <v>11.89</v>
      </c>
      <c r="I18" s="64">
        <v>0.54</v>
      </c>
      <c r="J18" s="64">
        <v>0.26</v>
      </c>
      <c r="K18" s="64">
        <v>245.02</v>
      </c>
      <c r="L18" s="64">
        <v>23.37</v>
      </c>
      <c r="M18" s="64">
        <v>76.39</v>
      </c>
      <c r="N18" s="64">
        <v>4.7</v>
      </c>
      <c r="O18" s="64">
        <v>0</v>
      </c>
      <c r="P18" s="64">
        <v>0.42</v>
      </c>
      <c r="Q18" s="64">
        <v>19.86</v>
      </c>
      <c r="R18" s="198"/>
      <c r="S18" s="198"/>
      <c r="T18" s="198"/>
      <c r="U18" s="198"/>
    </row>
    <row r="19" spans="1:21" s="12" customFormat="1" x14ac:dyDescent="0.25">
      <c r="A19" s="211" t="s">
        <v>736</v>
      </c>
      <c r="B19" s="64">
        <v>3.87</v>
      </c>
      <c r="C19" s="64">
        <v>12.81</v>
      </c>
      <c r="D19" s="64">
        <v>10.82</v>
      </c>
      <c r="E19" s="64">
        <v>1.25</v>
      </c>
      <c r="F19" s="64">
        <v>3.93</v>
      </c>
      <c r="G19" s="64">
        <v>24.74</v>
      </c>
      <c r="H19" s="64">
        <v>10.86</v>
      </c>
      <c r="I19" s="64">
        <v>0.54</v>
      </c>
      <c r="J19" s="64">
        <v>0.12</v>
      </c>
      <c r="K19" s="64">
        <v>259.33</v>
      </c>
      <c r="L19" s="64">
        <v>23.32</v>
      </c>
      <c r="M19" s="64">
        <v>76.41</v>
      </c>
      <c r="N19" s="64">
        <v>5</v>
      </c>
      <c r="O19" s="64">
        <v>0</v>
      </c>
      <c r="P19" s="64">
        <v>0.41</v>
      </c>
      <c r="Q19" s="64">
        <v>20.329999999999998</v>
      </c>
      <c r="R19" s="198"/>
      <c r="S19" s="198"/>
      <c r="T19" s="198"/>
      <c r="U19" s="198"/>
    </row>
    <row r="20" spans="1:21" s="12" customFormat="1" x14ac:dyDescent="0.25">
      <c r="A20" s="211" t="s">
        <v>737</v>
      </c>
      <c r="B20" s="64">
        <v>3.35</v>
      </c>
      <c r="C20" s="64">
        <v>12.89</v>
      </c>
      <c r="D20" s="64">
        <v>10.45</v>
      </c>
      <c r="E20" s="64">
        <v>1.1299999999999999</v>
      </c>
      <c r="F20" s="64">
        <v>7.83</v>
      </c>
      <c r="G20" s="64">
        <v>24.69</v>
      </c>
      <c r="H20" s="64">
        <v>10.86</v>
      </c>
      <c r="I20" s="64">
        <v>0.52</v>
      </c>
      <c r="J20" s="64">
        <v>0.22</v>
      </c>
      <c r="K20" s="64">
        <v>250.64</v>
      </c>
      <c r="L20" s="64">
        <v>23.28</v>
      </c>
      <c r="M20" s="64">
        <v>76.47</v>
      </c>
      <c r="N20" s="64">
        <v>4.9000000000000004</v>
      </c>
      <c r="O20" s="64">
        <v>0</v>
      </c>
      <c r="P20" s="64">
        <v>0.36</v>
      </c>
      <c r="Q20" s="64">
        <v>21.23</v>
      </c>
      <c r="R20" s="198"/>
      <c r="S20" s="198"/>
      <c r="T20" s="198"/>
      <c r="U20" s="198"/>
    </row>
    <row r="21" spans="1:21" s="12" customFormat="1" x14ac:dyDescent="0.25">
      <c r="A21" s="211" t="s">
        <v>738</v>
      </c>
      <c r="B21" s="64">
        <v>3.45</v>
      </c>
      <c r="C21" s="64">
        <v>11.91</v>
      </c>
      <c r="D21" s="64">
        <v>9.98</v>
      </c>
      <c r="E21" s="64">
        <v>1.24</v>
      </c>
      <c r="F21" s="64">
        <v>6.49</v>
      </c>
      <c r="G21" s="64">
        <v>24.69</v>
      </c>
      <c r="H21" s="64">
        <v>10.86</v>
      </c>
      <c r="I21" s="64">
        <v>0.52</v>
      </c>
      <c r="J21" s="64">
        <v>0.17</v>
      </c>
      <c r="K21" s="64">
        <v>260.2</v>
      </c>
      <c r="L21" s="64">
        <v>23.23</v>
      </c>
      <c r="M21" s="64">
        <v>76.400000000000006</v>
      </c>
      <c r="N21" s="64">
        <v>5</v>
      </c>
      <c r="O21" s="64">
        <v>0</v>
      </c>
      <c r="P21" s="64">
        <v>0.38</v>
      </c>
      <c r="Q21" s="64">
        <v>19.489999999999998</v>
      </c>
      <c r="R21" s="198"/>
      <c r="S21" s="198"/>
      <c r="T21" s="198"/>
      <c r="U21" s="198"/>
    </row>
    <row r="22" spans="1:21" s="12" customFormat="1" x14ac:dyDescent="0.25">
      <c r="A22" s="211" t="s">
        <v>739</v>
      </c>
      <c r="B22" s="64">
        <v>3.55</v>
      </c>
      <c r="C22" s="64">
        <v>12.76</v>
      </c>
      <c r="D22" s="64">
        <v>10.53</v>
      </c>
      <c r="E22" s="64">
        <v>0.97</v>
      </c>
      <c r="F22" s="64">
        <v>7.4</v>
      </c>
      <c r="G22" s="64">
        <v>24.69</v>
      </c>
      <c r="H22" s="64">
        <v>10.86</v>
      </c>
      <c r="I22" s="64">
        <v>0.5</v>
      </c>
      <c r="J22" s="64">
        <v>0.21</v>
      </c>
      <c r="K22" s="64">
        <v>261.87</v>
      </c>
      <c r="L22" s="64">
        <v>23.15</v>
      </c>
      <c r="M22" s="64">
        <v>76.87</v>
      </c>
      <c r="N22" s="64">
        <v>4.8</v>
      </c>
      <c r="O22" s="64">
        <v>0</v>
      </c>
      <c r="P22" s="64">
        <v>0.35</v>
      </c>
      <c r="Q22" s="64">
        <v>21.27</v>
      </c>
      <c r="R22" s="198"/>
      <c r="S22" s="198"/>
      <c r="T22" s="198"/>
      <c r="U22" s="198"/>
    </row>
    <row r="23" spans="1:21" s="12" customFormat="1" x14ac:dyDescent="0.25">
      <c r="A23" s="211" t="s">
        <v>740</v>
      </c>
      <c r="B23" s="64">
        <v>3.81</v>
      </c>
      <c r="C23" s="64">
        <v>12.15</v>
      </c>
      <c r="D23" s="64">
        <v>10.41</v>
      </c>
      <c r="E23" s="64">
        <v>1.08</v>
      </c>
      <c r="F23" s="64">
        <v>6.81</v>
      </c>
      <c r="G23" s="64">
        <v>21.45</v>
      </c>
      <c r="H23" s="64">
        <v>11.52</v>
      </c>
      <c r="I23" s="64">
        <v>0.52</v>
      </c>
      <c r="J23" s="64">
        <v>0.25</v>
      </c>
      <c r="K23" s="64">
        <v>256.24</v>
      </c>
      <c r="L23" s="64">
        <v>23.05</v>
      </c>
      <c r="M23" s="64">
        <v>77.45</v>
      </c>
      <c r="N23" s="64">
        <v>4.8</v>
      </c>
      <c r="O23" s="64">
        <v>0</v>
      </c>
      <c r="P23" s="64">
        <v>0.38</v>
      </c>
      <c r="Q23" s="64">
        <v>20.99</v>
      </c>
      <c r="R23" s="198"/>
      <c r="S23" s="198"/>
      <c r="T23" s="198"/>
      <c r="U23" s="198"/>
    </row>
    <row r="24" spans="1:21" s="12" customFormat="1" x14ac:dyDescent="0.25">
      <c r="A24" s="211" t="s">
        <v>741</v>
      </c>
      <c r="B24" s="64">
        <v>4.08</v>
      </c>
      <c r="C24" s="64">
        <v>13.38</v>
      </c>
      <c r="D24" s="64">
        <v>11.31</v>
      </c>
      <c r="E24" s="64">
        <v>0.92</v>
      </c>
      <c r="F24" s="64">
        <v>5.76</v>
      </c>
      <c r="G24" s="64">
        <v>21.34</v>
      </c>
      <c r="H24" s="64">
        <v>11.52</v>
      </c>
      <c r="I24" s="64">
        <v>0.51</v>
      </c>
      <c r="J24" s="64">
        <v>0.19</v>
      </c>
      <c r="K24" s="64">
        <v>271.35000000000002</v>
      </c>
      <c r="L24" s="64">
        <v>22.94</v>
      </c>
      <c r="M24" s="64">
        <v>78.28</v>
      </c>
      <c r="N24" s="64">
        <v>5</v>
      </c>
      <c r="O24" s="64">
        <v>0</v>
      </c>
      <c r="P24" s="64">
        <v>0.38</v>
      </c>
      <c r="Q24" s="64">
        <v>23.91</v>
      </c>
      <c r="R24" s="198"/>
      <c r="S24" s="198"/>
      <c r="T24" s="198"/>
      <c r="U24" s="198"/>
    </row>
    <row r="25" spans="1:21" s="12" customFormat="1" x14ac:dyDescent="0.25">
      <c r="A25" s="211" t="s">
        <v>742</v>
      </c>
      <c r="B25" s="64">
        <v>4.62</v>
      </c>
      <c r="C25" s="64">
        <v>14.22</v>
      </c>
      <c r="D25" s="64">
        <v>12.2</v>
      </c>
      <c r="E25" s="64">
        <v>1.46</v>
      </c>
      <c r="F25" s="64">
        <v>3.76</v>
      </c>
      <c r="G25" s="64">
        <v>21.34</v>
      </c>
      <c r="H25" s="64">
        <v>11.52</v>
      </c>
      <c r="I25" s="64">
        <v>0.53</v>
      </c>
      <c r="J25" s="64">
        <v>0.2</v>
      </c>
      <c r="K25" s="64">
        <v>264.31</v>
      </c>
      <c r="L25" s="64">
        <v>22.94</v>
      </c>
      <c r="M25" s="64">
        <v>78.260000000000005</v>
      </c>
      <c r="N25" s="64">
        <v>4.9000000000000004</v>
      </c>
      <c r="O25" s="64">
        <v>0</v>
      </c>
      <c r="P25" s="64">
        <v>0.38</v>
      </c>
      <c r="Q25" s="64">
        <v>23.84</v>
      </c>
      <c r="R25" s="198"/>
      <c r="S25" s="198"/>
      <c r="T25" s="198"/>
      <c r="U25" s="198"/>
    </row>
    <row r="26" spans="1:21" s="12" customFormat="1" x14ac:dyDescent="0.25">
      <c r="A26" s="211" t="s">
        <v>743</v>
      </c>
      <c r="B26" s="64">
        <v>4.62</v>
      </c>
      <c r="C26" s="64">
        <v>13.54</v>
      </c>
      <c r="D26" s="64">
        <v>11.83</v>
      </c>
      <c r="E26" s="64">
        <v>1.75</v>
      </c>
      <c r="F26" s="64">
        <v>3.5</v>
      </c>
      <c r="G26" s="64">
        <v>21.34</v>
      </c>
      <c r="H26" s="64">
        <v>11.52</v>
      </c>
      <c r="I26" s="64">
        <v>0.53</v>
      </c>
      <c r="J26" s="64">
        <v>0.04</v>
      </c>
      <c r="K26" s="64">
        <v>315.07</v>
      </c>
      <c r="L26" s="64">
        <v>22.99</v>
      </c>
      <c r="M26" s="64">
        <v>77.89</v>
      </c>
      <c r="N26" s="64">
        <v>5</v>
      </c>
      <c r="O26" s="64">
        <v>0</v>
      </c>
      <c r="P26" s="64">
        <v>0.38</v>
      </c>
      <c r="Q26" s="64">
        <v>23.35</v>
      </c>
      <c r="R26" s="198"/>
      <c r="S26" s="198"/>
      <c r="T26" s="198"/>
      <c r="U26" s="198"/>
    </row>
    <row r="27" spans="1:21" s="12" customFormat="1" x14ac:dyDescent="0.25">
      <c r="A27" s="211" t="s">
        <v>744</v>
      </c>
      <c r="B27" s="64">
        <v>4.54</v>
      </c>
      <c r="C27" s="64">
        <v>13.1</v>
      </c>
      <c r="D27" s="64">
        <v>11.52</v>
      </c>
      <c r="E27" s="64">
        <v>1.5</v>
      </c>
      <c r="F27" s="64">
        <v>3.77</v>
      </c>
      <c r="G27" s="64">
        <v>20.02</v>
      </c>
      <c r="H27" s="64">
        <v>8.75</v>
      </c>
      <c r="I27" s="64">
        <v>0.54</v>
      </c>
      <c r="J27" s="64">
        <v>7.0000000000000007E-2</v>
      </c>
      <c r="K27" s="64">
        <v>37.979999999999997</v>
      </c>
      <c r="L27" s="64">
        <v>23</v>
      </c>
      <c r="M27" s="64">
        <v>77.900000000000006</v>
      </c>
      <c r="N27" s="64">
        <v>4.8</v>
      </c>
      <c r="O27" s="64">
        <v>0</v>
      </c>
      <c r="P27" s="64">
        <v>0.37</v>
      </c>
      <c r="Q27" s="64">
        <v>22.73</v>
      </c>
      <c r="R27" s="198"/>
      <c r="S27" s="198"/>
      <c r="T27" s="198"/>
      <c r="U27" s="198"/>
    </row>
    <row r="28" spans="1:21" s="12" customFormat="1" x14ac:dyDescent="0.25">
      <c r="A28" s="211" t="s">
        <v>745</v>
      </c>
      <c r="B28" s="64">
        <v>4.53</v>
      </c>
      <c r="C28" s="64">
        <v>13.04</v>
      </c>
      <c r="D28" s="64">
        <v>11.48</v>
      </c>
      <c r="E28" s="64">
        <v>1.7</v>
      </c>
      <c r="F28" s="64">
        <v>3.36</v>
      </c>
      <c r="G28" s="64">
        <v>19.97</v>
      </c>
      <c r="H28" s="64">
        <v>8.75</v>
      </c>
      <c r="I28" s="64">
        <v>0.52</v>
      </c>
      <c r="J28" s="64">
        <v>0.03</v>
      </c>
      <c r="K28" s="64">
        <v>349.43</v>
      </c>
      <c r="L28" s="64">
        <v>22.98</v>
      </c>
      <c r="M28" s="64">
        <v>77.92</v>
      </c>
      <c r="N28" s="64">
        <v>4.8</v>
      </c>
      <c r="O28" s="64">
        <v>0</v>
      </c>
      <c r="P28" s="64">
        <v>0.36</v>
      </c>
      <c r="Q28" s="64">
        <v>22.01</v>
      </c>
      <c r="R28" s="198"/>
      <c r="S28" s="198"/>
      <c r="T28" s="198"/>
      <c r="U28" s="198"/>
    </row>
    <row r="29" spans="1:21" s="12" customFormat="1" x14ac:dyDescent="0.25">
      <c r="A29" s="211" t="s">
        <v>746</v>
      </c>
      <c r="B29" s="64">
        <v>4.46</v>
      </c>
      <c r="C29" s="64">
        <v>13.14</v>
      </c>
      <c r="D29" s="64">
        <v>11.48</v>
      </c>
      <c r="E29" s="64">
        <v>1.53</v>
      </c>
      <c r="F29" s="64">
        <v>3.22</v>
      </c>
      <c r="G29" s="64">
        <v>19.97</v>
      </c>
      <c r="H29" s="64">
        <v>8.75</v>
      </c>
      <c r="I29" s="64">
        <v>0.53</v>
      </c>
      <c r="J29" s="64">
        <v>0.02</v>
      </c>
      <c r="K29" s="64">
        <v>351.67</v>
      </c>
      <c r="L29" s="64">
        <v>22.99</v>
      </c>
      <c r="M29" s="64">
        <v>77.88</v>
      </c>
      <c r="N29" s="64">
        <v>5</v>
      </c>
      <c r="O29" s="64">
        <v>0</v>
      </c>
      <c r="P29" s="64">
        <v>0.36</v>
      </c>
      <c r="Q29" s="64">
        <v>21.88</v>
      </c>
      <c r="R29" s="198"/>
      <c r="S29" s="198"/>
      <c r="T29" s="198"/>
      <c r="U29" s="198"/>
    </row>
    <row r="30" spans="1:21" s="12" customFormat="1" x14ac:dyDescent="0.25">
      <c r="A30" s="211" t="s">
        <v>747</v>
      </c>
      <c r="B30" s="64">
        <v>4.53</v>
      </c>
      <c r="C30" s="64">
        <v>13.41</v>
      </c>
      <c r="D30" s="64">
        <v>11.68</v>
      </c>
      <c r="E30" s="64">
        <v>1.67</v>
      </c>
      <c r="F30" s="64">
        <v>3.5</v>
      </c>
      <c r="G30" s="64">
        <v>19.97</v>
      </c>
      <c r="H30" s="64">
        <v>8.75</v>
      </c>
      <c r="I30" s="64">
        <v>0.52</v>
      </c>
      <c r="J30" s="64">
        <v>0.04</v>
      </c>
      <c r="K30" s="64">
        <v>9.44</v>
      </c>
      <c r="L30" s="64">
        <v>23.04</v>
      </c>
      <c r="M30" s="64">
        <v>77.16</v>
      </c>
      <c r="N30" s="64">
        <v>7.1</v>
      </c>
      <c r="O30" s="64">
        <v>0</v>
      </c>
      <c r="P30" s="64">
        <v>0.35</v>
      </c>
      <c r="Q30" s="64">
        <v>21.61</v>
      </c>
      <c r="R30" s="198"/>
      <c r="S30" s="198"/>
      <c r="T30" s="198"/>
      <c r="U30" s="198"/>
    </row>
    <row r="31" spans="1:21" s="12" customFormat="1" x14ac:dyDescent="0.25">
      <c r="A31" s="211" t="s">
        <v>748</v>
      </c>
      <c r="B31" s="64">
        <v>4.6100000000000003</v>
      </c>
      <c r="C31" s="64">
        <v>13.75</v>
      </c>
      <c r="D31" s="64">
        <v>11.93</v>
      </c>
      <c r="E31" s="64">
        <v>1.86</v>
      </c>
      <c r="F31" s="64">
        <v>3.98</v>
      </c>
      <c r="G31" s="64">
        <v>19.64</v>
      </c>
      <c r="H31" s="64">
        <v>9.17</v>
      </c>
      <c r="I31" s="64">
        <v>0.51</v>
      </c>
      <c r="J31" s="64">
        <v>0.06</v>
      </c>
      <c r="K31" s="64">
        <v>306.85000000000002</v>
      </c>
      <c r="L31" s="64">
        <v>23.07</v>
      </c>
      <c r="M31" s="64">
        <v>76.91</v>
      </c>
      <c r="N31" s="64">
        <v>15</v>
      </c>
      <c r="O31" s="64">
        <v>0</v>
      </c>
      <c r="P31" s="64">
        <v>0.36</v>
      </c>
      <c r="Q31" s="64">
        <v>21.39</v>
      </c>
      <c r="R31" s="198"/>
      <c r="S31" s="198"/>
      <c r="T31" s="198"/>
      <c r="U31" s="198"/>
    </row>
    <row r="32" spans="1:21" s="12" customFormat="1" x14ac:dyDescent="0.25">
      <c r="A32" s="211" t="s">
        <v>749</v>
      </c>
      <c r="B32" s="64">
        <v>4.8</v>
      </c>
      <c r="C32" s="64">
        <v>15.13</v>
      </c>
      <c r="D32" s="64">
        <v>12.85</v>
      </c>
      <c r="E32" s="64">
        <v>1.62</v>
      </c>
      <c r="F32" s="64">
        <v>6.16</v>
      </c>
      <c r="G32" s="64">
        <v>19.63</v>
      </c>
      <c r="H32" s="64">
        <v>9.17</v>
      </c>
      <c r="I32" s="64">
        <v>0.5</v>
      </c>
      <c r="J32" s="64">
        <v>0.04</v>
      </c>
      <c r="K32" s="64">
        <v>357.53</v>
      </c>
      <c r="L32" s="64">
        <v>23.16</v>
      </c>
      <c r="M32" s="64">
        <v>76.430000000000007</v>
      </c>
      <c r="N32" s="64">
        <v>28.9</v>
      </c>
      <c r="O32" s="64">
        <v>0</v>
      </c>
      <c r="P32" s="64">
        <v>0.34</v>
      </c>
      <c r="Q32" s="64">
        <v>20.82</v>
      </c>
      <c r="R32" s="198"/>
      <c r="S32" s="198"/>
      <c r="T32" s="198"/>
      <c r="U32" s="198"/>
    </row>
    <row r="33" spans="1:21" s="12" customFormat="1" x14ac:dyDescent="0.25">
      <c r="A33" s="211" t="s">
        <v>750</v>
      </c>
      <c r="B33" s="64">
        <v>5.1100000000000003</v>
      </c>
      <c r="C33" s="64">
        <v>14.78</v>
      </c>
      <c r="D33" s="64">
        <v>12.9</v>
      </c>
      <c r="E33" s="64">
        <v>1.62</v>
      </c>
      <c r="F33" s="64">
        <v>5.36</v>
      </c>
      <c r="G33" s="64">
        <v>19.63</v>
      </c>
      <c r="H33" s="64">
        <v>9.17</v>
      </c>
      <c r="I33" s="64">
        <v>0.5</v>
      </c>
      <c r="J33" s="64">
        <v>0.04</v>
      </c>
      <c r="K33" s="64">
        <v>343.47</v>
      </c>
      <c r="L33" s="64">
        <v>23.19</v>
      </c>
      <c r="M33" s="64">
        <v>77.16</v>
      </c>
      <c r="N33" s="64">
        <v>47.2</v>
      </c>
      <c r="O33" s="64">
        <v>0</v>
      </c>
      <c r="P33" s="64">
        <v>0.35</v>
      </c>
      <c r="Q33" s="64">
        <v>21.53</v>
      </c>
      <c r="R33" s="198"/>
      <c r="S33" s="198"/>
      <c r="T33" s="198"/>
      <c r="U33" s="198"/>
    </row>
    <row r="34" spans="1:21" s="12" customFormat="1" x14ac:dyDescent="0.25">
      <c r="A34" s="211" t="s">
        <v>751</v>
      </c>
      <c r="B34" s="64">
        <v>5.12</v>
      </c>
      <c r="C34" s="64">
        <v>14.36</v>
      </c>
      <c r="D34" s="64">
        <v>12.68</v>
      </c>
      <c r="E34" s="64">
        <v>1.81</v>
      </c>
      <c r="F34" s="64">
        <v>5.07</v>
      </c>
      <c r="G34" s="64">
        <v>19.63</v>
      </c>
      <c r="H34" s="64">
        <v>9.17</v>
      </c>
      <c r="I34" s="64">
        <v>0.5</v>
      </c>
      <c r="J34" s="64">
        <v>0.05</v>
      </c>
      <c r="K34" s="64">
        <v>323.2</v>
      </c>
      <c r="L34" s="64">
        <v>23.4</v>
      </c>
      <c r="M34" s="64">
        <v>77.16</v>
      </c>
      <c r="N34" s="64">
        <v>64.5</v>
      </c>
      <c r="O34" s="64">
        <v>0</v>
      </c>
      <c r="P34" s="64">
        <v>0.35</v>
      </c>
      <c r="Q34" s="64">
        <v>20.58</v>
      </c>
      <c r="R34" s="198"/>
      <c r="S34" s="198"/>
      <c r="T34" s="198"/>
      <c r="U34" s="198"/>
    </row>
    <row r="35" spans="1:21" s="12" customFormat="1" x14ac:dyDescent="0.25">
      <c r="A35" s="211" t="s">
        <v>752</v>
      </c>
      <c r="B35" s="64">
        <v>7.55</v>
      </c>
      <c r="C35" s="64">
        <v>15.63</v>
      </c>
      <c r="D35" s="64">
        <v>15.33</v>
      </c>
      <c r="E35" s="64">
        <v>1.8</v>
      </c>
      <c r="F35" s="64">
        <v>3.28</v>
      </c>
      <c r="G35" s="64">
        <v>21.81</v>
      </c>
      <c r="H35" s="64">
        <v>10.3</v>
      </c>
      <c r="I35" s="64">
        <v>0.52</v>
      </c>
      <c r="J35" s="64">
        <v>0.09</v>
      </c>
      <c r="K35" s="64">
        <v>287.19</v>
      </c>
      <c r="L35" s="64">
        <v>23.63</v>
      </c>
      <c r="M35" s="64">
        <v>77.069999999999993</v>
      </c>
      <c r="N35" s="64">
        <v>89</v>
      </c>
      <c r="O35" s="64">
        <v>0</v>
      </c>
      <c r="P35" s="64">
        <v>0.38</v>
      </c>
      <c r="Q35" s="64">
        <v>22.83</v>
      </c>
      <c r="R35" s="198"/>
      <c r="S35" s="198"/>
      <c r="T35" s="198"/>
      <c r="U35" s="198"/>
    </row>
    <row r="36" spans="1:21" s="12" customFormat="1" x14ac:dyDescent="0.25">
      <c r="A36" s="211" t="s">
        <v>753</v>
      </c>
      <c r="B36" s="64">
        <v>7.89</v>
      </c>
      <c r="C36" s="64">
        <v>18.14</v>
      </c>
      <c r="D36" s="64">
        <v>16.98</v>
      </c>
      <c r="E36" s="64">
        <v>1.78</v>
      </c>
      <c r="F36" s="64">
        <v>3.39</v>
      </c>
      <c r="G36" s="64">
        <v>21.89</v>
      </c>
      <c r="H36" s="64">
        <v>10.3</v>
      </c>
      <c r="I36" s="64">
        <v>0.51</v>
      </c>
      <c r="J36" s="64">
        <v>0.08</v>
      </c>
      <c r="K36" s="64">
        <v>290.43</v>
      </c>
      <c r="L36" s="64">
        <v>23.96</v>
      </c>
      <c r="M36" s="64">
        <v>76.56</v>
      </c>
      <c r="N36" s="64">
        <v>97.4</v>
      </c>
      <c r="O36" s="64">
        <v>0</v>
      </c>
      <c r="P36" s="64">
        <v>0.37</v>
      </c>
      <c r="Q36" s="64">
        <v>23.93</v>
      </c>
      <c r="R36" s="198"/>
      <c r="S36" s="198"/>
      <c r="T36" s="198"/>
      <c r="U36" s="198"/>
    </row>
    <row r="37" spans="1:21" s="12" customFormat="1" x14ac:dyDescent="0.25">
      <c r="A37" s="211" t="s">
        <v>754</v>
      </c>
      <c r="B37" s="64">
        <v>6.37</v>
      </c>
      <c r="C37" s="64">
        <v>18</v>
      </c>
      <c r="D37" s="64">
        <v>15.68</v>
      </c>
      <c r="E37" s="64">
        <v>1.55</v>
      </c>
      <c r="F37" s="64">
        <v>3.46</v>
      </c>
      <c r="G37" s="64">
        <v>21.89</v>
      </c>
      <c r="H37" s="64">
        <v>10.3</v>
      </c>
      <c r="I37" s="64">
        <v>0.51</v>
      </c>
      <c r="J37" s="64">
        <v>0.06</v>
      </c>
      <c r="K37" s="64">
        <v>24.77</v>
      </c>
      <c r="L37" s="64">
        <v>24.08</v>
      </c>
      <c r="M37" s="64">
        <v>76.400000000000006</v>
      </c>
      <c r="N37" s="64">
        <v>109.9</v>
      </c>
      <c r="O37" s="64">
        <v>0</v>
      </c>
      <c r="P37" s="64">
        <v>0.39</v>
      </c>
      <c r="Q37" s="64">
        <v>23.98</v>
      </c>
      <c r="R37" s="198"/>
      <c r="S37" s="198"/>
      <c r="T37" s="198"/>
      <c r="U37" s="198"/>
    </row>
    <row r="38" spans="1:21" s="12" customFormat="1" x14ac:dyDescent="0.25">
      <c r="A38" s="211" t="s">
        <v>755</v>
      </c>
      <c r="B38" s="64">
        <v>6.62</v>
      </c>
      <c r="C38" s="64">
        <v>18.03</v>
      </c>
      <c r="D38" s="64">
        <v>15.9</v>
      </c>
      <c r="E38" s="64">
        <v>1.89</v>
      </c>
      <c r="F38" s="64">
        <v>3.5</v>
      </c>
      <c r="G38" s="64">
        <v>21.89</v>
      </c>
      <c r="H38" s="64">
        <v>10.3</v>
      </c>
      <c r="I38" s="64">
        <v>0.53</v>
      </c>
      <c r="J38" s="64">
        <v>0.04</v>
      </c>
      <c r="K38" s="64">
        <v>13.61</v>
      </c>
      <c r="L38" s="64">
        <v>24.57</v>
      </c>
      <c r="M38" s="64">
        <v>74.53</v>
      </c>
      <c r="N38" s="64">
        <v>141.6</v>
      </c>
      <c r="O38" s="64">
        <v>0</v>
      </c>
      <c r="P38" s="64">
        <v>0.44</v>
      </c>
      <c r="Q38" s="64">
        <v>23.09</v>
      </c>
      <c r="R38" s="198"/>
      <c r="S38" s="198"/>
      <c r="T38" s="198"/>
      <c r="U38" s="198"/>
    </row>
    <row r="39" spans="1:21" s="12" customFormat="1" x14ac:dyDescent="0.25">
      <c r="A39" s="211" t="s">
        <v>756</v>
      </c>
      <c r="B39" s="64">
        <v>6.83</v>
      </c>
      <c r="C39" s="64">
        <v>19.329999999999998</v>
      </c>
      <c r="D39" s="64">
        <v>16.79</v>
      </c>
      <c r="E39" s="64">
        <v>1.34</v>
      </c>
      <c r="F39" s="64">
        <v>3.43</v>
      </c>
      <c r="G39" s="64">
        <v>31.72</v>
      </c>
      <c r="H39" s="64">
        <v>14.5</v>
      </c>
      <c r="I39" s="64">
        <v>0.52</v>
      </c>
      <c r="J39" s="64">
        <v>0.15</v>
      </c>
      <c r="K39" s="64">
        <v>274.02999999999997</v>
      </c>
      <c r="L39" s="64">
        <v>24.58</v>
      </c>
      <c r="M39" s="64">
        <v>73.95</v>
      </c>
      <c r="N39" s="64">
        <v>182.5</v>
      </c>
      <c r="O39" s="64">
        <v>0</v>
      </c>
      <c r="P39" s="64">
        <v>0.45</v>
      </c>
      <c r="Q39" s="64">
        <v>23.66</v>
      </c>
      <c r="R39" s="198"/>
      <c r="S39" s="198"/>
      <c r="T39" s="198"/>
      <c r="U39" s="198"/>
    </row>
    <row r="40" spans="1:21" s="12" customFormat="1" x14ac:dyDescent="0.25">
      <c r="A40" s="211" t="s">
        <v>757</v>
      </c>
      <c r="B40" s="64">
        <v>6.21</v>
      </c>
      <c r="C40" s="64">
        <v>18.11</v>
      </c>
      <c r="D40" s="64">
        <v>15.62</v>
      </c>
      <c r="E40" s="64">
        <v>2.1</v>
      </c>
      <c r="F40" s="64">
        <v>3.17</v>
      </c>
      <c r="G40" s="64">
        <v>32.06</v>
      </c>
      <c r="H40" s="64">
        <v>14.5</v>
      </c>
      <c r="I40" s="64">
        <v>0.53</v>
      </c>
      <c r="J40" s="64">
        <v>7.0000000000000007E-2</v>
      </c>
      <c r="K40" s="64">
        <v>294.88</v>
      </c>
      <c r="L40" s="64">
        <v>25.88</v>
      </c>
      <c r="M40" s="64">
        <v>70.02</v>
      </c>
      <c r="N40" s="64">
        <v>324.5</v>
      </c>
      <c r="O40" s="64">
        <v>0</v>
      </c>
      <c r="P40" s="64">
        <v>0.47</v>
      </c>
      <c r="Q40" s="64">
        <v>23.47</v>
      </c>
      <c r="R40" s="198"/>
      <c r="S40" s="198"/>
      <c r="T40" s="198"/>
      <c r="U40" s="198"/>
    </row>
    <row r="41" spans="1:21" s="12" customFormat="1" x14ac:dyDescent="0.25">
      <c r="A41" s="211" t="s">
        <v>758</v>
      </c>
      <c r="B41" s="64">
        <v>6.14</v>
      </c>
      <c r="C41" s="64">
        <v>17.91</v>
      </c>
      <c r="D41" s="64">
        <v>15.45</v>
      </c>
      <c r="E41" s="64">
        <v>2.02</v>
      </c>
      <c r="F41" s="64">
        <v>3.41</v>
      </c>
      <c r="G41" s="64">
        <v>32.06</v>
      </c>
      <c r="H41" s="64">
        <v>14.5</v>
      </c>
      <c r="I41" s="64">
        <v>0.53</v>
      </c>
      <c r="J41" s="64">
        <v>0.1</v>
      </c>
      <c r="K41" s="64">
        <v>293.06</v>
      </c>
      <c r="L41" s="64">
        <v>27.26</v>
      </c>
      <c r="M41" s="64">
        <v>64.739999999999995</v>
      </c>
      <c r="N41" s="64">
        <v>400.4</v>
      </c>
      <c r="O41" s="64">
        <v>0</v>
      </c>
      <c r="P41" s="64">
        <v>0.5</v>
      </c>
      <c r="Q41" s="64">
        <v>23.2</v>
      </c>
      <c r="R41" s="198"/>
      <c r="S41" s="198"/>
      <c r="T41" s="198"/>
      <c r="U41" s="198"/>
    </row>
    <row r="42" spans="1:21" s="12" customFormat="1" x14ac:dyDescent="0.25">
      <c r="A42" s="211" t="s">
        <v>759</v>
      </c>
      <c r="B42" s="64">
        <v>6</v>
      </c>
      <c r="C42" s="64">
        <v>18.149999999999999</v>
      </c>
      <c r="D42" s="64">
        <v>15.47</v>
      </c>
      <c r="E42" s="64">
        <v>1.97</v>
      </c>
      <c r="F42" s="64">
        <v>3.62</v>
      </c>
      <c r="G42" s="64">
        <v>32.06</v>
      </c>
      <c r="H42" s="64">
        <v>14.5</v>
      </c>
      <c r="I42" s="64">
        <v>0.49</v>
      </c>
      <c r="J42" s="64">
        <v>0.31</v>
      </c>
      <c r="K42" s="64">
        <v>280.04000000000002</v>
      </c>
      <c r="L42" s="64">
        <v>29.82</v>
      </c>
      <c r="M42" s="64">
        <v>56.59</v>
      </c>
      <c r="N42" s="64">
        <v>539.1</v>
      </c>
      <c r="O42" s="64">
        <v>0</v>
      </c>
      <c r="P42" s="64">
        <v>0.53</v>
      </c>
      <c r="Q42" s="64">
        <v>22.17</v>
      </c>
      <c r="R42" s="198"/>
      <c r="S42" s="198"/>
      <c r="T42" s="198"/>
      <c r="U42" s="198"/>
    </row>
    <row r="43" spans="1:21" s="12" customFormat="1" x14ac:dyDescent="0.25">
      <c r="A43" s="211" t="s">
        <v>760</v>
      </c>
      <c r="B43" s="64">
        <v>5.54</v>
      </c>
      <c r="C43" s="64">
        <v>19.79</v>
      </c>
      <c r="D43" s="64">
        <v>16.010000000000002</v>
      </c>
      <c r="E43" s="64">
        <v>2.0099999999999998</v>
      </c>
      <c r="F43" s="64">
        <v>4.33</v>
      </c>
      <c r="G43" s="64">
        <v>35.6</v>
      </c>
      <c r="H43" s="64">
        <v>17.63</v>
      </c>
      <c r="I43" s="64">
        <v>0.52</v>
      </c>
      <c r="J43" s="64">
        <v>0.3</v>
      </c>
      <c r="K43" s="64">
        <v>280.20999999999998</v>
      </c>
      <c r="L43" s="64">
        <v>31.21</v>
      </c>
      <c r="M43" s="64">
        <v>52.58</v>
      </c>
      <c r="N43" s="64">
        <v>588.5</v>
      </c>
      <c r="O43" s="64">
        <v>0</v>
      </c>
      <c r="P43" s="64">
        <v>0.56000000000000005</v>
      </c>
      <c r="Q43" s="64">
        <v>24.04</v>
      </c>
      <c r="R43" s="198"/>
      <c r="S43" s="198"/>
      <c r="T43" s="198"/>
      <c r="U43" s="198"/>
    </row>
    <row r="44" spans="1:21" s="12" customFormat="1" x14ac:dyDescent="0.25">
      <c r="A44" s="211" t="s">
        <v>761</v>
      </c>
      <c r="B44" s="64">
        <v>5.03</v>
      </c>
      <c r="C44" s="64">
        <v>18.739999999999998</v>
      </c>
      <c r="D44" s="64">
        <v>15.02</v>
      </c>
      <c r="E44" s="64">
        <v>2.46</v>
      </c>
      <c r="F44" s="64">
        <v>7.8</v>
      </c>
      <c r="G44" s="64">
        <v>35.72</v>
      </c>
      <c r="H44" s="64">
        <v>17.63</v>
      </c>
      <c r="I44" s="64">
        <v>0.52</v>
      </c>
      <c r="J44" s="64">
        <v>0.31</v>
      </c>
      <c r="K44" s="64">
        <v>265.70999999999998</v>
      </c>
      <c r="L44" s="64">
        <v>30.07</v>
      </c>
      <c r="M44" s="64">
        <v>54.99</v>
      </c>
      <c r="N44" s="64">
        <v>631.4</v>
      </c>
      <c r="O44" s="64">
        <v>0</v>
      </c>
      <c r="P44" s="64">
        <v>0.56999999999999995</v>
      </c>
      <c r="Q44" s="64">
        <v>22.04</v>
      </c>
      <c r="R44" s="198"/>
      <c r="S44" s="198"/>
      <c r="T44" s="198"/>
      <c r="U44" s="198"/>
    </row>
    <row r="45" spans="1:21" s="12" customFormat="1" x14ac:dyDescent="0.25">
      <c r="A45" s="211" t="s">
        <v>762</v>
      </c>
      <c r="B45" s="64">
        <v>5.9</v>
      </c>
      <c r="C45" s="64">
        <v>24.03</v>
      </c>
      <c r="D45" s="64">
        <v>18.64</v>
      </c>
      <c r="E45" s="64">
        <v>3.19</v>
      </c>
      <c r="F45" s="64">
        <v>10.64</v>
      </c>
      <c r="G45" s="64">
        <v>35.72</v>
      </c>
      <c r="H45" s="64">
        <v>17.63</v>
      </c>
      <c r="I45" s="64">
        <v>0.51</v>
      </c>
      <c r="J45" s="64">
        <v>0.28000000000000003</v>
      </c>
      <c r="K45" s="64">
        <v>263.95</v>
      </c>
      <c r="L45" s="64">
        <v>31.24</v>
      </c>
      <c r="M45" s="64">
        <v>51.19</v>
      </c>
      <c r="N45" s="64">
        <v>669.5</v>
      </c>
      <c r="O45" s="64">
        <v>0</v>
      </c>
      <c r="P45" s="64">
        <v>0.57999999999999996</v>
      </c>
      <c r="Q45" s="64">
        <v>18.37</v>
      </c>
      <c r="R45" s="198"/>
      <c r="S45" s="198"/>
      <c r="T45" s="198"/>
      <c r="U45" s="198"/>
    </row>
    <row r="46" spans="1:21" s="12" customFormat="1" x14ac:dyDescent="0.25">
      <c r="A46" s="211" t="s">
        <v>763</v>
      </c>
      <c r="B46" s="64">
        <v>4.37</v>
      </c>
      <c r="C46" s="64">
        <v>20.38</v>
      </c>
      <c r="D46" s="64">
        <v>15.4</v>
      </c>
      <c r="E46" s="64">
        <v>2.69</v>
      </c>
      <c r="F46" s="64">
        <v>6.19</v>
      </c>
      <c r="G46" s="64">
        <v>35.72</v>
      </c>
      <c r="H46" s="64">
        <v>17.63</v>
      </c>
      <c r="I46" s="64">
        <v>0.49</v>
      </c>
      <c r="J46" s="64">
        <v>0.24</v>
      </c>
      <c r="K46" s="64">
        <v>287.11</v>
      </c>
      <c r="L46" s="64">
        <v>33.07</v>
      </c>
      <c r="M46" s="64">
        <v>44.65</v>
      </c>
      <c r="N46" s="64">
        <v>714.4</v>
      </c>
      <c r="O46" s="64">
        <v>0</v>
      </c>
      <c r="P46" s="64">
        <v>0.59</v>
      </c>
      <c r="Q46" s="64">
        <v>21.81</v>
      </c>
      <c r="R46" s="198"/>
      <c r="S46" s="198"/>
      <c r="T46" s="198"/>
      <c r="U46" s="198"/>
    </row>
    <row r="47" spans="1:21" s="12" customFormat="1" x14ac:dyDescent="0.25">
      <c r="A47" s="211" t="s">
        <v>764</v>
      </c>
      <c r="B47" s="64">
        <v>3.54</v>
      </c>
      <c r="C47" s="64">
        <v>18.68</v>
      </c>
      <c r="D47" s="64">
        <v>13.79</v>
      </c>
      <c r="E47" s="64">
        <v>3.18</v>
      </c>
      <c r="F47" s="64">
        <v>6.5</v>
      </c>
      <c r="G47" s="64">
        <v>43.68</v>
      </c>
      <c r="H47" s="64">
        <v>19.940000000000001</v>
      </c>
      <c r="I47" s="64">
        <v>0.5</v>
      </c>
      <c r="J47" s="64">
        <v>0.53</v>
      </c>
      <c r="K47" s="64">
        <v>269.07</v>
      </c>
      <c r="L47" s="64">
        <v>34.200000000000003</v>
      </c>
      <c r="M47" s="64">
        <v>40.86</v>
      </c>
      <c r="N47" s="64">
        <v>763.9</v>
      </c>
      <c r="O47" s="64">
        <v>0</v>
      </c>
      <c r="P47" s="64">
        <v>0.57999999999999996</v>
      </c>
      <c r="Q47" s="64">
        <v>20.87</v>
      </c>
      <c r="R47" s="198"/>
      <c r="S47" s="198"/>
      <c r="T47" s="198"/>
      <c r="U47" s="198"/>
    </row>
    <row r="48" spans="1:21" s="12" customFormat="1" x14ac:dyDescent="0.25">
      <c r="A48" s="211" t="s">
        <v>765</v>
      </c>
      <c r="B48" s="64">
        <v>3</v>
      </c>
      <c r="C48" s="64">
        <v>20.51</v>
      </c>
      <c r="D48" s="64">
        <v>14.37</v>
      </c>
      <c r="E48" s="64">
        <v>3.18</v>
      </c>
      <c r="F48" s="64">
        <v>5.37</v>
      </c>
      <c r="G48" s="64">
        <v>43.95</v>
      </c>
      <c r="H48" s="64">
        <v>19.940000000000001</v>
      </c>
      <c r="I48" s="64">
        <v>0.5</v>
      </c>
      <c r="J48" s="64">
        <v>0.59</v>
      </c>
      <c r="K48" s="64">
        <v>274.62</v>
      </c>
      <c r="L48" s="64">
        <v>34.909999999999997</v>
      </c>
      <c r="M48" s="64">
        <v>38.869999999999997</v>
      </c>
      <c r="N48" s="64">
        <v>800.1</v>
      </c>
      <c r="O48" s="64">
        <v>0</v>
      </c>
      <c r="P48" s="64">
        <v>0.59</v>
      </c>
      <c r="Q48" s="64">
        <v>20.88</v>
      </c>
      <c r="R48" s="198"/>
      <c r="S48" s="198"/>
      <c r="T48" s="198"/>
      <c r="U48" s="198"/>
    </row>
    <row r="49" spans="1:21" s="12" customFormat="1" x14ac:dyDescent="0.25">
      <c r="A49" s="211" t="s">
        <v>766</v>
      </c>
      <c r="B49" s="64">
        <v>2.92</v>
      </c>
      <c r="C49" s="64">
        <v>20.96</v>
      </c>
      <c r="D49" s="64">
        <v>14.56</v>
      </c>
      <c r="E49" s="64">
        <v>2.77</v>
      </c>
      <c r="F49" s="64">
        <v>5.43</v>
      </c>
      <c r="G49" s="64">
        <v>43.95</v>
      </c>
      <c r="H49" s="64">
        <v>19.940000000000001</v>
      </c>
      <c r="I49" s="64">
        <v>0.52</v>
      </c>
      <c r="J49" s="64">
        <v>0.47</v>
      </c>
      <c r="K49" s="64">
        <v>279.94</v>
      </c>
      <c r="L49" s="64">
        <v>34.619999999999997</v>
      </c>
      <c r="M49" s="64">
        <v>38.08</v>
      </c>
      <c r="N49" s="64">
        <v>823.9</v>
      </c>
      <c r="O49" s="64">
        <v>0</v>
      </c>
      <c r="P49" s="64">
        <v>0.61</v>
      </c>
      <c r="Q49" s="64">
        <v>19.489999999999998</v>
      </c>
      <c r="R49" s="198"/>
      <c r="S49" s="198"/>
      <c r="T49" s="198"/>
      <c r="U49" s="198"/>
    </row>
    <row r="50" spans="1:21" s="12" customFormat="1" x14ac:dyDescent="0.25">
      <c r="A50" s="211" t="s">
        <v>767</v>
      </c>
      <c r="B50" s="64">
        <v>2.95</v>
      </c>
      <c r="C50" s="64">
        <v>23.47</v>
      </c>
      <c r="D50" s="64">
        <v>15.96</v>
      </c>
      <c r="E50" s="64">
        <v>2.6</v>
      </c>
      <c r="F50" s="64">
        <v>7.1</v>
      </c>
      <c r="G50" s="64">
        <v>43.95</v>
      </c>
      <c r="H50" s="64">
        <v>19.940000000000001</v>
      </c>
      <c r="I50" s="64">
        <v>0.52</v>
      </c>
      <c r="J50" s="64">
        <v>0.17</v>
      </c>
      <c r="K50" s="64">
        <v>253.51</v>
      </c>
      <c r="L50" s="64">
        <v>32.869999999999997</v>
      </c>
      <c r="M50" s="64">
        <v>38.85</v>
      </c>
      <c r="N50" s="64">
        <v>861.6</v>
      </c>
      <c r="O50" s="64">
        <v>0</v>
      </c>
      <c r="P50" s="64">
        <v>0.59</v>
      </c>
      <c r="Q50" s="64">
        <v>20.64</v>
      </c>
      <c r="R50" s="198"/>
      <c r="S50" s="198"/>
      <c r="T50" s="198"/>
      <c r="U50" s="198"/>
    </row>
    <row r="51" spans="1:21" s="12" customFormat="1" x14ac:dyDescent="0.25">
      <c r="A51" s="211" t="s">
        <v>768</v>
      </c>
      <c r="B51" s="64">
        <v>2.98</v>
      </c>
      <c r="C51" s="64">
        <v>39.130000000000003</v>
      </c>
      <c r="D51" s="64">
        <v>24.63</v>
      </c>
      <c r="E51" s="64">
        <v>4.8600000000000003</v>
      </c>
      <c r="F51" s="64">
        <v>39.799999999999997</v>
      </c>
      <c r="G51" s="64">
        <v>42.27</v>
      </c>
      <c r="H51" s="64">
        <v>19.329999999999998</v>
      </c>
      <c r="I51" s="64">
        <v>0.52</v>
      </c>
      <c r="J51" s="64">
        <v>0.18</v>
      </c>
      <c r="K51" s="64">
        <v>259.58</v>
      </c>
      <c r="L51" s="64">
        <v>33.270000000000003</v>
      </c>
      <c r="M51" s="64">
        <v>39.4</v>
      </c>
      <c r="N51" s="64">
        <v>891.3</v>
      </c>
      <c r="O51" s="64">
        <v>0</v>
      </c>
      <c r="P51" s="64">
        <v>0.54</v>
      </c>
      <c r="Q51" s="64">
        <v>20.66</v>
      </c>
      <c r="R51" s="198"/>
      <c r="S51" s="198"/>
      <c r="T51" s="198"/>
      <c r="U51" s="198"/>
    </row>
    <row r="52" spans="1:21" s="12" customFormat="1" x14ac:dyDescent="0.25">
      <c r="A52" s="211" t="s">
        <v>769</v>
      </c>
      <c r="B52" s="64">
        <v>1.49</v>
      </c>
      <c r="C52" s="64">
        <v>44.73</v>
      </c>
      <c r="D52" s="64">
        <v>26.53</v>
      </c>
      <c r="E52" s="64">
        <v>3.94</v>
      </c>
      <c r="F52" s="64">
        <v>20.010000000000002</v>
      </c>
      <c r="G52" s="64">
        <v>42.21</v>
      </c>
      <c r="H52" s="64">
        <v>19.329999999999998</v>
      </c>
      <c r="I52" s="64">
        <v>0.51</v>
      </c>
      <c r="J52" s="64">
        <v>0.19</v>
      </c>
      <c r="K52" s="64">
        <v>265.48</v>
      </c>
      <c r="L52" s="64">
        <v>33.39</v>
      </c>
      <c r="M52" s="64">
        <v>39.229999999999997</v>
      </c>
      <c r="N52" s="64">
        <v>897.8</v>
      </c>
      <c r="O52" s="64">
        <v>0</v>
      </c>
      <c r="P52" s="64">
        <v>0.57999999999999996</v>
      </c>
      <c r="Q52" s="64">
        <v>22.16</v>
      </c>
      <c r="R52" s="198"/>
      <c r="S52" s="198"/>
      <c r="T52" s="198"/>
      <c r="U52" s="198"/>
    </row>
    <row r="53" spans="1:21" s="12" customFormat="1" x14ac:dyDescent="0.25">
      <c r="A53" s="211" t="s">
        <v>770</v>
      </c>
      <c r="B53" s="64">
        <v>1.26</v>
      </c>
      <c r="C53" s="64">
        <v>39.46</v>
      </c>
      <c r="D53" s="64">
        <v>23.43</v>
      </c>
      <c r="E53" s="64">
        <v>2.68</v>
      </c>
      <c r="F53" s="64">
        <v>15.12</v>
      </c>
      <c r="G53" s="64">
        <v>42.21</v>
      </c>
      <c r="H53" s="64">
        <v>19.329999999999998</v>
      </c>
      <c r="I53" s="64">
        <v>0.48</v>
      </c>
      <c r="J53" s="64">
        <v>0.28999999999999998</v>
      </c>
      <c r="K53" s="64">
        <v>278.07</v>
      </c>
      <c r="L53" s="64">
        <v>34.49</v>
      </c>
      <c r="M53" s="64">
        <v>37.18</v>
      </c>
      <c r="N53" s="64">
        <v>914</v>
      </c>
      <c r="O53" s="64">
        <v>0</v>
      </c>
      <c r="P53" s="64">
        <v>0.57999999999999996</v>
      </c>
      <c r="Q53" s="64">
        <v>18.62</v>
      </c>
      <c r="R53" s="198"/>
      <c r="S53" s="198"/>
      <c r="T53" s="198"/>
      <c r="U53" s="198"/>
    </row>
    <row r="54" spans="1:21" s="12" customFormat="1" x14ac:dyDescent="0.25">
      <c r="A54" s="211" t="s">
        <v>771</v>
      </c>
      <c r="B54" s="64">
        <v>1.87</v>
      </c>
      <c r="C54" s="64">
        <v>32.56</v>
      </c>
      <c r="D54" s="64">
        <v>20.11</v>
      </c>
      <c r="E54" s="64">
        <v>3.29</v>
      </c>
      <c r="F54" s="64">
        <v>22.3</v>
      </c>
      <c r="G54" s="64">
        <v>42.21</v>
      </c>
      <c r="H54" s="64">
        <v>19.329999999999998</v>
      </c>
      <c r="I54" s="64">
        <v>0.53</v>
      </c>
      <c r="J54" s="64">
        <v>0.33</v>
      </c>
      <c r="K54" s="64">
        <v>256.42</v>
      </c>
      <c r="L54" s="64">
        <v>34.54</v>
      </c>
      <c r="M54" s="64">
        <v>35.94</v>
      </c>
      <c r="N54" s="64">
        <v>902.7</v>
      </c>
      <c r="O54" s="64">
        <v>0</v>
      </c>
      <c r="P54" s="64">
        <v>0.54</v>
      </c>
      <c r="Q54" s="64">
        <v>16.690000000000001</v>
      </c>
      <c r="R54" s="198"/>
      <c r="S54" s="198"/>
      <c r="T54" s="198"/>
      <c r="U54" s="198"/>
    </row>
    <row r="55" spans="1:21" s="12" customFormat="1" x14ac:dyDescent="0.25">
      <c r="A55" s="211" t="s">
        <v>772</v>
      </c>
      <c r="B55" s="64">
        <v>6.77</v>
      </c>
      <c r="C55" s="64">
        <v>35.270000000000003</v>
      </c>
      <c r="D55" s="64">
        <v>25.54</v>
      </c>
      <c r="E55" s="64">
        <v>3.65</v>
      </c>
      <c r="F55" s="64">
        <v>26.12</v>
      </c>
      <c r="G55" s="64">
        <v>40.14</v>
      </c>
      <c r="H55" s="64">
        <v>18.77</v>
      </c>
      <c r="I55" s="64">
        <v>0.52</v>
      </c>
      <c r="J55" s="64">
        <v>0.53</v>
      </c>
      <c r="K55" s="64">
        <v>295.62</v>
      </c>
      <c r="L55" s="64">
        <v>36.049999999999997</v>
      </c>
      <c r="M55" s="64">
        <v>32.590000000000003</v>
      </c>
      <c r="N55" s="64">
        <v>924.2</v>
      </c>
      <c r="O55" s="64">
        <v>0</v>
      </c>
      <c r="P55" s="64">
        <v>0.54</v>
      </c>
      <c r="Q55" s="64">
        <v>19.3</v>
      </c>
      <c r="R55" s="198"/>
      <c r="S55" s="198"/>
      <c r="T55" s="198"/>
      <c r="U55" s="198"/>
    </row>
    <row r="56" spans="1:21" s="12" customFormat="1" x14ac:dyDescent="0.25">
      <c r="A56" s="211" t="s">
        <v>773</v>
      </c>
      <c r="B56" s="64">
        <v>4.32</v>
      </c>
      <c r="C56" s="64">
        <v>36.61</v>
      </c>
      <c r="D56" s="64">
        <v>24.31</v>
      </c>
      <c r="E56" s="64">
        <v>1.68</v>
      </c>
      <c r="F56" s="64">
        <v>22.4</v>
      </c>
      <c r="G56" s="64">
        <v>40.06</v>
      </c>
      <c r="H56" s="64">
        <v>18.77</v>
      </c>
      <c r="I56" s="64">
        <v>0.5</v>
      </c>
      <c r="J56" s="64">
        <v>0.49</v>
      </c>
      <c r="K56" s="64">
        <v>294.8</v>
      </c>
      <c r="L56" s="64">
        <v>36.28</v>
      </c>
      <c r="M56" s="64">
        <v>31.47</v>
      </c>
      <c r="N56" s="64">
        <v>918.6</v>
      </c>
      <c r="O56" s="64">
        <v>0</v>
      </c>
      <c r="P56" s="64">
        <v>0.56000000000000005</v>
      </c>
      <c r="Q56" s="64">
        <v>20.48</v>
      </c>
      <c r="R56" s="198"/>
      <c r="S56" s="198"/>
      <c r="T56" s="198"/>
      <c r="U56" s="198"/>
    </row>
    <row r="57" spans="1:21" s="12" customFormat="1" x14ac:dyDescent="0.25">
      <c r="A57" s="211" t="s">
        <v>774</v>
      </c>
      <c r="B57" s="64">
        <v>4.18</v>
      </c>
      <c r="C57" s="64">
        <v>34.86</v>
      </c>
      <c r="D57" s="64">
        <v>23.24</v>
      </c>
      <c r="E57" s="64">
        <v>4.29</v>
      </c>
      <c r="F57" s="64">
        <v>20.53</v>
      </c>
      <c r="G57" s="64">
        <v>40.06</v>
      </c>
      <c r="H57" s="64">
        <v>18.77</v>
      </c>
      <c r="I57" s="64">
        <v>0.51</v>
      </c>
      <c r="J57" s="64">
        <v>0.77</v>
      </c>
      <c r="K57" s="64">
        <v>286.27</v>
      </c>
      <c r="L57" s="64">
        <v>37</v>
      </c>
      <c r="M57" s="64">
        <v>30.85</v>
      </c>
      <c r="N57" s="64">
        <v>881.6</v>
      </c>
      <c r="O57" s="64">
        <v>0</v>
      </c>
      <c r="P57" s="64">
        <v>0.56999999999999995</v>
      </c>
      <c r="Q57" s="64">
        <v>20.23</v>
      </c>
      <c r="R57" s="198"/>
      <c r="S57" s="198"/>
      <c r="T57" s="198"/>
      <c r="U57" s="198"/>
    </row>
    <row r="58" spans="1:21" s="12" customFormat="1" x14ac:dyDescent="0.25">
      <c r="A58" s="211" t="s">
        <v>775</v>
      </c>
      <c r="B58" s="64">
        <v>3.63</v>
      </c>
      <c r="C58" s="64">
        <v>28.17</v>
      </c>
      <c r="D58" s="64">
        <v>19.100000000000001</v>
      </c>
      <c r="E58" s="64">
        <v>4.57</v>
      </c>
      <c r="F58" s="64">
        <v>29.81</v>
      </c>
      <c r="G58" s="64">
        <v>40.06</v>
      </c>
      <c r="H58" s="64">
        <v>18.77</v>
      </c>
      <c r="I58" s="64">
        <v>0.53</v>
      </c>
      <c r="J58" s="64">
        <v>0.54</v>
      </c>
      <c r="K58" s="64">
        <v>284.22000000000003</v>
      </c>
      <c r="L58" s="64">
        <v>36.119999999999997</v>
      </c>
      <c r="M58" s="64">
        <v>31.34</v>
      </c>
      <c r="N58" s="64">
        <v>620.79999999999995</v>
      </c>
      <c r="O58" s="64">
        <v>0</v>
      </c>
      <c r="P58" s="64">
        <v>0.53</v>
      </c>
      <c r="Q58" s="64">
        <v>20.190000000000001</v>
      </c>
      <c r="R58" s="198"/>
      <c r="S58" s="198"/>
      <c r="T58" s="198"/>
      <c r="U58" s="198"/>
    </row>
    <row r="59" spans="1:21" s="12" customFormat="1" x14ac:dyDescent="0.25">
      <c r="A59" s="211" t="s">
        <v>776</v>
      </c>
      <c r="B59" s="64">
        <v>2.5</v>
      </c>
      <c r="C59" s="64">
        <v>27.7</v>
      </c>
      <c r="D59" s="64">
        <v>17.940000000000001</v>
      </c>
      <c r="E59" s="64">
        <v>3.13</v>
      </c>
      <c r="F59" s="64">
        <v>14.5</v>
      </c>
      <c r="G59" s="64">
        <v>34.53</v>
      </c>
      <c r="H59" s="64">
        <v>18.73</v>
      </c>
      <c r="I59" s="64">
        <v>0.53</v>
      </c>
      <c r="J59" s="64">
        <v>0.43</v>
      </c>
      <c r="K59" s="64">
        <v>254.75</v>
      </c>
      <c r="L59" s="64">
        <v>34.4</v>
      </c>
      <c r="M59" s="64">
        <v>32.93</v>
      </c>
      <c r="N59" s="64">
        <v>333.7</v>
      </c>
      <c r="O59" s="64">
        <v>0</v>
      </c>
      <c r="P59" s="64">
        <v>0.54</v>
      </c>
      <c r="Q59" s="64">
        <v>20.37</v>
      </c>
      <c r="R59" s="198"/>
      <c r="S59" s="198"/>
      <c r="T59" s="198"/>
      <c r="U59" s="198"/>
    </row>
    <row r="60" spans="1:21" s="12" customFormat="1" x14ac:dyDescent="0.25">
      <c r="A60" s="211" t="s">
        <v>777</v>
      </c>
      <c r="B60" s="64">
        <v>4.09</v>
      </c>
      <c r="C60" s="64">
        <v>25.77</v>
      </c>
      <c r="D60" s="64">
        <v>18.14</v>
      </c>
      <c r="E60" s="64">
        <v>3.65</v>
      </c>
      <c r="F60" s="64">
        <v>19.989999999999998</v>
      </c>
      <c r="G60" s="64">
        <v>34.340000000000003</v>
      </c>
      <c r="H60" s="64">
        <v>18.73</v>
      </c>
      <c r="I60" s="64">
        <v>0.54</v>
      </c>
      <c r="J60" s="64">
        <v>0.76</v>
      </c>
      <c r="K60" s="64">
        <v>288.89</v>
      </c>
      <c r="L60" s="64">
        <v>34.78</v>
      </c>
      <c r="M60" s="64">
        <v>32.32</v>
      </c>
      <c r="N60" s="64">
        <v>689.8</v>
      </c>
      <c r="O60" s="64">
        <v>0</v>
      </c>
      <c r="P60" s="64">
        <v>0.53</v>
      </c>
      <c r="Q60" s="64">
        <v>21.01</v>
      </c>
      <c r="R60" s="198"/>
      <c r="S60" s="198"/>
      <c r="T60" s="198"/>
      <c r="U60" s="198"/>
    </row>
    <row r="61" spans="1:21" s="12" customFormat="1" x14ac:dyDescent="0.25">
      <c r="A61" s="211" t="s">
        <v>778</v>
      </c>
      <c r="B61" s="64">
        <v>3.7</v>
      </c>
      <c r="C61" s="64">
        <v>27.4</v>
      </c>
      <c r="D61" s="64">
        <v>18.739999999999998</v>
      </c>
      <c r="E61" s="64">
        <v>4.54</v>
      </c>
      <c r="F61" s="64">
        <v>34.89</v>
      </c>
      <c r="G61" s="64">
        <v>34.340000000000003</v>
      </c>
      <c r="H61" s="64">
        <v>18.73</v>
      </c>
      <c r="I61" s="64">
        <v>0.57999999999999996</v>
      </c>
      <c r="J61" s="64">
        <v>0.31</v>
      </c>
      <c r="K61" s="64">
        <v>162.13</v>
      </c>
      <c r="L61" s="64">
        <v>34.369999999999997</v>
      </c>
      <c r="M61" s="64">
        <v>31.18</v>
      </c>
      <c r="N61" s="64">
        <v>453.6</v>
      </c>
      <c r="O61" s="64">
        <v>0</v>
      </c>
      <c r="P61" s="64">
        <v>0.49</v>
      </c>
      <c r="Q61" s="64">
        <v>20.41</v>
      </c>
      <c r="R61" s="198"/>
      <c r="S61" s="198"/>
      <c r="T61" s="198"/>
      <c r="U61" s="198"/>
    </row>
    <row r="62" spans="1:21" s="12" customFormat="1" x14ac:dyDescent="0.25">
      <c r="A62" s="211" t="s">
        <v>779</v>
      </c>
      <c r="B62" s="64">
        <v>2.2599999999999998</v>
      </c>
      <c r="C62" s="64">
        <v>25.04</v>
      </c>
      <c r="D62" s="64">
        <v>16.28</v>
      </c>
      <c r="E62" s="64">
        <v>5.48</v>
      </c>
      <c r="F62" s="64">
        <v>23.89</v>
      </c>
      <c r="G62" s="64">
        <v>34.340000000000003</v>
      </c>
      <c r="H62" s="64">
        <v>18.73</v>
      </c>
      <c r="I62" s="64">
        <v>0.56000000000000005</v>
      </c>
      <c r="J62" s="64">
        <v>0.19</v>
      </c>
      <c r="K62" s="64">
        <v>280.68</v>
      </c>
      <c r="L62" s="64">
        <v>34.450000000000003</v>
      </c>
      <c r="M62" s="64">
        <v>33.92</v>
      </c>
      <c r="N62" s="64">
        <v>674.8</v>
      </c>
      <c r="O62" s="64">
        <v>0</v>
      </c>
      <c r="P62" s="64">
        <v>0.52</v>
      </c>
      <c r="Q62" s="64">
        <v>19.899999999999999</v>
      </c>
      <c r="R62" s="198"/>
      <c r="S62" s="198"/>
      <c r="T62" s="198"/>
      <c r="U62" s="198"/>
    </row>
    <row r="63" spans="1:21" s="12" customFormat="1" x14ac:dyDescent="0.25">
      <c r="A63" s="211" t="s">
        <v>780</v>
      </c>
      <c r="B63" s="64">
        <v>1.97</v>
      </c>
      <c r="C63" s="64">
        <v>24.62</v>
      </c>
      <c r="D63" s="64">
        <v>15.81</v>
      </c>
      <c r="E63" s="64">
        <v>3.48</v>
      </c>
      <c r="F63" s="64">
        <v>16.03</v>
      </c>
      <c r="G63" s="64">
        <v>43.53</v>
      </c>
      <c r="H63" s="64">
        <v>19.39</v>
      </c>
      <c r="I63" s="64">
        <v>0.54</v>
      </c>
      <c r="J63" s="64">
        <v>0.17</v>
      </c>
      <c r="K63" s="64">
        <v>214.78</v>
      </c>
      <c r="L63" s="64">
        <v>35.130000000000003</v>
      </c>
      <c r="M63" s="64">
        <v>31</v>
      </c>
      <c r="N63" s="64">
        <v>827.4</v>
      </c>
      <c r="O63" s="64">
        <v>0</v>
      </c>
      <c r="P63" s="64">
        <v>0.5</v>
      </c>
      <c r="Q63" s="64">
        <v>20.54</v>
      </c>
      <c r="R63" s="198"/>
      <c r="S63" s="198"/>
      <c r="T63" s="198"/>
      <c r="U63" s="198"/>
    </row>
    <row r="64" spans="1:21" s="12" customFormat="1" x14ac:dyDescent="0.25">
      <c r="A64" s="211" t="s">
        <v>781</v>
      </c>
      <c r="B64" s="64">
        <v>2.82</v>
      </c>
      <c r="C64" s="64">
        <v>21.99</v>
      </c>
      <c r="D64" s="64">
        <v>15.04</v>
      </c>
      <c r="E64" s="64">
        <v>3.02</v>
      </c>
      <c r="F64" s="64">
        <v>11.65</v>
      </c>
      <c r="G64" s="64">
        <v>43.85</v>
      </c>
      <c r="H64" s="64">
        <v>19.39</v>
      </c>
      <c r="I64" s="64">
        <v>0.55000000000000004</v>
      </c>
      <c r="J64" s="64">
        <v>0.28000000000000003</v>
      </c>
      <c r="K64" s="64">
        <v>207.21</v>
      </c>
      <c r="L64" s="64">
        <v>33.9</v>
      </c>
      <c r="M64" s="64">
        <v>31.39</v>
      </c>
      <c r="N64" s="64">
        <v>779.4</v>
      </c>
      <c r="O64" s="64">
        <v>0</v>
      </c>
      <c r="P64" s="64">
        <v>0.51</v>
      </c>
      <c r="Q64" s="64">
        <v>19.75</v>
      </c>
      <c r="R64" s="198"/>
      <c r="S64" s="198"/>
      <c r="T64" s="198"/>
      <c r="U64" s="198"/>
    </row>
    <row r="65" spans="1:21" s="12" customFormat="1" x14ac:dyDescent="0.25">
      <c r="A65" s="211" t="s">
        <v>782</v>
      </c>
      <c r="B65" s="64">
        <v>4.33</v>
      </c>
      <c r="C65" s="64">
        <v>21.52</v>
      </c>
      <c r="D65" s="64">
        <v>15.99</v>
      </c>
      <c r="E65" s="64">
        <v>2.5299999999999998</v>
      </c>
      <c r="F65" s="64">
        <v>12.2</v>
      </c>
      <c r="G65" s="64">
        <v>43.85</v>
      </c>
      <c r="H65" s="64">
        <v>19.39</v>
      </c>
      <c r="I65" s="64">
        <v>0.57999999999999996</v>
      </c>
      <c r="J65" s="64">
        <v>0.16</v>
      </c>
      <c r="K65" s="64">
        <v>6.82</v>
      </c>
      <c r="L65" s="64">
        <v>34.590000000000003</v>
      </c>
      <c r="M65" s="64">
        <v>30.04</v>
      </c>
      <c r="N65" s="64">
        <v>479.9</v>
      </c>
      <c r="O65" s="64">
        <v>0</v>
      </c>
      <c r="P65" s="64">
        <v>0.51</v>
      </c>
      <c r="Q65" s="64">
        <v>19.899999999999999</v>
      </c>
      <c r="R65" s="198"/>
      <c r="S65" s="198"/>
      <c r="T65" s="198"/>
      <c r="U65" s="198"/>
    </row>
    <row r="66" spans="1:21" s="12" customFormat="1" x14ac:dyDescent="0.25">
      <c r="A66" s="211" t="s">
        <v>783</v>
      </c>
      <c r="B66" s="64">
        <v>4.66</v>
      </c>
      <c r="C66" s="64">
        <v>23.59</v>
      </c>
      <c r="D66" s="64">
        <v>17.399999999999999</v>
      </c>
      <c r="E66" s="64">
        <v>2.35</v>
      </c>
      <c r="F66" s="64">
        <v>20.22</v>
      </c>
      <c r="G66" s="64">
        <v>43.85</v>
      </c>
      <c r="H66" s="64">
        <v>19.39</v>
      </c>
      <c r="I66" s="64">
        <v>0.6</v>
      </c>
      <c r="J66" s="64">
        <v>0.24</v>
      </c>
      <c r="K66" s="64">
        <v>293.45999999999998</v>
      </c>
      <c r="L66" s="64">
        <v>32.85</v>
      </c>
      <c r="M66" s="64">
        <v>32.9</v>
      </c>
      <c r="N66" s="64">
        <v>232.7</v>
      </c>
      <c r="O66" s="64">
        <v>0</v>
      </c>
      <c r="P66" s="64">
        <v>0.54</v>
      </c>
      <c r="Q66" s="64">
        <v>20.440000000000001</v>
      </c>
      <c r="R66" s="198"/>
      <c r="S66" s="198"/>
      <c r="T66" s="198"/>
      <c r="U66" s="198"/>
    </row>
    <row r="67" spans="1:21" s="12" customFormat="1" x14ac:dyDescent="0.25">
      <c r="A67" s="211" t="s">
        <v>784</v>
      </c>
      <c r="B67" s="64">
        <v>5.98</v>
      </c>
      <c r="C67" s="64">
        <v>28.15</v>
      </c>
      <c r="D67" s="64">
        <v>20.97</v>
      </c>
      <c r="E67" s="64">
        <v>3.91</v>
      </c>
      <c r="F67" s="64">
        <v>29.37</v>
      </c>
      <c r="G67" s="64">
        <v>30.27</v>
      </c>
      <c r="H67" s="64">
        <v>18.399999999999999</v>
      </c>
      <c r="I67" s="64">
        <v>0.59</v>
      </c>
      <c r="J67" s="64">
        <v>0.23</v>
      </c>
      <c r="K67" s="64">
        <v>289.83</v>
      </c>
      <c r="L67" s="64">
        <v>34.17</v>
      </c>
      <c r="M67" s="64">
        <v>31.17</v>
      </c>
      <c r="N67" s="64">
        <v>327.8</v>
      </c>
      <c r="O67" s="64">
        <v>0</v>
      </c>
      <c r="P67" s="64">
        <v>0.53</v>
      </c>
      <c r="Q67" s="64">
        <v>22.54</v>
      </c>
      <c r="R67" s="198"/>
      <c r="S67" s="198"/>
      <c r="T67" s="198"/>
      <c r="U67" s="198"/>
    </row>
    <row r="68" spans="1:21" s="12" customFormat="1" x14ac:dyDescent="0.25">
      <c r="A68" s="211" t="s">
        <v>785</v>
      </c>
      <c r="B68" s="64">
        <v>5.09</v>
      </c>
      <c r="C68" s="64">
        <v>28.64</v>
      </c>
      <c r="D68" s="64">
        <v>20.54</v>
      </c>
      <c r="E68" s="64">
        <v>4.9000000000000004</v>
      </c>
      <c r="F68" s="64">
        <v>34.35</v>
      </c>
      <c r="G68" s="64">
        <v>29.8</v>
      </c>
      <c r="H68" s="64">
        <v>18.399999999999999</v>
      </c>
      <c r="I68" s="64">
        <v>0.57999999999999996</v>
      </c>
      <c r="J68" s="64">
        <v>0.25</v>
      </c>
      <c r="K68" s="64">
        <v>254.14</v>
      </c>
      <c r="L68" s="64">
        <v>32.770000000000003</v>
      </c>
      <c r="M68" s="64">
        <v>31.02</v>
      </c>
      <c r="N68" s="64">
        <v>139.9</v>
      </c>
      <c r="O68" s="64">
        <v>0</v>
      </c>
      <c r="P68" s="64">
        <v>0.52</v>
      </c>
      <c r="Q68" s="64">
        <v>21.47</v>
      </c>
      <c r="R68" s="198"/>
      <c r="S68" s="198"/>
      <c r="T68" s="198"/>
      <c r="U68" s="198"/>
    </row>
    <row r="69" spans="1:21" s="12" customFormat="1" x14ac:dyDescent="0.25">
      <c r="A69" s="211" t="s">
        <v>786</v>
      </c>
      <c r="B69" s="64">
        <v>6.61</v>
      </c>
      <c r="C69" s="64">
        <v>27</v>
      </c>
      <c r="D69" s="64">
        <v>20.85</v>
      </c>
      <c r="E69" s="64">
        <v>5.4</v>
      </c>
      <c r="F69" s="64">
        <v>32.299999999999997</v>
      </c>
      <c r="G69" s="64">
        <v>29.8</v>
      </c>
      <c r="H69" s="64">
        <v>18.399999999999999</v>
      </c>
      <c r="I69" s="64">
        <v>0.55000000000000004</v>
      </c>
      <c r="J69" s="64">
        <v>0.49</v>
      </c>
      <c r="K69" s="64">
        <v>304.19</v>
      </c>
      <c r="L69" s="64">
        <v>33.380000000000003</v>
      </c>
      <c r="M69" s="64">
        <v>32.630000000000003</v>
      </c>
      <c r="N69" s="64">
        <v>197</v>
      </c>
      <c r="O69" s="64">
        <v>0</v>
      </c>
      <c r="P69" s="64">
        <v>0.6</v>
      </c>
      <c r="Q69" s="64">
        <v>20.11</v>
      </c>
      <c r="R69" s="198"/>
      <c r="S69" s="198"/>
      <c r="T69" s="198"/>
      <c r="U69" s="198"/>
    </row>
    <row r="70" spans="1:21" s="12" customFormat="1" x14ac:dyDescent="0.25">
      <c r="A70" s="211" t="s">
        <v>787</v>
      </c>
      <c r="B70" s="64">
        <v>8.43</v>
      </c>
      <c r="C70" s="64">
        <v>30.69</v>
      </c>
      <c r="D70" s="64">
        <v>24.34</v>
      </c>
      <c r="E70" s="64">
        <v>5.28</v>
      </c>
      <c r="F70" s="64">
        <v>30.06</v>
      </c>
      <c r="G70" s="64">
        <v>29.8</v>
      </c>
      <c r="H70" s="64">
        <v>18.399999999999999</v>
      </c>
      <c r="I70" s="64">
        <v>0.56999999999999995</v>
      </c>
      <c r="J70" s="64">
        <v>0.38</v>
      </c>
      <c r="K70" s="64">
        <v>278.45999999999998</v>
      </c>
      <c r="L70" s="64">
        <v>33.89</v>
      </c>
      <c r="M70" s="64">
        <v>31.88</v>
      </c>
      <c r="N70" s="64">
        <v>218.2</v>
      </c>
      <c r="O70" s="64">
        <v>0</v>
      </c>
      <c r="P70" s="64">
        <v>0.62</v>
      </c>
      <c r="Q70" s="64">
        <v>19.760000000000002</v>
      </c>
      <c r="R70" s="198"/>
      <c r="S70" s="198"/>
      <c r="T70" s="198"/>
      <c r="U70" s="198"/>
    </row>
    <row r="71" spans="1:21" s="12" customFormat="1" x14ac:dyDescent="0.25">
      <c r="A71" s="211" t="s">
        <v>788</v>
      </c>
      <c r="B71" s="64">
        <v>5.15</v>
      </c>
      <c r="C71" s="64">
        <v>27.17</v>
      </c>
      <c r="D71" s="64">
        <v>19.77</v>
      </c>
      <c r="E71" s="64">
        <v>3.32</v>
      </c>
      <c r="F71" s="64">
        <v>11.34</v>
      </c>
      <c r="G71" s="64">
        <v>45.8</v>
      </c>
      <c r="H71" s="64">
        <v>18.02</v>
      </c>
      <c r="I71" s="64">
        <v>0.59</v>
      </c>
      <c r="J71" s="64">
        <v>0.49</v>
      </c>
      <c r="K71" s="64">
        <v>287.29000000000002</v>
      </c>
      <c r="L71" s="64">
        <v>33.770000000000003</v>
      </c>
      <c r="M71" s="64">
        <v>31.19</v>
      </c>
      <c r="N71" s="64">
        <v>251.1</v>
      </c>
      <c r="O71" s="64">
        <v>0</v>
      </c>
      <c r="P71" s="64">
        <v>0.56000000000000005</v>
      </c>
      <c r="Q71" s="64">
        <v>21.6</v>
      </c>
      <c r="R71" s="198"/>
      <c r="S71" s="198"/>
      <c r="T71" s="198"/>
      <c r="U71" s="198"/>
    </row>
    <row r="72" spans="1:21" s="12" customFormat="1" x14ac:dyDescent="0.25">
      <c r="A72" s="211" t="s">
        <v>789</v>
      </c>
      <c r="B72" s="64">
        <v>3.93</v>
      </c>
      <c r="C72" s="64">
        <v>22.19</v>
      </c>
      <c r="D72" s="64">
        <v>16.05</v>
      </c>
      <c r="E72" s="64">
        <v>1.96</v>
      </c>
      <c r="F72" s="64">
        <v>20.46</v>
      </c>
      <c r="G72" s="64">
        <v>46.35</v>
      </c>
      <c r="H72" s="64">
        <v>18.02</v>
      </c>
      <c r="I72" s="64">
        <v>0.6</v>
      </c>
      <c r="J72" s="64">
        <v>0.31</v>
      </c>
      <c r="K72" s="64">
        <v>222.54</v>
      </c>
      <c r="L72" s="64">
        <v>32.520000000000003</v>
      </c>
      <c r="M72" s="64">
        <v>31.22</v>
      </c>
      <c r="N72" s="64">
        <v>173</v>
      </c>
      <c r="O72" s="64">
        <v>0</v>
      </c>
      <c r="P72" s="64">
        <v>0.51</v>
      </c>
      <c r="Q72" s="64">
        <v>23.99</v>
      </c>
      <c r="R72" s="198"/>
      <c r="S72" s="198"/>
      <c r="T72" s="198"/>
      <c r="U72" s="198"/>
    </row>
    <row r="73" spans="1:21" s="12" customFormat="1" x14ac:dyDescent="0.25">
      <c r="A73" s="211" t="s">
        <v>790</v>
      </c>
      <c r="B73" s="64">
        <v>5.09</v>
      </c>
      <c r="C73" s="64">
        <v>25.19</v>
      </c>
      <c r="D73" s="64">
        <v>18.63</v>
      </c>
      <c r="E73" s="64">
        <v>2.8</v>
      </c>
      <c r="F73" s="64">
        <v>19.46</v>
      </c>
      <c r="G73" s="64">
        <v>46.35</v>
      </c>
      <c r="H73" s="64">
        <v>18.02</v>
      </c>
      <c r="I73" s="64">
        <v>0.69</v>
      </c>
      <c r="J73" s="64">
        <v>0.17</v>
      </c>
      <c r="K73" s="64">
        <v>227.23</v>
      </c>
      <c r="L73" s="64">
        <v>32.85</v>
      </c>
      <c r="M73" s="64">
        <v>31.84</v>
      </c>
      <c r="N73" s="64">
        <v>138.80000000000001</v>
      </c>
      <c r="O73" s="64">
        <v>0</v>
      </c>
      <c r="P73" s="64">
        <v>0.54</v>
      </c>
      <c r="Q73" s="64">
        <v>22.17</v>
      </c>
      <c r="R73" s="198"/>
      <c r="S73" s="198"/>
      <c r="T73" s="198"/>
      <c r="U73" s="198"/>
    </row>
    <row r="74" spans="1:21" s="12" customFormat="1" x14ac:dyDescent="0.25">
      <c r="A74" s="211" t="s">
        <v>791</v>
      </c>
      <c r="B74" s="64">
        <v>3.01</v>
      </c>
      <c r="C74" s="64">
        <v>20.6</v>
      </c>
      <c r="D74" s="64">
        <v>14.43</v>
      </c>
      <c r="E74" s="64">
        <v>3</v>
      </c>
      <c r="F74" s="64">
        <v>23.87</v>
      </c>
      <c r="G74" s="64">
        <v>46.35</v>
      </c>
      <c r="H74" s="64">
        <v>17.62</v>
      </c>
      <c r="I74" s="64">
        <v>0.65</v>
      </c>
      <c r="J74" s="64">
        <v>0.52</v>
      </c>
      <c r="K74" s="64">
        <v>197.93</v>
      </c>
      <c r="L74" s="64">
        <v>31.65</v>
      </c>
      <c r="M74" s="64">
        <v>36.82</v>
      </c>
      <c r="N74" s="64">
        <v>120.9</v>
      </c>
      <c r="O74" s="64">
        <v>0</v>
      </c>
      <c r="P74" s="64">
        <v>0.47</v>
      </c>
      <c r="Q74" s="64">
        <v>20.84</v>
      </c>
      <c r="R74" s="198"/>
      <c r="S74" s="198"/>
      <c r="T74" s="198"/>
      <c r="U74" s="198"/>
    </row>
    <row r="75" spans="1:21" s="12" customFormat="1" x14ac:dyDescent="0.25">
      <c r="A75" s="211" t="s">
        <v>792</v>
      </c>
      <c r="B75" s="64">
        <v>2.11</v>
      </c>
      <c r="C75" s="64">
        <v>23</v>
      </c>
      <c r="D75" s="64">
        <v>15.03</v>
      </c>
      <c r="E75" s="64">
        <v>3.74</v>
      </c>
      <c r="F75" s="64">
        <v>33.4</v>
      </c>
      <c r="G75" s="64">
        <v>46.35</v>
      </c>
      <c r="H75" s="64">
        <v>15.02</v>
      </c>
      <c r="I75" s="64">
        <v>0.62</v>
      </c>
      <c r="J75" s="64">
        <v>0.05</v>
      </c>
      <c r="K75" s="64">
        <v>284.10000000000002</v>
      </c>
      <c r="L75" s="64">
        <v>31.69</v>
      </c>
      <c r="M75" s="64">
        <v>37.22</v>
      </c>
      <c r="N75" s="64">
        <v>76.2</v>
      </c>
      <c r="O75" s="64">
        <v>0</v>
      </c>
      <c r="P75" s="64">
        <v>0.47</v>
      </c>
      <c r="Q75" s="64">
        <v>20.62</v>
      </c>
      <c r="R75" s="198"/>
      <c r="S75" s="198"/>
      <c r="T75" s="198"/>
      <c r="U75" s="198"/>
    </row>
    <row r="76" spans="1:21" s="12" customFormat="1" x14ac:dyDescent="0.25">
      <c r="A76" s="211" t="s">
        <v>793</v>
      </c>
      <c r="B76" s="64">
        <v>1.75</v>
      </c>
      <c r="C76" s="64">
        <v>23.62</v>
      </c>
      <c r="D76" s="64">
        <v>15.08</v>
      </c>
      <c r="E76" s="64">
        <v>3.15</v>
      </c>
      <c r="F76" s="64">
        <v>21.73</v>
      </c>
      <c r="G76" s="64">
        <v>46.35</v>
      </c>
      <c r="H76" s="64">
        <v>15.02</v>
      </c>
      <c r="I76" s="64">
        <v>0.61</v>
      </c>
      <c r="J76" s="64">
        <v>0.47</v>
      </c>
      <c r="K76" s="64">
        <v>225.99</v>
      </c>
      <c r="L76" s="64">
        <v>31.11</v>
      </c>
      <c r="M76" s="64">
        <v>41.14</v>
      </c>
      <c r="N76" s="64">
        <v>63.2</v>
      </c>
      <c r="O76" s="64">
        <v>0</v>
      </c>
      <c r="P76" s="64">
        <v>0.46</v>
      </c>
      <c r="Q76" s="64">
        <v>19.760000000000002</v>
      </c>
      <c r="R76" s="198"/>
      <c r="S76" s="198"/>
      <c r="T76" s="198"/>
      <c r="U76" s="198"/>
    </row>
    <row r="77" spans="1:21" s="12" customFormat="1" x14ac:dyDescent="0.25">
      <c r="A77" s="211" t="s">
        <v>794</v>
      </c>
      <c r="B77" s="64">
        <v>2.61</v>
      </c>
      <c r="C77" s="64">
        <v>29.61</v>
      </c>
      <c r="D77" s="64">
        <v>19.079999999999998</v>
      </c>
      <c r="E77" s="64">
        <v>2.97</v>
      </c>
      <c r="F77" s="64">
        <v>26.42</v>
      </c>
      <c r="G77" s="64">
        <v>9.16</v>
      </c>
      <c r="H77" s="64">
        <v>2.97</v>
      </c>
      <c r="I77" s="64">
        <v>0.57999999999999996</v>
      </c>
      <c r="J77" s="64">
        <v>0.06</v>
      </c>
      <c r="K77" s="64">
        <v>223.4</v>
      </c>
      <c r="L77" s="64">
        <v>30.26</v>
      </c>
      <c r="M77" s="64">
        <v>43.03</v>
      </c>
      <c r="N77" s="64">
        <v>48.2</v>
      </c>
      <c r="O77" s="64">
        <v>0</v>
      </c>
      <c r="P77" s="64">
        <v>0.48</v>
      </c>
      <c r="Q77" s="64">
        <v>18.63</v>
      </c>
      <c r="R77" s="198"/>
      <c r="S77" s="198"/>
      <c r="T77" s="198"/>
      <c r="U77" s="198"/>
    </row>
    <row r="78" spans="1:21" s="12" customFormat="1" x14ac:dyDescent="0.25">
      <c r="A78" s="211" t="s">
        <v>795</v>
      </c>
      <c r="B78" s="215" t="s">
        <v>32</v>
      </c>
      <c r="C78" s="215" t="s">
        <v>32</v>
      </c>
      <c r="D78" s="215" t="s">
        <v>32</v>
      </c>
      <c r="E78" s="215" t="s">
        <v>32</v>
      </c>
      <c r="F78" s="215" t="s">
        <v>32</v>
      </c>
      <c r="G78" s="215" t="s">
        <v>32</v>
      </c>
      <c r="H78" s="215" t="s">
        <v>32</v>
      </c>
      <c r="I78" s="215" t="s">
        <v>32</v>
      </c>
      <c r="J78" s="215" t="s">
        <v>32</v>
      </c>
      <c r="K78" s="215" t="s">
        <v>32</v>
      </c>
      <c r="L78" s="215" t="s">
        <v>32</v>
      </c>
      <c r="M78" s="215" t="s">
        <v>32</v>
      </c>
      <c r="N78" s="215" t="s">
        <v>32</v>
      </c>
      <c r="O78" s="215" t="s">
        <v>32</v>
      </c>
      <c r="P78" s="215" t="s">
        <v>32</v>
      </c>
      <c r="Q78" s="215" t="s">
        <v>32</v>
      </c>
      <c r="R78" s="198"/>
      <c r="S78" s="198"/>
      <c r="T78" s="198"/>
      <c r="U78" s="198"/>
    </row>
    <row r="79" spans="1:21" s="12" customFormat="1" x14ac:dyDescent="0.25">
      <c r="A79" s="211" t="s">
        <v>796</v>
      </c>
      <c r="B79" s="64">
        <v>1.49</v>
      </c>
      <c r="C79" s="64">
        <v>29.57</v>
      </c>
      <c r="D79" s="64">
        <v>18.16</v>
      </c>
      <c r="E79" s="64">
        <v>5.07</v>
      </c>
      <c r="F79" s="64">
        <v>37.46</v>
      </c>
      <c r="G79" s="216" t="s">
        <v>49</v>
      </c>
      <c r="H79" s="216" t="s">
        <v>49</v>
      </c>
      <c r="I79" s="64">
        <v>0.56999999999999995</v>
      </c>
      <c r="J79" s="64">
        <v>0.28999999999999998</v>
      </c>
      <c r="K79" s="64">
        <v>219.94</v>
      </c>
      <c r="L79" s="64">
        <v>30.78</v>
      </c>
      <c r="M79" s="64">
        <v>40.229999999999997</v>
      </c>
      <c r="N79" s="64">
        <v>29.6</v>
      </c>
      <c r="O79" s="64">
        <v>0</v>
      </c>
      <c r="P79" s="64">
        <v>0.57999999999999996</v>
      </c>
      <c r="Q79" s="216" t="s">
        <v>49</v>
      </c>
      <c r="R79" s="198"/>
      <c r="S79" s="198"/>
      <c r="T79" s="198"/>
      <c r="U79" s="198"/>
    </row>
    <row r="80" spans="1:21" s="12" customFormat="1" x14ac:dyDescent="0.25">
      <c r="A80" s="211" t="s">
        <v>797</v>
      </c>
      <c r="B80" s="64">
        <v>6.35</v>
      </c>
      <c r="C80" s="64">
        <v>39.22</v>
      </c>
      <c r="D80" s="64">
        <v>27.38</v>
      </c>
      <c r="E80" s="64">
        <v>5.6</v>
      </c>
      <c r="F80" s="64">
        <v>39.17</v>
      </c>
      <c r="G80" s="216" t="s">
        <v>49</v>
      </c>
      <c r="H80" s="216" t="s">
        <v>49</v>
      </c>
      <c r="I80" s="64">
        <v>0.56999999999999995</v>
      </c>
      <c r="J80" s="64">
        <v>0.15</v>
      </c>
      <c r="K80" s="64">
        <v>236.17</v>
      </c>
      <c r="L80" s="64">
        <v>30.66</v>
      </c>
      <c r="M80" s="64">
        <v>42.06</v>
      </c>
      <c r="N80" s="64">
        <v>30.1</v>
      </c>
      <c r="O80" s="64">
        <v>0</v>
      </c>
      <c r="P80" s="64">
        <v>0.79</v>
      </c>
      <c r="Q80" s="64">
        <v>9.81</v>
      </c>
      <c r="R80" s="198"/>
      <c r="S80" s="198"/>
      <c r="T80" s="198"/>
      <c r="U80" s="198"/>
    </row>
    <row r="81" spans="1:26" s="12" customFormat="1" x14ac:dyDescent="0.25">
      <c r="A81" s="211" t="s">
        <v>798</v>
      </c>
      <c r="B81" s="64">
        <v>5.15</v>
      </c>
      <c r="C81" s="64">
        <v>48.75</v>
      </c>
      <c r="D81" s="64">
        <v>31.68</v>
      </c>
      <c r="E81" s="64">
        <v>6.06</v>
      </c>
      <c r="F81" s="64">
        <v>36.74</v>
      </c>
      <c r="G81" s="64">
        <v>32.94</v>
      </c>
      <c r="H81" s="64">
        <v>25.24</v>
      </c>
      <c r="I81" s="64">
        <v>0.6</v>
      </c>
      <c r="J81" s="64">
        <v>0.11</v>
      </c>
      <c r="K81" s="64">
        <v>238.8</v>
      </c>
      <c r="L81" s="64">
        <v>30.49</v>
      </c>
      <c r="M81" s="64">
        <v>41.91</v>
      </c>
      <c r="N81" s="64">
        <v>18.100000000000001</v>
      </c>
      <c r="O81" s="64">
        <v>0</v>
      </c>
      <c r="P81" s="64">
        <v>0.82</v>
      </c>
      <c r="Q81" s="64">
        <v>18.91</v>
      </c>
      <c r="R81" s="198"/>
      <c r="S81" s="198"/>
      <c r="T81" s="198"/>
      <c r="U81" s="198"/>
    </row>
    <row r="82" spans="1:26" s="12" customFormat="1" x14ac:dyDescent="0.25">
      <c r="A82" s="211" t="s">
        <v>799</v>
      </c>
      <c r="B82" s="64">
        <v>1.89</v>
      </c>
      <c r="C82" s="64">
        <v>38.32</v>
      </c>
      <c r="D82" s="64">
        <v>23.31</v>
      </c>
      <c r="E82" s="64">
        <v>6.07</v>
      </c>
      <c r="F82" s="64">
        <v>41.34</v>
      </c>
      <c r="G82" s="64">
        <v>40.06</v>
      </c>
      <c r="H82" s="64">
        <v>30.7</v>
      </c>
      <c r="I82" s="64">
        <v>0.57999999999999996</v>
      </c>
      <c r="J82" s="64">
        <v>0.06</v>
      </c>
      <c r="K82" s="64">
        <v>194.15</v>
      </c>
      <c r="L82" s="64">
        <v>30.33</v>
      </c>
      <c r="M82" s="64">
        <v>42.19</v>
      </c>
      <c r="N82" s="64">
        <v>10.1</v>
      </c>
      <c r="O82" s="64">
        <v>0</v>
      </c>
      <c r="P82" s="64">
        <v>0.69</v>
      </c>
      <c r="Q82" s="64">
        <v>16.88</v>
      </c>
      <c r="R82" s="198"/>
      <c r="S82" s="198"/>
      <c r="T82" s="198"/>
      <c r="U82" s="198"/>
    </row>
    <row r="83" spans="1:26" s="12" customFormat="1" x14ac:dyDescent="0.25">
      <c r="A83" s="211" t="s">
        <v>800</v>
      </c>
      <c r="B83" s="64">
        <v>2.39</v>
      </c>
      <c r="C83" s="64">
        <v>35.85</v>
      </c>
      <c r="D83" s="64">
        <v>22.35</v>
      </c>
      <c r="E83" s="64">
        <v>4.99</v>
      </c>
      <c r="F83" s="64">
        <v>27.21</v>
      </c>
      <c r="G83" s="64">
        <v>40.06</v>
      </c>
      <c r="H83" s="64">
        <v>30.7</v>
      </c>
      <c r="I83" s="64">
        <v>0.59</v>
      </c>
      <c r="J83" s="64">
        <v>0.1</v>
      </c>
      <c r="K83" s="64">
        <v>215.8</v>
      </c>
      <c r="L83" s="64">
        <v>29.88</v>
      </c>
      <c r="M83" s="64">
        <v>44.87</v>
      </c>
      <c r="N83" s="64">
        <v>7.7</v>
      </c>
      <c r="O83" s="64">
        <v>0</v>
      </c>
      <c r="P83" s="64">
        <v>0.65</v>
      </c>
      <c r="Q83" s="64">
        <v>18.88</v>
      </c>
      <c r="R83" s="198"/>
      <c r="S83" s="198"/>
      <c r="T83" s="198"/>
      <c r="U83" s="198"/>
    </row>
    <row r="84" spans="1:26" s="12" customFormat="1" x14ac:dyDescent="0.25">
      <c r="A84" s="211" t="s">
        <v>801</v>
      </c>
      <c r="B84" s="64">
        <v>1.53</v>
      </c>
      <c r="C84" s="64">
        <v>37.69</v>
      </c>
      <c r="D84" s="64">
        <v>22.68</v>
      </c>
      <c r="E84" s="64">
        <v>4.63</v>
      </c>
      <c r="F84" s="64">
        <v>21.67</v>
      </c>
      <c r="G84" s="64">
        <v>40.06</v>
      </c>
      <c r="H84" s="64">
        <v>30.7</v>
      </c>
      <c r="I84" s="64">
        <v>0.51</v>
      </c>
      <c r="J84" s="64">
        <v>0.1</v>
      </c>
      <c r="K84" s="64">
        <v>253.88</v>
      </c>
      <c r="L84" s="64">
        <v>29.43</v>
      </c>
      <c r="M84" s="64">
        <v>47.03</v>
      </c>
      <c r="N84" s="64">
        <v>7.1</v>
      </c>
      <c r="O84" s="64">
        <v>0</v>
      </c>
      <c r="P84" s="64">
        <v>0.74</v>
      </c>
      <c r="Q84" s="64">
        <v>18.02</v>
      </c>
      <c r="R84" s="198"/>
      <c r="S84" s="198"/>
      <c r="T84" s="198"/>
      <c r="U84" s="198"/>
    </row>
    <row r="85" spans="1:26" s="12" customFormat="1" x14ac:dyDescent="0.25">
      <c r="A85" s="211" t="s">
        <v>802</v>
      </c>
      <c r="B85" s="64">
        <v>3.31</v>
      </c>
      <c r="C85" s="64">
        <v>42.71</v>
      </c>
      <c r="D85" s="64">
        <v>26.87</v>
      </c>
      <c r="E85" s="64">
        <v>3.43</v>
      </c>
      <c r="F85" s="64">
        <v>13.93</v>
      </c>
      <c r="G85" s="64">
        <v>45.6</v>
      </c>
      <c r="H85" s="64">
        <v>28.17</v>
      </c>
      <c r="I85" s="64">
        <v>0.52</v>
      </c>
      <c r="J85" s="64">
        <v>0.01</v>
      </c>
      <c r="K85" s="64">
        <v>348.12</v>
      </c>
      <c r="L85" s="64">
        <v>29.27</v>
      </c>
      <c r="M85" s="64">
        <v>47.23</v>
      </c>
      <c r="N85" s="64">
        <v>6.9</v>
      </c>
      <c r="O85" s="64">
        <v>0</v>
      </c>
      <c r="P85" s="64">
        <v>0.84</v>
      </c>
      <c r="Q85" s="64">
        <v>18.850000000000001</v>
      </c>
      <c r="R85" s="198"/>
      <c r="S85" s="198"/>
      <c r="T85" s="198"/>
      <c r="U85" s="198"/>
    </row>
    <row r="86" spans="1:26" s="12" customFormat="1" x14ac:dyDescent="0.25">
      <c r="A86" s="211" t="s">
        <v>803</v>
      </c>
      <c r="B86" s="64">
        <v>5.03</v>
      </c>
      <c r="C86" s="64">
        <v>41.76</v>
      </c>
      <c r="D86" s="64">
        <v>27.73</v>
      </c>
      <c r="E86" s="64">
        <v>3.08</v>
      </c>
      <c r="F86" s="64">
        <v>12.03</v>
      </c>
      <c r="G86" s="64">
        <v>46.8</v>
      </c>
      <c r="H86" s="64">
        <v>27.62</v>
      </c>
      <c r="I86" s="64">
        <v>0.56000000000000005</v>
      </c>
      <c r="J86" s="64">
        <v>0.04</v>
      </c>
      <c r="K86" s="64">
        <v>280.39</v>
      </c>
      <c r="L86" s="64">
        <v>29.03</v>
      </c>
      <c r="M86" s="64">
        <v>48.25</v>
      </c>
      <c r="N86" s="64">
        <v>7.1</v>
      </c>
      <c r="O86" s="64">
        <v>0</v>
      </c>
      <c r="P86" s="64">
        <v>0.91</v>
      </c>
      <c r="Q86" s="64">
        <v>20.190000000000001</v>
      </c>
      <c r="R86" s="198"/>
      <c r="S86" s="198"/>
      <c r="T86" s="198"/>
      <c r="U86" s="198"/>
    </row>
    <row r="87" spans="1:26" s="12" customFormat="1" x14ac:dyDescent="0.25">
      <c r="A87" s="211" t="s">
        <v>804</v>
      </c>
      <c r="B87" s="64">
        <v>3.28</v>
      </c>
      <c r="C87" s="64">
        <v>34.25</v>
      </c>
      <c r="D87" s="64">
        <v>22.18</v>
      </c>
      <c r="E87" s="64">
        <v>3.26</v>
      </c>
      <c r="F87" s="64">
        <v>18.25</v>
      </c>
      <c r="G87" s="64">
        <v>46.8</v>
      </c>
      <c r="H87" s="64">
        <v>27.62</v>
      </c>
      <c r="I87" s="64">
        <v>0.57999999999999996</v>
      </c>
      <c r="J87" s="64">
        <v>0.08</v>
      </c>
      <c r="K87" s="64">
        <v>243.21</v>
      </c>
      <c r="L87" s="64">
        <v>28.88</v>
      </c>
      <c r="M87" s="64">
        <v>48.96</v>
      </c>
      <c r="N87" s="64">
        <v>7.5</v>
      </c>
      <c r="O87" s="64">
        <v>0</v>
      </c>
      <c r="P87" s="64">
        <v>0.8</v>
      </c>
      <c r="Q87" s="64">
        <v>17.86</v>
      </c>
      <c r="R87" s="198"/>
      <c r="S87" s="198"/>
      <c r="T87" s="198"/>
      <c r="U87" s="198"/>
    </row>
    <row r="88" spans="1:26" s="12" customFormat="1" x14ac:dyDescent="0.25">
      <c r="A88" s="211" t="s">
        <v>805</v>
      </c>
      <c r="B88" s="64">
        <v>7.48</v>
      </c>
      <c r="C88" s="64">
        <v>45.28</v>
      </c>
      <c r="D88" s="64">
        <v>31.63</v>
      </c>
      <c r="E88" s="64">
        <v>2.41</v>
      </c>
      <c r="F88" s="64">
        <v>15.19</v>
      </c>
      <c r="G88" s="64">
        <v>46.8</v>
      </c>
      <c r="H88" s="64">
        <v>27.62</v>
      </c>
      <c r="I88" s="64">
        <v>0.61</v>
      </c>
      <c r="J88" s="64">
        <v>0.11</v>
      </c>
      <c r="K88" s="64">
        <v>244.88</v>
      </c>
      <c r="L88" s="64">
        <v>28.67</v>
      </c>
      <c r="M88" s="64">
        <v>49.65</v>
      </c>
      <c r="N88" s="64">
        <v>7.4</v>
      </c>
      <c r="O88" s="64">
        <v>0</v>
      </c>
      <c r="P88" s="64">
        <v>1.07</v>
      </c>
      <c r="Q88" s="64">
        <v>20.64</v>
      </c>
      <c r="R88" s="198"/>
      <c r="S88" s="198"/>
      <c r="T88" s="198"/>
      <c r="U88" s="198"/>
    </row>
    <row r="89" spans="1:26" s="12" customFormat="1" x14ac:dyDescent="0.25">
      <c r="A89" s="211" t="s">
        <v>806</v>
      </c>
      <c r="B89" s="64">
        <v>12.93</v>
      </c>
      <c r="C89" s="64">
        <v>46.29</v>
      </c>
      <c r="D89" s="64">
        <v>36.56</v>
      </c>
      <c r="E89" s="64">
        <v>3.69</v>
      </c>
      <c r="F89" s="64">
        <v>10.29</v>
      </c>
      <c r="G89" s="64">
        <v>50.28</v>
      </c>
      <c r="H89" s="64">
        <v>26.46</v>
      </c>
      <c r="I89" s="64">
        <v>0.57999999999999996</v>
      </c>
      <c r="J89" s="64">
        <v>0.04</v>
      </c>
      <c r="K89" s="64">
        <v>277.82</v>
      </c>
      <c r="L89" s="64">
        <v>28.46</v>
      </c>
      <c r="M89" s="64">
        <v>51.01</v>
      </c>
      <c r="N89" s="64">
        <v>7.4</v>
      </c>
      <c r="O89" s="64">
        <v>0</v>
      </c>
      <c r="P89" s="64">
        <v>1.1100000000000001</v>
      </c>
      <c r="Q89" s="64">
        <v>18.82</v>
      </c>
      <c r="R89" s="198"/>
      <c r="S89" s="198"/>
      <c r="T89" s="198"/>
      <c r="U89" s="198"/>
    </row>
    <row r="90" spans="1:26" s="12" customFormat="1" x14ac:dyDescent="0.25">
      <c r="A90" s="211" t="s">
        <v>807</v>
      </c>
      <c r="B90" s="64">
        <v>32.43</v>
      </c>
      <c r="C90" s="64">
        <v>59.34</v>
      </c>
      <c r="D90" s="64">
        <v>59.4</v>
      </c>
      <c r="E90" s="64">
        <v>3.34</v>
      </c>
      <c r="F90" s="64">
        <v>11.11</v>
      </c>
      <c r="G90" s="64">
        <v>51.03</v>
      </c>
      <c r="H90" s="64">
        <v>26.21</v>
      </c>
      <c r="I90" s="64">
        <v>0.63</v>
      </c>
      <c r="J90" s="64">
        <v>0.04</v>
      </c>
      <c r="K90" s="64">
        <v>295.79000000000002</v>
      </c>
      <c r="L90" s="64">
        <v>28.22</v>
      </c>
      <c r="M90" s="64">
        <v>52.26</v>
      </c>
      <c r="N90" s="64">
        <v>7.6</v>
      </c>
      <c r="O90" s="64">
        <v>0</v>
      </c>
      <c r="P90" s="64">
        <v>1.6</v>
      </c>
      <c r="Q90" s="64">
        <v>18.8</v>
      </c>
      <c r="R90" s="198"/>
      <c r="S90" s="198"/>
      <c r="T90" s="198"/>
      <c r="U90" s="198"/>
    </row>
    <row r="91" spans="1:26" s="12" customFormat="1" x14ac:dyDescent="0.25">
      <c r="A91" s="211" t="s">
        <v>808</v>
      </c>
      <c r="B91" s="64">
        <v>33.42</v>
      </c>
      <c r="C91" s="64">
        <v>70.94</v>
      </c>
      <c r="D91" s="64">
        <v>66.599999999999994</v>
      </c>
      <c r="E91" s="64">
        <v>4.1500000000000004</v>
      </c>
      <c r="F91" s="64">
        <v>9.86</v>
      </c>
      <c r="G91" s="64">
        <v>51.03</v>
      </c>
      <c r="H91" s="64">
        <v>26.21</v>
      </c>
      <c r="I91" s="64">
        <v>0.66</v>
      </c>
      <c r="J91" s="64">
        <v>0.08</v>
      </c>
      <c r="K91" s="64">
        <v>263.54000000000002</v>
      </c>
      <c r="L91" s="64">
        <v>27.65</v>
      </c>
      <c r="M91" s="64">
        <v>54.33</v>
      </c>
      <c r="N91" s="64">
        <v>7.6</v>
      </c>
      <c r="O91" s="64">
        <v>0</v>
      </c>
      <c r="P91" s="64">
        <v>1.45</v>
      </c>
      <c r="Q91" s="64">
        <v>16.25</v>
      </c>
      <c r="R91" s="198"/>
      <c r="S91" s="198"/>
      <c r="T91" s="198"/>
      <c r="U91" s="198"/>
    </row>
    <row r="92" spans="1:26" s="12" customFormat="1" x14ac:dyDescent="0.25">
      <c r="A92" s="211" t="s">
        <v>809</v>
      </c>
      <c r="B92" s="64">
        <v>10.27</v>
      </c>
      <c r="C92" s="64">
        <v>58.4</v>
      </c>
      <c r="D92" s="64">
        <v>41.11</v>
      </c>
      <c r="E92" s="64">
        <v>4.12</v>
      </c>
      <c r="F92" s="64">
        <v>10.56</v>
      </c>
      <c r="G92" s="64">
        <v>51.03</v>
      </c>
      <c r="H92" s="64">
        <v>26.21</v>
      </c>
      <c r="I92" s="64">
        <v>0.68</v>
      </c>
      <c r="J92" s="64">
        <v>0.09</v>
      </c>
      <c r="K92" s="64">
        <v>177.13</v>
      </c>
      <c r="L92" s="64">
        <v>27.27</v>
      </c>
      <c r="M92" s="64">
        <v>54.3</v>
      </c>
      <c r="N92" s="64">
        <v>7.5</v>
      </c>
      <c r="O92" s="64">
        <v>0</v>
      </c>
      <c r="P92" s="64">
        <v>1.1499999999999999</v>
      </c>
      <c r="Q92" s="64">
        <v>19.29</v>
      </c>
      <c r="R92" s="198"/>
      <c r="S92" s="198"/>
      <c r="T92" s="198"/>
      <c r="U92" s="198"/>
    </row>
    <row r="93" spans="1:26" s="12" customFormat="1" x14ac:dyDescent="0.25">
      <c r="A93" s="211" t="s">
        <v>810</v>
      </c>
      <c r="B93" s="64">
        <v>35.9</v>
      </c>
      <c r="C93" s="64">
        <v>66.599999999999994</v>
      </c>
      <c r="D93" s="64">
        <v>66.19</v>
      </c>
      <c r="E93" s="64">
        <v>3.88</v>
      </c>
      <c r="F93" s="64">
        <v>6.95</v>
      </c>
      <c r="G93" s="64">
        <v>64.59</v>
      </c>
      <c r="H93" s="64">
        <v>28.7</v>
      </c>
      <c r="I93" s="64">
        <v>0.66</v>
      </c>
      <c r="J93" s="64">
        <v>0.08</v>
      </c>
      <c r="K93" s="64">
        <v>194.68</v>
      </c>
      <c r="L93" s="64">
        <v>27.23</v>
      </c>
      <c r="M93" s="64">
        <v>57.2</v>
      </c>
      <c r="N93" s="64">
        <v>7.4</v>
      </c>
      <c r="O93" s="64">
        <v>0</v>
      </c>
      <c r="P93" s="64">
        <v>1.42</v>
      </c>
      <c r="Q93" s="64">
        <v>19.079999999999998</v>
      </c>
      <c r="R93" s="198"/>
      <c r="S93" s="198"/>
      <c r="T93" s="198"/>
      <c r="U93" s="198"/>
    </row>
    <row r="94" spans="1:26" s="12" customFormat="1" x14ac:dyDescent="0.25">
      <c r="A94" s="211" t="s">
        <v>811</v>
      </c>
      <c r="B94" s="64">
        <v>32.24</v>
      </c>
      <c r="C94" s="64">
        <v>55.44</v>
      </c>
      <c r="D94" s="64">
        <v>57.09</v>
      </c>
      <c r="E94" s="64">
        <v>3.4</v>
      </c>
      <c r="F94" s="64">
        <v>5.49</v>
      </c>
      <c r="G94" s="64">
        <v>67.52</v>
      </c>
      <c r="H94" s="64">
        <v>29.23</v>
      </c>
      <c r="I94" s="64">
        <v>0.67</v>
      </c>
      <c r="J94" s="64">
        <v>0.12</v>
      </c>
      <c r="K94" s="64">
        <v>269.74</v>
      </c>
      <c r="L94" s="64">
        <v>26.76</v>
      </c>
      <c r="M94" s="64">
        <v>57.22</v>
      </c>
      <c r="N94" s="64">
        <v>7.7</v>
      </c>
      <c r="O94" s="64">
        <v>0</v>
      </c>
      <c r="P94" s="64">
        <v>1.79</v>
      </c>
      <c r="Q94" s="64">
        <v>19.23</v>
      </c>
      <c r="R94" s="198"/>
      <c r="S94" s="198"/>
      <c r="T94" s="198"/>
      <c r="U94" s="198"/>
    </row>
    <row r="95" spans="1:26" s="12" customFormat="1" x14ac:dyDescent="0.25">
      <c r="A95" s="211" t="s">
        <v>812</v>
      </c>
      <c r="B95" s="64">
        <v>91.32</v>
      </c>
      <c r="C95" s="64">
        <v>65.69</v>
      </c>
      <c r="D95" s="64">
        <v>110.13</v>
      </c>
      <c r="E95" s="64">
        <v>4.2</v>
      </c>
      <c r="F95" s="64">
        <v>4.5199999999999996</v>
      </c>
      <c r="G95" s="64">
        <v>67.52</v>
      </c>
      <c r="H95" s="64">
        <v>29.23</v>
      </c>
      <c r="I95" s="64">
        <v>0.74</v>
      </c>
      <c r="J95" s="64">
        <v>0.05</v>
      </c>
      <c r="K95" s="64">
        <v>62.57</v>
      </c>
      <c r="L95" s="64">
        <v>26.55</v>
      </c>
      <c r="M95" s="64">
        <v>58.83</v>
      </c>
      <c r="N95" s="64">
        <v>8</v>
      </c>
      <c r="O95" s="64">
        <v>0</v>
      </c>
      <c r="P95" s="64">
        <v>1.99</v>
      </c>
      <c r="Q95" s="64">
        <v>16.399999999999999</v>
      </c>
      <c r="R95" s="198"/>
      <c r="S95" s="198"/>
      <c r="T95" s="198"/>
      <c r="U95" s="198"/>
    </row>
    <row r="96" spans="1:26" s="12" customFormat="1" x14ac:dyDescent="0.25">
      <c r="A96" s="211" t="s">
        <v>813</v>
      </c>
      <c r="B96" s="64">
        <v>94.95</v>
      </c>
      <c r="C96" s="64">
        <v>63.69</v>
      </c>
      <c r="D96" s="64">
        <v>111.94</v>
      </c>
      <c r="E96" s="64">
        <v>3.84</v>
      </c>
      <c r="F96" s="64">
        <v>3.97</v>
      </c>
      <c r="G96" s="64">
        <v>67.52</v>
      </c>
      <c r="H96" s="64">
        <v>29.23</v>
      </c>
      <c r="I96" s="64">
        <v>0.84</v>
      </c>
      <c r="J96" s="64">
        <v>0.08</v>
      </c>
      <c r="K96" s="64">
        <v>263.73</v>
      </c>
      <c r="L96" s="64">
        <v>26.2</v>
      </c>
      <c r="M96" s="64">
        <v>61.76</v>
      </c>
      <c r="N96" s="64">
        <v>7.8</v>
      </c>
      <c r="O96" s="64">
        <v>0</v>
      </c>
      <c r="P96" s="64">
        <v>2.2200000000000002</v>
      </c>
      <c r="Q96" s="64">
        <v>14.24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814</v>
      </c>
      <c r="B97" s="64">
        <v>68.599999999999994</v>
      </c>
      <c r="C97" s="64">
        <v>59.01</v>
      </c>
      <c r="D97" s="64">
        <v>88.22</v>
      </c>
      <c r="E97" s="64">
        <v>3.07</v>
      </c>
      <c r="F97" s="64">
        <v>3.61</v>
      </c>
      <c r="G97" s="64">
        <v>89</v>
      </c>
      <c r="H97" s="64">
        <v>31.06</v>
      </c>
      <c r="I97" s="64">
        <v>0.89</v>
      </c>
      <c r="J97" s="64">
        <v>0.1</v>
      </c>
      <c r="K97" s="64">
        <v>91.3</v>
      </c>
      <c r="L97" s="64">
        <v>26.27</v>
      </c>
      <c r="M97" s="64">
        <v>57.8</v>
      </c>
      <c r="N97" s="64">
        <v>7.5</v>
      </c>
      <c r="O97" s="64">
        <v>0</v>
      </c>
      <c r="P97" s="64">
        <v>1.37</v>
      </c>
      <c r="Q97" s="64">
        <v>22.13</v>
      </c>
      <c r="R97" s="198"/>
      <c r="S97" s="198"/>
      <c r="T97" s="198"/>
      <c r="U97" s="198"/>
    </row>
    <row r="98" spans="1:33" s="12" customFormat="1" x14ac:dyDescent="0.25">
      <c r="A98" s="211" t="s">
        <v>815</v>
      </c>
      <c r="B98" s="64">
        <v>94.88</v>
      </c>
      <c r="C98" s="64">
        <v>66.709999999999994</v>
      </c>
      <c r="D98" s="64">
        <v>113.55</v>
      </c>
      <c r="E98" s="64">
        <v>3.72</v>
      </c>
      <c r="F98" s="64">
        <v>3.16</v>
      </c>
      <c r="G98" s="64">
        <v>93.65</v>
      </c>
      <c r="H98" s="64">
        <v>31.46</v>
      </c>
      <c r="I98" s="64">
        <v>0.99</v>
      </c>
      <c r="J98" s="64">
        <v>0.03</v>
      </c>
      <c r="K98" s="64">
        <v>13.28</v>
      </c>
      <c r="L98" s="64">
        <v>26.04</v>
      </c>
      <c r="M98" s="64">
        <v>61.8</v>
      </c>
      <c r="N98" s="64">
        <v>7.9</v>
      </c>
      <c r="O98" s="64">
        <v>0</v>
      </c>
      <c r="P98" s="64">
        <v>1.59</v>
      </c>
      <c r="Q98" s="64">
        <v>20.37</v>
      </c>
      <c r="R98" s="198"/>
      <c r="S98" s="198"/>
      <c r="T98" s="198"/>
      <c r="U98" s="198"/>
    </row>
    <row r="99" spans="1:33" s="12" customFormat="1" x14ac:dyDescent="0.25">
      <c r="A99" s="211" t="s">
        <v>816</v>
      </c>
      <c r="B99" s="64">
        <v>62.33</v>
      </c>
      <c r="C99" s="64">
        <v>49.06</v>
      </c>
      <c r="D99" s="64">
        <v>77.7</v>
      </c>
      <c r="E99" s="64">
        <v>2.74</v>
      </c>
      <c r="F99" s="64">
        <v>3.77</v>
      </c>
      <c r="G99" s="64">
        <v>93.65</v>
      </c>
      <c r="H99" s="64">
        <v>31.46</v>
      </c>
      <c r="I99" s="64">
        <v>0.85</v>
      </c>
      <c r="J99" s="64">
        <v>7.0000000000000007E-2</v>
      </c>
      <c r="K99" s="64">
        <v>284.36</v>
      </c>
      <c r="L99" s="64">
        <v>25.61</v>
      </c>
      <c r="M99" s="64">
        <v>63.29</v>
      </c>
      <c r="N99" s="64">
        <v>7.8</v>
      </c>
      <c r="O99" s="64">
        <v>0</v>
      </c>
      <c r="P99" s="64">
        <v>1.48</v>
      </c>
      <c r="Q99" s="64">
        <v>22.43</v>
      </c>
      <c r="R99" s="198"/>
      <c r="S99" s="198"/>
      <c r="T99" s="198"/>
      <c r="U99" s="198"/>
    </row>
    <row r="100" spans="1:33" s="12" customFormat="1" x14ac:dyDescent="0.25">
      <c r="A100" s="211" t="s">
        <v>817</v>
      </c>
      <c r="B100" s="64">
        <v>113.16</v>
      </c>
      <c r="C100" s="64">
        <v>60.44</v>
      </c>
      <c r="D100" s="64">
        <v>124.75</v>
      </c>
      <c r="E100" s="64">
        <v>2.52</v>
      </c>
      <c r="F100" s="64">
        <v>3.22</v>
      </c>
      <c r="G100" s="64">
        <v>93.65</v>
      </c>
      <c r="H100" s="64">
        <v>31.46</v>
      </c>
      <c r="I100" s="64">
        <v>0.84</v>
      </c>
      <c r="J100" s="64">
        <v>7.0000000000000007E-2</v>
      </c>
      <c r="K100" s="64">
        <v>344</v>
      </c>
      <c r="L100" s="64">
        <v>25.37</v>
      </c>
      <c r="M100" s="64">
        <v>68.53</v>
      </c>
      <c r="N100" s="64">
        <v>8.1</v>
      </c>
      <c r="O100" s="64">
        <v>0</v>
      </c>
      <c r="P100" s="64">
        <v>2.0099999999999998</v>
      </c>
      <c r="Q100" s="64">
        <v>21.5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818</v>
      </c>
      <c r="B101" s="64">
        <v>80.67</v>
      </c>
      <c r="C101" s="64">
        <v>49.83</v>
      </c>
      <c r="D101" s="64">
        <v>92.84</v>
      </c>
      <c r="E101" s="64">
        <v>2.9</v>
      </c>
      <c r="F101" s="64">
        <v>3.91</v>
      </c>
      <c r="G101" s="64">
        <v>96.55</v>
      </c>
      <c r="H101" s="64">
        <v>33.82</v>
      </c>
      <c r="I101" s="64">
        <v>0.85</v>
      </c>
      <c r="J101" s="64">
        <v>0.15</v>
      </c>
      <c r="K101" s="64">
        <v>291.02999999999997</v>
      </c>
      <c r="L101" s="64">
        <v>25.32</v>
      </c>
      <c r="M101" s="64">
        <v>67.13</v>
      </c>
      <c r="N101" s="64">
        <v>7.9</v>
      </c>
      <c r="O101" s="64">
        <v>0</v>
      </c>
      <c r="P101" s="64">
        <v>1.71</v>
      </c>
      <c r="Q101" s="64">
        <v>23.85</v>
      </c>
      <c r="R101" s="198"/>
      <c r="S101" s="198"/>
      <c r="T101" s="198"/>
      <c r="U101" s="198"/>
    </row>
    <row r="102" spans="1:33" s="12" customFormat="1" x14ac:dyDescent="0.25">
      <c r="A102" s="211" t="s">
        <v>819</v>
      </c>
      <c r="B102" s="64">
        <v>99.05</v>
      </c>
      <c r="C102" s="64">
        <v>64.16</v>
      </c>
      <c r="D102" s="64">
        <v>115.49</v>
      </c>
      <c r="E102" s="64">
        <v>2.4700000000000002</v>
      </c>
      <c r="F102" s="64">
        <v>3.43</v>
      </c>
      <c r="G102" s="64">
        <v>97.17</v>
      </c>
      <c r="H102" s="64">
        <v>34.33</v>
      </c>
      <c r="I102" s="64">
        <v>0.91</v>
      </c>
      <c r="J102" s="64">
        <v>0.13</v>
      </c>
      <c r="K102" s="64">
        <v>281.51</v>
      </c>
      <c r="L102" s="64">
        <v>25.09</v>
      </c>
      <c r="M102" s="64">
        <v>70.260000000000005</v>
      </c>
      <c r="N102" s="64">
        <v>8</v>
      </c>
      <c r="O102" s="64">
        <v>0</v>
      </c>
      <c r="P102" s="64">
        <v>1.94</v>
      </c>
      <c r="Q102" s="64">
        <v>25.78</v>
      </c>
      <c r="R102" s="198"/>
      <c r="S102" s="198"/>
      <c r="T102" s="198"/>
      <c r="U102" s="198"/>
    </row>
    <row r="103" spans="1:33" s="12" customFormat="1" x14ac:dyDescent="0.25">
      <c r="A103" s="211" t="s">
        <v>820</v>
      </c>
      <c r="B103" s="64">
        <v>99.46</v>
      </c>
      <c r="C103" s="64">
        <v>61.8</v>
      </c>
      <c r="D103" s="64">
        <v>114.51</v>
      </c>
      <c r="E103" s="64">
        <v>2.4300000000000002</v>
      </c>
      <c r="F103" s="64">
        <v>3.66</v>
      </c>
      <c r="G103" s="64">
        <v>97.17</v>
      </c>
      <c r="H103" s="64">
        <v>34.33</v>
      </c>
      <c r="I103" s="64">
        <v>0.89</v>
      </c>
      <c r="J103" s="64">
        <v>0.12</v>
      </c>
      <c r="K103" s="64">
        <v>271.08999999999997</v>
      </c>
      <c r="L103" s="64">
        <v>24.97</v>
      </c>
      <c r="M103" s="64">
        <v>70.09</v>
      </c>
      <c r="N103" s="64">
        <v>7.6</v>
      </c>
      <c r="O103" s="64">
        <v>0</v>
      </c>
      <c r="P103" s="64">
        <v>1.9</v>
      </c>
      <c r="Q103" s="64">
        <v>23.52</v>
      </c>
      <c r="R103" s="198"/>
      <c r="S103" s="198"/>
      <c r="T103" s="198"/>
      <c r="U103" s="198"/>
    </row>
    <row r="104" spans="1:33" s="12" customFormat="1" x14ac:dyDescent="0.25">
      <c r="A104" s="211" t="s">
        <v>821</v>
      </c>
      <c r="B104" s="64">
        <v>91.33</v>
      </c>
      <c r="C104" s="64">
        <v>56.71</v>
      </c>
      <c r="D104" s="64">
        <v>105.19</v>
      </c>
      <c r="E104" s="64">
        <v>1.98</v>
      </c>
      <c r="F104" s="64">
        <v>3.31</v>
      </c>
      <c r="G104" s="64">
        <v>97.17</v>
      </c>
      <c r="H104" s="64">
        <v>34.33</v>
      </c>
      <c r="I104" s="64">
        <v>0.88</v>
      </c>
      <c r="J104" s="64">
        <v>0.18</v>
      </c>
      <c r="K104" s="64">
        <v>271.12</v>
      </c>
      <c r="L104" s="64">
        <v>24.68</v>
      </c>
      <c r="M104" s="64">
        <v>72.459999999999994</v>
      </c>
      <c r="N104" s="64">
        <v>7.6</v>
      </c>
      <c r="O104" s="64">
        <v>0</v>
      </c>
      <c r="P104" s="64">
        <v>2.06</v>
      </c>
      <c r="Q104" s="64">
        <v>25.06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1.26</v>
      </c>
      <c r="C106" s="67">
        <f>MIN(C9:C104)</f>
        <v>11.91</v>
      </c>
      <c r="D106" s="67">
        <f t="shared" ref="D106:Q106" si="0">MIN(D9:D104)</f>
        <v>9.98</v>
      </c>
      <c r="E106" s="67">
        <f t="shared" si="0"/>
        <v>0.74</v>
      </c>
      <c r="F106" s="67">
        <f t="shared" si="0"/>
        <v>3.16</v>
      </c>
      <c r="G106" s="67">
        <f t="shared" si="0"/>
        <v>9.16</v>
      </c>
      <c r="H106" s="67">
        <f t="shared" si="0"/>
        <v>2.97</v>
      </c>
      <c r="I106" s="67">
        <f t="shared" si="0"/>
        <v>0.48</v>
      </c>
      <c r="J106" s="67">
        <f t="shared" si="0"/>
        <v>0.01</v>
      </c>
      <c r="K106" s="67">
        <f t="shared" si="0"/>
        <v>6.82</v>
      </c>
      <c r="L106" s="67">
        <f t="shared" si="0"/>
        <v>22.94</v>
      </c>
      <c r="M106" s="67">
        <f t="shared" si="0"/>
        <v>30.04</v>
      </c>
      <c r="N106" s="67">
        <f t="shared" si="0"/>
        <v>4.5999999999999996</v>
      </c>
      <c r="O106" s="67">
        <f t="shared" si="0"/>
        <v>0</v>
      </c>
      <c r="P106" s="67">
        <f t="shared" si="0"/>
        <v>0.34</v>
      </c>
      <c r="Q106" s="67">
        <f t="shared" si="0"/>
        <v>9.81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113.16</v>
      </c>
      <c r="C107" s="66">
        <f t="shared" ref="C107:Q107" si="1">MAX(C9:C104)</f>
        <v>70.94</v>
      </c>
      <c r="D107" s="66">
        <f t="shared" si="1"/>
        <v>124.75</v>
      </c>
      <c r="E107" s="66">
        <f t="shared" si="1"/>
        <v>6.07</v>
      </c>
      <c r="F107" s="66">
        <f t="shared" si="1"/>
        <v>41.34</v>
      </c>
      <c r="G107" s="66">
        <f t="shared" si="1"/>
        <v>97.17</v>
      </c>
      <c r="H107" s="66">
        <f t="shared" si="1"/>
        <v>34.33</v>
      </c>
      <c r="I107" s="66">
        <f t="shared" si="1"/>
        <v>0.99</v>
      </c>
      <c r="J107" s="66">
        <f t="shared" si="1"/>
        <v>0.79</v>
      </c>
      <c r="K107" s="66">
        <f t="shared" si="1"/>
        <v>357.53</v>
      </c>
      <c r="L107" s="66">
        <f t="shared" si="1"/>
        <v>37</v>
      </c>
      <c r="M107" s="66">
        <f t="shared" si="1"/>
        <v>78.28</v>
      </c>
      <c r="N107" s="66">
        <f t="shared" si="1"/>
        <v>924.2</v>
      </c>
      <c r="O107" s="66">
        <f t="shared" si="1"/>
        <v>0</v>
      </c>
      <c r="P107" s="66">
        <f t="shared" si="1"/>
        <v>2.2200000000000002</v>
      </c>
      <c r="Q107" s="66">
        <f t="shared" si="1"/>
        <v>25.78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14.669473684210525</v>
      </c>
      <c r="C108" s="67">
        <f t="shared" ref="C108:Q108" si="2">AVERAGE(C9:C104)</f>
        <v>29.285894736842103</v>
      </c>
      <c r="D108" s="67">
        <f t="shared" si="2"/>
        <v>28.571999999999996</v>
      </c>
      <c r="E108" s="67">
        <f t="shared" si="2"/>
        <v>2.8150526315789479</v>
      </c>
      <c r="F108" s="67">
        <f t="shared" si="2"/>
        <v>12.639263157894739</v>
      </c>
      <c r="G108" s="67">
        <f t="shared" si="2"/>
        <v>40.864623655913988</v>
      </c>
      <c r="H108" s="67">
        <f t="shared" si="2"/>
        <v>18.705483870967743</v>
      </c>
      <c r="I108" s="67">
        <f t="shared" si="2"/>
        <v>0.58305263157894749</v>
      </c>
      <c r="J108" s="67">
        <f t="shared" si="2"/>
        <v>0.22684210526315771</v>
      </c>
      <c r="K108" s="67">
        <f t="shared" si="2"/>
        <v>245.07147368421045</v>
      </c>
      <c r="L108" s="67">
        <f t="shared" si="2"/>
        <v>28.476526315789478</v>
      </c>
      <c r="M108" s="67">
        <f t="shared" si="2"/>
        <v>55.424210526315804</v>
      </c>
      <c r="N108" s="67">
        <f t="shared" si="2"/>
        <v>225.61473684210529</v>
      </c>
      <c r="O108" s="67">
        <f t="shared" si="2"/>
        <v>0</v>
      </c>
      <c r="P108" s="67">
        <f t="shared" si="2"/>
        <v>0.71368421052631559</v>
      </c>
      <c r="Q108" s="67">
        <f t="shared" si="2"/>
        <v>20.858297872340422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26.95518468931234</v>
      </c>
      <c r="C109" s="67">
        <f t="shared" ref="C109:Q109" si="3">STDEV(C9:C104)</f>
        <v>16.599546295692683</v>
      </c>
      <c r="D109" s="67">
        <f t="shared" si="3"/>
        <v>28.96321072921096</v>
      </c>
      <c r="E109" s="67">
        <f t="shared" si="3"/>
        <v>1.3170509236541748</v>
      </c>
      <c r="F109" s="67">
        <f t="shared" si="3"/>
        <v>10.888731755283615</v>
      </c>
      <c r="G109" s="67">
        <f t="shared" si="3"/>
        <v>20.250066964953131</v>
      </c>
      <c r="H109" s="67">
        <f t="shared" si="3"/>
        <v>7.5354031824461636</v>
      </c>
      <c r="I109" s="67">
        <f t="shared" si="3"/>
        <v>0.10966170110758613</v>
      </c>
      <c r="J109" s="67">
        <f t="shared" si="3"/>
        <v>0.18475552079330651</v>
      </c>
      <c r="K109" s="67">
        <f t="shared" si="3"/>
        <v>75.52103218349518</v>
      </c>
      <c r="L109" s="67">
        <f t="shared" si="3"/>
        <v>4.5224957260770307</v>
      </c>
      <c r="M109" s="67">
        <f t="shared" si="3"/>
        <v>18.04034949058472</v>
      </c>
      <c r="N109" s="67">
        <f t="shared" si="3"/>
        <v>317.09907773385902</v>
      </c>
      <c r="O109" s="67">
        <f t="shared" si="3"/>
        <v>0</v>
      </c>
      <c r="P109" s="67">
        <f t="shared" si="3"/>
        <v>0.47112146112337022</v>
      </c>
      <c r="Q109" s="67">
        <f t="shared" si="3"/>
        <v>2.3678585390296631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COUNT(B9:B104)+1</f>
        <v>96</v>
      </c>
      <c r="C110" s="66">
        <f>COUNT(C9:C104)+1</f>
        <v>96</v>
      </c>
      <c r="D110" s="66">
        <f>COUNT(D9:D104)+1</f>
        <v>96</v>
      </c>
      <c r="E110" s="66">
        <f>COUNT(E9:E104)+1</f>
        <v>96</v>
      </c>
      <c r="F110" s="66">
        <f>COUNT(F9:F104)+1</f>
        <v>96</v>
      </c>
      <c r="G110" s="66">
        <f>COUNT(G9:G104)+3</f>
        <v>96</v>
      </c>
      <c r="H110" s="66">
        <f>COUNT(H9:H104)+3</f>
        <v>96</v>
      </c>
      <c r="I110" s="66">
        <f>COUNT(I9:I104)+1</f>
        <v>96</v>
      </c>
      <c r="J110" s="66">
        <f>COUNT(J9:J104)+1</f>
        <v>96</v>
      </c>
      <c r="K110" s="66">
        <f t="shared" ref="K110:P110" si="4">COUNT(K9:K104)+1</f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COUNT(Q9:Q104)+2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33" sqref="I13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822</v>
      </c>
      <c r="B9" s="64">
        <v>82.41</v>
      </c>
      <c r="C9" s="64">
        <v>54.6</v>
      </c>
      <c r="D9" s="64">
        <v>96.86</v>
      </c>
      <c r="E9" s="64">
        <v>3.02</v>
      </c>
      <c r="F9" s="64">
        <v>3.67</v>
      </c>
      <c r="G9" s="64">
        <v>117.29</v>
      </c>
      <c r="H9" s="64">
        <v>34.53</v>
      </c>
      <c r="I9" s="64">
        <v>0.95</v>
      </c>
      <c r="J9" s="64">
        <v>0.26</v>
      </c>
      <c r="K9" s="64">
        <v>251.41</v>
      </c>
      <c r="L9" s="64">
        <v>24.89</v>
      </c>
      <c r="M9" s="64">
        <v>69.5</v>
      </c>
      <c r="N9" s="64">
        <v>7</v>
      </c>
      <c r="O9" s="64">
        <v>0</v>
      </c>
      <c r="P9" s="64">
        <v>1.73</v>
      </c>
      <c r="Q9" s="64">
        <v>26.19</v>
      </c>
      <c r="R9" s="198"/>
      <c r="S9" s="198"/>
      <c r="T9" s="198"/>
      <c r="U9" s="198"/>
    </row>
    <row r="10" spans="1:21" s="12" customFormat="1" x14ac:dyDescent="0.25">
      <c r="A10" s="211" t="s">
        <v>823</v>
      </c>
      <c r="B10" s="64">
        <v>62.96</v>
      </c>
      <c r="C10" s="64">
        <v>37.619999999999997</v>
      </c>
      <c r="D10" s="64">
        <v>71.900000000000006</v>
      </c>
      <c r="E10" s="64">
        <v>2.58</v>
      </c>
      <c r="F10" s="64">
        <v>3.31</v>
      </c>
      <c r="G10" s="64">
        <v>121.64</v>
      </c>
      <c r="H10" s="64">
        <v>34.57</v>
      </c>
      <c r="I10" s="64">
        <v>0.89</v>
      </c>
      <c r="J10" s="64">
        <v>0.16</v>
      </c>
      <c r="K10" s="64">
        <v>245.57</v>
      </c>
      <c r="L10" s="64">
        <v>25.42</v>
      </c>
      <c r="M10" s="64">
        <v>66.94</v>
      </c>
      <c r="N10" s="64">
        <v>7.2</v>
      </c>
      <c r="O10" s="64">
        <v>0</v>
      </c>
      <c r="P10" s="64">
        <v>1.53</v>
      </c>
      <c r="Q10" s="64">
        <v>29.67</v>
      </c>
      <c r="R10" s="198"/>
      <c r="S10" s="198"/>
      <c r="T10" s="198"/>
      <c r="U10" s="198"/>
    </row>
    <row r="11" spans="1:21" s="12" customFormat="1" x14ac:dyDescent="0.25">
      <c r="A11" s="211" t="s">
        <v>824</v>
      </c>
      <c r="B11" s="64">
        <v>53.36</v>
      </c>
      <c r="C11" s="64">
        <v>30.29</v>
      </c>
      <c r="D11" s="64">
        <v>60.15</v>
      </c>
      <c r="E11" s="64">
        <v>2.65</v>
      </c>
      <c r="F11" s="64">
        <v>6.08</v>
      </c>
      <c r="G11" s="64">
        <v>121.64</v>
      </c>
      <c r="H11" s="64">
        <v>34.57</v>
      </c>
      <c r="I11" s="64">
        <v>0.98</v>
      </c>
      <c r="J11" s="64">
        <v>0.11</v>
      </c>
      <c r="K11" s="64">
        <v>259.61</v>
      </c>
      <c r="L11" s="64">
        <v>25.55</v>
      </c>
      <c r="M11" s="64">
        <v>62.22</v>
      </c>
      <c r="N11" s="64">
        <v>7.5</v>
      </c>
      <c r="O11" s="64">
        <v>0</v>
      </c>
      <c r="P11" s="64">
        <v>1.33</v>
      </c>
      <c r="Q11" s="64">
        <v>31.48</v>
      </c>
      <c r="R11" s="198"/>
      <c r="S11" s="198"/>
      <c r="T11" s="198"/>
      <c r="U11" s="198"/>
    </row>
    <row r="12" spans="1:21" s="12" customFormat="1" x14ac:dyDescent="0.25">
      <c r="A12" s="211" t="s">
        <v>825</v>
      </c>
      <c r="B12" s="64">
        <v>49.93</v>
      </c>
      <c r="C12" s="64">
        <v>27.07</v>
      </c>
      <c r="D12" s="64">
        <v>55.63</v>
      </c>
      <c r="E12" s="64">
        <v>2.79</v>
      </c>
      <c r="F12" s="64">
        <v>7.09</v>
      </c>
      <c r="G12" s="64">
        <v>121.64</v>
      </c>
      <c r="H12" s="64">
        <v>34.57</v>
      </c>
      <c r="I12" s="64">
        <v>0.91</v>
      </c>
      <c r="J12" s="64">
        <v>0.15</v>
      </c>
      <c r="K12" s="64">
        <v>264.08</v>
      </c>
      <c r="L12" s="64">
        <v>25.22</v>
      </c>
      <c r="M12" s="64">
        <v>64.150000000000006</v>
      </c>
      <c r="N12" s="64">
        <v>7.7</v>
      </c>
      <c r="O12" s="64">
        <v>0</v>
      </c>
      <c r="P12" s="64">
        <v>1.27</v>
      </c>
      <c r="Q12" s="64">
        <v>30.55</v>
      </c>
      <c r="R12" s="198"/>
      <c r="S12" s="198"/>
      <c r="T12" s="198"/>
      <c r="U12" s="198"/>
    </row>
    <row r="13" spans="1:21" s="12" customFormat="1" x14ac:dyDescent="0.25">
      <c r="A13" s="211" t="s">
        <v>826</v>
      </c>
      <c r="B13" s="64">
        <v>51.97</v>
      </c>
      <c r="C13" s="64">
        <v>29.89</v>
      </c>
      <c r="D13" s="64">
        <v>58.82</v>
      </c>
      <c r="E13" s="64">
        <v>2.62</v>
      </c>
      <c r="F13" s="64">
        <v>5.28</v>
      </c>
      <c r="G13" s="64">
        <v>106.12</v>
      </c>
      <c r="H13" s="64">
        <v>34.700000000000003</v>
      </c>
      <c r="I13" s="64">
        <v>0.8</v>
      </c>
      <c r="J13" s="64">
        <v>0.1</v>
      </c>
      <c r="K13" s="64">
        <v>291.39</v>
      </c>
      <c r="L13" s="64">
        <v>24.62</v>
      </c>
      <c r="M13" s="64">
        <v>69.540000000000006</v>
      </c>
      <c r="N13" s="64">
        <v>8</v>
      </c>
      <c r="O13" s="64">
        <v>0</v>
      </c>
      <c r="P13" s="64">
        <v>1.19</v>
      </c>
      <c r="Q13" s="64">
        <v>30.07</v>
      </c>
      <c r="R13" s="198"/>
      <c r="S13" s="198"/>
      <c r="T13" s="198"/>
      <c r="U13" s="198"/>
    </row>
    <row r="14" spans="1:21" s="12" customFormat="1" x14ac:dyDescent="0.25">
      <c r="A14" s="211" t="s">
        <v>827</v>
      </c>
      <c r="B14" s="64">
        <v>44.14</v>
      </c>
      <c r="C14" s="64">
        <v>34.119999999999997</v>
      </c>
      <c r="D14" s="64">
        <v>54.87</v>
      </c>
      <c r="E14" s="64">
        <v>2.33</v>
      </c>
      <c r="F14" s="64">
        <v>4.8</v>
      </c>
      <c r="G14" s="64">
        <v>102.77</v>
      </c>
      <c r="H14" s="64">
        <v>34.729999999999997</v>
      </c>
      <c r="I14" s="64">
        <v>0.8</v>
      </c>
      <c r="J14" s="64">
        <v>0.1</v>
      </c>
      <c r="K14" s="64">
        <v>266.58</v>
      </c>
      <c r="L14" s="64">
        <v>24.39</v>
      </c>
      <c r="M14" s="64">
        <v>69.31</v>
      </c>
      <c r="N14" s="64">
        <v>7.7</v>
      </c>
      <c r="O14" s="64">
        <v>0</v>
      </c>
      <c r="P14" s="64">
        <v>1.1200000000000001</v>
      </c>
      <c r="Q14" s="64">
        <v>30.41</v>
      </c>
      <c r="R14" s="198"/>
      <c r="S14" s="198"/>
      <c r="T14" s="198"/>
      <c r="U14" s="198"/>
    </row>
    <row r="15" spans="1:21" s="12" customFormat="1" x14ac:dyDescent="0.25">
      <c r="A15" s="211" t="s">
        <v>828</v>
      </c>
      <c r="B15" s="64">
        <v>46.54</v>
      </c>
      <c r="C15" s="64">
        <v>28.51</v>
      </c>
      <c r="D15" s="64">
        <v>53.7</v>
      </c>
      <c r="E15" s="64">
        <v>2.36</v>
      </c>
      <c r="F15" s="64">
        <v>5.09</v>
      </c>
      <c r="G15" s="64">
        <v>102.77</v>
      </c>
      <c r="H15" s="64">
        <v>34.729999999999997</v>
      </c>
      <c r="I15" s="64">
        <v>0.75</v>
      </c>
      <c r="J15" s="64">
        <v>7.0000000000000007E-2</v>
      </c>
      <c r="K15" s="64">
        <v>252.39</v>
      </c>
      <c r="L15" s="64">
        <v>24.28</v>
      </c>
      <c r="M15" s="64">
        <v>70.97</v>
      </c>
      <c r="N15" s="64">
        <v>7.9</v>
      </c>
      <c r="O15" s="64">
        <v>0</v>
      </c>
      <c r="P15" s="64">
        <v>1.1499999999999999</v>
      </c>
      <c r="Q15" s="64">
        <v>28.9</v>
      </c>
      <c r="R15" s="198"/>
      <c r="S15" s="198"/>
      <c r="T15" s="198"/>
      <c r="U15" s="198"/>
    </row>
    <row r="16" spans="1:21" s="12" customFormat="1" x14ac:dyDescent="0.25">
      <c r="A16" s="211" t="s">
        <v>829</v>
      </c>
      <c r="B16" s="64">
        <v>32.840000000000003</v>
      </c>
      <c r="C16" s="64">
        <v>32.090000000000003</v>
      </c>
      <c r="D16" s="64">
        <v>44.69</v>
      </c>
      <c r="E16" s="64">
        <v>2.13</v>
      </c>
      <c r="F16" s="64">
        <v>6.58</v>
      </c>
      <c r="G16" s="64">
        <v>102.77</v>
      </c>
      <c r="H16" s="64">
        <v>34.729999999999997</v>
      </c>
      <c r="I16" s="64">
        <v>0.75</v>
      </c>
      <c r="J16" s="64">
        <v>0.08</v>
      </c>
      <c r="K16" s="64">
        <v>256.89999999999998</v>
      </c>
      <c r="L16" s="64">
        <v>24.4</v>
      </c>
      <c r="M16" s="64">
        <v>68.91</v>
      </c>
      <c r="N16" s="64">
        <v>7.7</v>
      </c>
      <c r="O16" s="64">
        <v>0</v>
      </c>
      <c r="P16" s="64">
        <v>0.91</v>
      </c>
      <c r="Q16" s="64">
        <v>29.71</v>
      </c>
      <c r="R16" s="198"/>
      <c r="S16" s="198"/>
      <c r="T16" s="198"/>
      <c r="U16" s="198"/>
    </row>
    <row r="17" spans="1:21" s="12" customFormat="1" x14ac:dyDescent="0.25">
      <c r="A17" s="211" t="s">
        <v>830</v>
      </c>
      <c r="B17" s="64">
        <v>34.89</v>
      </c>
      <c r="C17" s="64">
        <v>27.28</v>
      </c>
      <c r="D17" s="64">
        <v>43.68</v>
      </c>
      <c r="E17" s="64">
        <v>2.67</v>
      </c>
      <c r="F17" s="64">
        <v>8.09</v>
      </c>
      <c r="G17" s="64">
        <v>80.92</v>
      </c>
      <c r="H17" s="64">
        <v>34.229999999999997</v>
      </c>
      <c r="I17" s="64">
        <v>0.73</v>
      </c>
      <c r="J17" s="64">
        <v>0.05</v>
      </c>
      <c r="K17" s="64">
        <v>339.36</v>
      </c>
      <c r="L17" s="64">
        <v>24.79</v>
      </c>
      <c r="M17" s="64">
        <v>64.849999999999994</v>
      </c>
      <c r="N17" s="64">
        <v>7.7</v>
      </c>
      <c r="O17" s="64">
        <v>0</v>
      </c>
      <c r="P17" s="64">
        <v>0.89</v>
      </c>
      <c r="Q17" s="64">
        <v>28.9</v>
      </c>
      <c r="R17" s="198"/>
      <c r="S17" s="198"/>
      <c r="T17" s="198"/>
      <c r="U17" s="198"/>
    </row>
    <row r="18" spans="1:21" s="12" customFormat="1" x14ac:dyDescent="0.25">
      <c r="A18" s="211" t="s">
        <v>831</v>
      </c>
      <c r="B18" s="64">
        <v>26.76</v>
      </c>
      <c r="C18" s="64">
        <v>26.69</v>
      </c>
      <c r="D18" s="64">
        <v>36.840000000000003</v>
      </c>
      <c r="E18" s="64">
        <v>2.4700000000000002</v>
      </c>
      <c r="F18" s="64">
        <v>12.89</v>
      </c>
      <c r="G18" s="64">
        <v>76.2</v>
      </c>
      <c r="H18" s="64">
        <v>34.119999999999997</v>
      </c>
      <c r="I18" s="64">
        <v>0.69</v>
      </c>
      <c r="J18" s="64">
        <v>0.05</v>
      </c>
      <c r="K18" s="64">
        <v>36.909999999999997</v>
      </c>
      <c r="L18" s="64">
        <v>24.81</v>
      </c>
      <c r="M18" s="64">
        <v>64.290000000000006</v>
      </c>
      <c r="N18" s="64">
        <v>7.7</v>
      </c>
      <c r="O18" s="64">
        <v>0</v>
      </c>
      <c r="P18" s="64">
        <v>0.76</v>
      </c>
      <c r="Q18" s="64">
        <v>29.76</v>
      </c>
      <c r="R18" s="198"/>
      <c r="S18" s="198"/>
      <c r="T18" s="198"/>
      <c r="U18" s="198"/>
    </row>
    <row r="19" spans="1:21" s="12" customFormat="1" x14ac:dyDescent="0.25">
      <c r="A19" s="211" t="s">
        <v>832</v>
      </c>
      <c r="B19" s="64">
        <v>31.26</v>
      </c>
      <c r="C19" s="64">
        <v>23.08</v>
      </c>
      <c r="D19" s="64">
        <v>38.450000000000003</v>
      </c>
      <c r="E19" s="64">
        <v>2.1800000000000002</v>
      </c>
      <c r="F19" s="64">
        <v>9.81</v>
      </c>
      <c r="G19" s="64">
        <v>76.2</v>
      </c>
      <c r="H19" s="64">
        <v>34.119999999999997</v>
      </c>
      <c r="I19" s="64">
        <v>0.68</v>
      </c>
      <c r="J19" s="64">
        <v>0.09</v>
      </c>
      <c r="K19" s="64">
        <v>266.57</v>
      </c>
      <c r="L19" s="64">
        <v>24.38</v>
      </c>
      <c r="M19" s="64">
        <v>67.709999999999994</v>
      </c>
      <c r="N19" s="64">
        <v>7.7</v>
      </c>
      <c r="O19" s="64">
        <v>0</v>
      </c>
      <c r="P19" s="64">
        <v>0.88</v>
      </c>
      <c r="Q19" s="64">
        <v>28.99</v>
      </c>
      <c r="R19" s="198"/>
      <c r="S19" s="198"/>
      <c r="T19" s="198"/>
      <c r="U19" s="198"/>
    </row>
    <row r="20" spans="1:21" s="12" customFormat="1" x14ac:dyDescent="0.25">
      <c r="A20" s="211" t="s">
        <v>833</v>
      </c>
      <c r="B20" s="64">
        <v>26.63</v>
      </c>
      <c r="C20" s="64">
        <v>26.62</v>
      </c>
      <c r="D20" s="64">
        <v>36.69</v>
      </c>
      <c r="E20" s="64">
        <v>2.42</v>
      </c>
      <c r="F20" s="64">
        <v>9.14</v>
      </c>
      <c r="G20" s="64">
        <v>76.2</v>
      </c>
      <c r="H20" s="64">
        <v>34.119999999999997</v>
      </c>
      <c r="I20" s="64">
        <v>0.63</v>
      </c>
      <c r="J20" s="64">
        <v>0.03</v>
      </c>
      <c r="K20" s="64">
        <v>178.74</v>
      </c>
      <c r="L20" s="64">
        <v>23.96</v>
      </c>
      <c r="M20" s="64">
        <v>69.150000000000006</v>
      </c>
      <c r="N20" s="64">
        <v>7.5</v>
      </c>
      <c r="O20" s="64">
        <v>0</v>
      </c>
      <c r="P20" s="64">
        <v>0.77</v>
      </c>
      <c r="Q20" s="64">
        <v>29.71</v>
      </c>
      <c r="R20" s="198"/>
      <c r="S20" s="198"/>
      <c r="T20" s="198"/>
      <c r="U20" s="198"/>
    </row>
    <row r="21" spans="1:21" s="12" customFormat="1" x14ac:dyDescent="0.25">
      <c r="A21" s="211" t="s">
        <v>834</v>
      </c>
      <c r="B21" s="64">
        <v>30.34</v>
      </c>
      <c r="C21" s="64">
        <v>25.7</v>
      </c>
      <c r="D21" s="64">
        <v>39.159999999999997</v>
      </c>
      <c r="E21" s="64">
        <v>2.4900000000000002</v>
      </c>
      <c r="F21" s="64">
        <v>7.74</v>
      </c>
      <c r="G21" s="64">
        <v>65.91</v>
      </c>
      <c r="H21" s="64">
        <v>32.229999999999997</v>
      </c>
      <c r="I21" s="64">
        <v>0.63</v>
      </c>
      <c r="J21" s="64">
        <v>0.17</v>
      </c>
      <c r="K21" s="64">
        <v>237.25</v>
      </c>
      <c r="L21" s="64">
        <v>24.11</v>
      </c>
      <c r="M21" s="64">
        <v>67.48</v>
      </c>
      <c r="N21" s="64">
        <v>6.9</v>
      </c>
      <c r="O21" s="64">
        <v>0</v>
      </c>
      <c r="P21" s="64">
        <v>0.86</v>
      </c>
      <c r="Q21" s="64">
        <v>29.21</v>
      </c>
      <c r="R21" s="198"/>
      <c r="S21" s="198"/>
      <c r="T21" s="198"/>
      <c r="U21" s="198"/>
    </row>
    <row r="22" spans="1:21" s="12" customFormat="1" x14ac:dyDescent="0.25">
      <c r="A22" s="211" t="s">
        <v>835</v>
      </c>
      <c r="B22" s="64">
        <v>37.03</v>
      </c>
      <c r="C22" s="64">
        <v>23.71</v>
      </c>
      <c r="D22" s="64">
        <v>43.43</v>
      </c>
      <c r="E22" s="64">
        <v>2.2200000000000002</v>
      </c>
      <c r="F22" s="64">
        <v>5.03</v>
      </c>
      <c r="G22" s="64">
        <v>63.68</v>
      </c>
      <c r="H22" s="64">
        <v>31.82</v>
      </c>
      <c r="I22" s="64">
        <v>0.63</v>
      </c>
      <c r="J22" s="64">
        <v>0.15</v>
      </c>
      <c r="K22" s="64">
        <v>261.7</v>
      </c>
      <c r="L22" s="64">
        <v>24.19</v>
      </c>
      <c r="M22" s="64">
        <v>68.69</v>
      </c>
      <c r="N22" s="64">
        <v>7.5</v>
      </c>
      <c r="O22" s="64">
        <v>0</v>
      </c>
      <c r="P22" s="64">
        <v>0.98</v>
      </c>
      <c r="Q22" s="64">
        <v>29.78</v>
      </c>
      <c r="R22" s="198"/>
      <c r="S22" s="198"/>
      <c r="T22" s="198"/>
      <c r="U22" s="198"/>
    </row>
    <row r="23" spans="1:21" s="12" customFormat="1" x14ac:dyDescent="0.25">
      <c r="A23" s="211" t="s">
        <v>836</v>
      </c>
      <c r="B23" s="64">
        <v>35.92</v>
      </c>
      <c r="C23" s="64">
        <v>23.55</v>
      </c>
      <c r="D23" s="64">
        <v>42.45</v>
      </c>
      <c r="E23" s="64">
        <v>2.86</v>
      </c>
      <c r="F23" s="64">
        <v>4.51</v>
      </c>
      <c r="G23" s="64">
        <v>63.68</v>
      </c>
      <c r="H23" s="64">
        <v>31.82</v>
      </c>
      <c r="I23" s="64">
        <v>0.66</v>
      </c>
      <c r="J23" s="64">
        <v>0.1</v>
      </c>
      <c r="K23" s="64">
        <v>244.86</v>
      </c>
      <c r="L23" s="64">
        <v>24.06</v>
      </c>
      <c r="M23" s="64">
        <v>66.53</v>
      </c>
      <c r="N23" s="64">
        <v>6.9</v>
      </c>
      <c r="O23" s="64">
        <v>0</v>
      </c>
      <c r="P23" s="64">
        <v>0.98</v>
      </c>
      <c r="Q23" s="64">
        <v>28.34</v>
      </c>
      <c r="R23" s="198"/>
      <c r="S23" s="198"/>
      <c r="T23" s="198"/>
      <c r="U23" s="198"/>
    </row>
    <row r="24" spans="1:21" s="12" customFormat="1" x14ac:dyDescent="0.25">
      <c r="A24" s="211" t="s">
        <v>837</v>
      </c>
      <c r="B24" s="64">
        <v>32.130000000000003</v>
      </c>
      <c r="C24" s="64">
        <v>24.27</v>
      </c>
      <c r="D24" s="64">
        <v>39.81</v>
      </c>
      <c r="E24" s="64">
        <v>1.42</v>
      </c>
      <c r="F24" s="64">
        <v>4.4000000000000004</v>
      </c>
      <c r="G24" s="64">
        <v>63.68</v>
      </c>
      <c r="H24" s="64">
        <v>31.82</v>
      </c>
      <c r="I24" s="64">
        <v>0.76</v>
      </c>
      <c r="J24" s="64">
        <v>0.01</v>
      </c>
      <c r="K24" s="64">
        <v>28.16</v>
      </c>
      <c r="L24" s="64">
        <v>24.48</v>
      </c>
      <c r="M24" s="64">
        <v>63.79</v>
      </c>
      <c r="N24" s="64">
        <v>7.2</v>
      </c>
      <c r="O24" s="64">
        <v>0</v>
      </c>
      <c r="P24" s="64">
        <v>0.94</v>
      </c>
      <c r="Q24" s="64">
        <v>28.39</v>
      </c>
      <c r="R24" s="198"/>
      <c r="S24" s="198"/>
      <c r="T24" s="198"/>
      <c r="U24" s="198"/>
    </row>
    <row r="25" spans="1:21" s="12" customFormat="1" x14ac:dyDescent="0.25">
      <c r="A25" s="211" t="s">
        <v>838</v>
      </c>
      <c r="B25" s="64">
        <v>30.83</v>
      </c>
      <c r="C25" s="64">
        <v>24.6</v>
      </c>
      <c r="D25" s="64">
        <v>38.94</v>
      </c>
      <c r="E25" s="64">
        <v>1.97</v>
      </c>
      <c r="F25" s="64">
        <v>4.04</v>
      </c>
      <c r="G25" s="64">
        <v>70.209999999999994</v>
      </c>
      <c r="H25" s="64">
        <v>30.8</v>
      </c>
      <c r="I25" s="64">
        <v>0.7</v>
      </c>
      <c r="J25" s="64">
        <v>0.08</v>
      </c>
      <c r="K25" s="64">
        <v>262.99</v>
      </c>
      <c r="L25" s="64">
        <v>24.1</v>
      </c>
      <c r="M25" s="64">
        <v>66</v>
      </c>
      <c r="N25" s="64">
        <v>7.2</v>
      </c>
      <c r="O25" s="64">
        <v>0</v>
      </c>
      <c r="P25" s="64">
        <v>0.94</v>
      </c>
      <c r="Q25" s="64">
        <v>27.94</v>
      </c>
      <c r="R25" s="198"/>
      <c r="S25" s="198"/>
      <c r="T25" s="198"/>
      <c r="U25" s="198"/>
    </row>
    <row r="26" spans="1:21" s="12" customFormat="1" x14ac:dyDescent="0.25">
      <c r="A26" s="211" t="s">
        <v>839</v>
      </c>
      <c r="B26" s="64">
        <v>30.28</v>
      </c>
      <c r="C26" s="64">
        <v>23.73</v>
      </c>
      <c r="D26" s="64">
        <v>38.020000000000003</v>
      </c>
      <c r="E26" s="64">
        <v>2.2400000000000002</v>
      </c>
      <c r="F26" s="64">
        <v>3.81</v>
      </c>
      <c r="G26" s="64">
        <v>71.63</v>
      </c>
      <c r="H26" s="64">
        <v>30.57</v>
      </c>
      <c r="I26" s="64">
        <v>0.67</v>
      </c>
      <c r="J26" s="64">
        <v>0.14000000000000001</v>
      </c>
      <c r="K26" s="64">
        <v>259.82</v>
      </c>
      <c r="L26" s="64">
        <v>23.94</v>
      </c>
      <c r="M26" s="64">
        <v>66.63</v>
      </c>
      <c r="N26" s="64">
        <v>7</v>
      </c>
      <c r="O26" s="64">
        <v>0</v>
      </c>
      <c r="P26" s="64">
        <v>0.93</v>
      </c>
      <c r="Q26" s="64">
        <v>27.66</v>
      </c>
      <c r="R26" s="198"/>
      <c r="S26" s="198"/>
      <c r="T26" s="198"/>
      <c r="U26" s="198"/>
    </row>
    <row r="27" spans="1:21" s="12" customFormat="1" x14ac:dyDescent="0.25">
      <c r="A27" s="211" t="s">
        <v>840</v>
      </c>
      <c r="B27" s="64">
        <v>30.96</v>
      </c>
      <c r="C27" s="64">
        <v>24.02</v>
      </c>
      <c r="D27" s="64">
        <v>38.729999999999997</v>
      </c>
      <c r="E27" s="64">
        <v>2.14</v>
      </c>
      <c r="F27" s="64">
        <v>3.37</v>
      </c>
      <c r="G27" s="64">
        <v>71.63</v>
      </c>
      <c r="H27" s="64">
        <v>30.57</v>
      </c>
      <c r="I27" s="64">
        <v>0.67</v>
      </c>
      <c r="J27" s="64">
        <v>0.03</v>
      </c>
      <c r="K27" s="64">
        <v>243.64</v>
      </c>
      <c r="L27" s="64">
        <v>23.54</v>
      </c>
      <c r="M27" s="64">
        <v>71.959999999999994</v>
      </c>
      <c r="N27" s="64">
        <v>7.4</v>
      </c>
      <c r="O27" s="64">
        <v>0</v>
      </c>
      <c r="P27" s="64">
        <v>0.93</v>
      </c>
      <c r="Q27" s="64">
        <v>27.33</v>
      </c>
      <c r="R27" s="198"/>
      <c r="S27" s="198"/>
      <c r="T27" s="198"/>
      <c r="U27" s="198"/>
    </row>
    <row r="28" spans="1:21" s="12" customFormat="1" x14ac:dyDescent="0.25">
      <c r="A28" s="211" t="s">
        <v>841</v>
      </c>
      <c r="B28" s="64">
        <v>33.97</v>
      </c>
      <c r="C28" s="64">
        <v>28.27</v>
      </c>
      <c r="D28" s="64">
        <v>43.49</v>
      </c>
      <c r="E28" s="64">
        <v>2.08</v>
      </c>
      <c r="F28" s="64">
        <v>2.72</v>
      </c>
      <c r="G28" s="64">
        <v>71.63</v>
      </c>
      <c r="H28" s="64">
        <v>30.57</v>
      </c>
      <c r="I28" s="64">
        <v>0.68</v>
      </c>
      <c r="J28" s="64">
        <v>0.14000000000000001</v>
      </c>
      <c r="K28" s="64">
        <v>241.25</v>
      </c>
      <c r="L28" s="64">
        <v>23.54</v>
      </c>
      <c r="M28" s="64">
        <v>71.900000000000006</v>
      </c>
      <c r="N28" s="64">
        <v>7</v>
      </c>
      <c r="O28" s="64">
        <v>0</v>
      </c>
      <c r="P28" s="64">
        <v>0.95</v>
      </c>
      <c r="Q28" s="64">
        <v>27.05</v>
      </c>
      <c r="R28" s="198"/>
      <c r="S28" s="198"/>
      <c r="T28" s="198"/>
      <c r="U28" s="198"/>
    </row>
    <row r="29" spans="1:21" s="12" customFormat="1" x14ac:dyDescent="0.25">
      <c r="A29" s="211" t="s">
        <v>842</v>
      </c>
      <c r="B29" s="64">
        <v>26.86</v>
      </c>
      <c r="C29" s="64">
        <v>31.4</v>
      </c>
      <c r="D29" s="64">
        <v>39.51</v>
      </c>
      <c r="E29" s="64">
        <v>1.87</v>
      </c>
      <c r="F29" s="64">
        <v>3.57</v>
      </c>
      <c r="G29" s="64">
        <v>76.040000000000006</v>
      </c>
      <c r="H29" s="64">
        <v>29.95</v>
      </c>
      <c r="I29" s="64">
        <v>0.66</v>
      </c>
      <c r="J29" s="64">
        <v>0.18</v>
      </c>
      <c r="K29" s="64">
        <v>243.93</v>
      </c>
      <c r="L29" s="64">
        <v>23.65</v>
      </c>
      <c r="M29" s="64">
        <v>70.760000000000005</v>
      </c>
      <c r="N29" s="64">
        <v>7.9</v>
      </c>
      <c r="O29" s="64">
        <v>0</v>
      </c>
      <c r="P29" s="64">
        <v>0.96</v>
      </c>
      <c r="Q29" s="64">
        <v>27.01</v>
      </c>
      <c r="R29" s="198"/>
      <c r="S29" s="198"/>
      <c r="T29" s="198"/>
      <c r="U29" s="198"/>
    </row>
    <row r="30" spans="1:21" s="12" customFormat="1" x14ac:dyDescent="0.25">
      <c r="A30" s="211" t="s">
        <v>843</v>
      </c>
      <c r="B30" s="64">
        <v>26.88</v>
      </c>
      <c r="C30" s="64">
        <v>27.15</v>
      </c>
      <c r="D30" s="64">
        <v>37.19</v>
      </c>
      <c r="E30" s="64">
        <v>2.5099999999999998</v>
      </c>
      <c r="F30" s="64">
        <v>4.1100000000000003</v>
      </c>
      <c r="G30" s="64">
        <v>77</v>
      </c>
      <c r="H30" s="64">
        <v>29.82</v>
      </c>
      <c r="I30" s="64">
        <v>0.66</v>
      </c>
      <c r="J30" s="64">
        <v>0.28000000000000003</v>
      </c>
      <c r="K30" s="64">
        <v>231.44</v>
      </c>
      <c r="L30" s="64">
        <v>23.65</v>
      </c>
      <c r="M30" s="64">
        <v>72.19</v>
      </c>
      <c r="N30" s="64">
        <v>12</v>
      </c>
      <c r="O30" s="64">
        <v>0</v>
      </c>
      <c r="P30" s="64">
        <v>0.9</v>
      </c>
      <c r="Q30" s="64">
        <v>27.26</v>
      </c>
      <c r="R30" s="198"/>
      <c r="S30" s="198"/>
      <c r="T30" s="198"/>
      <c r="U30" s="198"/>
    </row>
    <row r="31" spans="1:21" s="12" customFormat="1" x14ac:dyDescent="0.25">
      <c r="A31" s="211" t="s">
        <v>844</v>
      </c>
      <c r="B31" s="64">
        <v>26.48</v>
      </c>
      <c r="C31" s="64">
        <v>21.52</v>
      </c>
      <c r="D31" s="64">
        <v>33.75</v>
      </c>
      <c r="E31" s="64">
        <v>2.17</v>
      </c>
      <c r="F31" s="64">
        <v>4.7</v>
      </c>
      <c r="G31" s="64">
        <v>77</v>
      </c>
      <c r="H31" s="64">
        <v>29.82</v>
      </c>
      <c r="I31" s="64">
        <v>0.62</v>
      </c>
      <c r="J31" s="64">
        <v>0.36</v>
      </c>
      <c r="K31" s="64">
        <v>200.66</v>
      </c>
      <c r="L31" s="64">
        <v>23.41</v>
      </c>
      <c r="M31" s="64">
        <v>75.98</v>
      </c>
      <c r="N31" s="64">
        <v>25</v>
      </c>
      <c r="O31" s="64">
        <v>0</v>
      </c>
      <c r="P31" s="64">
        <v>0.82</v>
      </c>
      <c r="Q31" s="64">
        <v>27.75</v>
      </c>
      <c r="R31" s="198"/>
      <c r="S31" s="198"/>
      <c r="T31" s="198"/>
      <c r="U31" s="198"/>
    </row>
    <row r="32" spans="1:21" s="12" customFormat="1" x14ac:dyDescent="0.25">
      <c r="A32" s="211" t="s">
        <v>845</v>
      </c>
      <c r="B32" s="64">
        <v>26.5</v>
      </c>
      <c r="C32" s="64">
        <v>18.41</v>
      </c>
      <c r="D32" s="64">
        <v>32.06</v>
      </c>
      <c r="E32" s="64">
        <v>2.37</v>
      </c>
      <c r="F32" s="64">
        <v>5.26</v>
      </c>
      <c r="G32" s="64">
        <v>77</v>
      </c>
      <c r="H32" s="64">
        <v>29.82</v>
      </c>
      <c r="I32" s="64">
        <v>0.65</v>
      </c>
      <c r="J32" s="64">
        <v>0.28999999999999998</v>
      </c>
      <c r="K32" s="64">
        <v>207.19</v>
      </c>
      <c r="L32" s="64">
        <v>23.48</v>
      </c>
      <c r="M32" s="64">
        <v>76.03</v>
      </c>
      <c r="N32" s="64">
        <v>46.7</v>
      </c>
      <c r="O32" s="64">
        <v>0</v>
      </c>
      <c r="P32" s="64">
        <v>0.86</v>
      </c>
      <c r="Q32" s="64">
        <v>27.21</v>
      </c>
      <c r="R32" s="198"/>
      <c r="S32" s="198"/>
      <c r="T32" s="198"/>
      <c r="U32" s="198"/>
    </row>
    <row r="33" spans="1:21" s="12" customFormat="1" x14ac:dyDescent="0.25">
      <c r="A33" s="211" t="s">
        <v>846</v>
      </c>
      <c r="B33" s="64">
        <v>26.25</v>
      </c>
      <c r="C33" s="64">
        <v>21.06</v>
      </c>
      <c r="D33" s="64">
        <v>33.32</v>
      </c>
      <c r="E33" s="64">
        <v>2.5499999999999998</v>
      </c>
      <c r="F33" s="64">
        <v>4.32</v>
      </c>
      <c r="G33" s="64">
        <v>66.2</v>
      </c>
      <c r="H33" s="64">
        <v>25.96</v>
      </c>
      <c r="I33" s="64">
        <v>0.64</v>
      </c>
      <c r="J33" s="64">
        <v>0.19</v>
      </c>
      <c r="K33" s="64">
        <v>236.93</v>
      </c>
      <c r="L33" s="64">
        <v>23.97</v>
      </c>
      <c r="M33" s="64">
        <v>72.959999999999994</v>
      </c>
      <c r="N33" s="64">
        <v>76.099999999999994</v>
      </c>
      <c r="O33" s="64">
        <v>0</v>
      </c>
      <c r="P33" s="64">
        <v>0.82</v>
      </c>
      <c r="Q33" s="64">
        <v>27.67</v>
      </c>
      <c r="R33" s="198"/>
      <c r="S33" s="198"/>
      <c r="T33" s="198"/>
      <c r="U33" s="198"/>
    </row>
    <row r="34" spans="1:21" s="12" customFormat="1" x14ac:dyDescent="0.25">
      <c r="A34" s="211" t="s">
        <v>847</v>
      </c>
      <c r="B34" s="64">
        <v>30.24</v>
      </c>
      <c r="C34" s="64">
        <v>18.34</v>
      </c>
      <c r="D34" s="64">
        <v>35.020000000000003</v>
      </c>
      <c r="E34" s="64">
        <v>2.29</v>
      </c>
      <c r="F34" s="64">
        <v>3.8</v>
      </c>
      <c r="G34" s="64">
        <v>63.87</v>
      </c>
      <c r="H34" s="64">
        <v>25.12</v>
      </c>
      <c r="I34" s="64">
        <v>0.65</v>
      </c>
      <c r="J34" s="64">
        <v>0.27</v>
      </c>
      <c r="K34" s="64">
        <v>191.92</v>
      </c>
      <c r="L34" s="64">
        <v>24.32</v>
      </c>
      <c r="M34" s="64">
        <v>71.040000000000006</v>
      </c>
      <c r="N34" s="64">
        <v>109.2</v>
      </c>
      <c r="O34" s="64">
        <v>0</v>
      </c>
      <c r="P34" s="64">
        <v>0.89</v>
      </c>
      <c r="Q34" s="64">
        <v>26.94</v>
      </c>
      <c r="R34" s="198"/>
      <c r="S34" s="198"/>
      <c r="T34" s="198"/>
      <c r="U34" s="198"/>
    </row>
    <row r="35" spans="1:21" s="12" customFormat="1" x14ac:dyDescent="0.25">
      <c r="A35" s="211" t="s">
        <v>848</v>
      </c>
      <c r="B35" s="64">
        <v>31.12</v>
      </c>
      <c r="C35" s="64">
        <v>16.989999999999998</v>
      </c>
      <c r="D35" s="64">
        <v>34.979999999999997</v>
      </c>
      <c r="E35" s="64">
        <v>2.08</v>
      </c>
      <c r="F35" s="64">
        <v>3.71</v>
      </c>
      <c r="G35" s="64">
        <v>63.87</v>
      </c>
      <c r="H35" s="64">
        <v>25.12</v>
      </c>
      <c r="I35" s="64">
        <v>0.63</v>
      </c>
      <c r="J35" s="64">
        <v>0.28999999999999998</v>
      </c>
      <c r="K35" s="64">
        <v>207.39</v>
      </c>
      <c r="L35" s="64">
        <v>25</v>
      </c>
      <c r="M35" s="64">
        <v>67.89</v>
      </c>
      <c r="N35" s="64">
        <v>160.19999999999999</v>
      </c>
      <c r="O35" s="64">
        <v>0</v>
      </c>
      <c r="P35" s="64">
        <v>0.87</v>
      </c>
      <c r="Q35" s="64">
        <v>26.9</v>
      </c>
      <c r="R35" s="198"/>
      <c r="S35" s="198"/>
      <c r="T35" s="198"/>
      <c r="U35" s="198"/>
    </row>
    <row r="36" spans="1:21" s="12" customFormat="1" x14ac:dyDescent="0.25">
      <c r="A36" s="211" t="s">
        <v>849</v>
      </c>
      <c r="B36" s="64">
        <v>27.76</v>
      </c>
      <c r="C36" s="64">
        <v>17.420000000000002</v>
      </c>
      <c r="D36" s="64">
        <v>32.520000000000003</v>
      </c>
      <c r="E36" s="64">
        <v>2.1</v>
      </c>
      <c r="F36" s="64">
        <v>3.88</v>
      </c>
      <c r="G36" s="64">
        <v>63.87</v>
      </c>
      <c r="H36" s="64">
        <v>25.12</v>
      </c>
      <c r="I36" s="64">
        <v>0.69</v>
      </c>
      <c r="J36" s="64">
        <v>7.0000000000000007E-2</v>
      </c>
      <c r="K36" s="64">
        <v>232.48</v>
      </c>
      <c r="L36" s="64">
        <v>25.82</v>
      </c>
      <c r="M36" s="64">
        <v>64.540000000000006</v>
      </c>
      <c r="N36" s="64">
        <v>204</v>
      </c>
      <c r="O36" s="64">
        <v>0</v>
      </c>
      <c r="P36" s="64">
        <v>0.84</v>
      </c>
      <c r="Q36" s="64">
        <v>26.87</v>
      </c>
      <c r="R36" s="198"/>
      <c r="S36" s="198"/>
      <c r="T36" s="198"/>
      <c r="U36" s="198"/>
    </row>
    <row r="37" spans="1:21" s="12" customFormat="1" x14ac:dyDescent="0.25">
      <c r="A37" s="211" t="s">
        <v>850</v>
      </c>
      <c r="B37" s="64">
        <v>26.39</v>
      </c>
      <c r="C37" s="64">
        <v>19.52</v>
      </c>
      <c r="D37" s="64">
        <v>32.58</v>
      </c>
      <c r="E37" s="64">
        <v>1.92</v>
      </c>
      <c r="F37" s="64">
        <v>3.77</v>
      </c>
      <c r="G37" s="64">
        <v>64.08</v>
      </c>
      <c r="H37" s="64">
        <v>28.98</v>
      </c>
      <c r="I37" s="64">
        <v>0.67</v>
      </c>
      <c r="J37" s="64">
        <v>0.2</v>
      </c>
      <c r="K37" s="64">
        <v>272.04000000000002</v>
      </c>
      <c r="L37" s="64">
        <v>27.59</v>
      </c>
      <c r="M37" s="64">
        <v>58.05</v>
      </c>
      <c r="N37" s="64">
        <v>252</v>
      </c>
      <c r="O37" s="64">
        <v>0</v>
      </c>
      <c r="P37" s="64">
        <v>0.8</v>
      </c>
      <c r="Q37" s="64">
        <v>26.66</v>
      </c>
      <c r="R37" s="198"/>
      <c r="S37" s="198"/>
      <c r="T37" s="198"/>
      <c r="U37" s="198"/>
    </row>
    <row r="38" spans="1:21" s="12" customFormat="1" x14ac:dyDescent="0.25">
      <c r="A38" s="211" t="s">
        <v>851</v>
      </c>
      <c r="B38" s="64">
        <v>26.21</v>
      </c>
      <c r="C38" s="64">
        <v>18.47</v>
      </c>
      <c r="D38" s="64">
        <v>31.85</v>
      </c>
      <c r="E38" s="64">
        <v>1.93</v>
      </c>
      <c r="F38" s="64">
        <v>4.3600000000000003</v>
      </c>
      <c r="G38" s="64">
        <v>64.12</v>
      </c>
      <c r="H38" s="64">
        <v>29.82</v>
      </c>
      <c r="I38" s="64">
        <v>0.66</v>
      </c>
      <c r="J38" s="64">
        <v>0.13</v>
      </c>
      <c r="K38" s="64">
        <v>284.11</v>
      </c>
      <c r="L38" s="64">
        <v>29.7</v>
      </c>
      <c r="M38" s="64">
        <v>51.25</v>
      </c>
      <c r="N38" s="64">
        <v>308.7</v>
      </c>
      <c r="O38" s="64">
        <v>0</v>
      </c>
      <c r="P38" s="64">
        <v>0.83</v>
      </c>
      <c r="Q38" s="64">
        <v>25.67</v>
      </c>
      <c r="R38" s="198"/>
      <c r="S38" s="198"/>
      <c r="T38" s="198"/>
      <c r="U38" s="198"/>
    </row>
    <row r="39" spans="1:21" s="12" customFormat="1" x14ac:dyDescent="0.25">
      <c r="A39" s="211" t="s">
        <v>852</v>
      </c>
      <c r="B39" s="64">
        <v>23.64</v>
      </c>
      <c r="C39" s="64">
        <v>21.11</v>
      </c>
      <c r="D39" s="64">
        <v>31.26</v>
      </c>
      <c r="E39" s="64">
        <v>1.78</v>
      </c>
      <c r="F39" s="64">
        <v>3.33</v>
      </c>
      <c r="G39" s="64">
        <v>64.12</v>
      </c>
      <c r="H39" s="64">
        <v>29.82</v>
      </c>
      <c r="I39" s="64">
        <v>0.65</v>
      </c>
      <c r="J39" s="64">
        <v>0.22</v>
      </c>
      <c r="K39" s="64">
        <v>277.74</v>
      </c>
      <c r="L39" s="64">
        <v>30.75</v>
      </c>
      <c r="M39" s="64">
        <v>49.07</v>
      </c>
      <c r="N39" s="64">
        <v>372.6</v>
      </c>
      <c r="O39" s="64">
        <v>0</v>
      </c>
      <c r="P39" s="64">
        <v>0.82</v>
      </c>
      <c r="Q39" s="64">
        <v>25.9</v>
      </c>
      <c r="R39" s="198"/>
      <c r="S39" s="198"/>
      <c r="T39" s="198"/>
      <c r="U39" s="198"/>
    </row>
    <row r="40" spans="1:21" s="12" customFormat="1" x14ac:dyDescent="0.25">
      <c r="A40" s="211" t="s">
        <v>853</v>
      </c>
      <c r="B40" s="64">
        <v>21.29</v>
      </c>
      <c r="C40" s="64">
        <v>21.59</v>
      </c>
      <c r="D40" s="64">
        <v>29.63</v>
      </c>
      <c r="E40" s="64">
        <v>1.81</v>
      </c>
      <c r="F40" s="64">
        <v>4.03</v>
      </c>
      <c r="G40" s="64">
        <v>64.12</v>
      </c>
      <c r="H40" s="64">
        <v>29.82</v>
      </c>
      <c r="I40" s="64">
        <v>0.65</v>
      </c>
      <c r="J40" s="64">
        <v>0.37</v>
      </c>
      <c r="K40" s="64">
        <v>274.24</v>
      </c>
      <c r="L40" s="64">
        <v>32.119999999999997</v>
      </c>
      <c r="M40" s="64">
        <v>45.8</v>
      </c>
      <c r="N40" s="64">
        <v>429.1</v>
      </c>
      <c r="O40" s="64">
        <v>0</v>
      </c>
      <c r="P40" s="64">
        <v>0.85</v>
      </c>
      <c r="Q40" s="64">
        <v>25.11</v>
      </c>
      <c r="R40" s="198"/>
      <c r="S40" s="198"/>
      <c r="T40" s="198"/>
      <c r="U40" s="198"/>
    </row>
    <row r="41" spans="1:21" s="12" customFormat="1" x14ac:dyDescent="0.25">
      <c r="A41" s="211" t="s">
        <v>854</v>
      </c>
      <c r="B41" s="64">
        <v>19.45</v>
      </c>
      <c r="C41" s="64">
        <v>25.62</v>
      </c>
      <c r="D41" s="64">
        <v>30.38</v>
      </c>
      <c r="E41" s="64">
        <v>2.81</v>
      </c>
      <c r="F41" s="64">
        <v>3.5</v>
      </c>
      <c r="G41" s="64">
        <v>69.260000000000005</v>
      </c>
      <c r="H41" s="64">
        <v>30.17</v>
      </c>
      <c r="I41" s="64">
        <v>0.63</v>
      </c>
      <c r="J41" s="64">
        <v>0.41</v>
      </c>
      <c r="K41" s="64">
        <v>274.83999999999997</v>
      </c>
      <c r="L41" s="64">
        <v>32.590000000000003</v>
      </c>
      <c r="M41" s="64">
        <v>45.09</v>
      </c>
      <c r="N41" s="64">
        <v>475</v>
      </c>
      <c r="O41" s="64">
        <v>0</v>
      </c>
      <c r="P41" s="64">
        <v>0.9</v>
      </c>
      <c r="Q41" s="64">
        <v>25.55</v>
      </c>
      <c r="R41" s="198"/>
      <c r="S41" s="198"/>
      <c r="T41" s="198"/>
      <c r="U41" s="198"/>
    </row>
    <row r="42" spans="1:21" s="12" customFormat="1" x14ac:dyDescent="0.25">
      <c r="A42" s="211" t="s">
        <v>855</v>
      </c>
      <c r="B42" s="64">
        <v>17.600000000000001</v>
      </c>
      <c r="C42" s="64">
        <v>24.35</v>
      </c>
      <c r="D42" s="64">
        <v>28.2</v>
      </c>
      <c r="E42" s="64">
        <v>3.4</v>
      </c>
      <c r="F42" s="64">
        <v>5.94</v>
      </c>
      <c r="G42" s="64">
        <v>70.37</v>
      </c>
      <c r="H42" s="64">
        <v>30.25</v>
      </c>
      <c r="I42" s="64">
        <v>0.63</v>
      </c>
      <c r="J42" s="64">
        <v>0.25</v>
      </c>
      <c r="K42" s="64">
        <v>285.68</v>
      </c>
      <c r="L42" s="64">
        <v>33.1</v>
      </c>
      <c r="M42" s="64">
        <v>44.4</v>
      </c>
      <c r="N42" s="64">
        <v>518.20000000000005</v>
      </c>
      <c r="O42" s="64">
        <v>0</v>
      </c>
      <c r="P42" s="64">
        <v>0.93</v>
      </c>
      <c r="Q42" s="64">
        <v>24.51</v>
      </c>
      <c r="R42" s="198"/>
      <c r="S42" s="198"/>
      <c r="T42" s="198"/>
      <c r="U42" s="198"/>
    </row>
    <row r="43" spans="1:21" s="12" customFormat="1" x14ac:dyDescent="0.25">
      <c r="A43" s="211" t="s">
        <v>856</v>
      </c>
      <c r="B43" s="64">
        <v>15.28</v>
      </c>
      <c r="C43" s="64">
        <v>29.12</v>
      </c>
      <c r="D43" s="64">
        <v>28.97</v>
      </c>
      <c r="E43" s="64">
        <v>3.61</v>
      </c>
      <c r="F43" s="64">
        <v>6.08</v>
      </c>
      <c r="G43" s="64">
        <v>70.37</v>
      </c>
      <c r="H43" s="64">
        <v>30.25</v>
      </c>
      <c r="I43" s="64">
        <v>0.62</v>
      </c>
      <c r="J43" s="64">
        <v>0.26</v>
      </c>
      <c r="K43" s="64">
        <v>280.83999999999997</v>
      </c>
      <c r="L43" s="64">
        <v>33.869999999999997</v>
      </c>
      <c r="M43" s="64">
        <v>42.12</v>
      </c>
      <c r="N43" s="64">
        <v>572.29999999999995</v>
      </c>
      <c r="O43" s="64">
        <v>0</v>
      </c>
      <c r="P43" s="64">
        <v>1.01</v>
      </c>
      <c r="Q43" s="64">
        <v>23.26</v>
      </c>
      <c r="R43" s="198"/>
      <c r="S43" s="198"/>
      <c r="T43" s="198"/>
      <c r="U43" s="198"/>
    </row>
    <row r="44" spans="1:21" s="12" customFormat="1" x14ac:dyDescent="0.25">
      <c r="A44" s="211" t="s">
        <v>857</v>
      </c>
      <c r="B44" s="64">
        <v>14.84</v>
      </c>
      <c r="C44" s="64">
        <v>25.12</v>
      </c>
      <c r="D44" s="64">
        <v>26.41</v>
      </c>
      <c r="E44" s="64">
        <v>3.01</v>
      </c>
      <c r="F44" s="64">
        <v>4.1500000000000004</v>
      </c>
      <c r="G44" s="64">
        <v>70.37</v>
      </c>
      <c r="H44" s="64">
        <v>30.25</v>
      </c>
      <c r="I44" s="64">
        <v>0.61</v>
      </c>
      <c r="J44" s="64">
        <v>0.12</v>
      </c>
      <c r="K44" s="64">
        <v>302.42</v>
      </c>
      <c r="L44" s="64">
        <v>33.69</v>
      </c>
      <c r="M44" s="64">
        <v>41.73</v>
      </c>
      <c r="N44" s="64">
        <v>619.79999999999995</v>
      </c>
      <c r="O44" s="64">
        <v>0</v>
      </c>
      <c r="P44" s="64">
        <v>1.05</v>
      </c>
      <c r="Q44" s="64">
        <v>24.67</v>
      </c>
      <c r="R44" s="198"/>
      <c r="S44" s="198"/>
      <c r="T44" s="198"/>
      <c r="U44" s="198"/>
    </row>
    <row r="45" spans="1:21" s="12" customFormat="1" x14ac:dyDescent="0.25">
      <c r="A45" s="211" t="s">
        <v>858</v>
      </c>
      <c r="B45" s="64">
        <v>13.77</v>
      </c>
      <c r="C45" s="64">
        <v>26.29</v>
      </c>
      <c r="D45" s="64">
        <v>26.2</v>
      </c>
      <c r="E45" s="64">
        <v>4</v>
      </c>
      <c r="F45" s="64">
        <v>4.5</v>
      </c>
      <c r="G45" s="64">
        <v>73.069999999999993</v>
      </c>
      <c r="H45" s="64">
        <v>30.73</v>
      </c>
      <c r="I45" s="64">
        <v>0.62</v>
      </c>
      <c r="J45" s="64">
        <v>0.42</v>
      </c>
      <c r="K45" s="64">
        <v>273.88</v>
      </c>
      <c r="L45" s="64">
        <v>34.520000000000003</v>
      </c>
      <c r="M45" s="64">
        <v>40.549999999999997</v>
      </c>
      <c r="N45" s="64">
        <v>658.6</v>
      </c>
      <c r="O45" s="64">
        <v>0</v>
      </c>
      <c r="P45" s="64">
        <v>1.1299999999999999</v>
      </c>
      <c r="Q45" s="64">
        <v>23.93</v>
      </c>
      <c r="R45" s="198"/>
      <c r="S45" s="198"/>
      <c r="T45" s="198"/>
      <c r="U45" s="198"/>
    </row>
    <row r="46" spans="1:21" s="12" customFormat="1" x14ac:dyDescent="0.25">
      <c r="A46" s="211" t="s">
        <v>859</v>
      </c>
      <c r="B46" s="64">
        <v>12.09</v>
      </c>
      <c r="C46" s="64">
        <v>28.74</v>
      </c>
      <c r="D46" s="64">
        <v>26.2</v>
      </c>
      <c r="E46" s="64">
        <v>2.78</v>
      </c>
      <c r="F46" s="64">
        <v>3.48</v>
      </c>
      <c r="G46" s="64">
        <v>73.650000000000006</v>
      </c>
      <c r="H46" s="64">
        <v>30.83</v>
      </c>
      <c r="I46" s="64">
        <v>0.63</v>
      </c>
      <c r="J46" s="64">
        <v>0.4</v>
      </c>
      <c r="K46" s="64">
        <v>278.58</v>
      </c>
      <c r="L46" s="64">
        <v>35.270000000000003</v>
      </c>
      <c r="M46" s="64">
        <v>37.9</v>
      </c>
      <c r="N46" s="64">
        <v>710</v>
      </c>
      <c r="O46" s="64">
        <v>0</v>
      </c>
      <c r="P46" s="64">
        <v>1.1399999999999999</v>
      </c>
      <c r="Q46" s="64">
        <v>23.58</v>
      </c>
      <c r="R46" s="198"/>
      <c r="S46" s="198"/>
      <c r="T46" s="198"/>
      <c r="U46" s="198"/>
    </row>
    <row r="47" spans="1:21" s="12" customFormat="1" x14ac:dyDescent="0.25">
      <c r="A47" s="211" t="s">
        <v>860</v>
      </c>
      <c r="B47" s="64">
        <v>9.7899999999999991</v>
      </c>
      <c r="C47" s="64">
        <v>28.16</v>
      </c>
      <c r="D47" s="64">
        <v>24.04</v>
      </c>
      <c r="E47" s="64">
        <v>2.7</v>
      </c>
      <c r="F47" s="64">
        <v>4.37</v>
      </c>
      <c r="G47" s="64">
        <v>73.650000000000006</v>
      </c>
      <c r="H47" s="64">
        <v>30.83</v>
      </c>
      <c r="I47" s="64">
        <v>0.61</v>
      </c>
      <c r="J47" s="64">
        <v>0.46</v>
      </c>
      <c r="K47" s="64">
        <v>274.38</v>
      </c>
      <c r="L47" s="64">
        <v>35.76</v>
      </c>
      <c r="M47" s="64">
        <v>36.520000000000003</v>
      </c>
      <c r="N47" s="64">
        <v>746.8</v>
      </c>
      <c r="O47" s="64">
        <v>0</v>
      </c>
      <c r="P47" s="64">
        <v>1.18</v>
      </c>
      <c r="Q47" s="64">
        <v>22.68</v>
      </c>
      <c r="R47" s="198"/>
      <c r="S47" s="198"/>
      <c r="T47" s="198"/>
      <c r="U47" s="198"/>
    </row>
    <row r="48" spans="1:21" s="12" customFormat="1" x14ac:dyDescent="0.25">
      <c r="A48" s="211" t="s">
        <v>861</v>
      </c>
      <c r="B48" s="64">
        <v>7.55</v>
      </c>
      <c r="C48" s="64">
        <v>31.42</v>
      </c>
      <c r="D48" s="64">
        <v>24.04</v>
      </c>
      <c r="E48" s="64">
        <v>2.71</v>
      </c>
      <c r="F48" s="64">
        <v>4.54</v>
      </c>
      <c r="G48" s="64">
        <v>73.650000000000006</v>
      </c>
      <c r="H48" s="64">
        <v>30.83</v>
      </c>
      <c r="I48" s="64">
        <v>0.62</v>
      </c>
      <c r="J48" s="64">
        <v>0.95</v>
      </c>
      <c r="K48" s="64">
        <v>262.23</v>
      </c>
      <c r="L48" s="64">
        <v>35.67</v>
      </c>
      <c r="M48" s="64">
        <v>34.479999999999997</v>
      </c>
      <c r="N48" s="64">
        <v>778.5</v>
      </c>
      <c r="O48" s="64">
        <v>0</v>
      </c>
      <c r="P48" s="64">
        <v>1.25</v>
      </c>
      <c r="Q48" s="64">
        <v>22.87</v>
      </c>
      <c r="R48" s="198"/>
      <c r="S48" s="198"/>
      <c r="T48" s="198"/>
      <c r="U48" s="198"/>
    </row>
    <row r="49" spans="1:21" s="12" customFormat="1" x14ac:dyDescent="0.25">
      <c r="A49" s="211" t="s">
        <v>862</v>
      </c>
      <c r="B49" s="64">
        <v>5.78</v>
      </c>
      <c r="C49" s="64">
        <v>30.19</v>
      </c>
      <c r="D49" s="64">
        <v>21.94</v>
      </c>
      <c r="E49" s="64">
        <v>2.78</v>
      </c>
      <c r="F49" s="64">
        <v>6.7</v>
      </c>
      <c r="G49" s="64">
        <v>63.11</v>
      </c>
      <c r="H49" s="64">
        <v>29.73</v>
      </c>
      <c r="I49" s="64">
        <v>0.57999999999999996</v>
      </c>
      <c r="J49" s="64">
        <v>0.4</v>
      </c>
      <c r="K49" s="64">
        <v>275.35000000000002</v>
      </c>
      <c r="L49" s="64">
        <v>36.82</v>
      </c>
      <c r="M49" s="64">
        <v>33.96</v>
      </c>
      <c r="N49" s="64">
        <v>790.6</v>
      </c>
      <c r="O49" s="64">
        <v>0</v>
      </c>
      <c r="P49" s="64">
        <v>1.25</v>
      </c>
      <c r="Q49" s="64">
        <v>22.44</v>
      </c>
      <c r="R49" s="198"/>
      <c r="S49" s="198"/>
      <c r="T49" s="198"/>
      <c r="U49" s="198"/>
    </row>
    <row r="50" spans="1:21" s="12" customFormat="1" x14ac:dyDescent="0.25">
      <c r="A50" s="211" t="s">
        <v>863</v>
      </c>
      <c r="B50" s="64">
        <v>4.33</v>
      </c>
      <c r="C50" s="64">
        <v>29.24</v>
      </c>
      <c r="D50" s="64">
        <v>20.25</v>
      </c>
      <c r="E50" s="64">
        <v>3.24</v>
      </c>
      <c r="F50" s="64">
        <v>7.49</v>
      </c>
      <c r="G50" s="64">
        <v>60.84</v>
      </c>
      <c r="H50" s="64">
        <v>29.49</v>
      </c>
      <c r="I50" s="64">
        <v>0.57999999999999996</v>
      </c>
      <c r="J50" s="64">
        <v>0.47</v>
      </c>
      <c r="K50" s="64">
        <v>279.5</v>
      </c>
      <c r="L50" s="64">
        <v>36.44</v>
      </c>
      <c r="M50" s="64">
        <v>35.369999999999997</v>
      </c>
      <c r="N50" s="64">
        <v>815.5</v>
      </c>
      <c r="O50" s="64">
        <v>0</v>
      </c>
      <c r="P50" s="64">
        <v>1.24</v>
      </c>
      <c r="Q50" s="64">
        <v>20.329999999999998</v>
      </c>
      <c r="R50" s="198"/>
      <c r="S50" s="198"/>
      <c r="T50" s="198"/>
      <c r="U50" s="198"/>
    </row>
    <row r="51" spans="1:21" s="12" customFormat="1" x14ac:dyDescent="0.25">
      <c r="A51" s="211" t="s">
        <v>864</v>
      </c>
      <c r="B51" s="64">
        <v>3.37</v>
      </c>
      <c r="C51" s="64">
        <v>29.21</v>
      </c>
      <c r="D51" s="64">
        <v>19.47</v>
      </c>
      <c r="E51" s="64">
        <v>3.16</v>
      </c>
      <c r="F51" s="64">
        <v>6.86</v>
      </c>
      <c r="G51" s="64">
        <v>60.84</v>
      </c>
      <c r="H51" s="64">
        <v>29.49</v>
      </c>
      <c r="I51" s="64">
        <v>0.56000000000000005</v>
      </c>
      <c r="J51" s="64">
        <v>0.51</v>
      </c>
      <c r="K51" s="64">
        <v>276.45999999999998</v>
      </c>
      <c r="L51" s="64">
        <v>37.42</v>
      </c>
      <c r="M51" s="64">
        <v>33.74</v>
      </c>
      <c r="N51" s="64">
        <v>838.6</v>
      </c>
      <c r="O51" s="64">
        <v>0</v>
      </c>
      <c r="P51" s="64">
        <v>1.26</v>
      </c>
      <c r="Q51" s="64">
        <v>19.25</v>
      </c>
      <c r="R51" s="198"/>
      <c r="S51" s="198"/>
      <c r="T51" s="198"/>
      <c r="U51" s="198"/>
    </row>
    <row r="52" spans="1:21" s="12" customFormat="1" x14ac:dyDescent="0.25">
      <c r="A52" s="211" t="s">
        <v>865</v>
      </c>
      <c r="B52" s="64">
        <v>2.97</v>
      </c>
      <c r="C52" s="64">
        <v>32.340000000000003</v>
      </c>
      <c r="D52" s="64">
        <v>20.88</v>
      </c>
      <c r="E52" s="64">
        <v>2.96</v>
      </c>
      <c r="F52" s="64">
        <v>10.85</v>
      </c>
      <c r="G52" s="64">
        <v>60.84</v>
      </c>
      <c r="H52" s="64">
        <v>29.49</v>
      </c>
      <c r="I52" s="64">
        <v>0.56999999999999995</v>
      </c>
      <c r="J52" s="64">
        <v>0.25</v>
      </c>
      <c r="K52" s="64">
        <v>281.76</v>
      </c>
      <c r="L52" s="64">
        <v>37.5</v>
      </c>
      <c r="M52" s="64">
        <v>33.08</v>
      </c>
      <c r="N52" s="64">
        <v>854.1</v>
      </c>
      <c r="O52" s="64">
        <v>0</v>
      </c>
      <c r="P52" s="64">
        <v>1.25</v>
      </c>
      <c r="Q52" s="64">
        <v>19.05</v>
      </c>
      <c r="R52" s="198"/>
      <c r="S52" s="198"/>
      <c r="T52" s="198"/>
      <c r="U52" s="198"/>
    </row>
    <row r="53" spans="1:21" s="12" customFormat="1" x14ac:dyDescent="0.25">
      <c r="A53" s="211" t="s">
        <v>866</v>
      </c>
      <c r="B53" s="64">
        <v>3.09</v>
      </c>
      <c r="C53" s="64">
        <v>31.97</v>
      </c>
      <c r="D53" s="64">
        <v>20.77</v>
      </c>
      <c r="E53" s="64">
        <v>3.6</v>
      </c>
      <c r="F53" s="64">
        <v>10.94</v>
      </c>
      <c r="G53" s="64">
        <v>65.459999999999994</v>
      </c>
      <c r="H53" s="64">
        <v>29.3</v>
      </c>
      <c r="I53" s="64">
        <v>0.56000000000000005</v>
      </c>
      <c r="J53" s="64">
        <v>0.54</v>
      </c>
      <c r="K53" s="64">
        <v>276.88</v>
      </c>
      <c r="L53" s="64">
        <v>37.47</v>
      </c>
      <c r="M53" s="64">
        <v>33</v>
      </c>
      <c r="N53" s="64">
        <v>884.4</v>
      </c>
      <c r="O53" s="64">
        <v>0</v>
      </c>
      <c r="P53" s="64">
        <v>1.21</v>
      </c>
      <c r="Q53" s="64">
        <v>20.079999999999998</v>
      </c>
      <c r="R53" s="198"/>
      <c r="S53" s="198"/>
      <c r="T53" s="198"/>
      <c r="U53" s="198"/>
    </row>
    <row r="54" spans="1:21" s="12" customFormat="1" x14ac:dyDescent="0.25">
      <c r="A54" s="211" t="s">
        <v>867</v>
      </c>
      <c r="B54" s="64">
        <v>3.36</v>
      </c>
      <c r="C54" s="64">
        <v>28.42</v>
      </c>
      <c r="D54" s="64">
        <v>19.03</v>
      </c>
      <c r="E54" s="64">
        <v>6.19</v>
      </c>
      <c r="F54" s="64">
        <v>29.74</v>
      </c>
      <c r="G54" s="64">
        <v>66.459999999999994</v>
      </c>
      <c r="H54" s="64">
        <v>29.26</v>
      </c>
      <c r="I54" s="64">
        <v>0.56999999999999995</v>
      </c>
      <c r="J54" s="64">
        <v>0.31</v>
      </c>
      <c r="K54" s="64">
        <v>310.54000000000002</v>
      </c>
      <c r="L54" s="64">
        <v>37.79</v>
      </c>
      <c r="M54" s="64">
        <v>31.05</v>
      </c>
      <c r="N54" s="64">
        <v>868.3</v>
      </c>
      <c r="O54" s="64">
        <v>0</v>
      </c>
      <c r="P54" s="64">
        <v>1.1000000000000001</v>
      </c>
      <c r="Q54" s="64">
        <v>18.829999999999998</v>
      </c>
      <c r="R54" s="198"/>
      <c r="S54" s="198"/>
      <c r="T54" s="198"/>
      <c r="U54" s="198"/>
    </row>
    <row r="55" spans="1:21" s="12" customFormat="1" x14ac:dyDescent="0.25">
      <c r="A55" s="211" t="s">
        <v>868</v>
      </c>
      <c r="B55" s="64">
        <v>2.2400000000000002</v>
      </c>
      <c r="C55" s="64">
        <v>28</v>
      </c>
      <c r="D55" s="64">
        <v>17.899999999999999</v>
      </c>
      <c r="E55" s="64">
        <v>4.92</v>
      </c>
      <c r="F55" s="64">
        <v>27.42</v>
      </c>
      <c r="G55" s="64">
        <v>66.459999999999994</v>
      </c>
      <c r="H55" s="64">
        <v>29.26</v>
      </c>
      <c r="I55" s="64">
        <v>0.56999999999999995</v>
      </c>
      <c r="J55" s="64">
        <v>0.19</v>
      </c>
      <c r="K55" s="64">
        <v>146.85</v>
      </c>
      <c r="L55" s="64">
        <v>36.74</v>
      </c>
      <c r="M55" s="64">
        <v>33.450000000000003</v>
      </c>
      <c r="N55" s="64">
        <v>765.7</v>
      </c>
      <c r="O55" s="64">
        <v>0</v>
      </c>
      <c r="P55" s="64">
        <v>1.17</v>
      </c>
      <c r="Q55" s="64">
        <v>17.809999999999999</v>
      </c>
      <c r="R55" s="198"/>
      <c r="S55" s="198"/>
      <c r="T55" s="198"/>
      <c r="U55" s="198"/>
    </row>
    <row r="56" spans="1:21" s="12" customFormat="1" x14ac:dyDescent="0.25">
      <c r="A56" s="211" t="s">
        <v>869</v>
      </c>
      <c r="B56" s="64">
        <v>2.58</v>
      </c>
      <c r="C56" s="64">
        <v>28.42</v>
      </c>
      <c r="D56" s="64">
        <v>18.39</v>
      </c>
      <c r="E56" s="64">
        <v>3.28</v>
      </c>
      <c r="F56" s="64">
        <v>34.04</v>
      </c>
      <c r="G56" s="64">
        <v>66.459999999999994</v>
      </c>
      <c r="H56" s="64">
        <v>29.26</v>
      </c>
      <c r="I56" s="64">
        <v>0.55000000000000004</v>
      </c>
      <c r="J56" s="64">
        <v>0.16</v>
      </c>
      <c r="K56" s="64">
        <v>250.96</v>
      </c>
      <c r="L56" s="64">
        <v>34.44</v>
      </c>
      <c r="M56" s="64">
        <v>36.630000000000003</v>
      </c>
      <c r="N56" s="64">
        <v>430.8</v>
      </c>
      <c r="O56" s="64">
        <v>0</v>
      </c>
      <c r="P56" s="64">
        <v>1.18</v>
      </c>
      <c r="Q56" s="64">
        <v>17.739999999999998</v>
      </c>
      <c r="R56" s="198"/>
      <c r="S56" s="198"/>
      <c r="T56" s="198"/>
      <c r="U56" s="198"/>
    </row>
    <row r="57" spans="1:21" s="12" customFormat="1" x14ac:dyDescent="0.25">
      <c r="A57" s="211" t="s">
        <v>870</v>
      </c>
      <c r="B57" s="64">
        <v>1.66</v>
      </c>
      <c r="C57" s="64">
        <v>26.39</v>
      </c>
      <c r="D57" s="64">
        <v>16.54</v>
      </c>
      <c r="E57" s="64">
        <v>5.87</v>
      </c>
      <c r="F57" s="64">
        <v>11.51</v>
      </c>
      <c r="G57" s="64">
        <v>61.71</v>
      </c>
      <c r="H57" s="64">
        <v>28.1</v>
      </c>
      <c r="I57" s="64">
        <v>0.59</v>
      </c>
      <c r="J57" s="64">
        <v>0.3</v>
      </c>
      <c r="K57" s="64">
        <v>211.04</v>
      </c>
      <c r="L57" s="64">
        <v>33.229999999999997</v>
      </c>
      <c r="M57" s="64">
        <v>37.94</v>
      </c>
      <c r="N57" s="64">
        <v>396</v>
      </c>
      <c r="O57" s="64">
        <v>0</v>
      </c>
      <c r="P57" s="64">
        <v>1.1599999999999999</v>
      </c>
      <c r="Q57" s="64">
        <v>20.57</v>
      </c>
      <c r="R57" s="198"/>
      <c r="S57" s="198"/>
      <c r="T57" s="198"/>
      <c r="U57" s="198"/>
    </row>
    <row r="58" spans="1:21" s="12" customFormat="1" x14ac:dyDescent="0.25">
      <c r="A58" s="211" t="s">
        <v>871</v>
      </c>
      <c r="B58" s="64">
        <v>1.32</v>
      </c>
      <c r="C58" s="64">
        <v>25.49</v>
      </c>
      <c r="D58" s="64">
        <v>15.77</v>
      </c>
      <c r="E58" s="64">
        <v>4.5999999999999996</v>
      </c>
      <c r="F58" s="64">
        <v>8.6</v>
      </c>
      <c r="G58" s="64">
        <v>60.69</v>
      </c>
      <c r="H58" s="64">
        <v>27.85</v>
      </c>
      <c r="I58" s="64">
        <v>0.6</v>
      </c>
      <c r="J58" s="64">
        <v>0.2</v>
      </c>
      <c r="K58" s="64">
        <v>239.37</v>
      </c>
      <c r="L58" s="64">
        <v>34.630000000000003</v>
      </c>
      <c r="M58" s="64">
        <v>35.35</v>
      </c>
      <c r="N58" s="64">
        <v>832.6</v>
      </c>
      <c r="O58" s="64">
        <v>0</v>
      </c>
      <c r="P58" s="64">
        <v>1.1399999999999999</v>
      </c>
      <c r="Q58" s="64">
        <v>21.04</v>
      </c>
      <c r="R58" s="198"/>
      <c r="S58" s="198"/>
      <c r="T58" s="198"/>
      <c r="U58" s="198"/>
    </row>
    <row r="59" spans="1:21" s="12" customFormat="1" x14ac:dyDescent="0.25">
      <c r="A59" s="211" t="s">
        <v>872</v>
      </c>
      <c r="B59" s="64">
        <v>1.0900000000000001</v>
      </c>
      <c r="C59" s="64">
        <v>23</v>
      </c>
      <c r="D59" s="64">
        <v>14.22</v>
      </c>
      <c r="E59" s="64">
        <v>4.07</v>
      </c>
      <c r="F59" s="64">
        <v>10.43</v>
      </c>
      <c r="G59" s="64">
        <v>60.69</v>
      </c>
      <c r="H59" s="64">
        <v>27.85</v>
      </c>
      <c r="I59" s="64">
        <v>0.65</v>
      </c>
      <c r="J59" s="64">
        <v>0.14000000000000001</v>
      </c>
      <c r="K59" s="64">
        <v>289.29000000000002</v>
      </c>
      <c r="L59" s="64">
        <v>35.06</v>
      </c>
      <c r="M59" s="64">
        <v>34.159999999999997</v>
      </c>
      <c r="N59" s="64">
        <v>706.7</v>
      </c>
      <c r="O59" s="64">
        <v>0</v>
      </c>
      <c r="P59" s="64">
        <v>1.1000000000000001</v>
      </c>
      <c r="Q59" s="64">
        <v>19.53</v>
      </c>
      <c r="R59" s="198"/>
      <c r="S59" s="198"/>
      <c r="T59" s="198"/>
      <c r="U59" s="198"/>
    </row>
    <row r="60" spans="1:21" s="12" customFormat="1" x14ac:dyDescent="0.25">
      <c r="A60" s="211" t="s">
        <v>873</v>
      </c>
      <c r="B60" s="64">
        <v>1.06</v>
      </c>
      <c r="C60" s="64">
        <v>23.24</v>
      </c>
      <c r="D60" s="64">
        <v>14.32</v>
      </c>
      <c r="E60" s="64">
        <v>3.91</v>
      </c>
      <c r="F60" s="64">
        <v>11.16</v>
      </c>
      <c r="G60" s="64">
        <v>60.69</v>
      </c>
      <c r="H60" s="64">
        <v>27.85</v>
      </c>
      <c r="I60" s="64">
        <v>0.64</v>
      </c>
      <c r="J60" s="64">
        <v>0.25</v>
      </c>
      <c r="K60" s="64">
        <v>258.82</v>
      </c>
      <c r="L60" s="64">
        <v>35.78</v>
      </c>
      <c r="M60" s="64">
        <v>31.92</v>
      </c>
      <c r="N60" s="64">
        <v>756.1</v>
      </c>
      <c r="O60" s="64">
        <v>0</v>
      </c>
      <c r="P60" s="64">
        <v>1.07</v>
      </c>
      <c r="Q60" s="64">
        <v>18.86</v>
      </c>
      <c r="R60" s="198"/>
      <c r="S60" s="198"/>
      <c r="T60" s="198"/>
      <c r="U60" s="198"/>
    </row>
    <row r="61" spans="1:21" s="12" customFormat="1" x14ac:dyDescent="0.25">
      <c r="A61" s="211" t="s">
        <v>874</v>
      </c>
      <c r="B61" s="64">
        <v>1.08</v>
      </c>
      <c r="C61" s="64">
        <v>22.78</v>
      </c>
      <c r="D61" s="64">
        <v>14.08</v>
      </c>
      <c r="E61" s="64">
        <v>2.74</v>
      </c>
      <c r="F61" s="64">
        <v>11.04</v>
      </c>
      <c r="G61" s="64">
        <v>60.06</v>
      </c>
      <c r="H61" s="64">
        <v>25.2</v>
      </c>
      <c r="I61" s="64">
        <v>0.64</v>
      </c>
      <c r="J61" s="64">
        <v>0.23</v>
      </c>
      <c r="K61" s="64">
        <v>295.87</v>
      </c>
      <c r="L61" s="64">
        <v>35.729999999999997</v>
      </c>
      <c r="M61" s="64">
        <v>31.97</v>
      </c>
      <c r="N61" s="64">
        <v>766.8</v>
      </c>
      <c r="O61" s="64">
        <v>0</v>
      </c>
      <c r="P61" s="64">
        <v>1</v>
      </c>
      <c r="Q61" s="64">
        <v>18.79</v>
      </c>
      <c r="R61" s="198"/>
      <c r="S61" s="198"/>
      <c r="T61" s="198"/>
      <c r="U61" s="198"/>
    </row>
    <row r="62" spans="1:21" s="12" customFormat="1" x14ac:dyDescent="0.25">
      <c r="A62" s="211" t="s">
        <v>875</v>
      </c>
      <c r="B62" s="64">
        <v>1.3</v>
      </c>
      <c r="C62" s="64">
        <v>23.87</v>
      </c>
      <c r="D62" s="64">
        <v>14.86</v>
      </c>
      <c r="E62" s="64">
        <v>3.17</v>
      </c>
      <c r="F62" s="64">
        <v>12.03</v>
      </c>
      <c r="G62" s="64">
        <v>59.92</v>
      </c>
      <c r="H62" s="64">
        <v>24.63</v>
      </c>
      <c r="I62" s="64">
        <v>0.66</v>
      </c>
      <c r="J62" s="64">
        <v>0.18</v>
      </c>
      <c r="K62" s="64">
        <v>281.12</v>
      </c>
      <c r="L62" s="64">
        <v>36.47</v>
      </c>
      <c r="M62" s="64">
        <v>30.93</v>
      </c>
      <c r="N62" s="64">
        <v>636.79999999999995</v>
      </c>
      <c r="O62" s="64">
        <v>0</v>
      </c>
      <c r="P62" s="64">
        <v>1</v>
      </c>
      <c r="Q62" s="64">
        <v>17.75</v>
      </c>
      <c r="R62" s="198"/>
      <c r="S62" s="198"/>
      <c r="T62" s="198"/>
      <c r="U62" s="198"/>
    </row>
    <row r="63" spans="1:21" s="12" customFormat="1" x14ac:dyDescent="0.25">
      <c r="A63" s="211" t="s">
        <v>876</v>
      </c>
      <c r="B63" s="64">
        <v>1.07</v>
      </c>
      <c r="C63" s="64">
        <v>23.47</v>
      </c>
      <c r="D63" s="64">
        <v>14.46</v>
      </c>
      <c r="E63" s="64">
        <v>2.84</v>
      </c>
      <c r="F63" s="64">
        <v>10.54</v>
      </c>
      <c r="G63" s="64">
        <v>59.92</v>
      </c>
      <c r="H63" s="64">
        <v>24.63</v>
      </c>
      <c r="I63" s="64">
        <v>0.65</v>
      </c>
      <c r="J63" s="64">
        <v>0.17</v>
      </c>
      <c r="K63" s="64">
        <v>251.43</v>
      </c>
      <c r="L63" s="64">
        <v>35.090000000000003</v>
      </c>
      <c r="M63" s="64">
        <v>31.07</v>
      </c>
      <c r="N63" s="64">
        <v>718.8</v>
      </c>
      <c r="O63" s="64">
        <v>0</v>
      </c>
      <c r="P63" s="64">
        <v>0.98</v>
      </c>
      <c r="Q63" s="64">
        <v>16.77</v>
      </c>
      <c r="R63" s="198"/>
      <c r="S63" s="198"/>
      <c r="T63" s="198"/>
      <c r="U63" s="198"/>
    </row>
    <row r="64" spans="1:21" s="12" customFormat="1" x14ac:dyDescent="0.25">
      <c r="A64" s="211" t="s">
        <v>877</v>
      </c>
      <c r="B64" s="64">
        <v>1.18</v>
      </c>
      <c r="C64" s="64">
        <v>22.63</v>
      </c>
      <c r="D64" s="64">
        <v>14.08</v>
      </c>
      <c r="E64" s="64">
        <v>3.67</v>
      </c>
      <c r="F64" s="64">
        <v>25.32</v>
      </c>
      <c r="G64" s="64">
        <v>59.92</v>
      </c>
      <c r="H64" s="64">
        <v>24.63</v>
      </c>
      <c r="I64" s="64">
        <v>0.6</v>
      </c>
      <c r="J64" s="64">
        <v>0.24</v>
      </c>
      <c r="K64" s="64">
        <v>217.51</v>
      </c>
      <c r="L64" s="64">
        <v>34.729999999999997</v>
      </c>
      <c r="M64" s="64">
        <v>30.58</v>
      </c>
      <c r="N64" s="64">
        <v>547.79999999999995</v>
      </c>
      <c r="O64" s="64">
        <v>0</v>
      </c>
      <c r="P64" s="64">
        <v>0.86</v>
      </c>
      <c r="Q64" s="64">
        <v>17.63</v>
      </c>
      <c r="R64" s="198"/>
      <c r="S64" s="198"/>
      <c r="T64" s="198"/>
      <c r="U64" s="198"/>
    </row>
    <row r="65" spans="1:21" s="12" customFormat="1" x14ac:dyDescent="0.25">
      <c r="A65" s="211" t="s">
        <v>878</v>
      </c>
      <c r="B65" s="64">
        <v>1.5</v>
      </c>
      <c r="C65" s="64">
        <v>20.76</v>
      </c>
      <c r="D65" s="64">
        <v>13.3</v>
      </c>
      <c r="E65" s="64">
        <v>4.47</v>
      </c>
      <c r="F65" s="64">
        <v>20.6</v>
      </c>
      <c r="G65" s="64">
        <v>55.83</v>
      </c>
      <c r="H65" s="64">
        <v>22.49</v>
      </c>
      <c r="I65" s="64">
        <v>0.59</v>
      </c>
      <c r="J65" s="64">
        <v>0.36</v>
      </c>
      <c r="K65" s="64">
        <v>203.37</v>
      </c>
      <c r="L65" s="64">
        <v>33.96</v>
      </c>
      <c r="M65" s="64">
        <v>30.92</v>
      </c>
      <c r="N65" s="64">
        <v>383.7</v>
      </c>
      <c r="O65" s="64">
        <v>0</v>
      </c>
      <c r="P65" s="64">
        <v>0.83</v>
      </c>
      <c r="Q65" s="64">
        <v>18.190000000000001</v>
      </c>
      <c r="R65" s="198"/>
      <c r="S65" s="198"/>
      <c r="T65" s="198"/>
      <c r="U65" s="198"/>
    </row>
    <row r="66" spans="1:21" s="12" customFormat="1" x14ac:dyDescent="0.25">
      <c r="A66" s="211" t="s">
        <v>879</v>
      </c>
      <c r="B66" s="64">
        <v>1.22</v>
      </c>
      <c r="C66" s="64">
        <v>19.95</v>
      </c>
      <c r="D66" s="64">
        <v>12.63</v>
      </c>
      <c r="E66" s="64">
        <v>4.0999999999999996</v>
      </c>
      <c r="F66" s="64">
        <v>20.73</v>
      </c>
      <c r="G66" s="64">
        <v>54.95</v>
      </c>
      <c r="H66" s="64">
        <v>22.03</v>
      </c>
      <c r="I66" s="64">
        <v>0.56000000000000005</v>
      </c>
      <c r="J66" s="64">
        <v>0.08</v>
      </c>
      <c r="K66" s="64">
        <v>336.99</v>
      </c>
      <c r="L66" s="64">
        <v>35.1</v>
      </c>
      <c r="M66" s="64">
        <v>30.48</v>
      </c>
      <c r="N66" s="64">
        <v>459.6</v>
      </c>
      <c r="O66" s="64">
        <v>0</v>
      </c>
      <c r="P66" s="64">
        <v>0.79</v>
      </c>
      <c r="Q66" s="64">
        <v>16.95</v>
      </c>
      <c r="R66" s="198"/>
      <c r="S66" s="198"/>
      <c r="T66" s="198"/>
      <c r="U66" s="198"/>
    </row>
    <row r="67" spans="1:21" s="12" customFormat="1" x14ac:dyDescent="0.25">
      <c r="A67" s="211" t="s">
        <v>880</v>
      </c>
      <c r="B67" s="64">
        <v>3.53</v>
      </c>
      <c r="C67" s="64">
        <v>27.76</v>
      </c>
      <c r="D67" s="64">
        <v>18.8</v>
      </c>
      <c r="E67" s="64">
        <v>4.66</v>
      </c>
      <c r="F67" s="64">
        <v>36.03</v>
      </c>
      <c r="G67" s="64">
        <v>54.95</v>
      </c>
      <c r="H67" s="64">
        <v>22.03</v>
      </c>
      <c r="I67" s="64">
        <v>0.56999999999999995</v>
      </c>
      <c r="J67" s="64">
        <v>0.24</v>
      </c>
      <c r="K67" s="64">
        <v>270.06</v>
      </c>
      <c r="L67" s="64">
        <v>34.5</v>
      </c>
      <c r="M67" s="64">
        <v>31.15</v>
      </c>
      <c r="N67" s="64">
        <v>102.1</v>
      </c>
      <c r="O67" s="64">
        <v>0</v>
      </c>
      <c r="P67" s="64">
        <v>0.7</v>
      </c>
      <c r="Q67" s="64">
        <v>15.86</v>
      </c>
      <c r="R67" s="198"/>
      <c r="S67" s="198"/>
      <c r="T67" s="198"/>
      <c r="U67" s="198"/>
    </row>
    <row r="68" spans="1:21" s="12" customFormat="1" x14ac:dyDescent="0.25">
      <c r="A68" s="211" t="s">
        <v>881</v>
      </c>
      <c r="B68" s="64">
        <v>1.75</v>
      </c>
      <c r="C68" s="64">
        <v>23.54</v>
      </c>
      <c r="D68" s="64">
        <v>15.04</v>
      </c>
      <c r="E68" s="64">
        <v>4.8</v>
      </c>
      <c r="F68" s="64">
        <v>14.96</v>
      </c>
      <c r="G68" s="64">
        <v>54.95</v>
      </c>
      <c r="H68" s="64">
        <v>22.03</v>
      </c>
      <c r="I68" s="64">
        <v>0.56999999999999995</v>
      </c>
      <c r="J68" s="64">
        <v>1.6</v>
      </c>
      <c r="K68" s="64">
        <v>271.93</v>
      </c>
      <c r="L68" s="64">
        <v>32.5</v>
      </c>
      <c r="M68" s="64">
        <v>37.19</v>
      </c>
      <c r="N68" s="64">
        <v>45.5</v>
      </c>
      <c r="O68" s="64">
        <v>0</v>
      </c>
      <c r="P68" s="64">
        <v>0.76</v>
      </c>
      <c r="Q68" s="64">
        <v>15.43</v>
      </c>
      <c r="R68" s="198"/>
      <c r="S68" s="198"/>
      <c r="T68" s="198"/>
      <c r="U68" s="198"/>
    </row>
    <row r="69" spans="1:21" s="12" customFormat="1" x14ac:dyDescent="0.25">
      <c r="A69" s="211" t="s">
        <v>882</v>
      </c>
      <c r="B69" s="64">
        <v>1.46</v>
      </c>
      <c r="C69" s="64">
        <v>21.7</v>
      </c>
      <c r="D69" s="64">
        <v>13.79</v>
      </c>
      <c r="E69" s="64">
        <v>3.22</v>
      </c>
      <c r="F69" s="64">
        <v>8.24</v>
      </c>
      <c r="G69" s="64">
        <v>56.21</v>
      </c>
      <c r="H69" s="64">
        <v>20.68</v>
      </c>
      <c r="I69" s="64">
        <v>0.56000000000000005</v>
      </c>
      <c r="J69" s="64">
        <v>1.81</v>
      </c>
      <c r="K69" s="64">
        <v>273.56</v>
      </c>
      <c r="L69" s="64">
        <v>30.06</v>
      </c>
      <c r="M69" s="64">
        <v>39.92</v>
      </c>
      <c r="N69" s="64">
        <v>33.700000000000003</v>
      </c>
      <c r="O69" s="64">
        <v>0</v>
      </c>
      <c r="P69" s="64">
        <v>0.73</v>
      </c>
      <c r="Q69" s="64">
        <v>17.59</v>
      </c>
      <c r="R69" s="198"/>
      <c r="S69" s="198"/>
      <c r="T69" s="198"/>
      <c r="U69" s="198"/>
    </row>
    <row r="70" spans="1:21" s="12" customFormat="1" x14ac:dyDescent="0.25">
      <c r="A70" s="211" t="s">
        <v>883</v>
      </c>
      <c r="B70" s="64">
        <v>1.49</v>
      </c>
      <c r="C70" s="64">
        <v>20.16</v>
      </c>
      <c r="D70" s="64">
        <v>12.97</v>
      </c>
      <c r="E70" s="64">
        <v>2.31</v>
      </c>
      <c r="F70" s="64">
        <v>9.85</v>
      </c>
      <c r="G70" s="64">
        <v>56.48</v>
      </c>
      <c r="H70" s="64">
        <v>20.39</v>
      </c>
      <c r="I70" s="64">
        <v>0.6</v>
      </c>
      <c r="J70" s="64">
        <v>0.86</v>
      </c>
      <c r="K70" s="64">
        <v>155.36000000000001</v>
      </c>
      <c r="L70" s="64">
        <v>29.15</v>
      </c>
      <c r="M70" s="64">
        <v>41.08</v>
      </c>
      <c r="N70" s="64">
        <v>35.299999999999997</v>
      </c>
      <c r="O70" s="64">
        <v>0</v>
      </c>
      <c r="P70" s="64">
        <v>0.68</v>
      </c>
      <c r="Q70" s="64">
        <v>15.78</v>
      </c>
      <c r="R70" s="198"/>
      <c r="S70" s="198"/>
      <c r="T70" s="198"/>
      <c r="U70" s="198"/>
    </row>
    <row r="71" spans="1:21" s="12" customFormat="1" x14ac:dyDescent="0.25">
      <c r="A71" s="211" t="s">
        <v>884</v>
      </c>
      <c r="B71" s="64">
        <v>1.36</v>
      </c>
      <c r="C71" s="64">
        <v>22.33</v>
      </c>
      <c r="D71" s="64">
        <v>14.06</v>
      </c>
      <c r="E71" s="64">
        <v>2.52</v>
      </c>
      <c r="F71" s="64">
        <v>7.15</v>
      </c>
      <c r="G71" s="64">
        <v>56.48</v>
      </c>
      <c r="H71" s="64">
        <v>20.39</v>
      </c>
      <c r="I71" s="64">
        <v>0.6</v>
      </c>
      <c r="J71" s="64">
        <v>2.29</v>
      </c>
      <c r="K71" s="64">
        <v>182.43</v>
      </c>
      <c r="L71" s="64">
        <v>24.87</v>
      </c>
      <c r="M71" s="64">
        <v>65.38</v>
      </c>
      <c r="N71" s="64">
        <v>59.8</v>
      </c>
      <c r="O71" s="64">
        <v>1.8</v>
      </c>
      <c r="P71" s="64">
        <v>0.64</v>
      </c>
      <c r="Q71" s="64">
        <v>17.57</v>
      </c>
      <c r="R71" s="198"/>
      <c r="S71" s="198"/>
      <c r="T71" s="198"/>
      <c r="U71" s="198"/>
    </row>
    <row r="72" spans="1:21" s="12" customFormat="1" x14ac:dyDescent="0.25">
      <c r="A72" s="211" t="s">
        <v>885</v>
      </c>
      <c r="B72" s="64">
        <v>1.0900000000000001</v>
      </c>
      <c r="C72" s="64">
        <v>21.73</v>
      </c>
      <c r="D72" s="64">
        <v>13.51</v>
      </c>
      <c r="E72" s="64">
        <v>1.66</v>
      </c>
      <c r="F72" s="64">
        <v>8.69</v>
      </c>
      <c r="G72" s="64">
        <v>56.48</v>
      </c>
      <c r="H72" s="64">
        <v>20.39</v>
      </c>
      <c r="I72" s="64">
        <v>0.6</v>
      </c>
      <c r="J72" s="64">
        <v>1.03</v>
      </c>
      <c r="K72" s="64">
        <v>143.06</v>
      </c>
      <c r="L72" s="64">
        <v>24.31</v>
      </c>
      <c r="M72" s="64">
        <v>59.64</v>
      </c>
      <c r="N72" s="64">
        <v>100.3</v>
      </c>
      <c r="O72" s="64">
        <v>0</v>
      </c>
      <c r="P72" s="64">
        <v>0.57999999999999996</v>
      </c>
      <c r="Q72" s="64">
        <v>18.28</v>
      </c>
      <c r="R72" s="198"/>
      <c r="S72" s="198"/>
      <c r="T72" s="198"/>
      <c r="U72" s="198"/>
    </row>
    <row r="73" spans="1:21" s="12" customFormat="1" x14ac:dyDescent="0.25">
      <c r="A73" s="211" t="s">
        <v>886</v>
      </c>
      <c r="B73" s="64">
        <v>1.1599999999999999</v>
      </c>
      <c r="C73" s="64">
        <v>21.62</v>
      </c>
      <c r="D73" s="64">
        <v>13.51</v>
      </c>
      <c r="E73" s="64">
        <v>1.79</v>
      </c>
      <c r="F73" s="64">
        <v>8.35</v>
      </c>
      <c r="G73" s="64">
        <v>49.31</v>
      </c>
      <c r="H73" s="64">
        <v>17.559999999999999</v>
      </c>
      <c r="I73" s="64">
        <v>0.56999999999999995</v>
      </c>
      <c r="J73" s="64">
        <v>0.98</v>
      </c>
      <c r="K73" s="64">
        <v>109.5</v>
      </c>
      <c r="L73" s="64">
        <v>26.31</v>
      </c>
      <c r="M73" s="64">
        <v>48.82</v>
      </c>
      <c r="N73" s="64">
        <v>164.3</v>
      </c>
      <c r="O73" s="64">
        <v>0</v>
      </c>
      <c r="P73" s="64">
        <v>0.54</v>
      </c>
      <c r="Q73" s="64">
        <v>19.41</v>
      </c>
      <c r="R73" s="198"/>
      <c r="S73" s="198"/>
      <c r="T73" s="198"/>
      <c r="U73" s="198"/>
    </row>
    <row r="74" spans="1:21" s="12" customFormat="1" x14ac:dyDescent="0.25">
      <c r="A74" s="211" t="s">
        <v>887</v>
      </c>
      <c r="B74" s="64">
        <v>1.76</v>
      </c>
      <c r="C74" s="64">
        <v>23.21</v>
      </c>
      <c r="D74" s="64">
        <v>14.87</v>
      </c>
      <c r="E74" s="64">
        <v>2.14</v>
      </c>
      <c r="F74" s="64">
        <v>14.26</v>
      </c>
      <c r="G74" s="64">
        <v>47.76</v>
      </c>
      <c r="H74" s="64">
        <v>16.95</v>
      </c>
      <c r="I74" s="64">
        <v>0.56000000000000005</v>
      </c>
      <c r="J74" s="64">
        <v>0.39</v>
      </c>
      <c r="K74" s="64">
        <v>103.85</v>
      </c>
      <c r="L74" s="64">
        <v>27.14</v>
      </c>
      <c r="M74" s="64">
        <v>52.35</v>
      </c>
      <c r="N74" s="64">
        <v>188.4</v>
      </c>
      <c r="O74" s="64">
        <v>0</v>
      </c>
      <c r="P74" s="64">
        <v>0.51</v>
      </c>
      <c r="Q74" s="64">
        <v>18.510000000000002</v>
      </c>
      <c r="R74" s="198"/>
      <c r="S74" s="198"/>
      <c r="T74" s="198"/>
      <c r="U74" s="198"/>
    </row>
    <row r="75" spans="1:21" s="12" customFormat="1" x14ac:dyDescent="0.25">
      <c r="A75" s="211" t="s">
        <v>888</v>
      </c>
      <c r="B75" s="64">
        <v>6.48</v>
      </c>
      <c r="C75" s="64">
        <v>36.65</v>
      </c>
      <c r="D75" s="64">
        <v>26.07</v>
      </c>
      <c r="E75" s="64">
        <v>2.35</v>
      </c>
      <c r="F75" s="64">
        <v>12.53</v>
      </c>
      <c r="G75" s="64">
        <v>47.76</v>
      </c>
      <c r="H75" s="64">
        <v>16.95</v>
      </c>
      <c r="I75" s="64">
        <v>0.54</v>
      </c>
      <c r="J75" s="64">
        <v>0.11</v>
      </c>
      <c r="K75" s="64">
        <v>274.35000000000002</v>
      </c>
      <c r="L75" s="64">
        <v>28.38</v>
      </c>
      <c r="M75" s="64">
        <v>56.65</v>
      </c>
      <c r="N75" s="64">
        <v>134.6</v>
      </c>
      <c r="O75" s="64">
        <v>0</v>
      </c>
      <c r="P75" s="64">
        <v>0.7</v>
      </c>
      <c r="Q75" s="64">
        <v>21.11</v>
      </c>
      <c r="R75" s="198"/>
      <c r="S75" s="198"/>
      <c r="T75" s="198"/>
      <c r="U75" s="198"/>
    </row>
    <row r="76" spans="1:21" s="12" customFormat="1" x14ac:dyDescent="0.25">
      <c r="A76" s="211" t="s">
        <v>889</v>
      </c>
      <c r="B76" s="64">
        <v>5.2</v>
      </c>
      <c r="C76" s="64">
        <v>45.67</v>
      </c>
      <c r="D76" s="64">
        <v>30.02</v>
      </c>
      <c r="E76" s="64">
        <v>2.85</v>
      </c>
      <c r="F76" s="64">
        <v>27.64</v>
      </c>
      <c r="G76" s="64">
        <v>47.76</v>
      </c>
      <c r="H76" s="64">
        <v>16.95</v>
      </c>
      <c r="I76" s="64">
        <v>0.54</v>
      </c>
      <c r="J76" s="64">
        <v>0.08</v>
      </c>
      <c r="K76" s="64">
        <v>138.99</v>
      </c>
      <c r="L76" s="64">
        <v>29.16</v>
      </c>
      <c r="M76" s="64">
        <v>45.85</v>
      </c>
      <c r="N76" s="64">
        <v>97.8</v>
      </c>
      <c r="O76" s="64">
        <v>0</v>
      </c>
      <c r="P76" s="64">
        <v>0.84</v>
      </c>
      <c r="Q76" s="64">
        <v>21.27</v>
      </c>
      <c r="R76" s="198"/>
      <c r="S76" s="198"/>
      <c r="T76" s="198"/>
      <c r="U76" s="198"/>
    </row>
    <row r="77" spans="1:21" s="12" customFormat="1" x14ac:dyDescent="0.25">
      <c r="A77" s="211" t="s">
        <v>890</v>
      </c>
      <c r="B77" s="64">
        <v>10.4</v>
      </c>
      <c r="C77" s="64">
        <v>57</v>
      </c>
      <c r="D77" s="64">
        <v>40.450000000000003</v>
      </c>
      <c r="E77" s="64">
        <v>2.78</v>
      </c>
      <c r="F77" s="64">
        <v>22.49</v>
      </c>
      <c r="G77" s="64">
        <v>49.99</v>
      </c>
      <c r="H77" s="64">
        <v>20.079999999999998</v>
      </c>
      <c r="I77" s="64">
        <v>0.56999999999999995</v>
      </c>
      <c r="J77" s="64">
        <v>0.02</v>
      </c>
      <c r="K77" s="64">
        <v>187.61</v>
      </c>
      <c r="L77" s="64">
        <v>29.65</v>
      </c>
      <c r="M77" s="64">
        <v>46.51</v>
      </c>
      <c r="N77" s="64">
        <v>54</v>
      </c>
      <c r="O77" s="64">
        <v>0</v>
      </c>
      <c r="P77" s="64">
        <v>0.94</v>
      </c>
      <c r="Q77" s="64">
        <v>19.649999999999999</v>
      </c>
      <c r="R77" s="198"/>
      <c r="S77" s="198"/>
      <c r="T77" s="198"/>
      <c r="U77" s="198"/>
    </row>
    <row r="78" spans="1:21" s="12" customFormat="1" x14ac:dyDescent="0.25">
      <c r="A78" s="211" t="s">
        <v>891</v>
      </c>
      <c r="B78" s="64">
        <v>39.71</v>
      </c>
      <c r="C78" s="64">
        <v>86.87</v>
      </c>
      <c r="D78" s="64">
        <v>80.430000000000007</v>
      </c>
      <c r="E78" s="64">
        <v>2.93</v>
      </c>
      <c r="F78" s="64">
        <v>9.4</v>
      </c>
      <c r="G78" s="64">
        <v>50.47</v>
      </c>
      <c r="H78" s="64">
        <v>20.76</v>
      </c>
      <c r="I78" s="64">
        <v>0.61</v>
      </c>
      <c r="J78" s="64">
        <v>0.11</v>
      </c>
      <c r="K78" s="64">
        <v>257.85000000000002</v>
      </c>
      <c r="L78" s="64">
        <v>28.73</v>
      </c>
      <c r="M78" s="64">
        <v>55.32</v>
      </c>
      <c r="N78" s="64">
        <v>41.4</v>
      </c>
      <c r="O78" s="64">
        <v>0</v>
      </c>
      <c r="P78" s="64">
        <v>0.95</v>
      </c>
      <c r="Q78" s="64">
        <v>17.36</v>
      </c>
      <c r="R78" s="198"/>
      <c r="S78" s="198"/>
      <c r="T78" s="198"/>
      <c r="U78" s="198"/>
    </row>
    <row r="79" spans="1:21" s="12" customFormat="1" x14ac:dyDescent="0.25">
      <c r="A79" s="211" t="s">
        <v>892</v>
      </c>
      <c r="B79" s="64">
        <v>14.52</v>
      </c>
      <c r="C79" s="64">
        <v>75.569999999999993</v>
      </c>
      <c r="D79" s="64">
        <v>53.99</v>
      </c>
      <c r="E79" s="64">
        <v>3.08</v>
      </c>
      <c r="F79" s="64">
        <v>16.670000000000002</v>
      </c>
      <c r="G79" s="64">
        <v>50.47</v>
      </c>
      <c r="H79" s="64">
        <v>20.76</v>
      </c>
      <c r="I79" s="64">
        <v>0.63</v>
      </c>
      <c r="J79" s="64">
        <v>0.14000000000000001</v>
      </c>
      <c r="K79" s="64">
        <v>261.12</v>
      </c>
      <c r="L79" s="64">
        <v>28.15</v>
      </c>
      <c r="M79" s="64">
        <v>53.49</v>
      </c>
      <c r="N79" s="64">
        <v>33.1</v>
      </c>
      <c r="O79" s="64">
        <v>0</v>
      </c>
      <c r="P79" s="64">
        <v>0.89</v>
      </c>
      <c r="Q79" s="64">
        <v>18.93</v>
      </c>
      <c r="R79" s="198"/>
      <c r="S79" s="198"/>
      <c r="T79" s="198"/>
      <c r="U79" s="198"/>
    </row>
    <row r="80" spans="1:21" s="12" customFormat="1" x14ac:dyDescent="0.25">
      <c r="A80" s="211" t="s">
        <v>893</v>
      </c>
      <c r="B80" s="64">
        <v>10.09</v>
      </c>
      <c r="C80" s="64">
        <v>49.31</v>
      </c>
      <c r="D80" s="64">
        <v>35.950000000000003</v>
      </c>
      <c r="E80" s="64">
        <v>2.36</v>
      </c>
      <c r="F80" s="64">
        <v>8.14</v>
      </c>
      <c r="G80" s="64">
        <v>50.47</v>
      </c>
      <c r="H80" s="64">
        <v>20.76</v>
      </c>
      <c r="I80" s="64">
        <v>0.68</v>
      </c>
      <c r="J80" s="64">
        <v>0.15</v>
      </c>
      <c r="K80" s="64">
        <v>214.07</v>
      </c>
      <c r="L80" s="64">
        <v>28.21</v>
      </c>
      <c r="M80" s="64">
        <v>58.03</v>
      </c>
      <c r="N80" s="64">
        <v>29.9</v>
      </c>
      <c r="O80" s="64">
        <v>0</v>
      </c>
      <c r="P80" s="64">
        <v>0.82</v>
      </c>
      <c r="Q80" s="64">
        <v>20.02</v>
      </c>
      <c r="R80" s="198"/>
      <c r="S80" s="198"/>
      <c r="T80" s="198"/>
      <c r="U80" s="198"/>
    </row>
    <row r="81" spans="1:26" s="12" customFormat="1" x14ac:dyDescent="0.25">
      <c r="A81" s="211" t="s">
        <v>894</v>
      </c>
      <c r="B81" s="64">
        <v>6.01</v>
      </c>
      <c r="C81" s="64">
        <v>39.32</v>
      </c>
      <c r="D81" s="64">
        <v>27.17</v>
      </c>
      <c r="E81" s="64">
        <v>1.97</v>
      </c>
      <c r="F81" s="64">
        <v>13.92</v>
      </c>
      <c r="G81" s="64">
        <v>60.87</v>
      </c>
      <c r="H81" s="64">
        <v>23.85</v>
      </c>
      <c r="I81" s="64">
        <v>0.65</v>
      </c>
      <c r="J81" s="64">
        <v>0.09</v>
      </c>
      <c r="K81" s="64">
        <v>259.37</v>
      </c>
      <c r="L81" s="64">
        <v>27.94</v>
      </c>
      <c r="M81" s="64">
        <v>63.34</v>
      </c>
      <c r="N81" s="64">
        <v>15.7</v>
      </c>
      <c r="O81" s="64">
        <v>0</v>
      </c>
      <c r="P81" s="64">
        <v>0.74</v>
      </c>
      <c r="Q81" s="64">
        <v>23.99</v>
      </c>
      <c r="R81" s="198"/>
      <c r="S81" s="198"/>
      <c r="T81" s="198"/>
      <c r="U81" s="198"/>
    </row>
    <row r="82" spans="1:26" s="12" customFormat="1" x14ac:dyDescent="0.25">
      <c r="A82" s="211" t="s">
        <v>895</v>
      </c>
      <c r="B82" s="64">
        <v>7.38</v>
      </c>
      <c r="C82" s="64">
        <v>42.68</v>
      </c>
      <c r="D82" s="64">
        <v>30.11</v>
      </c>
      <c r="E82" s="64">
        <v>2.42</v>
      </c>
      <c r="F82" s="64">
        <v>12.17</v>
      </c>
      <c r="G82" s="64">
        <v>63.11</v>
      </c>
      <c r="H82" s="64">
        <v>24.52</v>
      </c>
      <c r="I82" s="64">
        <v>0.65</v>
      </c>
      <c r="J82" s="64">
        <v>7.0000000000000007E-2</v>
      </c>
      <c r="K82" s="64">
        <v>276.57</v>
      </c>
      <c r="L82" s="64">
        <v>27.69</v>
      </c>
      <c r="M82" s="64">
        <v>62.36</v>
      </c>
      <c r="N82" s="64">
        <v>9.9</v>
      </c>
      <c r="O82" s="64">
        <v>0</v>
      </c>
      <c r="P82" s="64">
        <v>0.79</v>
      </c>
      <c r="Q82" s="64">
        <v>22.84</v>
      </c>
      <c r="R82" s="198"/>
      <c r="S82" s="198"/>
      <c r="T82" s="198"/>
      <c r="U82" s="198"/>
    </row>
    <row r="83" spans="1:26" s="12" customFormat="1" x14ac:dyDescent="0.25">
      <c r="A83" s="211" t="s">
        <v>896</v>
      </c>
      <c r="B83" s="64">
        <v>5.07</v>
      </c>
      <c r="C83" s="64">
        <v>39.840000000000003</v>
      </c>
      <c r="D83" s="64">
        <v>26.7</v>
      </c>
      <c r="E83" s="64">
        <v>2.4700000000000002</v>
      </c>
      <c r="F83" s="64">
        <v>12.93</v>
      </c>
      <c r="G83" s="64">
        <v>63.11</v>
      </c>
      <c r="H83" s="64">
        <v>24.52</v>
      </c>
      <c r="I83" s="64">
        <v>0.63</v>
      </c>
      <c r="J83" s="64">
        <v>0.14000000000000001</v>
      </c>
      <c r="K83" s="64">
        <v>146.41999999999999</v>
      </c>
      <c r="L83" s="64">
        <v>27.41</v>
      </c>
      <c r="M83" s="64">
        <v>57.49</v>
      </c>
      <c r="N83" s="64">
        <v>7.9</v>
      </c>
      <c r="O83" s="64">
        <v>0</v>
      </c>
      <c r="P83" s="64">
        <v>0.8</v>
      </c>
      <c r="Q83" s="64">
        <v>22.61</v>
      </c>
      <c r="R83" s="198"/>
      <c r="S83" s="198"/>
      <c r="T83" s="198"/>
      <c r="U83" s="198"/>
    </row>
    <row r="84" spans="1:26" s="12" customFormat="1" x14ac:dyDescent="0.25">
      <c r="A84" s="211" t="s">
        <v>897</v>
      </c>
      <c r="B84" s="64">
        <v>11.37</v>
      </c>
      <c r="C84" s="64">
        <v>53.96</v>
      </c>
      <c r="D84" s="64">
        <v>39.54</v>
      </c>
      <c r="E84" s="64">
        <v>2.5299999999999998</v>
      </c>
      <c r="F84" s="64">
        <v>8.4</v>
      </c>
      <c r="G84" s="64">
        <v>63.11</v>
      </c>
      <c r="H84" s="64">
        <v>24.52</v>
      </c>
      <c r="I84" s="64">
        <v>0.64</v>
      </c>
      <c r="J84" s="64">
        <v>0.09</v>
      </c>
      <c r="K84" s="64">
        <v>164.04</v>
      </c>
      <c r="L84" s="64">
        <v>27.44</v>
      </c>
      <c r="M84" s="64">
        <v>54.83</v>
      </c>
      <c r="N84" s="64">
        <v>7.2</v>
      </c>
      <c r="O84" s="64">
        <v>0</v>
      </c>
      <c r="P84" s="64">
        <v>0.77</v>
      </c>
      <c r="Q84" s="64">
        <v>22.11</v>
      </c>
      <c r="R84" s="198"/>
      <c r="S84" s="198"/>
      <c r="T84" s="198"/>
      <c r="U84" s="198"/>
    </row>
    <row r="85" spans="1:26" s="12" customFormat="1" x14ac:dyDescent="0.25">
      <c r="A85" s="211" t="s">
        <v>898</v>
      </c>
      <c r="B85" s="64">
        <v>12.44</v>
      </c>
      <c r="C85" s="64">
        <v>51.43</v>
      </c>
      <c r="D85" s="64">
        <v>39.01</v>
      </c>
      <c r="E85" s="64">
        <v>2.59</v>
      </c>
      <c r="F85" s="64">
        <v>7.01</v>
      </c>
      <c r="G85" s="64">
        <v>53.34</v>
      </c>
      <c r="H85" s="64">
        <v>20.61</v>
      </c>
      <c r="I85" s="64">
        <v>0.62</v>
      </c>
      <c r="J85" s="64">
        <v>0.15</v>
      </c>
      <c r="K85" s="64">
        <v>263.45999999999998</v>
      </c>
      <c r="L85" s="64">
        <v>27.18</v>
      </c>
      <c r="M85" s="64">
        <v>58.37</v>
      </c>
      <c r="N85" s="64">
        <v>7.5</v>
      </c>
      <c r="O85" s="64">
        <v>0</v>
      </c>
      <c r="P85" s="64">
        <v>1.02</v>
      </c>
      <c r="Q85" s="64">
        <v>21.08</v>
      </c>
      <c r="R85" s="198"/>
      <c r="S85" s="198"/>
      <c r="T85" s="198"/>
      <c r="U85" s="198"/>
    </row>
    <row r="86" spans="1:26" s="12" customFormat="1" x14ac:dyDescent="0.25">
      <c r="A86" s="211" t="s">
        <v>899</v>
      </c>
      <c r="B86" s="64">
        <v>10.06</v>
      </c>
      <c r="C86" s="64">
        <v>50.74</v>
      </c>
      <c r="D86" s="64">
        <v>36.72</v>
      </c>
      <c r="E86" s="64">
        <v>2.62</v>
      </c>
      <c r="F86" s="64">
        <v>7.93</v>
      </c>
      <c r="G86" s="64">
        <v>51.22</v>
      </c>
      <c r="H86" s="64">
        <v>19.760000000000002</v>
      </c>
      <c r="I86" s="64">
        <v>0.63</v>
      </c>
      <c r="J86" s="64">
        <v>0.28999999999999998</v>
      </c>
      <c r="K86" s="64">
        <v>196.68</v>
      </c>
      <c r="L86" s="64">
        <v>27.28</v>
      </c>
      <c r="M86" s="64">
        <v>55.29</v>
      </c>
      <c r="N86" s="64">
        <v>6.9</v>
      </c>
      <c r="O86" s="64">
        <v>0</v>
      </c>
      <c r="P86" s="64">
        <v>1.1200000000000001</v>
      </c>
      <c r="Q86" s="64">
        <v>22.35</v>
      </c>
      <c r="R86" s="198"/>
      <c r="S86" s="198"/>
      <c r="T86" s="198"/>
      <c r="U86" s="198"/>
    </row>
    <row r="87" spans="1:26" s="12" customFormat="1" x14ac:dyDescent="0.25">
      <c r="A87" s="211" t="s">
        <v>900</v>
      </c>
      <c r="B87" s="64">
        <v>23.87</v>
      </c>
      <c r="C87" s="64">
        <v>58.28</v>
      </c>
      <c r="D87" s="64">
        <v>51.95</v>
      </c>
      <c r="E87" s="64">
        <v>2.84</v>
      </c>
      <c r="F87" s="64">
        <v>10.99</v>
      </c>
      <c r="G87" s="64">
        <v>51.22</v>
      </c>
      <c r="H87" s="64">
        <v>19.760000000000002</v>
      </c>
      <c r="I87" s="64">
        <v>0.66</v>
      </c>
      <c r="J87" s="64">
        <v>0.2</v>
      </c>
      <c r="K87" s="64">
        <v>214.63</v>
      </c>
      <c r="L87" s="64">
        <v>27.9</v>
      </c>
      <c r="M87" s="64">
        <v>47.89</v>
      </c>
      <c r="N87" s="64">
        <v>7.1</v>
      </c>
      <c r="O87" s="64">
        <v>0</v>
      </c>
      <c r="P87" s="64">
        <v>1.29</v>
      </c>
      <c r="Q87" s="64">
        <v>21.03</v>
      </c>
      <c r="R87" s="198"/>
      <c r="S87" s="198"/>
      <c r="T87" s="198"/>
      <c r="U87" s="198"/>
    </row>
    <row r="88" spans="1:26" s="12" customFormat="1" x14ac:dyDescent="0.25">
      <c r="A88" s="211" t="s">
        <v>901</v>
      </c>
      <c r="B88" s="64">
        <v>22.85</v>
      </c>
      <c r="C88" s="64">
        <v>51.43</v>
      </c>
      <c r="D88" s="64">
        <v>47.35</v>
      </c>
      <c r="E88" s="64">
        <v>1.02</v>
      </c>
      <c r="F88" s="64">
        <v>5.0199999999999996</v>
      </c>
      <c r="G88" s="64">
        <v>51.22</v>
      </c>
      <c r="H88" s="64">
        <v>19.760000000000002</v>
      </c>
      <c r="I88" s="64">
        <v>0.69</v>
      </c>
      <c r="J88" s="64">
        <v>0.75</v>
      </c>
      <c r="K88" s="64">
        <v>270.45999999999998</v>
      </c>
      <c r="L88" s="64">
        <v>27.39</v>
      </c>
      <c r="M88" s="64">
        <v>55.67</v>
      </c>
      <c r="N88" s="64">
        <v>7.4</v>
      </c>
      <c r="O88" s="64">
        <v>0</v>
      </c>
      <c r="P88" s="64">
        <v>1.44</v>
      </c>
      <c r="Q88" s="64">
        <v>19.72</v>
      </c>
      <c r="R88" s="198"/>
      <c r="S88" s="198"/>
      <c r="T88" s="198"/>
      <c r="U88" s="198"/>
    </row>
    <row r="89" spans="1:26" s="12" customFormat="1" x14ac:dyDescent="0.25">
      <c r="A89" s="211" t="s">
        <v>902</v>
      </c>
      <c r="B89" s="64">
        <v>10.16</v>
      </c>
      <c r="C89" s="64">
        <v>37.590000000000003</v>
      </c>
      <c r="D89" s="64">
        <v>29.54</v>
      </c>
      <c r="E89" s="64">
        <v>1.84</v>
      </c>
      <c r="F89" s="64">
        <v>19.59</v>
      </c>
      <c r="G89" s="64">
        <v>55.7</v>
      </c>
      <c r="H89" s="64">
        <v>22.21</v>
      </c>
      <c r="I89" s="64">
        <v>0.72</v>
      </c>
      <c r="J89" s="64">
        <v>0.26</v>
      </c>
      <c r="K89" s="64">
        <v>181.26</v>
      </c>
      <c r="L89" s="64">
        <v>28.14</v>
      </c>
      <c r="M89" s="64">
        <v>43.5</v>
      </c>
      <c r="N89" s="64">
        <v>6.4</v>
      </c>
      <c r="O89" s="64">
        <v>0</v>
      </c>
      <c r="P89" s="64">
        <v>1.04</v>
      </c>
      <c r="Q89" s="64">
        <v>22.89</v>
      </c>
      <c r="R89" s="198"/>
      <c r="S89" s="198"/>
      <c r="T89" s="198"/>
      <c r="U89" s="198"/>
    </row>
    <row r="90" spans="1:26" s="12" customFormat="1" x14ac:dyDescent="0.25">
      <c r="A90" s="211" t="s">
        <v>903</v>
      </c>
      <c r="B90" s="64">
        <v>48.64</v>
      </c>
      <c r="C90" s="64">
        <v>69.48</v>
      </c>
      <c r="D90" s="64">
        <v>77.989999999999995</v>
      </c>
      <c r="E90" s="64">
        <v>3.08</v>
      </c>
      <c r="F90" s="64">
        <v>8.7899999999999991</v>
      </c>
      <c r="G90" s="64">
        <v>56.66</v>
      </c>
      <c r="H90" s="64">
        <v>22.74</v>
      </c>
      <c r="I90" s="64">
        <v>0.81</v>
      </c>
      <c r="J90" s="64">
        <v>0.12</v>
      </c>
      <c r="K90" s="64">
        <v>289.14999999999998</v>
      </c>
      <c r="L90" s="64">
        <v>28.13</v>
      </c>
      <c r="M90" s="64">
        <v>47.68</v>
      </c>
      <c r="N90" s="64">
        <v>8.1999999999999993</v>
      </c>
      <c r="O90" s="64">
        <v>0</v>
      </c>
      <c r="P90" s="64">
        <v>2.39</v>
      </c>
      <c r="Q90" s="64">
        <v>18.78</v>
      </c>
      <c r="R90" s="198"/>
      <c r="S90" s="198"/>
      <c r="T90" s="198"/>
      <c r="U90" s="198"/>
    </row>
    <row r="91" spans="1:26" s="12" customFormat="1" x14ac:dyDescent="0.25">
      <c r="A91" s="211" t="s">
        <v>904</v>
      </c>
      <c r="B91" s="64">
        <v>25.88</v>
      </c>
      <c r="C91" s="64">
        <v>54.62</v>
      </c>
      <c r="D91" s="64">
        <v>51.54</v>
      </c>
      <c r="E91" s="64">
        <v>2.8</v>
      </c>
      <c r="F91" s="64">
        <v>7.55</v>
      </c>
      <c r="G91" s="64">
        <v>56.66</v>
      </c>
      <c r="H91" s="64">
        <v>22.74</v>
      </c>
      <c r="I91" s="64">
        <v>0.68</v>
      </c>
      <c r="J91" s="64">
        <v>0.19</v>
      </c>
      <c r="K91" s="64">
        <v>284.91000000000003</v>
      </c>
      <c r="L91" s="64">
        <v>27.19</v>
      </c>
      <c r="M91" s="64">
        <v>55.28</v>
      </c>
      <c r="N91" s="64">
        <v>8</v>
      </c>
      <c r="O91" s="64">
        <v>0</v>
      </c>
      <c r="P91" s="64">
        <v>1.67</v>
      </c>
      <c r="Q91" s="64">
        <v>21.3</v>
      </c>
      <c r="R91" s="198"/>
      <c r="S91" s="198"/>
      <c r="T91" s="198"/>
      <c r="U91" s="198"/>
    </row>
    <row r="92" spans="1:26" s="12" customFormat="1" x14ac:dyDescent="0.25">
      <c r="A92" s="211" t="s">
        <v>905</v>
      </c>
      <c r="B92" s="64">
        <v>18.47</v>
      </c>
      <c r="C92" s="64">
        <v>39.69</v>
      </c>
      <c r="D92" s="64">
        <v>37.36</v>
      </c>
      <c r="E92" s="64">
        <v>2.64</v>
      </c>
      <c r="F92" s="64">
        <v>7.35</v>
      </c>
      <c r="G92" s="64">
        <v>56.66</v>
      </c>
      <c r="H92" s="64">
        <v>22.74</v>
      </c>
      <c r="I92" s="64">
        <v>0.88</v>
      </c>
      <c r="J92" s="64">
        <v>0.13</v>
      </c>
      <c r="K92" s="64">
        <v>270.25</v>
      </c>
      <c r="L92" s="64">
        <v>26.8</v>
      </c>
      <c r="M92" s="64">
        <v>56.32</v>
      </c>
      <c r="N92" s="64">
        <v>7.5</v>
      </c>
      <c r="O92" s="64">
        <v>0</v>
      </c>
      <c r="P92" s="64">
        <v>1.58</v>
      </c>
      <c r="Q92" s="64">
        <v>22.8</v>
      </c>
      <c r="R92" s="198"/>
      <c r="S92" s="198"/>
      <c r="T92" s="198"/>
      <c r="U92" s="198"/>
    </row>
    <row r="93" spans="1:26" s="12" customFormat="1" x14ac:dyDescent="0.25">
      <c r="A93" s="211" t="s">
        <v>906</v>
      </c>
      <c r="B93" s="64">
        <v>17.7</v>
      </c>
      <c r="C93" s="64">
        <v>45.47</v>
      </c>
      <c r="D93" s="64">
        <v>39.93</v>
      </c>
      <c r="E93" s="64">
        <v>2.34</v>
      </c>
      <c r="F93" s="64">
        <v>6.74</v>
      </c>
      <c r="G93" s="64">
        <v>66</v>
      </c>
      <c r="H93" s="64">
        <v>25.82</v>
      </c>
      <c r="I93" s="64">
        <v>0.75</v>
      </c>
      <c r="J93" s="64">
        <v>0.16</v>
      </c>
      <c r="K93" s="64">
        <v>229.89</v>
      </c>
      <c r="L93" s="64">
        <v>27.15</v>
      </c>
      <c r="M93" s="64">
        <v>54.19</v>
      </c>
      <c r="N93" s="64">
        <v>7.3</v>
      </c>
      <c r="O93" s="64">
        <v>0</v>
      </c>
      <c r="P93" s="64">
        <v>1.46</v>
      </c>
      <c r="Q93" s="64">
        <v>23.99</v>
      </c>
      <c r="R93" s="198"/>
      <c r="S93" s="198"/>
      <c r="T93" s="198"/>
      <c r="U93" s="198"/>
    </row>
    <row r="94" spans="1:26" s="12" customFormat="1" x14ac:dyDescent="0.25">
      <c r="A94" s="211" t="s">
        <v>907</v>
      </c>
      <c r="B94" s="64">
        <v>23.57</v>
      </c>
      <c r="C94" s="64">
        <v>47.48</v>
      </c>
      <c r="D94" s="64">
        <v>45.76</v>
      </c>
      <c r="E94" s="64">
        <v>2.37</v>
      </c>
      <c r="F94" s="64">
        <v>5.69</v>
      </c>
      <c r="G94" s="64">
        <v>68.010000000000005</v>
      </c>
      <c r="H94" s="64">
        <v>26.48</v>
      </c>
      <c r="I94" s="64">
        <v>0.77</v>
      </c>
      <c r="J94" s="64">
        <v>0.04</v>
      </c>
      <c r="K94" s="64">
        <v>316.72000000000003</v>
      </c>
      <c r="L94" s="64">
        <v>27.2</v>
      </c>
      <c r="M94" s="64">
        <v>56.64</v>
      </c>
      <c r="N94" s="64">
        <v>7.8</v>
      </c>
      <c r="O94" s="64">
        <v>0</v>
      </c>
      <c r="P94" s="64">
        <v>1.68</v>
      </c>
      <c r="Q94" s="64">
        <v>24.26</v>
      </c>
      <c r="R94" s="198"/>
      <c r="S94" s="198"/>
      <c r="T94" s="198"/>
      <c r="U94" s="198"/>
    </row>
    <row r="95" spans="1:26" s="12" customFormat="1" x14ac:dyDescent="0.25">
      <c r="A95" s="211" t="s">
        <v>908</v>
      </c>
      <c r="B95" s="64">
        <v>30.69</v>
      </c>
      <c r="C95" s="64">
        <v>54.63</v>
      </c>
      <c r="D95" s="64">
        <v>55.41</v>
      </c>
      <c r="E95" s="64">
        <v>2.4700000000000002</v>
      </c>
      <c r="F95" s="64">
        <v>4.21</v>
      </c>
      <c r="G95" s="64">
        <v>68.010000000000005</v>
      </c>
      <c r="H95" s="64">
        <v>26.48</v>
      </c>
      <c r="I95" s="64">
        <v>0.8</v>
      </c>
      <c r="J95" s="64">
        <v>0.12</v>
      </c>
      <c r="K95" s="64">
        <v>260.22000000000003</v>
      </c>
      <c r="L95" s="64">
        <v>26.95</v>
      </c>
      <c r="M95" s="64">
        <v>57.77</v>
      </c>
      <c r="N95" s="64">
        <v>7.5</v>
      </c>
      <c r="O95" s="64">
        <v>0</v>
      </c>
      <c r="P95" s="64">
        <v>1.84</v>
      </c>
      <c r="Q95" s="64">
        <v>22.6</v>
      </c>
      <c r="R95" s="198"/>
      <c r="S95" s="198"/>
      <c r="T95" s="198"/>
      <c r="U95" s="198"/>
    </row>
    <row r="96" spans="1:26" s="12" customFormat="1" x14ac:dyDescent="0.25">
      <c r="A96" s="211" t="s">
        <v>909</v>
      </c>
      <c r="B96" s="64">
        <v>46.86</v>
      </c>
      <c r="C96" s="64">
        <v>54.69</v>
      </c>
      <c r="D96" s="64">
        <v>68.41</v>
      </c>
      <c r="E96" s="64">
        <v>2.06</v>
      </c>
      <c r="F96" s="64">
        <v>3.48</v>
      </c>
      <c r="G96" s="64">
        <v>68.010000000000005</v>
      </c>
      <c r="H96" s="64">
        <v>26.48</v>
      </c>
      <c r="I96" s="64">
        <v>0.87</v>
      </c>
      <c r="J96" s="64">
        <v>0.04</v>
      </c>
      <c r="K96" s="64">
        <v>247.92</v>
      </c>
      <c r="L96" s="64">
        <v>26.54</v>
      </c>
      <c r="M96" s="64">
        <v>62.84</v>
      </c>
      <c r="N96" s="64">
        <v>7.7</v>
      </c>
      <c r="O96" s="64">
        <v>0</v>
      </c>
      <c r="P96" s="64">
        <v>2.11</v>
      </c>
      <c r="Q96" s="64">
        <v>21.79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910</v>
      </c>
      <c r="B97" s="64">
        <v>42.17</v>
      </c>
      <c r="C97" s="64">
        <v>49.07</v>
      </c>
      <c r="D97" s="64">
        <v>61.55</v>
      </c>
      <c r="E97" s="64">
        <v>2.23</v>
      </c>
      <c r="F97" s="64">
        <v>3.32</v>
      </c>
      <c r="G97" s="64">
        <v>75.41</v>
      </c>
      <c r="H97" s="64">
        <v>29.2</v>
      </c>
      <c r="I97" s="64">
        <v>0.94</v>
      </c>
      <c r="J97" s="64">
        <v>0.61</v>
      </c>
      <c r="K97" s="64">
        <v>118.81</v>
      </c>
      <c r="L97" s="64">
        <v>26.64</v>
      </c>
      <c r="M97" s="64">
        <v>58.25</v>
      </c>
      <c r="N97" s="64">
        <v>6.7</v>
      </c>
      <c r="O97" s="64">
        <v>0</v>
      </c>
      <c r="P97" s="64">
        <v>2.0499999999999998</v>
      </c>
      <c r="Q97" s="64">
        <v>21.96</v>
      </c>
      <c r="R97" s="198"/>
      <c r="S97" s="198"/>
      <c r="T97" s="198"/>
      <c r="U97" s="198"/>
    </row>
    <row r="98" spans="1:33" s="12" customFormat="1" x14ac:dyDescent="0.25">
      <c r="A98" s="211" t="s">
        <v>911</v>
      </c>
      <c r="B98" s="64">
        <v>31.14</v>
      </c>
      <c r="C98" s="64">
        <v>38.01</v>
      </c>
      <c r="D98" s="64">
        <v>46.59</v>
      </c>
      <c r="E98" s="64">
        <v>2.5499999999999998</v>
      </c>
      <c r="F98" s="64">
        <v>3.7</v>
      </c>
      <c r="G98" s="64">
        <v>77.010000000000005</v>
      </c>
      <c r="H98" s="64">
        <v>29.79</v>
      </c>
      <c r="I98" s="64">
        <v>0.96</v>
      </c>
      <c r="J98" s="64">
        <v>0.51</v>
      </c>
      <c r="K98" s="64">
        <v>128.07</v>
      </c>
      <c r="L98" s="64">
        <v>27.8</v>
      </c>
      <c r="M98" s="64">
        <v>50.83</v>
      </c>
      <c r="N98" s="64">
        <v>6.3</v>
      </c>
      <c r="O98" s="64">
        <v>0</v>
      </c>
      <c r="P98" s="64">
        <v>1.76</v>
      </c>
      <c r="Q98" s="64">
        <v>25.08</v>
      </c>
      <c r="R98" s="198"/>
      <c r="S98" s="198"/>
      <c r="T98" s="198"/>
      <c r="U98" s="198"/>
    </row>
    <row r="99" spans="1:33" s="12" customFormat="1" x14ac:dyDescent="0.25">
      <c r="A99" s="211" t="s">
        <v>912</v>
      </c>
      <c r="B99" s="64">
        <v>31.52</v>
      </c>
      <c r="C99" s="64">
        <v>60.26</v>
      </c>
      <c r="D99" s="64">
        <v>59.18</v>
      </c>
      <c r="E99" s="64">
        <v>4.76</v>
      </c>
      <c r="F99" s="64">
        <v>4.5</v>
      </c>
      <c r="G99" s="64">
        <v>77.010000000000005</v>
      </c>
      <c r="H99" s="64">
        <v>29.79</v>
      </c>
      <c r="I99" s="64">
        <v>0.97</v>
      </c>
      <c r="J99" s="64">
        <v>0.08</v>
      </c>
      <c r="K99" s="64">
        <v>112.63</v>
      </c>
      <c r="L99" s="64">
        <v>27.32</v>
      </c>
      <c r="M99" s="64">
        <v>51.61</v>
      </c>
      <c r="N99" s="64">
        <v>7.8</v>
      </c>
      <c r="O99" s="64">
        <v>0</v>
      </c>
      <c r="P99" s="64">
        <v>1.95</v>
      </c>
      <c r="Q99" s="64">
        <v>24.75</v>
      </c>
      <c r="R99" s="198"/>
      <c r="S99" s="198"/>
      <c r="T99" s="198"/>
      <c r="U99" s="198"/>
    </row>
    <row r="100" spans="1:33" s="12" customFormat="1" x14ac:dyDescent="0.25">
      <c r="A100" s="211" t="s">
        <v>913</v>
      </c>
      <c r="B100" s="64">
        <v>59.54</v>
      </c>
      <c r="C100" s="64">
        <v>71.260000000000005</v>
      </c>
      <c r="D100" s="64">
        <v>87.72</v>
      </c>
      <c r="E100" s="64">
        <v>9.5500000000000007</v>
      </c>
      <c r="F100" s="64">
        <v>4.49</v>
      </c>
      <c r="G100" s="64">
        <v>77.010000000000005</v>
      </c>
      <c r="H100" s="64">
        <v>29.79</v>
      </c>
      <c r="I100" s="64">
        <v>0.88</v>
      </c>
      <c r="J100" s="64">
        <v>0.01</v>
      </c>
      <c r="K100" s="64">
        <v>276.14</v>
      </c>
      <c r="L100" s="64">
        <v>27.22</v>
      </c>
      <c r="M100" s="64">
        <v>54.75</v>
      </c>
      <c r="N100" s="64">
        <v>7.9</v>
      </c>
      <c r="O100" s="64">
        <v>0</v>
      </c>
      <c r="P100" s="64">
        <v>2.2599999999999998</v>
      </c>
      <c r="Q100" s="64">
        <v>22.33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914</v>
      </c>
      <c r="B101" s="64">
        <v>49.37</v>
      </c>
      <c r="C101" s="64">
        <v>60.87</v>
      </c>
      <c r="D101" s="64">
        <v>73.83</v>
      </c>
      <c r="E101" s="64">
        <v>6.32</v>
      </c>
      <c r="F101" s="64">
        <v>3.63</v>
      </c>
      <c r="G101" s="64">
        <v>47.88</v>
      </c>
      <c r="H101" s="64">
        <v>30.87</v>
      </c>
      <c r="I101" s="64">
        <v>0.87</v>
      </c>
      <c r="J101" s="64">
        <v>0.18</v>
      </c>
      <c r="K101" s="64">
        <v>225.17</v>
      </c>
      <c r="L101" s="64">
        <v>26.61</v>
      </c>
      <c r="M101" s="64">
        <v>58.74</v>
      </c>
      <c r="N101" s="64">
        <v>7.8</v>
      </c>
      <c r="O101" s="64">
        <v>0</v>
      </c>
      <c r="P101" s="64">
        <v>2.19</v>
      </c>
      <c r="Q101" s="64">
        <v>22.54</v>
      </c>
      <c r="R101" s="198"/>
      <c r="S101" s="198"/>
      <c r="T101" s="198"/>
      <c r="U101" s="198"/>
    </row>
    <row r="102" spans="1:33" s="12" customFormat="1" x14ac:dyDescent="0.25">
      <c r="A102" s="211" t="s">
        <v>915</v>
      </c>
      <c r="B102" s="64">
        <v>48.66</v>
      </c>
      <c r="C102" s="64">
        <v>65.39</v>
      </c>
      <c r="D102" s="64">
        <v>75.760000000000005</v>
      </c>
      <c r="E102" s="64">
        <v>8.81</v>
      </c>
      <c r="F102" s="64">
        <v>3.75</v>
      </c>
      <c r="G102" s="64">
        <v>41.59</v>
      </c>
      <c r="H102" s="64">
        <v>31.11</v>
      </c>
      <c r="I102" s="64">
        <v>0.94</v>
      </c>
      <c r="J102" s="64">
        <v>7.0000000000000007E-2</v>
      </c>
      <c r="K102" s="64">
        <v>216.95</v>
      </c>
      <c r="L102" s="64">
        <v>26.56</v>
      </c>
      <c r="M102" s="64">
        <v>57.73</v>
      </c>
      <c r="N102" s="64">
        <v>7.6</v>
      </c>
      <c r="O102" s="64">
        <v>0</v>
      </c>
      <c r="P102" s="64">
        <v>1.89</v>
      </c>
      <c r="Q102" s="64">
        <v>24.08</v>
      </c>
      <c r="R102" s="198"/>
      <c r="S102" s="198"/>
      <c r="T102" s="198"/>
      <c r="U102" s="198"/>
    </row>
    <row r="103" spans="1:33" s="12" customFormat="1" x14ac:dyDescent="0.25">
      <c r="A103" s="211" t="s">
        <v>916</v>
      </c>
      <c r="B103" s="64">
        <v>36.79</v>
      </c>
      <c r="C103" s="64">
        <v>51.78</v>
      </c>
      <c r="D103" s="64">
        <v>58.73</v>
      </c>
      <c r="E103" s="64">
        <v>8.14</v>
      </c>
      <c r="F103" s="64">
        <v>3.84</v>
      </c>
      <c r="G103" s="64">
        <v>41.59</v>
      </c>
      <c r="H103" s="64">
        <v>31.11</v>
      </c>
      <c r="I103" s="64">
        <v>1.05</v>
      </c>
      <c r="J103" s="64">
        <v>0.36</v>
      </c>
      <c r="K103" s="64">
        <v>201.32</v>
      </c>
      <c r="L103" s="64">
        <v>26.39</v>
      </c>
      <c r="M103" s="64">
        <v>63.56</v>
      </c>
      <c r="N103" s="64">
        <v>7.5</v>
      </c>
      <c r="O103" s="64">
        <v>0</v>
      </c>
      <c r="P103" s="64">
        <v>1.84</v>
      </c>
      <c r="Q103" s="64">
        <v>24.6</v>
      </c>
      <c r="R103" s="198"/>
      <c r="S103" s="198"/>
      <c r="T103" s="198"/>
      <c r="U103" s="198"/>
    </row>
    <row r="104" spans="1:33" s="12" customFormat="1" x14ac:dyDescent="0.25">
      <c r="A104" s="211" t="s">
        <v>917</v>
      </c>
      <c r="B104" s="64">
        <v>31.11</v>
      </c>
      <c r="C104" s="64">
        <v>34.85</v>
      </c>
      <c r="D104" s="64">
        <v>44.82</v>
      </c>
      <c r="E104" s="64">
        <v>3.24</v>
      </c>
      <c r="F104" s="64">
        <v>3.37</v>
      </c>
      <c r="G104" s="64">
        <v>41.59</v>
      </c>
      <c r="H104" s="64">
        <v>31.11</v>
      </c>
      <c r="I104" s="64">
        <v>0.95</v>
      </c>
      <c r="J104" s="64">
        <v>0.25</v>
      </c>
      <c r="K104" s="64">
        <v>222.83</v>
      </c>
      <c r="L104" s="64">
        <v>26.19</v>
      </c>
      <c r="M104" s="64">
        <v>66.260000000000005</v>
      </c>
      <c r="N104" s="64">
        <v>7.9</v>
      </c>
      <c r="O104" s="64">
        <v>0</v>
      </c>
      <c r="P104" s="64">
        <v>1.74</v>
      </c>
      <c r="Q104" s="64">
        <v>27.81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1.06</v>
      </c>
      <c r="C106" s="67">
        <f>MIN(C9:C104)</f>
        <v>16.989999999999998</v>
      </c>
      <c r="D106" s="67">
        <f t="shared" ref="D106:Q106" si="0">MIN(D9:D104)</f>
        <v>12.63</v>
      </c>
      <c r="E106" s="67">
        <f t="shared" si="0"/>
        <v>1.02</v>
      </c>
      <c r="F106" s="67">
        <f t="shared" si="0"/>
        <v>2.72</v>
      </c>
      <c r="G106" s="67">
        <f t="shared" si="0"/>
        <v>41.59</v>
      </c>
      <c r="H106" s="67">
        <f t="shared" si="0"/>
        <v>16.95</v>
      </c>
      <c r="I106" s="67">
        <f t="shared" si="0"/>
        <v>0.54</v>
      </c>
      <c r="J106" s="67">
        <f t="shared" si="0"/>
        <v>0.01</v>
      </c>
      <c r="K106" s="67">
        <f t="shared" si="0"/>
        <v>28.16</v>
      </c>
      <c r="L106" s="67">
        <f t="shared" si="0"/>
        <v>23.41</v>
      </c>
      <c r="M106" s="67">
        <f t="shared" si="0"/>
        <v>30.48</v>
      </c>
      <c r="N106" s="67">
        <f t="shared" si="0"/>
        <v>6.3</v>
      </c>
      <c r="O106" s="67">
        <f t="shared" si="0"/>
        <v>0</v>
      </c>
      <c r="P106" s="67">
        <f t="shared" si="0"/>
        <v>0.51</v>
      </c>
      <c r="Q106" s="67">
        <f t="shared" si="0"/>
        <v>15.43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82.41</v>
      </c>
      <c r="C107" s="66">
        <f t="shared" ref="C107:Q107" si="1">MAX(C9:C104)</f>
        <v>86.87</v>
      </c>
      <c r="D107" s="66">
        <f t="shared" si="1"/>
        <v>96.86</v>
      </c>
      <c r="E107" s="66">
        <f t="shared" si="1"/>
        <v>9.5500000000000007</v>
      </c>
      <c r="F107" s="66">
        <f t="shared" si="1"/>
        <v>36.03</v>
      </c>
      <c r="G107" s="66">
        <f t="shared" si="1"/>
        <v>121.64</v>
      </c>
      <c r="H107" s="66">
        <f t="shared" si="1"/>
        <v>34.729999999999997</v>
      </c>
      <c r="I107" s="66">
        <f t="shared" si="1"/>
        <v>1.05</v>
      </c>
      <c r="J107" s="66">
        <f t="shared" si="1"/>
        <v>2.29</v>
      </c>
      <c r="K107" s="66">
        <f t="shared" si="1"/>
        <v>339.36</v>
      </c>
      <c r="L107" s="66">
        <f t="shared" si="1"/>
        <v>37.79</v>
      </c>
      <c r="M107" s="66">
        <f t="shared" si="1"/>
        <v>76.03</v>
      </c>
      <c r="N107" s="66">
        <f t="shared" si="1"/>
        <v>884.4</v>
      </c>
      <c r="O107" s="66">
        <f t="shared" si="1"/>
        <v>1.8</v>
      </c>
      <c r="P107" s="66">
        <f t="shared" si="1"/>
        <v>2.39</v>
      </c>
      <c r="Q107" s="66">
        <f t="shared" si="1"/>
        <v>31.48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21.111041666666658</v>
      </c>
      <c r="C108" s="67">
        <f t="shared" ref="C108:Q108" si="2">AVERAGE(C9:C104)</f>
        <v>34.091875000000009</v>
      </c>
      <c r="D108" s="67">
        <f t="shared" si="2"/>
        <v>36.389999999999986</v>
      </c>
      <c r="E108" s="67">
        <f t="shared" si="2"/>
        <v>3.0283333333333329</v>
      </c>
      <c r="F108" s="67">
        <f t="shared" si="2"/>
        <v>8.9127083333333363</v>
      </c>
      <c r="G108" s="67">
        <f t="shared" si="2"/>
        <v>66.773750000000021</v>
      </c>
      <c r="H108" s="67">
        <f t="shared" si="2"/>
        <v>27.398020833333344</v>
      </c>
      <c r="I108" s="67">
        <f t="shared" si="2"/>
        <v>0.68427083333333327</v>
      </c>
      <c r="J108" s="67">
        <f t="shared" si="2"/>
        <v>0.29052083333333328</v>
      </c>
      <c r="K108" s="67">
        <f t="shared" si="2"/>
        <v>236.27937499999999</v>
      </c>
      <c r="L108" s="67">
        <f t="shared" si="2"/>
        <v>28.908125000000009</v>
      </c>
      <c r="M108" s="67">
        <f t="shared" si="2"/>
        <v>52.990000000000009</v>
      </c>
      <c r="N108" s="67">
        <f t="shared" si="2"/>
        <v>218.68437500000005</v>
      </c>
      <c r="O108" s="67">
        <f t="shared" si="2"/>
        <v>1.8749999999999999E-2</v>
      </c>
      <c r="P108" s="67">
        <f t="shared" si="2"/>
        <v>1.1164583333333336</v>
      </c>
      <c r="Q108" s="67">
        <f t="shared" si="2"/>
        <v>23.309479166666645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17.574554960550319</v>
      </c>
      <c r="C109" s="67">
        <f t="shared" ref="C109:Q109" si="3">STDEV(C9:C104)</f>
        <v>14.947949009990058</v>
      </c>
      <c r="D109" s="67">
        <f t="shared" si="3"/>
        <v>18.646531609192969</v>
      </c>
      <c r="E109" s="67">
        <f t="shared" si="3"/>
        <v>1.423648143007155</v>
      </c>
      <c r="F109" s="67">
        <f t="shared" si="3"/>
        <v>6.9904031175329182</v>
      </c>
      <c r="G109" s="67">
        <f t="shared" si="3"/>
        <v>16.614056524838443</v>
      </c>
      <c r="H109" s="67">
        <f t="shared" si="3"/>
        <v>4.8882517851835461</v>
      </c>
      <c r="I109" s="67">
        <f t="shared" si="3"/>
        <v>0.11995389282348792</v>
      </c>
      <c r="J109" s="67">
        <f t="shared" si="3"/>
        <v>0.35981097315605692</v>
      </c>
      <c r="K109" s="67">
        <f t="shared" si="3"/>
        <v>58.763604970074482</v>
      </c>
      <c r="L109" s="67">
        <f t="shared" si="3"/>
        <v>4.4812306374829038</v>
      </c>
      <c r="M109" s="67">
        <f t="shared" si="3"/>
        <v>13.843315620487001</v>
      </c>
      <c r="N109" s="67">
        <f t="shared" si="3"/>
        <v>299.73484995843449</v>
      </c>
      <c r="O109" s="67">
        <f t="shared" si="3"/>
        <v>0.18371173070873836</v>
      </c>
      <c r="P109" s="67">
        <f t="shared" si="3"/>
        <v>0.40522632835612038</v>
      </c>
      <c r="Q109" s="67">
        <f t="shared" si="3"/>
        <v>4.2210877544942464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</f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28" sqref="F12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918</v>
      </c>
      <c r="B9" s="64">
        <v>31.26</v>
      </c>
      <c r="C9" s="64">
        <v>26.66</v>
      </c>
      <c r="D9" s="64">
        <v>40.43</v>
      </c>
      <c r="E9" s="64">
        <v>5.28</v>
      </c>
      <c r="F9" s="64">
        <v>3.75</v>
      </c>
      <c r="G9" s="64">
        <v>207.93</v>
      </c>
      <c r="H9" s="64">
        <v>35.229999999999997</v>
      </c>
      <c r="I9" s="64">
        <v>0.9</v>
      </c>
      <c r="J9" s="64">
        <v>0.8</v>
      </c>
      <c r="K9" s="64">
        <v>189.25</v>
      </c>
      <c r="L9" s="64">
        <v>25.97</v>
      </c>
      <c r="M9" s="64">
        <v>64.59</v>
      </c>
      <c r="N9" s="64">
        <v>7.6</v>
      </c>
      <c r="O9" s="64">
        <v>0</v>
      </c>
      <c r="P9" s="64">
        <v>1.74</v>
      </c>
      <c r="Q9" s="64">
        <v>27.88</v>
      </c>
      <c r="R9" s="198"/>
      <c r="S9" s="198"/>
      <c r="T9" s="198"/>
      <c r="U9" s="198"/>
    </row>
    <row r="10" spans="1:21" s="12" customFormat="1" x14ac:dyDescent="0.25">
      <c r="A10" s="211" t="s">
        <v>919</v>
      </c>
      <c r="B10" s="64">
        <v>29.11</v>
      </c>
      <c r="C10" s="64">
        <v>22.83</v>
      </c>
      <c r="D10" s="64">
        <v>36.590000000000003</v>
      </c>
      <c r="E10" s="64">
        <v>4.33</v>
      </c>
      <c r="F10" s="64">
        <v>4.26</v>
      </c>
      <c r="G10" s="64">
        <v>243.9</v>
      </c>
      <c r="H10" s="64">
        <v>36.119999999999997</v>
      </c>
      <c r="I10" s="64">
        <v>0.93</v>
      </c>
      <c r="J10" s="64">
        <v>0.73</v>
      </c>
      <c r="K10" s="64">
        <v>189.13</v>
      </c>
      <c r="L10" s="64">
        <v>25.88</v>
      </c>
      <c r="M10" s="64">
        <v>62.07</v>
      </c>
      <c r="N10" s="64">
        <v>7.7</v>
      </c>
      <c r="O10" s="64">
        <v>0</v>
      </c>
      <c r="P10" s="64">
        <v>1.64</v>
      </c>
      <c r="Q10" s="64">
        <v>27.63</v>
      </c>
      <c r="R10" s="198"/>
      <c r="S10" s="198"/>
      <c r="T10" s="198"/>
      <c r="U10" s="198"/>
    </row>
    <row r="11" spans="1:21" s="12" customFormat="1" x14ac:dyDescent="0.25">
      <c r="A11" s="211" t="s">
        <v>920</v>
      </c>
      <c r="B11" s="64">
        <v>24.93</v>
      </c>
      <c r="C11" s="64">
        <v>23.97</v>
      </c>
      <c r="D11" s="64">
        <v>33.86</v>
      </c>
      <c r="E11" s="64">
        <v>4.4800000000000004</v>
      </c>
      <c r="F11" s="64">
        <v>6.39</v>
      </c>
      <c r="G11" s="64">
        <v>243.9</v>
      </c>
      <c r="H11" s="64">
        <v>36.119999999999997</v>
      </c>
      <c r="I11" s="64">
        <v>0.94</v>
      </c>
      <c r="J11" s="64">
        <v>7.0000000000000007E-2</v>
      </c>
      <c r="K11" s="64">
        <v>296.5</v>
      </c>
      <c r="L11" s="64">
        <v>25.71</v>
      </c>
      <c r="M11" s="64">
        <v>61.51</v>
      </c>
      <c r="N11" s="64">
        <v>8</v>
      </c>
      <c r="O11" s="64">
        <v>0</v>
      </c>
      <c r="P11" s="64">
        <v>1.48</v>
      </c>
      <c r="Q11" s="64">
        <v>26.72</v>
      </c>
      <c r="R11" s="198"/>
      <c r="S11" s="198"/>
      <c r="T11" s="198"/>
      <c r="U11" s="198"/>
    </row>
    <row r="12" spans="1:21" s="12" customFormat="1" x14ac:dyDescent="0.25">
      <c r="A12" s="211" t="s">
        <v>921</v>
      </c>
      <c r="B12" s="64">
        <v>26.72</v>
      </c>
      <c r="C12" s="64">
        <v>25.2</v>
      </c>
      <c r="D12" s="64">
        <v>35.979999999999997</v>
      </c>
      <c r="E12" s="64">
        <v>4.1900000000000004</v>
      </c>
      <c r="F12" s="64">
        <v>5.47</v>
      </c>
      <c r="G12" s="64">
        <v>243.9</v>
      </c>
      <c r="H12" s="64">
        <v>36.119999999999997</v>
      </c>
      <c r="I12" s="64">
        <v>0.87</v>
      </c>
      <c r="J12" s="64">
        <v>0.15</v>
      </c>
      <c r="K12" s="64">
        <v>274.97000000000003</v>
      </c>
      <c r="L12" s="64">
        <v>25.49</v>
      </c>
      <c r="M12" s="64">
        <v>63.75</v>
      </c>
      <c r="N12" s="64">
        <v>8</v>
      </c>
      <c r="O12" s="64">
        <v>0</v>
      </c>
      <c r="P12" s="64">
        <v>1.46</v>
      </c>
      <c r="Q12" s="64">
        <v>26.34</v>
      </c>
      <c r="R12" s="198"/>
      <c r="S12" s="198"/>
      <c r="T12" s="198"/>
      <c r="U12" s="198"/>
    </row>
    <row r="13" spans="1:21" s="12" customFormat="1" x14ac:dyDescent="0.25">
      <c r="A13" s="211" t="s">
        <v>922</v>
      </c>
      <c r="B13" s="64">
        <v>22.99</v>
      </c>
      <c r="C13" s="64">
        <v>22.42</v>
      </c>
      <c r="D13" s="64">
        <v>31.46</v>
      </c>
      <c r="E13" s="64">
        <v>3.74</v>
      </c>
      <c r="F13" s="64">
        <v>5.82</v>
      </c>
      <c r="G13" s="64">
        <v>91.29</v>
      </c>
      <c r="H13" s="64">
        <v>32.29</v>
      </c>
      <c r="I13" s="64">
        <v>0.79</v>
      </c>
      <c r="J13" s="64">
        <v>0.12</v>
      </c>
      <c r="K13" s="64">
        <v>283.67</v>
      </c>
      <c r="L13" s="64">
        <v>25.28</v>
      </c>
      <c r="M13" s="64">
        <v>63.6</v>
      </c>
      <c r="N13" s="64">
        <v>7.8</v>
      </c>
      <c r="O13" s="64">
        <v>0</v>
      </c>
      <c r="P13" s="64">
        <v>1.38</v>
      </c>
      <c r="Q13" s="64">
        <v>25.88</v>
      </c>
      <c r="R13" s="198"/>
      <c r="S13" s="198"/>
      <c r="T13" s="198"/>
      <c r="U13" s="198"/>
    </row>
    <row r="14" spans="1:21" s="12" customFormat="1" x14ac:dyDescent="0.25">
      <c r="A14" s="211" t="s">
        <v>923</v>
      </c>
      <c r="B14" s="64">
        <v>18.96</v>
      </c>
      <c r="C14" s="64">
        <v>23.15</v>
      </c>
      <c r="D14" s="64">
        <v>28.63</v>
      </c>
      <c r="E14" s="64">
        <v>3.37</v>
      </c>
      <c r="F14" s="64">
        <v>7.63</v>
      </c>
      <c r="G14" s="64">
        <v>58.29</v>
      </c>
      <c r="H14" s="64">
        <v>31.46</v>
      </c>
      <c r="I14" s="64">
        <v>0.79</v>
      </c>
      <c r="J14" s="64">
        <v>0.19</v>
      </c>
      <c r="K14" s="64">
        <v>297.13</v>
      </c>
      <c r="L14" s="64">
        <v>25.35</v>
      </c>
      <c r="M14" s="64">
        <v>63.45</v>
      </c>
      <c r="N14" s="64">
        <v>7.5</v>
      </c>
      <c r="O14" s="64">
        <v>0</v>
      </c>
      <c r="P14" s="64">
        <v>1.27</v>
      </c>
      <c r="Q14" s="64">
        <v>26.52</v>
      </c>
      <c r="R14" s="198"/>
      <c r="S14" s="198"/>
      <c r="T14" s="198"/>
      <c r="U14" s="198"/>
    </row>
    <row r="15" spans="1:21" s="12" customFormat="1" x14ac:dyDescent="0.25">
      <c r="A15" s="211" t="s">
        <v>924</v>
      </c>
      <c r="B15" s="64">
        <v>16.63</v>
      </c>
      <c r="C15" s="64">
        <v>24.27</v>
      </c>
      <c r="D15" s="64">
        <v>27.37</v>
      </c>
      <c r="E15" s="64">
        <v>3.77</v>
      </c>
      <c r="F15" s="64">
        <v>10.14</v>
      </c>
      <c r="G15" s="64">
        <v>58.29</v>
      </c>
      <c r="H15" s="64">
        <v>31.46</v>
      </c>
      <c r="I15" s="64">
        <v>0.79</v>
      </c>
      <c r="J15" s="64">
        <v>0.24</v>
      </c>
      <c r="K15" s="64">
        <v>280.45999999999998</v>
      </c>
      <c r="L15" s="64">
        <v>25.33</v>
      </c>
      <c r="M15" s="64">
        <v>64.72</v>
      </c>
      <c r="N15" s="64">
        <v>7.7</v>
      </c>
      <c r="O15" s="64">
        <v>0</v>
      </c>
      <c r="P15" s="64">
        <v>1.1299999999999999</v>
      </c>
      <c r="Q15" s="64">
        <v>26.36</v>
      </c>
      <c r="R15" s="198"/>
      <c r="S15" s="198"/>
      <c r="T15" s="198"/>
      <c r="U15" s="198"/>
    </row>
    <row r="16" spans="1:21" s="12" customFormat="1" x14ac:dyDescent="0.25">
      <c r="A16" s="211" t="s">
        <v>925</v>
      </c>
      <c r="B16" s="64">
        <v>11.16</v>
      </c>
      <c r="C16" s="64">
        <v>25.62</v>
      </c>
      <c r="D16" s="64">
        <v>23.74</v>
      </c>
      <c r="E16" s="64">
        <v>3.64</v>
      </c>
      <c r="F16" s="64">
        <v>11.34</v>
      </c>
      <c r="G16" s="64">
        <v>58.29</v>
      </c>
      <c r="H16" s="64">
        <v>31.46</v>
      </c>
      <c r="I16" s="64">
        <v>0.7</v>
      </c>
      <c r="J16" s="64">
        <v>0.12</v>
      </c>
      <c r="K16" s="64">
        <v>245.29</v>
      </c>
      <c r="L16" s="64">
        <v>25.03</v>
      </c>
      <c r="M16" s="64">
        <v>65.11</v>
      </c>
      <c r="N16" s="64">
        <v>7.6</v>
      </c>
      <c r="O16" s="64">
        <v>0</v>
      </c>
      <c r="P16" s="64">
        <v>1.05</v>
      </c>
      <c r="Q16" s="64">
        <v>26.49</v>
      </c>
      <c r="R16" s="198"/>
      <c r="S16" s="198"/>
      <c r="T16" s="198"/>
      <c r="U16" s="198"/>
    </row>
    <row r="17" spans="1:21" s="12" customFormat="1" x14ac:dyDescent="0.25">
      <c r="A17" s="211" t="s">
        <v>926</v>
      </c>
      <c r="B17" s="64">
        <v>10.11</v>
      </c>
      <c r="C17" s="64">
        <v>29.33</v>
      </c>
      <c r="D17" s="64">
        <v>24.94</v>
      </c>
      <c r="E17" s="64">
        <v>3.15</v>
      </c>
      <c r="F17" s="64">
        <v>10.14</v>
      </c>
      <c r="G17" s="64">
        <v>66.83</v>
      </c>
      <c r="H17" s="64">
        <v>26.27</v>
      </c>
      <c r="I17" s="64">
        <v>0.66</v>
      </c>
      <c r="J17" s="64">
        <v>0.08</v>
      </c>
      <c r="K17" s="64">
        <v>257.77999999999997</v>
      </c>
      <c r="L17" s="64">
        <v>25.39</v>
      </c>
      <c r="M17" s="64">
        <v>62.56</v>
      </c>
      <c r="N17" s="64">
        <v>7.5</v>
      </c>
      <c r="O17" s="64">
        <v>0</v>
      </c>
      <c r="P17" s="64">
        <v>0.98</v>
      </c>
      <c r="Q17" s="64">
        <v>27.05</v>
      </c>
      <c r="R17" s="198"/>
      <c r="S17" s="198"/>
      <c r="T17" s="198"/>
      <c r="U17" s="198"/>
    </row>
    <row r="18" spans="1:21" s="12" customFormat="1" x14ac:dyDescent="0.25">
      <c r="A18" s="211" t="s">
        <v>927</v>
      </c>
      <c r="B18" s="64">
        <v>10.28</v>
      </c>
      <c r="C18" s="64">
        <v>30.13</v>
      </c>
      <c r="D18" s="64">
        <v>25.52</v>
      </c>
      <c r="E18" s="64">
        <v>3.1</v>
      </c>
      <c r="F18" s="64">
        <v>11.99</v>
      </c>
      <c r="G18" s="64">
        <v>68.680000000000007</v>
      </c>
      <c r="H18" s="64">
        <v>25.15</v>
      </c>
      <c r="I18" s="64">
        <v>0.62</v>
      </c>
      <c r="J18" s="64">
        <v>7.0000000000000007E-2</v>
      </c>
      <c r="K18" s="64">
        <v>295.7</v>
      </c>
      <c r="L18" s="64">
        <v>25.25</v>
      </c>
      <c r="M18" s="64">
        <v>62.77</v>
      </c>
      <c r="N18" s="64">
        <v>7.9</v>
      </c>
      <c r="O18" s="64">
        <v>0</v>
      </c>
      <c r="P18" s="64">
        <v>0.94</v>
      </c>
      <c r="Q18" s="64">
        <v>27.14</v>
      </c>
      <c r="R18" s="198"/>
      <c r="S18" s="198"/>
      <c r="T18" s="198"/>
      <c r="U18" s="198"/>
    </row>
    <row r="19" spans="1:21" s="12" customFormat="1" x14ac:dyDescent="0.25">
      <c r="A19" s="211" t="s">
        <v>928</v>
      </c>
      <c r="B19" s="64">
        <v>11.22</v>
      </c>
      <c r="C19" s="64">
        <v>23.46</v>
      </c>
      <c r="D19" s="64">
        <v>22.59</v>
      </c>
      <c r="E19" s="64">
        <v>2.98</v>
      </c>
      <c r="F19" s="64">
        <v>12.33</v>
      </c>
      <c r="G19" s="64">
        <v>68.680000000000007</v>
      </c>
      <c r="H19" s="64">
        <v>25.15</v>
      </c>
      <c r="I19" s="64">
        <v>0.6</v>
      </c>
      <c r="J19" s="64">
        <v>0.12</v>
      </c>
      <c r="K19" s="64">
        <v>256.97000000000003</v>
      </c>
      <c r="L19" s="64">
        <v>25.27</v>
      </c>
      <c r="M19" s="64">
        <v>63.8</v>
      </c>
      <c r="N19" s="64">
        <v>7.7</v>
      </c>
      <c r="O19" s="64">
        <v>0</v>
      </c>
      <c r="P19" s="64">
        <v>1.1100000000000001</v>
      </c>
      <c r="Q19" s="64">
        <v>27</v>
      </c>
      <c r="R19" s="198"/>
      <c r="S19" s="198"/>
      <c r="T19" s="198"/>
      <c r="U19" s="198"/>
    </row>
    <row r="20" spans="1:21" s="12" customFormat="1" x14ac:dyDescent="0.25">
      <c r="A20" s="211" t="s">
        <v>929</v>
      </c>
      <c r="B20" s="64">
        <v>15.13</v>
      </c>
      <c r="C20" s="64">
        <v>19.62</v>
      </c>
      <c r="D20" s="64">
        <v>23.61</v>
      </c>
      <c r="E20" s="64">
        <v>2.82</v>
      </c>
      <c r="F20" s="64">
        <v>6.71</v>
      </c>
      <c r="G20" s="64">
        <v>68.680000000000007</v>
      </c>
      <c r="H20" s="64">
        <v>25.15</v>
      </c>
      <c r="I20" s="64">
        <v>0.61</v>
      </c>
      <c r="J20" s="64">
        <v>0.18</v>
      </c>
      <c r="K20" s="64">
        <v>274.93</v>
      </c>
      <c r="L20" s="64">
        <v>24.79</v>
      </c>
      <c r="M20" s="64">
        <v>65.099999999999994</v>
      </c>
      <c r="N20" s="64">
        <v>7.5</v>
      </c>
      <c r="O20" s="64">
        <v>0</v>
      </c>
      <c r="P20" s="64">
        <v>1.1200000000000001</v>
      </c>
      <c r="Q20" s="64">
        <v>27.34</v>
      </c>
      <c r="R20" s="198"/>
      <c r="S20" s="198"/>
      <c r="T20" s="198"/>
      <c r="U20" s="198"/>
    </row>
    <row r="21" spans="1:21" s="12" customFormat="1" x14ac:dyDescent="0.25">
      <c r="A21" s="211" t="s">
        <v>930</v>
      </c>
      <c r="B21" s="64">
        <v>14.6</v>
      </c>
      <c r="C21" s="64">
        <v>17.89</v>
      </c>
      <c r="D21" s="64">
        <v>22.23</v>
      </c>
      <c r="E21" s="64">
        <v>2.83</v>
      </c>
      <c r="F21" s="64">
        <v>7.58</v>
      </c>
      <c r="G21" s="64">
        <v>37.82</v>
      </c>
      <c r="H21" s="64">
        <v>23.48</v>
      </c>
      <c r="I21" s="64">
        <v>0.67</v>
      </c>
      <c r="J21" s="64">
        <v>0.08</v>
      </c>
      <c r="K21" s="64">
        <v>203.57</v>
      </c>
      <c r="L21" s="64">
        <v>24.58</v>
      </c>
      <c r="M21" s="64">
        <v>63.56</v>
      </c>
      <c r="N21" s="64">
        <v>7.6</v>
      </c>
      <c r="O21" s="64">
        <v>0</v>
      </c>
      <c r="P21" s="64">
        <v>1.1399999999999999</v>
      </c>
      <c r="Q21" s="64">
        <v>26.34</v>
      </c>
      <c r="R21" s="198"/>
      <c r="S21" s="198"/>
      <c r="T21" s="198"/>
      <c r="U21" s="198"/>
    </row>
    <row r="22" spans="1:21" s="12" customFormat="1" x14ac:dyDescent="0.25">
      <c r="A22" s="211" t="s">
        <v>931</v>
      </c>
      <c r="B22" s="64">
        <v>12.33</v>
      </c>
      <c r="C22" s="64">
        <v>18.28</v>
      </c>
      <c r="D22" s="64">
        <v>20.63</v>
      </c>
      <c r="E22" s="64">
        <v>2.81</v>
      </c>
      <c r="F22" s="64">
        <v>8.39</v>
      </c>
      <c r="G22" s="64">
        <v>31.15</v>
      </c>
      <c r="H22" s="64">
        <v>23.12</v>
      </c>
      <c r="I22" s="64">
        <v>0.72</v>
      </c>
      <c r="J22" s="64">
        <v>0.13</v>
      </c>
      <c r="K22" s="64">
        <v>261.56</v>
      </c>
      <c r="L22" s="64">
        <v>24.52</v>
      </c>
      <c r="M22" s="64">
        <v>66.239999999999995</v>
      </c>
      <c r="N22" s="64">
        <v>7.6</v>
      </c>
      <c r="O22" s="64">
        <v>0</v>
      </c>
      <c r="P22" s="64">
        <v>0.98</v>
      </c>
      <c r="Q22" s="64">
        <v>26.84</v>
      </c>
      <c r="R22" s="198"/>
      <c r="S22" s="198"/>
      <c r="T22" s="198"/>
      <c r="U22" s="198"/>
    </row>
    <row r="23" spans="1:21" s="12" customFormat="1" x14ac:dyDescent="0.25">
      <c r="A23" s="211" t="s">
        <v>932</v>
      </c>
      <c r="B23" s="64">
        <v>16.8</v>
      </c>
      <c r="C23" s="64">
        <v>21.7</v>
      </c>
      <c r="D23" s="64">
        <v>26.09</v>
      </c>
      <c r="E23" s="64">
        <v>2.86</v>
      </c>
      <c r="F23" s="64">
        <v>5.7</v>
      </c>
      <c r="G23" s="64">
        <v>31.15</v>
      </c>
      <c r="H23" s="64">
        <v>23.12</v>
      </c>
      <c r="I23" s="64">
        <v>0.7</v>
      </c>
      <c r="J23" s="64">
        <v>0.06</v>
      </c>
      <c r="K23" s="64">
        <v>289.23</v>
      </c>
      <c r="L23" s="64">
        <v>24.5</v>
      </c>
      <c r="M23" s="64">
        <v>70.67</v>
      </c>
      <c r="N23" s="64">
        <v>7.8</v>
      </c>
      <c r="O23" s="64">
        <v>0</v>
      </c>
      <c r="P23" s="64">
        <v>1.07</v>
      </c>
      <c r="Q23" s="64">
        <v>25.17</v>
      </c>
      <c r="R23" s="198"/>
      <c r="S23" s="198"/>
      <c r="T23" s="198"/>
      <c r="U23" s="198"/>
    </row>
    <row r="24" spans="1:21" s="12" customFormat="1" x14ac:dyDescent="0.25">
      <c r="A24" s="211" t="s">
        <v>933</v>
      </c>
      <c r="B24" s="64">
        <v>17.34</v>
      </c>
      <c r="C24" s="64">
        <v>25.58</v>
      </c>
      <c r="D24" s="64">
        <v>28.67</v>
      </c>
      <c r="E24" s="64">
        <v>1.92</v>
      </c>
      <c r="F24" s="64">
        <v>4.01</v>
      </c>
      <c r="G24" s="64">
        <v>31.15</v>
      </c>
      <c r="H24" s="64">
        <v>23.12</v>
      </c>
      <c r="I24" s="64">
        <v>0.64</v>
      </c>
      <c r="J24" s="64">
        <v>7.0000000000000007E-2</v>
      </c>
      <c r="K24" s="64">
        <v>11.39</v>
      </c>
      <c r="L24" s="64">
        <v>23.88</v>
      </c>
      <c r="M24" s="64">
        <v>73.11</v>
      </c>
      <c r="N24" s="64">
        <v>7.6</v>
      </c>
      <c r="O24" s="64">
        <v>0</v>
      </c>
      <c r="P24" s="64">
        <v>1</v>
      </c>
      <c r="Q24" s="64">
        <v>25.02</v>
      </c>
      <c r="R24" s="198"/>
      <c r="S24" s="198"/>
      <c r="T24" s="198"/>
      <c r="U24" s="198"/>
    </row>
    <row r="25" spans="1:21" s="12" customFormat="1" x14ac:dyDescent="0.25">
      <c r="A25" s="211" t="s">
        <v>934</v>
      </c>
      <c r="B25" s="64">
        <v>14.11</v>
      </c>
      <c r="C25" s="64">
        <v>22.99</v>
      </c>
      <c r="D25" s="64">
        <v>24.64</v>
      </c>
      <c r="E25" s="64">
        <v>2.4</v>
      </c>
      <c r="F25" s="64">
        <v>4.42</v>
      </c>
      <c r="G25" s="64">
        <v>53.16</v>
      </c>
      <c r="H25" s="64">
        <v>21.89</v>
      </c>
      <c r="I25" s="64">
        <v>0.67</v>
      </c>
      <c r="J25" s="64">
        <v>0.19</v>
      </c>
      <c r="K25" s="64">
        <v>235.5</v>
      </c>
      <c r="L25" s="64">
        <v>24.02</v>
      </c>
      <c r="M25" s="64">
        <v>68.64</v>
      </c>
      <c r="N25" s="64">
        <v>7.1</v>
      </c>
      <c r="O25" s="64">
        <v>0</v>
      </c>
      <c r="P25" s="64">
        <v>1.07</v>
      </c>
      <c r="Q25" s="64">
        <v>24.73</v>
      </c>
      <c r="R25" s="198"/>
      <c r="S25" s="198"/>
      <c r="T25" s="198"/>
      <c r="U25" s="198"/>
    </row>
    <row r="26" spans="1:21" s="12" customFormat="1" x14ac:dyDescent="0.25">
      <c r="A26" s="211" t="s">
        <v>935</v>
      </c>
      <c r="B26" s="64">
        <v>17.02</v>
      </c>
      <c r="C26" s="64">
        <v>23.25</v>
      </c>
      <c r="D26" s="64">
        <v>27.12</v>
      </c>
      <c r="E26" s="64">
        <v>2.34</v>
      </c>
      <c r="F26" s="64">
        <v>3.63</v>
      </c>
      <c r="G26" s="64">
        <v>57.92</v>
      </c>
      <c r="H26" s="64">
        <v>21.62</v>
      </c>
      <c r="I26" s="64">
        <v>0.64</v>
      </c>
      <c r="J26" s="64">
        <v>0.03</v>
      </c>
      <c r="K26" s="64">
        <v>335.18</v>
      </c>
      <c r="L26" s="64">
        <v>24.27</v>
      </c>
      <c r="M26" s="64">
        <v>67.09</v>
      </c>
      <c r="N26" s="64">
        <v>7.6</v>
      </c>
      <c r="O26" s="64">
        <v>0</v>
      </c>
      <c r="P26" s="64">
        <v>1.01</v>
      </c>
      <c r="Q26" s="64">
        <v>25.14</v>
      </c>
      <c r="R26" s="198"/>
      <c r="S26" s="198"/>
      <c r="T26" s="198"/>
      <c r="U26" s="198"/>
    </row>
    <row r="27" spans="1:21" s="12" customFormat="1" x14ac:dyDescent="0.25">
      <c r="A27" s="211" t="s">
        <v>936</v>
      </c>
      <c r="B27" s="64">
        <v>11.31</v>
      </c>
      <c r="C27" s="64">
        <v>29.12</v>
      </c>
      <c r="D27" s="64">
        <v>25.79</v>
      </c>
      <c r="E27" s="64">
        <v>2.65</v>
      </c>
      <c r="F27" s="64">
        <v>6.37</v>
      </c>
      <c r="G27" s="64">
        <v>57.92</v>
      </c>
      <c r="H27" s="64">
        <v>21.62</v>
      </c>
      <c r="I27" s="64">
        <v>0.68</v>
      </c>
      <c r="J27" s="64">
        <v>0.08</v>
      </c>
      <c r="K27" s="64">
        <v>256.36</v>
      </c>
      <c r="L27" s="64">
        <v>24.13</v>
      </c>
      <c r="M27" s="64">
        <v>69.72</v>
      </c>
      <c r="N27" s="64">
        <v>7.5</v>
      </c>
      <c r="O27" s="64">
        <v>0</v>
      </c>
      <c r="P27" s="64">
        <v>0.84</v>
      </c>
      <c r="Q27" s="64">
        <v>24.76</v>
      </c>
      <c r="R27" s="198"/>
      <c r="S27" s="198"/>
      <c r="T27" s="198"/>
      <c r="U27" s="198"/>
    </row>
    <row r="28" spans="1:21" s="12" customFormat="1" x14ac:dyDescent="0.25">
      <c r="A28" s="211" t="s">
        <v>937</v>
      </c>
      <c r="B28" s="64">
        <v>19.420000000000002</v>
      </c>
      <c r="C28" s="64">
        <v>36.82</v>
      </c>
      <c r="D28" s="64">
        <v>36.54</v>
      </c>
      <c r="E28" s="64">
        <v>2.2599999999999998</v>
      </c>
      <c r="F28" s="64">
        <v>5.12</v>
      </c>
      <c r="G28" s="64">
        <v>57.92</v>
      </c>
      <c r="H28" s="64">
        <v>21.62</v>
      </c>
      <c r="I28" s="64">
        <v>0.64</v>
      </c>
      <c r="J28" s="64">
        <v>0.05</v>
      </c>
      <c r="K28" s="64">
        <v>255.52</v>
      </c>
      <c r="L28" s="64">
        <v>23.64</v>
      </c>
      <c r="M28" s="64">
        <v>68.819999999999993</v>
      </c>
      <c r="N28" s="64">
        <v>7.6</v>
      </c>
      <c r="O28" s="64">
        <v>0</v>
      </c>
      <c r="P28" s="64">
        <v>0.99</v>
      </c>
      <c r="Q28" s="64">
        <v>24.16</v>
      </c>
      <c r="R28" s="198"/>
      <c r="S28" s="198"/>
      <c r="T28" s="198"/>
      <c r="U28" s="198"/>
    </row>
    <row r="29" spans="1:21" s="12" customFormat="1" x14ac:dyDescent="0.25">
      <c r="A29" s="211" t="s">
        <v>938</v>
      </c>
      <c r="B29" s="64">
        <v>24.73</v>
      </c>
      <c r="C29" s="64">
        <v>40.28</v>
      </c>
      <c r="D29" s="64">
        <v>42.71</v>
      </c>
      <c r="E29" s="64">
        <v>2.69</v>
      </c>
      <c r="F29" s="64">
        <v>4.57</v>
      </c>
      <c r="G29" s="64">
        <v>65.709999999999994</v>
      </c>
      <c r="H29" s="64">
        <v>23.53</v>
      </c>
      <c r="I29" s="64">
        <v>0.56999999999999995</v>
      </c>
      <c r="J29" s="64">
        <v>0</v>
      </c>
      <c r="K29" s="64">
        <v>208.95</v>
      </c>
      <c r="L29" s="64">
        <v>23.46</v>
      </c>
      <c r="M29" s="64">
        <v>70.5</v>
      </c>
      <c r="N29" s="64">
        <v>8.1999999999999993</v>
      </c>
      <c r="O29" s="64">
        <v>0</v>
      </c>
      <c r="P29" s="64">
        <v>1.01</v>
      </c>
      <c r="Q29" s="64">
        <v>24.37</v>
      </c>
      <c r="R29" s="198"/>
      <c r="S29" s="198"/>
      <c r="T29" s="198"/>
      <c r="U29" s="198"/>
    </row>
    <row r="30" spans="1:21" s="12" customFormat="1" x14ac:dyDescent="0.25">
      <c r="A30" s="211" t="s">
        <v>939</v>
      </c>
      <c r="B30" s="64">
        <v>29.61</v>
      </c>
      <c r="C30" s="64">
        <v>36.64</v>
      </c>
      <c r="D30" s="64">
        <v>44.61</v>
      </c>
      <c r="E30" s="64">
        <v>2.68</v>
      </c>
      <c r="F30" s="64">
        <v>3.66</v>
      </c>
      <c r="G30" s="64">
        <v>67.39</v>
      </c>
      <c r="H30" s="64">
        <v>23.94</v>
      </c>
      <c r="I30" s="64">
        <v>0.63</v>
      </c>
      <c r="J30" s="64">
        <v>0.03</v>
      </c>
      <c r="K30" s="64">
        <v>154.78</v>
      </c>
      <c r="L30" s="64">
        <v>23.35</v>
      </c>
      <c r="M30" s="64">
        <v>71.650000000000006</v>
      </c>
      <c r="N30" s="64">
        <v>11.7</v>
      </c>
      <c r="O30" s="64">
        <v>0</v>
      </c>
      <c r="P30" s="64">
        <v>1.06</v>
      </c>
      <c r="Q30" s="64">
        <v>24.71</v>
      </c>
      <c r="R30" s="198"/>
      <c r="S30" s="198"/>
      <c r="T30" s="198"/>
      <c r="U30" s="198"/>
    </row>
    <row r="31" spans="1:21" s="12" customFormat="1" x14ac:dyDescent="0.25">
      <c r="A31" s="211" t="s">
        <v>940</v>
      </c>
      <c r="B31" s="64">
        <v>40.43</v>
      </c>
      <c r="C31" s="64">
        <v>26.87</v>
      </c>
      <c r="D31" s="64">
        <v>47.9</v>
      </c>
      <c r="E31" s="64">
        <v>2.58</v>
      </c>
      <c r="F31" s="64">
        <v>3.36</v>
      </c>
      <c r="G31" s="64">
        <v>67.39</v>
      </c>
      <c r="H31" s="64">
        <v>23.94</v>
      </c>
      <c r="I31" s="64">
        <v>0.65</v>
      </c>
      <c r="J31" s="64">
        <v>0.02</v>
      </c>
      <c r="K31" s="64">
        <v>290.07</v>
      </c>
      <c r="L31" s="64">
        <v>23.67</v>
      </c>
      <c r="M31" s="64">
        <v>72.599999999999994</v>
      </c>
      <c r="N31" s="64">
        <v>23.3</v>
      </c>
      <c r="O31" s="64">
        <v>0</v>
      </c>
      <c r="P31" s="64">
        <v>1.07</v>
      </c>
      <c r="Q31" s="64">
        <v>24.41</v>
      </c>
      <c r="R31" s="198"/>
      <c r="S31" s="198"/>
      <c r="T31" s="198"/>
      <c r="U31" s="198"/>
    </row>
    <row r="32" spans="1:21" s="12" customFormat="1" x14ac:dyDescent="0.25">
      <c r="A32" s="211" t="s">
        <v>941</v>
      </c>
      <c r="B32" s="64">
        <v>57.17</v>
      </c>
      <c r="C32" s="64">
        <v>30.52</v>
      </c>
      <c r="D32" s="64">
        <v>63.34</v>
      </c>
      <c r="E32" s="64">
        <v>2.59</v>
      </c>
      <c r="F32" s="64">
        <v>3.24</v>
      </c>
      <c r="G32" s="64">
        <v>67.39</v>
      </c>
      <c r="H32" s="64">
        <v>23.94</v>
      </c>
      <c r="I32" s="64">
        <v>0.7</v>
      </c>
      <c r="J32" s="64">
        <v>0.08</v>
      </c>
      <c r="K32" s="64">
        <v>259.22000000000003</v>
      </c>
      <c r="L32" s="64">
        <v>23.56</v>
      </c>
      <c r="M32" s="64">
        <v>77.319999999999993</v>
      </c>
      <c r="N32" s="64">
        <v>36.299999999999997</v>
      </c>
      <c r="O32" s="64">
        <v>0</v>
      </c>
      <c r="P32" s="64">
        <v>1.27</v>
      </c>
      <c r="Q32" s="64">
        <v>24.6</v>
      </c>
      <c r="R32" s="198"/>
      <c r="S32" s="198"/>
      <c r="T32" s="198"/>
      <c r="U32" s="198"/>
    </row>
    <row r="33" spans="1:21" s="12" customFormat="1" x14ac:dyDescent="0.25">
      <c r="A33" s="211" t="s">
        <v>942</v>
      </c>
      <c r="B33" s="64">
        <v>44.36</v>
      </c>
      <c r="C33" s="64">
        <v>29.43</v>
      </c>
      <c r="D33" s="64">
        <v>52.46</v>
      </c>
      <c r="E33" s="64">
        <v>2.52</v>
      </c>
      <c r="F33" s="64">
        <v>3.44</v>
      </c>
      <c r="G33" s="64">
        <v>105.87</v>
      </c>
      <c r="H33" s="64">
        <v>26.35</v>
      </c>
      <c r="I33" s="64">
        <v>0.73</v>
      </c>
      <c r="J33" s="64">
        <v>0.1</v>
      </c>
      <c r="K33" s="64">
        <v>164.59</v>
      </c>
      <c r="L33" s="64">
        <v>24.31</v>
      </c>
      <c r="M33" s="64">
        <v>73.27</v>
      </c>
      <c r="N33" s="64">
        <v>58.7</v>
      </c>
      <c r="O33" s="64">
        <v>0</v>
      </c>
      <c r="P33" s="64">
        <v>1.2</v>
      </c>
      <c r="Q33" s="64">
        <v>25.01</v>
      </c>
      <c r="R33" s="198"/>
      <c r="S33" s="198"/>
      <c r="T33" s="198"/>
      <c r="U33" s="198"/>
    </row>
    <row r="34" spans="1:21" s="12" customFormat="1" x14ac:dyDescent="0.25">
      <c r="A34" s="211" t="s">
        <v>943</v>
      </c>
      <c r="B34" s="64">
        <v>63.39</v>
      </c>
      <c r="C34" s="64">
        <v>46.74</v>
      </c>
      <c r="D34" s="64">
        <v>77.27</v>
      </c>
      <c r="E34" s="64">
        <v>2.75</v>
      </c>
      <c r="F34" s="64">
        <v>3.34</v>
      </c>
      <c r="G34" s="64">
        <v>114.19</v>
      </c>
      <c r="H34" s="64">
        <v>26.87</v>
      </c>
      <c r="I34" s="64">
        <v>0.74</v>
      </c>
      <c r="J34" s="64">
        <v>0.02</v>
      </c>
      <c r="K34" s="64">
        <v>149.36000000000001</v>
      </c>
      <c r="L34" s="64">
        <v>25.54</v>
      </c>
      <c r="M34" s="64">
        <v>70.05</v>
      </c>
      <c r="N34" s="64">
        <v>96.9</v>
      </c>
      <c r="O34" s="64">
        <v>0</v>
      </c>
      <c r="P34" s="64">
        <v>1.46</v>
      </c>
      <c r="Q34" s="64">
        <v>25.25</v>
      </c>
      <c r="R34" s="198"/>
      <c r="S34" s="198"/>
      <c r="T34" s="198"/>
      <c r="U34" s="198"/>
    </row>
    <row r="35" spans="1:21" s="12" customFormat="1" x14ac:dyDescent="0.25">
      <c r="A35" s="211" t="s">
        <v>944</v>
      </c>
      <c r="B35" s="64">
        <v>46.83</v>
      </c>
      <c r="C35" s="64">
        <v>28.82</v>
      </c>
      <c r="D35" s="64">
        <v>54.11</v>
      </c>
      <c r="E35" s="64">
        <v>3.09</v>
      </c>
      <c r="F35" s="64">
        <v>3.82</v>
      </c>
      <c r="G35" s="64">
        <v>114.19</v>
      </c>
      <c r="H35" s="64">
        <v>26.87</v>
      </c>
      <c r="I35" s="64">
        <v>0.75</v>
      </c>
      <c r="J35" s="64">
        <v>0.24</v>
      </c>
      <c r="K35" s="64">
        <v>127.58</v>
      </c>
      <c r="L35" s="64">
        <v>26.54</v>
      </c>
      <c r="M35" s="64">
        <v>64.19</v>
      </c>
      <c r="N35" s="64">
        <v>145.30000000000001</v>
      </c>
      <c r="O35" s="64">
        <v>0</v>
      </c>
      <c r="P35" s="64">
        <v>1.28</v>
      </c>
      <c r="Q35" s="64">
        <v>25.54</v>
      </c>
      <c r="R35" s="198"/>
      <c r="S35" s="198"/>
      <c r="T35" s="198"/>
      <c r="U35" s="198"/>
    </row>
    <row r="36" spans="1:21" s="12" customFormat="1" x14ac:dyDescent="0.25">
      <c r="A36" s="211" t="s">
        <v>945</v>
      </c>
      <c r="B36" s="64">
        <v>40.67</v>
      </c>
      <c r="C36" s="64">
        <v>35.880000000000003</v>
      </c>
      <c r="D36" s="64">
        <v>53.06</v>
      </c>
      <c r="E36" s="64">
        <v>2.87</v>
      </c>
      <c r="F36" s="64">
        <v>4.8</v>
      </c>
      <c r="G36" s="64">
        <v>114.19</v>
      </c>
      <c r="H36" s="64">
        <v>26.87</v>
      </c>
      <c r="I36" s="64">
        <v>0.74</v>
      </c>
      <c r="J36" s="64">
        <v>0.27</v>
      </c>
      <c r="K36" s="64">
        <v>178.4</v>
      </c>
      <c r="L36" s="64">
        <v>27.41</v>
      </c>
      <c r="M36" s="64">
        <v>59.58</v>
      </c>
      <c r="N36" s="64">
        <v>199.5</v>
      </c>
      <c r="O36" s="64">
        <v>0</v>
      </c>
      <c r="P36" s="64">
        <v>1.28</v>
      </c>
      <c r="Q36" s="64">
        <v>27.79</v>
      </c>
      <c r="R36" s="198"/>
      <c r="S36" s="198"/>
      <c r="T36" s="198"/>
      <c r="U36" s="198"/>
    </row>
    <row r="37" spans="1:21" s="12" customFormat="1" x14ac:dyDescent="0.25">
      <c r="A37" s="211" t="s">
        <v>946</v>
      </c>
      <c r="B37" s="64">
        <v>36.97</v>
      </c>
      <c r="C37" s="64">
        <v>31.89</v>
      </c>
      <c r="D37" s="64">
        <v>47.89</v>
      </c>
      <c r="E37" s="64">
        <v>3.31</v>
      </c>
      <c r="F37" s="64">
        <v>5.12</v>
      </c>
      <c r="G37" s="64">
        <v>108.19</v>
      </c>
      <c r="H37" s="64">
        <v>29.93</v>
      </c>
      <c r="I37" s="64">
        <v>0.74</v>
      </c>
      <c r="J37" s="64">
        <v>0.26</v>
      </c>
      <c r="K37" s="64">
        <v>177.21</v>
      </c>
      <c r="L37" s="64">
        <v>27.82</v>
      </c>
      <c r="M37" s="64">
        <v>60.37</v>
      </c>
      <c r="N37" s="64">
        <v>250.3</v>
      </c>
      <c r="O37" s="64">
        <v>0</v>
      </c>
      <c r="P37" s="64">
        <v>1.1100000000000001</v>
      </c>
      <c r="Q37" s="64">
        <v>27.59</v>
      </c>
      <c r="R37" s="198"/>
      <c r="S37" s="198"/>
      <c r="T37" s="198"/>
      <c r="U37" s="198"/>
    </row>
    <row r="38" spans="1:21" s="12" customFormat="1" x14ac:dyDescent="0.25">
      <c r="A38" s="211" t="s">
        <v>947</v>
      </c>
      <c r="B38" s="64">
        <v>31.95</v>
      </c>
      <c r="C38" s="64">
        <v>30.13</v>
      </c>
      <c r="D38" s="64">
        <v>42.9</v>
      </c>
      <c r="E38" s="64">
        <v>3.33</v>
      </c>
      <c r="F38" s="64">
        <v>9.52</v>
      </c>
      <c r="G38" s="64">
        <v>106.89</v>
      </c>
      <c r="H38" s="64">
        <v>30.59</v>
      </c>
      <c r="I38" s="64">
        <v>0.7</v>
      </c>
      <c r="J38" s="64">
        <v>0.64</v>
      </c>
      <c r="K38" s="64">
        <v>172.44</v>
      </c>
      <c r="L38" s="64">
        <v>28.12</v>
      </c>
      <c r="M38" s="64">
        <v>58.96</v>
      </c>
      <c r="N38" s="64">
        <v>300.89999999999998</v>
      </c>
      <c r="O38" s="64">
        <v>0</v>
      </c>
      <c r="P38" s="64">
        <v>1.21</v>
      </c>
      <c r="Q38" s="64">
        <v>28.5</v>
      </c>
      <c r="R38" s="198"/>
      <c r="S38" s="198"/>
      <c r="T38" s="198"/>
      <c r="U38" s="198"/>
    </row>
    <row r="39" spans="1:21" s="12" customFormat="1" x14ac:dyDescent="0.25">
      <c r="A39" s="211" t="s">
        <v>948</v>
      </c>
      <c r="B39" s="64">
        <v>28.06</v>
      </c>
      <c r="C39" s="64">
        <v>27.95</v>
      </c>
      <c r="D39" s="64">
        <v>38.57</v>
      </c>
      <c r="E39" s="64">
        <v>3.32</v>
      </c>
      <c r="F39" s="64">
        <v>11.75</v>
      </c>
      <c r="G39" s="64">
        <v>106.89</v>
      </c>
      <c r="H39" s="64">
        <v>30.59</v>
      </c>
      <c r="I39" s="64">
        <v>0.72</v>
      </c>
      <c r="J39" s="64">
        <v>0.88</v>
      </c>
      <c r="K39" s="64">
        <v>174.13</v>
      </c>
      <c r="L39" s="64">
        <v>27.88</v>
      </c>
      <c r="M39" s="64">
        <v>59.26</v>
      </c>
      <c r="N39" s="64">
        <v>361.2</v>
      </c>
      <c r="O39" s="64">
        <v>0</v>
      </c>
      <c r="P39" s="64">
        <v>1.0900000000000001</v>
      </c>
      <c r="Q39" s="64">
        <v>28.74</v>
      </c>
      <c r="R39" s="198"/>
      <c r="S39" s="198"/>
      <c r="T39" s="198"/>
      <c r="U39" s="198"/>
    </row>
    <row r="40" spans="1:21" s="12" customFormat="1" x14ac:dyDescent="0.25">
      <c r="A40" s="211" t="s">
        <v>949</v>
      </c>
      <c r="B40" s="64">
        <v>29.86</v>
      </c>
      <c r="C40" s="64">
        <v>24.83</v>
      </c>
      <c r="D40" s="64">
        <v>38.299999999999997</v>
      </c>
      <c r="E40" s="64">
        <v>1.21</v>
      </c>
      <c r="F40" s="64">
        <v>7.51</v>
      </c>
      <c r="G40" s="64">
        <v>106.89</v>
      </c>
      <c r="H40" s="64">
        <v>30.59</v>
      </c>
      <c r="I40" s="64">
        <v>0.68</v>
      </c>
      <c r="J40" s="64">
        <v>0.24</v>
      </c>
      <c r="K40" s="64">
        <v>216.7</v>
      </c>
      <c r="L40" s="64">
        <v>27.9</v>
      </c>
      <c r="M40" s="64">
        <v>59.31</v>
      </c>
      <c r="N40" s="64">
        <v>405.8</v>
      </c>
      <c r="O40" s="64">
        <v>0</v>
      </c>
      <c r="P40" s="64">
        <v>1.1100000000000001</v>
      </c>
      <c r="Q40" s="64">
        <v>27.68</v>
      </c>
      <c r="R40" s="198"/>
      <c r="S40" s="198"/>
      <c r="T40" s="198"/>
      <c r="U40" s="198"/>
    </row>
    <row r="41" spans="1:21" s="12" customFormat="1" x14ac:dyDescent="0.25">
      <c r="A41" s="211" t="s">
        <v>950</v>
      </c>
      <c r="B41" s="64">
        <v>23.23</v>
      </c>
      <c r="C41" s="64">
        <v>25.29</v>
      </c>
      <c r="D41" s="64">
        <v>33.229999999999997</v>
      </c>
      <c r="E41" s="64">
        <v>2.5499999999999998</v>
      </c>
      <c r="F41" s="64">
        <v>12.09</v>
      </c>
      <c r="G41" s="64">
        <v>85.57</v>
      </c>
      <c r="H41" s="64">
        <v>32.869999999999997</v>
      </c>
      <c r="I41" s="64">
        <v>0.67</v>
      </c>
      <c r="J41" s="64">
        <v>0.24</v>
      </c>
      <c r="K41" s="64">
        <v>205.32</v>
      </c>
      <c r="L41" s="64">
        <v>28.47</v>
      </c>
      <c r="M41" s="64">
        <v>57.69</v>
      </c>
      <c r="N41" s="64">
        <v>454.1</v>
      </c>
      <c r="O41" s="64">
        <v>0</v>
      </c>
      <c r="P41" s="64">
        <v>1.02</v>
      </c>
      <c r="Q41" s="64">
        <v>28.41</v>
      </c>
      <c r="R41" s="198"/>
      <c r="S41" s="198"/>
      <c r="T41" s="198"/>
      <c r="U41" s="198"/>
    </row>
    <row r="42" spans="1:21" s="12" customFormat="1" x14ac:dyDescent="0.25">
      <c r="A42" s="211" t="s">
        <v>951</v>
      </c>
      <c r="B42" s="64">
        <v>24.74</v>
      </c>
      <c r="C42" s="64">
        <v>23.38</v>
      </c>
      <c r="D42" s="64">
        <v>33.39</v>
      </c>
      <c r="E42" s="64">
        <v>2.37</v>
      </c>
      <c r="F42" s="64">
        <v>7.15</v>
      </c>
      <c r="G42" s="64">
        <v>80.959999999999994</v>
      </c>
      <c r="H42" s="64">
        <v>32.869999999999997</v>
      </c>
      <c r="I42" s="64">
        <v>0.71</v>
      </c>
      <c r="J42" s="64">
        <v>0.13</v>
      </c>
      <c r="K42" s="64">
        <v>266.98</v>
      </c>
      <c r="L42" s="64">
        <v>30.37</v>
      </c>
      <c r="M42" s="64">
        <v>53.67</v>
      </c>
      <c r="N42" s="64">
        <v>511.1</v>
      </c>
      <c r="O42" s="64">
        <v>0</v>
      </c>
      <c r="P42" s="64">
        <v>1.08</v>
      </c>
      <c r="Q42" s="64">
        <v>27.02</v>
      </c>
      <c r="R42" s="198"/>
      <c r="S42" s="198"/>
      <c r="T42" s="198"/>
      <c r="U42" s="198"/>
    </row>
    <row r="43" spans="1:21" s="12" customFormat="1" x14ac:dyDescent="0.25">
      <c r="A43" s="211" t="s">
        <v>952</v>
      </c>
      <c r="B43" s="64">
        <v>24.84</v>
      </c>
      <c r="C43" s="64">
        <v>26.15</v>
      </c>
      <c r="D43" s="64">
        <v>35</v>
      </c>
      <c r="E43" s="64">
        <v>2.21</v>
      </c>
      <c r="F43" s="64">
        <v>4.22</v>
      </c>
      <c r="G43" s="64">
        <v>80.959999999999994</v>
      </c>
      <c r="H43" s="64">
        <v>32.869999999999997</v>
      </c>
      <c r="I43" s="64">
        <v>0.66</v>
      </c>
      <c r="J43" s="64">
        <v>7.0000000000000007E-2</v>
      </c>
      <c r="K43" s="64">
        <v>282.7</v>
      </c>
      <c r="L43" s="64">
        <v>31.08</v>
      </c>
      <c r="M43" s="64">
        <v>48.1</v>
      </c>
      <c r="N43" s="64">
        <v>571.79999999999995</v>
      </c>
      <c r="O43" s="64">
        <v>0</v>
      </c>
      <c r="P43" s="64">
        <v>1.07</v>
      </c>
      <c r="Q43" s="64">
        <v>27.57</v>
      </c>
      <c r="R43" s="198"/>
      <c r="S43" s="198"/>
      <c r="T43" s="198"/>
      <c r="U43" s="198"/>
    </row>
    <row r="44" spans="1:21" s="12" customFormat="1" x14ac:dyDescent="0.25">
      <c r="A44" s="211" t="s">
        <v>953</v>
      </c>
      <c r="B44" s="64">
        <v>22.17</v>
      </c>
      <c r="C44" s="64">
        <v>25.28</v>
      </c>
      <c r="D44" s="64">
        <v>32.380000000000003</v>
      </c>
      <c r="E44" s="64">
        <v>2.06</v>
      </c>
      <c r="F44" s="64">
        <v>3.78</v>
      </c>
      <c r="G44" s="64">
        <v>80.959999999999994</v>
      </c>
      <c r="H44" s="64">
        <v>32.869999999999997</v>
      </c>
      <c r="I44" s="64">
        <v>0.7</v>
      </c>
      <c r="J44" s="64">
        <v>0.12</v>
      </c>
      <c r="K44" s="64">
        <v>22.62</v>
      </c>
      <c r="L44" s="64">
        <v>31.22</v>
      </c>
      <c r="M44" s="64">
        <v>46.84</v>
      </c>
      <c r="N44" s="64">
        <v>619.6</v>
      </c>
      <c r="O44" s="64">
        <v>0</v>
      </c>
      <c r="P44" s="64">
        <v>1.01</v>
      </c>
      <c r="Q44" s="64">
        <v>26.7</v>
      </c>
      <c r="R44" s="198"/>
      <c r="S44" s="198"/>
      <c r="T44" s="198"/>
      <c r="U44" s="198"/>
    </row>
    <row r="45" spans="1:21" s="12" customFormat="1" x14ac:dyDescent="0.25">
      <c r="A45" s="211" t="s">
        <v>954</v>
      </c>
      <c r="B45" s="64">
        <v>17.100000000000001</v>
      </c>
      <c r="C45" s="64">
        <v>26.85</v>
      </c>
      <c r="D45" s="64">
        <v>29.18</v>
      </c>
      <c r="E45" s="64">
        <v>2.57</v>
      </c>
      <c r="F45" s="64">
        <v>4.25</v>
      </c>
      <c r="G45" s="64">
        <v>56.13</v>
      </c>
      <c r="H45" s="64">
        <v>30.79</v>
      </c>
      <c r="I45" s="64">
        <v>0.71</v>
      </c>
      <c r="J45" s="64">
        <v>0.11</v>
      </c>
      <c r="K45" s="64">
        <v>324.18</v>
      </c>
      <c r="L45" s="64">
        <v>31.8</v>
      </c>
      <c r="M45" s="64">
        <v>45.57</v>
      </c>
      <c r="N45" s="64">
        <v>661.6</v>
      </c>
      <c r="O45" s="64">
        <v>0</v>
      </c>
      <c r="P45" s="64">
        <v>0.98</v>
      </c>
      <c r="Q45" s="64">
        <v>24.85</v>
      </c>
      <c r="R45" s="198"/>
      <c r="S45" s="198"/>
      <c r="T45" s="198"/>
      <c r="U45" s="198"/>
    </row>
    <row r="46" spans="1:21" s="12" customFormat="1" x14ac:dyDescent="0.25">
      <c r="A46" s="211" t="s">
        <v>955</v>
      </c>
      <c r="B46" s="64">
        <v>12.85</v>
      </c>
      <c r="C46" s="64">
        <v>30.39</v>
      </c>
      <c r="D46" s="64">
        <v>27.72</v>
      </c>
      <c r="E46" s="64">
        <v>2.1</v>
      </c>
      <c r="F46" s="64">
        <v>4.21</v>
      </c>
      <c r="G46" s="64">
        <v>50.75</v>
      </c>
      <c r="H46" s="64">
        <v>30.79</v>
      </c>
      <c r="I46" s="64">
        <v>0.69</v>
      </c>
      <c r="J46" s="64">
        <v>0.1</v>
      </c>
      <c r="K46" s="64">
        <v>297.32</v>
      </c>
      <c r="L46" s="64">
        <v>31.85</v>
      </c>
      <c r="M46" s="64">
        <v>45.65</v>
      </c>
      <c r="N46" s="64">
        <v>696.9</v>
      </c>
      <c r="O46" s="64">
        <v>0</v>
      </c>
      <c r="P46" s="64">
        <v>1.07</v>
      </c>
      <c r="Q46" s="64">
        <v>24.83</v>
      </c>
      <c r="R46" s="198"/>
      <c r="S46" s="198"/>
      <c r="T46" s="198"/>
      <c r="U46" s="198"/>
    </row>
    <row r="47" spans="1:21" s="12" customFormat="1" x14ac:dyDescent="0.25">
      <c r="A47" s="211" t="s">
        <v>956</v>
      </c>
      <c r="B47" s="64">
        <v>9.16</v>
      </c>
      <c r="C47" s="64">
        <v>32.21</v>
      </c>
      <c r="D47" s="64">
        <v>25.77</v>
      </c>
      <c r="E47" s="64">
        <v>1.94</v>
      </c>
      <c r="F47" s="64">
        <v>4.4000000000000004</v>
      </c>
      <c r="G47" s="64">
        <v>50.75</v>
      </c>
      <c r="H47" s="64">
        <v>30.79</v>
      </c>
      <c r="I47" s="64">
        <v>0.66</v>
      </c>
      <c r="J47" s="64">
        <v>0.02</v>
      </c>
      <c r="K47" s="64">
        <v>348.48</v>
      </c>
      <c r="L47" s="64">
        <v>31.94</v>
      </c>
      <c r="M47" s="64">
        <v>45.3</v>
      </c>
      <c r="N47" s="64">
        <v>734</v>
      </c>
      <c r="O47" s="64">
        <v>0</v>
      </c>
      <c r="P47" s="64">
        <v>1.2</v>
      </c>
      <c r="Q47" s="64">
        <v>24.23</v>
      </c>
      <c r="R47" s="198"/>
      <c r="S47" s="198"/>
      <c r="T47" s="198"/>
      <c r="U47" s="198"/>
    </row>
    <row r="48" spans="1:21" s="12" customFormat="1" x14ac:dyDescent="0.25">
      <c r="A48" s="211" t="s">
        <v>957</v>
      </c>
      <c r="B48" s="64">
        <v>6.28</v>
      </c>
      <c r="C48" s="64">
        <v>33.53</v>
      </c>
      <c r="D48" s="64">
        <v>24.18</v>
      </c>
      <c r="E48" s="64">
        <v>2.16</v>
      </c>
      <c r="F48" s="64">
        <v>5.28</v>
      </c>
      <c r="G48" s="64">
        <v>50.75</v>
      </c>
      <c r="H48" s="64">
        <v>30.79</v>
      </c>
      <c r="I48" s="64">
        <v>0.64</v>
      </c>
      <c r="J48" s="64">
        <v>0.18</v>
      </c>
      <c r="K48" s="64">
        <v>286.58</v>
      </c>
      <c r="L48" s="64">
        <v>33.4</v>
      </c>
      <c r="M48" s="64">
        <v>43.49</v>
      </c>
      <c r="N48" s="64">
        <v>765.9</v>
      </c>
      <c r="O48" s="64">
        <v>0</v>
      </c>
      <c r="P48" s="64">
        <v>1.32</v>
      </c>
      <c r="Q48" s="64">
        <v>23.04</v>
      </c>
      <c r="R48" s="198"/>
      <c r="S48" s="198"/>
      <c r="T48" s="198"/>
      <c r="U48" s="198"/>
    </row>
    <row r="49" spans="1:21" s="12" customFormat="1" x14ac:dyDescent="0.25">
      <c r="A49" s="211" t="s">
        <v>958</v>
      </c>
      <c r="B49" s="64">
        <v>4.5</v>
      </c>
      <c r="C49" s="64">
        <v>34.1</v>
      </c>
      <c r="D49" s="64">
        <v>23.08</v>
      </c>
      <c r="E49" s="64">
        <v>1.67</v>
      </c>
      <c r="F49" s="64">
        <v>5.76</v>
      </c>
      <c r="G49" s="64">
        <v>48.14</v>
      </c>
      <c r="H49" s="64">
        <v>32.67</v>
      </c>
      <c r="I49" s="64">
        <v>0.62</v>
      </c>
      <c r="J49" s="64">
        <v>0.19</v>
      </c>
      <c r="K49" s="64">
        <v>286.87</v>
      </c>
      <c r="L49" s="64">
        <v>34.659999999999997</v>
      </c>
      <c r="M49" s="64">
        <v>40.68</v>
      </c>
      <c r="N49" s="64">
        <v>799.8</v>
      </c>
      <c r="O49" s="64">
        <v>0</v>
      </c>
      <c r="P49" s="64">
        <v>1.39</v>
      </c>
      <c r="Q49" s="64">
        <v>21.78</v>
      </c>
      <c r="R49" s="198"/>
      <c r="S49" s="198"/>
      <c r="T49" s="198"/>
      <c r="U49" s="198"/>
    </row>
    <row r="50" spans="1:21" s="12" customFormat="1" x14ac:dyDescent="0.25">
      <c r="A50" s="211" t="s">
        <v>959</v>
      </c>
      <c r="B50" s="64">
        <v>4.51</v>
      </c>
      <c r="C50" s="64">
        <v>39.659999999999997</v>
      </c>
      <c r="D50" s="64">
        <v>26.15</v>
      </c>
      <c r="E50" s="64">
        <v>2.79</v>
      </c>
      <c r="F50" s="64">
        <v>14.52</v>
      </c>
      <c r="G50" s="64">
        <v>47.58</v>
      </c>
      <c r="H50" s="64">
        <v>32.67</v>
      </c>
      <c r="I50" s="64">
        <v>0.61</v>
      </c>
      <c r="J50" s="64">
        <v>0.28999999999999998</v>
      </c>
      <c r="K50" s="64">
        <v>278.73</v>
      </c>
      <c r="L50" s="64">
        <v>35.03</v>
      </c>
      <c r="M50" s="64">
        <v>39.590000000000003</v>
      </c>
      <c r="N50" s="64">
        <v>827.8</v>
      </c>
      <c r="O50" s="64">
        <v>0</v>
      </c>
      <c r="P50" s="64">
        <v>1.47</v>
      </c>
      <c r="Q50" s="64">
        <v>21.96</v>
      </c>
      <c r="R50" s="198"/>
      <c r="S50" s="198"/>
      <c r="T50" s="198"/>
      <c r="U50" s="198"/>
    </row>
    <row r="51" spans="1:21" s="12" customFormat="1" x14ac:dyDescent="0.25">
      <c r="A51" s="211" t="s">
        <v>960</v>
      </c>
      <c r="B51" s="64">
        <v>2</v>
      </c>
      <c r="C51" s="64">
        <v>39.729999999999997</v>
      </c>
      <c r="D51" s="64">
        <v>24.17</v>
      </c>
      <c r="E51" s="64">
        <v>4.3899999999999997</v>
      </c>
      <c r="F51" s="64">
        <v>20.239999999999998</v>
      </c>
      <c r="G51" s="64">
        <v>47.58</v>
      </c>
      <c r="H51" s="64">
        <v>32.67</v>
      </c>
      <c r="I51" s="64">
        <v>0.6</v>
      </c>
      <c r="J51" s="64">
        <v>0.18</v>
      </c>
      <c r="K51" s="64">
        <v>274.13</v>
      </c>
      <c r="L51" s="64">
        <v>33.68</v>
      </c>
      <c r="M51" s="64">
        <v>41.88</v>
      </c>
      <c r="N51" s="64">
        <v>849.2</v>
      </c>
      <c r="O51" s="64">
        <v>0</v>
      </c>
      <c r="P51" s="64">
        <v>1.41</v>
      </c>
      <c r="Q51" s="64">
        <v>22.38</v>
      </c>
      <c r="R51" s="198"/>
      <c r="S51" s="198"/>
      <c r="T51" s="198"/>
      <c r="U51" s="198"/>
    </row>
    <row r="52" spans="1:21" s="12" customFormat="1" x14ac:dyDescent="0.25">
      <c r="A52" s="211" t="s">
        <v>961</v>
      </c>
      <c r="B52" s="64">
        <v>1.21</v>
      </c>
      <c r="C52" s="64">
        <v>34.26</v>
      </c>
      <c r="D52" s="64">
        <v>20.52</v>
      </c>
      <c r="E52" s="64">
        <v>5.52</v>
      </c>
      <c r="F52" s="64">
        <v>21</v>
      </c>
      <c r="G52" s="64">
        <v>47.58</v>
      </c>
      <c r="H52" s="64">
        <v>32.67</v>
      </c>
      <c r="I52" s="64">
        <v>0.56999999999999995</v>
      </c>
      <c r="J52" s="64">
        <v>0.28000000000000003</v>
      </c>
      <c r="K52" s="64">
        <v>284.85000000000002</v>
      </c>
      <c r="L52" s="64">
        <v>35.86</v>
      </c>
      <c r="M52" s="64">
        <v>38.1</v>
      </c>
      <c r="N52" s="64">
        <v>872.6</v>
      </c>
      <c r="O52" s="64">
        <v>0</v>
      </c>
      <c r="P52" s="64">
        <v>1.35</v>
      </c>
      <c r="Q52" s="64">
        <v>21.09</v>
      </c>
      <c r="R52" s="198"/>
      <c r="S52" s="198"/>
      <c r="T52" s="198"/>
      <c r="U52" s="198"/>
    </row>
    <row r="53" spans="1:21" s="12" customFormat="1" x14ac:dyDescent="0.25">
      <c r="A53" s="211" t="s">
        <v>962</v>
      </c>
      <c r="B53" s="64">
        <v>1.78</v>
      </c>
      <c r="C53" s="64">
        <v>30.1</v>
      </c>
      <c r="D53" s="64">
        <v>18.690000000000001</v>
      </c>
      <c r="E53" s="64">
        <v>4.38</v>
      </c>
      <c r="F53" s="64">
        <v>18.04</v>
      </c>
      <c r="G53" s="64">
        <v>67.14</v>
      </c>
      <c r="H53" s="64">
        <v>29.76</v>
      </c>
      <c r="I53" s="64">
        <v>0.52</v>
      </c>
      <c r="J53" s="64">
        <v>0.44</v>
      </c>
      <c r="K53" s="64">
        <v>275.19</v>
      </c>
      <c r="L53" s="64">
        <v>37.619999999999997</v>
      </c>
      <c r="M53" s="64">
        <v>32.5</v>
      </c>
      <c r="N53" s="64">
        <v>900.1</v>
      </c>
      <c r="O53" s="64">
        <v>0</v>
      </c>
      <c r="P53" s="64">
        <v>1.32</v>
      </c>
      <c r="Q53" s="64">
        <v>20.3</v>
      </c>
      <c r="R53" s="198"/>
      <c r="S53" s="198"/>
      <c r="T53" s="198"/>
      <c r="U53" s="198"/>
    </row>
    <row r="54" spans="1:21" s="12" customFormat="1" x14ac:dyDescent="0.25">
      <c r="A54" s="211" t="s">
        <v>963</v>
      </c>
      <c r="B54" s="64">
        <v>1.58</v>
      </c>
      <c r="C54" s="64">
        <v>27.4</v>
      </c>
      <c r="D54" s="64">
        <v>17.04</v>
      </c>
      <c r="E54" s="64">
        <v>4.03</v>
      </c>
      <c r="F54" s="64">
        <v>17.87</v>
      </c>
      <c r="G54" s="64">
        <v>71.36</v>
      </c>
      <c r="H54" s="64">
        <v>29.76</v>
      </c>
      <c r="I54" s="64">
        <v>0.51</v>
      </c>
      <c r="J54" s="64">
        <v>0.38</v>
      </c>
      <c r="K54" s="64">
        <v>267.79000000000002</v>
      </c>
      <c r="L54" s="64">
        <v>37.409999999999997</v>
      </c>
      <c r="M54" s="64">
        <v>32.659999999999997</v>
      </c>
      <c r="N54" s="64">
        <v>908.1</v>
      </c>
      <c r="O54" s="64">
        <v>0</v>
      </c>
      <c r="P54" s="64">
        <v>1.23</v>
      </c>
      <c r="Q54" s="64">
        <v>19.89</v>
      </c>
      <c r="R54" s="198"/>
      <c r="S54" s="198"/>
      <c r="T54" s="198"/>
      <c r="U54" s="198"/>
    </row>
    <row r="55" spans="1:21" s="12" customFormat="1" x14ac:dyDescent="0.25">
      <c r="A55" s="211" t="s">
        <v>964</v>
      </c>
      <c r="B55" s="64">
        <v>1.1399999999999999</v>
      </c>
      <c r="C55" s="64">
        <v>26.1</v>
      </c>
      <c r="D55" s="64">
        <v>15.97</v>
      </c>
      <c r="E55" s="64">
        <v>3.04</v>
      </c>
      <c r="F55" s="64">
        <v>9.2899999999999991</v>
      </c>
      <c r="G55" s="64">
        <v>71.36</v>
      </c>
      <c r="H55" s="64">
        <v>29.76</v>
      </c>
      <c r="I55" s="64">
        <v>0.53</v>
      </c>
      <c r="J55" s="64">
        <v>0.24</v>
      </c>
      <c r="K55" s="64">
        <v>257.19</v>
      </c>
      <c r="L55" s="64">
        <v>35.450000000000003</v>
      </c>
      <c r="M55" s="64">
        <v>34.299999999999997</v>
      </c>
      <c r="N55" s="64">
        <v>899.3</v>
      </c>
      <c r="O55" s="64">
        <v>0</v>
      </c>
      <c r="P55" s="64">
        <v>1.23</v>
      </c>
      <c r="Q55" s="64">
        <v>21.13</v>
      </c>
      <c r="R55" s="198"/>
      <c r="S55" s="198"/>
      <c r="T55" s="198"/>
      <c r="U55" s="198"/>
    </row>
    <row r="56" spans="1:21" s="12" customFormat="1" x14ac:dyDescent="0.25">
      <c r="A56" s="211" t="s">
        <v>965</v>
      </c>
      <c r="B56" s="64">
        <v>1.01</v>
      </c>
      <c r="C56" s="64">
        <v>24.99</v>
      </c>
      <c r="D56" s="64">
        <v>15.25</v>
      </c>
      <c r="E56" s="64">
        <v>4.0999999999999996</v>
      </c>
      <c r="F56" s="64">
        <v>13.73</v>
      </c>
      <c r="G56" s="64">
        <v>71.36</v>
      </c>
      <c r="H56" s="64">
        <v>29.76</v>
      </c>
      <c r="I56" s="64">
        <v>0.54</v>
      </c>
      <c r="J56" s="64">
        <v>0.44</v>
      </c>
      <c r="K56" s="64">
        <v>278.14999999999998</v>
      </c>
      <c r="L56" s="64">
        <v>36.659999999999997</v>
      </c>
      <c r="M56" s="64">
        <v>33.82</v>
      </c>
      <c r="N56" s="64">
        <v>906</v>
      </c>
      <c r="O56" s="64">
        <v>0</v>
      </c>
      <c r="P56" s="64">
        <v>1.1299999999999999</v>
      </c>
      <c r="Q56" s="64">
        <v>20.94</v>
      </c>
      <c r="R56" s="198"/>
      <c r="S56" s="198"/>
      <c r="T56" s="198"/>
      <c r="U56" s="198"/>
    </row>
    <row r="57" spans="1:21" s="12" customFormat="1" x14ac:dyDescent="0.25">
      <c r="A57" s="211" t="s">
        <v>966</v>
      </c>
      <c r="B57" s="64">
        <v>1.01</v>
      </c>
      <c r="C57" s="64">
        <v>24.65</v>
      </c>
      <c r="D57" s="64">
        <v>15.06</v>
      </c>
      <c r="E57" s="64">
        <v>5.46</v>
      </c>
      <c r="F57" s="64">
        <v>12.61</v>
      </c>
      <c r="G57" s="64">
        <v>68.11</v>
      </c>
      <c r="H57" s="64">
        <v>28.91</v>
      </c>
      <c r="I57" s="64">
        <v>0.56000000000000005</v>
      </c>
      <c r="J57" s="64">
        <v>0.37</v>
      </c>
      <c r="K57" s="64">
        <v>245.08</v>
      </c>
      <c r="L57" s="64">
        <v>35.35</v>
      </c>
      <c r="M57" s="64">
        <v>33.229999999999997</v>
      </c>
      <c r="N57" s="64">
        <v>922.2</v>
      </c>
      <c r="O57" s="64">
        <v>0</v>
      </c>
      <c r="P57" s="64">
        <v>1.04</v>
      </c>
      <c r="Q57" s="64">
        <v>20.21</v>
      </c>
      <c r="R57" s="198"/>
      <c r="S57" s="198"/>
      <c r="T57" s="198"/>
      <c r="U57" s="198"/>
    </row>
    <row r="58" spans="1:21" s="12" customFormat="1" x14ac:dyDescent="0.25">
      <c r="A58" s="211" t="s">
        <v>967</v>
      </c>
      <c r="B58" s="64">
        <v>1</v>
      </c>
      <c r="C58" s="64">
        <v>23.72</v>
      </c>
      <c r="D58" s="64">
        <v>14.54</v>
      </c>
      <c r="E58" s="64">
        <v>5.43</v>
      </c>
      <c r="F58" s="64">
        <v>16.399999999999999</v>
      </c>
      <c r="G58" s="64">
        <v>67.400000000000006</v>
      </c>
      <c r="H58" s="64">
        <v>28.91</v>
      </c>
      <c r="I58" s="64">
        <v>0.55000000000000004</v>
      </c>
      <c r="J58" s="64">
        <v>7.0000000000000007E-2</v>
      </c>
      <c r="K58" s="64">
        <v>223.56</v>
      </c>
      <c r="L58" s="64">
        <v>35.979999999999997</v>
      </c>
      <c r="M58" s="64">
        <v>32.619999999999997</v>
      </c>
      <c r="N58" s="64">
        <v>913.9</v>
      </c>
      <c r="O58" s="64">
        <v>0</v>
      </c>
      <c r="P58" s="64">
        <v>0.93</v>
      </c>
      <c r="Q58" s="64">
        <v>19.760000000000002</v>
      </c>
      <c r="R58" s="198"/>
      <c r="S58" s="198"/>
      <c r="T58" s="198"/>
      <c r="U58" s="198"/>
    </row>
    <row r="59" spans="1:21" s="12" customFormat="1" x14ac:dyDescent="0.25">
      <c r="A59" s="211" t="s">
        <v>968</v>
      </c>
      <c r="B59" s="64">
        <v>1</v>
      </c>
      <c r="C59" s="64">
        <v>23.01</v>
      </c>
      <c r="D59" s="64">
        <v>14.15</v>
      </c>
      <c r="E59" s="64">
        <v>6.62</v>
      </c>
      <c r="F59" s="64">
        <v>25.91</v>
      </c>
      <c r="G59" s="64">
        <v>67.400000000000006</v>
      </c>
      <c r="H59" s="64">
        <v>28.91</v>
      </c>
      <c r="I59" s="64">
        <v>0.55000000000000004</v>
      </c>
      <c r="J59" s="64">
        <v>0.19</v>
      </c>
      <c r="K59" s="64">
        <v>180.32</v>
      </c>
      <c r="L59" s="64">
        <v>35.97</v>
      </c>
      <c r="M59" s="64">
        <v>33.08</v>
      </c>
      <c r="N59" s="64">
        <v>793</v>
      </c>
      <c r="O59" s="64">
        <v>0</v>
      </c>
      <c r="P59" s="64">
        <v>0.87</v>
      </c>
      <c r="Q59" s="64">
        <v>19.25</v>
      </c>
      <c r="R59" s="198"/>
      <c r="S59" s="198"/>
      <c r="T59" s="198"/>
      <c r="U59" s="198"/>
    </row>
    <row r="60" spans="1:21" s="12" customFormat="1" x14ac:dyDescent="0.25">
      <c r="A60" s="211" t="s">
        <v>969</v>
      </c>
      <c r="B60" s="64">
        <v>1</v>
      </c>
      <c r="C60" s="64">
        <v>21.76</v>
      </c>
      <c r="D60" s="64">
        <v>13.46</v>
      </c>
      <c r="E60" s="64">
        <v>6.16</v>
      </c>
      <c r="F60" s="64">
        <v>20.48</v>
      </c>
      <c r="G60" s="64">
        <v>67.400000000000006</v>
      </c>
      <c r="H60" s="64">
        <v>28.91</v>
      </c>
      <c r="I60" s="64">
        <v>0.53</v>
      </c>
      <c r="J60" s="64">
        <v>0.14000000000000001</v>
      </c>
      <c r="K60" s="64">
        <v>105</v>
      </c>
      <c r="L60" s="64">
        <v>36.04</v>
      </c>
      <c r="M60" s="64">
        <v>31.83</v>
      </c>
      <c r="N60" s="64">
        <v>862.3</v>
      </c>
      <c r="O60" s="64">
        <v>0</v>
      </c>
      <c r="P60" s="64">
        <v>0.88</v>
      </c>
      <c r="Q60" s="64">
        <v>19.14</v>
      </c>
      <c r="R60" s="198"/>
      <c r="S60" s="198"/>
      <c r="T60" s="198"/>
      <c r="U60" s="198"/>
    </row>
    <row r="61" spans="1:21" s="12" customFormat="1" x14ac:dyDescent="0.25">
      <c r="A61" s="211" t="s">
        <v>970</v>
      </c>
      <c r="B61" s="64">
        <v>1.47</v>
      </c>
      <c r="C61" s="64">
        <v>30.61</v>
      </c>
      <c r="D61" s="64">
        <v>18.72</v>
      </c>
      <c r="E61" s="64">
        <v>7.71</v>
      </c>
      <c r="F61" s="64">
        <v>41.8</v>
      </c>
      <c r="G61" s="64">
        <v>53.17</v>
      </c>
      <c r="H61" s="64">
        <v>28.03</v>
      </c>
      <c r="I61" s="64">
        <v>0.53</v>
      </c>
      <c r="J61" s="64">
        <v>0.52</v>
      </c>
      <c r="K61" s="64">
        <v>291.94</v>
      </c>
      <c r="L61" s="64">
        <v>36.869999999999997</v>
      </c>
      <c r="M61" s="64">
        <v>31.96</v>
      </c>
      <c r="N61" s="64">
        <v>817.4</v>
      </c>
      <c r="O61" s="64">
        <v>0</v>
      </c>
      <c r="P61" s="64">
        <v>0.92</v>
      </c>
      <c r="Q61" s="64">
        <v>19.91</v>
      </c>
      <c r="R61" s="198"/>
      <c r="S61" s="198"/>
      <c r="T61" s="198"/>
      <c r="U61" s="198"/>
    </row>
    <row r="62" spans="1:21" s="12" customFormat="1" x14ac:dyDescent="0.25">
      <c r="A62" s="211" t="s">
        <v>971</v>
      </c>
      <c r="B62" s="64">
        <v>2.09</v>
      </c>
      <c r="C62" s="64">
        <v>35.74</v>
      </c>
      <c r="D62" s="64">
        <v>22.05</v>
      </c>
      <c r="E62" s="64">
        <v>9.65</v>
      </c>
      <c r="F62" s="64">
        <v>59.21</v>
      </c>
      <c r="G62" s="64">
        <v>50.09</v>
      </c>
      <c r="H62" s="64">
        <v>28.03</v>
      </c>
      <c r="I62" s="64">
        <v>0.53</v>
      </c>
      <c r="J62" s="64">
        <v>0.28000000000000003</v>
      </c>
      <c r="K62" s="64">
        <v>244.77</v>
      </c>
      <c r="L62" s="64">
        <v>37.03</v>
      </c>
      <c r="M62" s="64">
        <v>30.88</v>
      </c>
      <c r="N62" s="64">
        <v>779.3</v>
      </c>
      <c r="O62" s="64">
        <v>0</v>
      </c>
      <c r="P62" s="64">
        <v>0.92</v>
      </c>
      <c r="Q62" s="64">
        <v>23.58</v>
      </c>
      <c r="R62" s="198"/>
      <c r="S62" s="198"/>
      <c r="T62" s="198"/>
      <c r="U62" s="198"/>
    </row>
    <row r="63" spans="1:21" s="12" customFormat="1" x14ac:dyDescent="0.25">
      <c r="A63" s="211" t="s">
        <v>972</v>
      </c>
      <c r="B63" s="64">
        <v>1.05</v>
      </c>
      <c r="C63" s="64">
        <v>26.99</v>
      </c>
      <c r="D63" s="64">
        <v>16.38</v>
      </c>
      <c r="E63" s="64">
        <v>8.61</v>
      </c>
      <c r="F63" s="64">
        <v>42.33</v>
      </c>
      <c r="G63" s="64">
        <v>50.09</v>
      </c>
      <c r="H63" s="64">
        <v>28.03</v>
      </c>
      <c r="I63" s="64">
        <v>0.52</v>
      </c>
      <c r="J63" s="64">
        <v>0.43</v>
      </c>
      <c r="K63" s="64">
        <v>192.59</v>
      </c>
      <c r="L63" s="64">
        <v>35.75</v>
      </c>
      <c r="M63" s="64">
        <v>31.32</v>
      </c>
      <c r="N63" s="64">
        <v>638.1</v>
      </c>
      <c r="O63" s="64">
        <v>0</v>
      </c>
      <c r="P63" s="64">
        <v>0.84</v>
      </c>
      <c r="Q63" s="64">
        <v>21.6</v>
      </c>
      <c r="R63" s="198"/>
      <c r="S63" s="198"/>
      <c r="T63" s="198"/>
      <c r="U63" s="198"/>
    </row>
    <row r="64" spans="1:21" s="12" customFormat="1" x14ac:dyDescent="0.25">
      <c r="A64" s="211" t="s">
        <v>973</v>
      </c>
      <c r="B64" s="64">
        <v>1.24</v>
      </c>
      <c r="C64" s="64">
        <v>27.38</v>
      </c>
      <c r="D64" s="64">
        <v>16.760000000000002</v>
      </c>
      <c r="E64" s="64">
        <v>10.01</v>
      </c>
      <c r="F64" s="64">
        <v>43.46</v>
      </c>
      <c r="G64" s="64">
        <v>50.09</v>
      </c>
      <c r="H64" s="64">
        <v>28.03</v>
      </c>
      <c r="I64" s="64">
        <v>0.51</v>
      </c>
      <c r="J64" s="64">
        <v>0.09</v>
      </c>
      <c r="K64" s="64">
        <v>199.46</v>
      </c>
      <c r="L64" s="64">
        <v>34.82</v>
      </c>
      <c r="M64" s="64">
        <v>33.06</v>
      </c>
      <c r="N64" s="64">
        <v>463.4</v>
      </c>
      <c r="O64" s="64">
        <v>0</v>
      </c>
      <c r="P64" s="64">
        <v>0.83</v>
      </c>
      <c r="Q64" s="64">
        <v>18.399999999999999</v>
      </c>
      <c r="R64" s="198"/>
      <c r="S64" s="198"/>
      <c r="T64" s="198"/>
      <c r="U64" s="198"/>
    </row>
    <row r="65" spans="1:21" s="12" customFormat="1" x14ac:dyDescent="0.25">
      <c r="A65" s="211" t="s">
        <v>974</v>
      </c>
      <c r="B65" s="64">
        <v>1.81</v>
      </c>
      <c r="C65" s="64">
        <v>29.96</v>
      </c>
      <c r="D65" s="64">
        <v>18.63</v>
      </c>
      <c r="E65" s="64">
        <v>16.91</v>
      </c>
      <c r="F65" s="64">
        <v>56.09</v>
      </c>
      <c r="G65" s="64">
        <v>74.31</v>
      </c>
      <c r="H65" s="64">
        <v>24.91</v>
      </c>
      <c r="I65" s="64">
        <v>0.52</v>
      </c>
      <c r="J65" s="64">
        <v>0.3</v>
      </c>
      <c r="K65" s="64">
        <v>172.43</v>
      </c>
      <c r="L65" s="64">
        <v>35.28</v>
      </c>
      <c r="M65" s="64">
        <v>31.17</v>
      </c>
      <c r="N65" s="64">
        <v>661.4</v>
      </c>
      <c r="O65" s="64">
        <v>0</v>
      </c>
      <c r="P65" s="64">
        <v>0.79</v>
      </c>
      <c r="Q65" s="64">
        <v>17.78</v>
      </c>
      <c r="R65" s="198"/>
      <c r="S65" s="198"/>
      <c r="T65" s="198"/>
      <c r="U65" s="198"/>
    </row>
    <row r="66" spans="1:21" s="12" customFormat="1" x14ac:dyDescent="0.25">
      <c r="A66" s="211" t="s">
        <v>975</v>
      </c>
      <c r="B66" s="64">
        <v>1</v>
      </c>
      <c r="C66" s="64">
        <v>23.24</v>
      </c>
      <c r="D66" s="64">
        <v>14.28</v>
      </c>
      <c r="E66" s="64">
        <v>11.78</v>
      </c>
      <c r="F66" s="64">
        <v>32.549999999999997</v>
      </c>
      <c r="G66" s="64">
        <v>79.55</v>
      </c>
      <c r="H66" s="64">
        <v>24.91</v>
      </c>
      <c r="I66" s="64">
        <v>0.55000000000000004</v>
      </c>
      <c r="J66" s="64">
        <v>0.22</v>
      </c>
      <c r="K66" s="64">
        <v>178.38</v>
      </c>
      <c r="L66" s="64">
        <v>35.75</v>
      </c>
      <c r="M66" s="64">
        <v>29.34</v>
      </c>
      <c r="N66" s="64">
        <v>527.29999999999995</v>
      </c>
      <c r="O66" s="64">
        <v>0</v>
      </c>
      <c r="P66" s="64">
        <v>0.75</v>
      </c>
      <c r="Q66" s="64">
        <v>18.559999999999999</v>
      </c>
      <c r="R66" s="198"/>
      <c r="S66" s="198"/>
      <c r="T66" s="198"/>
      <c r="U66" s="198"/>
    </row>
    <row r="67" spans="1:21" s="12" customFormat="1" x14ac:dyDescent="0.25">
      <c r="A67" s="211" t="s">
        <v>976</v>
      </c>
      <c r="B67" s="64">
        <v>1</v>
      </c>
      <c r="C67" s="64">
        <v>23.32</v>
      </c>
      <c r="D67" s="64">
        <v>14.32</v>
      </c>
      <c r="E67" s="64">
        <v>7.39</v>
      </c>
      <c r="F67" s="64">
        <v>17.05</v>
      </c>
      <c r="G67" s="64">
        <v>79.55</v>
      </c>
      <c r="H67" s="64">
        <v>24.91</v>
      </c>
      <c r="I67" s="64">
        <v>0.53</v>
      </c>
      <c r="J67" s="64">
        <v>0.2</v>
      </c>
      <c r="K67" s="64">
        <v>230.15</v>
      </c>
      <c r="L67" s="64">
        <v>35.46</v>
      </c>
      <c r="M67" s="64">
        <v>30.78</v>
      </c>
      <c r="N67" s="64">
        <v>391.8</v>
      </c>
      <c r="O67" s="64">
        <v>0</v>
      </c>
      <c r="P67" s="64">
        <v>0.76</v>
      </c>
      <c r="Q67" s="64">
        <v>21.3</v>
      </c>
      <c r="R67" s="198"/>
      <c r="S67" s="198"/>
      <c r="T67" s="198"/>
      <c r="U67" s="198"/>
    </row>
    <row r="68" spans="1:21" s="12" customFormat="1" x14ac:dyDescent="0.25">
      <c r="A68" s="211" t="s">
        <v>977</v>
      </c>
      <c r="B68" s="64">
        <v>1.23</v>
      </c>
      <c r="C68" s="64">
        <v>25.29</v>
      </c>
      <c r="D68" s="64">
        <v>15.59</v>
      </c>
      <c r="E68" s="64">
        <v>7.29</v>
      </c>
      <c r="F68" s="64">
        <v>25.51</v>
      </c>
      <c r="G68" s="64">
        <v>79.55</v>
      </c>
      <c r="H68" s="64">
        <v>24.91</v>
      </c>
      <c r="I68" s="64">
        <v>0.57999999999999996</v>
      </c>
      <c r="J68" s="64">
        <v>0.25</v>
      </c>
      <c r="K68" s="64">
        <v>171.99</v>
      </c>
      <c r="L68" s="64">
        <v>35.51</v>
      </c>
      <c r="M68" s="64">
        <v>30.12</v>
      </c>
      <c r="N68" s="64">
        <v>388.5</v>
      </c>
      <c r="O68" s="64">
        <v>0</v>
      </c>
      <c r="P68" s="64">
        <v>0.65</v>
      </c>
      <c r="Q68" s="64">
        <v>22.06</v>
      </c>
      <c r="R68" s="198"/>
      <c r="S68" s="198"/>
      <c r="T68" s="198"/>
      <c r="U68" s="198"/>
    </row>
    <row r="69" spans="1:21" s="12" customFormat="1" x14ac:dyDescent="0.25">
      <c r="A69" s="211" t="s">
        <v>978</v>
      </c>
      <c r="B69" s="64">
        <v>1.35</v>
      </c>
      <c r="C69" s="64">
        <v>22.85</v>
      </c>
      <c r="D69" s="64">
        <v>14.33</v>
      </c>
      <c r="E69" s="64">
        <v>6.44</v>
      </c>
      <c r="F69" s="64">
        <v>14.04</v>
      </c>
      <c r="G69" s="64">
        <v>56.74</v>
      </c>
      <c r="H69" s="64">
        <v>20.54</v>
      </c>
      <c r="I69" s="64">
        <v>0.57999999999999996</v>
      </c>
      <c r="J69" s="64">
        <v>0.5</v>
      </c>
      <c r="K69" s="64">
        <v>269.39</v>
      </c>
      <c r="L69" s="64">
        <v>35.24</v>
      </c>
      <c r="M69" s="64">
        <v>30.52</v>
      </c>
      <c r="N69" s="64">
        <v>205</v>
      </c>
      <c r="O69" s="64">
        <v>0</v>
      </c>
      <c r="P69" s="64">
        <v>0.71</v>
      </c>
      <c r="Q69" s="64">
        <v>22.32</v>
      </c>
      <c r="R69" s="198"/>
      <c r="S69" s="198"/>
      <c r="T69" s="198"/>
      <c r="U69" s="198"/>
    </row>
    <row r="70" spans="1:21" s="12" customFormat="1" x14ac:dyDescent="0.25">
      <c r="A70" s="211" t="s">
        <v>979</v>
      </c>
      <c r="B70" s="64">
        <v>1.17</v>
      </c>
      <c r="C70" s="64">
        <v>22.4</v>
      </c>
      <c r="D70" s="64">
        <v>13.94</v>
      </c>
      <c r="E70" s="64">
        <v>6.05</v>
      </c>
      <c r="F70" s="64">
        <v>12.74</v>
      </c>
      <c r="G70" s="64">
        <v>51.81</v>
      </c>
      <c r="H70" s="64">
        <v>20.54</v>
      </c>
      <c r="I70" s="64">
        <v>0.59</v>
      </c>
      <c r="J70" s="64">
        <v>0.17</v>
      </c>
      <c r="K70" s="64">
        <v>263.95</v>
      </c>
      <c r="L70" s="64">
        <v>35.06</v>
      </c>
      <c r="M70" s="64">
        <v>29.89</v>
      </c>
      <c r="N70" s="64">
        <v>169.6</v>
      </c>
      <c r="O70" s="64">
        <v>0</v>
      </c>
      <c r="P70" s="64">
        <v>0.72</v>
      </c>
      <c r="Q70" s="64">
        <v>22.7</v>
      </c>
      <c r="R70" s="198"/>
      <c r="S70" s="198"/>
      <c r="T70" s="198"/>
      <c r="U70" s="198"/>
    </row>
    <row r="71" spans="1:21" s="12" customFormat="1" x14ac:dyDescent="0.25">
      <c r="A71" s="211" t="s">
        <v>980</v>
      </c>
      <c r="B71" s="64">
        <v>1.0900000000000001</v>
      </c>
      <c r="C71" s="64">
        <v>20.72</v>
      </c>
      <c r="D71" s="64">
        <v>12.95</v>
      </c>
      <c r="E71" s="64">
        <v>5.79</v>
      </c>
      <c r="F71" s="64">
        <v>19.25</v>
      </c>
      <c r="G71" s="64">
        <v>51.81</v>
      </c>
      <c r="H71" s="64">
        <v>20.54</v>
      </c>
      <c r="I71" s="64">
        <v>0.56999999999999995</v>
      </c>
      <c r="J71" s="64">
        <v>0.23</v>
      </c>
      <c r="K71" s="64">
        <v>244.47</v>
      </c>
      <c r="L71" s="64">
        <v>34.89</v>
      </c>
      <c r="M71" s="64">
        <v>29.74</v>
      </c>
      <c r="N71" s="64">
        <v>297</v>
      </c>
      <c r="O71" s="64">
        <v>0</v>
      </c>
      <c r="P71" s="64">
        <v>0.67</v>
      </c>
      <c r="Q71" s="64">
        <v>22.24</v>
      </c>
      <c r="R71" s="198"/>
      <c r="S71" s="198"/>
      <c r="T71" s="198"/>
      <c r="U71" s="198"/>
    </row>
    <row r="72" spans="1:21" s="12" customFormat="1" x14ac:dyDescent="0.25">
      <c r="A72" s="211" t="s">
        <v>981</v>
      </c>
      <c r="B72" s="64">
        <v>1.48</v>
      </c>
      <c r="C72" s="64">
        <v>20.399999999999999</v>
      </c>
      <c r="D72" s="64">
        <v>13.09</v>
      </c>
      <c r="E72" s="64">
        <v>4.5199999999999996</v>
      </c>
      <c r="F72" s="64">
        <v>23.67</v>
      </c>
      <c r="G72" s="64">
        <v>51.81</v>
      </c>
      <c r="H72" s="64">
        <v>20.54</v>
      </c>
      <c r="I72" s="64">
        <v>0.57999999999999996</v>
      </c>
      <c r="J72" s="64">
        <v>0.14000000000000001</v>
      </c>
      <c r="K72" s="64">
        <v>213.82</v>
      </c>
      <c r="L72" s="64">
        <v>34.58</v>
      </c>
      <c r="M72" s="64">
        <v>31.46</v>
      </c>
      <c r="N72" s="64">
        <v>156.9</v>
      </c>
      <c r="O72" s="64">
        <v>0</v>
      </c>
      <c r="P72" s="64">
        <v>0.61</v>
      </c>
      <c r="Q72" s="64">
        <v>22.13</v>
      </c>
      <c r="R72" s="198"/>
      <c r="S72" s="198"/>
      <c r="T72" s="198"/>
      <c r="U72" s="198"/>
    </row>
    <row r="73" spans="1:21" s="12" customFormat="1" x14ac:dyDescent="0.25">
      <c r="A73" s="211" t="s">
        <v>982</v>
      </c>
      <c r="B73" s="64">
        <v>1.5</v>
      </c>
      <c r="C73" s="64">
        <v>24.27</v>
      </c>
      <c r="D73" s="64">
        <v>15.24</v>
      </c>
      <c r="E73" s="64">
        <v>5.72</v>
      </c>
      <c r="F73" s="64">
        <v>32.49</v>
      </c>
      <c r="G73" s="64">
        <v>36.33</v>
      </c>
      <c r="H73" s="64">
        <v>20.86</v>
      </c>
      <c r="I73" s="64">
        <v>0.56999999999999995</v>
      </c>
      <c r="J73" s="64">
        <v>0.05</v>
      </c>
      <c r="K73" s="64">
        <v>315.3</v>
      </c>
      <c r="L73" s="64">
        <v>34.6</v>
      </c>
      <c r="M73" s="64">
        <v>31.82</v>
      </c>
      <c r="N73" s="64">
        <v>136.6</v>
      </c>
      <c r="O73" s="64">
        <v>0</v>
      </c>
      <c r="P73" s="64">
        <v>0.57999999999999996</v>
      </c>
      <c r="Q73" s="64">
        <v>22.58</v>
      </c>
      <c r="R73" s="198"/>
      <c r="S73" s="198"/>
      <c r="T73" s="198"/>
      <c r="U73" s="198"/>
    </row>
    <row r="74" spans="1:21" s="12" customFormat="1" x14ac:dyDescent="0.25">
      <c r="A74" s="211" t="s">
        <v>983</v>
      </c>
      <c r="B74" s="64">
        <v>5.47</v>
      </c>
      <c r="C74" s="64">
        <v>31.32</v>
      </c>
      <c r="D74" s="64">
        <v>22.32</v>
      </c>
      <c r="E74" s="64">
        <v>7.06</v>
      </c>
      <c r="F74" s="64">
        <v>34.65</v>
      </c>
      <c r="G74" s="64">
        <v>32.99</v>
      </c>
      <c r="H74" s="64">
        <v>20.86</v>
      </c>
      <c r="I74" s="64">
        <v>0.56000000000000005</v>
      </c>
      <c r="J74" s="64">
        <v>0.31</v>
      </c>
      <c r="K74" s="64">
        <v>269.95999999999998</v>
      </c>
      <c r="L74" s="64">
        <v>34.43</v>
      </c>
      <c r="M74" s="64">
        <v>33.85</v>
      </c>
      <c r="N74" s="64">
        <v>121</v>
      </c>
      <c r="O74" s="64">
        <v>0</v>
      </c>
      <c r="P74" s="64">
        <v>0.64</v>
      </c>
      <c r="Q74" s="64">
        <v>22.84</v>
      </c>
      <c r="R74" s="198"/>
      <c r="S74" s="198"/>
      <c r="T74" s="198"/>
      <c r="U74" s="198"/>
    </row>
    <row r="75" spans="1:21" s="12" customFormat="1" x14ac:dyDescent="0.25">
      <c r="A75" s="211" t="s">
        <v>984</v>
      </c>
      <c r="B75" s="64">
        <v>4.13</v>
      </c>
      <c r="C75" s="64">
        <v>35.159999999999997</v>
      </c>
      <c r="D75" s="64">
        <v>23.37</v>
      </c>
      <c r="E75" s="64">
        <v>8.5299999999999994</v>
      </c>
      <c r="F75" s="64">
        <v>33.64</v>
      </c>
      <c r="G75" s="64">
        <v>32.99</v>
      </c>
      <c r="H75" s="64">
        <v>20.86</v>
      </c>
      <c r="I75" s="64">
        <v>0.55000000000000004</v>
      </c>
      <c r="J75" s="64">
        <v>0.04</v>
      </c>
      <c r="K75" s="64">
        <v>297.67</v>
      </c>
      <c r="L75" s="64">
        <v>34.369999999999997</v>
      </c>
      <c r="M75" s="64">
        <v>31.12</v>
      </c>
      <c r="N75" s="64">
        <v>109.4</v>
      </c>
      <c r="O75" s="64">
        <v>0</v>
      </c>
      <c r="P75" s="64">
        <v>0.75</v>
      </c>
      <c r="Q75" s="64">
        <v>18.54</v>
      </c>
      <c r="R75" s="198"/>
      <c r="S75" s="198"/>
      <c r="T75" s="198"/>
      <c r="U75" s="198"/>
    </row>
    <row r="76" spans="1:21" s="12" customFormat="1" x14ac:dyDescent="0.25">
      <c r="A76" s="211" t="s">
        <v>985</v>
      </c>
      <c r="B76" s="64">
        <v>2.84</v>
      </c>
      <c r="C76" s="64">
        <v>24.15</v>
      </c>
      <c r="D76" s="64">
        <v>16.25</v>
      </c>
      <c r="E76" s="64">
        <v>7.67</v>
      </c>
      <c r="F76" s="64">
        <v>38.79</v>
      </c>
      <c r="G76" s="64">
        <v>32.99</v>
      </c>
      <c r="H76" s="64">
        <v>20.86</v>
      </c>
      <c r="I76" s="64">
        <v>0.56000000000000005</v>
      </c>
      <c r="J76" s="64">
        <v>0.11</v>
      </c>
      <c r="K76" s="64">
        <v>195.84</v>
      </c>
      <c r="L76" s="64">
        <v>34.11</v>
      </c>
      <c r="M76" s="64">
        <v>32.22</v>
      </c>
      <c r="N76" s="64">
        <v>95.6</v>
      </c>
      <c r="O76" s="64">
        <v>0</v>
      </c>
      <c r="P76" s="64">
        <v>0.57999999999999996</v>
      </c>
      <c r="Q76" s="64">
        <v>18.21</v>
      </c>
      <c r="R76" s="198"/>
      <c r="S76" s="198"/>
      <c r="T76" s="198"/>
      <c r="U76" s="198"/>
    </row>
    <row r="77" spans="1:21" s="12" customFormat="1" x14ac:dyDescent="0.25">
      <c r="A77" s="211" t="s">
        <v>986</v>
      </c>
      <c r="B77" s="64">
        <v>1.18</v>
      </c>
      <c r="C77" s="64">
        <v>17.28</v>
      </c>
      <c r="D77" s="64">
        <v>11.13</v>
      </c>
      <c r="E77" s="64">
        <v>6.98</v>
      </c>
      <c r="F77" s="64">
        <v>43.98</v>
      </c>
      <c r="G77" s="64">
        <v>49.56</v>
      </c>
      <c r="H77" s="64">
        <v>23.72</v>
      </c>
      <c r="I77" s="64">
        <v>0.55000000000000004</v>
      </c>
      <c r="J77" s="64">
        <v>0.56999999999999995</v>
      </c>
      <c r="K77" s="64">
        <v>173.44</v>
      </c>
      <c r="L77" s="64">
        <v>33.69</v>
      </c>
      <c r="M77" s="64">
        <v>32.85</v>
      </c>
      <c r="N77" s="64">
        <v>75.7</v>
      </c>
      <c r="O77" s="64">
        <v>0</v>
      </c>
      <c r="P77" s="64">
        <v>0.43</v>
      </c>
      <c r="Q77" s="64">
        <v>17.72</v>
      </c>
      <c r="R77" s="198"/>
      <c r="S77" s="198"/>
      <c r="T77" s="198"/>
      <c r="U77" s="198"/>
    </row>
    <row r="78" spans="1:21" s="12" customFormat="1" x14ac:dyDescent="0.25">
      <c r="A78" s="211" t="s">
        <v>987</v>
      </c>
      <c r="B78" s="64">
        <v>5.52</v>
      </c>
      <c r="C78" s="64">
        <v>33.049999999999997</v>
      </c>
      <c r="D78" s="64">
        <v>23.31</v>
      </c>
      <c r="E78" s="64">
        <v>6.41</v>
      </c>
      <c r="F78" s="64">
        <v>18.95</v>
      </c>
      <c r="G78" s="64">
        <v>53.14</v>
      </c>
      <c r="H78" s="64">
        <v>23.72</v>
      </c>
      <c r="I78" s="64">
        <v>0.56999999999999995</v>
      </c>
      <c r="J78" s="64">
        <v>0.13</v>
      </c>
      <c r="K78" s="64">
        <v>293.31</v>
      </c>
      <c r="L78" s="64">
        <v>33.729999999999997</v>
      </c>
      <c r="M78" s="64">
        <v>33.880000000000003</v>
      </c>
      <c r="N78" s="64">
        <v>59.5</v>
      </c>
      <c r="O78" s="64">
        <v>0</v>
      </c>
      <c r="P78" s="64">
        <v>0.68</v>
      </c>
      <c r="Q78" s="64">
        <v>18.010000000000002</v>
      </c>
      <c r="R78" s="198"/>
      <c r="S78" s="198"/>
      <c r="T78" s="198"/>
      <c r="U78" s="198"/>
    </row>
    <row r="79" spans="1:21" s="12" customFormat="1" x14ac:dyDescent="0.25">
      <c r="A79" s="211" t="s">
        <v>988</v>
      </c>
      <c r="B79" s="64">
        <v>3.59</v>
      </c>
      <c r="C79" s="64">
        <v>31.25</v>
      </c>
      <c r="D79" s="64">
        <v>20.78</v>
      </c>
      <c r="E79" s="64">
        <v>7.13</v>
      </c>
      <c r="F79" s="64">
        <v>12.3</v>
      </c>
      <c r="G79" s="64">
        <v>53.14</v>
      </c>
      <c r="H79" s="64">
        <v>23.72</v>
      </c>
      <c r="I79" s="64">
        <v>0.54</v>
      </c>
      <c r="J79" s="64">
        <v>0.03</v>
      </c>
      <c r="K79" s="64">
        <v>358.27</v>
      </c>
      <c r="L79" s="64">
        <v>33.549999999999997</v>
      </c>
      <c r="M79" s="64">
        <v>33.43</v>
      </c>
      <c r="N79" s="64">
        <v>42.8</v>
      </c>
      <c r="O79" s="64">
        <v>0</v>
      </c>
      <c r="P79" s="64">
        <v>0.67</v>
      </c>
      <c r="Q79" s="64">
        <v>21.04</v>
      </c>
      <c r="R79" s="198"/>
      <c r="S79" s="198"/>
      <c r="T79" s="198"/>
      <c r="U79" s="198"/>
    </row>
    <row r="80" spans="1:21" s="12" customFormat="1" x14ac:dyDescent="0.25">
      <c r="A80" s="211" t="s">
        <v>989</v>
      </c>
      <c r="B80" s="64">
        <v>9.52</v>
      </c>
      <c r="C80" s="64">
        <v>46.11</v>
      </c>
      <c r="D80" s="64">
        <v>33.729999999999997</v>
      </c>
      <c r="E80" s="64">
        <v>8.52</v>
      </c>
      <c r="F80" s="64">
        <v>20.93</v>
      </c>
      <c r="G80" s="64">
        <v>53.14</v>
      </c>
      <c r="H80" s="64">
        <v>23.72</v>
      </c>
      <c r="I80" s="64">
        <v>0.59</v>
      </c>
      <c r="J80" s="64">
        <v>0.02</v>
      </c>
      <c r="K80" s="64">
        <v>322.97000000000003</v>
      </c>
      <c r="L80" s="64">
        <v>33.130000000000003</v>
      </c>
      <c r="M80" s="64">
        <v>35.08</v>
      </c>
      <c r="N80" s="64">
        <v>27.9</v>
      </c>
      <c r="O80" s="64">
        <v>0</v>
      </c>
      <c r="P80" s="64">
        <v>0.88</v>
      </c>
      <c r="Q80" s="64">
        <v>20.92</v>
      </c>
      <c r="R80" s="198"/>
      <c r="S80" s="198"/>
      <c r="T80" s="198"/>
      <c r="U80" s="198"/>
    </row>
    <row r="81" spans="1:26" s="12" customFormat="1" x14ac:dyDescent="0.25">
      <c r="A81" s="211" t="s">
        <v>990</v>
      </c>
      <c r="B81" s="64">
        <v>5.55</v>
      </c>
      <c r="C81" s="64">
        <v>55.78</v>
      </c>
      <c r="D81" s="64">
        <v>35.880000000000003</v>
      </c>
      <c r="E81" s="64">
        <v>10.37</v>
      </c>
      <c r="F81" s="64">
        <v>22.77</v>
      </c>
      <c r="G81" s="64">
        <v>47.74</v>
      </c>
      <c r="H81" s="64">
        <v>19.61</v>
      </c>
      <c r="I81" s="64">
        <v>0.6</v>
      </c>
      <c r="J81" s="64">
        <v>7.0000000000000007E-2</v>
      </c>
      <c r="K81" s="64">
        <v>258.91000000000003</v>
      </c>
      <c r="L81" s="64">
        <v>32.68</v>
      </c>
      <c r="M81" s="64">
        <v>35.880000000000003</v>
      </c>
      <c r="N81" s="64">
        <v>17.600000000000001</v>
      </c>
      <c r="O81" s="64">
        <v>0</v>
      </c>
      <c r="P81" s="64">
        <v>0.92</v>
      </c>
      <c r="Q81" s="64">
        <v>19.989999999999998</v>
      </c>
      <c r="R81" s="198"/>
      <c r="S81" s="198"/>
      <c r="T81" s="198"/>
      <c r="U81" s="198"/>
    </row>
    <row r="82" spans="1:26" s="12" customFormat="1" x14ac:dyDescent="0.25">
      <c r="A82" s="211" t="s">
        <v>991</v>
      </c>
      <c r="B82" s="64">
        <v>12.5</v>
      </c>
      <c r="C82" s="64">
        <v>54.46</v>
      </c>
      <c r="D82" s="64">
        <v>40.72</v>
      </c>
      <c r="E82" s="64">
        <v>9.83</v>
      </c>
      <c r="F82" s="64">
        <v>20.309999999999999</v>
      </c>
      <c r="G82" s="64">
        <v>46.57</v>
      </c>
      <c r="H82" s="64">
        <v>19.61</v>
      </c>
      <c r="I82" s="64">
        <v>0.6</v>
      </c>
      <c r="J82" s="64">
        <v>0.12</v>
      </c>
      <c r="K82" s="64">
        <v>269.11</v>
      </c>
      <c r="L82" s="64">
        <v>32.32</v>
      </c>
      <c r="M82" s="64">
        <v>38.1</v>
      </c>
      <c r="N82" s="64">
        <v>9.4</v>
      </c>
      <c r="O82" s="64">
        <v>0</v>
      </c>
      <c r="P82" s="64">
        <v>1.2</v>
      </c>
      <c r="Q82" s="64">
        <v>20.96</v>
      </c>
      <c r="R82" s="198"/>
      <c r="S82" s="198"/>
      <c r="T82" s="198"/>
      <c r="U82" s="198"/>
    </row>
    <row r="83" spans="1:26" s="12" customFormat="1" x14ac:dyDescent="0.25">
      <c r="A83" s="211" t="s">
        <v>992</v>
      </c>
      <c r="B83" s="64">
        <v>23.5</v>
      </c>
      <c r="C83" s="64">
        <v>74.150000000000006</v>
      </c>
      <c r="D83" s="64">
        <v>60.41</v>
      </c>
      <c r="E83" s="64">
        <v>8.59</v>
      </c>
      <c r="F83" s="64">
        <v>12.5</v>
      </c>
      <c r="G83" s="64">
        <v>46.57</v>
      </c>
      <c r="H83" s="64">
        <v>19.61</v>
      </c>
      <c r="I83" s="64">
        <v>0.66</v>
      </c>
      <c r="J83" s="64">
        <v>0.12</v>
      </c>
      <c r="K83" s="64">
        <v>228.49</v>
      </c>
      <c r="L83" s="64">
        <v>31.46</v>
      </c>
      <c r="M83" s="64">
        <v>40.17</v>
      </c>
      <c r="N83" s="64">
        <v>6.8</v>
      </c>
      <c r="O83" s="64">
        <v>0</v>
      </c>
      <c r="P83" s="64">
        <v>1.17</v>
      </c>
      <c r="Q83" s="64">
        <v>18.53</v>
      </c>
      <c r="R83" s="198"/>
      <c r="S83" s="198"/>
      <c r="T83" s="198"/>
      <c r="U83" s="198"/>
    </row>
    <row r="84" spans="1:26" s="12" customFormat="1" x14ac:dyDescent="0.25">
      <c r="A84" s="211" t="s">
        <v>993</v>
      </c>
      <c r="B84" s="64">
        <v>3.8</v>
      </c>
      <c r="C84" s="64">
        <v>50.49</v>
      </c>
      <c r="D84" s="64">
        <v>31.56</v>
      </c>
      <c r="E84" s="64">
        <v>8.8800000000000008</v>
      </c>
      <c r="F84" s="64">
        <v>22.16</v>
      </c>
      <c r="G84" s="64">
        <v>46.57</v>
      </c>
      <c r="H84" s="64">
        <v>19.61</v>
      </c>
      <c r="I84" s="64">
        <v>0.69</v>
      </c>
      <c r="J84" s="64">
        <v>0.3</v>
      </c>
      <c r="K84" s="64">
        <v>220.16</v>
      </c>
      <c r="L84" s="64">
        <v>31.67</v>
      </c>
      <c r="M84" s="64">
        <v>40.06</v>
      </c>
      <c r="N84" s="64">
        <v>5.5</v>
      </c>
      <c r="O84" s="64">
        <v>0</v>
      </c>
      <c r="P84" s="64">
        <v>0.85</v>
      </c>
      <c r="Q84" s="64">
        <v>21.06</v>
      </c>
      <c r="R84" s="198"/>
      <c r="S84" s="198"/>
      <c r="T84" s="198"/>
      <c r="U84" s="198"/>
    </row>
    <row r="85" spans="1:26" s="12" customFormat="1" x14ac:dyDescent="0.25">
      <c r="A85" s="211" t="s">
        <v>994</v>
      </c>
      <c r="B85" s="64">
        <v>3.58</v>
      </c>
      <c r="C85" s="64">
        <v>65.78</v>
      </c>
      <c r="D85" s="64">
        <v>39.82</v>
      </c>
      <c r="E85" s="64">
        <v>9.48</v>
      </c>
      <c r="F85" s="64">
        <v>25.78</v>
      </c>
      <c r="G85" s="64">
        <v>66.3</v>
      </c>
      <c r="H85" s="64">
        <v>26.22</v>
      </c>
      <c r="I85" s="64">
        <v>0.72</v>
      </c>
      <c r="J85" s="64">
        <v>0.12</v>
      </c>
      <c r="K85" s="64">
        <v>260.57</v>
      </c>
      <c r="L85" s="64">
        <v>31.38</v>
      </c>
      <c r="M85" s="64">
        <v>40.950000000000003</v>
      </c>
      <c r="N85" s="64">
        <v>6.4</v>
      </c>
      <c r="O85" s="64">
        <v>0</v>
      </c>
      <c r="P85" s="64">
        <v>0.99</v>
      </c>
      <c r="Q85" s="64">
        <v>21.47</v>
      </c>
      <c r="R85" s="198"/>
      <c r="S85" s="198"/>
      <c r="T85" s="198"/>
      <c r="U85" s="198"/>
    </row>
    <row r="86" spans="1:26" s="12" customFormat="1" x14ac:dyDescent="0.25">
      <c r="A86" s="211" t="s">
        <v>995</v>
      </c>
      <c r="B86" s="64">
        <v>3.2</v>
      </c>
      <c r="C86" s="64">
        <v>57.53</v>
      </c>
      <c r="D86" s="64">
        <v>34.96</v>
      </c>
      <c r="E86" s="64">
        <v>10.69</v>
      </c>
      <c r="F86" s="64">
        <v>31</v>
      </c>
      <c r="G86" s="64">
        <v>70.569999999999993</v>
      </c>
      <c r="H86" s="64">
        <v>26.22</v>
      </c>
      <c r="I86" s="64">
        <v>0.7</v>
      </c>
      <c r="J86" s="64">
        <v>0.13</v>
      </c>
      <c r="K86" s="64">
        <v>253.54</v>
      </c>
      <c r="L86" s="64">
        <v>31.14</v>
      </c>
      <c r="M86" s="64">
        <v>41.22</v>
      </c>
      <c r="N86" s="64">
        <v>6</v>
      </c>
      <c r="O86" s="64">
        <v>0</v>
      </c>
      <c r="P86" s="64">
        <v>1.02</v>
      </c>
      <c r="Q86" s="64">
        <v>22.58</v>
      </c>
      <c r="R86" s="198"/>
      <c r="S86" s="198"/>
      <c r="T86" s="198"/>
      <c r="U86" s="198"/>
    </row>
    <row r="87" spans="1:26" s="12" customFormat="1" x14ac:dyDescent="0.25">
      <c r="A87" s="211" t="s">
        <v>996</v>
      </c>
      <c r="B87" s="64">
        <v>4.8899999999999997</v>
      </c>
      <c r="C87" s="64">
        <v>74.849999999999994</v>
      </c>
      <c r="D87" s="64">
        <v>45.88</v>
      </c>
      <c r="E87" s="64">
        <v>11.75</v>
      </c>
      <c r="F87" s="64">
        <v>22.23</v>
      </c>
      <c r="G87" s="64">
        <v>70.569999999999993</v>
      </c>
      <c r="H87" s="64">
        <v>26.22</v>
      </c>
      <c r="I87" s="64">
        <v>0.69</v>
      </c>
      <c r="J87" s="64">
        <v>0.16</v>
      </c>
      <c r="K87" s="64">
        <v>257.93</v>
      </c>
      <c r="L87" s="64">
        <v>30.75</v>
      </c>
      <c r="M87" s="64">
        <v>42.7</v>
      </c>
      <c r="N87" s="64">
        <v>6.1</v>
      </c>
      <c r="O87" s="64">
        <v>0</v>
      </c>
      <c r="P87" s="64">
        <v>1.29</v>
      </c>
      <c r="Q87" s="64">
        <v>20.86</v>
      </c>
      <c r="R87" s="198"/>
      <c r="S87" s="198"/>
      <c r="T87" s="198"/>
      <c r="U87" s="198"/>
    </row>
    <row r="88" spans="1:26" s="12" customFormat="1" x14ac:dyDescent="0.25">
      <c r="A88" s="211" t="s">
        <v>997</v>
      </c>
      <c r="B88" s="64">
        <v>8.68</v>
      </c>
      <c r="C88" s="64">
        <v>73.78</v>
      </c>
      <c r="D88" s="64">
        <v>48.32</v>
      </c>
      <c r="E88" s="64">
        <v>6.97</v>
      </c>
      <c r="F88" s="64">
        <v>23.58</v>
      </c>
      <c r="G88" s="64">
        <v>70.569999999999993</v>
      </c>
      <c r="H88" s="64">
        <v>26.22</v>
      </c>
      <c r="I88" s="64">
        <v>0.66</v>
      </c>
      <c r="J88" s="64">
        <v>0.16</v>
      </c>
      <c r="K88" s="64">
        <v>267.54000000000002</v>
      </c>
      <c r="L88" s="64">
        <v>30.55</v>
      </c>
      <c r="M88" s="64">
        <v>42.4</v>
      </c>
      <c r="N88" s="64">
        <v>6.1</v>
      </c>
      <c r="O88" s="64">
        <v>0</v>
      </c>
      <c r="P88" s="64">
        <v>1.41</v>
      </c>
      <c r="Q88" s="64">
        <v>19.690000000000001</v>
      </c>
      <c r="R88" s="198"/>
      <c r="S88" s="198"/>
      <c r="T88" s="198"/>
      <c r="U88" s="198"/>
    </row>
    <row r="89" spans="1:26" s="12" customFormat="1" x14ac:dyDescent="0.25">
      <c r="A89" s="211" t="s">
        <v>998</v>
      </c>
      <c r="B89" s="64">
        <v>3.07</v>
      </c>
      <c r="C89" s="64">
        <v>64.56</v>
      </c>
      <c r="D89" s="64">
        <v>38.729999999999997</v>
      </c>
      <c r="E89" s="64">
        <v>10.18</v>
      </c>
      <c r="F89" s="64">
        <v>23.17</v>
      </c>
      <c r="G89" s="64">
        <v>67.95</v>
      </c>
      <c r="H89" s="64">
        <v>28.43</v>
      </c>
      <c r="I89" s="64">
        <v>0.68</v>
      </c>
      <c r="J89" s="64">
        <v>0.17</v>
      </c>
      <c r="K89" s="64">
        <v>248.45</v>
      </c>
      <c r="L89" s="64">
        <v>30.33</v>
      </c>
      <c r="M89" s="64">
        <v>43.32</v>
      </c>
      <c r="N89" s="64">
        <v>5.8</v>
      </c>
      <c r="O89" s="64">
        <v>0</v>
      </c>
      <c r="P89" s="64">
        <v>1.1200000000000001</v>
      </c>
      <c r="Q89" s="64">
        <v>19.53</v>
      </c>
      <c r="R89" s="198"/>
      <c r="S89" s="198"/>
      <c r="T89" s="198"/>
      <c r="U89" s="198"/>
    </row>
    <row r="90" spans="1:26" s="12" customFormat="1" x14ac:dyDescent="0.25">
      <c r="A90" s="211" t="s">
        <v>999</v>
      </c>
      <c r="B90" s="64">
        <v>10.43</v>
      </c>
      <c r="C90" s="64">
        <v>45.15</v>
      </c>
      <c r="D90" s="64">
        <v>33.93</v>
      </c>
      <c r="E90" s="64">
        <v>8.08</v>
      </c>
      <c r="F90" s="64">
        <v>20.95</v>
      </c>
      <c r="G90" s="64">
        <v>67.38</v>
      </c>
      <c r="H90" s="64">
        <v>28.43</v>
      </c>
      <c r="I90" s="64">
        <v>0.74</v>
      </c>
      <c r="J90" s="64">
        <v>0.15</v>
      </c>
      <c r="K90" s="64">
        <v>255.77</v>
      </c>
      <c r="L90" s="64">
        <v>30.31</v>
      </c>
      <c r="M90" s="64">
        <v>43.18</v>
      </c>
      <c r="N90" s="64">
        <v>5.9</v>
      </c>
      <c r="O90" s="64">
        <v>0</v>
      </c>
      <c r="P90" s="64">
        <v>0.99</v>
      </c>
      <c r="Q90" s="64">
        <v>21.7</v>
      </c>
      <c r="R90" s="198"/>
      <c r="S90" s="198"/>
      <c r="T90" s="198"/>
      <c r="U90" s="198"/>
    </row>
    <row r="91" spans="1:26" s="12" customFormat="1" x14ac:dyDescent="0.25">
      <c r="A91" s="211" t="s">
        <v>1000</v>
      </c>
      <c r="B91" s="64">
        <v>27.19</v>
      </c>
      <c r="C91" s="64">
        <v>58.36</v>
      </c>
      <c r="D91" s="64">
        <v>54.66</v>
      </c>
      <c r="E91" s="64">
        <v>7.79</v>
      </c>
      <c r="F91" s="64">
        <v>12.45</v>
      </c>
      <c r="G91" s="64">
        <v>67.38</v>
      </c>
      <c r="H91" s="64">
        <v>28.43</v>
      </c>
      <c r="I91" s="64">
        <v>0.71</v>
      </c>
      <c r="J91" s="64">
        <v>0.11</v>
      </c>
      <c r="K91" s="64">
        <v>304.11</v>
      </c>
      <c r="L91" s="64">
        <v>29.7</v>
      </c>
      <c r="M91" s="64">
        <v>48.1</v>
      </c>
      <c r="N91" s="64">
        <v>6.3</v>
      </c>
      <c r="O91" s="64">
        <v>0</v>
      </c>
      <c r="P91" s="64">
        <v>1.83</v>
      </c>
      <c r="Q91" s="64">
        <v>20.72</v>
      </c>
      <c r="R91" s="198"/>
      <c r="S91" s="198"/>
      <c r="T91" s="198"/>
      <c r="U91" s="198"/>
    </row>
    <row r="92" spans="1:26" s="12" customFormat="1" x14ac:dyDescent="0.25">
      <c r="A92" s="211" t="s">
        <v>1001</v>
      </c>
      <c r="B92" s="64">
        <v>37.04</v>
      </c>
      <c r="C92" s="64">
        <v>61.03</v>
      </c>
      <c r="D92" s="64">
        <v>64.03</v>
      </c>
      <c r="E92" s="64">
        <v>7.07</v>
      </c>
      <c r="F92" s="64">
        <v>5.08</v>
      </c>
      <c r="G92" s="64">
        <v>67.38</v>
      </c>
      <c r="H92" s="64">
        <v>28.43</v>
      </c>
      <c r="I92" s="64">
        <v>0.73</v>
      </c>
      <c r="J92" s="64">
        <v>0.13</v>
      </c>
      <c r="K92" s="64">
        <v>296.63</v>
      </c>
      <c r="L92" s="64">
        <v>29.36</v>
      </c>
      <c r="M92" s="64">
        <v>51.78</v>
      </c>
      <c r="N92" s="64">
        <v>6.1</v>
      </c>
      <c r="O92" s="64">
        <v>0</v>
      </c>
      <c r="P92" s="64">
        <v>2.2999999999999998</v>
      </c>
      <c r="Q92" s="64">
        <v>17.760000000000002</v>
      </c>
      <c r="R92" s="198"/>
      <c r="S92" s="198"/>
      <c r="T92" s="198"/>
      <c r="U92" s="198"/>
    </row>
    <row r="93" spans="1:26" s="12" customFormat="1" x14ac:dyDescent="0.25">
      <c r="A93" s="211" t="s">
        <v>1002</v>
      </c>
      <c r="B93" s="64">
        <v>17.71</v>
      </c>
      <c r="C93" s="64">
        <v>40.729999999999997</v>
      </c>
      <c r="D93" s="64">
        <v>37.33</v>
      </c>
      <c r="E93" s="64">
        <v>8.4700000000000006</v>
      </c>
      <c r="F93" s="64">
        <v>7.83</v>
      </c>
      <c r="G93" s="64">
        <v>80.98</v>
      </c>
      <c r="H93" s="64">
        <v>29.48</v>
      </c>
      <c r="I93" s="64">
        <v>0.84</v>
      </c>
      <c r="J93" s="64">
        <v>0.62</v>
      </c>
      <c r="K93" s="64">
        <v>286.85000000000002</v>
      </c>
      <c r="L93" s="64">
        <v>29.59</v>
      </c>
      <c r="M93" s="64">
        <v>45.07</v>
      </c>
      <c r="N93" s="64">
        <v>5.3</v>
      </c>
      <c r="O93" s="64">
        <v>0</v>
      </c>
      <c r="P93" s="64">
        <v>1.47</v>
      </c>
      <c r="Q93" s="64">
        <v>22.42</v>
      </c>
      <c r="R93" s="198"/>
      <c r="S93" s="198"/>
      <c r="T93" s="198"/>
      <c r="U93" s="198"/>
    </row>
    <row r="94" spans="1:26" s="12" customFormat="1" x14ac:dyDescent="0.25">
      <c r="A94" s="211" t="s">
        <v>1003</v>
      </c>
      <c r="B94" s="64">
        <v>19.309999999999999</v>
      </c>
      <c r="C94" s="64">
        <v>38.520000000000003</v>
      </c>
      <c r="D94" s="64">
        <v>37.39</v>
      </c>
      <c r="E94" s="64">
        <v>10.75</v>
      </c>
      <c r="F94" s="64">
        <v>8.7100000000000009</v>
      </c>
      <c r="G94" s="64">
        <v>83.92</v>
      </c>
      <c r="H94" s="64">
        <v>29.48</v>
      </c>
      <c r="I94" s="64">
        <v>1.01</v>
      </c>
      <c r="J94" s="64">
        <v>0.05</v>
      </c>
      <c r="K94" s="64">
        <v>295.97000000000003</v>
      </c>
      <c r="L94" s="64">
        <v>29.33</v>
      </c>
      <c r="M94" s="64">
        <v>45.03</v>
      </c>
      <c r="N94" s="64">
        <v>6.2</v>
      </c>
      <c r="O94" s="64">
        <v>0</v>
      </c>
      <c r="P94" s="64">
        <v>1.41</v>
      </c>
      <c r="Q94" s="64">
        <v>22.84</v>
      </c>
      <c r="R94" s="198"/>
      <c r="S94" s="198"/>
      <c r="T94" s="198"/>
      <c r="U94" s="198"/>
    </row>
    <row r="95" spans="1:26" s="12" customFormat="1" x14ac:dyDescent="0.25">
      <c r="A95" s="211" t="s">
        <v>1004</v>
      </c>
      <c r="B95" s="64">
        <v>14.47</v>
      </c>
      <c r="C95" s="64">
        <v>45.13</v>
      </c>
      <c r="D95" s="64">
        <v>37.15</v>
      </c>
      <c r="E95" s="64">
        <v>7.93</v>
      </c>
      <c r="F95" s="64">
        <v>12.12</v>
      </c>
      <c r="G95" s="64">
        <v>83.92</v>
      </c>
      <c r="H95" s="64">
        <v>29.48</v>
      </c>
      <c r="I95" s="64">
        <v>0.78</v>
      </c>
      <c r="J95" s="64">
        <v>0.28000000000000003</v>
      </c>
      <c r="K95" s="64">
        <v>98.01</v>
      </c>
      <c r="L95" s="64">
        <v>28.98</v>
      </c>
      <c r="M95" s="64">
        <v>44.73</v>
      </c>
      <c r="N95" s="64">
        <v>6.2</v>
      </c>
      <c r="O95" s="64">
        <v>0</v>
      </c>
      <c r="P95" s="64">
        <v>1.37</v>
      </c>
      <c r="Q95" s="64">
        <v>24.12</v>
      </c>
      <c r="R95" s="198"/>
      <c r="S95" s="198"/>
      <c r="T95" s="198"/>
      <c r="U95" s="198"/>
    </row>
    <row r="96" spans="1:26" s="12" customFormat="1" x14ac:dyDescent="0.25">
      <c r="A96" s="211" t="s">
        <v>1005</v>
      </c>
      <c r="B96" s="64">
        <v>14.45</v>
      </c>
      <c r="C96" s="64">
        <v>42.29</v>
      </c>
      <c r="D96" s="64">
        <v>35.58</v>
      </c>
      <c r="E96" s="64">
        <v>8.25</v>
      </c>
      <c r="F96" s="64">
        <v>14.35</v>
      </c>
      <c r="G96" s="64">
        <v>83.92</v>
      </c>
      <c r="H96" s="64">
        <v>29.48</v>
      </c>
      <c r="I96" s="64">
        <v>0.76</v>
      </c>
      <c r="J96" s="64">
        <v>0.46</v>
      </c>
      <c r="K96" s="64">
        <v>103.4</v>
      </c>
      <c r="L96" s="64">
        <v>28.79</v>
      </c>
      <c r="M96" s="64">
        <v>45.04</v>
      </c>
      <c r="N96" s="64">
        <v>5.9</v>
      </c>
      <c r="O96" s="64">
        <v>0</v>
      </c>
      <c r="P96" s="64">
        <v>1.27</v>
      </c>
      <c r="Q96" s="64">
        <v>24.09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1006</v>
      </c>
      <c r="B97" s="64">
        <v>17.95</v>
      </c>
      <c r="C97" s="64">
        <v>43.7</v>
      </c>
      <c r="D97" s="64">
        <v>39.159999999999997</v>
      </c>
      <c r="E97" s="64">
        <v>8.11</v>
      </c>
      <c r="F97" s="64">
        <v>19.3</v>
      </c>
      <c r="G97" s="64">
        <v>73.680000000000007</v>
      </c>
      <c r="H97" s="64">
        <v>29.63</v>
      </c>
      <c r="I97" s="64">
        <v>0.71</v>
      </c>
      <c r="J97" s="64">
        <v>0.4</v>
      </c>
      <c r="K97" s="64">
        <v>294.57</v>
      </c>
      <c r="L97" s="64">
        <v>28.72</v>
      </c>
      <c r="M97" s="64">
        <v>45.25</v>
      </c>
      <c r="N97" s="64">
        <v>6</v>
      </c>
      <c r="O97" s="64">
        <v>0</v>
      </c>
      <c r="P97" s="64">
        <v>1.22</v>
      </c>
      <c r="Q97" s="64">
        <v>22.91</v>
      </c>
      <c r="R97" s="198"/>
      <c r="S97" s="198"/>
      <c r="T97" s="198"/>
      <c r="U97" s="198"/>
    </row>
    <row r="98" spans="1:33" s="12" customFormat="1" x14ac:dyDescent="0.25">
      <c r="A98" s="211" t="s">
        <v>1007</v>
      </c>
      <c r="B98" s="64">
        <v>12.48</v>
      </c>
      <c r="C98" s="64">
        <v>32.65</v>
      </c>
      <c r="D98" s="64">
        <v>28.68</v>
      </c>
      <c r="E98" s="64">
        <v>7.9</v>
      </c>
      <c r="F98" s="64">
        <v>24.11</v>
      </c>
      <c r="G98" s="64">
        <v>71.459999999999994</v>
      </c>
      <c r="H98" s="64">
        <v>29.63</v>
      </c>
      <c r="I98" s="64">
        <v>0.7</v>
      </c>
      <c r="J98" s="64">
        <v>0.54</v>
      </c>
      <c r="K98" s="64">
        <v>296.54000000000002</v>
      </c>
      <c r="L98" s="64">
        <v>28.41</v>
      </c>
      <c r="M98" s="64">
        <v>46.42</v>
      </c>
      <c r="N98" s="64">
        <v>6.2</v>
      </c>
      <c r="O98" s="64">
        <v>0</v>
      </c>
      <c r="P98" s="64">
        <v>1.1299999999999999</v>
      </c>
      <c r="Q98" s="64">
        <v>23.49</v>
      </c>
      <c r="R98" s="198"/>
      <c r="S98" s="198"/>
      <c r="T98" s="198"/>
      <c r="U98" s="198"/>
    </row>
    <row r="99" spans="1:33" s="12" customFormat="1" x14ac:dyDescent="0.25">
      <c r="A99" s="211" t="s">
        <v>1008</v>
      </c>
      <c r="B99" s="64">
        <v>12.76</v>
      </c>
      <c r="C99" s="64">
        <v>40.54</v>
      </c>
      <c r="D99" s="64">
        <v>33.25</v>
      </c>
      <c r="E99" s="64">
        <v>7.63</v>
      </c>
      <c r="F99" s="64">
        <v>17.47</v>
      </c>
      <c r="G99" s="64">
        <v>71.459999999999994</v>
      </c>
      <c r="H99" s="64">
        <v>29.63</v>
      </c>
      <c r="I99" s="64">
        <v>0.66</v>
      </c>
      <c r="J99" s="64">
        <v>0.33</v>
      </c>
      <c r="K99" s="64">
        <v>287.39</v>
      </c>
      <c r="L99" s="64">
        <v>27.84</v>
      </c>
      <c r="M99" s="64">
        <v>48.62</v>
      </c>
      <c r="N99" s="64">
        <v>6.3</v>
      </c>
      <c r="O99" s="64">
        <v>0</v>
      </c>
      <c r="P99" s="64">
        <v>1.1599999999999999</v>
      </c>
      <c r="Q99" s="64">
        <v>23.18</v>
      </c>
      <c r="R99" s="198"/>
      <c r="S99" s="198"/>
      <c r="T99" s="198"/>
      <c r="U99" s="198"/>
    </row>
    <row r="100" spans="1:33" s="12" customFormat="1" x14ac:dyDescent="0.25">
      <c r="A100" s="211" t="s">
        <v>1009</v>
      </c>
      <c r="B100" s="64">
        <v>12.31</v>
      </c>
      <c r="C100" s="64">
        <v>36.729999999999997</v>
      </c>
      <c r="D100" s="64">
        <v>30.79</v>
      </c>
      <c r="E100" s="64">
        <v>7.27</v>
      </c>
      <c r="F100" s="64">
        <v>23.34</v>
      </c>
      <c r="G100" s="64">
        <v>71.459999999999994</v>
      </c>
      <c r="H100" s="64">
        <v>29.63</v>
      </c>
      <c r="I100" s="64">
        <v>0.65</v>
      </c>
      <c r="J100" s="64">
        <v>0.41</v>
      </c>
      <c r="K100" s="64">
        <v>287.95999999999998</v>
      </c>
      <c r="L100" s="64">
        <v>27.66</v>
      </c>
      <c r="M100" s="64">
        <v>49.14</v>
      </c>
      <c r="N100" s="64">
        <v>6.1</v>
      </c>
      <c r="O100" s="64">
        <v>0</v>
      </c>
      <c r="P100" s="64">
        <v>0.96</v>
      </c>
      <c r="Q100" s="64">
        <v>25.07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1010</v>
      </c>
      <c r="B101" s="64">
        <v>13.52</v>
      </c>
      <c r="C101" s="64">
        <v>42.83</v>
      </c>
      <c r="D101" s="64">
        <v>35.119999999999997</v>
      </c>
      <c r="E101" s="64">
        <v>10.220000000000001</v>
      </c>
      <c r="F101" s="64">
        <v>14.09</v>
      </c>
      <c r="G101" s="64">
        <v>68.41</v>
      </c>
      <c r="H101" s="64">
        <v>27.69</v>
      </c>
      <c r="I101" s="64">
        <v>0.67</v>
      </c>
      <c r="J101" s="64">
        <v>0.19</v>
      </c>
      <c r="K101" s="64">
        <v>311.56</v>
      </c>
      <c r="L101" s="64">
        <v>27.19</v>
      </c>
      <c r="M101" s="64">
        <v>52.35</v>
      </c>
      <c r="N101" s="64">
        <v>6.3</v>
      </c>
      <c r="O101" s="64">
        <v>0</v>
      </c>
      <c r="P101" s="64">
        <v>1.0900000000000001</v>
      </c>
      <c r="Q101" s="64">
        <v>24.43</v>
      </c>
      <c r="R101" s="198"/>
      <c r="S101" s="198"/>
      <c r="T101" s="198"/>
      <c r="U101" s="198"/>
    </row>
    <row r="102" spans="1:33" s="12" customFormat="1" x14ac:dyDescent="0.25">
      <c r="A102" s="211" t="s">
        <v>1011</v>
      </c>
      <c r="B102" s="64">
        <v>11.14</v>
      </c>
      <c r="C102" s="64">
        <v>39.14</v>
      </c>
      <c r="D102" s="64">
        <v>31.19</v>
      </c>
      <c r="E102" s="64">
        <v>11.09</v>
      </c>
      <c r="F102" s="64">
        <v>11.51</v>
      </c>
      <c r="G102" s="64">
        <v>67.75</v>
      </c>
      <c r="H102" s="64">
        <v>27.69</v>
      </c>
      <c r="I102" s="64">
        <v>0.61</v>
      </c>
      <c r="J102" s="64">
        <v>0.09</v>
      </c>
      <c r="K102" s="64">
        <v>274.92</v>
      </c>
      <c r="L102" s="64">
        <v>26.92</v>
      </c>
      <c r="M102" s="64">
        <v>53.05</v>
      </c>
      <c r="N102" s="64">
        <v>6.1</v>
      </c>
      <c r="O102" s="64">
        <v>0</v>
      </c>
      <c r="P102" s="64">
        <v>1.1499999999999999</v>
      </c>
      <c r="Q102" s="64">
        <v>25.28</v>
      </c>
      <c r="R102" s="198"/>
      <c r="S102" s="198"/>
      <c r="T102" s="198"/>
      <c r="U102" s="198"/>
    </row>
    <row r="103" spans="1:33" s="12" customFormat="1" x14ac:dyDescent="0.25">
      <c r="A103" s="211" t="s">
        <v>1012</v>
      </c>
      <c r="B103" s="64">
        <v>14.18</v>
      </c>
      <c r="C103" s="64">
        <v>39.94</v>
      </c>
      <c r="D103" s="64">
        <v>34.07</v>
      </c>
      <c r="E103" s="64">
        <v>17.82</v>
      </c>
      <c r="F103" s="64">
        <v>9.75</v>
      </c>
      <c r="G103" s="64">
        <v>67.75</v>
      </c>
      <c r="H103" s="64">
        <v>27.69</v>
      </c>
      <c r="I103" s="64">
        <v>0.64</v>
      </c>
      <c r="J103" s="64">
        <v>0.2</v>
      </c>
      <c r="K103" s="64">
        <v>272.77999999999997</v>
      </c>
      <c r="L103" s="64">
        <v>26.86</v>
      </c>
      <c r="M103" s="64">
        <v>54.62</v>
      </c>
      <c r="N103" s="64">
        <v>6</v>
      </c>
      <c r="O103" s="64">
        <v>0</v>
      </c>
      <c r="P103" s="64">
        <v>1.18</v>
      </c>
      <c r="Q103" s="64">
        <v>24.4</v>
      </c>
      <c r="R103" s="198"/>
      <c r="S103" s="198"/>
      <c r="T103" s="198"/>
      <c r="U103" s="198"/>
    </row>
    <row r="104" spans="1:33" s="12" customFormat="1" x14ac:dyDescent="0.25">
      <c r="A104" s="211" t="s">
        <v>1013</v>
      </c>
      <c r="B104" s="64">
        <v>11.22</v>
      </c>
      <c r="C104" s="64">
        <v>35.880000000000003</v>
      </c>
      <c r="D104" s="64">
        <v>29.45</v>
      </c>
      <c r="E104" s="64">
        <v>7.48</v>
      </c>
      <c r="F104" s="64">
        <v>7.91</v>
      </c>
      <c r="G104" s="64">
        <v>67.75</v>
      </c>
      <c r="H104" s="64">
        <v>27.69</v>
      </c>
      <c r="I104" s="64">
        <v>0.65</v>
      </c>
      <c r="J104" s="64">
        <v>0.08</v>
      </c>
      <c r="K104" s="64">
        <v>77.08</v>
      </c>
      <c r="L104" s="64">
        <v>26.56</v>
      </c>
      <c r="M104" s="64">
        <v>56.17</v>
      </c>
      <c r="N104" s="64">
        <v>5.8</v>
      </c>
      <c r="O104" s="64">
        <v>0</v>
      </c>
      <c r="P104" s="64">
        <v>1.18</v>
      </c>
      <c r="Q104" s="64">
        <v>23.93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17.28</v>
      </c>
      <c r="D106" s="67">
        <f t="shared" ref="D106:Q106" si="0">MIN(D9:D104)</f>
        <v>11.13</v>
      </c>
      <c r="E106" s="67">
        <f t="shared" si="0"/>
        <v>1.21</v>
      </c>
      <c r="F106" s="67">
        <f t="shared" si="0"/>
        <v>3.24</v>
      </c>
      <c r="G106" s="67">
        <f t="shared" si="0"/>
        <v>31.15</v>
      </c>
      <c r="H106" s="67">
        <f t="shared" si="0"/>
        <v>19.61</v>
      </c>
      <c r="I106" s="67">
        <f t="shared" si="0"/>
        <v>0.51</v>
      </c>
      <c r="J106" s="67">
        <f t="shared" si="0"/>
        <v>0</v>
      </c>
      <c r="K106" s="67">
        <f t="shared" si="0"/>
        <v>11.39</v>
      </c>
      <c r="L106" s="67">
        <f t="shared" si="0"/>
        <v>23.35</v>
      </c>
      <c r="M106" s="67">
        <f t="shared" si="0"/>
        <v>29.34</v>
      </c>
      <c r="N106" s="67">
        <f t="shared" si="0"/>
        <v>5.3</v>
      </c>
      <c r="O106" s="67">
        <f t="shared" si="0"/>
        <v>0</v>
      </c>
      <c r="P106" s="67">
        <f t="shared" si="0"/>
        <v>0.43</v>
      </c>
      <c r="Q106" s="67">
        <f t="shared" si="0"/>
        <v>17.72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63.39</v>
      </c>
      <c r="C107" s="66">
        <f t="shared" ref="C107:Q107" si="1">MAX(C9:C104)</f>
        <v>74.849999999999994</v>
      </c>
      <c r="D107" s="66">
        <f t="shared" si="1"/>
        <v>77.27</v>
      </c>
      <c r="E107" s="66">
        <f t="shared" si="1"/>
        <v>17.82</v>
      </c>
      <c r="F107" s="66">
        <f t="shared" si="1"/>
        <v>59.21</v>
      </c>
      <c r="G107" s="66">
        <f t="shared" si="1"/>
        <v>243.9</v>
      </c>
      <c r="H107" s="66">
        <f t="shared" si="1"/>
        <v>36.119999999999997</v>
      </c>
      <c r="I107" s="66">
        <f t="shared" si="1"/>
        <v>1.01</v>
      </c>
      <c r="J107" s="66">
        <f t="shared" si="1"/>
        <v>0.88</v>
      </c>
      <c r="K107" s="66">
        <f t="shared" si="1"/>
        <v>358.27</v>
      </c>
      <c r="L107" s="66">
        <f t="shared" si="1"/>
        <v>37.619999999999997</v>
      </c>
      <c r="M107" s="66">
        <f t="shared" si="1"/>
        <v>77.319999999999993</v>
      </c>
      <c r="N107" s="66">
        <f t="shared" si="1"/>
        <v>922.2</v>
      </c>
      <c r="O107" s="66">
        <f t="shared" si="1"/>
        <v>0</v>
      </c>
      <c r="P107" s="66">
        <f t="shared" si="1"/>
        <v>2.2999999999999998</v>
      </c>
      <c r="Q107" s="66">
        <f t="shared" si="1"/>
        <v>28.74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14.085729166666669</v>
      </c>
      <c r="C108" s="67">
        <f t="shared" ref="C108:Q108" si="2">AVERAGE(C9:C104)</f>
        <v>33.545000000000009</v>
      </c>
      <c r="D108" s="67">
        <f t="shared" si="2"/>
        <v>30.455312500000002</v>
      </c>
      <c r="E108" s="67">
        <f t="shared" si="2"/>
        <v>5.751875000000001</v>
      </c>
      <c r="F108" s="67">
        <f t="shared" si="2"/>
        <v>15.442187499999996</v>
      </c>
      <c r="G108" s="67">
        <f t="shared" si="2"/>
        <v>72.522187500000015</v>
      </c>
      <c r="H108" s="67">
        <f t="shared" si="2"/>
        <v>27.208958333333328</v>
      </c>
      <c r="I108" s="67">
        <f t="shared" si="2"/>
        <v>0.65604166666666663</v>
      </c>
      <c r="J108" s="67">
        <f t="shared" si="2"/>
        <v>0.21354166666666663</v>
      </c>
      <c r="K108" s="67">
        <f t="shared" si="2"/>
        <v>241.28020833333338</v>
      </c>
      <c r="L108" s="67">
        <f t="shared" si="2"/>
        <v>30.146145833333332</v>
      </c>
      <c r="M108" s="67">
        <f t="shared" si="2"/>
        <v>48.399791666666658</v>
      </c>
      <c r="N108" s="67">
        <f t="shared" si="2"/>
        <v>248.38437499999995</v>
      </c>
      <c r="O108" s="67">
        <f t="shared" si="2"/>
        <v>0</v>
      </c>
      <c r="P108" s="67">
        <f t="shared" si="2"/>
        <v>1.0896875000000001</v>
      </c>
      <c r="Q108" s="67">
        <f t="shared" si="2"/>
        <v>23.298229166666662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13.356838086659788</v>
      </c>
      <c r="C109" s="67">
        <f t="shared" ref="C109:Q109" si="3">STDEV(C9:C104)</f>
        <v>12.937001604943676</v>
      </c>
      <c r="D109" s="67">
        <f t="shared" si="3"/>
        <v>13.124988457388415</v>
      </c>
      <c r="E109" s="67">
        <f t="shared" si="3"/>
        <v>3.3252980277990423</v>
      </c>
      <c r="F109" s="67">
        <f t="shared" si="3"/>
        <v>12.081467251701984</v>
      </c>
      <c r="G109" s="67">
        <f t="shared" si="3"/>
        <v>39.111915756094554</v>
      </c>
      <c r="H109" s="67">
        <f t="shared" si="3"/>
        <v>4.2358478873257104</v>
      </c>
      <c r="I109" s="67">
        <f t="shared" si="3"/>
        <v>0.10087490081301273</v>
      </c>
      <c r="J109" s="67">
        <f t="shared" si="3"/>
        <v>0.17998233344102751</v>
      </c>
      <c r="K109" s="67">
        <f t="shared" si="3"/>
        <v>65.840315100914182</v>
      </c>
      <c r="L109" s="67">
        <f t="shared" si="3"/>
        <v>4.3576090425809175</v>
      </c>
      <c r="M109" s="67">
        <f t="shared" si="3"/>
        <v>14.242246199186633</v>
      </c>
      <c r="N109" s="67">
        <f t="shared" si="3"/>
        <v>326.51328282100968</v>
      </c>
      <c r="O109" s="67">
        <f t="shared" si="3"/>
        <v>0</v>
      </c>
      <c r="P109" s="67">
        <f t="shared" si="3"/>
        <v>0.29029369202857042</v>
      </c>
      <c r="Q109" s="67">
        <f t="shared" si="3"/>
        <v>2.9916631511732215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1014</v>
      </c>
      <c r="B9" s="64">
        <v>10.71</v>
      </c>
      <c r="C9" s="64">
        <v>38.869999999999997</v>
      </c>
      <c r="D9" s="64">
        <v>30.69</v>
      </c>
      <c r="E9" s="64">
        <v>15.39</v>
      </c>
      <c r="F9" s="64">
        <v>10.29</v>
      </c>
      <c r="G9" s="64">
        <v>81.64</v>
      </c>
      <c r="H9" s="64">
        <v>28.27</v>
      </c>
      <c r="I9" s="64">
        <v>0.64</v>
      </c>
      <c r="J9" s="64">
        <v>0.23</v>
      </c>
      <c r="K9" s="64">
        <v>112.82</v>
      </c>
      <c r="L9" s="64">
        <v>26.8</v>
      </c>
      <c r="M9" s="64">
        <v>53.88</v>
      </c>
      <c r="N9" s="64">
        <v>5.6</v>
      </c>
      <c r="O9" s="64">
        <v>0</v>
      </c>
      <c r="P9" s="64">
        <v>1.1299999999999999</v>
      </c>
      <c r="Q9" s="64">
        <v>25.18</v>
      </c>
      <c r="R9" s="198"/>
      <c r="S9" s="198"/>
      <c r="T9" s="198"/>
      <c r="U9" s="198"/>
    </row>
    <row r="10" spans="1:21" s="12" customFormat="1" x14ac:dyDescent="0.25">
      <c r="A10" s="211" t="s">
        <v>1015</v>
      </c>
      <c r="B10" s="64">
        <v>8.81</v>
      </c>
      <c r="C10" s="64">
        <v>35.520000000000003</v>
      </c>
      <c r="D10" s="64">
        <v>27.31</v>
      </c>
      <c r="E10" s="64">
        <v>19.93</v>
      </c>
      <c r="F10" s="64">
        <v>12.09</v>
      </c>
      <c r="G10" s="64">
        <v>84.65</v>
      </c>
      <c r="H10" s="64">
        <v>28.27</v>
      </c>
      <c r="I10" s="64">
        <v>0.66</v>
      </c>
      <c r="J10" s="64">
        <v>0.08</v>
      </c>
      <c r="K10" s="64">
        <v>72.959999999999994</v>
      </c>
      <c r="L10" s="64">
        <v>26.62</v>
      </c>
      <c r="M10" s="64">
        <v>55.28</v>
      </c>
      <c r="N10" s="64">
        <v>6.1</v>
      </c>
      <c r="O10" s="64">
        <v>0</v>
      </c>
      <c r="P10" s="64">
        <v>1.0900000000000001</v>
      </c>
      <c r="Q10" s="64">
        <v>24.34</v>
      </c>
      <c r="R10" s="198"/>
      <c r="S10" s="198"/>
      <c r="T10" s="198"/>
      <c r="U10" s="198"/>
    </row>
    <row r="11" spans="1:21" s="12" customFormat="1" x14ac:dyDescent="0.25">
      <c r="A11" s="211" t="s">
        <v>1016</v>
      </c>
      <c r="B11" s="64">
        <v>8.2100000000000009</v>
      </c>
      <c r="C11" s="64">
        <v>31.05</v>
      </c>
      <c r="D11" s="64">
        <v>24.36</v>
      </c>
      <c r="E11" s="64">
        <v>13.71</v>
      </c>
      <c r="F11" s="64">
        <v>14.54</v>
      </c>
      <c r="G11" s="64">
        <v>84.65</v>
      </c>
      <c r="H11" s="64">
        <v>28.27</v>
      </c>
      <c r="I11" s="64">
        <v>0.62</v>
      </c>
      <c r="J11" s="64">
        <v>0.16</v>
      </c>
      <c r="K11" s="64">
        <v>80.83</v>
      </c>
      <c r="L11" s="64">
        <v>26.58</v>
      </c>
      <c r="M11" s="64">
        <v>52.95</v>
      </c>
      <c r="N11" s="64">
        <v>5.7</v>
      </c>
      <c r="O11" s="64">
        <v>0</v>
      </c>
      <c r="P11" s="64">
        <v>0.99</v>
      </c>
      <c r="Q11" s="64">
        <v>24.65</v>
      </c>
      <c r="R11" s="198"/>
      <c r="S11" s="198"/>
      <c r="T11" s="198"/>
      <c r="U11" s="198"/>
    </row>
    <row r="12" spans="1:21" s="12" customFormat="1" x14ac:dyDescent="0.25">
      <c r="A12" s="211" t="s">
        <v>1017</v>
      </c>
      <c r="B12" s="64">
        <v>6.42</v>
      </c>
      <c r="C12" s="64">
        <v>31.98</v>
      </c>
      <c r="D12" s="64">
        <v>23.44</v>
      </c>
      <c r="E12" s="64">
        <v>15.1</v>
      </c>
      <c r="F12" s="64">
        <v>19.190000000000001</v>
      </c>
      <c r="G12" s="64">
        <v>84.65</v>
      </c>
      <c r="H12" s="64">
        <v>28.27</v>
      </c>
      <c r="I12" s="64">
        <v>0.62</v>
      </c>
      <c r="J12" s="64">
        <v>0.14000000000000001</v>
      </c>
      <c r="K12" s="64">
        <v>124.68</v>
      </c>
      <c r="L12" s="64">
        <v>26.46</v>
      </c>
      <c r="M12" s="64">
        <v>52.41</v>
      </c>
      <c r="N12" s="64">
        <v>5.8</v>
      </c>
      <c r="O12" s="64">
        <v>0</v>
      </c>
      <c r="P12" s="64">
        <v>0.85</v>
      </c>
      <c r="Q12" s="64">
        <v>24.19</v>
      </c>
      <c r="R12" s="198"/>
      <c r="S12" s="198"/>
      <c r="T12" s="198"/>
      <c r="U12" s="198"/>
    </row>
    <row r="13" spans="1:21" s="12" customFormat="1" x14ac:dyDescent="0.25">
      <c r="A13" s="211" t="s">
        <v>1018</v>
      </c>
      <c r="B13" s="64">
        <v>4.49</v>
      </c>
      <c r="C13" s="64">
        <v>26.89</v>
      </c>
      <c r="D13" s="64">
        <v>19.09</v>
      </c>
      <c r="E13" s="64">
        <v>13.9</v>
      </c>
      <c r="F13" s="64">
        <v>30.61</v>
      </c>
      <c r="G13" s="64">
        <v>79.55</v>
      </c>
      <c r="H13" s="64">
        <v>30.51</v>
      </c>
      <c r="I13" s="64">
        <v>0.6</v>
      </c>
      <c r="J13" s="64">
        <v>0.28000000000000003</v>
      </c>
      <c r="K13" s="64">
        <v>152.91</v>
      </c>
      <c r="L13" s="64">
        <v>26.73</v>
      </c>
      <c r="M13" s="64">
        <v>49.07</v>
      </c>
      <c r="N13" s="64">
        <v>5.2</v>
      </c>
      <c r="O13" s="64">
        <v>0</v>
      </c>
      <c r="P13" s="64">
        <v>0.66</v>
      </c>
      <c r="Q13" s="64">
        <v>24.59</v>
      </c>
      <c r="R13" s="198"/>
      <c r="S13" s="198"/>
      <c r="T13" s="198"/>
      <c r="U13" s="198"/>
    </row>
    <row r="14" spans="1:21" s="12" customFormat="1" x14ac:dyDescent="0.25">
      <c r="A14" s="211" t="s">
        <v>1019</v>
      </c>
      <c r="B14" s="64">
        <v>4.9000000000000004</v>
      </c>
      <c r="C14" s="64">
        <v>26.18</v>
      </c>
      <c r="D14" s="64">
        <v>19.03</v>
      </c>
      <c r="E14" s="64">
        <v>10.14</v>
      </c>
      <c r="F14" s="64">
        <v>23.72</v>
      </c>
      <c r="G14" s="64">
        <v>78.44</v>
      </c>
      <c r="H14" s="64">
        <v>30.51</v>
      </c>
      <c r="I14" s="64">
        <v>0.56000000000000005</v>
      </c>
      <c r="J14" s="64">
        <v>0.26</v>
      </c>
      <c r="K14" s="64">
        <v>197.21</v>
      </c>
      <c r="L14" s="64">
        <v>26.85</v>
      </c>
      <c r="M14" s="64">
        <v>49.39</v>
      </c>
      <c r="N14" s="64">
        <v>5.8</v>
      </c>
      <c r="O14" s="64">
        <v>0</v>
      </c>
      <c r="P14" s="64">
        <v>0.71</v>
      </c>
      <c r="Q14" s="64">
        <v>24.83</v>
      </c>
      <c r="R14" s="198"/>
      <c r="S14" s="198"/>
      <c r="T14" s="198"/>
      <c r="U14" s="198"/>
    </row>
    <row r="15" spans="1:21" s="12" customFormat="1" x14ac:dyDescent="0.25">
      <c r="A15" s="211" t="s">
        <v>1020</v>
      </c>
      <c r="B15" s="64">
        <v>3.85</v>
      </c>
      <c r="C15" s="64">
        <v>30.18</v>
      </c>
      <c r="D15" s="64">
        <v>20.39</v>
      </c>
      <c r="E15" s="64">
        <v>10.59</v>
      </c>
      <c r="F15" s="64">
        <v>18.39</v>
      </c>
      <c r="G15" s="64">
        <v>78.44</v>
      </c>
      <c r="H15" s="64">
        <v>30.51</v>
      </c>
      <c r="I15" s="64">
        <v>0.54</v>
      </c>
      <c r="J15" s="64">
        <v>0.21</v>
      </c>
      <c r="K15" s="64">
        <v>251.97</v>
      </c>
      <c r="L15" s="64">
        <v>26.09</v>
      </c>
      <c r="M15" s="64">
        <v>58.16</v>
      </c>
      <c r="N15" s="64">
        <v>6.4</v>
      </c>
      <c r="O15" s="64">
        <v>0</v>
      </c>
      <c r="P15" s="64">
        <v>0.7</v>
      </c>
      <c r="Q15" s="64">
        <v>24.86</v>
      </c>
      <c r="R15" s="198"/>
      <c r="S15" s="198"/>
      <c r="T15" s="198"/>
      <c r="U15" s="198"/>
    </row>
    <row r="16" spans="1:21" s="12" customFormat="1" x14ac:dyDescent="0.25">
      <c r="A16" s="211" t="s">
        <v>1021</v>
      </c>
      <c r="B16" s="64">
        <v>4.5199999999999996</v>
      </c>
      <c r="C16" s="64">
        <v>30.87</v>
      </c>
      <c r="D16" s="64">
        <v>21.31</v>
      </c>
      <c r="E16" s="64">
        <v>8.39</v>
      </c>
      <c r="F16" s="64">
        <v>11.35</v>
      </c>
      <c r="G16" s="64">
        <v>78.44</v>
      </c>
      <c r="H16" s="64">
        <v>30.51</v>
      </c>
      <c r="I16" s="64">
        <v>0.56000000000000005</v>
      </c>
      <c r="J16" s="64">
        <v>0.14000000000000001</v>
      </c>
      <c r="K16" s="64">
        <v>258.92</v>
      </c>
      <c r="L16" s="64">
        <v>25.35</v>
      </c>
      <c r="M16" s="64">
        <v>66.11</v>
      </c>
      <c r="N16" s="64">
        <v>6.5</v>
      </c>
      <c r="O16" s="64">
        <v>0</v>
      </c>
      <c r="P16" s="64">
        <v>0.75</v>
      </c>
      <c r="Q16" s="64">
        <v>24.95</v>
      </c>
      <c r="R16" s="198"/>
      <c r="S16" s="198"/>
      <c r="T16" s="198"/>
      <c r="U16" s="198"/>
    </row>
    <row r="17" spans="1:21" s="12" customFormat="1" x14ac:dyDescent="0.25">
      <c r="A17" s="211" t="s">
        <v>1022</v>
      </c>
      <c r="B17" s="64">
        <v>5.38</v>
      </c>
      <c r="C17" s="64">
        <v>26.3</v>
      </c>
      <c r="D17" s="64">
        <v>19.48</v>
      </c>
      <c r="E17" s="64">
        <v>7.8</v>
      </c>
      <c r="F17" s="64">
        <v>8.18</v>
      </c>
      <c r="G17" s="64">
        <v>61.44</v>
      </c>
      <c r="H17" s="64">
        <v>26.15</v>
      </c>
      <c r="I17" s="64">
        <v>0.56999999999999995</v>
      </c>
      <c r="J17" s="64">
        <v>0.1</v>
      </c>
      <c r="K17" s="64">
        <v>190.72</v>
      </c>
      <c r="L17" s="64">
        <v>24.95</v>
      </c>
      <c r="M17" s="64">
        <v>65.540000000000006</v>
      </c>
      <c r="N17" s="64">
        <v>6.1</v>
      </c>
      <c r="O17" s="64">
        <v>0</v>
      </c>
      <c r="P17" s="64">
        <v>0.87</v>
      </c>
      <c r="Q17" s="64">
        <v>24.95</v>
      </c>
      <c r="R17" s="198"/>
      <c r="S17" s="198"/>
      <c r="T17" s="198"/>
      <c r="U17" s="198"/>
    </row>
    <row r="18" spans="1:21" s="12" customFormat="1" x14ac:dyDescent="0.25">
      <c r="A18" s="211" t="s">
        <v>1023</v>
      </c>
      <c r="B18" s="64">
        <v>5.88</v>
      </c>
      <c r="C18" s="64">
        <v>27.03</v>
      </c>
      <c r="D18" s="64">
        <v>20.28</v>
      </c>
      <c r="E18" s="64">
        <v>7.23</v>
      </c>
      <c r="F18" s="64">
        <v>6.79</v>
      </c>
      <c r="G18" s="64">
        <v>57.77</v>
      </c>
      <c r="H18" s="64">
        <v>26.15</v>
      </c>
      <c r="I18" s="64">
        <v>0.57999999999999996</v>
      </c>
      <c r="J18" s="64">
        <v>0.03</v>
      </c>
      <c r="K18" s="64">
        <v>332.38</v>
      </c>
      <c r="L18" s="64">
        <v>24.99</v>
      </c>
      <c r="M18" s="64">
        <v>64.34</v>
      </c>
      <c r="N18" s="64">
        <v>6.1</v>
      </c>
      <c r="O18" s="64">
        <v>0</v>
      </c>
      <c r="P18" s="64">
        <v>0.81</v>
      </c>
      <c r="Q18" s="64">
        <v>25.67</v>
      </c>
      <c r="R18" s="198"/>
      <c r="S18" s="198"/>
      <c r="T18" s="198"/>
      <c r="U18" s="198"/>
    </row>
    <row r="19" spans="1:21" s="12" customFormat="1" x14ac:dyDescent="0.25">
      <c r="A19" s="211" t="s">
        <v>1024</v>
      </c>
      <c r="B19" s="64">
        <v>6.31</v>
      </c>
      <c r="C19" s="64">
        <v>24.66</v>
      </c>
      <c r="D19" s="64">
        <v>19.32</v>
      </c>
      <c r="E19" s="64">
        <v>7.54</v>
      </c>
      <c r="F19" s="64">
        <v>6.81</v>
      </c>
      <c r="G19" s="64">
        <v>57.77</v>
      </c>
      <c r="H19" s="64">
        <v>26.15</v>
      </c>
      <c r="I19" s="64">
        <v>0.66</v>
      </c>
      <c r="J19" s="64">
        <v>7.0000000000000007E-2</v>
      </c>
      <c r="K19" s="64">
        <v>266.42</v>
      </c>
      <c r="L19" s="64">
        <v>24.87</v>
      </c>
      <c r="M19" s="64">
        <v>65.62</v>
      </c>
      <c r="N19" s="64">
        <v>6</v>
      </c>
      <c r="O19" s="64">
        <v>0</v>
      </c>
      <c r="P19" s="64">
        <v>0.85</v>
      </c>
      <c r="Q19" s="64">
        <v>24.64</v>
      </c>
      <c r="R19" s="198"/>
      <c r="S19" s="198"/>
      <c r="T19" s="198"/>
      <c r="U19" s="198"/>
    </row>
    <row r="20" spans="1:21" s="12" customFormat="1" x14ac:dyDescent="0.25">
      <c r="A20" s="211" t="s">
        <v>1025</v>
      </c>
      <c r="B20" s="64">
        <v>11.69</v>
      </c>
      <c r="C20" s="64">
        <v>29.36</v>
      </c>
      <c r="D20" s="64">
        <v>26.22</v>
      </c>
      <c r="E20" s="64">
        <v>6.76</v>
      </c>
      <c r="F20" s="64">
        <v>8.34</v>
      </c>
      <c r="G20" s="64">
        <v>57.77</v>
      </c>
      <c r="H20" s="64">
        <v>26.15</v>
      </c>
      <c r="I20" s="64">
        <v>0.63</v>
      </c>
      <c r="J20" s="64">
        <v>7.0000000000000007E-2</v>
      </c>
      <c r="K20" s="64">
        <v>73.790000000000006</v>
      </c>
      <c r="L20" s="64">
        <v>24.99</v>
      </c>
      <c r="M20" s="64">
        <v>62.81</v>
      </c>
      <c r="N20" s="64">
        <v>5.8</v>
      </c>
      <c r="O20" s="64">
        <v>0</v>
      </c>
      <c r="P20" s="64">
        <v>0.73</v>
      </c>
      <c r="Q20" s="64">
        <v>24.74</v>
      </c>
      <c r="R20" s="198"/>
      <c r="S20" s="198"/>
      <c r="T20" s="198"/>
      <c r="U20" s="198"/>
    </row>
    <row r="21" spans="1:21" s="12" customFormat="1" x14ac:dyDescent="0.25">
      <c r="A21" s="211" t="s">
        <v>1026</v>
      </c>
      <c r="B21" s="64">
        <v>6.97</v>
      </c>
      <c r="C21" s="64">
        <v>23.88</v>
      </c>
      <c r="D21" s="64">
        <v>19.41</v>
      </c>
      <c r="E21" s="64">
        <v>6.68</v>
      </c>
      <c r="F21" s="64">
        <v>8.1</v>
      </c>
      <c r="G21" s="64">
        <v>61.4</v>
      </c>
      <c r="H21" s="64">
        <v>26.77</v>
      </c>
      <c r="I21" s="64">
        <v>0.67</v>
      </c>
      <c r="J21" s="64">
        <v>0.08</v>
      </c>
      <c r="K21" s="64">
        <v>261.58</v>
      </c>
      <c r="L21" s="64">
        <v>25.17</v>
      </c>
      <c r="M21" s="64">
        <v>60.77</v>
      </c>
      <c r="N21" s="64">
        <v>6</v>
      </c>
      <c r="O21" s="64">
        <v>0</v>
      </c>
      <c r="P21" s="64">
        <v>0.77</v>
      </c>
      <c r="Q21" s="64">
        <v>24.73</v>
      </c>
      <c r="R21" s="198"/>
      <c r="S21" s="198"/>
      <c r="T21" s="198"/>
      <c r="U21" s="198"/>
    </row>
    <row r="22" spans="1:21" s="12" customFormat="1" x14ac:dyDescent="0.25">
      <c r="A22" s="211" t="s">
        <v>1027</v>
      </c>
      <c r="B22" s="64">
        <v>6.84</v>
      </c>
      <c r="C22" s="64">
        <v>23.82</v>
      </c>
      <c r="D22" s="64">
        <v>19.27</v>
      </c>
      <c r="E22" s="64">
        <v>6.72</v>
      </c>
      <c r="F22" s="64">
        <v>8.2799999999999994</v>
      </c>
      <c r="G22" s="64">
        <v>62.19</v>
      </c>
      <c r="H22" s="64">
        <v>26.77</v>
      </c>
      <c r="I22" s="64">
        <v>0.62</v>
      </c>
      <c r="J22" s="64">
        <v>0.11</v>
      </c>
      <c r="K22" s="64">
        <v>280.61</v>
      </c>
      <c r="L22" s="64">
        <v>25.1</v>
      </c>
      <c r="M22" s="64">
        <v>65.23</v>
      </c>
      <c r="N22" s="64">
        <v>6.2</v>
      </c>
      <c r="O22" s="64">
        <v>0</v>
      </c>
      <c r="P22" s="64">
        <v>0.7</v>
      </c>
      <c r="Q22" s="64">
        <v>25.36</v>
      </c>
      <c r="R22" s="198"/>
      <c r="S22" s="198"/>
      <c r="T22" s="198"/>
      <c r="U22" s="198"/>
    </row>
    <row r="23" spans="1:21" s="12" customFormat="1" x14ac:dyDescent="0.25">
      <c r="A23" s="211" t="s">
        <v>1028</v>
      </c>
      <c r="B23" s="64">
        <v>7.1</v>
      </c>
      <c r="C23" s="64">
        <v>23.68</v>
      </c>
      <c r="D23" s="64">
        <v>19.41</v>
      </c>
      <c r="E23" s="64">
        <v>7.01</v>
      </c>
      <c r="F23" s="64">
        <v>7.96</v>
      </c>
      <c r="G23" s="64">
        <v>62.19</v>
      </c>
      <c r="H23" s="64">
        <v>26.77</v>
      </c>
      <c r="I23" s="64">
        <v>0.65</v>
      </c>
      <c r="J23" s="64">
        <v>0.39</v>
      </c>
      <c r="K23" s="64">
        <v>182.9</v>
      </c>
      <c r="L23" s="64">
        <v>25.37</v>
      </c>
      <c r="M23" s="64">
        <v>57.56</v>
      </c>
      <c r="N23" s="64">
        <v>4.7</v>
      </c>
      <c r="O23" s="64">
        <v>0</v>
      </c>
      <c r="P23" s="64">
        <v>0.73</v>
      </c>
      <c r="Q23" s="64">
        <v>24.22</v>
      </c>
      <c r="R23" s="198"/>
      <c r="S23" s="198"/>
      <c r="T23" s="198"/>
      <c r="U23" s="198"/>
    </row>
    <row r="24" spans="1:21" s="12" customFormat="1" x14ac:dyDescent="0.25">
      <c r="A24" s="211" t="s">
        <v>1029</v>
      </c>
      <c r="B24" s="64">
        <v>12.59</v>
      </c>
      <c r="C24" s="64">
        <v>39.840000000000003</v>
      </c>
      <c r="D24" s="64">
        <v>32.72</v>
      </c>
      <c r="E24" s="64">
        <v>4.68</v>
      </c>
      <c r="F24" s="64">
        <v>9.66</v>
      </c>
      <c r="G24" s="64">
        <v>62.19</v>
      </c>
      <c r="H24" s="64">
        <v>26.77</v>
      </c>
      <c r="I24" s="64">
        <v>0.61</v>
      </c>
      <c r="J24" s="64">
        <v>0.02</v>
      </c>
      <c r="K24" s="64">
        <v>358.41</v>
      </c>
      <c r="L24" s="64">
        <v>25.71</v>
      </c>
      <c r="M24" s="64">
        <v>57.47</v>
      </c>
      <c r="N24" s="64">
        <v>6</v>
      </c>
      <c r="O24" s="64">
        <v>0</v>
      </c>
      <c r="P24" s="64">
        <v>0.69</v>
      </c>
      <c r="Q24" s="64">
        <v>23.16</v>
      </c>
      <c r="R24" s="198"/>
      <c r="S24" s="198"/>
      <c r="T24" s="198"/>
      <c r="U24" s="198"/>
    </row>
    <row r="25" spans="1:21" s="12" customFormat="1" x14ac:dyDescent="0.25">
      <c r="A25" s="211" t="s">
        <v>1030</v>
      </c>
      <c r="B25" s="64">
        <v>19.79</v>
      </c>
      <c r="C25" s="64">
        <v>41.41</v>
      </c>
      <c r="D25" s="64">
        <v>39.369999999999997</v>
      </c>
      <c r="E25" s="64">
        <v>7.66</v>
      </c>
      <c r="F25" s="64">
        <v>8.5500000000000007</v>
      </c>
      <c r="G25" s="64">
        <v>58.24</v>
      </c>
      <c r="H25" s="64">
        <v>26.43</v>
      </c>
      <c r="I25" s="64">
        <v>0.62</v>
      </c>
      <c r="J25" s="64">
        <v>0.12</v>
      </c>
      <c r="K25" s="64">
        <v>283.67</v>
      </c>
      <c r="L25" s="64">
        <v>25.17</v>
      </c>
      <c r="M25" s="64">
        <v>62.59</v>
      </c>
      <c r="N25" s="64">
        <v>6.3</v>
      </c>
      <c r="O25" s="64">
        <v>0</v>
      </c>
      <c r="P25" s="64">
        <v>0.66</v>
      </c>
      <c r="Q25" s="64">
        <v>23.09</v>
      </c>
      <c r="R25" s="198"/>
      <c r="S25" s="198"/>
      <c r="T25" s="198"/>
      <c r="U25" s="198"/>
    </row>
    <row r="26" spans="1:21" s="12" customFormat="1" x14ac:dyDescent="0.25">
      <c r="A26" s="211" t="s">
        <v>1031</v>
      </c>
      <c r="B26" s="64">
        <v>18.940000000000001</v>
      </c>
      <c r="C26" s="64">
        <v>43.37</v>
      </c>
      <c r="D26" s="64">
        <v>39.770000000000003</v>
      </c>
      <c r="E26" s="64">
        <v>6.82</v>
      </c>
      <c r="F26" s="64">
        <v>5.72</v>
      </c>
      <c r="G26" s="64">
        <v>57.39</v>
      </c>
      <c r="H26" s="64">
        <v>26.43</v>
      </c>
      <c r="I26" s="64">
        <v>0.56000000000000005</v>
      </c>
      <c r="J26" s="64">
        <v>0.22</v>
      </c>
      <c r="K26" s="64">
        <v>239.76</v>
      </c>
      <c r="L26" s="64">
        <v>24.92</v>
      </c>
      <c r="M26" s="64">
        <v>62.82</v>
      </c>
      <c r="N26" s="64">
        <v>5.8</v>
      </c>
      <c r="O26" s="64">
        <v>0</v>
      </c>
      <c r="P26" s="64">
        <v>0.65</v>
      </c>
      <c r="Q26" s="64">
        <v>21.2</v>
      </c>
      <c r="R26" s="198"/>
      <c r="S26" s="198"/>
      <c r="T26" s="198"/>
      <c r="U26" s="198"/>
    </row>
    <row r="27" spans="1:21" s="12" customFormat="1" x14ac:dyDescent="0.25">
      <c r="A27" s="211" t="s">
        <v>1032</v>
      </c>
      <c r="B27" s="64">
        <v>8.64</v>
      </c>
      <c r="C27" s="64">
        <v>36.64</v>
      </c>
      <c r="D27" s="64">
        <v>27.8</v>
      </c>
      <c r="E27" s="64">
        <v>7.98</v>
      </c>
      <c r="F27" s="64">
        <v>7.39</v>
      </c>
      <c r="G27" s="64">
        <v>57.39</v>
      </c>
      <c r="H27" s="64">
        <v>26.43</v>
      </c>
      <c r="I27" s="64">
        <v>0.56000000000000005</v>
      </c>
      <c r="J27" s="64">
        <v>0.23</v>
      </c>
      <c r="K27" s="64">
        <v>201.47</v>
      </c>
      <c r="L27" s="64">
        <v>25.23</v>
      </c>
      <c r="M27" s="64">
        <v>61.15</v>
      </c>
      <c r="N27" s="64">
        <v>5.6</v>
      </c>
      <c r="O27" s="64">
        <v>0</v>
      </c>
      <c r="P27" s="64">
        <v>0.59</v>
      </c>
      <c r="Q27" s="64">
        <v>23.87</v>
      </c>
      <c r="R27" s="198"/>
      <c r="S27" s="198"/>
      <c r="T27" s="198"/>
      <c r="U27" s="198"/>
    </row>
    <row r="28" spans="1:21" s="12" customFormat="1" x14ac:dyDescent="0.25">
      <c r="A28" s="211" t="s">
        <v>1033</v>
      </c>
      <c r="B28" s="64">
        <v>9.5</v>
      </c>
      <c r="C28" s="64">
        <v>36.69</v>
      </c>
      <c r="D28" s="64">
        <v>28.51</v>
      </c>
      <c r="E28" s="64">
        <v>5.93</v>
      </c>
      <c r="F28" s="64">
        <v>5.56</v>
      </c>
      <c r="G28" s="64">
        <v>57.39</v>
      </c>
      <c r="H28" s="64">
        <v>26.43</v>
      </c>
      <c r="I28" s="64">
        <v>0.57999999999999996</v>
      </c>
      <c r="J28" s="64">
        <v>0.2</v>
      </c>
      <c r="K28" s="64">
        <v>225.71</v>
      </c>
      <c r="L28" s="64">
        <v>24.97</v>
      </c>
      <c r="M28" s="64">
        <v>66.400000000000006</v>
      </c>
      <c r="N28" s="64">
        <v>5.9</v>
      </c>
      <c r="O28" s="64">
        <v>0</v>
      </c>
      <c r="P28" s="64">
        <v>0.6</v>
      </c>
      <c r="Q28" s="64">
        <v>24.59</v>
      </c>
      <c r="R28" s="198"/>
      <c r="S28" s="198"/>
      <c r="T28" s="198"/>
      <c r="U28" s="198"/>
    </row>
    <row r="29" spans="1:21" s="12" customFormat="1" x14ac:dyDescent="0.25">
      <c r="A29" s="211" t="s">
        <v>1034</v>
      </c>
      <c r="B29" s="64">
        <v>11.08</v>
      </c>
      <c r="C29" s="64">
        <v>19.37</v>
      </c>
      <c r="D29" s="64">
        <v>20.22</v>
      </c>
      <c r="E29" s="64">
        <v>5.67</v>
      </c>
      <c r="F29" s="64">
        <v>4.63</v>
      </c>
      <c r="G29" s="64">
        <v>66.34</v>
      </c>
      <c r="H29" s="64">
        <v>23.33</v>
      </c>
      <c r="I29" s="64">
        <v>0.57999999999999996</v>
      </c>
      <c r="J29" s="64">
        <v>0.08</v>
      </c>
      <c r="K29" s="64">
        <v>251.23</v>
      </c>
      <c r="L29" s="64">
        <v>24.66</v>
      </c>
      <c r="M29" s="64">
        <v>70.73</v>
      </c>
      <c r="N29" s="64">
        <v>7</v>
      </c>
      <c r="O29" s="64">
        <v>0</v>
      </c>
      <c r="P29" s="64">
        <v>0.72</v>
      </c>
      <c r="Q29" s="64">
        <v>25.11</v>
      </c>
      <c r="R29" s="198"/>
      <c r="S29" s="198"/>
      <c r="T29" s="198"/>
      <c r="U29" s="198"/>
    </row>
    <row r="30" spans="1:21" s="12" customFormat="1" x14ac:dyDescent="0.25">
      <c r="A30" s="211" t="s">
        <v>1035</v>
      </c>
      <c r="B30" s="64">
        <v>11.24</v>
      </c>
      <c r="C30" s="64">
        <v>24.15</v>
      </c>
      <c r="D30" s="64">
        <v>22.99</v>
      </c>
      <c r="E30" s="64">
        <v>5.08</v>
      </c>
      <c r="F30" s="64">
        <v>3.59</v>
      </c>
      <c r="G30" s="64">
        <v>68.28</v>
      </c>
      <c r="H30" s="64">
        <v>23.33</v>
      </c>
      <c r="I30" s="64">
        <v>0.6</v>
      </c>
      <c r="J30" s="64">
        <v>0.17</v>
      </c>
      <c r="K30" s="64">
        <v>250.22</v>
      </c>
      <c r="L30" s="64">
        <v>24.37</v>
      </c>
      <c r="M30" s="64">
        <v>70.02</v>
      </c>
      <c r="N30" s="64">
        <v>10</v>
      </c>
      <c r="O30" s="64">
        <v>0</v>
      </c>
      <c r="P30" s="64">
        <v>0.71</v>
      </c>
      <c r="Q30" s="64">
        <v>26.01</v>
      </c>
      <c r="R30" s="198"/>
      <c r="S30" s="198"/>
      <c r="T30" s="198"/>
      <c r="U30" s="198"/>
    </row>
    <row r="31" spans="1:21" s="12" customFormat="1" x14ac:dyDescent="0.25">
      <c r="A31" s="211" t="s">
        <v>1036</v>
      </c>
      <c r="B31" s="64">
        <v>14.39</v>
      </c>
      <c r="C31" s="64">
        <v>26.25</v>
      </c>
      <c r="D31" s="64">
        <v>26.67</v>
      </c>
      <c r="E31" s="64">
        <v>5.01</v>
      </c>
      <c r="F31" s="64">
        <v>3.91</v>
      </c>
      <c r="G31" s="64">
        <v>68.28</v>
      </c>
      <c r="H31" s="64">
        <v>23.33</v>
      </c>
      <c r="I31" s="64">
        <v>0.68</v>
      </c>
      <c r="J31" s="64">
        <v>0.18</v>
      </c>
      <c r="K31" s="64">
        <v>252.31</v>
      </c>
      <c r="L31" s="64">
        <v>24.47</v>
      </c>
      <c r="M31" s="64">
        <v>68.78</v>
      </c>
      <c r="N31" s="64">
        <v>21.7</v>
      </c>
      <c r="O31" s="64">
        <v>0</v>
      </c>
      <c r="P31" s="64">
        <v>0.72</v>
      </c>
      <c r="Q31" s="64">
        <v>25.39</v>
      </c>
      <c r="R31" s="198"/>
      <c r="S31" s="198"/>
      <c r="T31" s="198"/>
      <c r="U31" s="198"/>
    </row>
    <row r="32" spans="1:21" s="12" customFormat="1" x14ac:dyDescent="0.25">
      <c r="A32" s="211" t="s">
        <v>1037</v>
      </c>
      <c r="B32" s="64">
        <v>14.58</v>
      </c>
      <c r="C32" s="64">
        <v>20.28</v>
      </c>
      <c r="D32" s="64">
        <v>23.53</v>
      </c>
      <c r="E32" s="64">
        <v>4.78</v>
      </c>
      <c r="F32" s="64">
        <v>3.72</v>
      </c>
      <c r="G32" s="64">
        <v>68.28</v>
      </c>
      <c r="H32" s="64">
        <v>23.33</v>
      </c>
      <c r="I32" s="64">
        <v>0.66</v>
      </c>
      <c r="J32" s="64">
        <v>0.44</v>
      </c>
      <c r="K32" s="64">
        <v>268.86</v>
      </c>
      <c r="L32" s="64">
        <v>24.6</v>
      </c>
      <c r="M32" s="64">
        <v>69.900000000000006</v>
      </c>
      <c r="N32" s="64">
        <v>39.9</v>
      </c>
      <c r="O32" s="64">
        <v>0</v>
      </c>
      <c r="P32" s="64">
        <v>0.73</v>
      </c>
      <c r="Q32" s="64">
        <v>25.49</v>
      </c>
      <c r="R32" s="198"/>
      <c r="S32" s="198"/>
      <c r="T32" s="198"/>
      <c r="U32" s="198"/>
    </row>
    <row r="33" spans="1:21" s="12" customFormat="1" x14ac:dyDescent="0.25">
      <c r="A33" s="211" t="s">
        <v>1038</v>
      </c>
      <c r="B33" s="64">
        <v>18.45</v>
      </c>
      <c r="C33" s="64">
        <v>28.04</v>
      </c>
      <c r="D33" s="64">
        <v>30.91</v>
      </c>
      <c r="E33" s="64">
        <v>4.6100000000000003</v>
      </c>
      <c r="F33" s="64">
        <v>4.6900000000000004</v>
      </c>
      <c r="G33" s="64">
        <v>64.319999999999993</v>
      </c>
      <c r="H33" s="64">
        <v>23.01</v>
      </c>
      <c r="I33" s="64">
        <v>0.68</v>
      </c>
      <c r="J33" s="64">
        <v>0.32</v>
      </c>
      <c r="K33" s="64">
        <v>288.37</v>
      </c>
      <c r="L33" s="64">
        <v>25.35</v>
      </c>
      <c r="M33" s="64">
        <v>65.77</v>
      </c>
      <c r="N33" s="64">
        <v>71.5</v>
      </c>
      <c r="O33" s="64">
        <v>0</v>
      </c>
      <c r="P33" s="64">
        <v>0.73</v>
      </c>
      <c r="Q33" s="64">
        <v>25.33</v>
      </c>
      <c r="R33" s="198"/>
      <c r="S33" s="198"/>
      <c r="T33" s="198"/>
      <c r="U33" s="198"/>
    </row>
    <row r="34" spans="1:21" s="12" customFormat="1" x14ac:dyDescent="0.25">
      <c r="A34" s="211" t="s">
        <v>1039</v>
      </c>
      <c r="B34" s="64">
        <v>16.420000000000002</v>
      </c>
      <c r="C34" s="64">
        <v>21.14</v>
      </c>
      <c r="D34" s="64">
        <v>25.48</v>
      </c>
      <c r="E34" s="64">
        <v>4.7699999999999996</v>
      </c>
      <c r="F34" s="64">
        <v>4.33</v>
      </c>
      <c r="G34" s="64">
        <v>63.46</v>
      </c>
      <c r="H34" s="64">
        <v>23.01</v>
      </c>
      <c r="I34" s="64">
        <v>0.69</v>
      </c>
      <c r="J34" s="64">
        <v>0.67</v>
      </c>
      <c r="K34" s="64">
        <v>281.02999999999997</v>
      </c>
      <c r="L34" s="64">
        <v>26.83</v>
      </c>
      <c r="M34" s="64">
        <v>60.01</v>
      </c>
      <c r="N34" s="64">
        <v>109.6</v>
      </c>
      <c r="O34" s="64">
        <v>0</v>
      </c>
      <c r="P34" s="64">
        <v>0.75</v>
      </c>
      <c r="Q34" s="64">
        <v>25.07</v>
      </c>
      <c r="R34" s="198"/>
      <c r="S34" s="198"/>
      <c r="T34" s="198"/>
      <c r="U34" s="198"/>
    </row>
    <row r="35" spans="1:21" s="12" customFormat="1" x14ac:dyDescent="0.25">
      <c r="A35" s="211" t="s">
        <v>1040</v>
      </c>
      <c r="B35" s="64">
        <v>17.850000000000001</v>
      </c>
      <c r="C35" s="64">
        <v>25.19</v>
      </c>
      <c r="D35" s="64">
        <v>28.86</v>
      </c>
      <c r="E35" s="64">
        <v>4.74</v>
      </c>
      <c r="F35" s="64">
        <v>3.5</v>
      </c>
      <c r="G35" s="64">
        <v>63.46</v>
      </c>
      <c r="H35" s="64">
        <v>23.01</v>
      </c>
      <c r="I35" s="64">
        <v>0.64</v>
      </c>
      <c r="J35" s="64">
        <v>0.52</v>
      </c>
      <c r="K35" s="64">
        <v>281.68</v>
      </c>
      <c r="L35" s="64">
        <v>28.1</v>
      </c>
      <c r="M35" s="64">
        <v>54.88</v>
      </c>
      <c r="N35" s="64">
        <v>149.30000000000001</v>
      </c>
      <c r="O35" s="64">
        <v>0</v>
      </c>
      <c r="P35" s="64">
        <v>0.85</v>
      </c>
      <c r="Q35" s="64">
        <v>25.58</v>
      </c>
      <c r="R35" s="198"/>
      <c r="S35" s="198"/>
      <c r="T35" s="198"/>
      <c r="U35" s="198"/>
    </row>
    <row r="36" spans="1:21" s="12" customFormat="1" x14ac:dyDescent="0.25">
      <c r="A36" s="211" t="s">
        <v>1041</v>
      </c>
      <c r="B36" s="64">
        <v>18.52</v>
      </c>
      <c r="C36" s="64">
        <v>35.130000000000003</v>
      </c>
      <c r="D36" s="64">
        <v>34.880000000000003</v>
      </c>
      <c r="E36" s="64">
        <v>6.46</v>
      </c>
      <c r="F36" s="64">
        <v>7.46</v>
      </c>
      <c r="G36" s="64">
        <v>63.46</v>
      </c>
      <c r="H36" s="64">
        <v>23.01</v>
      </c>
      <c r="I36" s="64">
        <v>0.68</v>
      </c>
      <c r="J36" s="64">
        <v>0.17</v>
      </c>
      <c r="K36" s="64">
        <v>121.39</v>
      </c>
      <c r="L36" s="64">
        <v>28.81</v>
      </c>
      <c r="M36" s="64">
        <v>52.52</v>
      </c>
      <c r="N36" s="64">
        <v>195.6</v>
      </c>
      <c r="O36" s="64">
        <v>0</v>
      </c>
      <c r="P36" s="64">
        <v>0.97</v>
      </c>
      <c r="Q36" s="64">
        <v>24.38</v>
      </c>
      <c r="R36" s="198"/>
      <c r="S36" s="198"/>
      <c r="T36" s="198"/>
      <c r="U36" s="198"/>
    </row>
    <row r="37" spans="1:21" s="12" customFormat="1" x14ac:dyDescent="0.25">
      <c r="A37" s="211" t="s">
        <v>1042</v>
      </c>
      <c r="B37" s="64">
        <v>13.88</v>
      </c>
      <c r="C37" s="64">
        <v>32.71</v>
      </c>
      <c r="D37" s="64">
        <v>29.83</v>
      </c>
      <c r="E37" s="64">
        <v>9.36</v>
      </c>
      <c r="F37" s="64">
        <v>14.09</v>
      </c>
      <c r="G37" s="64">
        <v>83.03</v>
      </c>
      <c r="H37" s="64">
        <v>30.11</v>
      </c>
      <c r="I37" s="64">
        <v>0.63</v>
      </c>
      <c r="J37" s="64">
        <v>0.39</v>
      </c>
      <c r="K37" s="64">
        <v>108.89</v>
      </c>
      <c r="L37" s="64">
        <v>27.61</v>
      </c>
      <c r="M37" s="64">
        <v>53.03</v>
      </c>
      <c r="N37" s="64">
        <v>253.3</v>
      </c>
      <c r="O37" s="64">
        <v>0</v>
      </c>
      <c r="P37" s="64">
        <v>0.77</v>
      </c>
      <c r="Q37" s="64">
        <v>25.78</v>
      </c>
      <c r="R37" s="198"/>
      <c r="S37" s="198"/>
      <c r="T37" s="198"/>
      <c r="U37" s="198"/>
    </row>
    <row r="38" spans="1:21" s="12" customFormat="1" x14ac:dyDescent="0.25">
      <c r="A38" s="211" t="s">
        <v>1043</v>
      </c>
      <c r="B38" s="64">
        <v>16.489999999999998</v>
      </c>
      <c r="C38" s="64">
        <v>40.94</v>
      </c>
      <c r="D38" s="64">
        <v>36.46</v>
      </c>
      <c r="E38" s="64">
        <v>8.91</v>
      </c>
      <c r="F38" s="64">
        <v>15.58</v>
      </c>
      <c r="G38" s="64">
        <v>87.26</v>
      </c>
      <c r="H38" s="64">
        <v>30.11</v>
      </c>
      <c r="I38" s="64">
        <v>0.61</v>
      </c>
      <c r="J38" s="64">
        <v>0.06</v>
      </c>
      <c r="K38" s="64">
        <v>48.85</v>
      </c>
      <c r="L38" s="64">
        <v>29.03</v>
      </c>
      <c r="M38" s="64">
        <v>49.79</v>
      </c>
      <c r="N38" s="64">
        <v>302.2</v>
      </c>
      <c r="O38" s="64">
        <v>0</v>
      </c>
      <c r="P38" s="64">
        <v>0.85</v>
      </c>
      <c r="Q38" s="64">
        <v>25.9</v>
      </c>
      <c r="R38" s="198"/>
      <c r="S38" s="198"/>
      <c r="T38" s="198"/>
      <c r="U38" s="198"/>
    </row>
    <row r="39" spans="1:21" s="12" customFormat="1" x14ac:dyDescent="0.25">
      <c r="A39" s="211" t="s">
        <v>1044</v>
      </c>
      <c r="B39" s="64">
        <v>11.81</v>
      </c>
      <c r="C39" s="64">
        <v>34.85</v>
      </c>
      <c r="D39" s="64">
        <v>29.35</v>
      </c>
      <c r="E39" s="64">
        <v>11.35</v>
      </c>
      <c r="F39" s="64">
        <v>20.32</v>
      </c>
      <c r="G39" s="64">
        <v>87.26</v>
      </c>
      <c r="H39" s="64">
        <v>30.11</v>
      </c>
      <c r="I39" s="64">
        <v>0.57999999999999996</v>
      </c>
      <c r="J39" s="64">
        <v>0.28000000000000003</v>
      </c>
      <c r="K39" s="64">
        <v>167.77</v>
      </c>
      <c r="L39" s="64">
        <v>29.43</v>
      </c>
      <c r="M39" s="64">
        <v>49.65</v>
      </c>
      <c r="N39" s="64">
        <v>347.8</v>
      </c>
      <c r="O39" s="64">
        <v>0</v>
      </c>
      <c r="P39" s="64">
        <v>0.81</v>
      </c>
      <c r="Q39" s="64">
        <v>26.39</v>
      </c>
      <c r="R39" s="198"/>
      <c r="S39" s="198"/>
      <c r="T39" s="198"/>
      <c r="U39" s="198"/>
    </row>
    <row r="40" spans="1:21" s="12" customFormat="1" x14ac:dyDescent="0.25">
      <c r="A40" s="211" t="s">
        <v>1045</v>
      </c>
      <c r="B40" s="64">
        <v>13.32</v>
      </c>
      <c r="C40" s="64">
        <v>34.21</v>
      </c>
      <c r="D40" s="64">
        <v>30.21</v>
      </c>
      <c r="E40" s="64">
        <v>7.05</v>
      </c>
      <c r="F40" s="64">
        <v>15.39</v>
      </c>
      <c r="G40" s="64">
        <v>87.26</v>
      </c>
      <c r="H40" s="64">
        <v>30.11</v>
      </c>
      <c r="I40" s="64">
        <v>0.56000000000000005</v>
      </c>
      <c r="J40" s="64">
        <v>0.12</v>
      </c>
      <c r="K40" s="64">
        <v>171.07</v>
      </c>
      <c r="L40" s="64">
        <v>30.05</v>
      </c>
      <c r="M40" s="64">
        <v>49.72</v>
      </c>
      <c r="N40" s="64">
        <v>395</v>
      </c>
      <c r="O40" s="64">
        <v>0</v>
      </c>
      <c r="P40" s="64">
        <v>0.85</v>
      </c>
      <c r="Q40" s="64">
        <v>25.84</v>
      </c>
      <c r="R40" s="198"/>
      <c r="S40" s="198"/>
      <c r="T40" s="198"/>
      <c r="U40" s="198"/>
    </row>
    <row r="41" spans="1:21" s="12" customFormat="1" x14ac:dyDescent="0.25">
      <c r="A41" s="211" t="s">
        <v>1046</v>
      </c>
      <c r="B41" s="64">
        <v>11.6</v>
      </c>
      <c r="C41" s="64">
        <v>30.07</v>
      </c>
      <c r="D41" s="64">
        <v>26.54</v>
      </c>
      <c r="E41" s="64">
        <v>8.1999999999999993</v>
      </c>
      <c r="F41" s="64">
        <v>11.17</v>
      </c>
      <c r="G41" s="64">
        <v>86.67</v>
      </c>
      <c r="H41" s="64">
        <v>37.380000000000003</v>
      </c>
      <c r="I41" s="64">
        <v>0.56000000000000005</v>
      </c>
      <c r="J41" s="64">
        <v>0.41</v>
      </c>
      <c r="K41" s="64">
        <v>105.36</v>
      </c>
      <c r="L41" s="64">
        <v>30.25</v>
      </c>
      <c r="M41" s="64">
        <v>49.5</v>
      </c>
      <c r="N41" s="64">
        <v>445</v>
      </c>
      <c r="O41" s="64">
        <v>0</v>
      </c>
      <c r="P41" s="64">
        <v>0.85</v>
      </c>
      <c r="Q41" s="64">
        <v>27.12</v>
      </c>
      <c r="R41" s="198"/>
      <c r="S41" s="198"/>
      <c r="T41" s="198"/>
      <c r="U41" s="198"/>
    </row>
    <row r="42" spans="1:21" s="12" customFormat="1" x14ac:dyDescent="0.25">
      <c r="A42" s="211" t="s">
        <v>1047</v>
      </c>
      <c r="B42" s="64">
        <v>10.98</v>
      </c>
      <c r="C42" s="64">
        <v>27.02</v>
      </c>
      <c r="D42" s="64">
        <v>24.36</v>
      </c>
      <c r="E42" s="64">
        <v>10.57</v>
      </c>
      <c r="F42" s="64">
        <v>12.34</v>
      </c>
      <c r="G42" s="64">
        <v>86.54</v>
      </c>
      <c r="H42" s="64">
        <v>37.380000000000003</v>
      </c>
      <c r="I42" s="64">
        <v>0.64</v>
      </c>
      <c r="J42" s="64">
        <v>0.15</v>
      </c>
      <c r="K42" s="64">
        <v>182.01</v>
      </c>
      <c r="L42" s="64">
        <v>30.99</v>
      </c>
      <c r="M42" s="64">
        <v>49.19</v>
      </c>
      <c r="N42" s="64">
        <v>503</v>
      </c>
      <c r="O42" s="64">
        <v>0</v>
      </c>
      <c r="P42" s="64">
        <v>0.85</v>
      </c>
      <c r="Q42" s="64">
        <v>26.93</v>
      </c>
      <c r="R42" s="198"/>
      <c r="S42" s="198"/>
      <c r="T42" s="198"/>
      <c r="U42" s="198"/>
    </row>
    <row r="43" spans="1:21" s="12" customFormat="1" x14ac:dyDescent="0.25">
      <c r="A43" s="211" t="s">
        <v>1048</v>
      </c>
      <c r="B43" s="64">
        <v>10.52</v>
      </c>
      <c r="C43" s="64">
        <v>26.54</v>
      </c>
      <c r="D43" s="64">
        <v>23.73</v>
      </c>
      <c r="E43" s="64">
        <v>8.4600000000000009</v>
      </c>
      <c r="F43" s="64">
        <v>8.23</v>
      </c>
      <c r="G43" s="64">
        <v>86.54</v>
      </c>
      <c r="H43" s="64">
        <v>37.380000000000003</v>
      </c>
      <c r="I43" s="64">
        <v>0.67</v>
      </c>
      <c r="J43" s="64">
        <v>0.18</v>
      </c>
      <c r="K43" s="64">
        <v>287.7</v>
      </c>
      <c r="L43" s="64">
        <v>31.74</v>
      </c>
      <c r="M43" s="64">
        <v>48.14</v>
      </c>
      <c r="N43" s="64">
        <v>540.9</v>
      </c>
      <c r="O43" s="64">
        <v>0</v>
      </c>
      <c r="P43" s="64">
        <v>0.88</v>
      </c>
      <c r="Q43" s="64">
        <v>25.99</v>
      </c>
      <c r="R43" s="198"/>
      <c r="S43" s="198"/>
      <c r="T43" s="198"/>
      <c r="U43" s="198"/>
    </row>
    <row r="44" spans="1:21" s="12" customFormat="1" x14ac:dyDescent="0.25">
      <c r="A44" s="211" t="s">
        <v>1049</v>
      </c>
      <c r="B44" s="64">
        <v>10.25</v>
      </c>
      <c r="C44" s="64">
        <v>30.68</v>
      </c>
      <c r="D44" s="64">
        <v>25.8</v>
      </c>
      <c r="E44" s="64">
        <v>9.36</v>
      </c>
      <c r="F44" s="64">
        <v>16.82</v>
      </c>
      <c r="G44" s="64">
        <v>86.54</v>
      </c>
      <c r="H44" s="64">
        <v>37.380000000000003</v>
      </c>
      <c r="I44" s="64">
        <v>0.68</v>
      </c>
      <c r="J44" s="64">
        <v>0.48</v>
      </c>
      <c r="K44" s="64">
        <v>299.08999999999997</v>
      </c>
      <c r="L44" s="64">
        <v>34.4</v>
      </c>
      <c r="M44" s="64">
        <v>41.09</v>
      </c>
      <c r="N44" s="64">
        <v>583.4</v>
      </c>
      <c r="O44" s="64">
        <v>0</v>
      </c>
      <c r="P44" s="64">
        <v>0.94</v>
      </c>
      <c r="Q44" s="64">
        <v>26.33</v>
      </c>
      <c r="R44" s="198"/>
      <c r="S44" s="198"/>
      <c r="T44" s="198"/>
      <c r="U44" s="198"/>
    </row>
    <row r="45" spans="1:21" s="12" customFormat="1" x14ac:dyDescent="0.25">
      <c r="A45" s="211" t="s">
        <v>1050</v>
      </c>
      <c r="B45" s="64">
        <v>8.68</v>
      </c>
      <c r="C45" s="64">
        <v>31.13</v>
      </c>
      <c r="D45" s="64">
        <v>24.79</v>
      </c>
      <c r="E45" s="64">
        <v>10.14</v>
      </c>
      <c r="F45" s="64">
        <v>12.52</v>
      </c>
      <c r="G45" s="64">
        <v>92.64</v>
      </c>
      <c r="H45" s="64">
        <v>39.090000000000003</v>
      </c>
      <c r="I45" s="64">
        <v>0.71</v>
      </c>
      <c r="J45" s="64">
        <v>0.35</v>
      </c>
      <c r="K45" s="64">
        <v>284.04000000000002</v>
      </c>
      <c r="L45" s="64">
        <v>35.020000000000003</v>
      </c>
      <c r="M45" s="64">
        <v>40.72</v>
      </c>
      <c r="N45" s="64">
        <v>616.29999999999995</v>
      </c>
      <c r="O45" s="64">
        <v>0</v>
      </c>
      <c r="P45" s="64">
        <v>0.98</v>
      </c>
      <c r="Q45" s="64">
        <v>25.34</v>
      </c>
      <c r="R45" s="198"/>
      <c r="S45" s="198"/>
      <c r="T45" s="198"/>
      <c r="U45" s="198"/>
    </row>
    <row r="46" spans="1:21" s="12" customFormat="1" x14ac:dyDescent="0.25">
      <c r="A46" s="211" t="s">
        <v>1051</v>
      </c>
      <c r="B46" s="64">
        <v>6.34</v>
      </c>
      <c r="C46" s="64">
        <v>31.08</v>
      </c>
      <c r="D46" s="64">
        <v>22.88</v>
      </c>
      <c r="E46" s="64">
        <v>8.0399999999999991</v>
      </c>
      <c r="F46" s="64">
        <v>8.66</v>
      </c>
      <c r="G46" s="64">
        <v>93.96</v>
      </c>
      <c r="H46" s="64">
        <v>39.090000000000003</v>
      </c>
      <c r="I46" s="64">
        <v>0.69</v>
      </c>
      <c r="J46" s="64">
        <v>0.3</v>
      </c>
      <c r="K46" s="64">
        <v>284.61</v>
      </c>
      <c r="L46" s="64">
        <v>35.049999999999997</v>
      </c>
      <c r="M46" s="64">
        <v>39.79</v>
      </c>
      <c r="N46" s="64">
        <v>641.6</v>
      </c>
      <c r="O46" s="64">
        <v>0</v>
      </c>
      <c r="P46" s="64">
        <v>1</v>
      </c>
      <c r="Q46" s="64">
        <v>25.5</v>
      </c>
      <c r="R46" s="198"/>
      <c r="S46" s="198"/>
      <c r="T46" s="198"/>
      <c r="U46" s="198"/>
    </row>
    <row r="47" spans="1:21" s="12" customFormat="1" x14ac:dyDescent="0.25">
      <c r="A47" s="211" t="s">
        <v>1052</v>
      </c>
      <c r="B47" s="64">
        <v>5.79</v>
      </c>
      <c r="C47" s="64">
        <v>35.46</v>
      </c>
      <c r="D47" s="64">
        <v>24.86</v>
      </c>
      <c r="E47" s="64">
        <v>11.06</v>
      </c>
      <c r="F47" s="64">
        <v>9.25</v>
      </c>
      <c r="G47" s="64">
        <v>93.96</v>
      </c>
      <c r="H47" s="64">
        <v>39.090000000000003</v>
      </c>
      <c r="I47" s="64">
        <v>0.71</v>
      </c>
      <c r="J47" s="64">
        <v>0.39</v>
      </c>
      <c r="K47" s="64">
        <v>271.64</v>
      </c>
      <c r="L47" s="64">
        <v>35.909999999999997</v>
      </c>
      <c r="M47" s="64">
        <v>36.67</v>
      </c>
      <c r="N47" s="64">
        <v>659</v>
      </c>
      <c r="O47" s="64">
        <v>0</v>
      </c>
      <c r="P47" s="64">
        <v>1.07</v>
      </c>
      <c r="Q47" s="64">
        <v>25.9</v>
      </c>
      <c r="R47" s="198"/>
      <c r="S47" s="198"/>
      <c r="T47" s="198"/>
      <c r="U47" s="198"/>
    </row>
    <row r="48" spans="1:21" s="12" customFormat="1" x14ac:dyDescent="0.25">
      <c r="A48" s="211" t="s">
        <v>1053</v>
      </c>
      <c r="B48" s="64">
        <v>6.98</v>
      </c>
      <c r="C48" s="64">
        <v>44.53</v>
      </c>
      <c r="D48" s="64">
        <v>30.82</v>
      </c>
      <c r="E48" s="64">
        <v>16.98</v>
      </c>
      <c r="F48" s="64">
        <v>15.11</v>
      </c>
      <c r="G48" s="64">
        <v>93.96</v>
      </c>
      <c r="H48" s="64">
        <v>39.090000000000003</v>
      </c>
      <c r="I48" s="64">
        <v>0.73</v>
      </c>
      <c r="J48" s="64">
        <v>0.32</v>
      </c>
      <c r="K48" s="64">
        <v>273.31</v>
      </c>
      <c r="L48" s="64">
        <v>36.94</v>
      </c>
      <c r="M48" s="64">
        <v>35.54</v>
      </c>
      <c r="N48" s="64">
        <v>684.4</v>
      </c>
      <c r="O48" s="64">
        <v>0</v>
      </c>
      <c r="P48" s="64">
        <v>1.22</v>
      </c>
      <c r="Q48" s="64">
        <v>25.65</v>
      </c>
      <c r="R48" s="198"/>
      <c r="S48" s="198"/>
      <c r="T48" s="198"/>
      <c r="U48" s="198"/>
    </row>
    <row r="49" spans="1:21" s="12" customFormat="1" x14ac:dyDescent="0.25">
      <c r="A49" s="211" t="s">
        <v>1054</v>
      </c>
      <c r="B49" s="64">
        <v>7.84</v>
      </c>
      <c r="C49" s="64">
        <v>49.25</v>
      </c>
      <c r="D49" s="64">
        <v>34.11</v>
      </c>
      <c r="E49" s="64">
        <v>36.53</v>
      </c>
      <c r="F49" s="64">
        <v>22.94</v>
      </c>
      <c r="G49" s="64">
        <v>118.82</v>
      </c>
      <c r="H49" s="64">
        <v>55.64</v>
      </c>
      <c r="I49" s="64">
        <v>0.72</v>
      </c>
      <c r="J49" s="64">
        <v>0.3</v>
      </c>
      <c r="K49" s="64">
        <v>267.77999999999997</v>
      </c>
      <c r="L49" s="64">
        <v>36.659999999999997</v>
      </c>
      <c r="M49" s="64">
        <v>34.9</v>
      </c>
      <c r="N49" s="64">
        <v>730.8</v>
      </c>
      <c r="O49" s="64">
        <v>0</v>
      </c>
      <c r="P49" s="64">
        <v>1.23</v>
      </c>
      <c r="Q49" s="64">
        <v>24.78</v>
      </c>
      <c r="R49" s="198"/>
      <c r="S49" s="198"/>
      <c r="T49" s="198"/>
      <c r="U49" s="198"/>
    </row>
    <row r="50" spans="1:21" s="12" customFormat="1" x14ac:dyDescent="0.25">
      <c r="A50" s="211" t="s">
        <v>1055</v>
      </c>
      <c r="B50" s="64">
        <v>7.88</v>
      </c>
      <c r="C50" s="64">
        <v>47.4</v>
      </c>
      <c r="D50" s="64">
        <v>33.119999999999997</v>
      </c>
      <c r="E50" s="64">
        <v>37.56</v>
      </c>
      <c r="F50" s="64">
        <v>24.17</v>
      </c>
      <c r="G50" s="64">
        <v>124.2</v>
      </c>
      <c r="H50" s="64">
        <v>55.64</v>
      </c>
      <c r="I50" s="64">
        <v>0.66</v>
      </c>
      <c r="J50" s="64">
        <v>0.36</v>
      </c>
      <c r="K50" s="64">
        <v>268.88</v>
      </c>
      <c r="L50" s="64">
        <v>37.25</v>
      </c>
      <c r="M50" s="64">
        <v>33.729999999999997</v>
      </c>
      <c r="N50" s="64">
        <v>770.3</v>
      </c>
      <c r="O50" s="64">
        <v>0</v>
      </c>
      <c r="P50" s="64">
        <v>1.31</v>
      </c>
      <c r="Q50" s="64">
        <v>23.84</v>
      </c>
      <c r="R50" s="198"/>
      <c r="S50" s="198"/>
      <c r="T50" s="198"/>
      <c r="U50" s="198"/>
    </row>
    <row r="51" spans="1:21" s="12" customFormat="1" x14ac:dyDescent="0.25">
      <c r="A51" s="211" t="s">
        <v>1056</v>
      </c>
      <c r="B51" s="64">
        <v>5.47</v>
      </c>
      <c r="C51" s="64">
        <v>57.81</v>
      </c>
      <c r="D51" s="64">
        <v>36.93</v>
      </c>
      <c r="E51" s="64">
        <v>41.04</v>
      </c>
      <c r="F51" s="64">
        <v>34.909999999999997</v>
      </c>
      <c r="G51" s="64">
        <v>124.2</v>
      </c>
      <c r="H51" s="64">
        <v>55.64</v>
      </c>
      <c r="I51" s="64">
        <v>0.65</v>
      </c>
      <c r="J51" s="64">
        <v>0.37</v>
      </c>
      <c r="K51" s="64">
        <v>277.61</v>
      </c>
      <c r="L51" s="64">
        <v>36.659999999999997</v>
      </c>
      <c r="M51" s="64">
        <v>34.65</v>
      </c>
      <c r="N51" s="64">
        <v>811.7</v>
      </c>
      <c r="O51" s="64">
        <v>0</v>
      </c>
      <c r="P51" s="64">
        <v>1.26</v>
      </c>
      <c r="Q51" s="64">
        <v>22.98</v>
      </c>
      <c r="R51" s="198"/>
      <c r="S51" s="198"/>
      <c r="T51" s="198"/>
      <c r="U51" s="198"/>
    </row>
    <row r="52" spans="1:21" s="12" customFormat="1" x14ac:dyDescent="0.25">
      <c r="A52" s="211" t="s">
        <v>1057</v>
      </c>
      <c r="B52" s="64">
        <v>3.56</v>
      </c>
      <c r="C52" s="64">
        <v>56.65</v>
      </c>
      <c r="D52" s="64">
        <v>34.770000000000003</v>
      </c>
      <c r="E52" s="64">
        <v>27.76</v>
      </c>
      <c r="F52" s="64">
        <v>20.7</v>
      </c>
      <c r="G52" s="64">
        <v>124.2</v>
      </c>
      <c r="H52" s="64">
        <v>55.64</v>
      </c>
      <c r="I52" s="64">
        <v>0.66</v>
      </c>
      <c r="J52" s="64">
        <v>0.3</v>
      </c>
      <c r="K52" s="64">
        <v>197.42</v>
      </c>
      <c r="L52" s="64">
        <v>36.86</v>
      </c>
      <c r="M52" s="64">
        <v>33.44</v>
      </c>
      <c r="N52" s="64">
        <v>833.9</v>
      </c>
      <c r="O52" s="64">
        <v>0</v>
      </c>
      <c r="P52" s="64">
        <v>1.38</v>
      </c>
      <c r="Q52" s="64">
        <v>22.86</v>
      </c>
      <c r="R52" s="198"/>
      <c r="S52" s="198"/>
      <c r="T52" s="198"/>
      <c r="U52" s="198"/>
    </row>
    <row r="53" spans="1:21" s="12" customFormat="1" x14ac:dyDescent="0.25">
      <c r="A53" s="211" t="s">
        <v>1058</v>
      </c>
      <c r="B53" s="64">
        <v>1.61</v>
      </c>
      <c r="C53" s="64">
        <v>50.34</v>
      </c>
      <c r="D53" s="64">
        <v>29.72</v>
      </c>
      <c r="E53" s="64">
        <v>22.39</v>
      </c>
      <c r="F53" s="64">
        <v>20.76</v>
      </c>
      <c r="G53" s="64">
        <v>116.17</v>
      </c>
      <c r="H53" s="64">
        <v>54.8</v>
      </c>
      <c r="I53" s="64">
        <v>0.59</v>
      </c>
      <c r="J53" s="64">
        <v>0.18</v>
      </c>
      <c r="K53" s="64">
        <v>215.8</v>
      </c>
      <c r="L53" s="64">
        <v>34.92</v>
      </c>
      <c r="M53" s="64">
        <v>35.5</v>
      </c>
      <c r="N53" s="64">
        <v>831.3</v>
      </c>
      <c r="O53" s="64">
        <v>0</v>
      </c>
      <c r="P53" s="64">
        <v>1.32</v>
      </c>
      <c r="Q53" s="64">
        <v>23.95</v>
      </c>
      <c r="R53" s="198"/>
      <c r="S53" s="198"/>
      <c r="T53" s="198"/>
      <c r="U53" s="198"/>
    </row>
    <row r="54" spans="1:21" s="12" customFormat="1" x14ac:dyDescent="0.25">
      <c r="A54" s="211" t="s">
        <v>1059</v>
      </c>
      <c r="B54" s="64">
        <v>1.04</v>
      </c>
      <c r="C54" s="64">
        <v>43.47</v>
      </c>
      <c r="D54" s="64">
        <v>25.47</v>
      </c>
      <c r="E54" s="64">
        <v>14.79</v>
      </c>
      <c r="F54" s="64">
        <v>11.38</v>
      </c>
      <c r="G54" s="64">
        <v>114.44</v>
      </c>
      <c r="H54" s="64">
        <v>54.8</v>
      </c>
      <c r="I54" s="64">
        <v>0.63</v>
      </c>
      <c r="J54" s="64">
        <v>0.22</v>
      </c>
      <c r="K54" s="64">
        <v>262.23</v>
      </c>
      <c r="L54" s="64">
        <v>35.82</v>
      </c>
      <c r="M54" s="64">
        <v>33.6</v>
      </c>
      <c r="N54" s="64">
        <v>873.8</v>
      </c>
      <c r="O54" s="64">
        <v>0</v>
      </c>
      <c r="P54" s="64">
        <v>1.33</v>
      </c>
      <c r="Q54" s="64">
        <v>23.49</v>
      </c>
      <c r="R54" s="198"/>
      <c r="S54" s="198"/>
      <c r="T54" s="198"/>
      <c r="U54" s="198"/>
    </row>
    <row r="55" spans="1:21" s="12" customFormat="1" x14ac:dyDescent="0.25">
      <c r="A55" s="211" t="s">
        <v>1060</v>
      </c>
      <c r="B55" s="64">
        <v>1</v>
      </c>
      <c r="C55" s="64">
        <v>35.950000000000003</v>
      </c>
      <c r="D55" s="64">
        <v>21.29</v>
      </c>
      <c r="E55" s="64">
        <v>10.49</v>
      </c>
      <c r="F55" s="64">
        <v>12.07</v>
      </c>
      <c r="G55" s="64">
        <v>114.44</v>
      </c>
      <c r="H55" s="64">
        <v>54.8</v>
      </c>
      <c r="I55" s="64">
        <v>0.6</v>
      </c>
      <c r="J55" s="64">
        <v>0.73</v>
      </c>
      <c r="K55" s="64">
        <v>178.83</v>
      </c>
      <c r="L55" s="64">
        <v>35.28</v>
      </c>
      <c r="M55" s="64">
        <v>31.48</v>
      </c>
      <c r="N55" s="64">
        <v>896.4</v>
      </c>
      <c r="O55" s="64">
        <v>0</v>
      </c>
      <c r="P55" s="64">
        <v>1.26</v>
      </c>
      <c r="Q55" s="64">
        <v>22.66</v>
      </c>
      <c r="R55" s="198"/>
      <c r="S55" s="198"/>
      <c r="T55" s="198"/>
      <c r="U55" s="198"/>
    </row>
    <row r="56" spans="1:21" s="12" customFormat="1" x14ac:dyDescent="0.25">
      <c r="A56" s="211" t="s">
        <v>1061</v>
      </c>
      <c r="B56" s="64">
        <v>1.76</v>
      </c>
      <c r="C56" s="64">
        <v>32.159999999999997</v>
      </c>
      <c r="D56" s="64">
        <v>19.8</v>
      </c>
      <c r="E56" s="64">
        <v>10.18</v>
      </c>
      <c r="F56" s="64">
        <v>17.309999999999999</v>
      </c>
      <c r="G56" s="64">
        <v>114.44</v>
      </c>
      <c r="H56" s="64">
        <v>54.8</v>
      </c>
      <c r="I56" s="64">
        <v>0.61</v>
      </c>
      <c r="J56" s="64">
        <v>0.25</v>
      </c>
      <c r="K56" s="64">
        <v>248.34</v>
      </c>
      <c r="L56" s="64">
        <v>35.81</v>
      </c>
      <c r="M56" s="64">
        <v>32.700000000000003</v>
      </c>
      <c r="N56" s="64">
        <v>866.1</v>
      </c>
      <c r="O56" s="64">
        <v>0</v>
      </c>
      <c r="P56" s="64">
        <v>1.19</v>
      </c>
      <c r="Q56" s="64">
        <v>22.11</v>
      </c>
      <c r="R56" s="198"/>
      <c r="S56" s="198"/>
      <c r="T56" s="198"/>
      <c r="U56" s="198"/>
    </row>
    <row r="57" spans="1:21" s="12" customFormat="1" x14ac:dyDescent="0.25">
      <c r="A57" s="211" t="s">
        <v>1062</v>
      </c>
      <c r="B57" s="64">
        <v>2.16</v>
      </c>
      <c r="C57" s="64">
        <v>39.24</v>
      </c>
      <c r="D57" s="64">
        <v>24.04</v>
      </c>
      <c r="E57" s="64">
        <v>10.48</v>
      </c>
      <c r="F57" s="64">
        <v>12.9</v>
      </c>
      <c r="G57" s="64">
        <v>97.14</v>
      </c>
      <c r="H57" s="64">
        <v>49.24</v>
      </c>
      <c r="I57" s="64">
        <v>0.6</v>
      </c>
      <c r="J57" s="64">
        <v>0.42</v>
      </c>
      <c r="K57" s="64">
        <v>272.95999999999998</v>
      </c>
      <c r="L57" s="64">
        <v>37.93</v>
      </c>
      <c r="M57" s="64">
        <v>29.43</v>
      </c>
      <c r="N57" s="64">
        <v>893.2</v>
      </c>
      <c r="O57" s="64">
        <v>0</v>
      </c>
      <c r="P57" s="64">
        <v>1.1399999999999999</v>
      </c>
      <c r="Q57" s="64">
        <v>21.9</v>
      </c>
      <c r="R57" s="198"/>
      <c r="S57" s="198"/>
      <c r="T57" s="198"/>
      <c r="U57" s="198"/>
    </row>
    <row r="58" spans="1:21" s="12" customFormat="1" x14ac:dyDescent="0.25">
      <c r="A58" s="211" t="s">
        <v>1063</v>
      </c>
      <c r="B58" s="64">
        <v>1.48</v>
      </c>
      <c r="C58" s="64">
        <v>40.54</v>
      </c>
      <c r="D58" s="64">
        <v>24.2</v>
      </c>
      <c r="E58" s="64">
        <v>11.82</v>
      </c>
      <c r="F58" s="64">
        <v>37.36</v>
      </c>
      <c r="G58" s="64">
        <v>93.4</v>
      </c>
      <c r="H58" s="64">
        <v>49.24</v>
      </c>
      <c r="I58" s="64">
        <v>0.61</v>
      </c>
      <c r="J58" s="64">
        <v>0.51</v>
      </c>
      <c r="K58" s="64">
        <v>281.26</v>
      </c>
      <c r="L58" s="64">
        <v>38.93</v>
      </c>
      <c r="M58" s="64">
        <v>28.35</v>
      </c>
      <c r="N58" s="64">
        <v>859.6</v>
      </c>
      <c r="O58" s="64">
        <v>0</v>
      </c>
      <c r="P58" s="64">
        <v>1.01</v>
      </c>
      <c r="Q58" s="64">
        <v>22.98</v>
      </c>
      <c r="R58" s="198"/>
      <c r="S58" s="198"/>
      <c r="T58" s="198"/>
      <c r="U58" s="198"/>
    </row>
    <row r="59" spans="1:21" s="12" customFormat="1" x14ac:dyDescent="0.25">
      <c r="A59" s="211" t="s">
        <v>1064</v>
      </c>
      <c r="B59" s="64">
        <v>1.04</v>
      </c>
      <c r="C59" s="64">
        <v>36.39</v>
      </c>
      <c r="D59" s="64">
        <v>21.56</v>
      </c>
      <c r="E59" s="64">
        <v>10.62</v>
      </c>
      <c r="F59" s="64">
        <v>28.68</v>
      </c>
      <c r="G59" s="64">
        <v>93.4</v>
      </c>
      <c r="H59" s="64">
        <v>49.24</v>
      </c>
      <c r="I59" s="64">
        <v>0.62</v>
      </c>
      <c r="J59" s="64">
        <v>0.3</v>
      </c>
      <c r="K59" s="64">
        <v>289.76</v>
      </c>
      <c r="L59" s="64">
        <v>38.28</v>
      </c>
      <c r="M59" s="64">
        <v>28.55</v>
      </c>
      <c r="N59" s="64">
        <v>854.2</v>
      </c>
      <c r="O59" s="64">
        <v>0</v>
      </c>
      <c r="P59" s="64">
        <v>0.99</v>
      </c>
      <c r="Q59" s="64">
        <v>22.68</v>
      </c>
      <c r="R59" s="198"/>
      <c r="S59" s="198"/>
      <c r="T59" s="198"/>
      <c r="U59" s="198"/>
    </row>
    <row r="60" spans="1:21" s="12" customFormat="1" x14ac:dyDescent="0.25">
      <c r="A60" s="211" t="s">
        <v>1065</v>
      </c>
      <c r="B60" s="64">
        <v>1.32</v>
      </c>
      <c r="C60" s="64">
        <v>31.07</v>
      </c>
      <c r="D60" s="64">
        <v>18.86</v>
      </c>
      <c r="E60" s="64">
        <v>10.87</v>
      </c>
      <c r="F60" s="64">
        <v>31.77</v>
      </c>
      <c r="G60" s="64">
        <v>93.4</v>
      </c>
      <c r="H60" s="64">
        <v>49.24</v>
      </c>
      <c r="I60" s="64">
        <v>0.57999999999999996</v>
      </c>
      <c r="J60" s="64">
        <v>0.6</v>
      </c>
      <c r="K60" s="64">
        <v>270.57</v>
      </c>
      <c r="L60" s="64">
        <v>37.630000000000003</v>
      </c>
      <c r="M60" s="64">
        <v>28.71</v>
      </c>
      <c r="N60" s="64">
        <v>826.4</v>
      </c>
      <c r="O60" s="64">
        <v>0</v>
      </c>
      <c r="P60" s="64">
        <v>0.92</v>
      </c>
      <c r="Q60" s="64">
        <v>22.54</v>
      </c>
      <c r="R60" s="198"/>
      <c r="S60" s="198"/>
      <c r="T60" s="198"/>
      <c r="U60" s="198"/>
    </row>
    <row r="61" spans="1:21" s="12" customFormat="1" x14ac:dyDescent="0.25">
      <c r="A61" s="211" t="s">
        <v>1066</v>
      </c>
      <c r="B61" s="64">
        <v>1.27</v>
      </c>
      <c r="C61" s="64">
        <v>25.66</v>
      </c>
      <c r="D61" s="64">
        <v>15.82</v>
      </c>
      <c r="E61" s="64">
        <v>12.11</v>
      </c>
      <c r="F61" s="64">
        <v>59.26</v>
      </c>
      <c r="G61" s="64">
        <v>78.84</v>
      </c>
      <c r="H61" s="64">
        <v>41.74</v>
      </c>
      <c r="I61" s="64">
        <v>0.56999999999999995</v>
      </c>
      <c r="J61" s="64">
        <v>0.27</v>
      </c>
      <c r="K61" s="64">
        <v>212.08</v>
      </c>
      <c r="L61" s="64">
        <v>37.380000000000003</v>
      </c>
      <c r="M61" s="64">
        <v>27.92</v>
      </c>
      <c r="N61" s="64">
        <v>660.2</v>
      </c>
      <c r="O61" s="64">
        <v>0</v>
      </c>
      <c r="P61" s="64">
        <v>0.73</v>
      </c>
      <c r="Q61" s="64">
        <v>20.3</v>
      </c>
      <c r="R61" s="198"/>
      <c r="S61" s="198"/>
      <c r="T61" s="198"/>
      <c r="U61" s="198"/>
    </row>
    <row r="62" spans="1:21" s="12" customFormat="1" x14ac:dyDescent="0.25">
      <c r="A62" s="211" t="s">
        <v>1067</v>
      </c>
      <c r="B62" s="64">
        <v>1.3</v>
      </c>
      <c r="C62" s="64">
        <v>22.92</v>
      </c>
      <c r="D62" s="64">
        <v>14.34</v>
      </c>
      <c r="E62" s="64">
        <v>14.75</v>
      </c>
      <c r="F62" s="64">
        <v>38.869999999999997</v>
      </c>
      <c r="G62" s="64">
        <v>75.69</v>
      </c>
      <c r="H62" s="64">
        <v>39.380000000000003</v>
      </c>
      <c r="I62" s="64">
        <v>0.54</v>
      </c>
      <c r="J62" s="64">
        <v>0.32</v>
      </c>
      <c r="K62" s="64">
        <v>217.32</v>
      </c>
      <c r="L62" s="64">
        <v>36.33</v>
      </c>
      <c r="M62" s="64">
        <v>29.81</v>
      </c>
      <c r="N62" s="64">
        <v>767.3</v>
      </c>
      <c r="O62" s="64">
        <v>0</v>
      </c>
      <c r="P62" s="64">
        <v>0.8</v>
      </c>
      <c r="Q62" s="64">
        <v>18.13</v>
      </c>
      <c r="R62" s="198"/>
      <c r="S62" s="198"/>
      <c r="T62" s="198"/>
      <c r="U62" s="198"/>
    </row>
    <row r="63" spans="1:21" s="12" customFormat="1" x14ac:dyDescent="0.25">
      <c r="A63" s="211" t="s">
        <v>1068</v>
      </c>
      <c r="B63" s="64">
        <v>2.48</v>
      </c>
      <c r="C63" s="64">
        <v>27.3</v>
      </c>
      <c r="D63" s="64">
        <v>17.7</v>
      </c>
      <c r="E63" s="64">
        <v>7.22</v>
      </c>
      <c r="F63" s="64">
        <v>28.73</v>
      </c>
      <c r="G63" s="64">
        <v>75.69</v>
      </c>
      <c r="H63" s="64">
        <v>39.380000000000003</v>
      </c>
      <c r="I63" s="64">
        <v>0.56999999999999995</v>
      </c>
      <c r="J63" s="64">
        <v>0.24</v>
      </c>
      <c r="K63" s="64">
        <v>295.32</v>
      </c>
      <c r="L63" s="64">
        <v>38.159999999999997</v>
      </c>
      <c r="M63" s="64">
        <v>27.54</v>
      </c>
      <c r="N63" s="64">
        <v>755.2</v>
      </c>
      <c r="O63" s="64">
        <v>0</v>
      </c>
      <c r="P63" s="64">
        <v>0.88</v>
      </c>
      <c r="Q63" s="64">
        <v>17.350000000000001</v>
      </c>
      <c r="R63" s="198"/>
      <c r="S63" s="198"/>
      <c r="T63" s="198"/>
      <c r="U63" s="198"/>
    </row>
    <row r="64" spans="1:21" s="12" customFormat="1" x14ac:dyDescent="0.25">
      <c r="A64" s="211" t="s">
        <v>1069</v>
      </c>
      <c r="B64" s="64">
        <v>1.92</v>
      </c>
      <c r="C64" s="64">
        <v>23.11</v>
      </c>
      <c r="D64" s="64">
        <v>14.94</v>
      </c>
      <c r="E64" s="64">
        <v>9.67</v>
      </c>
      <c r="F64" s="64">
        <v>37.67</v>
      </c>
      <c r="G64" s="64">
        <v>75.69</v>
      </c>
      <c r="H64" s="64">
        <v>39.380000000000003</v>
      </c>
      <c r="I64" s="64">
        <v>0.59</v>
      </c>
      <c r="J64" s="64">
        <v>0.34</v>
      </c>
      <c r="K64" s="64">
        <v>305.45999999999998</v>
      </c>
      <c r="L64" s="64">
        <v>37.76</v>
      </c>
      <c r="M64" s="64">
        <v>27.48</v>
      </c>
      <c r="N64" s="64">
        <v>635.29999999999995</v>
      </c>
      <c r="O64" s="64">
        <v>0</v>
      </c>
      <c r="P64" s="64">
        <v>0.79</v>
      </c>
      <c r="Q64" s="64">
        <v>18.63</v>
      </c>
      <c r="R64" s="198"/>
      <c r="S64" s="198"/>
      <c r="T64" s="198"/>
      <c r="U64" s="198"/>
    </row>
    <row r="65" spans="1:21" s="12" customFormat="1" x14ac:dyDescent="0.25">
      <c r="A65" s="211" t="s">
        <v>1070</v>
      </c>
      <c r="B65" s="64">
        <v>1.61</v>
      </c>
      <c r="C65" s="64">
        <v>26.49</v>
      </c>
      <c r="D65" s="64">
        <v>16.559999999999999</v>
      </c>
      <c r="E65" s="64">
        <v>10.58</v>
      </c>
      <c r="F65" s="64">
        <v>40.31</v>
      </c>
      <c r="G65" s="64">
        <v>73.569999999999993</v>
      </c>
      <c r="H65" s="64">
        <v>36.159999999999997</v>
      </c>
      <c r="I65" s="64">
        <v>0.62</v>
      </c>
      <c r="J65" s="64">
        <v>0.28999999999999998</v>
      </c>
      <c r="K65" s="64">
        <v>132.04</v>
      </c>
      <c r="L65" s="64">
        <v>37.049999999999997</v>
      </c>
      <c r="M65" s="64">
        <v>28.34</v>
      </c>
      <c r="N65" s="64">
        <v>491.1</v>
      </c>
      <c r="O65" s="64">
        <v>0</v>
      </c>
      <c r="P65" s="64">
        <v>0.74</v>
      </c>
      <c r="Q65" s="64">
        <v>20.92</v>
      </c>
      <c r="R65" s="198"/>
      <c r="S65" s="198"/>
      <c r="T65" s="198"/>
      <c r="U65" s="198"/>
    </row>
    <row r="66" spans="1:21" s="12" customFormat="1" x14ac:dyDescent="0.25">
      <c r="A66" s="211" t="s">
        <v>1071</v>
      </c>
      <c r="B66" s="64">
        <v>1.1000000000000001</v>
      </c>
      <c r="C66" s="64">
        <v>23.25</v>
      </c>
      <c r="D66" s="64">
        <v>14.36</v>
      </c>
      <c r="E66" s="64">
        <v>8.7799999999999994</v>
      </c>
      <c r="F66" s="64">
        <v>19.23</v>
      </c>
      <c r="G66" s="64">
        <v>73.11</v>
      </c>
      <c r="H66" s="64">
        <v>36.159999999999997</v>
      </c>
      <c r="I66" s="64">
        <v>0.6</v>
      </c>
      <c r="J66" s="64">
        <v>1</v>
      </c>
      <c r="K66" s="64">
        <v>120.34</v>
      </c>
      <c r="L66" s="64">
        <v>35.01</v>
      </c>
      <c r="M66" s="64">
        <v>30.62</v>
      </c>
      <c r="N66" s="64">
        <v>360.3</v>
      </c>
      <c r="O66" s="64">
        <v>0</v>
      </c>
      <c r="P66" s="64">
        <v>0.76</v>
      </c>
      <c r="Q66" s="64">
        <v>22.18</v>
      </c>
      <c r="R66" s="198"/>
      <c r="S66" s="198"/>
      <c r="T66" s="198"/>
      <c r="U66" s="198"/>
    </row>
    <row r="67" spans="1:21" s="12" customFormat="1" x14ac:dyDescent="0.25">
      <c r="A67" s="211" t="s">
        <v>1072</v>
      </c>
      <c r="B67" s="64">
        <v>1.1000000000000001</v>
      </c>
      <c r="C67" s="64">
        <v>20.420000000000002</v>
      </c>
      <c r="D67" s="64">
        <v>12.8</v>
      </c>
      <c r="E67" s="64">
        <v>8.7200000000000006</v>
      </c>
      <c r="F67" s="64">
        <v>41.22</v>
      </c>
      <c r="G67" s="64">
        <v>73.11</v>
      </c>
      <c r="H67" s="64">
        <v>36.159999999999997</v>
      </c>
      <c r="I67" s="64">
        <v>0.6</v>
      </c>
      <c r="J67" s="64">
        <v>1.3</v>
      </c>
      <c r="K67" s="64">
        <v>107.06</v>
      </c>
      <c r="L67" s="64">
        <v>34.81</v>
      </c>
      <c r="M67" s="64">
        <v>31.6</v>
      </c>
      <c r="N67" s="64">
        <v>465.3</v>
      </c>
      <c r="O67" s="64">
        <v>0</v>
      </c>
      <c r="P67" s="64">
        <v>0.66</v>
      </c>
      <c r="Q67" s="64">
        <v>23.19</v>
      </c>
      <c r="R67" s="198"/>
      <c r="S67" s="198"/>
      <c r="T67" s="198"/>
      <c r="U67" s="198"/>
    </row>
    <row r="68" spans="1:21" s="12" customFormat="1" x14ac:dyDescent="0.25">
      <c r="A68" s="211" t="s">
        <v>1073</v>
      </c>
      <c r="B68" s="64">
        <v>1.38</v>
      </c>
      <c r="C68" s="64">
        <v>20.25</v>
      </c>
      <c r="D68" s="64">
        <v>12.93</v>
      </c>
      <c r="E68" s="64">
        <v>8.76</v>
      </c>
      <c r="F68" s="64">
        <v>34.99</v>
      </c>
      <c r="G68" s="64">
        <v>73.11</v>
      </c>
      <c r="H68" s="64">
        <v>36.159999999999997</v>
      </c>
      <c r="I68" s="64">
        <v>0.65</v>
      </c>
      <c r="J68" s="64">
        <v>1.32</v>
      </c>
      <c r="K68" s="64">
        <v>102.88</v>
      </c>
      <c r="L68" s="64">
        <v>34.630000000000003</v>
      </c>
      <c r="M68" s="64">
        <v>31.2</v>
      </c>
      <c r="N68" s="64">
        <v>433</v>
      </c>
      <c r="O68" s="64">
        <v>0</v>
      </c>
      <c r="P68" s="64">
        <v>0.61</v>
      </c>
      <c r="Q68" s="64">
        <v>23.46</v>
      </c>
      <c r="R68" s="198"/>
      <c r="S68" s="198"/>
      <c r="T68" s="198"/>
      <c r="U68" s="198"/>
    </row>
    <row r="69" spans="1:21" s="12" customFormat="1" x14ac:dyDescent="0.25">
      <c r="A69" s="211" t="s">
        <v>1074</v>
      </c>
      <c r="B69" s="64">
        <v>1.0900000000000001</v>
      </c>
      <c r="C69" s="64">
        <v>21.4</v>
      </c>
      <c r="D69" s="64">
        <v>13.33</v>
      </c>
      <c r="E69" s="64">
        <v>8.98</v>
      </c>
      <c r="F69" s="64">
        <v>33.99</v>
      </c>
      <c r="G69" s="64">
        <v>67.11</v>
      </c>
      <c r="H69" s="64">
        <v>29.54</v>
      </c>
      <c r="I69" s="64">
        <v>0.6</v>
      </c>
      <c r="J69" s="64">
        <v>0.45</v>
      </c>
      <c r="K69" s="64">
        <v>144.93</v>
      </c>
      <c r="L69" s="64">
        <v>34.880000000000003</v>
      </c>
      <c r="M69" s="64">
        <v>29.22</v>
      </c>
      <c r="N69" s="64">
        <v>196.2</v>
      </c>
      <c r="O69" s="64">
        <v>0</v>
      </c>
      <c r="P69" s="64">
        <v>0.56000000000000005</v>
      </c>
      <c r="Q69" s="64">
        <v>24.45</v>
      </c>
      <c r="R69" s="198"/>
      <c r="S69" s="198"/>
      <c r="T69" s="198"/>
      <c r="U69" s="198"/>
    </row>
    <row r="70" spans="1:21" s="12" customFormat="1" x14ac:dyDescent="0.25">
      <c r="A70" s="211" t="s">
        <v>1075</v>
      </c>
      <c r="B70" s="64">
        <v>1.02</v>
      </c>
      <c r="C70" s="64">
        <v>20.350000000000001</v>
      </c>
      <c r="D70" s="64">
        <v>12.7</v>
      </c>
      <c r="E70" s="64">
        <v>8.4</v>
      </c>
      <c r="F70" s="64">
        <v>39.409999999999997</v>
      </c>
      <c r="G70" s="64">
        <v>65.81</v>
      </c>
      <c r="H70" s="64">
        <v>29.54</v>
      </c>
      <c r="I70" s="64">
        <v>0.61</v>
      </c>
      <c r="J70" s="64">
        <v>0.3</v>
      </c>
      <c r="K70" s="64">
        <v>204.32</v>
      </c>
      <c r="L70" s="64">
        <v>34.67</v>
      </c>
      <c r="M70" s="64">
        <v>28.87</v>
      </c>
      <c r="N70" s="64">
        <v>79.900000000000006</v>
      </c>
      <c r="O70" s="64">
        <v>0</v>
      </c>
      <c r="P70" s="64">
        <v>0.55000000000000004</v>
      </c>
      <c r="Q70" s="64">
        <v>24.61</v>
      </c>
      <c r="R70" s="198"/>
      <c r="S70" s="198"/>
      <c r="T70" s="198"/>
      <c r="U70" s="198"/>
    </row>
    <row r="71" spans="1:21" s="12" customFormat="1" x14ac:dyDescent="0.25">
      <c r="A71" s="211" t="s">
        <v>1076</v>
      </c>
      <c r="B71" s="64">
        <v>1</v>
      </c>
      <c r="C71" s="64">
        <v>22.74</v>
      </c>
      <c r="D71" s="64">
        <v>14</v>
      </c>
      <c r="E71" s="64">
        <v>10.08</v>
      </c>
      <c r="F71" s="64">
        <v>63.5</v>
      </c>
      <c r="G71" s="64">
        <v>65.81</v>
      </c>
      <c r="H71" s="64">
        <v>29.54</v>
      </c>
      <c r="I71" s="64">
        <v>0.6</v>
      </c>
      <c r="J71" s="64">
        <v>0.41</v>
      </c>
      <c r="K71" s="64">
        <v>211.64</v>
      </c>
      <c r="L71" s="64">
        <v>34.43</v>
      </c>
      <c r="M71" s="64">
        <v>29.36</v>
      </c>
      <c r="N71" s="64">
        <v>69.5</v>
      </c>
      <c r="O71" s="64">
        <v>0</v>
      </c>
      <c r="P71" s="64">
        <v>0.48</v>
      </c>
      <c r="Q71" s="64">
        <v>24.67</v>
      </c>
      <c r="R71" s="198"/>
      <c r="S71" s="198"/>
      <c r="T71" s="198"/>
      <c r="U71" s="198"/>
    </row>
    <row r="72" spans="1:21" s="12" customFormat="1" x14ac:dyDescent="0.25">
      <c r="A72" s="211" t="s">
        <v>1077</v>
      </c>
      <c r="B72" s="64">
        <v>1</v>
      </c>
      <c r="C72" s="64">
        <v>20.57</v>
      </c>
      <c r="D72" s="64">
        <v>12.8</v>
      </c>
      <c r="E72" s="64">
        <v>4.3899999999999997</v>
      </c>
      <c r="F72" s="64">
        <v>25.73</v>
      </c>
      <c r="G72" s="64">
        <v>65.81</v>
      </c>
      <c r="H72" s="64">
        <v>29.54</v>
      </c>
      <c r="I72" s="64">
        <v>0.59</v>
      </c>
      <c r="J72" s="64">
        <v>0.49</v>
      </c>
      <c r="K72" s="64">
        <v>231.74</v>
      </c>
      <c r="L72" s="64">
        <v>33.25</v>
      </c>
      <c r="M72" s="64">
        <v>33.33</v>
      </c>
      <c r="N72" s="64">
        <v>152.4</v>
      </c>
      <c r="O72" s="64">
        <v>0</v>
      </c>
      <c r="P72" s="64">
        <v>0.53</v>
      </c>
      <c r="Q72" s="64">
        <v>24.34</v>
      </c>
      <c r="R72" s="198"/>
      <c r="S72" s="198"/>
      <c r="T72" s="198"/>
      <c r="U72" s="198"/>
    </row>
    <row r="73" spans="1:21" s="12" customFormat="1" x14ac:dyDescent="0.25">
      <c r="A73" s="211" t="s">
        <v>1078</v>
      </c>
      <c r="B73" s="64">
        <v>1.05</v>
      </c>
      <c r="C73" s="64">
        <v>18.52</v>
      </c>
      <c r="D73" s="64">
        <v>11.71</v>
      </c>
      <c r="E73" s="64">
        <v>7.05</v>
      </c>
      <c r="F73" s="64">
        <v>34.76</v>
      </c>
      <c r="G73" s="64">
        <v>46.56</v>
      </c>
      <c r="H73" s="64">
        <v>28.49</v>
      </c>
      <c r="I73" s="64">
        <v>0.55000000000000004</v>
      </c>
      <c r="J73" s="64">
        <v>0.49</v>
      </c>
      <c r="K73" s="64">
        <v>210.91</v>
      </c>
      <c r="L73" s="64">
        <v>32.520000000000003</v>
      </c>
      <c r="M73" s="64">
        <v>34.78</v>
      </c>
      <c r="N73" s="64">
        <v>147.6</v>
      </c>
      <c r="O73" s="64">
        <v>0</v>
      </c>
      <c r="P73" s="64">
        <v>0.49</v>
      </c>
      <c r="Q73" s="64">
        <v>21.79</v>
      </c>
      <c r="R73" s="198"/>
      <c r="S73" s="198"/>
      <c r="T73" s="198"/>
      <c r="U73" s="198"/>
    </row>
    <row r="74" spans="1:21" s="12" customFormat="1" x14ac:dyDescent="0.25">
      <c r="A74" s="211" t="s">
        <v>1079</v>
      </c>
      <c r="B74" s="64">
        <v>1.25</v>
      </c>
      <c r="C74" s="64">
        <v>29.62</v>
      </c>
      <c r="D74" s="64">
        <v>17.989999999999998</v>
      </c>
      <c r="E74" s="64">
        <v>7.66</v>
      </c>
      <c r="F74" s="64">
        <v>46.65</v>
      </c>
      <c r="G74" s="64">
        <v>42.39</v>
      </c>
      <c r="H74" s="64">
        <v>28.49</v>
      </c>
      <c r="I74" s="64">
        <v>0.62</v>
      </c>
      <c r="J74" s="64">
        <v>0.63</v>
      </c>
      <c r="K74" s="64">
        <v>188.25</v>
      </c>
      <c r="L74" s="64">
        <v>33.08</v>
      </c>
      <c r="M74" s="64">
        <v>33.380000000000003</v>
      </c>
      <c r="N74" s="64">
        <v>111.1</v>
      </c>
      <c r="O74" s="64">
        <v>0</v>
      </c>
      <c r="P74" s="64">
        <v>0.46</v>
      </c>
      <c r="Q74" s="64">
        <v>20.5</v>
      </c>
      <c r="R74" s="198"/>
      <c r="S74" s="198"/>
      <c r="T74" s="198"/>
      <c r="U74" s="198"/>
    </row>
    <row r="75" spans="1:21" s="12" customFormat="1" x14ac:dyDescent="0.25">
      <c r="A75" s="211" t="s">
        <v>1080</v>
      </c>
      <c r="B75" s="64">
        <v>1</v>
      </c>
      <c r="C75" s="64">
        <v>27.83</v>
      </c>
      <c r="D75" s="64">
        <v>16.809999999999999</v>
      </c>
      <c r="E75" s="64">
        <v>8.91</v>
      </c>
      <c r="F75" s="64">
        <v>54.6</v>
      </c>
      <c r="G75" s="64">
        <v>42.39</v>
      </c>
      <c r="H75" s="64">
        <v>28.49</v>
      </c>
      <c r="I75" s="64">
        <v>0.6</v>
      </c>
      <c r="J75" s="64">
        <v>0.98</v>
      </c>
      <c r="K75" s="64">
        <v>167.42</v>
      </c>
      <c r="L75" s="64">
        <v>33.520000000000003</v>
      </c>
      <c r="M75" s="64">
        <v>32.880000000000003</v>
      </c>
      <c r="N75" s="64">
        <v>133.19999999999999</v>
      </c>
      <c r="O75" s="64">
        <v>0</v>
      </c>
      <c r="P75" s="64">
        <v>0.47</v>
      </c>
      <c r="Q75" s="64">
        <v>19.5</v>
      </c>
      <c r="R75" s="198"/>
      <c r="S75" s="198"/>
      <c r="T75" s="198"/>
      <c r="U75" s="198"/>
    </row>
    <row r="76" spans="1:21" s="12" customFormat="1" x14ac:dyDescent="0.25">
      <c r="A76" s="211" t="s">
        <v>1081</v>
      </c>
      <c r="B76" s="64">
        <v>1</v>
      </c>
      <c r="C76" s="64">
        <v>22.97</v>
      </c>
      <c r="D76" s="64">
        <v>14.13</v>
      </c>
      <c r="E76" s="64">
        <v>8.49</v>
      </c>
      <c r="F76" s="64">
        <v>52.15</v>
      </c>
      <c r="G76" s="64">
        <v>42.39</v>
      </c>
      <c r="H76" s="64">
        <v>28.49</v>
      </c>
      <c r="I76" s="64">
        <v>0.55000000000000004</v>
      </c>
      <c r="J76" s="64">
        <v>0.16</v>
      </c>
      <c r="K76" s="64">
        <v>166.95</v>
      </c>
      <c r="L76" s="64">
        <v>33.770000000000003</v>
      </c>
      <c r="M76" s="64">
        <v>32.520000000000003</v>
      </c>
      <c r="N76" s="64">
        <v>92.9</v>
      </c>
      <c r="O76" s="64">
        <v>0</v>
      </c>
      <c r="P76" s="64">
        <v>0.46</v>
      </c>
      <c r="Q76" s="64">
        <v>21.12</v>
      </c>
      <c r="R76" s="198"/>
      <c r="S76" s="198"/>
      <c r="T76" s="198"/>
      <c r="U76" s="198"/>
    </row>
    <row r="77" spans="1:21" s="12" customFormat="1" x14ac:dyDescent="0.25">
      <c r="A77" s="211" t="s">
        <v>1082</v>
      </c>
      <c r="B77" s="64">
        <v>8</v>
      </c>
      <c r="C77" s="64">
        <v>37.96</v>
      </c>
      <c r="D77" s="64">
        <v>28.01</v>
      </c>
      <c r="E77" s="64">
        <v>8.0399999999999991</v>
      </c>
      <c r="F77" s="64">
        <v>24.21</v>
      </c>
      <c r="G77" s="64">
        <v>38.69</v>
      </c>
      <c r="H77" s="64">
        <v>25.69</v>
      </c>
      <c r="I77" s="64">
        <v>0.56000000000000005</v>
      </c>
      <c r="J77" s="64">
        <v>0.06</v>
      </c>
      <c r="K77" s="64">
        <v>336.64</v>
      </c>
      <c r="L77" s="64">
        <v>33.630000000000003</v>
      </c>
      <c r="M77" s="64">
        <v>33.71</v>
      </c>
      <c r="N77" s="64">
        <v>64.400000000000006</v>
      </c>
      <c r="O77" s="64">
        <v>0</v>
      </c>
      <c r="P77" s="64">
        <v>0.62</v>
      </c>
      <c r="Q77" s="64">
        <v>20.37</v>
      </c>
      <c r="R77" s="198"/>
      <c r="S77" s="198"/>
      <c r="T77" s="198"/>
      <c r="U77" s="198"/>
    </row>
    <row r="78" spans="1:21" s="12" customFormat="1" x14ac:dyDescent="0.25">
      <c r="A78" s="211" t="s">
        <v>1083</v>
      </c>
      <c r="B78" s="64">
        <v>3.74</v>
      </c>
      <c r="C78" s="64">
        <v>46.17</v>
      </c>
      <c r="D78" s="64">
        <v>29.13</v>
      </c>
      <c r="E78" s="64">
        <v>7.29</v>
      </c>
      <c r="F78" s="64">
        <v>27.55</v>
      </c>
      <c r="G78" s="64">
        <v>37.89</v>
      </c>
      <c r="H78" s="64">
        <v>25.69</v>
      </c>
      <c r="I78" s="64">
        <v>0.56000000000000005</v>
      </c>
      <c r="J78" s="64">
        <v>0.02</v>
      </c>
      <c r="K78" s="64">
        <v>242.18</v>
      </c>
      <c r="L78" s="64">
        <v>33.29</v>
      </c>
      <c r="M78" s="64">
        <v>33.630000000000003</v>
      </c>
      <c r="N78" s="64">
        <v>61.5</v>
      </c>
      <c r="O78" s="64">
        <v>0</v>
      </c>
      <c r="P78" s="64">
        <v>0.64</v>
      </c>
      <c r="Q78" s="64">
        <v>21.63</v>
      </c>
      <c r="R78" s="198"/>
      <c r="S78" s="198"/>
      <c r="T78" s="198"/>
      <c r="U78" s="198"/>
    </row>
    <row r="79" spans="1:21" s="12" customFormat="1" x14ac:dyDescent="0.25">
      <c r="A79" s="211" t="s">
        <v>1084</v>
      </c>
      <c r="B79" s="64">
        <v>1.46</v>
      </c>
      <c r="C79" s="64">
        <v>37.22</v>
      </c>
      <c r="D79" s="64">
        <v>22.36</v>
      </c>
      <c r="E79" s="64">
        <v>8.39</v>
      </c>
      <c r="F79" s="64">
        <v>33.4</v>
      </c>
      <c r="G79" s="64">
        <v>37.89</v>
      </c>
      <c r="H79" s="64">
        <v>25.69</v>
      </c>
      <c r="I79" s="64">
        <v>0.61</v>
      </c>
      <c r="J79" s="64">
        <v>0.1</v>
      </c>
      <c r="K79" s="64">
        <v>240.73</v>
      </c>
      <c r="L79" s="64">
        <v>32.94</v>
      </c>
      <c r="M79" s="64">
        <v>35.11</v>
      </c>
      <c r="N79" s="64">
        <v>38</v>
      </c>
      <c r="O79" s="64">
        <v>0</v>
      </c>
      <c r="P79" s="64">
        <v>0.81</v>
      </c>
      <c r="Q79" s="64">
        <v>22.37</v>
      </c>
      <c r="R79" s="198"/>
      <c r="S79" s="198"/>
      <c r="T79" s="198"/>
      <c r="U79" s="198"/>
    </row>
    <row r="80" spans="1:21" s="12" customFormat="1" x14ac:dyDescent="0.25">
      <c r="A80" s="211" t="s">
        <v>1085</v>
      </c>
      <c r="B80" s="64">
        <v>9.5</v>
      </c>
      <c r="C80" s="64">
        <v>56.83</v>
      </c>
      <c r="D80" s="64">
        <v>39.630000000000003</v>
      </c>
      <c r="E80" s="64">
        <v>9.08</v>
      </c>
      <c r="F80" s="64">
        <v>27.15</v>
      </c>
      <c r="G80" s="64">
        <v>37.89</v>
      </c>
      <c r="H80" s="64">
        <v>25.69</v>
      </c>
      <c r="I80" s="64">
        <v>0.61</v>
      </c>
      <c r="J80" s="64">
        <v>0.04</v>
      </c>
      <c r="K80" s="64">
        <v>310.39999999999998</v>
      </c>
      <c r="L80" s="64">
        <v>32.58</v>
      </c>
      <c r="M80" s="64">
        <v>35.299999999999997</v>
      </c>
      <c r="N80" s="64">
        <v>22.3</v>
      </c>
      <c r="O80" s="64">
        <v>0</v>
      </c>
      <c r="P80" s="64">
        <v>1.2</v>
      </c>
      <c r="Q80" s="64">
        <v>21.64</v>
      </c>
      <c r="R80" s="198"/>
      <c r="S80" s="198"/>
      <c r="T80" s="198"/>
      <c r="U80" s="198"/>
    </row>
    <row r="81" spans="1:26" s="12" customFormat="1" x14ac:dyDescent="0.25">
      <c r="A81" s="211" t="s">
        <v>1086</v>
      </c>
      <c r="B81" s="64">
        <v>4.76</v>
      </c>
      <c r="C81" s="64">
        <v>69.239999999999995</v>
      </c>
      <c r="D81" s="64">
        <v>42.68</v>
      </c>
      <c r="E81" s="64">
        <v>9.51</v>
      </c>
      <c r="F81" s="64">
        <v>29.95</v>
      </c>
      <c r="G81" s="64">
        <v>131.33000000000001</v>
      </c>
      <c r="H81" s="64">
        <v>25.97</v>
      </c>
      <c r="I81" s="64">
        <v>0.62</v>
      </c>
      <c r="J81" s="64">
        <v>0.13</v>
      </c>
      <c r="K81" s="64">
        <v>250.91</v>
      </c>
      <c r="L81" s="64">
        <v>32.25</v>
      </c>
      <c r="M81" s="64">
        <v>34.96</v>
      </c>
      <c r="N81" s="64">
        <v>15.1</v>
      </c>
      <c r="O81" s="64">
        <v>0</v>
      </c>
      <c r="P81" s="64">
        <v>1.1200000000000001</v>
      </c>
      <c r="Q81" s="64">
        <v>19.64</v>
      </c>
      <c r="R81" s="198"/>
      <c r="S81" s="198"/>
      <c r="T81" s="198"/>
      <c r="U81" s="198"/>
    </row>
    <row r="82" spans="1:26" s="12" customFormat="1" x14ac:dyDescent="0.25">
      <c r="A82" s="211" t="s">
        <v>1087</v>
      </c>
      <c r="B82" s="64">
        <v>4.3499999999999996</v>
      </c>
      <c r="C82" s="64">
        <v>61.47</v>
      </c>
      <c r="D82" s="64">
        <v>38.06</v>
      </c>
      <c r="E82" s="64">
        <v>10.16</v>
      </c>
      <c r="F82" s="64">
        <v>35.64</v>
      </c>
      <c r="G82" s="64">
        <v>151.53</v>
      </c>
      <c r="H82" s="64">
        <v>25.99</v>
      </c>
      <c r="I82" s="64">
        <v>0.73</v>
      </c>
      <c r="J82" s="64">
        <v>0.13</v>
      </c>
      <c r="K82" s="64">
        <v>258.45999999999998</v>
      </c>
      <c r="L82" s="64">
        <v>31.99</v>
      </c>
      <c r="M82" s="64">
        <v>35.24</v>
      </c>
      <c r="N82" s="64">
        <v>8.3000000000000007</v>
      </c>
      <c r="O82" s="64">
        <v>0</v>
      </c>
      <c r="P82" s="64">
        <v>1.03</v>
      </c>
      <c r="Q82" s="64">
        <v>21.52</v>
      </c>
      <c r="R82" s="198"/>
      <c r="S82" s="198"/>
      <c r="T82" s="198"/>
      <c r="U82" s="198"/>
    </row>
    <row r="83" spans="1:26" s="12" customFormat="1" x14ac:dyDescent="0.25">
      <c r="A83" s="211" t="s">
        <v>1088</v>
      </c>
      <c r="B83" s="64">
        <v>9.56</v>
      </c>
      <c r="C83" s="64">
        <v>96.1</v>
      </c>
      <c r="D83" s="64">
        <v>61.35</v>
      </c>
      <c r="E83" s="64">
        <v>10.41</v>
      </c>
      <c r="F83" s="64">
        <v>24.61</v>
      </c>
      <c r="G83" s="64">
        <v>151.53</v>
      </c>
      <c r="H83" s="64">
        <v>25.99</v>
      </c>
      <c r="I83" s="64">
        <v>0.71</v>
      </c>
      <c r="J83" s="64">
        <v>0.09</v>
      </c>
      <c r="K83" s="64">
        <v>259.51</v>
      </c>
      <c r="L83" s="64">
        <v>31.38</v>
      </c>
      <c r="M83" s="64">
        <v>38.979999999999997</v>
      </c>
      <c r="N83" s="64">
        <v>6.6</v>
      </c>
      <c r="O83" s="64">
        <v>0</v>
      </c>
      <c r="P83" s="64">
        <v>1.49</v>
      </c>
      <c r="Q83" s="64">
        <v>19.05</v>
      </c>
      <c r="R83" s="198"/>
      <c r="S83" s="198"/>
      <c r="T83" s="198"/>
      <c r="U83" s="198"/>
    </row>
    <row r="84" spans="1:26" s="12" customFormat="1" x14ac:dyDescent="0.25">
      <c r="A84" s="211" t="s">
        <v>1089</v>
      </c>
      <c r="B84" s="64">
        <v>2.2599999999999998</v>
      </c>
      <c r="C84" s="64">
        <v>58.71</v>
      </c>
      <c r="D84" s="64">
        <v>34.86</v>
      </c>
      <c r="E84" s="64">
        <v>11.53</v>
      </c>
      <c r="F84" s="64">
        <v>37.54</v>
      </c>
      <c r="G84" s="64">
        <v>151.53</v>
      </c>
      <c r="H84" s="64">
        <v>25.99</v>
      </c>
      <c r="I84" s="64">
        <v>0.67</v>
      </c>
      <c r="J84" s="64">
        <v>7.0000000000000007E-2</v>
      </c>
      <c r="K84" s="64">
        <v>338.12</v>
      </c>
      <c r="L84" s="64">
        <v>31.89</v>
      </c>
      <c r="M84" s="64">
        <v>36.5</v>
      </c>
      <c r="N84" s="64">
        <v>5.5</v>
      </c>
      <c r="O84" s="64">
        <v>0</v>
      </c>
      <c r="P84" s="64">
        <v>1.1499999999999999</v>
      </c>
      <c r="Q84" s="64">
        <v>20.84</v>
      </c>
      <c r="R84" s="198"/>
      <c r="S84" s="198"/>
      <c r="T84" s="198"/>
      <c r="U84" s="198"/>
    </row>
    <row r="85" spans="1:26" s="12" customFormat="1" x14ac:dyDescent="0.25">
      <c r="A85" s="211" t="s">
        <v>1090</v>
      </c>
      <c r="B85" s="64">
        <v>2.2000000000000002</v>
      </c>
      <c r="C85" s="64">
        <v>31.8</v>
      </c>
      <c r="D85" s="64">
        <v>19.96</v>
      </c>
      <c r="E85" s="64">
        <v>7.02</v>
      </c>
      <c r="F85" s="64">
        <v>9.16</v>
      </c>
      <c r="G85" s="64">
        <v>83.06</v>
      </c>
      <c r="H85" s="64">
        <v>24.95</v>
      </c>
      <c r="I85" s="64">
        <v>0.72</v>
      </c>
      <c r="J85" s="64">
        <v>2.93</v>
      </c>
      <c r="K85" s="64">
        <v>268.22000000000003</v>
      </c>
      <c r="L85" s="64">
        <v>29.33</v>
      </c>
      <c r="M85" s="64">
        <v>47.82</v>
      </c>
      <c r="N85" s="64">
        <v>15.2</v>
      </c>
      <c r="O85" s="64">
        <v>0.2</v>
      </c>
      <c r="P85" s="64">
        <v>0.78</v>
      </c>
      <c r="Q85" s="64">
        <v>22.01</v>
      </c>
      <c r="R85" s="198"/>
      <c r="S85" s="198"/>
      <c r="T85" s="198"/>
      <c r="U85" s="198"/>
    </row>
    <row r="86" spans="1:26" s="12" customFormat="1" x14ac:dyDescent="0.25">
      <c r="A86" s="211" t="s">
        <v>1091</v>
      </c>
      <c r="B86" s="64">
        <v>1.22</v>
      </c>
      <c r="C86" s="64">
        <v>24.75</v>
      </c>
      <c r="D86" s="64">
        <v>15.28</v>
      </c>
      <c r="E86" s="64">
        <v>5.49</v>
      </c>
      <c r="F86" s="64">
        <v>13.19</v>
      </c>
      <c r="G86" s="64">
        <v>68.260000000000005</v>
      </c>
      <c r="H86" s="64">
        <v>24.95</v>
      </c>
      <c r="I86" s="64">
        <v>0.7</v>
      </c>
      <c r="J86" s="64">
        <v>2.87</v>
      </c>
      <c r="K86" s="64">
        <v>266.75</v>
      </c>
      <c r="L86" s="64">
        <v>25.12</v>
      </c>
      <c r="M86" s="64">
        <v>68.510000000000005</v>
      </c>
      <c r="N86" s="64">
        <v>9.5</v>
      </c>
      <c r="O86" s="64">
        <v>0.4</v>
      </c>
      <c r="P86" s="64">
        <v>0.71</v>
      </c>
      <c r="Q86" s="64">
        <v>19.27</v>
      </c>
      <c r="R86" s="198"/>
      <c r="S86" s="198"/>
      <c r="T86" s="198"/>
      <c r="U86" s="198"/>
    </row>
    <row r="87" spans="1:26" s="12" customFormat="1" x14ac:dyDescent="0.25">
      <c r="A87" s="211" t="s">
        <v>1092</v>
      </c>
      <c r="B87" s="64">
        <v>1</v>
      </c>
      <c r="C87" s="64">
        <v>22.81</v>
      </c>
      <c r="D87" s="64">
        <v>14.04</v>
      </c>
      <c r="E87" s="64">
        <v>5.49</v>
      </c>
      <c r="F87" s="64">
        <v>12.6</v>
      </c>
      <c r="G87" s="64">
        <v>68.260000000000005</v>
      </c>
      <c r="H87" s="64">
        <v>24.95</v>
      </c>
      <c r="I87" s="64">
        <v>0.68</v>
      </c>
      <c r="J87" s="64">
        <v>3.13</v>
      </c>
      <c r="K87" s="64">
        <v>268.56</v>
      </c>
      <c r="L87" s="64">
        <v>24.2</v>
      </c>
      <c r="M87" s="64">
        <v>70.77</v>
      </c>
      <c r="N87" s="64">
        <v>4.9000000000000004</v>
      </c>
      <c r="O87" s="64">
        <v>0</v>
      </c>
      <c r="P87" s="64">
        <v>0.64</v>
      </c>
      <c r="Q87" s="64">
        <v>21.26</v>
      </c>
      <c r="R87" s="198"/>
      <c r="S87" s="198"/>
      <c r="T87" s="198"/>
      <c r="U87" s="198"/>
    </row>
    <row r="88" spans="1:26" s="12" customFormat="1" x14ac:dyDescent="0.25">
      <c r="A88" s="211" t="s">
        <v>1093</v>
      </c>
      <c r="B88" s="64">
        <v>1</v>
      </c>
      <c r="C88" s="64">
        <v>21.96</v>
      </c>
      <c r="D88" s="64">
        <v>13.57</v>
      </c>
      <c r="E88" s="64">
        <v>3.81</v>
      </c>
      <c r="F88" s="64">
        <v>12.16</v>
      </c>
      <c r="G88" s="64">
        <v>68.260000000000005</v>
      </c>
      <c r="H88" s="64">
        <v>24.95</v>
      </c>
      <c r="I88" s="64">
        <v>0.61</v>
      </c>
      <c r="J88" s="64">
        <v>1.58</v>
      </c>
      <c r="K88" s="64">
        <v>270.88</v>
      </c>
      <c r="L88" s="64">
        <v>23.67</v>
      </c>
      <c r="M88" s="64">
        <v>75.48</v>
      </c>
      <c r="N88" s="64">
        <v>5.4</v>
      </c>
      <c r="O88" s="64">
        <v>0</v>
      </c>
      <c r="P88" s="64">
        <v>0.59</v>
      </c>
      <c r="Q88" s="64">
        <v>21.52</v>
      </c>
      <c r="R88" s="198"/>
      <c r="S88" s="198"/>
      <c r="T88" s="198"/>
      <c r="U88" s="198"/>
    </row>
    <row r="89" spans="1:26" s="12" customFormat="1" x14ac:dyDescent="0.25">
      <c r="A89" s="211" t="s">
        <v>1094</v>
      </c>
      <c r="B89" s="64">
        <v>1.07</v>
      </c>
      <c r="C89" s="64">
        <v>21.6</v>
      </c>
      <c r="D89" s="64">
        <v>13.43</v>
      </c>
      <c r="E89" s="64">
        <v>4.07</v>
      </c>
      <c r="F89" s="64">
        <v>10.62</v>
      </c>
      <c r="G89" s="64">
        <v>61.6</v>
      </c>
      <c r="H89" s="64">
        <v>23.83</v>
      </c>
      <c r="I89" s="64">
        <v>0.56000000000000005</v>
      </c>
      <c r="J89" s="64">
        <v>1.91</v>
      </c>
      <c r="K89" s="64">
        <v>310.89999999999998</v>
      </c>
      <c r="L89" s="64">
        <v>24.11</v>
      </c>
      <c r="M89" s="64">
        <v>71.11</v>
      </c>
      <c r="N89" s="64">
        <v>4.2</v>
      </c>
      <c r="O89" s="64">
        <v>0</v>
      </c>
      <c r="P89" s="64">
        <v>0.57999999999999996</v>
      </c>
      <c r="Q89" s="64">
        <v>21.2</v>
      </c>
      <c r="R89" s="198"/>
      <c r="S89" s="198"/>
      <c r="T89" s="198"/>
      <c r="U89" s="198"/>
    </row>
    <row r="90" spans="1:26" s="12" customFormat="1" x14ac:dyDescent="0.25">
      <c r="A90" s="211" t="s">
        <v>1095</v>
      </c>
      <c r="B90" s="64">
        <v>2.29</v>
      </c>
      <c r="C90" s="64">
        <v>23.55</v>
      </c>
      <c r="D90" s="64">
        <v>15.48</v>
      </c>
      <c r="E90" s="64">
        <v>3.85</v>
      </c>
      <c r="F90" s="64">
        <v>13.71</v>
      </c>
      <c r="G90" s="64">
        <v>60.15</v>
      </c>
      <c r="H90" s="64">
        <v>23.65</v>
      </c>
      <c r="I90" s="64">
        <v>0.54</v>
      </c>
      <c r="J90" s="64">
        <v>1.5</v>
      </c>
      <c r="K90" s="64">
        <v>291.72000000000003</v>
      </c>
      <c r="L90" s="64">
        <v>24.98</v>
      </c>
      <c r="M90" s="64">
        <v>65.930000000000007</v>
      </c>
      <c r="N90" s="64">
        <v>6.3</v>
      </c>
      <c r="O90" s="64">
        <v>0</v>
      </c>
      <c r="P90" s="64">
        <v>0.63</v>
      </c>
      <c r="Q90" s="64">
        <v>21.16</v>
      </c>
      <c r="R90" s="198"/>
      <c r="S90" s="198"/>
      <c r="T90" s="198"/>
      <c r="U90" s="198"/>
    </row>
    <row r="91" spans="1:26" s="12" customFormat="1" x14ac:dyDescent="0.25">
      <c r="A91" s="211" t="s">
        <v>1096</v>
      </c>
      <c r="B91" s="64">
        <v>4.03</v>
      </c>
      <c r="C91" s="64">
        <v>27.12</v>
      </c>
      <c r="D91" s="64">
        <v>18.84</v>
      </c>
      <c r="E91" s="64">
        <v>3.85</v>
      </c>
      <c r="F91" s="64">
        <v>12.46</v>
      </c>
      <c r="G91" s="64">
        <v>60.15</v>
      </c>
      <c r="H91" s="64">
        <v>23.65</v>
      </c>
      <c r="I91" s="64">
        <v>0.53</v>
      </c>
      <c r="J91" s="64">
        <v>0.51</v>
      </c>
      <c r="K91" s="64">
        <v>301.02999999999997</v>
      </c>
      <c r="L91" s="64">
        <v>25.54</v>
      </c>
      <c r="M91" s="64">
        <v>61.65</v>
      </c>
      <c r="N91" s="64">
        <v>6.5</v>
      </c>
      <c r="O91" s="64">
        <v>0.4</v>
      </c>
      <c r="P91" s="64">
        <v>0.65</v>
      </c>
      <c r="Q91" s="64">
        <v>21.22</v>
      </c>
      <c r="R91" s="198"/>
      <c r="S91" s="198"/>
      <c r="T91" s="198"/>
      <c r="U91" s="198"/>
    </row>
    <row r="92" spans="1:26" s="12" customFormat="1" x14ac:dyDescent="0.25">
      <c r="A92" s="211" t="s">
        <v>1097</v>
      </c>
      <c r="B92" s="64">
        <v>2.5</v>
      </c>
      <c r="C92" s="64">
        <v>28.49</v>
      </c>
      <c r="D92" s="64">
        <v>18.38</v>
      </c>
      <c r="E92" s="64">
        <v>4.0599999999999996</v>
      </c>
      <c r="F92" s="64">
        <v>14.1</v>
      </c>
      <c r="G92" s="64">
        <v>60.15</v>
      </c>
      <c r="H92" s="64">
        <v>23.65</v>
      </c>
      <c r="I92" s="64">
        <v>0.52</v>
      </c>
      <c r="J92" s="64">
        <v>0.26</v>
      </c>
      <c r="K92" s="64">
        <v>345.05</v>
      </c>
      <c r="L92" s="64">
        <v>25.43</v>
      </c>
      <c r="M92" s="64">
        <v>61.72</v>
      </c>
      <c r="N92" s="64">
        <v>4.8</v>
      </c>
      <c r="O92" s="64">
        <v>0</v>
      </c>
      <c r="P92" s="64">
        <v>0.66</v>
      </c>
      <c r="Q92" s="64">
        <v>21.73</v>
      </c>
      <c r="R92" s="198"/>
      <c r="S92" s="198"/>
      <c r="T92" s="198"/>
      <c r="U92" s="198"/>
    </row>
    <row r="93" spans="1:26" s="12" customFormat="1" x14ac:dyDescent="0.25">
      <c r="A93" s="211" t="s">
        <v>1098</v>
      </c>
      <c r="B93" s="64">
        <v>2.88</v>
      </c>
      <c r="C93" s="64">
        <v>29.73</v>
      </c>
      <c r="D93" s="64">
        <v>19.36</v>
      </c>
      <c r="E93" s="64">
        <v>4.1100000000000003</v>
      </c>
      <c r="F93" s="64">
        <v>10.75</v>
      </c>
      <c r="G93" s="64">
        <v>39.299999999999997</v>
      </c>
      <c r="H93" s="64">
        <v>20.62</v>
      </c>
      <c r="I93" s="64">
        <v>0.53</v>
      </c>
      <c r="J93" s="64">
        <v>0.28000000000000003</v>
      </c>
      <c r="K93" s="64">
        <v>135.22999999999999</v>
      </c>
      <c r="L93" s="64">
        <v>26.45</v>
      </c>
      <c r="M93" s="64">
        <v>54.2</v>
      </c>
      <c r="N93" s="64">
        <v>5.2</v>
      </c>
      <c r="O93" s="64">
        <v>0</v>
      </c>
      <c r="P93" s="64">
        <v>0.7</v>
      </c>
      <c r="Q93" s="64">
        <v>20.76</v>
      </c>
      <c r="R93" s="198"/>
      <c r="S93" s="198"/>
      <c r="T93" s="198"/>
      <c r="U93" s="198"/>
    </row>
    <row r="94" spans="1:26" s="12" customFormat="1" x14ac:dyDescent="0.25">
      <c r="A94" s="211" t="s">
        <v>1099</v>
      </c>
      <c r="B94" s="64">
        <v>2.36</v>
      </c>
      <c r="C94" s="64">
        <v>27.84</v>
      </c>
      <c r="D94" s="64">
        <v>17.899999999999999</v>
      </c>
      <c r="E94" s="64">
        <v>3.83</v>
      </c>
      <c r="F94" s="64">
        <v>5.78</v>
      </c>
      <c r="G94" s="64">
        <v>34.79</v>
      </c>
      <c r="H94" s="64">
        <v>20.62</v>
      </c>
      <c r="I94" s="64">
        <v>0.53</v>
      </c>
      <c r="J94" s="64">
        <v>0.94</v>
      </c>
      <c r="K94" s="64">
        <v>216.16</v>
      </c>
      <c r="L94" s="64">
        <v>26.76</v>
      </c>
      <c r="M94" s="64">
        <v>54.17</v>
      </c>
      <c r="N94" s="64">
        <v>5.3</v>
      </c>
      <c r="O94" s="64">
        <v>0</v>
      </c>
      <c r="P94" s="64">
        <v>0.66</v>
      </c>
      <c r="Q94" s="64">
        <v>22.16</v>
      </c>
      <c r="R94" s="198"/>
      <c r="S94" s="198"/>
      <c r="T94" s="198"/>
      <c r="U94" s="198"/>
    </row>
    <row r="95" spans="1:26" s="12" customFormat="1" x14ac:dyDescent="0.25">
      <c r="A95" s="211" t="s">
        <v>1100</v>
      </c>
      <c r="B95" s="64">
        <v>1.4</v>
      </c>
      <c r="C95" s="64">
        <v>24.42</v>
      </c>
      <c r="D95" s="64">
        <v>15.24</v>
      </c>
      <c r="E95" s="64">
        <v>3.77</v>
      </c>
      <c r="F95" s="64">
        <v>11.73</v>
      </c>
      <c r="G95" s="64">
        <v>34.79</v>
      </c>
      <c r="H95" s="64">
        <v>20.62</v>
      </c>
      <c r="I95" s="64">
        <v>0.54</v>
      </c>
      <c r="J95" s="64">
        <v>0.63</v>
      </c>
      <c r="K95" s="64">
        <v>220.17</v>
      </c>
      <c r="L95" s="64">
        <v>26.24</v>
      </c>
      <c r="M95" s="64">
        <v>57.85</v>
      </c>
      <c r="N95" s="64">
        <v>6.8</v>
      </c>
      <c r="O95" s="64">
        <v>0</v>
      </c>
      <c r="P95" s="64">
        <v>0.63</v>
      </c>
      <c r="Q95" s="64">
        <v>22.24</v>
      </c>
      <c r="R95" s="198"/>
      <c r="S95" s="198"/>
      <c r="T95" s="198"/>
      <c r="U95" s="198"/>
    </row>
    <row r="96" spans="1:26" s="12" customFormat="1" x14ac:dyDescent="0.25">
      <c r="A96" s="211" t="s">
        <v>1101</v>
      </c>
      <c r="B96" s="64">
        <v>1.17</v>
      </c>
      <c r="C96" s="64">
        <v>20.69</v>
      </c>
      <c r="D96" s="64">
        <v>13.01</v>
      </c>
      <c r="E96" s="64">
        <v>3.67</v>
      </c>
      <c r="F96" s="64">
        <v>12.69</v>
      </c>
      <c r="G96" s="64">
        <v>34.79</v>
      </c>
      <c r="H96" s="64">
        <v>20.62</v>
      </c>
      <c r="I96" s="64">
        <v>0.54</v>
      </c>
      <c r="J96" s="64">
        <v>0.83</v>
      </c>
      <c r="K96" s="64">
        <v>191.94</v>
      </c>
      <c r="L96" s="64">
        <v>25.48</v>
      </c>
      <c r="M96" s="64">
        <v>58.69</v>
      </c>
      <c r="N96" s="64">
        <v>6.6</v>
      </c>
      <c r="O96" s="64">
        <v>0</v>
      </c>
      <c r="P96" s="64">
        <v>0.61</v>
      </c>
      <c r="Q96" s="64">
        <v>19.920000000000002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1102</v>
      </c>
      <c r="B97" s="64">
        <v>1.1399999999999999</v>
      </c>
      <c r="C97" s="64">
        <v>20.77</v>
      </c>
      <c r="D97" s="64">
        <v>13.02</v>
      </c>
      <c r="E97" s="64">
        <v>3.49</v>
      </c>
      <c r="F97" s="64">
        <v>15.16</v>
      </c>
      <c r="G97" s="64">
        <v>24.76</v>
      </c>
      <c r="H97" s="64">
        <v>20.34</v>
      </c>
      <c r="I97" s="64">
        <v>0.53</v>
      </c>
      <c r="J97" s="64">
        <v>0.27</v>
      </c>
      <c r="K97" s="64">
        <v>221.22</v>
      </c>
      <c r="L97" s="64">
        <v>25.44</v>
      </c>
      <c r="M97" s="64">
        <v>56.95</v>
      </c>
      <c r="N97" s="64">
        <v>6.2</v>
      </c>
      <c r="O97" s="64">
        <v>0</v>
      </c>
      <c r="P97" s="64">
        <v>0.57999999999999996</v>
      </c>
      <c r="Q97" s="64">
        <v>20.51</v>
      </c>
      <c r="R97" s="198"/>
      <c r="S97" s="198"/>
      <c r="T97" s="198"/>
      <c r="U97" s="198"/>
    </row>
    <row r="98" spans="1:33" s="12" customFormat="1" x14ac:dyDescent="0.25">
      <c r="A98" s="211" t="s">
        <v>1103</v>
      </c>
      <c r="B98" s="64">
        <v>1.25</v>
      </c>
      <c r="C98" s="64">
        <v>23</v>
      </c>
      <c r="D98" s="64">
        <v>14.34</v>
      </c>
      <c r="E98" s="64">
        <v>3.7</v>
      </c>
      <c r="F98" s="64">
        <v>18.440000000000001</v>
      </c>
      <c r="G98" s="64">
        <v>22.58</v>
      </c>
      <c r="H98" s="64">
        <v>20.34</v>
      </c>
      <c r="I98" s="64">
        <v>0.52</v>
      </c>
      <c r="J98" s="64">
        <v>0.96</v>
      </c>
      <c r="K98" s="64">
        <v>167.32</v>
      </c>
      <c r="L98" s="64">
        <v>25.46</v>
      </c>
      <c r="M98" s="64">
        <v>55.55</v>
      </c>
      <c r="N98" s="64">
        <v>5.5</v>
      </c>
      <c r="O98" s="64">
        <v>0</v>
      </c>
      <c r="P98" s="64">
        <v>0.52</v>
      </c>
      <c r="Q98" s="64">
        <v>22.11</v>
      </c>
      <c r="R98" s="198"/>
      <c r="S98" s="198"/>
      <c r="T98" s="198"/>
      <c r="U98" s="198"/>
    </row>
    <row r="99" spans="1:33" s="12" customFormat="1" x14ac:dyDescent="0.25">
      <c r="A99" s="211" t="s">
        <v>1104</v>
      </c>
      <c r="B99" s="64">
        <v>1.49</v>
      </c>
      <c r="C99" s="64">
        <v>19.21</v>
      </c>
      <c r="D99" s="64">
        <v>12.44</v>
      </c>
      <c r="E99" s="64">
        <v>3.49</v>
      </c>
      <c r="F99" s="64">
        <v>8.7200000000000006</v>
      </c>
      <c r="G99" s="64">
        <v>22.58</v>
      </c>
      <c r="H99" s="64">
        <v>20.34</v>
      </c>
      <c r="I99" s="64">
        <v>0.51</v>
      </c>
      <c r="J99" s="64">
        <v>0.49</v>
      </c>
      <c r="K99" s="64">
        <v>176.31</v>
      </c>
      <c r="L99" s="64">
        <v>25.59</v>
      </c>
      <c r="M99" s="64">
        <v>56.07</v>
      </c>
      <c r="N99" s="64">
        <v>5.8</v>
      </c>
      <c r="O99" s="64">
        <v>0</v>
      </c>
      <c r="P99" s="64">
        <v>0.59</v>
      </c>
      <c r="Q99" s="64">
        <v>20.350000000000001</v>
      </c>
      <c r="R99" s="198"/>
      <c r="S99" s="198"/>
      <c r="T99" s="198"/>
      <c r="U99" s="198"/>
    </row>
    <row r="100" spans="1:33" s="12" customFormat="1" x14ac:dyDescent="0.25">
      <c r="A100" s="211" t="s">
        <v>1105</v>
      </c>
      <c r="B100" s="64">
        <v>1.52</v>
      </c>
      <c r="C100" s="64">
        <v>17.02</v>
      </c>
      <c r="D100" s="64">
        <v>11.26</v>
      </c>
      <c r="E100" s="64">
        <v>3.58</v>
      </c>
      <c r="F100" s="64">
        <v>8.65</v>
      </c>
      <c r="G100" s="64">
        <v>22.58</v>
      </c>
      <c r="H100" s="64">
        <v>20.34</v>
      </c>
      <c r="I100" s="64">
        <v>0.51</v>
      </c>
      <c r="J100" s="64">
        <v>0.38</v>
      </c>
      <c r="K100" s="64">
        <v>201.94</v>
      </c>
      <c r="L100" s="64">
        <v>25.66</v>
      </c>
      <c r="M100" s="64">
        <v>56.55</v>
      </c>
      <c r="N100" s="64">
        <v>5.9</v>
      </c>
      <c r="O100" s="64">
        <v>0</v>
      </c>
      <c r="P100" s="64">
        <v>0.56999999999999995</v>
      </c>
      <c r="Q100" s="64">
        <v>21.25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1106</v>
      </c>
      <c r="B101" s="64">
        <v>1.46</v>
      </c>
      <c r="C101" s="64">
        <v>17.36</v>
      </c>
      <c r="D101" s="64">
        <v>11.39</v>
      </c>
      <c r="E101" s="64">
        <v>3.28</v>
      </c>
      <c r="F101" s="64">
        <v>7.33</v>
      </c>
      <c r="G101" s="64">
        <v>28.66</v>
      </c>
      <c r="H101" s="64">
        <v>17.91</v>
      </c>
      <c r="I101" s="64">
        <v>0.54</v>
      </c>
      <c r="J101" s="64">
        <v>0.12</v>
      </c>
      <c r="K101" s="64">
        <v>187.01</v>
      </c>
      <c r="L101" s="64">
        <v>25.33</v>
      </c>
      <c r="M101" s="64">
        <v>57.86</v>
      </c>
      <c r="N101" s="64">
        <v>6.4</v>
      </c>
      <c r="O101" s="64">
        <v>0</v>
      </c>
      <c r="P101" s="64">
        <v>0.56999999999999995</v>
      </c>
      <c r="Q101" s="64">
        <v>22.11</v>
      </c>
      <c r="R101" s="198"/>
      <c r="S101" s="198"/>
      <c r="T101" s="198"/>
      <c r="U101" s="198"/>
    </row>
    <row r="102" spans="1:33" s="12" customFormat="1" x14ac:dyDescent="0.25">
      <c r="A102" s="211" t="s">
        <v>1107</v>
      </c>
      <c r="B102" s="64">
        <v>2.2799999999999998</v>
      </c>
      <c r="C102" s="64">
        <v>24.23</v>
      </c>
      <c r="D102" s="64">
        <v>15.85</v>
      </c>
      <c r="E102" s="64">
        <v>3.53</v>
      </c>
      <c r="F102" s="64">
        <v>9.56</v>
      </c>
      <c r="G102" s="64">
        <v>29.97</v>
      </c>
      <c r="H102" s="64">
        <v>17.91</v>
      </c>
      <c r="I102" s="64">
        <v>0.53</v>
      </c>
      <c r="J102" s="64">
        <v>0.14000000000000001</v>
      </c>
      <c r="K102" s="64">
        <v>261.86</v>
      </c>
      <c r="L102" s="64">
        <v>25.14</v>
      </c>
      <c r="M102" s="64">
        <v>59.36</v>
      </c>
      <c r="N102" s="64">
        <v>6.1</v>
      </c>
      <c r="O102" s="64">
        <v>0</v>
      </c>
      <c r="P102" s="64">
        <v>0.54</v>
      </c>
      <c r="Q102" s="64">
        <v>21.19</v>
      </c>
      <c r="R102" s="198"/>
      <c r="S102" s="198"/>
      <c r="T102" s="198"/>
      <c r="U102" s="198"/>
    </row>
    <row r="103" spans="1:33" s="12" customFormat="1" x14ac:dyDescent="0.25">
      <c r="A103" s="211" t="s">
        <v>1108</v>
      </c>
      <c r="B103" s="64">
        <v>2.08</v>
      </c>
      <c r="C103" s="64">
        <v>22.33</v>
      </c>
      <c r="D103" s="64">
        <v>14.63</v>
      </c>
      <c r="E103" s="64">
        <v>3.28</v>
      </c>
      <c r="F103" s="64">
        <v>14.07</v>
      </c>
      <c r="G103" s="64">
        <v>29.97</v>
      </c>
      <c r="H103" s="64">
        <v>17.91</v>
      </c>
      <c r="I103" s="64">
        <v>0.53</v>
      </c>
      <c r="J103" s="64">
        <v>0.16</v>
      </c>
      <c r="K103" s="64">
        <v>239.82</v>
      </c>
      <c r="L103" s="64">
        <v>25.24</v>
      </c>
      <c r="M103" s="64">
        <v>58.47</v>
      </c>
      <c r="N103" s="64">
        <v>5.8</v>
      </c>
      <c r="O103" s="64">
        <v>0</v>
      </c>
      <c r="P103" s="64">
        <v>0.53</v>
      </c>
      <c r="Q103" s="64">
        <v>21.68</v>
      </c>
      <c r="R103" s="198"/>
      <c r="S103" s="198"/>
      <c r="T103" s="198"/>
      <c r="U103" s="198"/>
    </row>
    <row r="104" spans="1:33" s="12" customFormat="1" x14ac:dyDescent="0.25">
      <c r="A104" s="211" t="s">
        <v>1109</v>
      </c>
      <c r="B104" s="64">
        <v>2.84</v>
      </c>
      <c r="C104" s="64">
        <v>24.16</v>
      </c>
      <c r="D104" s="64">
        <v>16.260000000000002</v>
      </c>
      <c r="E104" s="64">
        <v>3.37</v>
      </c>
      <c r="F104" s="64">
        <v>7.33</v>
      </c>
      <c r="G104" s="64">
        <v>29.97</v>
      </c>
      <c r="H104" s="64">
        <v>17.91</v>
      </c>
      <c r="I104" s="64">
        <v>0.52</v>
      </c>
      <c r="J104" s="64">
        <v>0.08</v>
      </c>
      <c r="K104" s="64">
        <v>262.69</v>
      </c>
      <c r="L104" s="64">
        <v>24.98</v>
      </c>
      <c r="M104" s="64">
        <v>64.34</v>
      </c>
      <c r="N104" s="64">
        <v>6.1</v>
      </c>
      <c r="O104" s="64">
        <v>0</v>
      </c>
      <c r="P104" s="64">
        <v>0.63</v>
      </c>
      <c r="Q104" s="64">
        <v>20.47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17.02</v>
      </c>
      <c r="D106" s="67">
        <f t="shared" ref="D106:Q106" si="0">MIN(D9:D104)</f>
        <v>11.26</v>
      </c>
      <c r="E106" s="67">
        <f t="shared" si="0"/>
        <v>3.28</v>
      </c>
      <c r="F106" s="67">
        <f t="shared" si="0"/>
        <v>3.5</v>
      </c>
      <c r="G106" s="67">
        <f t="shared" si="0"/>
        <v>22.58</v>
      </c>
      <c r="H106" s="67">
        <f t="shared" si="0"/>
        <v>17.91</v>
      </c>
      <c r="I106" s="67">
        <f t="shared" si="0"/>
        <v>0.51</v>
      </c>
      <c r="J106" s="67">
        <f t="shared" si="0"/>
        <v>0.02</v>
      </c>
      <c r="K106" s="67">
        <f t="shared" si="0"/>
        <v>48.85</v>
      </c>
      <c r="L106" s="67">
        <f t="shared" si="0"/>
        <v>23.67</v>
      </c>
      <c r="M106" s="67">
        <f t="shared" si="0"/>
        <v>27.48</v>
      </c>
      <c r="N106" s="67">
        <f t="shared" si="0"/>
        <v>4.2</v>
      </c>
      <c r="O106" s="67">
        <f t="shared" si="0"/>
        <v>0</v>
      </c>
      <c r="P106" s="67">
        <f t="shared" si="0"/>
        <v>0.46</v>
      </c>
      <c r="Q106" s="67">
        <f t="shared" si="0"/>
        <v>17.350000000000001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19.79</v>
      </c>
      <c r="C107" s="66">
        <f t="shared" ref="C107:Q107" si="1">MAX(C9:C104)</f>
        <v>96.1</v>
      </c>
      <c r="D107" s="66">
        <f t="shared" si="1"/>
        <v>61.35</v>
      </c>
      <c r="E107" s="66">
        <f t="shared" si="1"/>
        <v>41.04</v>
      </c>
      <c r="F107" s="66">
        <f t="shared" si="1"/>
        <v>63.5</v>
      </c>
      <c r="G107" s="66">
        <f t="shared" si="1"/>
        <v>151.53</v>
      </c>
      <c r="H107" s="66">
        <f t="shared" si="1"/>
        <v>55.64</v>
      </c>
      <c r="I107" s="66">
        <f t="shared" si="1"/>
        <v>0.73</v>
      </c>
      <c r="J107" s="66">
        <f t="shared" si="1"/>
        <v>3.13</v>
      </c>
      <c r="K107" s="66">
        <f t="shared" si="1"/>
        <v>358.41</v>
      </c>
      <c r="L107" s="66">
        <f t="shared" si="1"/>
        <v>38.93</v>
      </c>
      <c r="M107" s="66">
        <f t="shared" si="1"/>
        <v>75.48</v>
      </c>
      <c r="N107" s="66">
        <f t="shared" si="1"/>
        <v>896.4</v>
      </c>
      <c r="O107" s="66">
        <f t="shared" si="1"/>
        <v>0.4</v>
      </c>
      <c r="P107" s="66">
        <f t="shared" si="1"/>
        <v>1.49</v>
      </c>
      <c r="Q107" s="66">
        <f t="shared" si="1"/>
        <v>27.12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5.8151041666666687</v>
      </c>
      <c r="C108" s="67">
        <f t="shared" ref="C108:Q108" si="2">AVERAGE(C9:C104)</f>
        <v>31.845833333333331</v>
      </c>
      <c r="D108" s="67">
        <f t="shared" si="2"/>
        <v>22.884374999999995</v>
      </c>
      <c r="E108" s="67">
        <f t="shared" si="2"/>
        <v>9.3207291666666645</v>
      </c>
      <c r="F108" s="67">
        <f t="shared" si="2"/>
        <v>18.969895833333336</v>
      </c>
      <c r="G108" s="67">
        <f t="shared" si="2"/>
        <v>72.326354166666661</v>
      </c>
      <c r="H108" s="67">
        <f t="shared" si="2"/>
        <v>31.003333333333305</v>
      </c>
      <c r="I108" s="67">
        <f t="shared" si="2"/>
        <v>0.60770833333333341</v>
      </c>
      <c r="J108" s="67">
        <f t="shared" si="2"/>
        <v>0.45062499999999989</v>
      </c>
      <c r="K108" s="67">
        <f t="shared" si="2"/>
        <v>226.26020833333325</v>
      </c>
      <c r="L108" s="67">
        <f t="shared" si="2"/>
        <v>29.999062499999997</v>
      </c>
      <c r="M108" s="67">
        <f t="shared" si="2"/>
        <v>48.076666666666661</v>
      </c>
      <c r="N108" s="67">
        <f t="shared" si="2"/>
        <v>235.859375</v>
      </c>
      <c r="O108" s="67">
        <f t="shared" si="2"/>
        <v>1.0416666666666666E-2</v>
      </c>
      <c r="P108" s="67">
        <f t="shared" si="2"/>
        <v>0.80749999999999977</v>
      </c>
      <c r="Q108" s="67">
        <f t="shared" si="2"/>
        <v>23.08260416666667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5.2180250336878382</v>
      </c>
      <c r="C109" s="67">
        <f t="shared" ref="C109:Q109" si="3">STDEV(C9:C104)</f>
        <v>12.60997430329755</v>
      </c>
      <c r="D109" s="67">
        <f t="shared" si="3"/>
        <v>8.7843005667707388</v>
      </c>
      <c r="E109" s="67">
        <f t="shared" si="3"/>
        <v>6.7204353312614167</v>
      </c>
      <c r="F109" s="67">
        <f t="shared" si="3"/>
        <v>13.531511176726607</v>
      </c>
      <c r="G109" s="67">
        <f t="shared" si="3"/>
        <v>28.941547702396477</v>
      </c>
      <c r="H109" s="67">
        <f t="shared" si="3"/>
        <v>10.174234606326069</v>
      </c>
      <c r="I109" s="67">
        <f t="shared" si="3"/>
        <v>5.7481881203268435E-2</v>
      </c>
      <c r="J109" s="67">
        <f t="shared" si="3"/>
        <v>0.57621599111882738</v>
      </c>
      <c r="K109" s="67">
        <f t="shared" si="3"/>
        <v>68.58312489970713</v>
      </c>
      <c r="L109" s="67">
        <f t="shared" si="3"/>
        <v>4.845141261994752</v>
      </c>
      <c r="M109" s="67">
        <f t="shared" si="3"/>
        <v>14.374384502459996</v>
      </c>
      <c r="N109" s="67">
        <f t="shared" si="3"/>
        <v>313.01777873775961</v>
      </c>
      <c r="O109" s="67">
        <f t="shared" si="3"/>
        <v>6.0661557525367824E-2</v>
      </c>
      <c r="P109" s="67">
        <f t="shared" si="3"/>
        <v>0.24036375941914692</v>
      </c>
      <c r="Q109" s="67">
        <f t="shared" si="3"/>
        <v>2.21081468422445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1110</v>
      </c>
      <c r="B9" s="64">
        <v>2.04</v>
      </c>
      <c r="C9" s="64">
        <v>18.53</v>
      </c>
      <c r="D9" s="64">
        <v>12.51</v>
      </c>
      <c r="E9" s="64">
        <v>4.03</v>
      </c>
      <c r="F9" s="64">
        <v>7.51</v>
      </c>
      <c r="G9" s="64">
        <v>45.41</v>
      </c>
      <c r="H9" s="64">
        <v>18.8</v>
      </c>
      <c r="I9" s="64">
        <v>0.51</v>
      </c>
      <c r="J9" s="64">
        <v>7.0000000000000007E-2</v>
      </c>
      <c r="K9" s="64">
        <v>214.95</v>
      </c>
      <c r="L9" s="64">
        <v>25.13</v>
      </c>
      <c r="M9" s="64">
        <v>58.59</v>
      </c>
      <c r="N9" s="64">
        <v>5.7</v>
      </c>
      <c r="O9" s="64">
        <v>0</v>
      </c>
      <c r="P9" s="64">
        <v>0.54</v>
      </c>
      <c r="Q9" s="64">
        <v>21.28</v>
      </c>
      <c r="R9" s="198"/>
      <c r="S9" s="198"/>
      <c r="T9" s="198"/>
      <c r="U9" s="198"/>
    </row>
    <row r="10" spans="1:21" s="12" customFormat="1" x14ac:dyDescent="0.25">
      <c r="A10" s="211" t="s">
        <v>1111</v>
      </c>
      <c r="B10" s="64">
        <v>1.73</v>
      </c>
      <c r="C10" s="64">
        <v>17.02</v>
      </c>
      <c r="D10" s="64">
        <v>11.43</v>
      </c>
      <c r="E10" s="64">
        <v>3.77</v>
      </c>
      <c r="F10" s="64">
        <v>13.81</v>
      </c>
      <c r="G10" s="64">
        <v>48.75</v>
      </c>
      <c r="H10" s="64">
        <v>18.8</v>
      </c>
      <c r="I10" s="64">
        <v>0.53</v>
      </c>
      <c r="J10" s="64">
        <v>0.19</v>
      </c>
      <c r="K10" s="64">
        <v>229.56</v>
      </c>
      <c r="L10" s="64">
        <v>24.84</v>
      </c>
      <c r="M10" s="64">
        <v>60.66</v>
      </c>
      <c r="N10" s="64">
        <v>5.6</v>
      </c>
      <c r="O10" s="64">
        <v>0</v>
      </c>
      <c r="P10" s="64">
        <v>0.49</v>
      </c>
      <c r="Q10" s="64">
        <v>21.57</v>
      </c>
      <c r="R10" s="198"/>
      <c r="S10" s="198"/>
      <c r="T10" s="198"/>
      <c r="U10" s="198"/>
    </row>
    <row r="11" spans="1:21" s="12" customFormat="1" x14ac:dyDescent="0.25">
      <c r="A11" s="211" t="s">
        <v>1112</v>
      </c>
      <c r="B11" s="64">
        <v>1.39</v>
      </c>
      <c r="C11" s="64">
        <v>16.309999999999999</v>
      </c>
      <c r="D11" s="64">
        <v>10.76</v>
      </c>
      <c r="E11" s="64">
        <v>4.3499999999999996</v>
      </c>
      <c r="F11" s="64">
        <v>23.52</v>
      </c>
      <c r="G11" s="64">
        <v>48.75</v>
      </c>
      <c r="H11" s="64">
        <v>18.8</v>
      </c>
      <c r="I11" s="64">
        <v>0.52</v>
      </c>
      <c r="J11" s="64">
        <v>0.31</v>
      </c>
      <c r="K11" s="64">
        <v>219.48</v>
      </c>
      <c r="L11" s="64">
        <v>24.7</v>
      </c>
      <c r="M11" s="64">
        <v>61.26</v>
      </c>
      <c r="N11" s="64">
        <v>5.6</v>
      </c>
      <c r="O11" s="64">
        <v>0</v>
      </c>
      <c r="P11" s="64">
        <v>0.42</v>
      </c>
      <c r="Q11" s="64">
        <v>20.71</v>
      </c>
      <c r="R11" s="198"/>
      <c r="S11" s="198"/>
      <c r="T11" s="198"/>
      <c r="U11" s="198"/>
    </row>
    <row r="12" spans="1:21" s="12" customFormat="1" x14ac:dyDescent="0.25">
      <c r="A12" s="211" t="s">
        <v>1113</v>
      </c>
      <c r="B12" s="64">
        <v>1.44</v>
      </c>
      <c r="C12" s="64">
        <v>15.46</v>
      </c>
      <c r="D12" s="64">
        <v>10.33</v>
      </c>
      <c r="E12" s="64">
        <v>4</v>
      </c>
      <c r="F12" s="64">
        <v>17.510000000000002</v>
      </c>
      <c r="G12" s="64">
        <v>48.75</v>
      </c>
      <c r="H12" s="64">
        <v>18.8</v>
      </c>
      <c r="I12" s="64">
        <v>0.51</v>
      </c>
      <c r="J12" s="64">
        <v>0.14000000000000001</v>
      </c>
      <c r="K12" s="64">
        <v>245.44</v>
      </c>
      <c r="L12" s="64">
        <v>24.3</v>
      </c>
      <c r="M12" s="64">
        <v>64.209999999999994</v>
      </c>
      <c r="N12" s="64">
        <v>6.1</v>
      </c>
      <c r="O12" s="64">
        <v>0</v>
      </c>
      <c r="P12" s="64">
        <v>0.46</v>
      </c>
      <c r="Q12" s="64">
        <v>19.89</v>
      </c>
      <c r="R12" s="198"/>
      <c r="S12" s="198"/>
      <c r="T12" s="198"/>
      <c r="U12" s="198"/>
    </row>
    <row r="13" spans="1:21" s="12" customFormat="1" x14ac:dyDescent="0.25">
      <c r="A13" s="211" t="s">
        <v>1114</v>
      </c>
      <c r="B13" s="64">
        <v>1.37</v>
      </c>
      <c r="C13" s="64">
        <v>14.96</v>
      </c>
      <c r="D13" s="64">
        <v>10</v>
      </c>
      <c r="E13" s="64">
        <v>4.25</v>
      </c>
      <c r="F13" s="64">
        <v>26.25</v>
      </c>
      <c r="G13" s="64">
        <v>30.04</v>
      </c>
      <c r="H13" s="64">
        <v>14.71</v>
      </c>
      <c r="I13" s="64">
        <v>0.5</v>
      </c>
      <c r="J13" s="64">
        <v>0.18</v>
      </c>
      <c r="K13" s="64">
        <v>232.46</v>
      </c>
      <c r="L13" s="64">
        <v>24.14</v>
      </c>
      <c r="M13" s="64">
        <v>64.67</v>
      </c>
      <c r="N13" s="64">
        <v>5.8</v>
      </c>
      <c r="O13" s="64">
        <v>0</v>
      </c>
      <c r="P13" s="64">
        <v>0.37</v>
      </c>
      <c r="Q13" s="64">
        <v>22.64</v>
      </c>
      <c r="R13" s="198"/>
      <c r="S13" s="198"/>
      <c r="T13" s="198"/>
      <c r="U13" s="198"/>
    </row>
    <row r="14" spans="1:21" s="12" customFormat="1" x14ac:dyDescent="0.25">
      <c r="A14" s="211" t="s">
        <v>1115</v>
      </c>
      <c r="B14" s="64">
        <v>1.64</v>
      </c>
      <c r="C14" s="64">
        <v>13.21</v>
      </c>
      <c r="D14" s="64">
        <v>9.25</v>
      </c>
      <c r="E14" s="64">
        <v>4.28</v>
      </c>
      <c r="F14" s="64">
        <v>14.25</v>
      </c>
      <c r="G14" s="64">
        <v>26</v>
      </c>
      <c r="H14" s="64">
        <v>14.71</v>
      </c>
      <c r="I14" s="64">
        <v>0.51</v>
      </c>
      <c r="J14" s="64">
        <v>0.1</v>
      </c>
      <c r="K14" s="64">
        <v>265.81</v>
      </c>
      <c r="L14" s="64">
        <v>24.01</v>
      </c>
      <c r="M14" s="64">
        <v>65.83</v>
      </c>
      <c r="N14" s="64">
        <v>6</v>
      </c>
      <c r="O14" s="64">
        <v>0</v>
      </c>
      <c r="P14" s="64">
        <v>0.47</v>
      </c>
      <c r="Q14" s="64">
        <v>21.57</v>
      </c>
      <c r="R14" s="198"/>
      <c r="S14" s="198"/>
      <c r="T14" s="198"/>
      <c r="U14" s="198"/>
    </row>
    <row r="15" spans="1:21" s="12" customFormat="1" x14ac:dyDescent="0.25">
      <c r="A15" s="211" t="s">
        <v>1116</v>
      </c>
      <c r="B15" s="64">
        <v>2.0499999999999998</v>
      </c>
      <c r="C15" s="64">
        <v>13.82</v>
      </c>
      <c r="D15" s="64">
        <v>9.92</v>
      </c>
      <c r="E15" s="64">
        <v>4.4000000000000004</v>
      </c>
      <c r="F15" s="64">
        <v>4.1399999999999997</v>
      </c>
      <c r="G15" s="64">
        <v>26</v>
      </c>
      <c r="H15" s="64">
        <v>14.71</v>
      </c>
      <c r="I15" s="64">
        <v>0.49</v>
      </c>
      <c r="J15" s="64">
        <v>0.08</v>
      </c>
      <c r="K15" s="64">
        <v>44.46</v>
      </c>
      <c r="L15" s="64">
        <v>23.95</v>
      </c>
      <c r="M15" s="64">
        <v>66.88</v>
      </c>
      <c r="N15" s="64">
        <v>6</v>
      </c>
      <c r="O15" s="64">
        <v>0</v>
      </c>
      <c r="P15" s="64">
        <v>0.51</v>
      </c>
      <c r="Q15" s="64">
        <v>23.47</v>
      </c>
      <c r="R15" s="198"/>
      <c r="S15" s="198"/>
      <c r="T15" s="198"/>
      <c r="U15" s="198"/>
    </row>
    <row r="16" spans="1:21" s="12" customFormat="1" x14ac:dyDescent="0.25">
      <c r="A16" s="211" t="s">
        <v>1117</v>
      </c>
      <c r="B16" s="64">
        <v>1.98</v>
      </c>
      <c r="C16" s="64">
        <v>11.82</v>
      </c>
      <c r="D16" s="64">
        <v>8.75</v>
      </c>
      <c r="E16" s="64">
        <v>4.22</v>
      </c>
      <c r="F16" s="64">
        <v>5.45</v>
      </c>
      <c r="G16" s="64">
        <v>26</v>
      </c>
      <c r="H16" s="64">
        <v>14.71</v>
      </c>
      <c r="I16" s="64">
        <v>0.55000000000000004</v>
      </c>
      <c r="J16" s="64">
        <v>7.0000000000000007E-2</v>
      </c>
      <c r="K16" s="64">
        <v>209.45</v>
      </c>
      <c r="L16" s="64">
        <v>23.88</v>
      </c>
      <c r="M16" s="64">
        <v>66.95</v>
      </c>
      <c r="N16" s="64">
        <v>5.6</v>
      </c>
      <c r="O16" s="64">
        <v>0</v>
      </c>
      <c r="P16" s="64">
        <v>0.49</v>
      </c>
      <c r="Q16" s="64">
        <v>22.52</v>
      </c>
      <c r="R16" s="198"/>
      <c r="S16" s="198"/>
      <c r="T16" s="198"/>
      <c r="U16" s="198"/>
    </row>
    <row r="17" spans="1:21" s="12" customFormat="1" x14ac:dyDescent="0.25">
      <c r="A17" s="211" t="s">
        <v>1118</v>
      </c>
      <c r="B17" s="64">
        <v>1.69</v>
      </c>
      <c r="C17" s="64">
        <v>11.9</v>
      </c>
      <c r="D17" s="64">
        <v>8.56</v>
      </c>
      <c r="E17" s="64">
        <v>3.74</v>
      </c>
      <c r="F17" s="64">
        <v>7.78</v>
      </c>
      <c r="G17" s="64">
        <v>29.08</v>
      </c>
      <c r="H17" s="64">
        <v>12.52</v>
      </c>
      <c r="I17" s="64">
        <v>0.57999999999999996</v>
      </c>
      <c r="J17" s="64">
        <v>7.0000000000000007E-2</v>
      </c>
      <c r="K17" s="64">
        <v>226.1</v>
      </c>
      <c r="L17" s="64">
        <v>23.8</v>
      </c>
      <c r="M17" s="64">
        <v>67.709999999999994</v>
      </c>
      <c r="N17" s="64">
        <v>5.7</v>
      </c>
      <c r="O17" s="64">
        <v>0</v>
      </c>
      <c r="P17" s="64">
        <v>0.45</v>
      </c>
      <c r="Q17" s="64">
        <v>22.38</v>
      </c>
      <c r="R17" s="198"/>
      <c r="S17" s="198"/>
      <c r="T17" s="198"/>
      <c r="U17" s="198"/>
    </row>
    <row r="18" spans="1:21" s="12" customFormat="1" x14ac:dyDescent="0.25">
      <c r="A18" s="211" t="s">
        <v>1119</v>
      </c>
      <c r="B18" s="64">
        <v>1.61</v>
      </c>
      <c r="C18" s="64">
        <v>11.36</v>
      </c>
      <c r="D18" s="64">
        <v>8.2100000000000009</v>
      </c>
      <c r="E18" s="64">
        <v>3.94</v>
      </c>
      <c r="F18" s="64">
        <v>5.47</v>
      </c>
      <c r="G18" s="64">
        <v>29.75</v>
      </c>
      <c r="H18" s="64">
        <v>12.52</v>
      </c>
      <c r="I18" s="64">
        <v>0.56999999999999995</v>
      </c>
      <c r="J18" s="64">
        <v>0.05</v>
      </c>
      <c r="K18" s="64">
        <v>336.46</v>
      </c>
      <c r="L18" s="64">
        <v>23.59</v>
      </c>
      <c r="M18" s="64">
        <v>68.94</v>
      </c>
      <c r="N18" s="64">
        <v>5.8</v>
      </c>
      <c r="O18" s="64">
        <v>0</v>
      </c>
      <c r="P18" s="64">
        <v>0.48</v>
      </c>
      <c r="Q18" s="64">
        <v>21.23</v>
      </c>
      <c r="R18" s="198"/>
      <c r="S18" s="198"/>
      <c r="T18" s="198"/>
      <c r="U18" s="198"/>
    </row>
    <row r="19" spans="1:21" s="12" customFormat="1" x14ac:dyDescent="0.25">
      <c r="A19" s="211" t="s">
        <v>1120</v>
      </c>
      <c r="B19" s="64">
        <v>1.47</v>
      </c>
      <c r="C19" s="64">
        <v>11.65</v>
      </c>
      <c r="D19" s="64">
        <v>8.25</v>
      </c>
      <c r="E19" s="64">
        <v>3.94</v>
      </c>
      <c r="F19" s="64">
        <v>4.51</v>
      </c>
      <c r="G19" s="64">
        <v>29.75</v>
      </c>
      <c r="H19" s="64">
        <v>12.52</v>
      </c>
      <c r="I19" s="64">
        <v>0.56000000000000005</v>
      </c>
      <c r="J19" s="64">
        <v>0.05</v>
      </c>
      <c r="K19" s="64">
        <v>304.77999999999997</v>
      </c>
      <c r="L19" s="64">
        <v>23.45</v>
      </c>
      <c r="M19" s="64">
        <v>69.790000000000006</v>
      </c>
      <c r="N19" s="64">
        <v>5.7</v>
      </c>
      <c r="O19" s="64">
        <v>0</v>
      </c>
      <c r="P19" s="64">
        <v>0.45</v>
      </c>
      <c r="Q19" s="64">
        <v>22.25</v>
      </c>
      <c r="R19" s="198"/>
      <c r="S19" s="198"/>
      <c r="T19" s="198"/>
      <c r="U19" s="198"/>
    </row>
    <row r="20" spans="1:21" s="12" customFormat="1" x14ac:dyDescent="0.25">
      <c r="A20" s="211" t="s">
        <v>1121</v>
      </c>
      <c r="B20" s="64">
        <v>1.39</v>
      </c>
      <c r="C20" s="64">
        <v>11.35</v>
      </c>
      <c r="D20" s="64">
        <v>8.02</v>
      </c>
      <c r="E20" s="64">
        <v>3.76</v>
      </c>
      <c r="F20" s="64">
        <v>4.4000000000000004</v>
      </c>
      <c r="G20" s="64">
        <v>29.75</v>
      </c>
      <c r="H20" s="64">
        <v>12.52</v>
      </c>
      <c r="I20" s="64">
        <v>0.56000000000000005</v>
      </c>
      <c r="J20" s="64">
        <v>0.16</v>
      </c>
      <c r="K20" s="64">
        <v>268.44</v>
      </c>
      <c r="L20" s="64">
        <v>23.19</v>
      </c>
      <c r="M20" s="64">
        <v>71.77</v>
      </c>
      <c r="N20" s="64">
        <v>5.8</v>
      </c>
      <c r="O20" s="64">
        <v>0</v>
      </c>
      <c r="P20" s="64">
        <v>0.44</v>
      </c>
      <c r="Q20" s="64">
        <v>21.66</v>
      </c>
      <c r="R20" s="198"/>
      <c r="S20" s="198"/>
      <c r="T20" s="198"/>
      <c r="U20" s="198"/>
    </row>
    <row r="21" spans="1:21" s="12" customFormat="1" x14ac:dyDescent="0.25">
      <c r="A21" s="211" t="s">
        <v>1122</v>
      </c>
      <c r="B21" s="64">
        <v>1.43</v>
      </c>
      <c r="C21" s="64">
        <v>11.42</v>
      </c>
      <c r="D21" s="64">
        <v>8.1</v>
      </c>
      <c r="E21" s="64">
        <v>3.54</v>
      </c>
      <c r="F21" s="64">
        <v>4.7300000000000004</v>
      </c>
      <c r="G21" s="212" t="s">
        <v>43</v>
      </c>
      <c r="H21" s="212" t="s">
        <v>43</v>
      </c>
      <c r="I21" s="64">
        <v>0.55000000000000004</v>
      </c>
      <c r="J21" s="64">
        <v>0.11</v>
      </c>
      <c r="K21" s="64">
        <v>272.45</v>
      </c>
      <c r="L21" s="64">
        <v>23.12</v>
      </c>
      <c r="M21" s="64">
        <v>72</v>
      </c>
      <c r="N21" s="64">
        <v>5.6</v>
      </c>
      <c r="O21" s="64">
        <v>0</v>
      </c>
      <c r="P21" s="64">
        <v>0.43</v>
      </c>
      <c r="Q21" s="64">
        <v>20.78</v>
      </c>
      <c r="R21" s="198"/>
      <c r="S21" s="198"/>
      <c r="T21" s="198"/>
      <c r="U21" s="198"/>
    </row>
    <row r="22" spans="1:21" s="12" customFormat="1" x14ac:dyDescent="0.25">
      <c r="A22" s="211" t="s">
        <v>1123</v>
      </c>
      <c r="B22" s="64">
        <v>1.35</v>
      </c>
      <c r="C22" s="64">
        <v>13.55</v>
      </c>
      <c r="D22" s="64">
        <v>9.1999999999999993</v>
      </c>
      <c r="E22" s="64">
        <v>3.82</v>
      </c>
      <c r="F22" s="64">
        <v>14.24</v>
      </c>
      <c r="G22" s="212" t="s">
        <v>43</v>
      </c>
      <c r="H22" s="212" t="s">
        <v>43</v>
      </c>
      <c r="I22" s="64">
        <v>0.55000000000000004</v>
      </c>
      <c r="J22" s="64">
        <v>7.0000000000000007E-2</v>
      </c>
      <c r="K22" s="64">
        <v>251.25</v>
      </c>
      <c r="L22" s="64">
        <v>23.63</v>
      </c>
      <c r="M22" s="64">
        <v>69.010000000000005</v>
      </c>
      <c r="N22" s="64">
        <v>5.2</v>
      </c>
      <c r="O22" s="64">
        <v>0</v>
      </c>
      <c r="P22" s="64">
        <v>0.4</v>
      </c>
      <c r="Q22" s="64">
        <v>22.35</v>
      </c>
      <c r="R22" s="198"/>
      <c r="S22" s="198"/>
      <c r="T22" s="198"/>
      <c r="U22" s="198"/>
    </row>
    <row r="23" spans="1:21" s="12" customFormat="1" x14ac:dyDescent="0.25">
      <c r="A23" s="211" t="s">
        <v>1124</v>
      </c>
      <c r="B23" s="64">
        <v>1.34</v>
      </c>
      <c r="C23" s="64">
        <v>13.55</v>
      </c>
      <c r="D23" s="64">
        <v>9.1999999999999993</v>
      </c>
      <c r="E23" s="64">
        <v>4.16</v>
      </c>
      <c r="F23" s="64">
        <v>11.79</v>
      </c>
      <c r="G23" s="212" t="s">
        <v>43</v>
      </c>
      <c r="H23" s="212" t="s">
        <v>43</v>
      </c>
      <c r="I23" s="64">
        <v>0.54</v>
      </c>
      <c r="J23" s="64">
        <v>0.06</v>
      </c>
      <c r="K23" s="64">
        <v>28.6</v>
      </c>
      <c r="L23" s="64">
        <v>23.49</v>
      </c>
      <c r="M23" s="64">
        <v>70.650000000000006</v>
      </c>
      <c r="N23" s="64">
        <v>5.8</v>
      </c>
      <c r="O23" s="64">
        <v>0</v>
      </c>
      <c r="P23" s="64">
        <v>0.41</v>
      </c>
      <c r="Q23" s="64">
        <v>19.91</v>
      </c>
      <c r="R23" s="198"/>
      <c r="S23" s="198"/>
      <c r="T23" s="198"/>
      <c r="U23" s="198"/>
    </row>
    <row r="24" spans="1:21" s="12" customFormat="1" x14ac:dyDescent="0.25">
      <c r="A24" s="211" t="s">
        <v>1125</v>
      </c>
      <c r="B24" s="64">
        <v>1.67</v>
      </c>
      <c r="C24" s="64">
        <v>15.1</v>
      </c>
      <c r="D24" s="64">
        <v>10.32</v>
      </c>
      <c r="E24" s="64">
        <v>2.63</v>
      </c>
      <c r="F24" s="64">
        <v>6.37</v>
      </c>
      <c r="G24" s="212" t="s">
        <v>43</v>
      </c>
      <c r="H24" s="212" t="s">
        <v>43</v>
      </c>
      <c r="I24" s="64">
        <v>0.52</v>
      </c>
      <c r="J24" s="64">
        <v>0.02</v>
      </c>
      <c r="K24" s="64">
        <v>308.24</v>
      </c>
      <c r="L24" s="64">
        <v>23.41</v>
      </c>
      <c r="M24" s="64">
        <v>71.09</v>
      </c>
      <c r="N24" s="64">
        <v>5.4</v>
      </c>
      <c r="O24" s="64">
        <v>0</v>
      </c>
      <c r="P24" s="64">
        <v>0.42</v>
      </c>
      <c r="Q24" s="64">
        <v>21.86</v>
      </c>
      <c r="R24" s="198"/>
      <c r="S24" s="198"/>
      <c r="T24" s="198"/>
      <c r="U24" s="198"/>
    </row>
    <row r="25" spans="1:21" s="12" customFormat="1" x14ac:dyDescent="0.25">
      <c r="A25" s="211" t="s">
        <v>1126</v>
      </c>
      <c r="B25" s="64">
        <v>1.86</v>
      </c>
      <c r="C25" s="64">
        <v>14.25</v>
      </c>
      <c r="D25" s="64">
        <v>10</v>
      </c>
      <c r="E25" s="64">
        <v>3.11</v>
      </c>
      <c r="F25" s="64">
        <v>7.51</v>
      </c>
      <c r="G25" s="64">
        <v>26.94</v>
      </c>
      <c r="H25" s="64">
        <v>13.6</v>
      </c>
      <c r="I25" s="64">
        <v>0.5</v>
      </c>
      <c r="J25" s="64">
        <v>0.05</v>
      </c>
      <c r="K25" s="64">
        <v>282.56</v>
      </c>
      <c r="L25" s="64">
        <v>23.37</v>
      </c>
      <c r="M25" s="64">
        <v>71.989999999999995</v>
      </c>
      <c r="N25" s="64">
        <v>5.9</v>
      </c>
      <c r="O25" s="64">
        <v>0</v>
      </c>
      <c r="P25" s="64">
        <v>0.41</v>
      </c>
      <c r="Q25" s="64">
        <v>21.1</v>
      </c>
      <c r="R25" s="198"/>
      <c r="S25" s="198"/>
      <c r="T25" s="198"/>
      <c r="U25" s="198"/>
    </row>
    <row r="26" spans="1:21" s="12" customFormat="1" x14ac:dyDescent="0.25">
      <c r="A26" s="211" t="s">
        <v>1127</v>
      </c>
      <c r="B26" s="64">
        <v>1.99</v>
      </c>
      <c r="C26" s="64">
        <v>15.76</v>
      </c>
      <c r="D26" s="64">
        <v>10.94</v>
      </c>
      <c r="E26" s="64">
        <v>3.43</v>
      </c>
      <c r="F26" s="64">
        <v>7.98</v>
      </c>
      <c r="G26" s="64">
        <v>31.6</v>
      </c>
      <c r="H26" s="64">
        <v>13.6</v>
      </c>
      <c r="I26" s="64">
        <v>0.54</v>
      </c>
      <c r="J26" s="64">
        <v>0.01</v>
      </c>
      <c r="K26" s="64">
        <v>335.53</v>
      </c>
      <c r="L26" s="64">
        <v>23.34</v>
      </c>
      <c r="M26" s="64">
        <v>71.540000000000006</v>
      </c>
      <c r="N26" s="64">
        <v>5.6</v>
      </c>
      <c r="O26" s="64">
        <v>0</v>
      </c>
      <c r="P26" s="64">
        <v>0.4</v>
      </c>
      <c r="Q26" s="64">
        <v>22.63</v>
      </c>
      <c r="R26" s="198"/>
      <c r="S26" s="198"/>
      <c r="T26" s="198"/>
      <c r="U26" s="198"/>
    </row>
    <row r="27" spans="1:21" s="12" customFormat="1" x14ac:dyDescent="0.25">
      <c r="A27" s="211" t="s">
        <v>1128</v>
      </c>
      <c r="B27" s="64">
        <v>2.3199999999999998</v>
      </c>
      <c r="C27" s="64">
        <v>15.04</v>
      </c>
      <c r="D27" s="64">
        <v>10.8</v>
      </c>
      <c r="E27" s="64">
        <v>3.15</v>
      </c>
      <c r="F27" s="64">
        <v>4.58</v>
      </c>
      <c r="G27" s="64">
        <v>31.6</v>
      </c>
      <c r="H27" s="64">
        <v>13.6</v>
      </c>
      <c r="I27" s="64">
        <v>0.53</v>
      </c>
      <c r="J27" s="64">
        <v>0.14000000000000001</v>
      </c>
      <c r="K27" s="64">
        <v>279.73</v>
      </c>
      <c r="L27" s="64">
        <v>23.22</v>
      </c>
      <c r="M27" s="64">
        <v>72.53</v>
      </c>
      <c r="N27" s="64">
        <v>5.7</v>
      </c>
      <c r="O27" s="64">
        <v>0</v>
      </c>
      <c r="P27" s="64">
        <v>0.41</v>
      </c>
      <c r="Q27" s="64">
        <v>22.37</v>
      </c>
      <c r="R27" s="198"/>
      <c r="S27" s="198"/>
      <c r="T27" s="198"/>
      <c r="U27" s="198"/>
    </row>
    <row r="28" spans="1:21" s="12" customFormat="1" x14ac:dyDescent="0.25">
      <c r="A28" s="211" t="s">
        <v>1129</v>
      </c>
      <c r="B28" s="64">
        <v>2.5499999999999998</v>
      </c>
      <c r="C28" s="64">
        <v>14.35</v>
      </c>
      <c r="D28" s="64">
        <v>10.62</v>
      </c>
      <c r="E28" s="64">
        <v>3.14</v>
      </c>
      <c r="F28" s="64">
        <v>4.0599999999999996</v>
      </c>
      <c r="G28" s="64">
        <v>31.6</v>
      </c>
      <c r="H28" s="64">
        <v>13.6</v>
      </c>
      <c r="I28" s="64">
        <v>0.54</v>
      </c>
      <c r="J28" s="64">
        <v>0.27</v>
      </c>
      <c r="K28" s="64">
        <v>266.52999999999997</v>
      </c>
      <c r="L28" s="64">
        <v>23.14</v>
      </c>
      <c r="M28" s="64">
        <v>73.209999999999994</v>
      </c>
      <c r="N28" s="64">
        <v>5.5</v>
      </c>
      <c r="O28" s="64">
        <v>0</v>
      </c>
      <c r="P28" s="64">
        <v>0.42</v>
      </c>
      <c r="Q28" s="64">
        <v>22.09</v>
      </c>
      <c r="R28" s="198"/>
      <c r="S28" s="198"/>
      <c r="T28" s="198"/>
      <c r="U28" s="198"/>
    </row>
    <row r="29" spans="1:21" s="12" customFormat="1" x14ac:dyDescent="0.25">
      <c r="A29" s="211" t="s">
        <v>1130</v>
      </c>
      <c r="B29" s="64">
        <v>3.34</v>
      </c>
      <c r="C29" s="64">
        <v>15.11</v>
      </c>
      <c r="D29" s="64">
        <v>11.67</v>
      </c>
      <c r="E29" s="64">
        <v>2.72</v>
      </c>
      <c r="F29" s="64">
        <v>4.4000000000000004</v>
      </c>
      <c r="G29" s="64">
        <v>40.49</v>
      </c>
      <c r="H29" s="64">
        <v>16.309999999999999</v>
      </c>
      <c r="I29" s="64">
        <v>0.55000000000000004</v>
      </c>
      <c r="J29" s="64">
        <v>0.83</v>
      </c>
      <c r="K29" s="64">
        <v>265.60000000000002</v>
      </c>
      <c r="L29" s="64">
        <v>23.06</v>
      </c>
      <c r="M29" s="64">
        <v>73.63</v>
      </c>
      <c r="N29" s="64">
        <v>5.7</v>
      </c>
      <c r="O29" s="64">
        <v>0</v>
      </c>
      <c r="P29" s="64">
        <v>0.42</v>
      </c>
      <c r="Q29" s="64">
        <v>22.13</v>
      </c>
      <c r="R29" s="198"/>
      <c r="S29" s="198"/>
      <c r="T29" s="198"/>
      <c r="U29" s="198"/>
    </row>
    <row r="30" spans="1:21" s="12" customFormat="1" x14ac:dyDescent="0.25">
      <c r="A30" s="211" t="s">
        <v>1131</v>
      </c>
      <c r="B30" s="64">
        <v>3.07</v>
      </c>
      <c r="C30" s="64">
        <v>15.08</v>
      </c>
      <c r="D30" s="64">
        <v>11.43</v>
      </c>
      <c r="E30" s="64">
        <v>3.11</v>
      </c>
      <c r="F30" s="64">
        <v>5.49</v>
      </c>
      <c r="G30" s="64">
        <v>42.41</v>
      </c>
      <c r="H30" s="64">
        <v>16.309999999999999</v>
      </c>
      <c r="I30" s="64">
        <v>0.54</v>
      </c>
      <c r="J30" s="64">
        <v>0.53</v>
      </c>
      <c r="K30" s="64">
        <v>278.3</v>
      </c>
      <c r="L30" s="64">
        <v>23.05</v>
      </c>
      <c r="M30" s="64">
        <v>74</v>
      </c>
      <c r="N30" s="64">
        <v>10.9</v>
      </c>
      <c r="O30" s="64">
        <v>0</v>
      </c>
      <c r="P30" s="64">
        <v>0.44</v>
      </c>
      <c r="Q30" s="64">
        <v>22.83</v>
      </c>
      <c r="R30" s="198"/>
      <c r="S30" s="198"/>
      <c r="T30" s="198"/>
      <c r="U30" s="198"/>
    </row>
    <row r="31" spans="1:21" s="12" customFormat="1" x14ac:dyDescent="0.25">
      <c r="A31" s="211" t="s">
        <v>1132</v>
      </c>
      <c r="B31" s="64">
        <v>4.51</v>
      </c>
      <c r="C31" s="64">
        <v>15.46</v>
      </c>
      <c r="D31" s="64">
        <v>12.79</v>
      </c>
      <c r="E31" s="64">
        <v>3.3</v>
      </c>
      <c r="F31" s="64">
        <v>3.92</v>
      </c>
      <c r="G31" s="64">
        <v>42.41</v>
      </c>
      <c r="H31" s="64">
        <v>16.309999999999999</v>
      </c>
      <c r="I31" s="64">
        <v>0.53</v>
      </c>
      <c r="J31" s="64">
        <v>0.79</v>
      </c>
      <c r="K31" s="64">
        <v>263.88</v>
      </c>
      <c r="L31" s="64">
        <v>23.15</v>
      </c>
      <c r="M31" s="64">
        <v>73.98</v>
      </c>
      <c r="N31" s="64">
        <v>28.1</v>
      </c>
      <c r="O31" s="64">
        <v>0</v>
      </c>
      <c r="P31" s="64">
        <v>0.45</v>
      </c>
      <c r="Q31" s="64">
        <v>22.62</v>
      </c>
      <c r="R31" s="198"/>
      <c r="S31" s="198"/>
      <c r="T31" s="198"/>
      <c r="U31" s="198"/>
    </row>
    <row r="32" spans="1:21" s="12" customFormat="1" x14ac:dyDescent="0.25">
      <c r="A32" s="211" t="s">
        <v>1133</v>
      </c>
      <c r="B32" s="64">
        <v>6.11</v>
      </c>
      <c r="C32" s="64">
        <v>16.690000000000001</v>
      </c>
      <c r="D32" s="64">
        <v>14.75</v>
      </c>
      <c r="E32" s="64">
        <v>3.27</v>
      </c>
      <c r="F32" s="64">
        <v>3.67</v>
      </c>
      <c r="G32" s="64">
        <v>42.41</v>
      </c>
      <c r="H32" s="64">
        <v>16.309999999999999</v>
      </c>
      <c r="I32" s="64">
        <v>0.53</v>
      </c>
      <c r="J32" s="64">
        <v>0.5</v>
      </c>
      <c r="K32" s="64">
        <v>287.25</v>
      </c>
      <c r="L32" s="64">
        <v>23.61</v>
      </c>
      <c r="M32" s="64">
        <v>73.010000000000005</v>
      </c>
      <c r="N32" s="64">
        <v>50.4</v>
      </c>
      <c r="O32" s="64">
        <v>0</v>
      </c>
      <c r="P32" s="64">
        <v>0.48</v>
      </c>
      <c r="Q32" s="64">
        <v>22.69</v>
      </c>
      <c r="R32" s="198"/>
      <c r="S32" s="198"/>
      <c r="T32" s="198"/>
      <c r="U32" s="198"/>
    </row>
    <row r="33" spans="1:21" s="12" customFormat="1" x14ac:dyDescent="0.25">
      <c r="A33" s="211" t="s">
        <v>1134</v>
      </c>
      <c r="B33" s="64">
        <v>7.43</v>
      </c>
      <c r="C33" s="64">
        <v>18.37</v>
      </c>
      <c r="D33" s="64">
        <v>16.739999999999998</v>
      </c>
      <c r="E33" s="64">
        <v>2.66</v>
      </c>
      <c r="F33" s="64">
        <v>3.8</v>
      </c>
      <c r="G33" s="64">
        <v>52.03</v>
      </c>
      <c r="H33" s="64">
        <v>23.77</v>
      </c>
      <c r="I33" s="64">
        <v>0.53</v>
      </c>
      <c r="J33" s="64">
        <v>0.54</v>
      </c>
      <c r="K33" s="64">
        <v>262.86</v>
      </c>
      <c r="L33" s="64">
        <v>24.26</v>
      </c>
      <c r="M33" s="64">
        <v>70.739999999999995</v>
      </c>
      <c r="N33" s="64">
        <v>75.599999999999994</v>
      </c>
      <c r="O33" s="64">
        <v>0</v>
      </c>
      <c r="P33" s="64">
        <v>0.54</v>
      </c>
      <c r="Q33" s="64">
        <v>22.64</v>
      </c>
      <c r="R33" s="198"/>
      <c r="S33" s="198"/>
      <c r="T33" s="198"/>
      <c r="U33" s="198"/>
    </row>
    <row r="34" spans="1:21" s="12" customFormat="1" x14ac:dyDescent="0.25">
      <c r="A34" s="211" t="s">
        <v>1135</v>
      </c>
      <c r="B34" s="64">
        <v>11.32</v>
      </c>
      <c r="C34" s="64">
        <v>25.73</v>
      </c>
      <c r="D34" s="64">
        <v>23.93</v>
      </c>
      <c r="E34" s="64">
        <v>3.7</v>
      </c>
      <c r="F34" s="64">
        <v>7.69</v>
      </c>
      <c r="G34" s="64">
        <v>54.11</v>
      </c>
      <c r="H34" s="64">
        <v>23.77</v>
      </c>
      <c r="I34" s="64">
        <v>0.54</v>
      </c>
      <c r="J34" s="64">
        <v>0.18</v>
      </c>
      <c r="K34" s="64">
        <v>270.57</v>
      </c>
      <c r="L34" s="64">
        <v>25.09</v>
      </c>
      <c r="M34" s="64">
        <v>67.040000000000006</v>
      </c>
      <c r="N34" s="64">
        <v>102.9</v>
      </c>
      <c r="O34" s="64">
        <v>0</v>
      </c>
      <c r="P34" s="64">
        <v>0.64</v>
      </c>
      <c r="Q34" s="64">
        <v>23.41</v>
      </c>
      <c r="R34" s="198"/>
      <c r="S34" s="198"/>
      <c r="T34" s="198"/>
      <c r="U34" s="198"/>
    </row>
    <row r="35" spans="1:21" s="12" customFormat="1" x14ac:dyDescent="0.25">
      <c r="A35" s="211" t="s">
        <v>1136</v>
      </c>
      <c r="B35" s="64">
        <v>12.86</v>
      </c>
      <c r="C35" s="64">
        <v>31.26</v>
      </c>
      <c r="D35" s="64">
        <v>28.21</v>
      </c>
      <c r="E35" s="64">
        <v>6.71</v>
      </c>
      <c r="F35" s="64">
        <v>10.35</v>
      </c>
      <c r="G35" s="64">
        <v>54.11</v>
      </c>
      <c r="H35" s="64">
        <v>23.77</v>
      </c>
      <c r="I35" s="64">
        <v>0.53</v>
      </c>
      <c r="J35" s="64">
        <v>0.1</v>
      </c>
      <c r="K35" s="64">
        <v>269.24</v>
      </c>
      <c r="L35" s="64">
        <v>26.33</v>
      </c>
      <c r="M35" s="64">
        <v>63.16</v>
      </c>
      <c r="N35" s="64">
        <v>155.1</v>
      </c>
      <c r="O35" s="64">
        <v>0</v>
      </c>
      <c r="P35" s="64">
        <v>0.71</v>
      </c>
      <c r="Q35" s="64">
        <v>21.92</v>
      </c>
      <c r="R35" s="198"/>
      <c r="S35" s="198"/>
      <c r="T35" s="198"/>
      <c r="U35" s="198"/>
    </row>
    <row r="36" spans="1:21" s="12" customFormat="1" x14ac:dyDescent="0.25">
      <c r="A36" s="211" t="s">
        <v>1137</v>
      </c>
      <c r="B36" s="64">
        <v>10.23</v>
      </c>
      <c r="C36" s="64">
        <v>22.75</v>
      </c>
      <c r="D36" s="64">
        <v>21.41</v>
      </c>
      <c r="E36" s="64">
        <v>5.4</v>
      </c>
      <c r="F36" s="64">
        <v>7.9</v>
      </c>
      <c r="G36" s="64">
        <v>54.11</v>
      </c>
      <c r="H36" s="64">
        <v>23.77</v>
      </c>
      <c r="I36" s="64">
        <v>0.51</v>
      </c>
      <c r="J36" s="64">
        <v>0.1</v>
      </c>
      <c r="K36" s="64">
        <v>231.54</v>
      </c>
      <c r="L36" s="64">
        <v>26.96</v>
      </c>
      <c r="M36" s="64">
        <v>59.98</v>
      </c>
      <c r="N36" s="64">
        <v>208.2</v>
      </c>
      <c r="O36" s="64">
        <v>0</v>
      </c>
      <c r="P36" s="64">
        <v>0.61</v>
      </c>
      <c r="Q36" s="64">
        <v>21.99</v>
      </c>
      <c r="R36" s="198"/>
      <c r="S36" s="198"/>
      <c r="T36" s="198"/>
      <c r="U36" s="198"/>
    </row>
    <row r="37" spans="1:21" s="12" customFormat="1" x14ac:dyDescent="0.25">
      <c r="A37" s="211" t="s">
        <v>1138</v>
      </c>
      <c r="B37" s="64">
        <v>10.32</v>
      </c>
      <c r="C37" s="64">
        <v>23.03</v>
      </c>
      <c r="D37" s="64">
        <v>21.63</v>
      </c>
      <c r="E37" s="64">
        <v>5.5</v>
      </c>
      <c r="F37" s="64">
        <v>7.37</v>
      </c>
      <c r="G37" s="64">
        <v>60.24</v>
      </c>
      <c r="H37" s="64">
        <v>27.3</v>
      </c>
      <c r="I37" s="64">
        <v>0.51</v>
      </c>
      <c r="J37" s="64">
        <v>0.28000000000000003</v>
      </c>
      <c r="K37" s="64">
        <v>270.64</v>
      </c>
      <c r="L37" s="64">
        <v>27.75</v>
      </c>
      <c r="M37" s="64">
        <v>58.09</v>
      </c>
      <c r="N37" s="64">
        <v>254</v>
      </c>
      <c r="O37" s="64">
        <v>0</v>
      </c>
      <c r="P37" s="64">
        <v>0.56999999999999995</v>
      </c>
      <c r="Q37" s="64">
        <v>23.75</v>
      </c>
      <c r="R37" s="198"/>
      <c r="S37" s="198"/>
      <c r="T37" s="198"/>
      <c r="U37" s="198"/>
    </row>
    <row r="38" spans="1:21" s="12" customFormat="1" x14ac:dyDescent="0.25">
      <c r="A38" s="211" t="s">
        <v>1139</v>
      </c>
      <c r="B38" s="64">
        <v>10.71</v>
      </c>
      <c r="C38" s="64">
        <v>20.18</v>
      </c>
      <c r="D38" s="64">
        <v>20.37</v>
      </c>
      <c r="E38" s="64">
        <v>5.71</v>
      </c>
      <c r="F38" s="64">
        <v>6.96</v>
      </c>
      <c r="G38" s="64">
        <v>61.56</v>
      </c>
      <c r="H38" s="64">
        <v>27.3</v>
      </c>
      <c r="I38" s="64">
        <v>0.55000000000000004</v>
      </c>
      <c r="J38" s="64">
        <v>0.39</v>
      </c>
      <c r="K38" s="64">
        <v>269.55</v>
      </c>
      <c r="L38" s="64">
        <v>29.34</v>
      </c>
      <c r="M38" s="64">
        <v>54.31</v>
      </c>
      <c r="N38" s="64">
        <v>293.5</v>
      </c>
      <c r="O38" s="64">
        <v>0</v>
      </c>
      <c r="P38" s="64">
        <v>0.61</v>
      </c>
      <c r="Q38" s="64">
        <v>22.58</v>
      </c>
      <c r="R38" s="198"/>
      <c r="S38" s="198"/>
      <c r="T38" s="198"/>
      <c r="U38" s="198"/>
    </row>
    <row r="39" spans="1:21" s="12" customFormat="1" x14ac:dyDescent="0.25">
      <c r="A39" s="211" t="s">
        <v>1140</v>
      </c>
      <c r="B39" s="64">
        <v>10.92</v>
      </c>
      <c r="C39" s="64">
        <v>18.95</v>
      </c>
      <c r="D39" s="64">
        <v>19.86</v>
      </c>
      <c r="E39" s="64">
        <v>4.46</v>
      </c>
      <c r="F39" s="64">
        <v>3.54</v>
      </c>
      <c r="G39" s="64">
        <v>61.56</v>
      </c>
      <c r="H39" s="64">
        <v>27.3</v>
      </c>
      <c r="I39" s="64">
        <v>0.55000000000000004</v>
      </c>
      <c r="J39" s="64">
        <v>0.5</v>
      </c>
      <c r="K39" s="64">
        <v>267.81</v>
      </c>
      <c r="L39" s="64">
        <v>30.15</v>
      </c>
      <c r="M39" s="64">
        <v>52.39</v>
      </c>
      <c r="N39" s="64">
        <v>353.6</v>
      </c>
      <c r="O39" s="64">
        <v>0</v>
      </c>
      <c r="P39" s="64">
        <v>0.62</v>
      </c>
      <c r="Q39" s="64">
        <v>23.14</v>
      </c>
      <c r="R39" s="198"/>
      <c r="S39" s="198"/>
      <c r="T39" s="198"/>
      <c r="U39" s="198"/>
    </row>
    <row r="40" spans="1:21" s="12" customFormat="1" x14ac:dyDescent="0.25">
      <c r="A40" s="211" t="s">
        <v>1141</v>
      </c>
      <c r="B40" s="64">
        <v>10.51</v>
      </c>
      <c r="C40" s="64">
        <v>19.59</v>
      </c>
      <c r="D40" s="64">
        <v>19.89</v>
      </c>
      <c r="E40" s="64">
        <v>3.81</v>
      </c>
      <c r="F40" s="64">
        <v>3.92</v>
      </c>
      <c r="G40" s="64">
        <v>61.56</v>
      </c>
      <c r="H40" s="64">
        <v>27.3</v>
      </c>
      <c r="I40" s="64">
        <v>0.56000000000000005</v>
      </c>
      <c r="J40" s="64">
        <v>0.47</v>
      </c>
      <c r="K40" s="64">
        <v>268.58999999999997</v>
      </c>
      <c r="L40" s="64">
        <v>31.31</v>
      </c>
      <c r="M40" s="64">
        <v>48.95</v>
      </c>
      <c r="N40" s="64">
        <v>384</v>
      </c>
      <c r="O40" s="64">
        <v>0</v>
      </c>
      <c r="P40" s="64">
        <v>0.63</v>
      </c>
      <c r="Q40" s="64">
        <v>22.97</v>
      </c>
      <c r="R40" s="198"/>
      <c r="S40" s="198"/>
      <c r="T40" s="198"/>
      <c r="U40" s="198"/>
    </row>
    <row r="41" spans="1:21" s="12" customFormat="1" x14ac:dyDescent="0.25">
      <c r="A41" s="211" t="s">
        <v>1142</v>
      </c>
      <c r="B41" s="64">
        <v>11.63</v>
      </c>
      <c r="C41" s="64">
        <v>21.49</v>
      </c>
      <c r="D41" s="64">
        <v>21.83</v>
      </c>
      <c r="E41" s="64">
        <v>5.41</v>
      </c>
      <c r="F41" s="64">
        <v>5.36</v>
      </c>
      <c r="G41" s="64">
        <v>69.849999999999994</v>
      </c>
      <c r="H41" s="64">
        <v>27.23</v>
      </c>
      <c r="I41" s="64">
        <v>0.56999999999999995</v>
      </c>
      <c r="J41" s="64">
        <v>0.51</v>
      </c>
      <c r="K41" s="64">
        <v>269.76</v>
      </c>
      <c r="L41" s="64">
        <v>32.200000000000003</v>
      </c>
      <c r="M41" s="64">
        <v>46.92</v>
      </c>
      <c r="N41" s="64">
        <v>460.4</v>
      </c>
      <c r="O41" s="64">
        <v>0</v>
      </c>
      <c r="P41" s="64">
        <v>0.66</v>
      </c>
      <c r="Q41" s="64">
        <v>22.97</v>
      </c>
      <c r="R41" s="198"/>
      <c r="S41" s="198"/>
      <c r="T41" s="198"/>
      <c r="U41" s="198"/>
    </row>
    <row r="42" spans="1:21" s="12" customFormat="1" x14ac:dyDescent="0.25">
      <c r="A42" s="211" t="s">
        <v>1143</v>
      </c>
      <c r="B42" s="64">
        <v>9.6999999999999993</v>
      </c>
      <c r="C42" s="64">
        <v>22.59</v>
      </c>
      <c r="D42" s="64">
        <v>20.89</v>
      </c>
      <c r="E42" s="64">
        <v>4.9000000000000004</v>
      </c>
      <c r="F42" s="64">
        <v>4.91</v>
      </c>
      <c r="G42" s="64">
        <v>71.64</v>
      </c>
      <c r="H42" s="64">
        <v>27.23</v>
      </c>
      <c r="I42" s="64">
        <v>0.56000000000000005</v>
      </c>
      <c r="J42" s="64">
        <v>0.56999999999999995</v>
      </c>
      <c r="K42" s="64">
        <v>276.27</v>
      </c>
      <c r="L42" s="64">
        <v>33.450000000000003</v>
      </c>
      <c r="M42" s="64">
        <v>42.45</v>
      </c>
      <c r="N42" s="64">
        <v>544.4</v>
      </c>
      <c r="O42" s="64">
        <v>0</v>
      </c>
      <c r="P42" s="64">
        <v>0.65</v>
      </c>
      <c r="Q42" s="64">
        <v>23.24</v>
      </c>
      <c r="R42" s="198"/>
      <c r="S42" s="198"/>
      <c r="T42" s="198"/>
      <c r="U42" s="198"/>
    </row>
    <row r="43" spans="1:21" s="12" customFormat="1" x14ac:dyDescent="0.25">
      <c r="A43" s="211" t="s">
        <v>1144</v>
      </c>
      <c r="B43" s="64">
        <v>8.41</v>
      </c>
      <c r="C43" s="64">
        <v>22.67</v>
      </c>
      <c r="D43" s="64">
        <v>19.899999999999999</v>
      </c>
      <c r="E43" s="64">
        <v>4.95</v>
      </c>
      <c r="F43" s="64">
        <v>4.68</v>
      </c>
      <c r="G43" s="64">
        <v>71.64</v>
      </c>
      <c r="H43" s="64">
        <v>27.23</v>
      </c>
      <c r="I43" s="64">
        <v>0.56000000000000005</v>
      </c>
      <c r="J43" s="64">
        <v>0.53</v>
      </c>
      <c r="K43" s="64">
        <v>270.07</v>
      </c>
      <c r="L43" s="64">
        <v>34.340000000000003</v>
      </c>
      <c r="M43" s="64">
        <v>40.21</v>
      </c>
      <c r="N43" s="64">
        <v>584.79999999999995</v>
      </c>
      <c r="O43" s="64">
        <v>0</v>
      </c>
      <c r="P43" s="64">
        <v>0.66</v>
      </c>
      <c r="Q43" s="64">
        <v>22.41</v>
      </c>
      <c r="R43" s="198"/>
      <c r="S43" s="198"/>
      <c r="T43" s="198"/>
      <c r="U43" s="198"/>
    </row>
    <row r="44" spans="1:21" s="12" customFormat="1" x14ac:dyDescent="0.25">
      <c r="A44" s="211" t="s">
        <v>1145</v>
      </c>
      <c r="B44" s="64">
        <v>7.01</v>
      </c>
      <c r="C44" s="64">
        <v>24.54</v>
      </c>
      <c r="D44" s="64">
        <v>19.809999999999999</v>
      </c>
      <c r="E44" s="64">
        <v>4.7</v>
      </c>
      <c r="F44" s="64">
        <v>5.49</v>
      </c>
      <c r="G44" s="64">
        <v>71.64</v>
      </c>
      <c r="H44" s="64">
        <v>27.23</v>
      </c>
      <c r="I44" s="64">
        <v>0.56000000000000005</v>
      </c>
      <c r="J44" s="64">
        <v>0.36</v>
      </c>
      <c r="K44" s="64">
        <v>278.95999999999998</v>
      </c>
      <c r="L44" s="64">
        <v>34.590000000000003</v>
      </c>
      <c r="M44" s="64">
        <v>40.03</v>
      </c>
      <c r="N44" s="64">
        <v>605.5</v>
      </c>
      <c r="O44" s="64">
        <v>0</v>
      </c>
      <c r="P44" s="64">
        <v>0.66</v>
      </c>
      <c r="Q44" s="64">
        <v>22.7</v>
      </c>
      <c r="R44" s="198"/>
      <c r="S44" s="198"/>
      <c r="T44" s="198"/>
      <c r="U44" s="198"/>
    </row>
    <row r="45" spans="1:21" s="12" customFormat="1" x14ac:dyDescent="0.25">
      <c r="A45" s="211" t="s">
        <v>1146</v>
      </c>
      <c r="B45" s="64">
        <v>6.09</v>
      </c>
      <c r="C45" s="64">
        <v>24.56</v>
      </c>
      <c r="D45" s="64">
        <v>19.079999999999998</v>
      </c>
      <c r="E45" s="64">
        <v>4.29</v>
      </c>
      <c r="F45" s="64">
        <v>5.59</v>
      </c>
      <c r="G45" s="64">
        <v>55.9</v>
      </c>
      <c r="H45" s="64">
        <v>25.61</v>
      </c>
      <c r="I45" s="64">
        <v>0.56000000000000005</v>
      </c>
      <c r="J45" s="64">
        <v>0.15</v>
      </c>
      <c r="K45" s="64">
        <v>302.76</v>
      </c>
      <c r="L45" s="64">
        <v>34.43</v>
      </c>
      <c r="M45" s="64">
        <v>40.229999999999997</v>
      </c>
      <c r="N45" s="64">
        <v>664.9</v>
      </c>
      <c r="O45" s="64">
        <v>0</v>
      </c>
      <c r="P45" s="64">
        <v>0.65</v>
      </c>
      <c r="Q45" s="64">
        <v>21.99</v>
      </c>
      <c r="R45" s="198"/>
      <c r="S45" s="198"/>
      <c r="T45" s="198"/>
      <c r="U45" s="198"/>
    </row>
    <row r="46" spans="1:21" s="12" customFormat="1" x14ac:dyDescent="0.25">
      <c r="A46" s="211" t="s">
        <v>1147</v>
      </c>
      <c r="B46" s="64">
        <v>4.8499999999999996</v>
      </c>
      <c r="C46" s="64">
        <v>25.92</v>
      </c>
      <c r="D46" s="64">
        <v>18.84</v>
      </c>
      <c r="E46" s="64">
        <v>4.5599999999999996</v>
      </c>
      <c r="F46" s="64">
        <v>6.58</v>
      </c>
      <c r="G46" s="64">
        <v>52.5</v>
      </c>
      <c r="H46" s="64">
        <v>25.61</v>
      </c>
      <c r="I46" s="64">
        <v>0.53</v>
      </c>
      <c r="J46" s="64">
        <v>0.73</v>
      </c>
      <c r="K46" s="64">
        <v>273.26</v>
      </c>
      <c r="L46" s="64">
        <v>35.229999999999997</v>
      </c>
      <c r="M46" s="64">
        <v>39.159999999999997</v>
      </c>
      <c r="N46" s="64">
        <v>705.4</v>
      </c>
      <c r="O46" s="64">
        <v>0</v>
      </c>
      <c r="P46" s="64">
        <v>0.65</v>
      </c>
      <c r="Q46" s="64">
        <v>22.9</v>
      </c>
      <c r="R46" s="198"/>
      <c r="S46" s="198"/>
      <c r="T46" s="198"/>
      <c r="U46" s="198"/>
    </row>
    <row r="47" spans="1:21" s="12" customFormat="1" x14ac:dyDescent="0.25">
      <c r="A47" s="211" t="s">
        <v>1148</v>
      </c>
      <c r="B47" s="64">
        <v>6.87</v>
      </c>
      <c r="C47" s="64">
        <v>26.57</v>
      </c>
      <c r="D47" s="64">
        <v>20.82</v>
      </c>
      <c r="E47" s="64">
        <v>4.6500000000000004</v>
      </c>
      <c r="F47" s="64">
        <v>13.76</v>
      </c>
      <c r="G47" s="64">
        <v>52.5</v>
      </c>
      <c r="H47" s="64">
        <v>25.61</v>
      </c>
      <c r="I47" s="64">
        <v>0.55000000000000004</v>
      </c>
      <c r="J47" s="64">
        <v>0.63</v>
      </c>
      <c r="K47" s="64">
        <v>276.2</v>
      </c>
      <c r="L47" s="64">
        <v>35.950000000000003</v>
      </c>
      <c r="M47" s="64">
        <v>37.94</v>
      </c>
      <c r="N47" s="64">
        <v>764.5</v>
      </c>
      <c r="O47" s="64">
        <v>0</v>
      </c>
      <c r="P47" s="64">
        <v>0.66</v>
      </c>
      <c r="Q47" s="64">
        <v>21.15</v>
      </c>
      <c r="R47" s="198"/>
      <c r="S47" s="198"/>
      <c r="T47" s="198"/>
      <c r="U47" s="198"/>
    </row>
    <row r="48" spans="1:21" s="12" customFormat="1" x14ac:dyDescent="0.25">
      <c r="A48" s="211" t="s">
        <v>1149</v>
      </c>
      <c r="B48" s="64">
        <v>7.1</v>
      </c>
      <c r="C48" s="64">
        <v>24.17</v>
      </c>
      <c r="D48" s="64">
        <v>19.68</v>
      </c>
      <c r="E48" s="64">
        <v>4.51</v>
      </c>
      <c r="F48" s="64">
        <v>10.5</v>
      </c>
      <c r="G48" s="64">
        <v>52.5</v>
      </c>
      <c r="H48" s="64">
        <v>25.61</v>
      </c>
      <c r="I48" s="64">
        <v>0.55000000000000004</v>
      </c>
      <c r="J48" s="64">
        <v>0.92</v>
      </c>
      <c r="K48" s="64">
        <v>276.49</v>
      </c>
      <c r="L48" s="64">
        <v>36.49</v>
      </c>
      <c r="M48" s="64">
        <v>36.76</v>
      </c>
      <c r="N48" s="64">
        <v>798.9</v>
      </c>
      <c r="O48" s="64">
        <v>0</v>
      </c>
      <c r="P48" s="64">
        <v>0.67</v>
      </c>
      <c r="Q48" s="64">
        <v>18.559999999999999</v>
      </c>
      <c r="R48" s="198"/>
      <c r="S48" s="198"/>
      <c r="T48" s="198"/>
      <c r="U48" s="198"/>
    </row>
    <row r="49" spans="1:21" s="12" customFormat="1" x14ac:dyDescent="0.25">
      <c r="A49" s="211" t="s">
        <v>1150</v>
      </c>
      <c r="B49" s="64">
        <v>5.9</v>
      </c>
      <c r="C49" s="64">
        <v>24.67</v>
      </c>
      <c r="D49" s="64">
        <v>18.989999999999998</v>
      </c>
      <c r="E49" s="64">
        <v>4.2</v>
      </c>
      <c r="F49" s="64">
        <v>9.3000000000000007</v>
      </c>
      <c r="G49" s="64">
        <v>54.43</v>
      </c>
      <c r="H49" s="64">
        <v>25.6</v>
      </c>
      <c r="I49" s="64">
        <v>0.54</v>
      </c>
      <c r="J49" s="64">
        <v>0.48</v>
      </c>
      <c r="K49" s="64">
        <v>272.52</v>
      </c>
      <c r="L49" s="64">
        <v>36.21</v>
      </c>
      <c r="M49" s="64">
        <v>37.380000000000003</v>
      </c>
      <c r="N49" s="64">
        <v>829.3</v>
      </c>
      <c r="O49" s="64">
        <v>0</v>
      </c>
      <c r="P49" s="64">
        <v>0.68</v>
      </c>
      <c r="Q49" s="64">
        <v>19.71</v>
      </c>
      <c r="R49" s="198"/>
      <c r="S49" s="198"/>
      <c r="T49" s="198"/>
      <c r="U49" s="198"/>
    </row>
    <row r="50" spans="1:21" s="12" customFormat="1" x14ac:dyDescent="0.25">
      <c r="A50" s="211" t="s">
        <v>1151</v>
      </c>
      <c r="B50" s="64">
        <v>5.54</v>
      </c>
      <c r="C50" s="64">
        <v>24.46</v>
      </c>
      <c r="D50" s="64">
        <v>18.59</v>
      </c>
      <c r="E50" s="64">
        <v>4.01</v>
      </c>
      <c r="F50" s="64">
        <v>13.33</v>
      </c>
      <c r="G50" s="64">
        <v>54.85</v>
      </c>
      <c r="H50" s="64">
        <v>25.6</v>
      </c>
      <c r="I50" s="64">
        <v>0.56000000000000005</v>
      </c>
      <c r="J50" s="64">
        <v>0.44</v>
      </c>
      <c r="K50" s="64">
        <v>301.27</v>
      </c>
      <c r="L50" s="64">
        <v>37.25</v>
      </c>
      <c r="M50" s="64">
        <v>35.159999999999997</v>
      </c>
      <c r="N50" s="64">
        <v>855.6</v>
      </c>
      <c r="O50" s="64">
        <v>0</v>
      </c>
      <c r="P50" s="64">
        <v>0.67</v>
      </c>
      <c r="Q50" s="64">
        <v>22.38</v>
      </c>
      <c r="R50" s="198"/>
      <c r="S50" s="198"/>
      <c r="T50" s="198"/>
      <c r="U50" s="198"/>
    </row>
    <row r="51" spans="1:21" s="12" customFormat="1" x14ac:dyDescent="0.25">
      <c r="A51" s="211" t="s">
        <v>1152</v>
      </c>
      <c r="B51" s="64">
        <v>4.4400000000000004</v>
      </c>
      <c r="C51" s="64">
        <v>27.63</v>
      </c>
      <c r="D51" s="64">
        <v>19.45</v>
      </c>
      <c r="E51" s="64">
        <v>4.29</v>
      </c>
      <c r="F51" s="64">
        <v>8.06</v>
      </c>
      <c r="G51" s="64">
        <v>54.85</v>
      </c>
      <c r="H51" s="64">
        <v>25.6</v>
      </c>
      <c r="I51" s="64">
        <v>0.56000000000000005</v>
      </c>
      <c r="J51" s="64">
        <v>0.57999999999999996</v>
      </c>
      <c r="K51" s="64">
        <v>274.33999999999997</v>
      </c>
      <c r="L51" s="64">
        <v>37.21</v>
      </c>
      <c r="M51" s="64">
        <v>35.729999999999997</v>
      </c>
      <c r="N51" s="64">
        <v>850.8</v>
      </c>
      <c r="O51" s="64">
        <v>0</v>
      </c>
      <c r="P51" s="64">
        <v>0.69</v>
      </c>
      <c r="Q51" s="64">
        <v>22.56</v>
      </c>
      <c r="R51" s="198"/>
      <c r="S51" s="198"/>
      <c r="T51" s="198"/>
      <c r="U51" s="198"/>
    </row>
    <row r="52" spans="1:21" s="12" customFormat="1" x14ac:dyDescent="0.25">
      <c r="A52" s="211" t="s">
        <v>1153</v>
      </c>
      <c r="B52" s="64">
        <v>3.71</v>
      </c>
      <c r="C52" s="64">
        <v>24.7</v>
      </c>
      <c r="D52" s="64">
        <v>17.25</v>
      </c>
      <c r="E52" s="64">
        <v>4.17</v>
      </c>
      <c r="F52" s="64">
        <v>8.6199999999999992</v>
      </c>
      <c r="G52" s="64">
        <v>54.85</v>
      </c>
      <c r="H52" s="64">
        <v>25.6</v>
      </c>
      <c r="I52" s="64">
        <v>0.6</v>
      </c>
      <c r="J52" s="64">
        <v>0.89</v>
      </c>
      <c r="K52" s="64">
        <v>276.52</v>
      </c>
      <c r="L52" s="64">
        <v>37.89</v>
      </c>
      <c r="M52" s="64">
        <v>34.4</v>
      </c>
      <c r="N52" s="64">
        <v>856.1</v>
      </c>
      <c r="O52" s="64">
        <v>0</v>
      </c>
      <c r="P52" s="64">
        <v>0.7</v>
      </c>
      <c r="Q52" s="64">
        <v>21.52</v>
      </c>
      <c r="R52" s="198"/>
      <c r="S52" s="198"/>
      <c r="T52" s="198"/>
      <c r="U52" s="198"/>
    </row>
    <row r="53" spans="1:21" s="12" customFormat="1" x14ac:dyDescent="0.25">
      <c r="A53" s="211" t="s">
        <v>1154</v>
      </c>
      <c r="B53" s="64">
        <v>2.71</v>
      </c>
      <c r="C53" s="64">
        <v>23.96</v>
      </c>
      <c r="D53" s="64">
        <v>16.04</v>
      </c>
      <c r="E53" s="64">
        <v>4.0199999999999996</v>
      </c>
      <c r="F53" s="64">
        <v>9.67</v>
      </c>
      <c r="G53" s="64">
        <v>46.18</v>
      </c>
      <c r="H53" s="64">
        <v>22.65</v>
      </c>
      <c r="I53" s="64">
        <v>0.61</v>
      </c>
      <c r="J53" s="64">
        <v>0.82</v>
      </c>
      <c r="K53" s="64">
        <v>279.85000000000002</v>
      </c>
      <c r="L53" s="64">
        <v>37.6</v>
      </c>
      <c r="M53" s="64">
        <v>34.56</v>
      </c>
      <c r="N53" s="64">
        <v>872.3</v>
      </c>
      <c r="O53" s="64">
        <v>0</v>
      </c>
      <c r="P53" s="64">
        <v>0.69</v>
      </c>
      <c r="Q53" s="64">
        <v>20.190000000000001</v>
      </c>
      <c r="R53" s="198"/>
      <c r="S53" s="198"/>
      <c r="T53" s="198"/>
      <c r="U53" s="198"/>
    </row>
    <row r="54" spans="1:21" s="12" customFormat="1" x14ac:dyDescent="0.25">
      <c r="A54" s="211" t="s">
        <v>1155</v>
      </c>
      <c r="B54" s="64">
        <v>1.99</v>
      </c>
      <c r="C54" s="64">
        <v>23.04</v>
      </c>
      <c r="D54" s="64">
        <v>14.96</v>
      </c>
      <c r="E54" s="64">
        <v>4.2300000000000004</v>
      </c>
      <c r="F54" s="64">
        <v>8.15</v>
      </c>
      <c r="G54" s="64">
        <v>44.3</v>
      </c>
      <c r="H54" s="64">
        <v>22.65</v>
      </c>
      <c r="I54" s="64">
        <v>0.61</v>
      </c>
      <c r="J54" s="64">
        <v>0.42</v>
      </c>
      <c r="K54" s="64">
        <v>284.97000000000003</v>
      </c>
      <c r="L54" s="64">
        <v>37.64</v>
      </c>
      <c r="M54" s="64">
        <v>34.24</v>
      </c>
      <c r="N54" s="64">
        <v>856.8</v>
      </c>
      <c r="O54" s="64">
        <v>0</v>
      </c>
      <c r="P54" s="64">
        <v>0.7</v>
      </c>
      <c r="Q54" s="64">
        <v>19.440000000000001</v>
      </c>
      <c r="R54" s="198"/>
      <c r="S54" s="198"/>
      <c r="T54" s="198"/>
      <c r="U54" s="198"/>
    </row>
    <row r="55" spans="1:21" s="12" customFormat="1" x14ac:dyDescent="0.25">
      <c r="A55" s="211" t="s">
        <v>1156</v>
      </c>
      <c r="B55" s="64">
        <v>1.64</v>
      </c>
      <c r="C55" s="64">
        <v>21.94</v>
      </c>
      <c r="D55" s="64">
        <v>14.07</v>
      </c>
      <c r="E55" s="64">
        <v>3.94</v>
      </c>
      <c r="F55" s="64">
        <v>14.16</v>
      </c>
      <c r="G55" s="64">
        <v>44.3</v>
      </c>
      <c r="H55" s="64">
        <v>22.65</v>
      </c>
      <c r="I55" s="64">
        <v>0.6</v>
      </c>
      <c r="J55" s="64">
        <v>0.56000000000000005</v>
      </c>
      <c r="K55" s="64">
        <v>287.91000000000003</v>
      </c>
      <c r="L55" s="64">
        <v>38.35</v>
      </c>
      <c r="M55" s="64">
        <v>32.35</v>
      </c>
      <c r="N55" s="64">
        <v>922</v>
      </c>
      <c r="O55" s="64">
        <v>0</v>
      </c>
      <c r="P55" s="64">
        <v>0.69</v>
      </c>
      <c r="Q55" s="64">
        <v>18.48</v>
      </c>
      <c r="R55" s="198"/>
      <c r="S55" s="198"/>
      <c r="T55" s="198"/>
      <c r="U55" s="198"/>
    </row>
    <row r="56" spans="1:21" s="12" customFormat="1" x14ac:dyDescent="0.25">
      <c r="A56" s="211" t="s">
        <v>1157</v>
      </c>
      <c r="B56" s="64">
        <v>2.0699999999999998</v>
      </c>
      <c r="C56" s="64">
        <v>23.11</v>
      </c>
      <c r="D56" s="64">
        <v>15.06</v>
      </c>
      <c r="E56" s="64">
        <v>3.75</v>
      </c>
      <c r="F56" s="64">
        <v>16.149999999999999</v>
      </c>
      <c r="G56" s="64">
        <v>44.3</v>
      </c>
      <c r="H56" s="64">
        <v>22.65</v>
      </c>
      <c r="I56" s="64">
        <v>0.62</v>
      </c>
      <c r="J56" s="64">
        <v>0.55000000000000004</v>
      </c>
      <c r="K56" s="64">
        <v>285.26</v>
      </c>
      <c r="L56" s="64">
        <v>38.72</v>
      </c>
      <c r="M56" s="64">
        <v>32.49</v>
      </c>
      <c r="N56" s="64">
        <v>900.8</v>
      </c>
      <c r="O56" s="64">
        <v>0</v>
      </c>
      <c r="P56" s="64">
        <v>0.69</v>
      </c>
      <c r="Q56" s="64">
        <v>18.18</v>
      </c>
      <c r="R56" s="198"/>
      <c r="S56" s="198"/>
      <c r="T56" s="198"/>
      <c r="U56" s="198"/>
    </row>
    <row r="57" spans="1:21" s="12" customFormat="1" x14ac:dyDescent="0.25">
      <c r="A57" s="211" t="s">
        <v>1158</v>
      </c>
      <c r="B57" s="64">
        <v>3.21</v>
      </c>
      <c r="C57" s="64">
        <v>29.1</v>
      </c>
      <c r="D57" s="64">
        <v>19.28</v>
      </c>
      <c r="E57" s="64">
        <v>4.83</v>
      </c>
      <c r="F57" s="64">
        <v>28.11</v>
      </c>
      <c r="G57" s="64">
        <v>46.44</v>
      </c>
      <c r="H57" s="64">
        <v>22.8</v>
      </c>
      <c r="I57" s="64">
        <v>0.6</v>
      </c>
      <c r="J57" s="64">
        <v>0.42</v>
      </c>
      <c r="K57" s="64">
        <v>288.44</v>
      </c>
      <c r="L57" s="64">
        <v>38.229999999999997</v>
      </c>
      <c r="M57" s="64">
        <v>32.770000000000003</v>
      </c>
      <c r="N57" s="64">
        <v>926</v>
      </c>
      <c r="O57" s="64">
        <v>0</v>
      </c>
      <c r="P57" s="64">
        <v>0.68</v>
      </c>
      <c r="Q57" s="64">
        <v>19.8</v>
      </c>
      <c r="R57" s="198"/>
      <c r="S57" s="198"/>
      <c r="T57" s="198"/>
      <c r="U57" s="198"/>
    </row>
    <row r="58" spans="1:21" s="12" customFormat="1" x14ac:dyDescent="0.25">
      <c r="A58" s="211" t="s">
        <v>1159</v>
      </c>
      <c r="B58" s="64">
        <v>2.74</v>
      </c>
      <c r="C58" s="64">
        <v>28.91</v>
      </c>
      <c r="D58" s="64">
        <v>18.8</v>
      </c>
      <c r="E58" s="64">
        <v>5.32</v>
      </c>
      <c r="F58" s="64">
        <v>24.54</v>
      </c>
      <c r="G58" s="64">
        <v>46.9</v>
      </c>
      <c r="H58" s="64">
        <v>22.8</v>
      </c>
      <c r="I58" s="64">
        <v>0.56000000000000005</v>
      </c>
      <c r="J58" s="64">
        <v>0.46</v>
      </c>
      <c r="K58" s="64">
        <v>277.38</v>
      </c>
      <c r="L58" s="64">
        <v>38.049999999999997</v>
      </c>
      <c r="M58" s="64">
        <v>32.979999999999997</v>
      </c>
      <c r="N58" s="64">
        <v>884.2</v>
      </c>
      <c r="O58" s="64">
        <v>0</v>
      </c>
      <c r="P58" s="64">
        <v>0.69</v>
      </c>
      <c r="Q58" s="64">
        <v>21.55</v>
      </c>
      <c r="R58" s="198"/>
      <c r="S58" s="198"/>
      <c r="T58" s="198"/>
      <c r="U58" s="198"/>
    </row>
    <row r="59" spans="1:21" s="12" customFormat="1" x14ac:dyDescent="0.25">
      <c r="A59" s="211" t="s">
        <v>1160</v>
      </c>
      <c r="B59" s="64">
        <v>3.43</v>
      </c>
      <c r="C59" s="64">
        <v>25.06</v>
      </c>
      <c r="D59" s="64">
        <v>17.23</v>
      </c>
      <c r="E59" s="64">
        <v>7.31</v>
      </c>
      <c r="F59" s="64">
        <v>39.74</v>
      </c>
      <c r="G59" s="64">
        <v>46.9</v>
      </c>
      <c r="H59" s="64">
        <v>22.8</v>
      </c>
      <c r="I59" s="64">
        <v>0.56000000000000005</v>
      </c>
      <c r="J59" s="64">
        <v>0.64</v>
      </c>
      <c r="K59" s="64">
        <v>288.69</v>
      </c>
      <c r="L59" s="64">
        <v>37.770000000000003</v>
      </c>
      <c r="M59" s="64">
        <v>32.909999999999997</v>
      </c>
      <c r="N59" s="64">
        <v>807.4</v>
      </c>
      <c r="O59" s="64">
        <v>0</v>
      </c>
      <c r="P59" s="64">
        <v>0.66</v>
      </c>
      <c r="Q59" s="64">
        <v>20.51</v>
      </c>
      <c r="R59" s="198"/>
      <c r="S59" s="198"/>
      <c r="T59" s="198"/>
      <c r="U59" s="198"/>
    </row>
    <row r="60" spans="1:21" s="12" customFormat="1" x14ac:dyDescent="0.25">
      <c r="A60" s="211" t="s">
        <v>1161</v>
      </c>
      <c r="B60" s="64">
        <v>4.5199999999999996</v>
      </c>
      <c r="C60" s="64">
        <v>24.74</v>
      </c>
      <c r="D60" s="64">
        <v>17.93</v>
      </c>
      <c r="E60" s="64">
        <v>10.52</v>
      </c>
      <c r="F60" s="64">
        <v>39.880000000000003</v>
      </c>
      <c r="G60" s="64">
        <v>46.9</v>
      </c>
      <c r="H60" s="64">
        <v>22.8</v>
      </c>
      <c r="I60" s="64">
        <v>0.59</v>
      </c>
      <c r="J60" s="64">
        <v>0.75</v>
      </c>
      <c r="K60" s="64">
        <v>299.27999999999997</v>
      </c>
      <c r="L60" s="64">
        <v>38.01</v>
      </c>
      <c r="M60" s="64">
        <v>29.43</v>
      </c>
      <c r="N60" s="64">
        <v>733.3</v>
      </c>
      <c r="O60" s="64">
        <v>0</v>
      </c>
      <c r="P60" s="64">
        <v>0.69</v>
      </c>
      <c r="Q60" s="64">
        <v>20.21</v>
      </c>
      <c r="R60" s="198"/>
      <c r="S60" s="198"/>
      <c r="T60" s="198"/>
      <c r="U60" s="198"/>
    </row>
    <row r="61" spans="1:21" s="12" customFormat="1" x14ac:dyDescent="0.25">
      <c r="A61" s="211" t="s">
        <v>1162</v>
      </c>
      <c r="B61" s="64">
        <v>3.66</v>
      </c>
      <c r="C61" s="64">
        <v>24.31</v>
      </c>
      <c r="D61" s="64">
        <v>17</v>
      </c>
      <c r="E61" s="64">
        <v>11.06</v>
      </c>
      <c r="F61" s="64">
        <v>32.119999999999997</v>
      </c>
      <c r="G61" s="64">
        <v>38.01</v>
      </c>
      <c r="H61" s="64">
        <v>21.95</v>
      </c>
      <c r="I61" s="64">
        <v>0.56999999999999995</v>
      </c>
      <c r="J61" s="64">
        <v>0.77</v>
      </c>
      <c r="K61" s="64">
        <v>276.10000000000002</v>
      </c>
      <c r="L61" s="64">
        <v>38.51</v>
      </c>
      <c r="M61" s="64">
        <v>29.25</v>
      </c>
      <c r="N61" s="64">
        <v>716.3</v>
      </c>
      <c r="O61" s="64">
        <v>0</v>
      </c>
      <c r="P61" s="64">
        <v>0.6</v>
      </c>
      <c r="Q61" s="64">
        <v>20.71</v>
      </c>
      <c r="R61" s="198"/>
      <c r="S61" s="198"/>
      <c r="T61" s="198"/>
      <c r="U61" s="198"/>
    </row>
    <row r="62" spans="1:21" s="12" customFormat="1" x14ac:dyDescent="0.25">
      <c r="A62" s="211" t="s">
        <v>1163</v>
      </c>
      <c r="B62" s="64">
        <v>2.5</v>
      </c>
      <c r="C62" s="64">
        <v>25.52</v>
      </c>
      <c r="D62" s="64">
        <v>16.739999999999998</v>
      </c>
      <c r="E62" s="64">
        <v>8.4</v>
      </c>
      <c r="F62" s="64">
        <v>18.18</v>
      </c>
      <c r="G62" s="64">
        <v>36.08</v>
      </c>
      <c r="H62" s="64">
        <v>21.95</v>
      </c>
      <c r="I62" s="64">
        <v>0.6</v>
      </c>
      <c r="J62" s="64">
        <v>0.33</v>
      </c>
      <c r="K62" s="64">
        <v>263.23</v>
      </c>
      <c r="L62" s="64">
        <v>38.130000000000003</v>
      </c>
      <c r="M62" s="64">
        <v>29.02</v>
      </c>
      <c r="N62" s="64">
        <v>842</v>
      </c>
      <c r="O62" s="64">
        <v>0</v>
      </c>
      <c r="P62" s="64">
        <v>0.65</v>
      </c>
      <c r="Q62" s="64">
        <v>21.95</v>
      </c>
      <c r="R62" s="198"/>
      <c r="S62" s="198"/>
      <c r="T62" s="198"/>
      <c r="U62" s="198"/>
    </row>
    <row r="63" spans="1:21" s="12" customFormat="1" x14ac:dyDescent="0.25">
      <c r="A63" s="211" t="s">
        <v>1164</v>
      </c>
      <c r="B63" s="64">
        <v>2.39</v>
      </c>
      <c r="C63" s="64">
        <v>25.4</v>
      </c>
      <c r="D63" s="64">
        <v>16.579999999999998</v>
      </c>
      <c r="E63" s="64">
        <v>6.56</v>
      </c>
      <c r="F63" s="64">
        <v>21.88</v>
      </c>
      <c r="G63" s="64">
        <v>36.08</v>
      </c>
      <c r="H63" s="64">
        <v>21.95</v>
      </c>
      <c r="I63" s="64">
        <v>0.64</v>
      </c>
      <c r="J63" s="64">
        <v>0.57999999999999996</v>
      </c>
      <c r="K63" s="64">
        <v>276.58999999999997</v>
      </c>
      <c r="L63" s="64">
        <v>38.549999999999997</v>
      </c>
      <c r="M63" s="64">
        <v>28.02</v>
      </c>
      <c r="N63" s="64">
        <v>719.8</v>
      </c>
      <c r="O63" s="64">
        <v>0</v>
      </c>
      <c r="P63" s="64">
        <v>0.65</v>
      </c>
      <c r="Q63" s="64">
        <v>22.25</v>
      </c>
      <c r="R63" s="198"/>
      <c r="S63" s="198"/>
      <c r="T63" s="198"/>
      <c r="U63" s="198"/>
    </row>
    <row r="64" spans="1:21" s="12" customFormat="1" x14ac:dyDescent="0.25">
      <c r="A64" s="211" t="s">
        <v>1165</v>
      </c>
      <c r="B64" s="64">
        <v>2.1800000000000002</v>
      </c>
      <c r="C64" s="64">
        <v>24.86</v>
      </c>
      <c r="D64" s="64">
        <v>16.12</v>
      </c>
      <c r="E64" s="64">
        <v>7.46</v>
      </c>
      <c r="F64" s="64">
        <v>17.98</v>
      </c>
      <c r="G64" s="64">
        <v>36.08</v>
      </c>
      <c r="H64" s="64">
        <v>21.95</v>
      </c>
      <c r="I64" s="64">
        <v>0.74</v>
      </c>
      <c r="J64" s="64">
        <v>0.64</v>
      </c>
      <c r="K64" s="64">
        <v>282.89</v>
      </c>
      <c r="L64" s="64">
        <v>39.03</v>
      </c>
      <c r="M64" s="64">
        <v>27.16</v>
      </c>
      <c r="N64" s="64">
        <v>594</v>
      </c>
      <c r="O64" s="64">
        <v>0</v>
      </c>
      <c r="P64" s="64">
        <v>0.68</v>
      </c>
      <c r="Q64" s="64">
        <v>21.81</v>
      </c>
      <c r="R64" s="198"/>
      <c r="S64" s="198"/>
      <c r="T64" s="198"/>
      <c r="U64" s="198"/>
    </row>
    <row r="65" spans="1:21" s="12" customFormat="1" x14ac:dyDescent="0.25">
      <c r="A65" s="211" t="s">
        <v>1166</v>
      </c>
      <c r="B65" s="64">
        <v>1.73</v>
      </c>
      <c r="C65" s="64">
        <v>24.26</v>
      </c>
      <c r="D65" s="64">
        <v>15.42</v>
      </c>
      <c r="E65" s="64">
        <v>7.19</v>
      </c>
      <c r="F65" s="64">
        <v>16.920000000000002</v>
      </c>
      <c r="G65" s="64">
        <v>36.6</v>
      </c>
      <c r="H65" s="64">
        <v>23.63</v>
      </c>
      <c r="I65" s="64">
        <v>0.69</v>
      </c>
      <c r="J65" s="64">
        <v>0.37</v>
      </c>
      <c r="K65" s="64">
        <v>285.12</v>
      </c>
      <c r="L65" s="64">
        <v>38.19</v>
      </c>
      <c r="M65" s="64">
        <v>27.35</v>
      </c>
      <c r="N65" s="64">
        <v>394</v>
      </c>
      <c r="O65" s="64">
        <v>0</v>
      </c>
      <c r="P65" s="64">
        <v>0.65</v>
      </c>
      <c r="Q65" s="64">
        <v>21.8</v>
      </c>
      <c r="R65" s="198"/>
      <c r="S65" s="198"/>
      <c r="T65" s="198"/>
      <c r="U65" s="198"/>
    </row>
    <row r="66" spans="1:21" s="12" customFormat="1" x14ac:dyDescent="0.25">
      <c r="A66" s="211" t="s">
        <v>1167</v>
      </c>
      <c r="B66" s="64">
        <v>5.14</v>
      </c>
      <c r="C66" s="64">
        <v>30.26</v>
      </c>
      <c r="D66" s="64">
        <v>21.47</v>
      </c>
      <c r="E66" s="64">
        <v>7.9</v>
      </c>
      <c r="F66" s="64">
        <v>30.01</v>
      </c>
      <c r="G66" s="64">
        <v>36.71</v>
      </c>
      <c r="H66" s="64">
        <v>23.63</v>
      </c>
      <c r="I66" s="64">
        <v>0.74</v>
      </c>
      <c r="J66" s="64">
        <v>0.66</v>
      </c>
      <c r="K66" s="64">
        <v>305.07</v>
      </c>
      <c r="L66" s="64">
        <v>36.909999999999997</v>
      </c>
      <c r="M66" s="64">
        <v>27.98</v>
      </c>
      <c r="N66" s="64">
        <v>430.1</v>
      </c>
      <c r="O66" s="64">
        <v>0</v>
      </c>
      <c r="P66" s="64">
        <v>0.66</v>
      </c>
      <c r="Q66" s="64">
        <v>21.39</v>
      </c>
      <c r="R66" s="198"/>
      <c r="S66" s="198"/>
      <c r="T66" s="198"/>
      <c r="U66" s="198"/>
    </row>
    <row r="67" spans="1:21" s="12" customFormat="1" x14ac:dyDescent="0.25">
      <c r="A67" s="211" t="s">
        <v>1168</v>
      </c>
      <c r="B67" s="64">
        <v>3.12</v>
      </c>
      <c r="C67" s="64">
        <v>24.07</v>
      </c>
      <c r="D67" s="64">
        <v>16.440000000000001</v>
      </c>
      <c r="E67" s="64">
        <v>7.57</v>
      </c>
      <c r="F67" s="64">
        <v>23.97</v>
      </c>
      <c r="G67" s="64">
        <v>36.71</v>
      </c>
      <c r="H67" s="64">
        <v>23.63</v>
      </c>
      <c r="I67" s="64">
        <v>0.68</v>
      </c>
      <c r="J67" s="64">
        <v>0.62</v>
      </c>
      <c r="K67" s="64">
        <v>279.74</v>
      </c>
      <c r="L67" s="64">
        <v>37.479999999999997</v>
      </c>
      <c r="M67" s="64">
        <v>26.58</v>
      </c>
      <c r="N67" s="64">
        <v>413.6</v>
      </c>
      <c r="O67" s="64">
        <v>0</v>
      </c>
      <c r="P67" s="64">
        <v>0.63</v>
      </c>
      <c r="Q67" s="64">
        <v>21.31</v>
      </c>
      <c r="R67" s="198"/>
      <c r="S67" s="198"/>
      <c r="T67" s="198"/>
      <c r="U67" s="198"/>
    </row>
    <row r="68" spans="1:21" s="12" customFormat="1" x14ac:dyDescent="0.25">
      <c r="A68" s="211" t="s">
        <v>1169</v>
      </c>
      <c r="B68" s="64">
        <v>2.82</v>
      </c>
      <c r="C68" s="64">
        <v>27.87</v>
      </c>
      <c r="D68" s="64">
        <v>18.28</v>
      </c>
      <c r="E68" s="64">
        <v>9.14</v>
      </c>
      <c r="F68" s="64">
        <v>38.29</v>
      </c>
      <c r="G68" s="64">
        <v>36.71</v>
      </c>
      <c r="H68" s="64">
        <v>23.63</v>
      </c>
      <c r="I68" s="64">
        <v>0.64</v>
      </c>
      <c r="J68" s="64">
        <v>0.06</v>
      </c>
      <c r="K68" s="64">
        <v>287.29000000000002</v>
      </c>
      <c r="L68" s="64">
        <v>36.01</v>
      </c>
      <c r="M68" s="64">
        <v>27.42</v>
      </c>
      <c r="N68" s="64">
        <v>290.5</v>
      </c>
      <c r="O68" s="64">
        <v>0</v>
      </c>
      <c r="P68" s="64">
        <v>0.57999999999999996</v>
      </c>
      <c r="Q68" s="64">
        <v>21.33</v>
      </c>
      <c r="R68" s="198"/>
      <c r="S68" s="198"/>
      <c r="T68" s="198"/>
      <c r="U68" s="198"/>
    </row>
    <row r="69" spans="1:21" s="12" customFormat="1" x14ac:dyDescent="0.25">
      <c r="A69" s="211" t="s">
        <v>1170</v>
      </c>
      <c r="B69" s="64">
        <v>4.8600000000000003</v>
      </c>
      <c r="C69" s="64">
        <v>36.11</v>
      </c>
      <c r="D69" s="64">
        <v>24.47</v>
      </c>
      <c r="E69" s="64">
        <v>9.35</v>
      </c>
      <c r="F69" s="64">
        <v>36.25</v>
      </c>
      <c r="G69" s="64">
        <v>35.69</v>
      </c>
      <c r="H69" s="64">
        <v>24.74</v>
      </c>
      <c r="I69" s="64">
        <v>0.65</v>
      </c>
      <c r="J69" s="64">
        <v>0.35</v>
      </c>
      <c r="K69" s="64">
        <v>280.72000000000003</v>
      </c>
      <c r="L69" s="64">
        <v>35.880000000000003</v>
      </c>
      <c r="M69" s="64">
        <v>28.51</v>
      </c>
      <c r="N69" s="64">
        <v>239.1</v>
      </c>
      <c r="O69" s="64">
        <v>0</v>
      </c>
      <c r="P69" s="64">
        <v>0.63</v>
      </c>
      <c r="Q69" s="64">
        <v>22.2</v>
      </c>
      <c r="R69" s="198"/>
      <c r="S69" s="198"/>
      <c r="T69" s="198"/>
      <c r="U69" s="198"/>
    </row>
    <row r="70" spans="1:21" s="12" customFormat="1" x14ac:dyDescent="0.25">
      <c r="A70" s="211" t="s">
        <v>1171</v>
      </c>
      <c r="B70" s="64">
        <v>5.66</v>
      </c>
      <c r="C70" s="64">
        <v>28.79</v>
      </c>
      <c r="D70" s="64">
        <v>21.08</v>
      </c>
      <c r="E70" s="64">
        <v>7.92</v>
      </c>
      <c r="F70" s="64">
        <v>29.53</v>
      </c>
      <c r="G70" s="64">
        <v>35.47</v>
      </c>
      <c r="H70" s="64">
        <v>24.74</v>
      </c>
      <c r="I70" s="64">
        <v>0.59</v>
      </c>
      <c r="J70" s="64">
        <v>0.63</v>
      </c>
      <c r="K70" s="64">
        <v>280.60000000000002</v>
      </c>
      <c r="L70" s="64">
        <v>36.5</v>
      </c>
      <c r="M70" s="64">
        <v>21.41</v>
      </c>
      <c r="N70" s="64">
        <v>221.8</v>
      </c>
      <c r="O70" s="64">
        <v>0</v>
      </c>
      <c r="P70" s="64">
        <v>0.66</v>
      </c>
      <c r="Q70" s="64">
        <v>22.45</v>
      </c>
      <c r="R70" s="198"/>
      <c r="S70" s="198"/>
      <c r="T70" s="198"/>
      <c r="U70" s="198"/>
    </row>
    <row r="71" spans="1:21" s="12" customFormat="1" x14ac:dyDescent="0.25">
      <c r="A71" s="211" t="s">
        <v>1172</v>
      </c>
      <c r="B71" s="64">
        <v>8.07</v>
      </c>
      <c r="C71" s="64">
        <v>29.72</v>
      </c>
      <c r="D71" s="64">
        <v>23.52</v>
      </c>
      <c r="E71" s="64">
        <v>7.37</v>
      </c>
      <c r="F71" s="64">
        <v>32.47</v>
      </c>
      <c r="G71" s="64">
        <v>35.47</v>
      </c>
      <c r="H71" s="64">
        <v>24.74</v>
      </c>
      <c r="I71" s="64">
        <v>0.62</v>
      </c>
      <c r="J71" s="64">
        <v>0.77</v>
      </c>
      <c r="K71" s="64">
        <v>282.26</v>
      </c>
      <c r="L71" s="64">
        <v>36.729999999999997</v>
      </c>
      <c r="M71" s="64">
        <v>20.63</v>
      </c>
      <c r="N71" s="64">
        <v>302.10000000000002</v>
      </c>
      <c r="O71" s="64">
        <v>0</v>
      </c>
      <c r="P71" s="64">
        <v>0.61</v>
      </c>
      <c r="Q71" s="64">
        <v>21.9</v>
      </c>
      <c r="R71" s="198"/>
      <c r="S71" s="198"/>
      <c r="T71" s="198"/>
      <c r="U71" s="198"/>
    </row>
    <row r="72" spans="1:21" s="12" customFormat="1" x14ac:dyDescent="0.25">
      <c r="A72" s="211" t="s">
        <v>1173</v>
      </c>
      <c r="B72" s="64">
        <v>4.08</v>
      </c>
      <c r="C72" s="64">
        <v>25.21</v>
      </c>
      <c r="D72" s="64">
        <v>17.829999999999998</v>
      </c>
      <c r="E72" s="64">
        <v>5.09</v>
      </c>
      <c r="F72" s="64">
        <v>22.4</v>
      </c>
      <c r="G72" s="64">
        <v>35.47</v>
      </c>
      <c r="H72" s="64">
        <v>24.74</v>
      </c>
      <c r="I72" s="64">
        <v>0.63</v>
      </c>
      <c r="J72" s="64">
        <v>0.71</v>
      </c>
      <c r="K72" s="64">
        <v>277.08</v>
      </c>
      <c r="L72" s="64">
        <v>36.61</v>
      </c>
      <c r="M72" s="64">
        <v>17.61</v>
      </c>
      <c r="N72" s="64">
        <v>171.9</v>
      </c>
      <c r="O72" s="64">
        <v>0</v>
      </c>
      <c r="P72" s="64">
        <v>0.61</v>
      </c>
      <c r="Q72" s="64">
        <v>21.79</v>
      </c>
      <c r="R72" s="198"/>
      <c r="S72" s="198"/>
      <c r="T72" s="198"/>
      <c r="U72" s="198"/>
    </row>
    <row r="73" spans="1:21" s="12" customFormat="1" x14ac:dyDescent="0.25">
      <c r="A73" s="211" t="s">
        <v>1174</v>
      </c>
      <c r="B73" s="64">
        <v>5.01</v>
      </c>
      <c r="C73" s="64">
        <v>28.86</v>
      </c>
      <c r="D73" s="64">
        <v>20.6</v>
      </c>
      <c r="E73" s="64">
        <v>6.66</v>
      </c>
      <c r="F73" s="64">
        <v>21.79</v>
      </c>
      <c r="G73" s="64">
        <v>44.32</v>
      </c>
      <c r="H73" s="64">
        <v>22.15</v>
      </c>
      <c r="I73" s="64">
        <v>0.64</v>
      </c>
      <c r="J73" s="64">
        <v>0.88</v>
      </c>
      <c r="K73" s="64">
        <v>279.98</v>
      </c>
      <c r="L73" s="64">
        <v>36.5</v>
      </c>
      <c r="M73" s="64">
        <v>16.309999999999999</v>
      </c>
      <c r="N73" s="64">
        <v>134.6</v>
      </c>
      <c r="O73" s="64">
        <v>0</v>
      </c>
      <c r="P73" s="64">
        <v>0.59</v>
      </c>
      <c r="Q73" s="64">
        <v>21.61</v>
      </c>
      <c r="R73" s="198"/>
      <c r="S73" s="198"/>
      <c r="T73" s="198"/>
      <c r="U73" s="198"/>
    </row>
    <row r="74" spans="1:21" s="12" customFormat="1" x14ac:dyDescent="0.25">
      <c r="A74" s="211" t="s">
        <v>1175</v>
      </c>
      <c r="B74" s="64">
        <v>4.9800000000000004</v>
      </c>
      <c r="C74" s="64">
        <v>26.55</v>
      </c>
      <c r="D74" s="64">
        <v>19.3</v>
      </c>
      <c r="E74" s="64">
        <v>5.31</v>
      </c>
      <c r="F74" s="64">
        <v>14.93</v>
      </c>
      <c r="G74" s="64">
        <v>46.24</v>
      </c>
      <c r="H74" s="64">
        <v>22.15</v>
      </c>
      <c r="I74" s="64">
        <v>0.72</v>
      </c>
      <c r="J74" s="64">
        <v>0.9</v>
      </c>
      <c r="K74" s="64">
        <v>274.76</v>
      </c>
      <c r="L74" s="64">
        <v>36.24</v>
      </c>
      <c r="M74" s="64">
        <v>17.32</v>
      </c>
      <c r="N74" s="64">
        <v>119.1</v>
      </c>
      <c r="O74" s="64">
        <v>0</v>
      </c>
      <c r="P74" s="64">
        <v>0.62</v>
      </c>
      <c r="Q74" s="64">
        <v>22.37</v>
      </c>
      <c r="R74" s="198"/>
      <c r="S74" s="198"/>
      <c r="T74" s="198"/>
      <c r="U74" s="198"/>
    </row>
    <row r="75" spans="1:21" s="12" customFormat="1" x14ac:dyDescent="0.25">
      <c r="A75" s="211" t="s">
        <v>1176</v>
      </c>
      <c r="B75" s="64">
        <v>7.7</v>
      </c>
      <c r="C75" s="64">
        <v>37.04</v>
      </c>
      <c r="D75" s="64">
        <v>27.26</v>
      </c>
      <c r="E75" s="64">
        <v>6.36</v>
      </c>
      <c r="F75" s="64">
        <v>30.68</v>
      </c>
      <c r="G75" s="64">
        <v>46.24</v>
      </c>
      <c r="H75" s="64">
        <v>22.15</v>
      </c>
      <c r="I75" s="64">
        <v>0.71</v>
      </c>
      <c r="J75" s="64">
        <v>0.56999999999999995</v>
      </c>
      <c r="K75" s="64">
        <v>283.27999999999997</v>
      </c>
      <c r="L75" s="64">
        <v>36.090000000000003</v>
      </c>
      <c r="M75" s="64">
        <v>18.48</v>
      </c>
      <c r="N75" s="64">
        <v>103.5</v>
      </c>
      <c r="O75" s="64">
        <v>0</v>
      </c>
      <c r="P75" s="64">
        <v>0.63</v>
      </c>
      <c r="Q75" s="64">
        <v>22.41</v>
      </c>
      <c r="R75" s="198"/>
      <c r="S75" s="198"/>
      <c r="T75" s="198"/>
      <c r="U75" s="198"/>
    </row>
    <row r="76" spans="1:21" s="12" customFormat="1" x14ac:dyDescent="0.25">
      <c r="A76" s="211" t="s">
        <v>1177</v>
      </c>
      <c r="B76" s="64">
        <v>7.84</v>
      </c>
      <c r="C76" s="64">
        <v>34.69</v>
      </c>
      <c r="D76" s="64">
        <v>26.08</v>
      </c>
      <c r="E76" s="64">
        <v>6.58</v>
      </c>
      <c r="F76" s="64">
        <v>25.05</v>
      </c>
      <c r="G76" s="64">
        <v>46.24</v>
      </c>
      <c r="H76" s="64">
        <v>22.15</v>
      </c>
      <c r="I76" s="64">
        <v>0.73</v>
      </c>
      <c r="J76" s="64">
        <v>0.61</v>
      </c>
      <c r="K76" s="64">
        <v>274.49</v>
      </c>
      <c r="L76" s="64">
        <v>35.659999999999997</v>
      </c>
      <c r="M76" s="64">
        <v>19.010000000000002</v>
      </c>
      <c r="N76" s="64">
        <v>75.5</v>
      </c>
      <c r="O76" s="64">
        <v>0</v>
      </c>
      <c r="P76" s="64">
        <v>0.68</v>
      </c>
      <c r="Q76" s="64">
        <v>22.13</v>
      </c>
      <c r="R76" s="198"/>
      <c r="S76" s="198"/>
      <c r="T76" s="198"/>
      <c r="U76" s="198"/>
    </row>
    <row r="77" spans="1:21" s="12" customFormat="1" x14ac:dyDescent="0.25">
      <c r="A77" s="211" t="s">
        <v>1178</v>
      </c>
      <c r="B77" s="64">
        <v>9.9</v>
      </c>
      <c r="C77" s="64">
        <v>50.57</v>
      </c>
      <c r="D77" s="64">
        <v>36.49</v>
      </c>
      <c r="E77" s="64">
        <v>7.55</v>
      </c>
      <c r="F77" s="64">
        <v>35.630000000000003</v>
      </c>
      <c r="G77" s="64">
        <v>43.42</v>
      </c>
      <c r="H77" s="64">
        <v>19.91</v>
      </c>
      <c r="I77" s="64">
        <v>0.61</v>
      </c>
      <c r="J77" s="64">
        <v>0.18</v>
      </c>
      <c r="K77" s="64">
        <v>272.45</v>
      </c>
      <c r="L77" s="64">
        <v>34.96</v>
      </c>
      <c r="M77" s="64">
        <v>20.58</v>
      </c>
      <c r="N77" s="64">
        <v>64.2</v>
      </c>
      <c r="O77" s="64">
        <v>0</v>
      </c>
      <c r="P77" s="64">
        <v>0.79</v>
      </c>
      <c r="Q77" s="64">
        <v>20.149999999999999</v>
      </c>
      <c r="R77" s="198"/>
      <c r="S77" s="198"/>
      <c r="T77" s="198"/>
      <c r="U77" s="198"/>
    </row>
    <row r="78" spans="1:21" s="12" customFormat="1" x14ac:dyDescent="0.25">
      <c r="A78" s="211" t="s">
        <v>1179</v>
      </c>
      <c r="B78" s="64">
        <v>11.44</v>
      </c>
      <c r="C78" s="64">
        <v>49.62</v>
      </c>
      <c r="D78" s="64">
        <v>37.21</v>
      </c>
      <c r="E78" s="64">
        <v>7.46</v>
      </c>
      <c r="F78" s="64">
        <v>30.49</v>
      </c>
      <c r="G78" s="64">
        <v>42.81</v>
      </c>
      <c r="H78" s="64">
        <v>19.91</v>
      </c>
      <c r="I78" s="64">
        <v>0.63</v>
      </c>
      <c r="J78" s="64">
        <v>7.0000000000000007E-2</v>
      </c>
      <c r="K78" s="64">
        <v>247.85</v>
      </c>
      <c r="L78" s="64">
        <v>34.31</v>
      </c>
      <c r="M78" s="64">
        <v>21.75</v>
      </c>
      <c r="N78" s="64">
        <v>55.9</v>
      </c>
      <c r="O78" s="64">
        <v>0</v>
      </c>
      <c r="P78" s="64">
        <v>0.9</v>
      </c>
      <c r="Q78" s="64">
        <v>19.420000000000002</v>
      </c>
      <c r="R78" s="198"/>
      <c r="S78" s="198"/>
      <c r="T78" s="198"/>
      <c r="U78" s="198"/>
    </row>
    <row r="79" spans="1:21" s="12" customFormat="1" x14ac:dyDescent="0.25">
      <c r="A79" s="211" t="s">
        <v>1180</v>
      </c>
      <c r="B79" s="64">
        <v>2.48</v>
      </c>
      <c r="C79" s="64">
        <v>29.52</v>
      </c>
      <c r="D79" s="64">
        <v>18.93</v>
      </c>
      <c r="E79" s="64">
        <v>6.9</v>
      </c>
      <c r="F79" s="64">
        <v>25.56</v>
      </c>
      <c r="G79" s="64">
        <v>42.81</v>
      </c>
      <c r="H79" s="64">
        <v>19.91</v>
      </c>
      <c r="I79" s="64">
        <v>0.6</v>
      </c>
      <c r="J79" s="64">
        <v>0.44</v>
      </c>
      <c r="K79" s="64">
        <v>201.14</v>
      </c>
      <c r="L79" s="64">
        <v>33.69</v>
      </c>
      <c r="M79" s="64">
        <v>29.51</v>
      </c>
      <c r="N79" s="64">
        <v>42.3</v>
      </c>
      <c r="O79" s="64">
        <v>0</v>
      </c>
      <c r="P79" s="64">
        <v>0.64</v>
      </c>
      <c r="Q79" s="64">
        <v>22.74</v>
      </c>
      <c r="R79" s="198"/>
      <c r="S79" s="198"/>
      <c r="T79" s="198"/>
      <c r="U79" s="198"/>
    </row>
    <row r="80" spans="1:21" s="12" customFormat="1" x14ac:dyDescent="0.25">
      <c r="A80" s="211" t="s">
        <v>1181</v>
      </c>
      <c r="B80" s="64">
        <v>2.0299999999999998</v>
      </c>
      <c r="C80" s="64">
        <v>30.86</v>
      </c>
      <c r="D80" s="64">
        <v>19.309999999999999</v>
      </c>
      <c r="E80" s="64">
        <v>6.69</v>
      </c>
      <c r="F80" s="64">
        <v>26.13</v>
      </c>
      <c r="G80" s="64">
        <v>42.81</v>
      </c>
      <c r="H80" s="64">
        <v>19.91</v>
      </c>
      <c r="I80" s="64">
        <v>0.65</v>
      </c>
      <c r="J80" s="64">
        <v>0.42</v>
      </c>
      <c r="K80" s="64">
        <v>231.74</v>
      </c>
      <c r="L80" s="64">
        <v>33.020000000000003</v>
      </c>
      <c r="M80" s="64">
        <v>34.159999999999997</v>
      </c>
      <c r="N80" s="64">
        <v>30.4</v>
      </c>
      <c r="O80" s="64">
        <v>0</v>
      </c>
      <c r="P80" s="64">
        <v>0.65</v>
      </c>
      <c r="Q80" s="64">
        <v>23.15</v>
      </c>
      <c r="R80" s="198"/>
      <c r="S80" s="198"/>
      <c r="T80" s="198"/>
      <c r="U80" s="198"/>
    </row>
    <row r="81" spans="1:26" s="12" customFormat="1" x14ac:dyDescent="0.25">
      <c r="A81" s="211" t="s">
        <v>1182</v>
      </c>
      <c r="B81" s="64">
        <v>1.69</v>
      </c>
      <c r="C81" s="64">
        <v>47.06</v>
      </c>
      <c r="D81" s="64">
        <v>27.98</v>
      </c>
      <c r="E81" s="64">
        <v>9.3000000000000007</v>
      </c>
      <c r="F81" s="64">
        <v>38.69</v>
      </c>
      <c r="G81" s="64">
        <v>61.54</v>
      </c>
      <c r="H81" s="64">
        <v>20.9</v>
      </c>
      <c r="I81" s="64">
        <v>0.63</v>
      </c>
      <c r="J81" s="64">
        <v>0.32</v>
      </c>
      <c r="K81" s="64">
        <v>185.81</v>
      </c>
      <c r="L81" s="64">
        <v>32.15</v>
      </c>
      <c r="M81" s="64">
        <v>37.15</v>
      </c>
      <c r="N81" s="64">
        <v>19</v>
      </c>
      <c r="O81" s="64">
        <v>0</v>
      </c>
      <c r="P81" s="64">
        <v>0.63</v>
      </c>
      <c r="Q81" s="64">
        <v>23.02</v>
      </c>
      <c r="R81" s="198"/>
      <c r="S81" s="198"/>
      <c r="T81" s="198"/>
      <c r="U81" s="198"/>
    </row>
    <row r="82" spans="1:26" s="12" customFormat="1" x14ac:dyDescent="0.25">
      <c r="A82" s="211" t="s">
        <v>1183</v>
      </c>
      <c r="B82" s="64">
        <v>1.2</v>
      </c>
      <c r="C82" s="64">
        <v>45.1</v>
      </c>
      <c r="D82" s="64">
        <v>26.5</v>
      </c>
      <c r="E82" s="64">
        <v>10.73</v>
      </c>
      <c r="F82" s="64">
        <v>45.16</v>
      </c>
      <c r="G82" s="64">
        <v>65.59</v>
      </c>
      <c r="H82" s="64">
        <v>20.9</v>
      </c>
      <c r="I82" s="64">
        <v>0.64</v>
      </c>
      <c r="J82" s="64">
        <v>0.12</v>
      </c>
      <c r="K82" s="64">
        <v>254.15</v>
      </c>
      <c r="L82" s="64">
        <v>31.32</v>
      </c>
      <c r="M82" s="64">
        <v>38.630000000000003</v>
      </c>
      <c r="N82" s="64">
        <v>9.9</v>
      </c>
      <c r="O82" s="64">
        <v>0</v>
      </c>
      <c r="P82" s="64">
        <v>0.63</v>
      </c>
      <c r="Q82" s="64">
        <v>21.98</v>
      </c>
      <c r="R82" s="198"/>
      <c r="S82" s="198"/>
      <c r="T82" s="198"/>
      <c r="U82" s="198"/>
    </row>
    <row r="83" spans="1:26" s="12" customFormat="1" x14ac:dyDescent="0.25">
      <c r="A83" s="211" t="s">
        <v>1184</v>
      </c>
      <c r="B83" s="64">
        <v>1.39</v>
      </c>
      <c r="C83" s="64">
        <v>42.23</v>
      </c>
      <c r="D83" s="64">
        <v>25.07</v>
      </c>
      <c r="E83" s="64">
        <v>10.81</v>
      </c>
      <c r="F83" s="64">
        <v>46.33</v>
      </c>
      <c r="G83" s="64">
        <v>65.59</v>
      </c>
      <c r="H83" s="64">
        <v>20.9</v>
      </c>
      <c r="I83" s="64">
        <v>0.57999999999999996</v>
      </c>
      <c r="J83" s="64">
        <v>0.11</v>
      </c>
      <c r="K83" s="64">
        <v>251.1</v>
      </c>
      <c r="L83" s="64">
        <v>30.74</v>
      </c>
      <c r="M83" s="64">
        <v>40.04</v>
      </c>
      <c r="N83" s="64">
        <v>7.2</v>
      </c>
      <c r="O83" s="64">
        <v>0</v>
      </c>
      <c r="P83" s="64">
        <v>0.7</v>
      </c>
      <c r="Q83" s="64">
        <v>20.94</v>
      </c>
      <c r="R83" s="198"/>
      <c r="S83" s="198"/>
      <c r="T83" s="198"/>
      <c r="U83" s="198"/>
    </row>
    <row r="84" spans="1:26" s="12" customFormat="1" x14ac:dyDescent="0.25">
      <c r="A84" s="211" t="s">
        <v>1185</v>
      </c>
      <c r="B84" s="64">
        <v>1.2</v>
      </c>
      <c r="C84" s="64">
        <v>46.26</v>
      </c>
      <c r="D84" s="64">
        <v>27.14</v>
      </c>
      <c r="E84" s="64">
        <v>11.41</v>
      </c>
      <c r="F84" s="64">
        <v>44.23</v>
      </c>
      <c r="G84" s="64">
        <v>65.59</v>
      </c>
      <c r="H84" s="64">
        <v>20.9</v>
      </c>
      <c r="I84" s="64">
        <v>0.55000000000000004</v>
      </c>
      <c r="J84" s="64">
        <v>7.0000000000000007E-2</v>
      </c>
      <c r="K84" s="64">
        <v>265.24</v>
      </c>
      <c r="L84" s="64">
        <v>30.68</v>
      </c>
      <c r="M84" s="64">
        <v>41.01</v>
      </c>
      <c r="N84" s="64">
        <v>6.1</v>
      </c>
      <c r="O84" s="64">
        <v>0</v>
      </c>
      <c r="P84" s="64">
        <v>0.72</v>
      </c>
      <c r="Q84" s="64">
        <v>20.51</v>
      </c>
      <c r="R84" s="198"/>
      <c r="S84" s="198"/>
      <c r="T84" s="198"/>
      <c r="U84" s="198"/>
    </row>
    <row r="85" spans="1:26" s="12" customFormat="1" x14ac:dyDescent="0.25">
      <c r="A85" s="211" t="s">
        <v>1186</v>
      </c>
      <c r="B85" s="64">
        <v>6.6</v>
      </c>
      <c r="C85" s="64">
        <v>52.7</v>
      </c>
      <c r="D85" s="64">
        <v>35.020000000000003</v>
      </c>
      <c r="E85" s="64">
        <v>10.57</v>
      </c>
      <c r="F85" s="64">
        <v>27.49</v>
      </c>
      <c r="G85" s="64">
        <v>53.99</v>
      </c>
      <c r="H85" s="64">
        <v>23.36</v>
      </c>
      <c r="I85" s="64">
        <v>0.56000000000000005</v>
      </c>
      <c r="J85" s="64">
        <v>0.1</v>
      </c>
      <c r="K85" s="64">
        <v>259.89999999999998</v>
      </c>
      <c r="L85" s="64">
        <v>29.95</v>
      </c>
      <c r="M85" s="64">
        <v>42.86</v>
      </c>
      <c r="N85" s="64">
        <v>5.8</v>
      </c>
      <c r="O85" s="64">
        <v>0</v>
      </c>
      <c r="P85" s="64">
        <v>0.93</v>
      </c>
      <c r="Q85" s="64">
        <v>19.36</v>
      </c>
      <c r="R85" s="198"/>
      <c r="S85" s="198"/>
      <c r="T85" s="198"/>
      <c r="U85" s="198"/>
    </row>
    <row r="86" spans="1:26" s="12" customFormat="1" x14ac:dyDescent="0.25">
      <c r="A86" s="211" t="s">
        <v>1187</v>
      </c>
      <c r="B86" s="64">
        <v>2.11</v>
      </c>
      <c r="C86" s="64">
        <v>45.22</v>
      </c>
      <c r="D86" s="64">
        <v>27.3</v>
      </c>
      <c r="E86" s="64">
        <v>9.41</v>
      </c>
      <c r="F86" s="64">
        <v>29.94</v>
      </c>
      <c r="G86" s="64">
        <v>51.49</v>
      </c>
      <c r="H86" s="64">
        <v>23.36</v>
      </c>
      <c r="I86" s="64">
        <v>0.57999999999999996</v>
      </c>
      <c r="J86" s="64">
        <v>0.16</v>
      </c>
      <c r="K86" s="64">
        <v>247.9</v>
      </c>
      <c r="L86" s="64">
        <v>30.02</v>
      </c>
      <c r="M86" s="64">
        <v>41.54</v>
      </c>
      <c r="N86" s="64">
        <v>5.3</v>
      </c>
      <c r="O86" s="64">
        <v>0</v>
      </c>
      <c r="P86" s="64">
        <v>0.83</v>
      </c>
      <c r="Q86" s="64">
        <v>21.31</v>
      </c>
      <c r="R86" s="198"/>
      <c r="S86" s="198"/>
      <c r="T86" s="198"/>
      <c r="U86" s="198"/>
    </row>
    <row r="87" spans="1:26" s="12" customFormat="1" x14ac:dyDescent="0.25">
      <c r="A87" s="211" t="s">
        <v>1188</v>
      </c>
      <c r="B87" s="64">
        <v>1.69</v>
      </c>
      <c r="C87" s="64">
        <v>47.37</v>
      </c>
      <c r="D87" s="64">
        <v>28.14</v>
      </c>
      <c r="E87" s="64">
        <v>8.89</v>
      </c>
      <c r="F87" s="64">
        <v>25.17</v>
      </c>
      <c r="G87" s="64">
        <v>51.49</v>
      </c>
      <c r="H87" s="64">
        <v>23.36</v>
      </c>
      <c r="I87" s="64">
        <v>0.66</v>
      </c>
      <c r="J87" s="64">
        <v>0.18</v>
      </c>
      <c r="K87" s="64">
        <v>248.51</v>
      </c>
      <c r="L87" s="64">
        <v>30.05</v>
      </c>
      <c r="M87" s="64">
        <v>41.17</v>
      </c>
      <c r="N87" s="64">
        <v>5.2</v>
      </c>
      <c r="O87" s="64">
        <v>0</v>
      </c>
      <c r="P87" s="64">
        <v>0.86</v>
      </c>
      <c r="Q87" s="64">
        <v>21.56</v>
      </c>
      <c r="R87" s="198"/>
      <c r="S87" s="198"/>
      <c r="T87" s="198"/>
      <c r="U87" s="198"/>
    </row>
    <row r="88" spans="1:26" s="12" customFormat="1" x14ac:dyDescent="0.25">
      <c r="A88" s="211" t="s">
        <v>1189</v>
      </c>
      <c r="B88" s="64">
        <v>7.07</v>
      </c>
      <c r="C88" s="64">
        <v>48.59</v>
      </c>
      <c r="D88" s="64">
        <v>33.14</v>
      </c>
      <c r="E88" s="64">
        <v>5.81</v>
      </c>
      <c r="F88" s="64">
        <v>24.8</v>
      </c>
      <c r="G88" s="64">
        <v>51.49</v>
      </c>
      <c r="H88" s="64">
        <v>23.36</v>
      </c>
      <c r="I88" s="64">
        <v>0.66</v>
      </c>
      <c r="J88" s="64">
        <v>0.14000000000000001</v>
      </c>
      <c r="K88" s="64">
        <v>263.82</v>
      </c>
      <c r="L88" s="64">
        <v>29.95</v>
      </c>
      <c r="M88" s="64">
        <v>39.520000000000003</v>
      </c>
      <c r="N88" s="64">
        <v>5.3</v>
      </c>
      <c r="O88" s="64">
        <v>0</v>
      </c>
      <c r="P88" s="64">
        <v>1.02</v>
      </c>
      <c r="Q88" s="64">
        <v>22.14</v>
      </c>
      <c r="R88" s="198"/>
      <c r="S88" s="198"/>
      <c r="T88" s="198"/>
      <c r="U88" s="198"/>
    </row>
    <row r="89" spans="1:26" s="12" customFormat="1" x14ac:dyDescent="0.25">
      <c r="A89" s="211" t="s">
        <v>1190</v>
      </c>
      <c r="B89" s="64">
        <v>39.15</v>
      </c>
      <c r="C89" s="64">
        <v>81.7</v>
      </c>
      <c r="D89" s="64">
        <v>77.13</v>
      </c>
      <c r="E89" s="64">
        <v>7.92</v>
      </c>
      <c r="F89" s="64">
        <v>8.75</v>
      </c>
      <c r="G89" s="64">
        <v>56.72</v>
      </c>
      <c r="H89" s="64">
        <v>23.53</v>
      </c>
      <c r="I89" s="64">
        <v>0.69</v>
      </c>
      <c r="J89" s="64">
        <v>0.1</v>
      </c>
      <c r="K89" s="64">
        <v>269.22000000000003</v>
      </c>
      <c r="L89" s="64">
        <v>29.96</v>
      </c>
      <c r="M89" s="64">
        <v>41.41</v>
      </c>
      <c r="N89" s="64">
        <v>5.9</v>
      </c>
      <c r="O89" s="64">
        <v>0</v>
      </c>
      <c r="P89" s="64">
        <v>2.23</v>
      </c>
      <c r="Q89" s="64">
        <v>16.559999999999999</v>
      </c>
      <c r="R89" s="198"/>
      <c r="S89" s="198"/>
      <c r="T89" s="198"/>
      <c r="U89" s="198"/>
    </row>
    <row r="90" spans="1:26" s="12" customFormat="1" x14ac:dyDescent="0.25">
      <c r="A90" s="211" t="s">
        <v>1191</v>
      </c>
      <c r="B90" s="64">
        <v>28.83</v>
      </c>
      <c r="C90" s="64">
        <v>65.27</v>
      </c>
      <c r="D90" s="64">
        <v>59.78</v>
      </c>
      <c r="E90" s="64">
        <v>8.52</v>
      </c>
      <c r="F90" s="64">
        <v>7.31</v>
      </c>
      <c r="G90" s="64">
        <v>57.85</v>
      </c>
      <c r="H90" s="64">
        <v>23.53</v>
      </c>
      <c r="I90" s="64">
        <v>0.69</v>
      </c>
      <c r="J90" s="64">
        <v>0.14000000000000001</v>
      </c>
      <c r="K90" s="64">
        <v>320.01</v>
      </c>
      <c r="L90" s="64">
        <v>28.72</v>
      </c>
      <c r="M90" s="64">
        <v>45.5</v>
      </c>
      <c r="N90" s="64">
        <v>6</v>
      </c>
      <c r="O90" s="64">
        <v>0</v>
      </c>
      <c r="P90" s="64">
        <v>2.2000000000000002</v>
      </c>
      <c r="Q90" s="64">
        <v>17.73</v>
      </c>
      <c r="R90" s="198"/>
      <c r="S90" s="198"/>
      <c r="T90" s="198"/>
      <c r="U90" s="198"/>
    </row>
    <row r="91" spans="1:26" s="12" customFormat="1" x14ac:dyDescent="0.25">
      <c r="A91" s="211" t="s">
        <v>1192</v>
      </c>
      <c r="B91" s="64">
        <v>24.73</v>
      </c>
      <c r="C91" s="64">
        <v>66.19</v>
      </c>
      <c r="D91" s="64">
        <v>57</v>
      </c>
      <c r="E91" s="64">
        <v>7.54</v>
      </c>
      <c r="F91" s="64">
        <v>9.4499999999999993</v>
      </c>
      <c r="G91" s="64">
        <v>57.85</v>
      </c>
      <c r="H91" s="64">
        <v>23.53</v>
      </c>
      <c r="I91" s="64">
        <v>0.99</v>
      </c>
      <c r="J91" s="64">
        <v>7.0000000000000007E-2</v>
      </c>
      <c r="K91" s="64">
        <v>63.97</v>
      </c>
      <c r="L91" s="64">
        <v>28.19</v>
      </c>
      <c r="M91" s="64">
        <v>46.65</v>
      </c>
      <c r="N91" s="64">
        <v>5.9</v>
      </c>
      <c r="O91" s="64">
        <v>0</v>
      </c>
      <c r="P91" s="64">
        <v>1.74</v>
      </c>
      <c r="Q91" s="64">
        <v>21.19</v>
      </c>
      <c r="R91" s="198"/>
      <c r="S91" s="198"/>
      <c r="T91" s="198"/>
      <c r="U91" s="198"/>
    </row>
    <row r="92" spans="1:26" s="12" customFormat="1" x14ac:dyDescent="0.25">
      <c r="A92" s="211" t="s">
        <v>1193</v>
      </c>
      <c r="B92" s="64">
        <v>37.57</v>
      </c>
      <c r="C92" s="64">
        <v>90.14</v>
      </c>
      <c r="D92" s="64">
        <v>80.52</v>
      </c>
      <c r="E92" s="64">
        <v>8.01</v>
      </c>
      <c r="F92" s="64">
        <v>8.5</v>
      </c>
      <c r="G92" s="64">
        <v>57.85</v>
      </c>
      <c r="H92" s="64">
        <v>23.53</v>
      </c>
      <c r="I92" s="64">
        <v>1.01</v>
      </c>
      <c r="J92" s="64">
        <v>0.14000000000000001</v>
      </c>
      <c r="K92" s="64">
        <v>87.01</v>
      </c>
      <c r="L92" s="64">
        <v>28.05</v>
      </c>
      <c r="M92" s="64">
        <v>46.57</v>
      </c>
      <c r="N92" s="64">
        <v>5.7</v>
      </c>
      <c r="O92" s="64">
        <v>0</v>
      </c>
      <c r="P92" s="64">
        <v>2.12</v>
      </c>
      <c r="Q92" s="64">
        <v>18.13</v>
      </c>
      <c r="R92" s="198"/>
      <c r="S92" s="198"/>
      <c r="T92" s="198"/>
      <c r="U92" s="198"/>
    </row>
    <row r="93" spans="1:26" s="12" customFormat="1" x14ac:dyDescent="0.25">
      <c r="A93" s="211" t="s">
        <v>1194</v>
      </c>
      <c r="B93" s="64">
        <v>68.069999999999993</v>
      </c>
      <c r="C93" s="64">
        <v>99.42</v>
      </c>
      <c r="D93" s="64">
        <v>110.1</v>
      </c>
      <c r="E93" s="64">
        <v>8.33</v>
      </c>
      <c r="F93" s="64">
        <v>4.55</v>
      </c>
      <c r="G93" s="64">
        <v>77.39</v>
      </c>
      <c r="H93" s="64">
        <v>30.43</v>
      </c>
      <c r="I93" s="64">
        <v>0.87</v>
      </c>
      <c r="J93" s="64">
        <v>0.05</v>
      </c>
      <c r="K93" s="64">
        <v>240.88</v>
      </c>
      <c r="L93" s="64">
        <v>27.97</v>
      </c>
      <c r="M93" s="64">
        <v>51.57</v>
      </c>
      <c r="N93" s="64">
        <v>5.9</v>
      </c>
      <c r="O93" s="64">
        <v>0</v>
      </c>
      <c r="P93" s="64">
        <v>3.09</v>
      </c>
      <c r="Q93" s="64">
        <v>15.74</v>
      </c>
      <c r="R93" s="198"/>
      <c r="S93" s="198"/>
      <c r="T93" s="198"/>
      <c r="U93" s="198"/>
    </row>
    <row r="94" spans="1:26" s="12" customFormat="1" x14ac:dyDescent="0.25">
      <c r="A94" s="211" t="s">
        <v>1195</v>
      </c>
      <c r="B94" s="64">
        <v>103.84</v>
      </c>
      <c r="C94" s="64">
        <v>100.36</v>
      </c>
      <c r="D94" s="64">
        <v>139.31</v>
      </c>
      <c r="E94" s="64">
        <v>7.75</v>
      </c>
      <c r="F94" s="64">
        <v>4.2699999999999996</v>
      </c>
      <c r="G94" s="64">
        <v>81.62</v>
      </c>
      <c r="H94" s="64">
        <v>30.43</v>
      </c>
      <c r="I94" s="64">
        <v>0.91</v>
      </c>
      <c r="J94" s="64">
        <v>7.0000000000000007E-2</v>
      </c>
      <c r="K94" s="64">
        <v>295.61</v>
      </c>
      <c r="L94" s="64">
        <v>27.33</v>
      </c>
      <c r="M94" s="64">
        <v>54.07</v>
      </c>
      <c r="N94" s="64">
        <v>5.8</v>
      </c>
      <c r="O94" s="64">
        <v>0</v>
      </c>
      <c r="P94" s="64">
        <v>3.49</v>
      </c>
      <c r="Q94" s="64">
        <v>12.56</v>
      </c>
      <c r="R94" s="198"/>
      <c r="S94" s="198"/>
      <c r="T94" s="198"/>
      <c r="U94" s="198"/>
    </row>
    <row r="95" spans="1:26" s="12" customFormat="1" x14ac:dyDescent="0.25">
      <c r="A95" s="211" t="s">
        <v>1196</v>
      </c>
      <c r="B95" s="64">
        <v>109.22</v>
      </c>
      <c r="C95" s="64">
        <v>89.52</v>
      </c>
      <c r="D95" s="64">
        <v>137.63999999999999</v>
      </c>
      <c r="E95" s="64">
        <v>7.85</v>
      </c>
      <c r="F95" s="64">
        <v>4.37</v>
      </c>
      <c r="G95" s="64">
        <v>81.62</v>
      </c>
      <c r="H95" s="64">
        <v>30.43</v>
      </c>
      <c r="I95" s="64">
        <v>1.1100000000000001</v>
      </c>
      <c r="J95" s="64">
        <v>7.0000000000000007E-2</v>
      </c>
      <c r="K95" s="64">
        <v>274.08</v>
      </c>
      <c r="L95" s="64">
        <v>27.06</v>
      </c>
      <c r="M95" s="64">
        <v>54.7</v>
      </c>
      <c r="N95" s="64">
        <v>5.8</v>
      </c>
      <c r="O95" s="64">
        <v>0</v>
      </c>
      <c r="P95" s="64">
        <v>3.5</v>
      </c>
      <c r="Q95" s="64">
        <v>15.15</v>
      </c>
      <c r="R95" s="198"/>
      <c r="S95" s="198"/>
      <c r="T95" s="198"/>
      <c r="U95" s="198"/>
    </row>
    <row r="96" spans="1:26" s="12" customFormat="1" x14ac:dyDescent="0.25">
      <c r="A96" s="211" t="s">
        <v>1197</v>
      </c>
      <c r="B96" s="64">
        <v>62.53</v>
      </c>
      <c r="C96" s="64">
        <v>80.319999999999993</v>
      </c>
      <c r="D96" s="64">
        <v>95.12</v>
      </c>
      <c r="E96" s="64">
        <v>8.1</v>
      </c>
      <c r="F96" s="64">
        <v>4.43</v>
      </c>
      <c r="G96" s="64">
        <v>81.62</v>
      </c>
      <c r="H96" s="64">
        <v>30.43</v>
      </c>
      <c r="I96" s="64">
        <v>1.23</v>
      </c>
      <c r="J96" s="64">
        <v>0.08</v>
      </c>
      <c r="K96" s="64">
        <v>269.14</v>
      </c>
      <c r="L96" s="64">
        <v>27.09</v>
      </c>
      <c r="M96" s="64">
        <v>53.33</v>
      </c>
      <c r="N96" s="64">
        <v>5.7</v>
      </c>
      <c r="O96" s="64">
        <v>0</v>
      </c>
      <c r="P96" s="64">
        <v>2.74</v>
      </c>
      <c r="Q96" s="64">
        <v>19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1198</v>
      </c>
      <c r="B97" s="64">
        <v>42.44</v>
      </c>
      <c r="C97" s="64">
        <v>67.16</v>
      </c>
      <c r="D97" s="64">
        <v>71.739999999999995</v>
      </c>
      <c r="E97" s="64">
        <v>7.49</v>
      </c>
      <c r="F97" s="64">
        <v>6.65</v>
      </c>
      <c r="G97" s="64">
        <v>100.18</v>
      </c>
      <c r="H97" s="64">
        <v>34.53</v>
      </c>
      <c r="I97" s="64">
        <v>1.1499999999999999</v>
      </c>
      <c r="J97" s="64">
        <v>0.09</v>
      </c>
      <c r="K97" s="64">
        <v>114.52</v>
      </c>
      <c r="L97" s="64">
        <v>27.55</v>
      </c>
      <c r="M97" s="64">
        <v>49.41</v>
      </c>
      <c r="N97" s="64">
        <v>5.4</v>
      </c>
      <c r="O97" s="64">
        <v>0</v>
      </c>
      <c r="P97" s="64">
        <v>2.12</v>
      </c>
      <c r="Q97" s="64">
        <v>22.88</v>
      </c>
      <c r="R97" s="198"/>
      <c r="S97" s="198"/>
      <c r="T97" s="198"/>
      <c r="U97" s="198"/>
    </row>
    <row r="98" spans="1:33" s="12" customFormat="1" x14ac:dyDescent="0.25">
      <c r="A98" s="211" t="s">
        <v>1199</v>
      </c>
      <c r="B98" s="64">
        <v>36.15</v>
      </c>
      <c r="C98" s="64">
        <v>62.46</v>
      </c>
      <c r="D98" s="64">
        <v>64.11</v>
      </c>
      <c r="E98" s="64">
        <v>7.57</v>
      </c>
      <c r="F98" s="64">
        <v>6.13</v>
      </c>
      <c r="G98" s="64">
        <v>104.2</v>
      </c>
      <c r="H98" s="64">
        <v>34.53</v>
      </c>
      <c r="I98" s="64">
        <v>1.1100000000000001</v>
      </c>
      <c r="J98" s="64">
        <v>0.04</v>
      </c>
      <c r="K98" s="64">
        <v>80.92</v>
      </c>
      <c r="L98" s="64">
        <v>27.6</v>
      </c>
      <c r="M98" s="64">
        <v>47.84</v>
      </c>
      <c r="N98" s="64">
        <v>5.9</v>
      </c>
      <c r="O98" s="64">
        <v>0</v>
      </c>
      <c r="P98" s="64">
        <v>1.98</v>
      </c>
      <c r="Q98" s="64">
        <v>25.25</v>
      </c>
      <c r="R98" s="198"/>
      <c r="S98" s="198"/>
      <c r="T98" s="198"/>
      <c r="U98" s="198"/>
    </row>
    <row r="99" spans="1:33" s="12" customFormat="1" x14ac:dyDescent="0.25">
      <c r="A99" s="211" t="s">
        <v>1200</v>
      </c>
      <c r="B99" s="64">
        <v>34.61</v>
      </c>
      <c r="C99" s="64">
        <v>69.260000000000005</v>
      </c>
      <c r="D99" s="64">
        <v>66.63</v>
      </c>
      <c r="E99" s="64">
        <v>7.02</v>
      </c>
      <c r="F99" s="64">
        <v>5.37</v>
      </c>
      <c r="G99" s="64">
        <v>104.2</v>
      </c>
      <c r="H99" s="64">
        <v>34.53</v>
      </c>
      <c r="I99" s="64">
        <v>0.89</v>
      </c>
      <c r="J99" s="64">
        <v>0.18</v>
      </c>
      <c r="K99" s="64">
        <v>256.43</v>
      </c>
      <c r="L99" s="64">
        <v>27.43</v>
      </c>
      <c r="M99" s="64">
        <v>50.14</v>
      </c>
      <c r="N99" s="64">
        <v>5.5</v>
      </c>
      <c r="O99" s="64">
        <v>0</v>
      </c>
      <c r="P99" s="64">
        <v>1.95</v>
      </c>
      <c r="Q99" s="64">
        <v>25.48</v>
      </c>
      <c r="R99" s="198"/>
      <c r="S99" s="198"/>
      <c r="T99" s="198"/>
      <c r="U99" s="198"/>
    </row>
    <row r="100" spans="1:33" s="12" customFormat="1" x14ac:dyDescent="0.25">
      <c r="A100" s="211" t="s">
        <v>1201</v>
      </c>
      <c r="B100" s="64">
        <v>46.61</v>
      </c>
      <c r="C100" s="64">
        <v>59.93</v>
      </c>
      <c r="D100" s="64">
        <v>71.099999999999994</v>
      </c>
      <c r="E100" s="64">
        <v>6.86</v>
      </c>
      <c r="F100" s="64">
        <v>4.55</v>
      </c>
      <c r="G100" s="64">
        <v>104.2</v>
      </c>
      <c r="H100" s="64">
        <v>34.53</v>
      </c>
      <c r="I100" s="64">
        <v>0.96</v>
      </c>
      <c r="J100" s="64">
        <v>0.13</v>
      </c>
      <c r="K100" s="64">
        <v>261.64999999999998</v>
      </c>
      <c r="L100" s="64">
        <v>26.95</v>
      </c>
      <c r="M100" s="64">
        <v>53.42</v>
      </c>
      <c r="N100" s="64">
        <v>6</v>
      </c>
      <c r="O100" s="64">
        <v>0</v>
      </c>
      <c r="P100" s="64">
        <v>1.98</v>
      </c>
      <c r="Q100" s="64">
        <v>23.39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1202</v>
      </c>
      <c r="B101" s="64">
        <v>64.63</v>
      </c>
      <c r="C101" s="64">
        <v>59.25</v>
      </c>
      <c r="D101" s="64">
        <v>85.18</v>
      </c>
      <c r="E101" s="64">
        <v>6.58</v>
      </c>
      <c r="F101" s="64">
        <v>5.62</v>
      </c>
      <c r="G101" s="64">
        <v>99.5</v>
      </c>
      <c r="H101" s="64">
        <v>35.18</v>
      </c>
      <c r="I101" s="64">
        <v>0.9</v>
      </c>
      <c r="J101" s="64">
        <v>0.2</v>
      </c>
      <c r="K101" s="64">
        <v>336.89</v>
      </c>
      <c r="L101" s="64">
        <v>26.46</v>
      </c>
      <c r="M101" s="64">
        <v>57.36</v>
      </c>
      <c r="N101" s="64">
        <v>5.9</v>
      </c>
      <c r="O101" s="64">
        <v>0</v>
      </c>
      <c r="P101" s="64">
        <v>2.16</v>
      </c>
      <c r="Q101" s="64">
        <v>23.51</v>
      </c>
      <c r="R101" s="198"/>
      <c r="S101" s="198"/>
      <c r="T101" s="198"/>
      <c r="U101" s="198"/>
    </row>
    <row r="102" spans="1:33" s="12" customFormat="1" x14ac:dyDescent="0.25">
      <c r="A102" s="211" t="s">
        <v>1203</v>
      </c>
      <c r="B102" s="64">
        <v>39.92</v>
      </c>
      <c r="C102" s="64">
        <v>48.76</v>
      </c>
      <c r="D102" s="64">
        <v>59.57</v>
      </c>
      <c r="E102" s="64">
        <v>5.88</v>
      </c>
      <c r="F102" s="64">
        <v>4.66</v>
      </c>
      <c r="G102" s="64">
        <v>98.48</v>
      </c>
      <c r="H102" s="64">
        <v>35.18</v>
      </c>
      <c r="I102" s="64">
        <v>0.91</v>
      </c>
      <c r="J102" s="64">
        <v>0.24</v>
      </c>
      <c r="K102" s="64">
        <v>281</v>
      </c>
      <c r="L102" s="64">
        <v>26.3</v>
      </c>
      <c r="M102" s="64">
        <v>57.55</v>
      </c>
      <c r="N102" s="64">
        <v>5.5</v>
      </c>
      <c r="O102" s="64">
        <v>0</v>
      </c>
      <c r="P102" s="64">
        <v>1.9</v>
      </c>
      <c r="Q102" s="64">
        <v>26.04</v>
      </c>
      <c r="R102" s="198"/>
      <c r="S102" s="198"/>
      <c r="T102" s="198"/>
      <c r="U102" s="198"/>
    </row>
    <row r="103" spans="1:33" s="12" customFormat="1" x14ac:dyDescent="0.25">
      <c r="A103" s="211" t="s">
        <v>1204</v>
      </c>
      <c r="B103" s="64">
        <v>35.729999999999997</v>
      </c>
      <c r="C103" s="64">
        <v>48.2</v>
      </c>
      <c r="D103" s="64">
        <v>55.9</v>
      </c>
      <c r="E103" s="64">
        <v>6.58</v>
      </c>
      <c r="F103" s="64">
        <v>5.32</v>
      </c>
      <c r="G103" s="64">
        <v>98.48</v>
      </c>
      <c r="H103" s="64">
        <v>35.18</v>
      </c>
      <c r="I103" s="64">
        <v>0.93</v>
      </c>
      <c r="J103" s="64">
        <v>0.12</v>
      </c>
      <c r="K103" s="64">
        <v>267.49</v>
      </c>
      <c r="L103" s="64">
        <v>26.21</v>
      </c>
      <c r="M103" s="64">
        <v>55.92</v>
      </c>
      <c r="N103" s="64">
        <v>5.7</v>
      </c>
      <c r="O103" s="64">
        <v>0</v>
      </c>
      <c r="P103" s="64">
        <v>1.92</v>
      </c>
      <c r="Q103" s="64">
        <v>26.34</v>
      </c>
      <c r="R103" s="198"/>
      <c r="S103" s="198"/>
      <c r="T103" s="198"/>
      <c r="U103" s="198"/>
    </row>
    <row r="104" spans="1:33" s="12" customFormat="1" x14ac:dyDescent="0.25">
      <c r="A104" s="211" t="s">
        <v>1205</v>
      </c>
      <c r="B104" s="64">
        <v>31.76</v>
      </c>
      <c r="C104" s="64">
        <v>62.98</v>
      </c>
      <c r="D104" s="64">
        <v>60.87</v>
      </c>
      <c r="E104" s="64">
        <v>5.52</v>
      </c>
      <c r="F104" s="64">
        <v>4.8899999999999997</v>
      </c>
      <c r="G104" s="64">
        <v>98.48</v>
      </c>
      <c r="H104" s="64">
        <v>35.18</v>
      </c>
      <c r="I104" s="64">
        <v>0.89</v>
      </c>
      <c r="J104" s="64">
        <v>7.0000000000000007E-2</v>
      </c>
      <c r="K104" s="64">
        <v>262.19</v>
      </c>
      <c r="L104" s="64">
        <v>26.06</v>
      </c>
      <c r="M104" s="64">
        <v>56.72</v>
      </c>
      <c r="N104" s="64">
        <v>5.8</v>
      </c>
      <c r="O104" s="64">
        <v>0</v>
      </c>
      <c r="P104" s="64">
        <v>2</v>
      </c>
      <c r="Q104" s="64">
        <v>26.79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1.2</v>
      </c>
      <c r="C106" s="67">
        <f>MIN(C9:C104)</f>
        <v>11.35</v>
      </c>
      <c r="D106" s="67">
        <f t="shared" ref="D106:Q106" si="0">MIN(D9:D104)</f>
        <v>8.02</v>
      </c>
      <c r="E106" s="67">
        <f t="shared" si="0"/>
        <v>2.63</v>
      </c>
      <c r="F106" s="67">
        <f t="shared" si="0"/>
        <v>3.54</v>
      </c>
      <c r="G106" s="67">
        <f t="shared" si="0"/>
        <v>26</v>
      </c>
      <c r="H106" s="67">
        <f t="shared" si="0"/>
        <v>12.52</v>
      </c>
      <c r="I106" s="67">
        <f t="shared" si="0"/>
        <v>0.49</v>
      </c>
      <c r="J106" s="67">
        <f t="shared" si="0"/>
        <v>0.01</v>
      </c>
      <c r="K106" s="67">
        <f t="shared" si="0"/>
        <v>28.6</v>
      </c>
      <c r="L106" s="67">
        <f t="shared" si="0"/>
        <v>23.05</v>
      </c>
      <c r="M106" s="67">
        <f t="shared" si="0"/>
        <v>16.309999999999999</v>
      </c>
      <c r="N106" s="67">
        <f t="shared" si="0"/>
        <v>5.2</v>
      </c>
      <c r="O106" s="67">
        <f t="shared" si="0"/>
        <v>0</v>
      </c>
      <c r="P106" s="67">
        <f t="shared" si="0"/>
        <v>0.37</v>
      </c>
      <c r="Q106" s="67">
        <f t="shared" si="0"/>
        <v>12.56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109.22</v>
      </c>
      <c r="C107" s="66">
        <f t="shared" ref="C107:Q107" si="1">MAX(C9:C104)</f>
        <v>100.36</v>
      </c>
      <c r="D107" s="66">
        <f t="shared" si="1"/>
        <v>139.31</v>
      </c>
      <c r="E107" s="66">
        <f t="shared" si="1"/>
        <v>11.41</v>
      </c>
      <c r="F107" s="66">
        <f t="shared" si="1"/>
        <v>46.33</v>
      </c>
      <c r="G107" s="66">
        <f t="shared" si="1"/>
        <v>104.2</v>
      </c>
      <c r="H107" s="66">
        <f t="shared" si="1"/>
        <v>35.18</v>
      </c>
      <c r="I107" s="66">
        <f t="shared" si="1"/>
        <v>1.23</v>
      </c>
      <c r="J107" s="66">
        <f t="shared" si="1"/>
        <v>0.92</v>
      </c>
      <c r="K107" s="66">
        <f t="shared" si="1"/>
        <v>336.89</v>
      </c>
      <c r="L107" s="66">
        <f t="shared" si="1"/>
        <v>39.03</v>
      </c>
      <c r="M107" s="66">
        <f t="shared" si="1"/>
        <v>74</v>
      </c>
      <c r="N107" s="66">
        <f t="shared" si="1"/>
        <v>926</v>
      </c>
      <c r="O107" s="66">
        <f t="shared" si="1"/>
        <v>0</v>
      </c>
      <c r="P107" s="66">
        <f t="shared" si="1"/>
        <v>3.5</v>
      </c>
      <c r="Q107" s="66">
        <f t="shared" si="1"/>
        <v>26.79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12.1409375</v>
      </c>
      <c r="C108" s="67">
        <f t="shared" ref="C108:Q108" si="2">AVERAGE(C9:C104)</f>
        <v>32.87479166666666</v>
      </c>
      <c r="D108" s="67">
        <f t="shared" si="2"/>
        <v>28.525729166666665</v>
      </c>
      <c r="E108" s="67">
        <f t="shared" si="2"/>
        <v>5.9118750000000011</v>
      </c>
      <c r="F108" s="67">
        <f t="shared" si="2"/>
        <v>15.086875000000001</v>
      </c>
      <c r="G108" s="67">
        <f t="shared" si="2"/>
        <v>52.903478260869527</v>
      </c>
      <c r="H108" s="67">
        <f t="shared" si="2"/>
        <v>23.096086956521752</v>
      </c>
      <c r="I108" s="67">
        <f t="shared" si="2"/>
        <v>0.64291666666666636</v>
      </c>
      <c r="J108" s="67">
        <f t="shared" si="2"/>
        <v>0.33718750000000003</v>
      </c>
      <c r="K108" s="67">
        <f t="shared" si="2"/>
        <v>258.00135416666677</v>
      </c>
      <c r="L108" s="67">
        <f t="shared" si="2"/>
        <v>30.543333333333333</v>
      </c>
      <c r="M108" s="67">
        <f t="shared" si="2"/>
        <v>46.758333333333347</v>
      </c>
      <c r="N108" s="67">
        <f t="shared" si="2"/>
        <v>245.58749999999998</v>
      </c>
      <c r="O108" s="67">
        <f t="shared" si="2"/>
        <v>0</v>
      </c>
      <c r="P108" s="67">
        <f t="shared" si="2"/>
        <v>0.89197916666666677</v>
      </c>
      <c r="Q108" s="67">
        <f t="shared" si="2"/>
        <v>21.550104166666674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20.125206717637248</v>
      </c>
      <c r="C109" s="67">
        <f t="shared" ref="C109:Q109" si="3">STDEV(C9:C104)</f>
        <v>21.050842912448001</v>
      </c>
      <c r="D109" s="67">
        <f t="shared" si="3"/>
        <v>26.553005687523708</v>
      </c>
      <c r="E109" s="67">
        <f t="shared" si="3"/>
        <v>2.22558960254297</v>
      </c>
      <c r="F109" s="67">
        <f t="shared" si="3"/>
        <v>11.914931836057423</v>
      </c>
      <c r="G109" s="67">
        <f t="shared" si="3"/>
        <v>19.821821332954542</v>
      </c>
      <c r="H109" s="67">
        <f t="shared" si="3"/>
        <v>5.6875609319806397</v>
      </c>
      <c r="I109" s="67">
        <f t="shared" si="3"/>
        <v>0.16051179111741146</v>
      </c>
      <c r="J109" s="67">
        <f t="shared" si="3"/>
        <v>0.26540417291369001</v>
      </c>
      <c r="K109" s="67">
        <f t="shared" si="3"/>
        <v>55.454019333607803</v>
      </c>
      <c r="L109" s="67">
        <f t="shared" si="3"/>
        <v>5.5609063378415025</v>
      </c>
      <c r="M109" s="67">
        <f t="shared" si="3"/>
        <v>17.143767114528622</v>
      </c>
      <c r="N109" s="67">
        <f t="shared" si="3"/>
        <v>323.43539117288628</v>
      </c>
      <c r="O109" s="67">
        <f t="shared" si="3"/>
        <v>0</v>
      </c>
      <c r="P109" s="67">
        <f t="shared" si="3"/>
        <v>0.69055068763486294</v>
      </c>
      <c r="Q109" s="67">
        <f t="shared" si="3"/>
        <v>2.1504317778391271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92</v>
      </c>
      <c r="H110" s="66">
        <f>COUNT(H9:H104)</f>
        <v>92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1206</v>
      </c>
      <c r="B9" s="64">
        <v>17.79</v>
      </c>
      <c r="C9" s="64">
        <v>69.489999999999995</v>
      </c>
      <c r="D9" s="64">
        <v>53.26</v>
      </c>
      <c r="E9" s="64">
        <v>14.14</v>
      </c>
      <c r="F9" s="64">
        <v>5.91</v>
      </c>
      <c r="G9" s="64">
        <v>108.22</v>
      </c>
      <c r="H9" s="64">
        <v>42.49</v>
      </c>
      <c r="I9" s="64">
        <v>0.9</v>
      </c>
      <c r="J9" s="64">
        <v>0.11</v>
      </c>
      <c r="K9" s="64">
        <v>268.91000000000003</v>
      </c>
      <c r="L9" s="64">
        <v>25.9</v>
      </c>
      <c r="M9" s="64">
        <v>55.34</v>
      </c>
      <c r="N9" s="64">
        <v>5.8</v>
      </c>
      <c r="O9" s="64">
        <v>0</v>
      </c>
      <c r="P9" s="64">
        <v>1.76</v>
      </c>
      <c r="Q9" s="64">
        <v>26.8</v>
      </c>
      <c r="R9" s="198"/>
      <c r="S9" s="198"/>
      <c r="T9" s="198"/>
      <c r="U9" s="198"/>
    </row>
    <row r="10" spans="1:21" s="12" customFormat="1" x14ac:dyDescent="0.25">
      <c r="A10" s="211" t="s">
        <v>1207</v>
      </c>
      <c r="B10" s="64">
        <v>29.29</v>
      </c>
      <c r="C10" s="64">
        <v>60.3</v>
      </c>
      <c r="D10" s="64">
        <v>57.41</v>
      </c>
      <c r="E10" s="64">
        <v>14.56</v>
      </c>
      <c r="F10" s="64">
        <v>5.03</v>
      </c>
      <c r="G10" s="64">
        <v>110.32</v>
      </c>
      <c r="H10" s="64">
        <v>42.49</v>
      </c>
      <c r="I10" s="64">
        <v>0.91</v>
      </c>
      <c r="J10" s="64">
        <v>0.14000000000000001</v>
      </c>
      <c r="K10" s="64">
        <v>283.95999999999998</v>
      </c>
      <c r="L10" s="64">
        <v>25.37</v>
      </c>
      <c r="M10" s="64">
        <v>60.23</v>
      </c>
      <c r="N10" s="64">
        <v>5.8</v>
      </c>
      <c r="O10" s="64">
        <v>0</v>
      </c>
      <c r="P10" s="64">
        <v>1.98</v>
      </c>
      <c r="Q10" s="64">
        <v>25.19</v>
      </c>
      <c r="R10" s="198"/>
      <c r="S10" s="198"/>
      <c r="T10" s="198"/>
      <c r="U10" s="198"/>
    </row>
    <row r="11" spans="1:21" s="12" customFormat="1" x14ac:dyDescent="0.25">
      <c r="A11" s="211" t="s">
        <v>1208</v>
      </c>
      <c r="B11" s="64">
        <v>41.99</v>
      </c>
      <c r="C11" s="64">
        <v>58.69</v>
      </c>
      <c r="D11" s="64">
        <v>66.709999999999994</v>
      </c>
      <c r="E11" s="64">
        <v>10.15</v>
      </c>
      <c r="F11" s="64">
        <v>4.08</v>
      </c>
      <c r="G11" s="64">
        <v>110.32</v>
      </c>
      <c r="H11" s="64">
        <v>42.49</v>
      </c>
      <c r="I11" s="64">
        <v>0.87</v>
      </c>
      <c r="J11" s="64">
        <v>0.12</v>
      </c>
      <c r="K11" s="64">
        <v>273.94</v>
      </c>
      <c r="L11" s="64">
        <v>24.82</v>
      </c>
      <c r="M11" s="64">
        <v>64.2</v>
      </c>
      <c r="N11" s="64">
        <v>6</v>
      </c>
      <c r="O11" s="64">
        <v>0</v>
      </c>
      <c r="P11" s="64">
        <v>2.0699999999999998</v>
      </c>
      <c r="Q11" s="64">
        <v>25.24</v>
      </c>
      <c r="R11" s="198"/>
      <c r="S11" s="198"/>
      <c r="T11" s="198"/>
      <c r="U11" s="198"/>
    </row>
    <row r="12" spans="1:21" s="12" customFormat="1" x14ac:dyDescent="0.25">
      <c r="A12" s="211" t="s">
        <v>1209</v>
      </c>
      <c r="B12" s="64">
        <v>38.049999999999997</v>
      </c>
      <c r="C12" s="64">
        <v>53.47</v>
      </c>
      <c r="D12" s="64">
        <v>60.67</v>
      </c>
      <c r="E12" s="64">
        <v>11.68</v>
      </c>
      <c r="F12" s="64">
        <v>3.42</v>
      </c>
      <c r="G12" s="64">
        <v>110.32</v>
      </c>
      <c r="H12" s="64">
        <v>42.49</v>
      </c>
      <c r="I12" s="64">
        <v>0.96</v>
      </c>
      <c r="J12" s="64">
        <v>0.08</v>
      </c>
      <c r="K12" s="64">
        <v>175.73</v>
      </c>
      <c r="L12" s="64">
        <v>24.57</v>
      </c>
      <c r="M12" s="64">
        <v>64.83</v>
      </c>
      <c r="N12" s="64">
        <v>5.7</v>
      </c>
      <c r="O12" s="64">
        <v>0</v>
      </c>
      <c r="P12" s="64">
        <v>1.89</v>
      </c>
      <c r="Q12" s="64">
        <v>25.5</v>
      </c>
      <c r="R12" s="198"/>
      <c r="S12" s="198"/>
      <c r="T12" s="198"/>
      <c r="U12" s="198"/>
    </row>
    <row r="13" spans="1:21" s="12" customFormat="1" x14ac:dyDescent="0.25">
      <c r="A13" s="211" t="s">
        <v>1210</v>
      </c>
      <c r="B13" s="64">
        <v>41.66</v>
      </c>
      <c r="C13" s="64">
        <v>41.9</v>
      </c>
      <c r="D13" s="64">
        <v>57.17</v>
      </c>
      <c r="E13" s="64">
        <v>9.33</v>
      </c>
      <c r="F13" s="64">
        <v>3.42</v>
      </c>
      <c r="G13" s="64">
        <v>122.67</v>
      </c>
      <c r="H13" s="64">
        <v>53.71</v>
      </c>
      <c r="I13" s="64">
        <v>1.04</v>
      </c>
      <c r="J13" s="64">
        <v>0.2</v>
      </c>
      <c r="K13" s="64">
        <v>270.92</v>
      </c>
      <c r="L13" s="64">
        <v>24.35</v>
      </c>
      <c r="M13" s="64">
        <v>68.89</v>
      </c>
      <c r="N13" s="64">
        <v>5.7</v>
      </c>
      <c r="O13" s="64">
        <v>0</v>
      </c>
      <c r="P13" s="64">
        <v>1.9</v>
      </c>
      <c r="Q13" s="64">
        <v>25.83</v>
      </c>
      <c r="R13" s="198"/>
      <c r="S13" s="198"/>
      <c r="T13" s="198"/>
      <c r="U13" s="198"/>
    </row>
    <row r="14" spans="1:21" s="12" customFormat="1" x14ac:dyDescent="0.25">
      <c r="A14" s="211" t="s">
        <v>1211</v>
      </c>
      <c r="B14" s="64">
        <v>36.44</v>
      </c>
      <c r="C14" s="64">
        <v>38.049999999999997</v>
      </c>
      <c r="D14" s="64">
        <v>50.86</v>
      </c>
      <c r="E14" s="64">
        <v>7.2</v>
      </c>
      <c r="F14" s="64">
        <v>3.45</v>
      </c>
      <c r="G14" s="64">
        <v>125.34</v>
      </c>
      <c r="H14" s="64">
        <v>53.71</v>
      </c>
      <c r="I14" s="64">
        <v>1.1499999999999999</v>
      </c>
      <c r="J14" s="64">
        <v>0.04</v>
      </c>
      <c r="K14" s="64">
        <v>16.66</v>
      </c>
      <c r="L14" s="64">
        <v>23.84</v>
      </c>
      <c r="M14" s="64">
        <v>71.48</v>
      </c>
      <c r="N14" s="64">
        <v>5.8</v>
      </c>
      <c r="O14" s="64">
        <v>0</v>
      </c>
      <c r="P14" s="64">
        <v>1.86</v>
      </c>
      <c r="Q14" s="64">
        <v>26.99</v>
      </c>
      <c r="R14" s="198"/>
      <c r="S14" s="198"/>
      <c r="T14" s="198"/>
      <c r="U14" s="198"/>
    </row>
    <row r="15" spans="1:21" s="12" customFormat="1" x14ac:dyDescent="0.25">
      <c r="A15" s="211" t="s">
        <v>1212</v>
      </c>
      <c r="B15" s="64">
        <v>28.98</v>
      </c>
      <c r="C15" s="64">
        <v>45.49</v>
      </c>
      <c r="D15" s="64">
        <v>48.98</v>
      </c>
      <c r="E15" s="64">
        <v>7.67</v>
      </c>
      <c r="F15" s="64">
        <v>3.59</v>
      </c>
      <c r="G15" s="64">
        <v>125.34</v>
      </c>
      <c r="H15" s="64">
        <v>53.71</v>
      </c>
      <c r="I15" s="64">
        <v>0.96</v>
      </c>
      <c r="J15" s="64">
        <v>7.0000000000000007E-2</v>
      </c>
      <c r="K15" s="64">
        <v>251.98</v>
      </c>
      <c r="L15" s="64">
        <v>24.29</v>
      </c>
      <c r="M15" s="64">
        <v>66.72</v>
      </c>
      <c r="N15" s="64">
        <v>5.3</v>
      </c>
      <c r="O15" s="64">
        <v>0</v>
      </c>
      <c r="P15" s="64">
        <v>1.86</v>
      </c>
      <c r="Q15" s="64">
        <v>27.39</v>
      </c>
      <c r="R15" s="198"/>
      <c r="S15" s="198"/>
      <c r="T15" s="198"/>
      <c r="U15" s="198"/>
    </row>
    <row r="16" spans="1:21" s="12" customFormat="1" x14ac:dyDescent="0.25">
      <c r="A16" s="211" t="s">
        <v>1213</v>
      </c>
      <c r="B16" s="64">
        <v>26.23</v>
      </c>
      <c r="C16" s="64">
        <v>44.85</v>
      </c>
      <c r="D16" s="64">
        <v>46.44</v>
      </c>
      <c r="E16" s="64">
        <v>7.57</v>
      </c>
      <c r="F16" s="64">
        <v>4.6399999999999997</v>
      </c>
      <c r="G16" s="64">
        <v>125.34</v>
      </c>
      <c r="H16" s="64">
        <v>53.71</v>
      </c>
      <c r="I16" s="64">
        <v>0.98</v>
      </c>
      <c r="J16" s="64">
        <v>0.13</v>
      </c>
      <c r="K16" s="64">
        <v>269.10000000000002</v>
      </c>
      <c r="L16" s="64">
        <v>24.47</v>
      </c>
      <c r="M16" s="64">
        <v>64.11</v>
      </c>
      <c r="N16" s="64">
        <v>5.2</v>
      </c>
      <c r="O16" s="64">
        <v>0</v>
      </c>
      <c r="P16" s="64">
        <v>1.77</v>
      </c>
      <c r="Q16" s="64">
        <v>27.38</v>
      </c>
      <c r="R16" s="198"/>
      <c r="S16" s="198"/>
      <c r="T16" s="198"/>
      <c r="U16" s="198"/>
    </row>
    <row r="17" spans="1:21" s="12" customFormat="1" x14ac:dyDescent="0.25">
      <c r="A17" s="211" t="s">
        <v>1214</v>
      </c>
      <c r="B17" s="64">
        <v>30.2</v>
      </c>
      <c r="C17" s="64">
        <v>32.89</v>
      </c>
      <c r="D17" s="64">
        <v>43.01</v>
      </c>
      <c r="E17" s="64">
        <v>8.14</v>
      </c>
      <c r="F17" s="64">
        <v>6.29</v>
      </c>
      <c r="G17" s="64">
        <v>122.42</v>
      </c>
      <c r="H17" s="64">
        <v>63.49</v>
      </c>
      <c r="I17" s="64">
        <v>1</v>
      </c>
      <c r="J17" s="64">
        <v>0.59</v>
      </c>
      <c r="K17" s="64">
        <v>260.54000000000002</v>
      </c>
      <c r="L17" s="64">
        <v>24.58</v>
      </c>
      <c r="M17" s="64">
        <v>60.74</v>
      </c>
      <c r="N17" s="64">
        <v>4.0999999999999996</v>
      </c>
      <c r="O17" s="64">
        <v>0</v>
      </c>
      <c r="P17" s="64">
        <v>1.79</v>
      </c>
      <c r="Q17" s="64">
        <v>26.85</v>
      </c>
      <c r="R17" s="198"/>
      <c r="S17" s="198"/>
      <c r="T17" s="198"/>
      <c r="U17" s="198"/>
    </row>
    <row r="18" spans="1:21" s="12" customFormat="1" x14ac:dyDescent="0.25">
      <c r="A18" s="211" t="s">
        <v>1215</v>
      </c>
      <c r="B18" s="64">
        <v>27.87</v>
      </c>
      <c r="C18" s="64">
        <v>30.17</v>
      </c>
      <c r="D18" s="64">
        <v>39.65</v>
      </c>
      <c r="E18" s="64">
        <v>8.42</v>
      </c>
      <c r="F18" s="64">
        <v>7.51</v>
      </c>
      <c r="G18" s="64">
        <v>121.79</v>
      </c>
      <c r="H18" s="64">
        <v>63.49</v>
      </c>
      <c r="I18" s="64">
        <v>0.96</v>
      </c>
      <c r="J18" s="64">
        <v>0.22</v>
      </c>
      <c r="K18" s="64">
        <v>280.77</v>
      </c>
      <c r="L18" s="64">
        <v>24.99</v>
      </c>
      <c r="M18" s="64">
        <v>51.17</v>
      </c>
      <c r="N18" s="64">
        <v>4.9000000000000004</v>
      </c>
      <c r="O18" s="64">
        <v>0</v>
      </c>
      <c r="P18" s="64">
        <v>1.69</v>
      </c>
      <c r="Q18" s="64">
        <v>26.72</v>
      </c>
      <c r="R18" s="198"/>
      <c r="S18" s="198"/>
      <c r="T18" s="198"/>
      <c r="U18" s="198"/>
    </row>
    <row r="19" spans="1:21" s="12" customFormat="1" x14ac:dyDescent="0.25">
      <c r="A19" s="211" t="s">
        <v>1216</v>
      </c>
      <c r="B19" s="64">
        <v>23.96</v>
      </c>
      <c r="C19" s="64">
        <v>36.58</v>
      </c>
      <c r="D19" s="64">
        <v>40.049999999999997</v>
      </c>
      <c r="E19" s="64">
        <v>12.58</v>
      </c>
      <c r="F19" s="64">
        <v>9.58</v>
      </c>
      <c r="G19" s="64">
        <v>121.79</v>
      </c>
      <c r="H19" s="64">
        <v>63.49</v>
      </c>
      <c r="I19" s="64">
        <v>0.94</v>
      </c>
      <c r="J19" s="64">
        <v>0.03</v>
      </c>
      <c r="K19" s="64">
        <v>39.200000000000003</v>
      </c>
      <c r="L19" s="64">
        <v>25.2</v>
      </c>
      <c r="M19" s="64">
        <v>46.02</v>
      </c>
      <c r="N19" s="64">
        <v>5.6</v>
      </c>
      <c r="O19" s="64">
        <v>0</v>
      </c>
      <c r="P19" s="64">
        <v>1.55</v>
      </c>
      <c r="Q19" s="64">
        <v>26.8</v>
      </c>
      <c r="R19" s="198"/>
      <c r="S19" s="198"/>
      <c r="T19" s="198"/>
      <c r="U19" s="198"/>
    </row>
    <row r="20" spans="1:21" s="12" customFormat="1" x14ac:dyDescent="0.25">
      <c r="A20" s="211" t="s">
        <v>1217</v>
      </c>
      <c r="B20" s="64">
        <v>18.920000000000002</v>
      </c>
      <c r="C20" s="64">
        <v>48.57</v>
      </c>
      <c r="D20" s="64">
        <v>42.63</v>
      </c>
      <c r="E20" s="64">
        <v>36.11</v>
      </c>
      <c r="F20" s="64">
        <v>10.65</v>
      </c>
      <c r="G20" s="64">
        <v>121.79</v>
      </c>
      <c r="H20" s="64">
        <v>63.49</v>
      </c>
      <c r="I20" s="64">
        <v>0.88</v>
      </c>
      <c r="J20" s="64">
        <v>0.39</v>
      </c>
      <c r="K20" s="64">
        <v>293.60000000000002</v>
      </c>
      <c r="L20" s="64">
        <v>24.89</v>
      </c>
      <c r="M20" s="64">
        <v>44.09</v>
      </c>
      <c r="N20" s="64">
        <v>4.7</v>
      </c>
      <c r="O20" s="64">
        <v>0</v>
      </c>
      <c r="P20" s="64">
        <v>1.3</v>
      </c>
      <c r="Q20" s="64">
        <v>25.83</v>
      </c>
      <c r="R20" s="198"/>
      <c r="S20" s="198"/>
      <c r="T20" s="198"/>
      <c r="U20" s="198"/>
    </row>
    <row r="21" spans="1:21" s="12" customFormat="1" x14ac:dyDescent="0.25">
      <c r="A21" s="211" t="s">
        <v>1218</v>
      </c>
      <c r="B21" s="64">
        <v>20.8</v>
      </c>
      <c r="C21" s="64">
        <v>34.130000000000003</v>
      </c>
      <c r="D21" s="64">
        <v>36.159999999999997</v>
      </c>
      <c r="E21" s="64">
        <v>30.38</v>
      </c>
      <c r="F21" s="64">
        <v>10.62</v>
      </c>
      <c r="G21" s="214" t="s">
        <v>42</v>
      </c>
      <c r="H21" s="214" t="s">
        <v>42</v>
      </c>
      <c r="I21" s="64">
        <v>0.76</v>
      </c>
      <c r="J21" s="64">
        <v>0.79</v>
      </c>
      <c r="K21" s="64">
        <v>303.85000000000002</v>
      </c>
      <c r="L21" s="64">
        <v>25.68</v>
      </c>
      <c r="M21" s="64">
        <v>33.909999999999997</v>
      </c>
      <c r="N21" s="64">
        <v>3.6</v>
      </c>
      <c r="O21" s="64">
        <v>0</v>
      </c>
      <c r="P21" s="64">
        <v>1.56</v>
      </c>
      <c r="Q21" s="64">
        <v>25.26</v>
      </c>
      <c r="R21" s="198"/>
      <c r="S21" s="198"/>
      <c r="T21" s="198"/>
      <c r="U21" s="198"/>
    </row>
    <row r="22" spans="1:21" s="12" customFormat="1" x14ac:dyDescent="0.25">
      <c r="A22" s="211" t="s">
        <v>1219</v>
      </c>
      <c r="B22" s="64">
        <v>19.13</v>
      </c>
      <c r="C22" s="64">
        <v>36.200000000000003</v>
      </c>
      <c r="D22" s="64">
        <v>35.97</v>
      </c>
      <c r="E22" s="64">
        <v>32.15</v>
      </c>
      <c r="F22" s="64">
        <v>9.24</v>
      </c>
      <c r="G22" s="214" t="s">
        <v>42</v>
      </c>
      <c r="H22" s="214" t="s">
        <v>42</v>
      </c>
      <c r="I22" s="64">
        <v>0.65</v>
      </c>
      <c r="J22" s="64">
        <v>0.43</v>
      </c>
      <c r="K22" s="64">
        <v>295.52</v>
      </c>
      <c r="L22" s="64">
        <v>25.48</v>
      </c>
      <c r="M22" s="64">
        <v>35.75</v>
      </c>
      <c r="N22" s="64">
        <v>5.7</v>
      </c>
      <c r="O22" s="64">
        <v>0</v>
      </c>
      <c r="P22" s="64">
        <v>1.39</v>
      </c>
      <c r="Q22" s="64">
        <v>26.73</v>
      </c>
      <c r="R22" s="198"/>
      <c r="S22" s="198"/>
      <c r="T22" s="198"/>
      <c r="U22" s="198"/>
    </row>
    <row r="23" spans="1:21" s="12" customFormat="1" x14ac:dyDescent="0.25">
      <c r="A23" s="211" t="s">
        <v>1220</v>
      </c>
      <c r="B23" s="64">
        <v>13.65</v>
      </c>
      <c r="C23" s="64">
        <v>41.53</v>
      </c>
      <c r="D23" s="64">
        <v>34.51</v>
      </c>
      <c r="E23" s="64">
        <v>64.83</v>
      </c>
      <c r="F23" s="64">
        <v>14.21</v>
      </c>
      <c r="G23" s="214" t="s">
        <v>42</v>
      </c>
      <c r="H23" s="214" t="s">
        <v>42</v>
      </c>
      <c r="I23" s="64">
        <v>0.79</v>
      </c>
      <c r="J23" s="64">
        <v>0.17</v>
      </c>
      <c r="K23" s="64">
        <v>92.05</v>
      </c>
      <c r="L23" s="64">
        <v>25.27</v>
      </c>
      <c r="M23" s="64">
        <v>34.119999999999997</v>
      </c>
      <c r="N23" s="64">
        <v>5.8</v>
      </c>
      <c r="O23" s="64">
        <v>0</v>
      </c>
      <c r="P23" s="64">
        <v>1.27</v>
      </c>
      <c r="Q23" s="64">
        <v>26.6</v>
      </c>
      <c r="R23" s="198"/>
      <c r="S23" s="198"/>
      <c r="T23" s="198"/>
      <c r="U23" s="198"/>
    </row>
    <row r="24" spans="1:21" s="12" customFormat="1" x14ac:dyDescent="0.25">
      <c r="A24" s="211" t="s">
        <v>1221</v>
      </c>
      <c r="B24" s="64">
        <v>17.079999999999998</v>
      </c>
      <c r="C24" s="64">
        <v>35.17</v>
      </c>
      <c r="D24" s="64">
        <v>33.75</v>
      </c>
      <c r="E24" s="64">
        <v>12.57</v>
      </c>
      <c r="F24" s="64">
        <v>8.83</v>
      </c>
      <c r="G24" s="214" t="s">
        <v>42</v>
      </c>
      <c r="H24" s="214" t="s">
        <v>42</v>
      </c>
      <c r="I24" s="64">
        <v>0.72</v>
      </c>
      <c r="J24" s="64">
        <v>0.26</v>
      </c>
      <c r="K24" s="64">
        <v>84.34</v>
      </c>
      <c r="L24" s="64">
        <v>25.48</v>
      </c>
      <c r="M24" s="64">
        <v>31.04</v>
      </c>
      <c r="N24" s="64">
        <v>5.3</v>
      </c>
      <c r="O24" s="64">
        <v>0</v>
      </c>
      <c r="P24" s="64">
        <v>1.54</v>
      </c>
      <c r="Q24" s="64">
        <v>26.61</v>
      </c>
      <c r="R24" s="198"/>
      <c r="S24" s="198"/>
      <c r="T24" s="198"/>
      <c r="U24" s="198"/>
    </row>
    <row r="25" spans="1:21" s="12" customFormat="1" x14ac:dyDescent="0.25">
      <c r="A25" s="211" t="s">
        <v>1222</v>
      </c>
      <c r="B25" s="64">
        <v>17.63</v>
      </c>
      <c r="C25" s="64">
        <v>33.299999999999997</v>
      </c>
      <c r="D25" s="64">
        <v>33.159999999999997</v>
      </c>
      <c r="E25" s="64">
        <v>26.79</v>
      </c>
      <c r="F25" s="64">
        <v>9.73</v>
      </c>
      <c r="G25" s="64">
        <v>158.56</v>
      </c>
      <c r="H25" s="64">
        <v>68.400000000000006</v>
      </c>
      <c r="I25" s="64">
        <v>0.66</v>
      </c>
      <c r="J25" s="64">
        <v>0.27</v>
      </c>
      <c r="K25" s="64">
        <v>84.24</v>
      </c>
      <c r="L25" s="64">
        <v>25.64</v>
      </c>
      <c r="M25" s="64">
        <v>29.48</v>
      </c>
      <c r="N25" s="64">
        <v>5.3</v>
      </c>
      <c r="O25" s="64">
        <v>0</v>
      </c>
      <c r="P25" s="64">
        <v>1.57</v>
      </c>
      <c r="Q25" s="64">
        <v>27.58</v>
      </c>
      <c r="R25" s="198"/>
      <c r="S25" s="198"/>
      <c r="T25" s="198"/>
      <c r="U25" s="198"/>
    </row>
    <row r="26" spans="1:21" s="12" customFormat="1" x14ac:dyDescent="0.25">
      <c r="A26" s="211" t="s">
        <v>1223</v>
      </c>
      <c r="B26" s="64">
        <v>18.27</v>
      </c>
      <c r="C26" s="64">
        <v>28.88</v>
      </c>
      <c r="D26" s="64">
        <v>31.24</v>
      </c>
      <c r="E26" s="64">
        <v>16.510000000000002</v>
      </c>
      <c r="F26" s="64">
        <v>7.63</v>
      </c>
      <c r="G26" s="64">
        <v>198.2</v>
      </c>
      <c r="H26" s="64">
        <v>68.400000000000006</v>
      </c>
      <c r="I26" s="64">
        <v>0.76</v>
      </c>
      <c r="J26" s="64">
        <v>0.27</v>
      </c>
      <c r="K26" s="64">
        <v>86.43</v>
      </c>
      <c r="L26" s="64">
        <v>25.6</v>
      </c>
      <c r="M26" s="64">
        <v>29.79</v>
      </c>
      <c r="N26" s="64">
        <v>5.4</v>
      </c>
      <c r="O26" s="64">
        <v>0</v>
      </c>
      <c r="P26" s="64">
        <v>1.55</v>
      </c>
      <c r="Q26" s="64">
        <v>27.08</v>
      </c>
      <c r="R26" s="198"/>
      <c r="S26" s="198"/>
      <c r="T26" s="198"/>
      <c r="U26" s="198"/>
    </row>
    <row r="27" spans="1:21" s="12" customFormat="1" x14ac:dyDescent="0.25">
      <c r="A27" s="211" t="s">
        <v>1224</v>
      </c>
      <c r="B27" s="64">
        <v>18.39</v>
      </c>
      <c r="C27" s="64">
        <v>27.35</v>
      </c>
      <c r="D27" s="64">
        <v>30.49</v>
      </c>
      <c r="E27" s="64">
        <v>18.25</v>
      </c>
      <c r="F27" s="64">
        <v>6.11</v>
      </c>
      <c r="G27" s="64">
        <v>198.2</v>
      </c>
      <c r="H27" s="64">
        <v>68.400000000000006</v>
      </c>
      <c r="I27" s="64">
        <v>0.72</v>
      </c>
      <c r="J27" s="64">
        <v>0.05</v>
      </c>
      <c r="K27" s="64">
        <v>283.02999999999997</v>
      </c>
      <c r="L27" s="64">
        <v>24.51</v>
      </c>
      <c r="M27" s="64">
        <v>39.43</v>
      </c>
      <c r="N27" s="64">
        <v>6.6</v>
      </c>
      <c r="O27" s="64">
        <v>0</v>
      </c>
      <c r="P27" s="64">
        <v>1.55</v>
      </c>
      <c r="Q27" s="64">
        <v>26.75</v>
      </c>
      <c r="R27" s="198"/>
      <c r="S27" s="198"/>
      <c r="T27" s="198"/>
      <c r="U27" s="198"/>
    </row>
    <row r="28" spans="1:21" s="12" customFormat="1" x14ac:dyDescent="0.25">
      <c r="A28" s="211" t="s">
        <v>1225</v>
      </c>
      <c r="B28" s="64">
        <v>20.21</v>
      </c>
      <c r="C28" s="64">
        <v>24.42</v>
      </c>
      <c r="D28" s="64">
        <v>30.33</v>
      </c>
      <c r="E28" s="64">
        <v>10.59</v>
      </c>
      <c r="F28" s="64">
        <v>3.23</v>
      </c>
      <c r="G28" s="64">
        <v>198.2</v>
      </c>
      <c r="H28" s="64">
        <v>68.400000000000006</v>
      </c>
      <c r="I28" s="64">
        <v>0.78</v>
      </c>
      <c r="J28" s="64">
        <v>0.13</v>
      </c>
      <c r="K28" s="64">
        <v>257.91000000000003</v>
      </c>
      <c r="L28" s="64">
        <v>23.38</v>
      </c>
      <c r="M28" s="64">
        <v>38.49</v>
      </c>
      <c r="N28" s="64">
        <v>6.1</v>
      </c>
      <c r="O28" s="64">
        <v>0</v>
      </c>
      <c r="P28" s="64">
        <v>1.55</v>
      </c>
      <c r="Q28" s="64">
        <v>26.45</v>
      </c>
      <c r="R28" s="198"/>
      <c r="S28" s="198"/>
      <c r="T28" s="198"/>
      <c r="U28" s="198"/>
    </row>
    <row r="29" spans="1:21" s="12" customFormat="1" x14ac:dyDescent="0.25">
      <c r="A29" s="211" t="s">
        <v>1226</v>
      </c>
      <c r="B29" s="64">
        <v>19.93</v>
      </c>
      <c r="C29" s="64">
        <v>24.28</v>
      </c>
      <c r="D29" s="64">
        <v>30.02</v>
      </c>
      <c r="E29" s="64">
        <v>9.18</v>
      </c>
      <c r="F29" s="64">
        <v>3.34</v>
      </c>
      <c r="G29" s="64">
        <v>119.5</v>
      </c>
      <c r="H29" s="64">
        <v>57.8</v>
      </c>
      <c r="I29" s="64">
        <v>0.79</v>
      </c>
      <c r="J29" s="64">
        <v>0.15</v>
      </c>
      <c r="K29" s="64">
        <v>251.27</v>
      </c>
      <c r="L29" s="64">
        <v>23.12</v>
      </c>
      <c r="M29" s="64">
        <v>38.67</v>
      </c>
      <c r="N29" s="64">
        <v>6.8</v>
      </c>
      <c r="O29" s="64">
        <v>0</v>
      </c>
      <c r="P29" s="64">
        <v>1.55</v>
      </c>
      <c r="Q29" s="64">
        <v>25.98</v>
      </c>
      <c r="R29" s="198"/>
      <c r="S29" s="198"/>
      <c r="T29" s="198"/>
      <c r="U29" s="198"/>
    </row>
    <row r="30" spans="1:21" s="12" customFormat="1" x14ac:dyDescent="0.25">
      <c r="A30" s="211" t="s">
        <v>1227</v>
      </c>
      <c r="B30" s="64">
        <v>20.14</v>
      </c>
      <c r="C30" s="64">
        <v>24.84</v>
      </c>
      <c r="D30" s="64">
        <v>30.51</v>
      </c>
      <c r="E30" s="64">
        <v>8.16</v>
      </c>
      <c r="F30" s="64">
        <v>2.88</v>
      </c>
      <c r="G30" s="64">
        <v>101.18</v>
      </c>
      <c r="H30" s="64">
        <v>57.8</v>
      </c>
      <c r="I30" s="64">
        <v>0.79</v>
      </c>
      <c r="J30" s="64">
        <v>0.18</v>
      </c>
      <c r="K30" s="64">
        <v>250.98</v>
      </c>
      <c r="L30" s="64">
        <v>22.88</v>
      </c>
      <c r="M30" s="64">
        <v>39.49</v>
      </c>
      <c r="N30" s="64">
        <v>11.2</v>
      </c>
      <c r="O30" s="64">
        <v>0</v>
      </c>
      <c r="P30" s="64">
        <v>1.52</v>
      </c>
      <c r="Q30" s="64">
        <v>26.65</v>
      </c>
      <c r="R30" s="198"/>
      <c r="S30" s="198"/>
      <c r="T30" s="198"/>
      <c r="U30" s="198"/>
    </row>
    <row r="31" spans="1:21" s="12" customFormat="1" x14ac:dyDescent="0.25">
      <c r="A31" s="211" t="s">
        <v>1228</v>
      </c>
      <c r="B31" s="64">
        <v>47.86</v>
      </c>
      <c r="C31" s="64">
        <v>42.88</v>
      </c>
      <c r="D31" s="64">
        <v>62.69</v>
      </c>
      <c r="E31" s="64">
        <v>7.75</v>
      </c>
      <c r="F31" s="64">
        <v>2.95</v>
      </c>
      <c r="G31" s="64">
        <v>101.18</v>
      </c>
      <c r="H31" s="64">
        <v>57.8</v>
      </c>
      <c r="I31" s="64">
        <v>0.78</v>
      </c>
      <c r="J31" s="64">
        <v>0.15</v>
      </c>
      <c r="K31" s="64">
        <v>258.20999999999998</v>
      </c>
      <c r="L31" s="64">
        <v>22.56</v>
      </c>
      <c r="M31" s="64">
        <v>41.99</v>
      </c>
      <c r="N31" s="64">
        <v>22.5</v>
      </c>
      <c r="O31" s="64">
        <v>0</v>
      </c>
      <c r="P31" s="64">
        <v>1.52</v>
      </c>
      <c r="Q31" s="64">
        <v>24.31</v>
      </c>
      <c r="R31" s="198"/>
      <c r="S31" s="198"/>
      <c r="T31" s="198"/>
      <c r="U31" s="198"/>
    </row>
    <row r="32" spans="1:21" s="12" customFormat="1" x14ac:dyDescent="0.25">
      <c r="A32" s="211" t="s">
        <v>1229</v>
      </c>
      <c r="B32" s="64">
        <v>75.14</v>
      </c>
      <c r="C32" s="64">
        <v>62.81</v>
      </c>
      <c r="D32" s="64">
        <v>95.57</v>
      </c>
      <c r="E32" s="64">
        <v>12.23</v>
      </c>
      <c r="F32" s="64">
        <v>3.17</v>
      </c>
      <c r="G32" s="64">
        <v>101.18</v>
      </c>
      <c r="H32" s="64">
        <v>57.8</v>
      </c>
      <c r="I32" s="64">
        <v>0.77</v>
      </c>
      <c r="J32" s="64">
        <v>0.13</v>
      </c>
      <c r="K32" s="64">
        <v>253.63</v>
      </c>
      <c r="L32" s="64">
        <v>22.7</v>
      </c>
      <c r="M32" s="64">
        <v>46.13</v>
      </c>
      <c r="N32" s="64">
        <v>49.5</v>
      </c>
      <c r="O32" s="64">
        <v>0</v>
      </c>
      <c r="P32" s="64">
        <v>1.64</v>
      </c>
      <c r="Q32" s="64">
        <v>19.989999999999998</v>
      </c>
      <c r="R32" s="198"/>
      <c r="S32" s="198"/>
      <c r="T32" s="198"/>
      <c r="U32" s="198"/>
    </row>
    <row r="33" spans="1:21" s="12" customFormat="1" x14ac:dyDescent="0.25">
      <c r="A33" s="211" t="s">
        <v>1230</v>
      </c>
      <c r="B33" s="64">
        <v>79.58</v>
      </c>
      <c r="C33" s="64">
        <v>60.12</v>
      </c>
      <c r="D33" s="64">
        <v>97.64</v>
      </c>
      <c r="E33" s="64">
        <v>9.56</v>
      </c>
      <c r="F33" s="64">
        <v>4.0599999999999996</v>
      </c>
      <c r="G33" s="64">
        <v>101.18</v>
      </c>
      <c r="H33" s="64">
        <v>58.56</v>
      </c>
      <c r="I33" s="64">
        <v>0.75</v>
      </c>
      <c r="J33" s="64">
        <v>0.21</v>
      </c>
      <c r="K33" s="64">
        <v>258.47000000000003</v>
      </c>
      <c r="L33" s="64">
        <v>23.62</v>
      </c>
      <c r="M33" s="64">
        <v>44.5</v>
      </c>
      <c r="N33" s="64">
        <v>86.8</v>
      </c>
      <c r="O33" s="64">
        <v>0</v>
      </c>
      <c r="P33" s="64">
        <v>1.56</v>
      </c>
      <c r="Q33" s="64">
        <v>19.920000000000002</v>
      </c>
      <c r="R33" s="198"/>
      <c r="S33" s="198"/>
      <c r="T33" s="198"/>
      <c r="U33" s="198"/>
    </row>
    <row r="34" spans="1:21" s="12" customFormat="1" x14ac:dyDescent="0.25">
      <c r="A34" s="211" t="s">
        <v>1231</v>
      </c>
      <c r="B34" s="64">
        <v>131.03</v>
      </c>
      <c r="C34" s="64">
        <v>93.47</v>
      </c>
      <c r="D34" s="64">
        <v>157.31</v>
      </c>
      <c r="E34" s="64">
        <v>11.22</v>
      </c>
      <c r="F34" s="64">
        <v>3.67</v>
      </c>
      <c r="G34" s="64">
        <v>299.77999999999997</v>
      </c>
      <c r="H34" s="64">
        <v>58.56</v>
      </c>
      <c r="I34" s="64">
        <v>0.72</v>
      </c>
      <c r="J34" s="64">
        <v>0.05</v>
      </c>
      <c r="K34" s="64">
        <v>254.76</v>
      </c>
      <c r="L34" s="64">
        <v>25.23</v>
      </c>
      <c r="M34" s="64">
        <v>44.2</v>
      </c>
      <c r="N34" s="64">
        <v>133.5</v>
      </c>
      <c r="O34" s="64">
        <v>0</v>
      </c>
      <c r="P34" s="64">
        <v>1.72</v>
      </c>
      <c r="Q34" s="64">
        <v>14.68</v>
      </c>
      <c r="R34" s="198"/>
      <c r="S34" s="198"/>
      <c r="T34" s="198"/>
      <c r="U34" s="198"/>
    </row>
    <row r="35" spans="1:21" s="12" customFormat="1" x14ac:dyDescent="0.25">
      <c r="A35" s="211" t="s">
        <v>1232</v>
      </c>
      <c r="B35" s="64">
        <v>56.52</v>
      </c>
      <c r="C35" s="64">
        <v>55.42</v>
      </c>
      <c r="D35" s="64">
        <v>76.56</v>
      </c>
      <c r="E35" s="64">
        <v>11.35</v>
      </c>
      <c r="F35" s="64">
        <v>4.32</v>
      </c>
      <c r="G35" s="64">
        <v>299.77999999999997</v>
      </c>
      <c r="H35" s="64">
        <v>58.56</v>
      </c>
      <c r="I35" s="64">
        <v>0.75</v>
      </c>
      <c r="J35" s="64">
        <v>0.25</v>
      </c>
      <c r="K35" s="64">
        <v>222.61</v>
      </c>
      <c r="L35" s="64">
        <v>26.71</v>
      </c>
      <c r="M35" s="64">
        <v>37.369999999999997</v>
      </c>
      <c r="N35" s="64">
        <v>184.2</v>
      </c>
      <c r="O35" s="64">
        <v>0</v>
      </c>
      <c r="P35" s="64">
        <v>1.48</v>
      </c>
      <c r="Q35" s="64">
        <v>22.25</v>
      </c>
      <c r="R35" s="198"/>
      <c r="S35" s="198"/>
      <c r="T35" s="198"/>
      <c r="U35" s="198"/>
    </row>
    <row r="36" spans="1:21" s="12" customFormat="1" x14ac:dyDescent="0.25">
      <c r="A36" s="211" t="s">
        <v>1233</v>
      </c>
      <c r="B36" s="64">
        <v>43.06</v>
      </c>
      <c r="C36" s="64">
        <v>41.09</v>
      </c>
      <c r="D36" s="64">
        <v>57.85</v>
      </c>
      <c r="E36" s="64">
        <v>8.14</v>
      </c>
      <c r="F36" s="64">
        <v>4.8899999999999997</v>
      </c>
      <c r="G36" s="64">
        <v>299.77999999999997</v>
      </c>
      <c r="H36" s="64">
        <v>58.56</v>
      </c>
      <c r="I36" s="64">
        <v>0.77</v>
      </c>
      <c r="J36" s="64">
        <v>0.21</v>
      </c>
      <c r="K36" s="64">
        <v>170.04</v>
      </c>
      <c r="L36" s="64">
        <v>27.98</v>
      </c>
      <c r="M36" s="64">
        <v>28.03</v>
      </c>
      <c r="N36" s="64">
        <v>238</v>
      </c>
      <c r="O36" s="64">
        <v>0</v>
      </c>
      <c r="P36" s="64">
        <v>1.46</v>
      </c>
      <c r="Q36" s="64">
        <v>27.89</v>
      </c>
      <c r="R36" s="198"/>
      <c r="S36" s="198"/>
      <c r="T36" s="198"/>
      <c r="U36" s="198"/>
    </row>
    <row r="37" spans="1:21" s="12" customFormat="1" x14ac:dyDescent="0.25">
      <c r="A37" s="211" t="s">
        <v>1234</v>
      </c>
      <c r="B37" s="64">
        <v>41.81</v>
      </c>
      <c r="C37" s="64">
        <v>37.869999999999997</v>
      </c>
      <c r="D37" s="64">
        <v>55.07</v>
      </c>
      <c r="E37" s="64">
        <v>7.35</v>
      </c>
      <c r="F37" s="64">
        <v>5.17</v>
      </c>
      <c r="G37" s="64">
        <v>150.07</v>
      </c>
      <c r="H37" s="64">
        <v>58.38</v>
      </c>
      <c r="I37" s="64">
        <v>0.76</v>
      </c>
      <c r="J37" s="64">
        <v>0.42</v>
      </c>
      <c r="K37" s="64">
        <v>122.95</v>
      </c>
      <c r="L37" s="64">
        <v>28.99</v>
      </c>
      <c r="M37" s="64">
        <v>29.07</v>
      </c>
      <c r="N37" s="64">
        <v>296.8</v>
      </c>
      <c r="O37" s="64">
        <v>0</v>
      </c>
      <c r="P37" s="64">
        <v>1.41</v>
      </c>
      <c r="Q37" s="64">
        <v>28.69</v>
      </c>
      <c r="R37" s="198"/>
      <c r="S37" s="198"/>
      <c r="T37" s="198"/>
      <c r="U37" s="198"/>
    </row>
    <row r="38" spans="1:21" s="12" customFormat="1" x14ac:dyDescent="0.25">
      <c r="A38" s="211" t="s">
        <v>1235</v>
      </c>
      <c r="B38" s="64">
        <v>38.65</v>
      </c>
      <c r="C38" s="64">
        <v>31.29</v>
      </c>
      <c r="D38" s="64">
        <v>48.91</v>
      </c>
      <c r="E38" s="64">
        <v>7.28</v>
      </c>
      <c r="F38" s="64">
        <v>6.51</v>
      </c>
      <c r="G38" s="64">
        <v>150.07</v>
      </c>
      <c r="H38" s="64">
        <v>58.38</v>
      </c>
      <c r="I38" s="64">
        <v>0.77</v>
      </c>
      <c r="J38" s="64">
        <v>0.36</v>
      </c>
      <c r="K38" s="64">
        <v>117.96</v>
      </c>
      <c r="L38" s="64">
        <v>28.94</v>
      </c>
      <c r="M38" s="64">
        <v>27.88</v>
      </c>
      <c r="N38" s="64">
        <v>356.5</v>
      </c>
      <c r="O38" s="64">
        <v>0</v>
      </c>
      <c r="P38" s="64">
        <v>1.38</v>
      </c>
      <c r="Q38" s="64">
        <v>29.02</v>
      </c>
      <c r="R38" s="198"/>
      <c r="S38" s="198"/>
      <c r="T38" s="198"/>
      <c r="U38" s="198"/>
    </row>
    <row r="39" spans="1:21" s="12" customFormat="1" x14ac:dyDescent="0.25">
      <c r="A39" s="211" t="s">
        <v>1236</v>
      </c>
      <c r="B39" s="64">
        <v>33.69</v>
      </c>
      <c r="C39" s="64">
        <v>37.39</v>
      </c>
      <c r="D39" s="64">
        <v>48.3</v>
      </c>
      <c r="E39" s="64">
        <v>7.54</v>
      </c>
      <c r="F39" s="64">
        <v>8.59</v>
      </c>
      <c r="G39" s="64">
        <v>150.07</v>
      </c>
      <c r="H39" s="64">
        <v>58.38</v>
      </c>
      <c r="I39" s="64">
        <v>0.77</v>
      </c>
      <c r="J39" s="64">
        <v>0.18</v>
      </c>
      <c r="K39" s="64">
        <v>87.89</v>
      </c>
      <c r="L39" s="64">
        <v>30.7</v>
      </c>
      <c r="M39" s="64">
        <v>24.54</v>
      </c>
      <c r="N39" s="64">
        <v>414.3</v>
      </c>
      <c r="O39" s="64">
        <v>0</v>
      </c>
      <c r="P39" s="64">
        <v>1.28</v>
      </c>
      <c r="Q39" s="64">
        <v>28.71</v>
      </c>
      <c r="R39" s="198"/>
      <c r="S39" s="198"/>
      <c r="T39" s="198"/>
      <c r="U39" s="198"/>
    </row>
    <row r="40" spans="1:21" s="12" customFormat="1" x14ac:dyDescent="0.25">
      <c r="A40" s="211" t="s">
        <v>1237</v>
      </c>
      <c r="B40" s="64">
        <v>33.049999999999997</v>
      </c>
      <c r="C40" s="64">
        <v>41.26</v>
      </c>
      <c r="D40" s="64">
        <v>49.92</v>
      </c>
      <c r="E40" s="64">
        <v>5.71</v>
      </c>
      <c r="F40" s="64">
        <v>9.66</v>
      </c>
      <c r="G40" s="64">
        <v>150.07</v>
      </c>
      <c r="H40" s="64">
        <v>58.38</v>
      </c>
      <c r="I40" s="64">
        <v>0.74</v>
      </c>
      <c r="J40" s="64">
        <v>0.24</v>
      </c>
      <c r="K40" s="64">
        <v>300.73</v>
      </c>
      <c r="L40" s="64">
        <v>31.85</v>
      </c>
      <c r="M40" s="64">
        <v>23.11</v>
      </c>
      <c r="N40" s="64">
        <v>468.9</v>
      </c>
      <c r="O40" s="64">
        <v>0</v>
      </c>
      <c r="P40" s="64">
        <v>1.27</v>
      </c>
      <c r="Q40" s="64">
        <v>27.91</v>
      </c>
      <c r="R40" s="198"/>
      <c r="S40" s="198"/>
      <c r="T40" s="198"/>
      <c r="U40" s="198"/>
    </row>
    <row r="41" spans="1:21" s="12" customFormat="1" x14ac:dyDescent="0.25">
      <c r="A41" s="211" t="s">
        <v>1238</v>
      </c>
      <c r="B41" s="64">
        <v>29.89</v>
      </c>
      <c r="C41" s="64">
        <v>39.54</v>
      </c>
      <c r="D41" s="64">
        <v>46.43</v>
      </c>
      <c r="E41" s="64">
        <v>8.39</v>
      </c>
      <c r="F41" s="64">
        <v>6.32</v>
      </c>
      <c r="G41" s="64">
        <v>100.84</v>
      </c>
      <c r="H41" s="64">
        <v>46.69</v>
      </c>
      <c r="I41" s="64">
        <v>0.71</v>
      </c>
      <c r="J41" s="64">
        <v>0.35</v>
      </c>
      <c r="K41" s="64">
        <v>270.66000000000003</v>
      </c>
      <c r="L41" s="64">
        <v>33.36</v>
      </c>
      <c r="M41" s="64">
        <v>23.25</v>
      </c>
      <c r="N41" s="64">
        <v>524.5</v>
      </c>
      <c r="O41" s="64">
        <v>0</v>
      </c>
      <c r="P41" s="64">
        <v>1.29</v>
      </c>
      <c r="Q41" s="64">
        <v>27.86</v>
      </c>
      <c r="R41" s="198"/>
      <c r="S41" s="198"/>
      <c r="T41" s="198"/>
      <c r="U41" s="198"/>
    </row>
    <row r="42" spans="1:21" s="12" customFormat="1" x14ac:dyDescent="0.25">
      <c r="A42" s="211" t="s">
        <v>1239</v>
      </c>
      <c r="B42" s="64">
        <v>26.99</v>
      </c>
      <c r="C42" s="64">
        <v>40.369999999999997</v>
      </c>
      <c r="D42" s="64">
        <v>44.57</v>
      </c>
      <c r="E42" s="64">
        <v>6.9</v>
      </c>
      <c r="F42" s="64">
        <v>9.01</v>
      </c>
      <c r="G42" s="64">
        <v>90.19</v>
      </c>
      <c r="H42" s="64">
        <v>46.69</v>
      </c>
      <c r="I42" s="64">
        <v>0.71</v>
      </c>
      <c r="J42" s="64">
        <v>0.06</v>
      </c>
      <c r="K42" s="64">
        <v>53.71</v>
      </c>
      <c r="L42" s="64">
        <v>33.82</v>
      </c>
      <c r="M42" s="64">
        <v>19.920000000000002</v>
      </c>
      <c r="N42" s="64">
        <v>588.70000000000005</v>
      </c>
      <c r="O42" s="64">
        <v>0</v>
      </c>
      <c r="P42" s="64">
        <v>1.27</v>
      </c>
      <c r="Q42" s="64">
        <v>27</v>
      </c>
      <c r="R42" s="198"/>
      <c r="S42" s="198"/>
      <c r="T42" s="198"/>
      <c r="U42" s="198"/>
    </row>
    <row r="43" spans="1:21" s="12" customFormat="1" x14ac:dyDescent="0.25">
      <c r="A43" s="211" t="s">
        <v>1240</v>
      </c>
      <c r="B43" s="64">
        <v>23.64</v>
      </c>
      <c r="C43" s="64">
        <v>45.72</v>
      </c>
      <c r="D43" s="64">
        <v>44.83</v>
      </c>
      <c r="E43" s="64">
        <v>8.99</v>
      </c>
      <c r="F43" s="64">
        <v>19.93</v>
      </c>
      <c r="G43" s="64">
        <v>90.19</v>
      </c>
      <c r="H43" s="64">
        <v>46.69</v>
      </c>
      <c r="I43" s="64">
        <v>0.71</v>
      </c>
      <c r="J43" s="64">
        <v>0.34</v>
      </c>
      <c r="K43" s="64">
        <v>116.53</v>
      </c>
      <c r="L43" s="64">
        <v>32.26</v>
      </c>
      <c r="M43" s="64">
        <v>21.3</v>
      </c>
      <c r="N43" s="64">
        <v>636</v>
      </c>
      <c r="O43" s="64">
        <v>0</v>
      </c>
      <c r="P43" s="64">
        <v>1.1299999999999999</v>
      </c>
      <c r="Q43" s="64">
        <v>26.92</v>
      </c>
      <c r="R43" s="198"/>
      <c r="S43" s="198"/>
      <c r="T43" s="198"/>
      <c r="U43" s="198"/>
    </row>
    <row r="44" spans="1:21" s="12" customFormat="1" x14ac:dyDescent="0.25">
      <c r="A44" s="211" t="s">
        <v>1241</v>
      </c>
      <c r="B44" s="64">
        <v>16.690000000000001</v>
      </c>
      <c r="C44" s="64">
        <v>42.54</v>
      </c>
      <c r="D44" s="64">
        <v>37.51</v>
      </c>
      <c r="E44" s="64">
        <v>14.33</v>
      </c>
      <c r="F44" s="64">
        <v>30.53</v>
      </c>
      <c r="G44" s="64">
        <v>90.19</v>
      </c>
      <c r="H44" s="64">
        <v>46.69</v>
      </c>
      <c r="I44" s="64">
        <v>0.7</v>
      </c>
      <c r="J44" s="64">
        <v>0.08</v>
      </c>
      <c r="K44" s="64">
        <v>152.79</v>
      </c>
      <c r="L44" s="64">
        <v>32.97</v>
      </c>
      <c r="M44" s="64">
        <v>20.36</v>
      </c>
      <c r="N44" s="64">
        <v>685.4</v>
      </c>
      <c r="O44" s="64">
        <v>0</v>
      </c>
      <c r="P44" s="64">
        <v>1.0900000000000001</v>
      </c>
      <c r="Q44" s="64">
        <v>27.95</v>
      </c>
      <c r="R44" s="198"/>
      <c r="S44" s="198"/>
      <c r="T44" s="198"/>
      <c r="U44" s="198"/>
    </row>
    <row r="45" spans="1:21" s="12" customFormat="1" x14ac:dyDescent="0.25">
      <c r="A45" s="211" t="s">
        <v>1242</v>
      </c>
      <c r="B45" s="64">
        <v>12.87</v>
      </c>
      <c r="C45" s="64">
        <v>41.98</v>
      </c>
      <c r="D45" s="64">
        <v>34.130000000000003</v>
      </c>
      <c r="E45" s="64">
        <v>15.88</v>
      </c>
      <c r="F45" s="64">
        <v>29.33</v>
      </c>
      <c r="G45" s="64">
        <v>108.5</v>
      </c>
      <c r="H45" s="64">
        <v>45.75</v>
      </c>
      <c r="I45" s="64">
        <v>0.66</v>
      </c>
      <c r="J45" s="64">
        <v>0.38</v>
      </c>
      <c r="K45" s="64">
        <v>122.65</v>
      </c>
      <c r="L45" s="64">
        <v>32.99</v>
      </c>
      <c r="M45" s="64">
        <v>20.28</v>
      </c>
      <c r="N45" s="64">
        <v>726.1</v>
      </c>
      <c r="O45" s="64">
        <v>0</v>
      </c>
      <c r="P45" s="64">
        <v>1.1000000000000001</v>
      </c>
      <c r="Q45" s="64">
        <v>27.5</v>
      </c>
      <c r="R45" s="198"/>
      <c r="S45" s="198"/>
      <c r="T45" s="198"/>
      <c r="U45" s="198"/>
    </row>
    <row r="46" spans="1:21" s="12" customFormat="1" x14ac:dyDescent="0.25">
      <c r="A46" s="211" t="s">
        <v>1243</v>
      </c>
      <c r="B46" s="64">
        <v>14.79</v>
      </c>
      <c r="C46" s="64">
        <v>40.78</v>
      </c>
      <c r="D46" s="64">
        <v>35.01</v>
      </c>
      <c r="E46" s="64">
        <v>15.01</v>
      </c>
      <c r="F46" s="64">
        <v>28.16</v>
      </c>
      <c r="G46" s="64">
        <v>112.46</v>
      </c>
      <c r="H46" s="64">
        <v>45.75</v>
      </c>
      <c r="I46" s="64">
        <v>0.65</v>
      </c>
      <c r="J46" s="64">
        <v>0.03</v>
      </c>
      <c r="K46" s="64">
        <v>250.16</v>
      </c>
      <c r="L46" s="64">
        <v>33.56</v>
      </c>
      <c r="M46" s="64">
        <v>19.559999999999999</v>
      </c>
      <c r="N46" s="64">
        <v>749.5</v>
      </c>
      <c r="O46" s="64">
        <v>0</v>
      </c>
      <c r="P46" s="64">
        <v>1.06</v>
      </c>
      <c r="Q46" s="64">
        <v>27.85</v>
      </c>
      <c r="R46" s="198"/>
      <c r="S46" s="198"/>
      <c r="T46" s="198"/>
      <c r="U46" s="198"/>
    </row>
    <row r="47" spans="1:21" s="12" customFormat="1" x14ac:dyDescent="0.25">
      <c r="A47" s="211" t="s">
        <v>1244</v>
      </c>
      <c r="B47" s="64">
        <v>11.1</v>
      </c>
      <c r="C47" s="64">
        <v>39.32</v>
      </c>
      <c r="D47" s="64">
        <v>31.25</v>
      </c>
      <c r="E47" s="64">
        <v>16.03</v>
      </c>
      <c r="F47" s="64">
        <v>21.34</v>
      </c>
      <c r="G47" s="64">
        <v>112.46</v>
      </c>
      <c r="H47" s="64">
        <v>45.75</v>
      </c>
      <c r="I47" s="64">
        <v>0.71</v>
      </c>
      <c r="J47" s="64">
        <v>0.64</v>
      </c>
      <c r="K47" s="64">
        <v>113.32</v>
      </c>
      <c r="L47" s="64">
        <v>33.450000000000003</v>
      </c>
      <c r="M47" s="64">
        <v>20.75</v>
      </c>
      <c r="N47" s="64">
        <v>754.2</v>
      </c>
      <c r="O47" s="64">
        <v>0</v>
      </c>
      <c r="P47" s="64">
        <v>1.06</v>
      </c>
      <c r="Q47" s="64">
        <v>28.05</v>
      </c>
      <c r="R47" s="198"/>
      <c r="S47" s="198"/>
      <c r="T47" s="198"/>
      <c r="U47" s="198"/>
    </row>
    <row r="48" spans="1:21" s="12" customFormat="1" x14ac:dyDescent="0.25">
      <c r="A48" s="211" t="s">
        <v>1245</v>
      </c>
      <c r="B48" s="64">
        <v>10.95</v>
      </c>
      <c r="C48" s="64">
        <v>40.69</v>
      </c>
      <c r="D48" s="64">
        <v>31.89</v>
      </c>
      <c r="E48" s="64">
        <v>10.43</v>
      </c>
      <c r="F48" s="64">
        <v>12.62</v>
      </c>
      <c r="G48" s="64">
        <v>112.46</v>
      </c>
      <c r="H48" s="64">
        <v>45.75</v>
      </c>
      <c r="I48" s="64">
        <v>0.72</v>
      </c>
      <c r="J48" s="64">
        <v>0.73</v>
      </c>
      <c r="K48" s="64">
        <v>121.79</v>
      </c>
      <c r="L48" s="64">
        <v>33.64</v>
      </c>
      <c r="M48" s="64">
        <v>19.16</v>
      </c>
      <c r="N48" s="64">
        <v>797.9</v>
      </c>
      <c r="O48" s="64">
        <v>0</v>
      </c>
      <c r="P48" s="64">
        <v>1.08</v>
      </c>
      <c r="Q48" s="64">
        <v>28.9</v>
      </c>
      <c r="R48" s="198"/>
      <c r="S48" s="198"/>
      <c r="T48" s="198"/>
      <c r="U48" s="198"/>
    </row>
    <row r="49" spans="1:21" s="12" customFormat="1" x14ac:dyDescent="0.25">
      <c r="A49" s="211" t="s">
        <v>1246</v>
      </c>
      <c r="B49" s="64">
        <v>8.07</v>
      </c>
      <c r="C49" s="64">
        <v>36.49</v>
      </c>
      <c r="D49" s="64">
        <v>27.25</v>
      </c>
      <c r="E49" s="64">
        <v>9.76</v>
      </c>
      <c r="F49" s="64">
        <v>10.6</v>
      </c>
      <c r="G49" s="64">
        <v>112.46</v>
      </c>
      <c r="H49" s="64">
        <v>35.909999999999997</v>
      </c>
      <c r="I49" s="64">
        <v>0.76</v>
      </c>
      <c r="J49" s="64">
        <v>1.24</v>
      </c>
      <c r="K49" s="64">
        <v>123.43</v>
      </c>
      <c r="L49" s="64">
        <v>33.270000000000003</v>
      </c>
      <c r="M49" s="64">
        <v>18.190000000000001</v>
      </c>
      <c r="N49" s="64">
        <v>867.9</v>
      </c>
      <c r="O49" s="64">
        <v>0</v>
      </c>
      <c r="P49" s="64">
        <v>1.04</v>
      </c>
      <c r="Q49" s="64">
        <v>28.92</v>
      </c>
      <c r="R49" s="198"/>
      <c r="S49" s="198"/>
      <c r="T49" s="198"/>
      <c r="U49" s="198"/>
    </row>
    <row r="50" spans="1:21" s="12" customFormat="1" x14ac:dyDescent="0.25">
      <c r="A50" s="211" t="s">
        <v>1247</v>
      </c>
      <c r="B50" s="64">
        <v>5.69</v>
      </c>
      <c r="C50" s="64">
        <v>33.630000000000003</v>
      </c>
      <c r="D50" s="64">
        <v>23.76</v>
      </c>
      <c r="E50" s="64">
        <v>9.8699999999999992</v>
      </c>
      <c r="F50" s="64">
        <v>11.24</v>
      </c>
      <c r="G50" s="214" t="s">
        <v>42</v>
      </c>
      <c r="H50" s="214" t="s">
        <v>42</v>
      </c>
      <c r="I50" s="64">
        <v>0.78</v>
      </c>
      <c r="J50" s="64">
        <v>1.33</v>
      </c>
      <c r="K50" s="64">
        <v>129.1</v>
      </c>
      <c r="L50" s="64">
        <v>33.58</v>
      </c>
      <c r="M50" s="64">
        <v>17.86</v>
      </c>
      <c r="N50" s="64">
        <v>904.1</v>
      </c>
      <c r="O50" s="64">
        <v>0</v>
      </c>
      <c r="P50" s="64">
        <v>0.95</v>
      </c>
      <c r="Q50" s="64">
        <v>28.97</v>
      </c>
      <c r="R50" s="198"/>
      <c r="S50" s="198"/>
      <c r="T50" s="198"/>
      <c r="U50" s="198"/>
    </row>
    <row r="51" spans="1:21" s="12" customFormat="1" x14ac:dyDescent="0.25">
      <c r="A51" s="211" t="s">
        <v>1248</v>
      </c>
      <c r="B51" s="64">
        <v>4.21</v>
      </c>
      <c r="C51" s="64">
        <v>33.39</v>
      </c>
      <c r="D51" s="64">
        <v>22.45</v>
      </c>
      <c r="E51" s="64">
        <v>9.68</v>
      </c>
      <c r="F51" s="64">
        <v>17.940000000000001</v>
      </c>
      <c r="G51" s="214" t="s">
        <v>42</v>
      </c>
      <c r="H51" s="214" t="s">
        <v>42</v>
      </c>
      <c r="I51" s="64">
        <v>0.79</v>
      </c>
      <c r="J51" s="64">
        <v>1.1100000000000001</v>
      </c>
      <c r="K51" s="64">
        <v>125.6</v>
      </c>
      <c r="L51" s="64">
        <v>34.270000000000003</v>
      </c>
      <c r="M51" s="64">
        <v>16.23</v>
      </c>
      <c r="N51" s="64">
        <v>941.4</v>
      </c>
      <c r="O51" s="64">
        <v>0</v>
      </c>
      <c r="P51" s="64">
        <v>0.89</v>
      </c>
      <c r="Q51" s="64">
        <v>29.02</v>
      </c>
      <c r="R51" s="198"/>
      <c r="S51" s="198"/>
      <c r="T51" s="198"/>
      <c r="U51" s="198"/>
    </row>
    <row r="52" spans="1:21" s="12" customFormat="1" x14ac:dyDescent="0.25">
      <c r="A52" s="211" t="s">
        <v>1249</v>
      </c>
      <c r="B52" s="64">
        <v>3.04</v>
      </c>
      <c r="C52" s="64">
        <v>33.65</v>
      </c>
      <c r="D52" s="64">
        <v>21.65</v>
      </c>
      <c r="E52" s="64">
        <v>9</v>
      </c>
      <c r="F52" s="64">
        <v>15.28</v>
      </c>
      <c r="G52" s="214" t="s">
        <v>42</v>
      </c>
      <c r="H52" s="214" t="s">
        <v>42</v>
      </c>
      <c r="I52" s="64">
        <v>0.76</v>
      </c>
      <c r="J52" s="64">
        <v>1.04</v>
      </c>
      <c r="K52" s="64">
        <v>126.49</v>
      </c>
      <c r="L52" s="64">
        <v>34.43</v>
      </c>
      <c r="M52" s="64">
        <v>14.4</v>
      </c>
      <c r="N52" s="64">
        <v>964.7</v>
      </c>
      <c r="O52" s="64">
        <v>0</v>
      </c>
      <c r="P52" s="64">
        <v>0.87</v>
      </c>
      <c r="Q52" s="64">
        <v>28.74</v>
      </c>
      <c r="R52" s="198"/>
      <c r="S52" s="198"/>
      <c r="T52" s="198"/>
      <c r="U52" s="198"/>
    </row>
    <row r="53" spans="1:21" s="12" customFormat="1" x14ac:dyDescent="0.25">
      <c r="A53" s="211" t="s">
        <v>1250</v>
      </c>
      <c r="B53" s="64">
        <v>4.8899999999999997</v>
      </c>
      <c r="C53" s="64">
        <v>38.28</v>
      </c>
      <c r="D53" s="64">
        <v>25.7</v>
      </c>
      <c r="E53" s="64">
        <v>10.46</v>
      </c>
      <c r="F53" s="64">
        <v>22.07</v>
      </c>
      <c r="G53" s="64">
        <v>117</v>
      </c>
      <c r="H53" s="64">
        <v>31.99</v>
      </c>
      <c r="I53" s="64">
        <v>0.73</v>
      </c>
      <c r="J53" s="64">
        <v>0.46</v>
      </c>
      <c r="K53" s="64">
        <v>121.12</v>
      </c>
      <c r="L53" s="64">
        <v>35.520000000000003</v>
      </c>
      <c r="M53" s="64">
        <v>12.81</v>
      </c>
      <c r="N53" s="64">
        <v>968.3</v>
      </c>
      <c r="O53" s="64">
        <v>0</v>
      </c>
      <c r="P53" s="64">
        <v>0.8</v>
      </c>
      <c r="Q53" s="64">
        <v>28</v>
      </c>
      <c r="R53" s="198"/>
      <c r="S53" s="198"/>
      <c r="T53" s="198"/>
      <c r="U53" s="198"/>
    </row>
    <row r="54" spans="1:21" s="12" customFormat="1" x14ac:dyDescent="0.25">
      <c r="A54" s="211" t="s">
        <v>1251</v>
      </c>
      <c r="B54" s="64">
        <v>3.84</v>
      </c>
      <c r="C54" s="64">
        <v>37.29</v>
      </c>
      <c r="D54" s="64">
        <v>24.31</v>
      </c>
      <c r="E54" s="64">
        <v>12.62</v>
      </c>
      <c r="F54" s="64">
        <v>31.13</v>
      </c>
      <c r="G54" s="64">
        <v>117</v>
      </c>
      <c r="H54" s="64">
        <v>31.99</v>
      </c>
      <c r="I54" s="64">
        <v>0.73</v>
      </c>
      <c r="J54" s="64">
        <v>0.08</v>
      </c>
      <c r="K54" s="64">
        <v>111.3</v>
      </c>
      <c r="L54" s="64">
        <v>35.979999999999997</v>
      </c>
      <c r="M54" s="64">
        <v>12.43</v>
      </c>
      <c r="N54" s="64">
        <v>894.8</v>
      </c>
      <c r="O54" s="64">
        <v>0</v>
      </c>
      <c r="P54" s="64">
        <v>0.76</v>
      </c>
      <c r="Q54" s="64">
        <v>27.41</v>
      </c>
      <c r="R54" s="198"/>
      <c r="S54" s="198"/>
      <c r="T54" s="198"/>
      <c r="U54" s="198"/>
    </row>
    <row r="55" spans="1:21" s="12" customFormat="1" x14ac:dyDescent="0.25">
      <c r="A55" s="211" t="s">
        <v>1252</v>
      </c>
      <c r="B55" s="64">
        <v>3.84</v>
      </c>
      <c r="C55" s="64">
        <v>37.76</v>
      </c>
      <c r="D55" s="64">
        <v>24.57</v>
      </c>
      <c r="E55" s="64">
        <v>21.31</v>
      </c>
      <c r="F55" s="64">
        <v>36.18</v>
      </c>
      <c r="G55" s="64">
        <v>117</v>
      </c>
      <c r="H55" s="64">
        <v>31.99</v>
      </c>
      <c r="I55" s="64">
        <v>0.7</v>
      </c>
      <c r="J55" s="64">
        <v>0.23</v>
      </c>
      <c r="K55" s="64">
        <v>146.51</v>
      </c>
      <c r="L55" s="64">
        <v>36.5</v>
      </c>
      <c r="M55" s="64">
        <v>12.11</v>
      </c>
      <c r="N55" s="64">
        <v>983</v>
      </c>
      <c r="O55" s="64">
        <v>0</v>
      </c>
      <c r="P55" s="64">
        <v>0.71</v>
      </c>
      <c r="Q55" s="64">
        <v>28.56</v>
      </c>
      <c r="R55" s="198"/>
      <c r="S55" s="198"/>
      <c r="T55" s="198"/>
      <c r="U55" s="198"/>
    </row>
    <row r="56" spans="1:21" s="12" customFormat="1" x14ac:dyDescent="0.25">
      <c r="A56" s="211" t="s">
        <v>1253</v>
      </c>
      <c r="B56" s="64">
        <v>3.4</v>
      </c>
      <c r="C56" s="64">
        <v>35.659999999999997</v>
      </c>
      <c r="D56" s="64">
        <v>23.05</v>
      </c>
      <c r="E56" s="64">
        <v>17.7</v>
      </c>
      <c r="F56" s="64">
        <v>40.28</v>
      </c>
      <c r="G56" s="64">
        <v>117</v>
      </c>
      <c r="H56" s="64">
        <v>31.99</v>
      </c>
      <c r="I56" s="64">
        <v>0.69</v>
      </c>
      <c r="J56" s="64">
        <v>0.88</v>
      </c>
      <c r="K56" s="64">
        <v>115.57</v>
      </c>
      <c r="L56" s="64">
        <v>36.81</v>
      </c>
      <c r="M56" s="64">
        <v>10.61</v>
      </c>
      <c r="N56" s="64">
        <v>921.5</v>
      </c>
      <c r="O56" s="64">
        <v>0</v>
      </c>
      <c r="P56" s="64">
        <v>0.7</v>
      </c>
      <c r="Q56" s="64">
        <v>28.62</v>
      </c>
      <c r="R56" s="198"/>
      <c r="S56" s="198"/>
      <c r="T56" s="198"/>
      <c r="U56" s="198"/>
    </row>
    <row r="57" spans="1:21" s="12" customFormat="1" x14ac:dyDescent="0.25">
      <c r="A57" s="211" t="s">
        <v>1254</v>
      </c>
      <c r="B57" s="64">
        <v>2.0299999999999998</v>
      </c>
      <c r="C57" s="64">
        <v>28.9</v>
      </c>
      <c r="D57" s="64">
        <v>18.23</v>
      </c>
      <c r="E57" s="64">
        <v>15.44</v>
      </c>
      <c r="F57" s="64">
        <v>36.56</v>
      </c>
      <c r="G57" s="64">
        <v>47.71</v>
      </c>
      <c r="H57" s="64">
        <v>31.7</v>
      </c>
      <c r="I57" s="64">
        <v>0.67</v>
      </c>
      <c r="J57" s="64">
        <v>1.25</v>
      </c>
      <c r="K57" s="64">
        <v>128.53</v>
      </c>
      <c r="L57" s="64">
        <v>35.56</v>
      </c>
      <c r="M57" s="64">
        <v>11.11</v>
      </c>
      <c r="N57" s="64">
        <v>936.5</v>
      </c>
      <c r="O57" s="64">
        <v>0</v>
      </c>
      <c r="P57" s="64">
        <v>0.63</v>
      </c>
      <c r="Q57" s="64">
        <v>28.58</v>
      </c>
      <c r="R57" s="198"/>
      <c r="S57" s="198"/>
      <c r="T57" s="198"/>
      <c r="U57" s="198"/>
    </row>
    <row r="58" spans="1:21" s="12" customFormat="1" x14ac:dyDescent="0.25">
      <c r="A58" s="211" t="s">
        <v>1255</v>
      </c>
      <c r="B58" s="64">
        <v>3.01</v>
      </c>
      <c r="C58" s="64">
        <v>33.1</v>
      </c>
      <c r="D58" s="64">
        <v>21.33</v>
      </c>
      <c r="E58" s="64">
        <v>23.02</v>
      </c>
      <c r="F58" s="64">
        <v>33.14</v>
      </c>
      <c r="G58" s="64">
        <v>32.729999999999997</v>
      </c>
      <c r="H58" s="64">
        <v>31.7</v>
      </c>
      <c r="I58" s="64">
        <v>0.68</v>
      </c>
      <c r="J58" s="64">
        <v>1.35</v>
      </c>
      <c r="K58" s="64">
        <v>120.24</v>
      </c>
      <c r="L58" s="64">
        <v>36.1</v>
      </c>
      <c r="M58" s="64">
        <v>10.46</v>
      </c>
      <c r="N58" s="64">
        <v>904.5</v>
      </c>
      <c r="O58" s="64">
        <v>0</v>
      </c>
      <c r="P58" s="64">
        <v>0.6</v>
      </c>
      <c r="Q58" s="64">
        <v>28.25</v>
      </c>
      <c r="R58" s="198"/>
      <c r="S58" s="198"/>
      <c r="T58" s="198"/>
      <c r="U58" s="198"/>
    </row>
    <row r="59" spans="1:21" s="12" customFormat="1" x14ac:dyDescent="0.25">
      <c r="A59" s="211" t="s">
        <v>1256</v>
      </c>
      <c r="B59" s="64">
        <v>3.87</v>
      </c>
      <c r="C59" s="64">
        <v>33.65</v>
      </c>
      <c r="D59" s="64">
        <v>22.32</v>
      </c>
      <c r="E59" s="64">
        <v>17</v>
      </c>
      <c r="F59" s="64">
        <v>23.51</v>
      </c>
      <c r="G59" s="64">
        <v>32.729999999999997</v>
      </c>
      <c r="H59" s="64">
        <v>31.7</v>
      </c>
      <c r="I59" s="64">
        <v>0.72</v>
      </c>
      <c r="J59" s="64">
        <v>1.1399999999999999</v>
      </c>
      <c r="K59" s="64">
        <v>112.22</v>
      </c>
      <c r="L59" s="64">
        <v>36.159999999999997</v>
      </c>
      <c r="M59" s="64">
        <v>10.14</v>
      </c>
      <c r="N59" s="64">
        <v>859.6</v>
      </c>
      <c r="O59" s="64">
        <v>0</v>
      </c>
      <c r="P59" s="64">
        <v>0.66</v>
      </c>
      <c r="Q59" s="64">
        <v>28.1</v>
      </c>
      <c r="R59" s="198"/>
      <c r="S59" s="198"/>
      <c r="T59" s="198"/>
      <c r="U59" s="198"/>
    </row>
    <row r="60" spans="1:21" s="12" customFormat="1" x14ac:dyDescent="0.25">
      <c r="A60" s="211" t="s">
        <v>1257</v>
      </c>
      <c r="B60" s="64">
        <v>2.61</v>
      </c>
      <c r="C60" s="64">
        <v>41.16</v>
      </c>
      <c r="D60" s="64">
        <v>25.45</v>
      </c>
      <c r="E60" s="64">
        <v>11.05</v>
      </c>
      <c r="F60" s="64">
        <v>15.91</v>
      </c>
      <c r="G60" s="64">
        <v>32.729999999999997</v>
      </c>
      <c r="H60" s="64">
        <v>31.7</v>
      </c>
      <c r="I60" s="64">
        <v>0.71</v>
      </c>
      <c r="J60" s="64">
        <v>1.1599999999999999</v>
      </c>
      <c r="K60" s="64">
        <v>120.57</v>
      </c>
      <c r="L60" s="64">
        <v>36.159999999999997</v>
      </c>
      <c r="M60" s="64">
        <v>9.7899999999999991</v>
      </c>
      <c r="N60" s="64">
        <v>882.1</v>
      </c>
      <c r="O60" s="64">
        <v>0</v>
      </c>
      <c r="P60" s="64">
        <v>0.61</v>
      </c>
      <c r="Q60" s="64">
        <v>28.84</v>
      </c>
      <c r="R60" s="198"/>
      <c r="S60" s="198"/>
      <c r="T60" s="198"/>
      <c r="U60" s="198"/>
    </row>
    <row r="61" spans="1:21" s="12" customFormat="1" x14ac:dyDescent="0.25">
      <c r="A61" s="211" t="s">
        <v>1258</v>
      </c>
      <c r="B61" s="64">
        <v>3.13</v>
      </c>
      <c r="C61" s="64">
        <v>42.47</v>
      </c>
      <c r="D61" s="64">
        <v>26.6</v>
      </c>
      <c r="E61" s="64">
        <v>14.26</v>
      </c>
      <c r="F61" s="64">
        <v>27.25</v>
      </c>
      <c r="G61" s="64">
        <v>39.43</v>
      </c>
      <c r="H61" s="64">
        <v>31.01</v>
      </c>
      <c r="I61" s="64">
        <v>0.8</v>
      </c>
      <c r="J61" s="64">
        <v>0.28999999999999998</v>
      </c>
      <c r="K61" s="64">
        <v>230.65</v>
      </c>
      <c r="L61" s="64">
        <v>36.93</v>
      </c>
      <c r="M61" s="64">
        <v>8.3699999999999992</v>
      </c>
      <c r="N61" s="64">
        <v>832.3</v>
      </c>
      <c r="O61" s="64">
        <v>0</v>
      </c>
      <c r="P61" s="64">
        <v>0.56999999999999995</v>
      </c>
      <c r="Q61" s="64">
        <v>29.6</v>
      </c>
      <c r="R61" s="198"/>
      <c r="S61" s="198"/>
      <c r="T61" s="198"/>
      <c r="U61" s="198"/>
    </row>
    <row r="62" spans="1:21" s="12" customFormat="1" x14ac:dyDescent="0.25">
      <c r="A62" s="211" t="s">
        <v>1259</v>
      </c>
      <c r="B62" s="64">
        <v>4.42</v>
      </c>
      <c r="C62" s="64">
        <v>40.57</v>
      </c>
      <c r="D62" s="64">
        <v>26.58</v>
      </c>
      <c r="E62" s="64">
        <v>12.06</v>
      </c>
      <c r="F62" s="64">
        <v>16.57</v>
      </c>
      <c r="G62" s="64">
        <v>41.1</v>
      </c>
      <c r="H62" s="64">
        <v>31.01</v>
      </c>
      <c r="I62" s="64">
        <v>0.8</v>
      </c>
      <c r="J62" s="64">
        <v>1</v>
      </c>
      <c r="K62" s="64">
        <v>281.29000000000002</v>
      </c>
      <c r="L62" s="64">
        <v>39.29</v>
      </c>
      <c r="M62" s="64">
        <v>7.36</v>
      </c>
      <c r="N62" s="64">
        <v>841.4</v>
      </c>
      <c r="O62" s="64">
        <v>0</v>
      </c>
      <c r="P62" s="64">
        <v>0.67</v>
      </c>
      <c r="Q62" s="64">
        <v>29.68</v>
      </c>
      <c r="R62" s="198"/>
      <c r="S62" s="198"/>
      <c r="T62" s="198"/>
      <c r="U62" s="198"/>
    </row>
    <row r="63" spans="1:21" s="12" customFormat="1" x14ac:dyDescent="0.25">
      <c r="A63" s="211" t="s">
        <v>1260</v>
      </c>
      <c r="B63" s="64">
        <v>4.63</v>
      </c>
      <c r="C63" s="64">
        <v>40.1</v>
      </c>
      <c r="D63" s="64">
        <v>26.48</v>
      </c>
      <c r="E63" s="64">
        <v>7.64</v>
      </c>
      <c r="F63" s="64">
        <v>19.64</v>
      </c>
      <c r="G63" s="64">
        <v>41.1</v>
      </c>
      <c r="H63" s="64">
        <v>31.01</v>
      </c>
      <c r="I63" s="64">
        <v>0.71</v>
      </c>
      <c r="J63" s="64">
        <v>0.83</v>
      </c>
      <c r="K63" s="64">
        <v>290.07</v>
      </c>
      <c r="L63" s="64">
        <v>39.619999999999997</v>
      </c>
      <c r="M63" s="64">
        <v>6.08</v>
      </c>
      <c r="N63" s="64">
        <v>798.3</v>
      </c>
      <c r="O63" s="64">
        <v>0</v>
      </c>
      <c r="P63" s="64">
        <v>0.64</v>
      </c>
      <c r="Q63" s="64">
        <v>29</v>
      </c>
      <c r="R63" s="198"/>
      <c r="S63" s="198"/>
      <c r="T63" s="198"/>
      <c r="U63" s="198"/>
    </row>
    <row r="64" spans="1:21" s="12" customFormat="1" x14ac:dyDescent="0.25">
      <c r="A64" s="211" t="s">
        <v>1261</v>
      </c>
      <c r="B64" s="64">
        <v>4.5999999999999996</v>
      </c>
      <c r="C64" s="64">
        <v>38.78</v>
      </c>
      <c r="D64" s="64">
        <v>25.74</v>
      </c>
      <c r="E64" s="64">
        <v>8.5299999999999994</v>
      </c>
      <c r="F64" s="64">
        <v>15.96</v>
      </c>
      <c r="G64" s="64">
        <v>41.1</v>
      </c>
      <c r="H64" s="64">
        <v>31.01</v>
      </c>
      <c r="I64" s="64">
        <v>0.77</v>
      </c>
      <c r="J64" s="64">
        <v>1.53</v>
      </c>
      <c r="K64" s="64">
        <v>282.32</v>
      </c>
      <c r="L64" s="64">
        <v>39.36</v>
      </c>
      <c r="M64" s="64">
        <v>5.8</v>
      </c>
      <c r="N64" s="64">
        <v>763.9</v>
      </c>
      <c r="O64" s="64">
        <v>0</v>
      </c>
      <c r="P64" s="64">
        <v>0.64</v>
      </c>
      <c r="Q64" s="64">
        <v>28.97</v>
      </c>
      <c r="R64" s="198"/>
      <c r="S64" s="198"/>
      <c r="T64" s="198"/>
      <c r="U64" s="198"/>
    </row>
    <row r="65" spans="1:21" s="12" customFormat="1" x14ac:dyDescent="0.25">
      <c r="A65" s="211" t="s">
        <v>1262</v>
      </c>
      <c r="B65" s="64">
        <v>2.88</v>
      </c>
      <c r="C65" s="64">
        <v>37.82</v>
      </c>
      <c r="D65" s="64">
        <v>23.83</v>
      </c>
      <c r="E65" s="64">
        <v>6.48</v>
      </c>
      <c r="F65" s="64">
        <v>11.83</v>
      </c>
      <c r="G65" s="214" t="s">
        <v>42</v>
      </c>
      <c r="H65" s="214" t="s">
        <v>42</v>
      </c>
      <c r="I65" s="64">
        <v>0.76</v>
      </c>
      <c r="J65" s="64">
        <v>2</v>
      </c>
      <c r="K65" s="64">
        <v>272.55</v>
      </c>
      <c r="L65" s="64">
        <v>38.549999999999997</v>
      </c>
      <c r="M65" s="64">
        <v>5.88</v>
      </c>
      <c r="N65" s="64">
        <v>732</v>
      </c>
      <c r="O65" s="64">
        <v>0</v>
      </c>
      <c r="P65" s="64">
        <v>0.62</v>
      </c>
      <c r="Q65" s="64">
        <v>28.39</v>
      </c>
      <c r="R65" s="198"/>
      <c r="S65" s="198"/>
      <c r="T65" s="198"/>
      <c r="U65" s="198"/>
    </row>
    <row r="66" spans="1:21" s="12" customFormat="1" x14ac:dyDescent="0.25">
      <c r="A66" s="211" t="s">
        <v>1263</v>
      </c>
      <c r="B66" s="64">
        <v>2.74</v>
      </c>
      <c r="C66" s="64">
        <v>43.44</v>
      </c>
      <c r="D66" s="64">
        <v>26.82</v>
      </c>
      <c r="E66" s="64">
        <v>6.23</v>
      </c>
      <c r="F66" s="64">
        <v>9.16</v>
      </c>
      <c r="G66" s="214" t="s">
        <v>42</v>
      </c>
      <c r="H66" s="214" t="s">
        <v>42</v>
      </c>
      <c r="I66" s="64">
        <v>0.77</v>
      </c>
      <c r="J66" s="64">
        <v>2.21</v>
      </c>
      <c r="K66" s="64">
        <v>272.91000000000003</v>
      </c>
      <c r="L66" s="64">
        <v>38.08</v>
      </c>
      <c r="M66" s="64">
        <v>6.6</v>
      </c>
      <c r="N66" s="64">
        <v>624</v>
      </c>
      <c r="O66" s="64">
        <v>0</v>
      </c>
      <c r="P66" s="64">
        <v>0.6</v>
      </c>
      <c r="Q66" s="64">
        <v>27.09</v>
      </c>
      <c r="R66" s="198"/>
      <c r="S66" s="198"/>
      <c r="T66" s="198"/>
      <c r="U66" s="198"/>
    </row>
    <row r="67" spans="1:21" s="12" customFormat="1" x14ac:dyDescent="0.25">
      <c r="A67" s="211" t="s">
        <v>1264</v>
      </c>
      <c r="B67" s="64">
        <v>3.43</v>
      </c>
      <c r="C67" s="64">
        <v>35.72</v>
      </c>
      <c r="D67" s="64">
        <v>23.11</v>
      </c>
      <c r="E67" s="64">
        <v>6.13</v>
      </c>
      <c r="F67" s="64">
        <v>18.3</v>
      </c>
      <c r="G67" s="214" t="s">
        <v>42</v>
      </c>
      <c r="H67" s="214" t="s">
        <v>42</v>
      </c>
      <c r="I67" s="64">
        <v>0.78</v>
      </c>
      <c r="J67" s="64">
        <v>1.49</v>
      </c>
      <c r="K67" s="64">
        <v>275.45999999999998</v>
      </c>
      <c r="L67" s="64">
        <v>37.979999999999997</v>
      </c>
      <c r="M67" s="64">
        <v>6.86</v>
      </c>
      <c r="N67" s="64">
        <v>649.9</v>
      </c>
      <c r="O67" s="64">
        <v>0</v>
      </c>
      <c r="P67" s="64">
        <v>0.56000000000000005</v>
      </c>
      <c r="Q67" s="64">
        <v>26.97</v>
      </c>
      <c r="R67" s="198"/>
      <c r="S67" s="198"/>
      <c r="T67" s="198"/>
      <c r="U67" s="198"/>
    </row>
    <row r="68" spans="1:21" s="12" customFormat="1" x14ac:dyDescent="0.25">
      <c r="A68" s="211" t="s">
        <v>1265</v>
      </c>
      <c r="B68" s="64">
        <v>2.9</v>
      </c>
      <c r="C68" s="64">
        <v>38.43</v>
      </c>
      <c r="D68" s="64">
        <v>24.18</v>
      </c>
      <c r="E68" s="64">
        <v>5.93</v>
      </c>
      <c r="F68" s="64">
        <v>15.26</v>
      </c>
      <c r="G68" s="214" t="s">
        <v>42</v>
      </c>
      <c r="H68" s="214" t="s">
        <v>42</v>
      </c>
      <c r="I68" s="64">
        <v>0.72</v>
      </c>
      <c r="J68" s="64">
        <v>1.65</v>
      </c>
      <c r="K68" s="64">
        <v>275.7</v>
      </c>
      <c r="L68" s="64">
        <v>37.54</v>
      </c>
      <c r="M68" s="64">
        <v>7.07</v>
      </c>
      <c r="N68" s="64">
        <v>270.3</v>
      </c>
      <c r="O68" s="64">
        <v>0</v>
      </c>
      <c r="P68" s="64">
        <v>0.55000000000000004</v>
      </c>
      <c r="Q68" s="64">
        <v>25.35</v>
      </c>
      <c r="R68" s="198"/>
      <c r="S68" s="198"/>
      <c r="T68" s="198"/>
      <c r="U68" s="198"/>
    </row>
    <row r="69" spans="1:21" s="12" customFormat="1" x14ac:dyDescent="0.25">
      <c r="A69" s="211" t="s">
        <v>1266</v>
      </c>
      <c r="B69" s="64">
        <v>2.75</v>
      </c>
      <c r="C69" s="64">
        <v>38.340000000000003</v>
      </c>
      <c r="D69" s="64">
        <v>24.01</v>
      </c>
      <c r="E69" s="64">
        <v>5.4</v>
      </c>
      <c r="F69" s="64">
        <v>8.17</v>
      </c>
      <c r="G69" s="214" t="s">
        <v>42</v>
      </c>
      <c r="H69" s="214" t="s">
        <v>42</v>
      </c>
      <c r="I69" s="64">
        <v>0.67</v>
      </c>
      <c r="J69" s="64">
        <v>1.78</v>
      </c>
      <c r="K69" s="64">
        <v>273.38</v>
      </c>
      <c r="L69" s="64">
        <v>37.119999999999997</v>
      </c>
      <c r="M69" s="64">
        <v>7.01</v>
      </c>
      <c r="N69" s="64">
        <v>171.3</v>
      </c>
      <c r="O69" s="64">
        <v>0</v>
      </c>
      <c r="P69" s="64">
        <v>0.53</v>
      </c>
      <c r="Q69" s="64">
        <v>24.58</v>
      </c>
      <c r="R69" s="198"/>
      <c r="S69" s="198"/>
      <c r="T69" s="198"/>
      <c r="U69" s="198"/>
    </row>
    <row r="70" spans="1:21" s="12" customFormat="1" x14ac:dyDescent="0.25">
      <c r="A70" s="211" t="s">
        <v>1267</v>
      </c>
      <c r="B70" s="64">
        <v>3.92</v>
      </c>
      <c r="C70" s="64">
        <v>37.36</v>
      </c>
      <c r="D70" s="64">
        <v>24.41</v>
      </c>
      <c r="E70" s="64">
        <v>6.03</v>
      </c>
      <c r="F70" s="64">
        <v>19.3</v>
      </c>
      <c r="G70" s="214" t="s">
        <v>42</v>
      </c>
      <c r="H70" s="214" t="s">
        <v>42</v>
      </c>
      <c r="I70" s="64">
        <v>0.66</v>
      </c>
      <c r="J70" s="64">
        <v>1.59</v>
      </c>
      <c r="K70" s="64">
        <v>282.16000000000003</v>
      </c>
      <c r="L70" s="64">
        <v>36.82</v>
      </c>
      <c r="M70" s="64">
        <v>7.03</v>
      </c>
      <c r="N70" s="64">
        <v>279.3</v>
      </c>
      <c r="O70" s="64">
        <v>0</v>
      </c>
      <c r="P70" s="64">
        <v>0.5</v>
      </c>
      <c r="Q70" s="64">
        <v>22.96</v>
      </c>
      <c r="R70" s="198"/>
      <c r="S70" s="198"/>
      <c r="T70" s="198"/>
      <c r="U70" s="198"/>
    </row>
    <row r="71" spans="1:21" s="12" customFormat="1" x14ac:dyDescent="0.25">
      <c r="A71" s="211" t="s">
        <v>1268</v>
      </c>
      <c r="B71" s="64">
        <v>3.86</v>
      </c>
      <c r="C71" s="64">
        <v>38.58</v>
      </c>
      <c r="D71" s="64">
        <v>25.03</v>
      </c>
      <c r="E71" s="64">
        <v>5.63</v>
      </c>
      <c r="F71" s="64">
        <v>15.71</v>
      </c>
      <c r="G71" s="214" t="s">
        <v>42</v>
      </c>
      <c r="H71" s="214" t="s">
        <v>42</v>
      </c>
      <c r="I71" s="64">
        <v>0.65</v>
      </c>
      <c r="J71" s="64">
        <v>1.18</v>
      </c>
      <c r="K71" s="64">
        <v>286.41000000000003</v>
      </c>
      <c r="L71" s="64">
        <v>36.51</v>
      </c>
      <c r="M71" s="64">
        <v>7.38</v>
      </c>
      <c r="N71" s="64">
        <v>351</v>
      </c>
      <c r="O71" s="64">
        <v>0</v>
      </c>
      <c r="P71" s="64">
        <v>0.5</v>
      </c>
      <c r="Q71" s="64">
        <v>22.5</v>
      </c>
      <c r="R71" s="198"/>
      <c r="S71" s="198"/>
      <c r="T71" s="198"/>
      <c r="U71" s="198"/>
    </row>
    <row r="72" spans="1:21" s="12" customFormat="1" x14ac:dyDescent="0.25">
      <c r="A72" s="211" t="s">
        <v>1269</v>
      </c>
      <c r="B72" s="64">
        <v>4.21</v>
      </c>
      <c r="C72" s="64">
        <v>35.54</v>
      </c>
      <c r="D72" s="64">
        <v>23.64</v>
      </c>
      <c r="E72" s="64">
        <v>3.73</v>
      </c>
      <c r="F72" s="64">
        <v>13.08</v>
      </c>
      <c r="G72" s="214" t="s">
        <v>42</v>
      </c>
      <c r="H72" s="214" t="s">
        <v>42</v>
      </c>
      <c r="I72" s="64">
        <v>0.63</v>
      </c>
      <c r="J72" s="64">
        <v>1.45</v>
      </c>
      <c r="K72" s="64">
        <v>282.93</v>
      </c>
      <c r="L72" s="64">
        <v>36.26</v>
      </c>
      <c r="M72" s="64">
        <v>7.18</v>
      </c>
      <c r="N72" s="64">
        <v>146.4</v>
      </c>
      <c r="O72" s="64">
        <v>0</v>
      </c>
      <c r="P72" s="64">
        <v>0.5</v>
      </c>
      <c r="Q72" s="64">
        <v>23.1</v>
      </c>
      <c r="R72" s="198"/>
      <c r="S72" s="198"/>
      <c r="T72" s="198"/>
      <c r="U72" s="198"/>
    </row>
    <row r="73" spans="1:21" s="12" customFormat="1" x14ac:dyDescent="0.25">
      <c r="A73" s="211" t="s">
        <v>1270</v>
      </c>
      <c r="B73" s="64">
        <v>4.0199999999999996</v>
      </c>
      <c r="C73" s="64">
        <v>38.85</v>
      </c>
      <c r="D73" s="64">
        <v>25.31</v>
      </c>
      <c r="E73" s="64">
        <v>5.51</v>
      </c>
      <c r="F73" s="64">
        <v>22.13</v>
      </c>
      <c r="G73" s="214" t="s">
        <v>42</v>
      </c>
      <c r="H73" s="214" t="s">
        <v>42</v>
      </c>
      <c r="I73" s="64">
        <v>0.64</v>
      </c>
      <c r="J73" s="64">
        <v>0.92</v>
      </c>
      <c r="K73" s="64">
        <v>281.06</v>
      </c>
      <c r="L73" s="64">
        <v>35.9</v>
      </c>
      <c r="M73" s="64">
        <v>7.67</v>
      </c>
      <c r="N73" s="64">
        <v>98.1</v>
      </c>
      <c r="O73" s="64">
        <v>0</v>
      </c>
      <c r="P73" s="64">
        <v>0.49</v>
      </c>
      <c r="Q73" s="64">
        <v>23.14</v>
      </c>
      <c r="R73" s="198"/>
      <c r="S73" s="198"/>
      <c r="T73" s="198"/>
      <c r="U73" s="198"/>
    </row>
    <row r="74" spans="1:21" s="12" customFormat="1" x14ac:dyDescent="0.25">
      <c r="A74" s="211" t="s">
        <v>1271</v>
      </c>
      <c r="B74" s="64">
        <v>2.81</v>
      </c>
      <c r="C74" s="64">
        <v>36.5</v>
      </c>
      <c r="D74" s="64">
        <v>23.04</v>
      </c>
      <c r="E74" s="64">
        <v>4.54</v>
      </c>
      <c r="F74" s="64">
        <v>17.54</v>
      </c>
      <c r="G74" s="214" t="s">
        <v>42</v>
      </c>
      <c r="H74" s="214" t="s">
        <v>42</v>
      </c>
      <c r="I74" s="64">
        <v>0.64</v>
      </c>
      <c r="J74" s="64">
        <v>0.62</v>
      </c>
      <c r="K74" s="64">
        <v>271.41000000000003</v>
      </c>
      <c r="L74" s="64">
        <v>35.44</v>
      </c>
      <c r="M74" s="64">
        <v>8.27</v>
      </c>
      <c r="N74" s="64">
        <v>88.1</v>
      </c>
      <c r="O74" s="64">
        <v>0</v>
      </c>
      <c r="P74" s="64">
        <v>0.5</v>
      </c>
      <c r="Q74" s="64">
        <v>23.59</v>
      </c>
      <c r="R74" s="198"/>
      <c r="S74" s="198"/>
      <c r="T74" s="198"/>
      <c r="U74" s="198"/>
    </row>
    <row r="75" spans="1:21" s="12" customFormat="1" x14ac:dyDescent="0.25">
      <c r="A75" s="211" t="s">
        <v>1272</v>
      </c>
      <c r="B75" s="64">
        <v>4.6399999999999997</v>
      </c>
      <c r="C75" s="64">
        <v>40.61</v>
      </c>
      <c r="D75" s="64">
        <v>26.78</v>
      </c>
      <c r="E75" s="64">
        <v>5.89</v>
      </c>
      <c r="F75" s="64">
        <v>29.8</v>
      </c>
      <c r="G75" s="214" t="s">
        <v>42</v>
      </c>
      <c r="H75" s="214" t="s">
        <v>42</v>
      </c>
      <c r="I75" s="64">
        <v>0.61</v>
      </c>
      <c r="J75" s="64">
        <v>0.69</v>
      </c>
      <c r="K75" s="64">
        <v>287.04000000000002</v>
      </c>
      <c r="L75" s="64">
        <v>35.44</v>
      </c>
      <c r="M75" s="64">
        <v>8</v>
      </c>
      <c r="N75" s="64">
        <v>78.099999999999994</v>
      </c>
      <c r="O75" s="64">
        <v>0</v>
      </c>
      <c r="P75" s="64">
        <v>0.56999999999999995</v>
      </c>
      <c r="Q75" s="64">
        <v>23.49</v>
      </c>
      <c r="R75" s="198"/>
      <c r="S75" s="198"/>
      <c r="T75" s="198"/>
      <c r="U75" s="198"/>
    </row>
    <row r="76" spans="1:21" s="12" customFormat="1" x14ac:dyDescent="0.25">
      <c r="A76" s="211" t="s">
        <v>1273</v>
      </c>
      <c r="B76" s="64">
        <v>6.81</v>
      </c>
      <c r="C76" s="64">
        <v>48.67</v>
      </c>
      <c r="D76" s="64">
        <v>32.97</v>
      </c>
      <c r="E76" s="64">
        <v>7.2</v>
      </c>
      <c r="F76" s="64">
        <v>35.79</v>
      </c>
      <c r="G76" s="214" t="s">
        <v>42</v>
      </c>
      <c r="H76" s="214" t="s">
        <v>42</v>
      </c>
      <c r="I76" s="64">
        <v>0.62</v>
      </c>
      <c r="J76" s="64">
        <v>0.22</v>
      </c>
      <c r="K76" s="64">
        <v>284.13</v>
      </c>
      <c r="L76" s="64">
        <v>35.35</v>
      </c>
      <c r="M76" s="64">
        <v>8.5</v>
      </c>
      <c r="N76" s="64">
        <v>71.400000000000006</v>
      </c>
      <c r="O76" s="64">
        <v>0</v>
      </c>
      <c r="P76" s="64">
        <v>0.63</v>
      </c>
      <c r="Q76" s="64">
        <v>22.76</v>
      </c>
      <c r="R76" s="198"/>
      <c r="S76" s="198"/>
      <c r="T76" s="198"/>
      <c r="U76" s="198"/>
    </row>
    <row r="77" spans="1:21" s="12" customFormat="1" x14ac:dyDescent="0.25">
      <c r="A77" s="211" t="s">
        <v>1274</v>
      </c>
      <c r="B77" s="64">
        <v>2.5499999999999998</v>
      </c>
      <c r="C77" s="64">
        <v>42.39</v>
      </c>
      <c r="D77" s="64">
        <v>26.09</v>
      </c>
      <c r="E77" s="64">
        <v>8.42</v>
      </c>
      <c r="F77" s="64">
        <v>45.14</v>
      </c>
      <c r="G77" s="214" t="s">
        <v>42</v>
      </c>
      <c r="H77" s="214" t="s">
        <v>42</v>
      </c>
      <c r="I77" s="64">
        <v>0.59</v>
      </c>
      <c r="J77" s="64">
        <v>0.53</v>
      </c>
      <c r="K77" s="64">
        <v>112.65</v>
      </c>
      <c r="L77" s="64">
        <v>34.770000000000003</v>
      </c>
      <c r="M77" s="64">
        <v>8.6</v>
      </c>
      <c r="N77" s="64">
        <v>62.3</v>
      </c>
      <c r="O77" s="64">
        <v>0</v>
      </c>
      <c r="P77" s="64">
        <v>0.45</v>
      </c>
      <c r="Q77" s="64">
        <v>22.15</v>
      </c>
      <c r="R77" s="198"/>
      <c r="S77" s="198"/>
      <c r="T77" s="198"/>
      <c r="U77" s="198"/>
    </row>
    <row r="78" spans="1:21" s="12" customFormat="1" x14ac:dyDescent="0.25">
      <c r="A78" s="211" t="s">
        <v>1275</v>
      </c>
      <c r="B78" s="64">
        <v>1.73</v>
      </c>
      <c r="C78" s="64">
        <v>35.81</v>
      </c>
      <c r="D78" s="64">
        <v>21.8</v>
      </c>
      <c r="E78" s="64">
        <v>10.87</v>
      </c>
      <c r="F78" s="64">
        <v>71.52</v>
      </c>
      <c r="G78" s="214" t="s">
        <v>42</v>
      </c>
      <c r="H78" s="214" t="s">
        <v>42</v>
      </c>
      <c r="I78" s="64">
        <v>0.56000000000000005</v>
      </c>
      <c r="J78" s="64">
        <v>0.32</v>
      </c>
      <c r="K78" s="64">
        <v>89.04</v>
      </c>
      <c r="L78" s="64">
        <v>34.299999999999997</v>
      </c>
      <c r="M78" s="64">
        <v>9.0500000000000007</v>
      </c>
      <c r="N78" s="64">
        <v>51.5</v>
      </c>
      <c r="O78" s="64">
        <v>0</v>
      </c>
      <c r="P78" s="64">
        <v>0.43</v>
      </c>
      <c r="Q78" s="64">
        <v>23.94</v>
      </c>
      <c r="R78" s="198"/>
      <c r="S78" s="198"/>
      <c r="T78" s="198"/>
      <c r="U78" s="198"/>
    </row>
    <row r="79" spans="1:21" s="12" customFormat="1" x14ac:dyDescent="0.25">
      <c r="A79" s="211" t="s">
        <v>1276</v>
      </c>
      <c r="B79" s="64">
        <v>2.83</v>
      </c>
      <c r="C79" s="64">
        <v>48.24</v>
      </c>
      <c r="D79" s="64">
        <v>29.54</v>
      </c>
      <c r="E79" s="64">
        <v>13.33</v>
      </c>
      <c r="F79" s="64">
        <v>68.680000000000007</v>
      </c>
      <c r="G79" s="214" t="s">
        <v>42</v>
      </c>
      <c r="H79" s="214" t="s">
        <v>42</v>
      </c>
      <c r="I79" s="64">
        <v>0.56000000000000005</v>
      </c>
      <c r="J79" s="64">
        <v>0.28000000000000003</v>
      </c>
      <c r="K79" s="64">
        <v>89.36</v>
      </c>
      <c r="L79" s="64">
        <v>33.979999999999997</v>
      </c>
      <c r="M79" s="64">
        <v>8.8800000000000008</v>
      </c>
      <c r="N79" s="64">
        <v>41.1</v>
      </c>
      <c r="O79" s="64">
        <v>0</v>
      </c>
      <c r="P79" s="64">
        <v>0.41</v>
      </c>
      <c r="Q79" s="64">
        <v>23.18</v>
      </c>
      <c r="R79" s="198"/>
      <c r="S79" s="198"/>
      <c r="T79" s="198"/>
      <c r="U79" s="198"/>
    </row>
    <row r="80" spans="1:21" s="12" customFormat="1" x14ac:dyDescent="0.25">
      <c r="A80" s="211" t="s">
        <v>1277</v>
      </c>
      <c r="B80" s="64">
        <v>6.6</v>
      </c>
      <c r="C80" s="64">
        <v>54.15</v>
      </c>
      <c r="D80" s="64">
        <v>35.82</v>
      </c>
      <c r="E80" s="64">
        <v>13.86</v>
      </c>
      <c r="F80" s="64">
        <v>57.73</v>
      </c>
      <c r="G80" s="214" t="s">
        <v>42</v>
      </c>
      <c r="H80" s="214" t="s">
        <v>42</v>
      </c>
      <c r="I80" s="64">
        <v>0.54</v>
      </c>
      <c r="J80" s="64">
        <v>0.03</v>
      </c>
      <c r="K80" s="64">
        <v>203.59</v>
      </c>
      <c r="L80" s="64">
        <v>33.32</v>
      </c>
      <c r="M80" s="64">
        <v>12.95</v>
      </c>
      <c r="N80" s="64">
        <v>30.4</v>
      </c>
      <c r="O80" s="64">
        <v>0</v>
      </c>
      <c r="P80" s="64">
        <v>0.67</v>
      </c>
      <c r="Q80" s="64">
        <v>23.2</v>
      </c>
      <c r="R80" s="198"/>
      <c r="S80" s="198"/>
      <c r="T80" s="198"/>
      <c r="U80" s="198"/>
    </row>
    <row r="81" spans="1:26" s="12" customFormat="1" x14ac:dyDescent="0.25">
      <c r="A81" s="211" t="s">
        <v>1278</v>
      </c>
      <c r="B81" s="64">
        <v>61.98</v>
      </c>
      <c r="C81" s="64">
        <v>128.19</v>
      </c>
      <c r="D81" s="64">
        <v>121.1</v>
      </c>
      <c r="E81" s="64">
        <v>12.36</v>
      </c>
      <c r="F81" s="64">
        <v>10.54</v>
      </c>
      <c r="G81" s="64">
        <v>77.81</v>
      </c>
      <c r="H81" s="64">
        <v>18.07</v>
      </c>
      <c r="I81" s="64">
        <v>0.55000000000000004</v>
      </c>
      <c r="J81" s="64">
        <v>0.18</v>
      </c>
      <c r="K81" s="64">
        <v>262.95</v>
      </c>
      <c r="L81" s="64">
        <v>31.99</v>
      </c>
      <c r="M81" s="64">
        <v>17.760000000000002</v>
      </c>
      <c r="N81" s="64">
        <v>19.100000000000001</v>
      </c>
      <c r="O81" s="64">
        <v>0</v>
      </c>
      <c r="P81" s="64">
        <v>1.64</v>
      </c>
      <c r="Q81" s="64">
        <v>11.89</v>
      </c>
      <c r="R81" s="198"/>
      <c r="S81" s="198"/>
      <c r="T81" s="198"/>
      <c r="U81" s="198"/>
    </row>
    <row r="82" spans="1:26" s="12" customFormat="1" x14ac:dyDescent="0.25">
      <c r="A82" s="211" t="s">
        <v>1279</v>
      </c>
      <c r="B82" s="64">
        <v>17.79</v>
      </c>
      <c r="C82" s="64">
        <v>111.9</v>
      </c>
      <c r="D82" s="64">
        <v>76.67</v>
      </c>
      <c r="E82" s="64">
        <v>13.16</v>
      </c>
      <c r="F82" s="64">
        <v>16.39</v>
      </c>
      <c r="G82" s="64">
        <v>94.63</v>
      </c>
      <c r="H82" s="64">
        <v>18.07</v>
      </c>
      <c r="I82" s="64">
        <v>0.61</v>
      </c>
      <c r="J82" s="64">
        <v>0.14000000000000001</v>
      </c>
      <c r="K82" s="64">
        <v>264.95</v>
      </c>
      <c r="L82" s="64">
        <v>31.04</v>
      </c>
      <c r="M82" s="64">
        <v>15.69</v>
      </c>
      <c r="N82" s="64">
        <v>10.1</v>
      </c>
      <c r="O82" s="64">
        <v>0</v>
      </c>
      <c r="P82" s="64">
        <v>1.3</v>
      </c>
      <c r="Q82" s="64">
        <v>18.3</v>
      </c>
      <c r="R82" s="198"/>
      <c r="S82" s="198"/>
      <c r="T82" s="198"/>
      <c r="U82" s="198"/>
    </row>
    <row r="83" spans="1:26" s="12" customFormat="1" x14ac:dyDescent="0.25">
      <c r="A83" s="211" t="s">
        <v>1280</v>
      </c>
      <c r="B83" s="64">
        <v>93.18</v>
      </c>
      <c r="C83" s="64">
        <v>112.64</v>
      </c>
      <c r="D83" s="64">
        <v>137.54</v>
      </c>
      <c r="E83" s="64">
        <v>9.9499999999999993</v>
      </c>
      <c r="F83" s="64">
        <v>4.5199999999999996</v>
      </c>
      <c r="G83" s="64">
        <v>94.63</v>
      </c>
      <c r="H83" s="64">
        <v>18.07</v>
      </c>
      <c r="I83" s="64">
        <v>0.8</v>
      </c>
      <c r="J83" s="64">
        <v>0.14000000000000001</v>
      </c>
      <c r="K83" s="64">
        <v>267.45</v>
      </c>
      <c r="L83" s="64">
        <v>30.27</v>
      </c>
      <c r="M83" s="64">
        <v>21.5</v>
      </c>
      <c r="N83" s="64">
        <v>7</v>
      </c>
      <c r="O83" s="64">
        <v>0</v>
      </c>
      <c r="P83" s="64">
        <v>2.33</v>
      </c>
      <c r="Q83" s="64">
        <v>12.48</v>
      </c>
      <c r="R83" s="198"/>
      <c r="S83" s="198"/>
      <c r="T83" s="198"/>
      <c r="U83" s="198"/>
    </row>
    <row r="84" spans="1:26" s="12" customFormat="1" x14ac:dyDescent="0.25">
      <c r="A84" s="211" t="s">
        <v>1281</v>
      </c>
      <c r="B84" s="64">
        <v>86.51</v>
      </c>
      <c r="C84" s="64">
        <v>109.54</v>
      </c>
      <c r="D84" s="64">
        <v>130.47</v>
      </c>
      <c r="E84" s="64">
        <v>8.75</v>
      </c>
      <c r="F84" s="64">
        <v>3.8</v>
      </c>
      <c r="G84" s="64">
        <v>94.63</v>
      </c>
      <c r="H84" s="64">
        <v>18.07</v>
      </c>
      <c r="I84" s="64">
        <v>0.78</v>
      </c>
      <c r="J84" s="64">
        <v>0.04</v>
      </c>
      <c r="K84" s="64">
        <v>56.78</v>
      </c>
      <c r="L84" s="64">
        <v>29.23</v>
      </c>
      <c r="M84" s="64">
        <v>26.95</v>
      </c>
      <c r="N84" s="64">
        <v>6.6</v>
      </c>
      <c r="O84" s="64">
        <v>0</v>
      </c>
      <c r="P84" s="64">
        <v>2.5299999999999998</v>
      </c>
      <c r="Q84" s="64">
        <v>13.89</v>
      </c>
      <c r="R84" s="198"/>
      <c r="S84" s="198"/>
      <c r="T84" s="198"/>
      <c r="U84" s="198"/>
    </row>
    <row r="85" spans="1:26" s="12" customFormat="1" x14ac:dyDescent="0.25">
      <c r="A85" s="211" t="s">
        <v>1282</v>
      </c>
      <c r="B85" s="64">
        <v>85.54</v>
      </c>
      <c r="C85" s="64">
        <v>104.55</v>
      </c>
      <c r="D85" s="64">
        <v>126.94</v>
      </c>
      <c r="E85" s="64">
        <v>8.99</v>
      </c>
      <c r="F85" s="64">
        <v>3.56</v>
      </c>
      <c r="G85" s="64">
        <v>115.23</v>
      </c>
      <c r="H85" s="64">
        <v>27.01</v>
      </c>
      <c r="I85" s="64">
        <v>0.96</v>
      </c>
      <c r="J85" s="64">
        <v>0.06</v>
      </c>
      <c r="K85" s="64">
        <v>60.39</v>
      </c>
      <c r="L85" s="64">
        <v>28.43</v>
      </c>
      <c r="M85" s="64">
        <v>25.73</v>
      </c>
      <c r="N85" s="64">
        <v>6.3</v>
      </c>
      <c r="O85" s="64">
        <v>0</v>
      </c>
      <c r="P85" s="64">
        <v>1.47</v>
      </c>
      <c r="Q85" s="64">
        <v>19.059999999999999</v>
      </c>
      <c r="R85" s="198"/>
      <c r="S85" s="198"/>
      <c r="T85" s="198"/>
      <c r="U85" s="198"/>
    </row>
    <row r="86" spans="1:26" s="12" customFormat="1" x14ac:dyDescent="0.25">
      <c r="A86" s="211" t="s">
        <v>1283</v>
      </c>
      <c r="B86" s="64">
        <v>82.05</v>
      </c>
      <c r="C86" s="64">
        <v>106.28</v>
      </c>
      <c r="D86" s="64">
        <v>125.1</v>
      </c>
      <c r="E86" s="64">
        <v>8.7799999999999994</v>
      </c>
      <c r="F86" s="64">
        <v>3.84</v>
      </c>
      <c r="G86" s="64">
        <v>119.69</v>
      </c>
      <c r="H86" s="64">
        <v>27.01</v>
      </c>
      <c r="I86" s="64">
        <v>1.1100000000000001</v>
      </c>
      <c r="J86" s="64">
        <v>0.09</v>
      </c>
      <c r="K86" s="64">
        <v>100.57</v>
      </c>
      <c r="L86" s="64">
        <v>28.19</v>
      </c>
      <c r="M86" s="64">
        <v>29.7</v>
      </c>
      <c r="N86" s="64">
        <v>5.8</v>
      </c>
      <c r="O86" s="64">
        <v>0</v>
      </c>
      <c r="P86" s="64">
        <v>1.43</v>
      </c>
      <c r="Q86" s="64">
        <v>19.149999999999999</v>
      </c>
      <c r="R86" s="198"/>
      <c r="S86" s="198"/>
      <c r="T86" s="198"/>
      <c r="U86" s="198"/>
    </row>
    <row r="87" spans="1:26" s="12" customFormat="1" x14ac:dyDescent="0.25">
      <c r="A87" s="211" t="s">
        <v>1284</v>
      </c>
      <c r="B87" s="64">
        <v>64.95</v>
      </c>
      <c r="C87" s="64">
        <v>98.07</v>
      </c>
      <c r="D87" s="64">
        <v>106.85</v>
      </c>
      <c r="E87" s="64">
        <v>8.1999999999999993</v>
      </c>
      <c r="F87" s="64">
        <v>4.05</v>
      </c>
      <c r="G87" s="64">
        <v>119.69</v>
      </c>
      <c r="H87" s="64">
        <v>27.01</v>
      </c>
      <c r="I87" s="64">
        <v>1.02</v>
      </c>
      <c r="J87" s="64">
        <v>0.04</v>
      </c>
      <c r="K87" s="64">
        <v>196.18</v>
      </c>
      <c r="L87" s="64">
        <v>27.97</v>
      </c>
      <c r="M87" s="64">
        <v>32.56</v>
      </c>
      <c r="N87" s="64">
        <v>5.7</v>
      </c>
      <c r="O87" s="64">
        <v>0</v>
      </c>
      <c r="P87" s="64">
        <v>1.5</v>
      </c>
      <c r="Q87" s="64">
        <v>22.2</v>
      </c>
      <c r="R87" s="198"/>
      <c r="S87" s="198"/>
      <c r="T87" s="198"/>
      <c r="U87" s="198"/>
    </row>
    <row r="88" spans="1:26" s="12" customFormat="1" x14ac:dyDescent="0.25">
      <c r="A88" s="211" t="s">
        <v>1285</v>
      </c>
      <c r="B88" s="64">
        <v>91.45</v>
      </c>
      <c r="C88" s="64">
        <v>106.75</v>
      </c>
      <c r="D88" s="64">
        <v>132.88999999999999</v>
      </c>
      <c r="E88" s="64">
        <v>5.6</v>
      </c>
      <c r="F88" s="64">
        <v>3.49</v>
      </c>
      <c r="G88" s="64">
        <v>119.69</v>
      </c>
      <c r="H88" s="64">
        <v>27.01</v>
      </c>
      <c r="I88" s="64">
        <v>0.9</v>
      </c>
      <c r="J88" s="64">
        <v>0.04</v>
      </c>
      <c r="K88" s="64">
        <v>112.24</v>
      </c>
      <c r="L88" s="64">
        <v>27.72</v>
      </c>
      <c r="M88" s="64">
        <v>36.32</v>
      </c>
      <c r="N88" s="64">
        <v>5.7</v>
      </c>
      <c r="O88" s="64">
        <v>0</v>
      </c>
      <c r="P88" s="64">
        <v>1.76</v>
      </c>
      <c r="Q88" s="64">
        <v>20.7</v>
      </c>
      <c r="R88" s="198"/>
      <c r="S88" s="198"/>
      <c r="T88" s="198"/>
      <c r="U88" s="198"/>
    </row>
    <row r="89" spans="1:26" s="12" customFormat="1" x14ac:dyDescent="0.25">
      <c r="A89" s="211" t="s">
        <v>1286</v>
      </c>
      <c r="B89" s="64">
        <v>42.57</v>
      </c>
      <c r="C89" s="64">
        <v>95.98</v>
      </c>
      <c r="D89" s="64">
        <v>87.75</v>
      </c>
      <c r="E89" s="64">
        <v>7.88</v>
      </c>
      <c r="F89" s="64">
        <v>3.77</v>
      </c>
      <c r="G89" s="214" t="s">
        <v>42</v>
      </c>
      <c r="H89" s="214" t="s">
        <v>42</v>
      </c>
      <c r="I89" s="64">
        <v>0.88</v>
      </c>
      <c r="J89" s="64">
        <v>0.01</v>
      </c>
      <c r="K89" s="64">
        <v>203.38</v>
      </c>
      <c r="L89" s="64">
        <v>27.82</v>
      </c>
      <c r="M89" s="64">
        <v>39.880000000000003</v>
      </c>
      <c r="N89" s="64">
        <v>5.4</v>
      </c>
      <c r="O89" s="64">
        <v>0</v>
      </c>
      <c r="P89" s="64">
        <v>2.02</v>
      </c>
      <c r="Q89" s="64">
        <v>24.5</v>
      </c>
      <c r="R89" s="198"/>
      <c r="S89" s="198"/>
      <c r="T89" s="198"/>
      <c r="U89" s="198"/>
    </row>
    <row r="90" spans="1:26" s="12" customFormat="1" x14ac:dyDescent="0.25">
      <c r="A90" s="211" t="s">
        <v>1287</v>
      </c>
      <c r="B90" s="64">
        <v>100.78</v>
      </c>
      <c r="C90" s="64">
        <v>120.13</v>
      </c>
      <c r="D90" s="64">
        <v>147.76</v>
      </c>
      <c r="E90" s="64">
        <v>9.48</v>
      </c>
      <c r="F90" s="64">
        <v>3.82</v>
      </c>
      <c r="G90" s="214" t="s">
        <v>42</v>
      </c>
      <c r="H90" s="214" t="s">
        <v>42</v>
      </c>
      <c r="I90" s="64">
        <v>1.01</v>
      </c>
      <c r="J90" s="64">
        <v>0.06</v>
      </c>
      <c r="K90" s="64">
        <v>309.88</v>
      </c>
      <c r="L90" s="64">
        <v>27.52</v>
      </c>
      <c r="M90" s="64">
        <v>39.06</v>
      </c>
      <c r="N90" s="64">
        <v>5.7</v>
      </c>
      <c r="O90" s="64">
        <v>0</v>
      </c>
      <c r="P90" s="64">
        <v>3.5</v>
      </c>
      <c r="Q90" s="64">
        <v>20.99</v>
      </c>
      <c r="R90" s="198"/>
      <c r="S90" s="198"/>
      <c r="T90" s="198"/>
      <c r="U90" s="198"/>
    </row>
    <row r="91" spans="1:26" s="12" customFormat="1" x14ac:dyDescent="0.25">
      <c r="A91" s="211" t="s">
        <v>1288</v>
      </c>
      <c r="B91" s="64">
        <v>164.6</v>
      </c>
      <c r="C91" s="64">
        <v>122.36</v>
      </c>
      <c r="D91" s="64">
        <v>200.17</v>
      </c>
      <c r="E91" s="64">
        <v>9.8800000000000008</v>
      </c>
      <c r="F91" s="64">
        <v>3.84</v>
      </c>
      <c r="G91" s="214" t="s">
        <v>42</v>
      </c>
      <c r="H91" s="214" t="s">
        <v>42</v>
      </c>
      <c r="I91" s="64">
        <v>1.1299999999999999</v>
      </c>
      <c r="J91" s="64">
        <v>0.11</v>
      </c>
      <c r="K91" s="64">
        <v>277.98</v>
      </c>
      <c r="L91" s="64">
        <v>27.2</v>
      </c>
      <c r="M91" s="64">
        <v>36.94</v>
      </c>
      <c r="N91" s="64">
        <v>5.8</v>
      </c>
      <c r="O91" s="64">
        <v>0</v>
      </c>
      <c r="P91" s="64">
        <v>3.95</v>
      </c>
      <c r="Q91" s="64">
        <v>15.58</v>
      </c>
      <c r="R91" s="198"/>
      <c r="S91" s="198"/>
      <c r="T91" s="198"/>
      <c r="U91" s="198"/>
    </row>
    <row r="92" spans="1:26" s="12" customFormat="1" x14ac:dyDescent="0.25">
      <c r="A92" s="211" t="s">
        <v>1289</v>
      </c>
      <c r="B92" s="64">
        <v>224.7</v>
      </c>
      <c r="C92" s="64">
        <v>127.27</v>
      </c>
      <c r="D92" s="64">
        <v>251.08</v>
      </c>
      <c r="E92" s="64">
        <v>10.199999999999999</v>
      </c>
      <c r="F92" s="64">
        <v>3.99</v>
      </c>
      <c r="G92" s="214" t="s">
        <v>42</v>
      </c>
      <c r="H92" s="214" t="s">
        <v>42</v>
      </c>
      <c r="I92" s="64">
        <v>1.4</v>
      </c>
      <c r="J92" s="64">
        <v>0.09</v>
      </c>
      <c r="K92" s="64">
        <v>289.73</v>
      </c>
      <c r="L92" s="64">
        <v>26.53</v>
      </c>
      <c r="M92" s="64">
        <v>37.590000000000003</v>
      </c>
      <c r="N92" s="64">
        <v>5.9</v>
      </c>
      <c r="O92" s="64">
        <v>0</v>
      </c>
      <c r="P92" s="64">
        <v>5.23</v>
      </c>
      <c r="Q92" s="64">
        <v>9.3800000000000008</v>
      </c>
      <c r="R92" s="198"/>
      <c r="S92" s="198"/>
      <c r="T92" s="198"/>
      <c r="U92" s="198"/>
    </row>
    <row r="93" spans="1:26" s="12" customFormat="1" x14ac:dyDescent="0.25">
      <c r="A93" s="211" t="s">
        <v>1290</v>
      </c>
      <c r="B93" s="64">
        <v>207.37</v>
      </c>
      <c r="C93" s="64">
        <v>129.93</v>
      </c>
      <c r="D93" s="64">
        <v>238.64</v>
      </c>
      <c r="E93" s="64">
        <v>10.81</v>
      </c>
      <c r="F93" s="64">
        <v>4</v>
      </c>
      <c r="G93" s="214" t="s">
        <v>42</v>
      </c>
      <c r="H93" s="214" t="s">
        <v>42</v>
      </c>
      <c r="I93" s="64">
        <v>1.48</v>
      </c>
      <c r="J93" s="64">
        <v>0.12</v>
      </c>
      <c r="K93" s="64">
        <v>281.13</v>
      </c>
      <c r="L93" s="64">
        <v>26.38</v>
      </c>
      <c r="M93" s="64">
        <v>36.54</v>
      </c>
      <c r="N93" s="64">
        <v>5.7</v>
      </c>
      <c r="O93" s="64">
        <v>0</v>
      </c>
      <c r="P93" s="64">
        <v>5.35</v>
      </c>
      <c r="Q93" s="64">
        <v>12.11</v>
      </c>
      <c r="R93" s="198"/>
      <c r="S93" s="198"/>
      <c r="T93" s="198"/>
      <c r="U93" s="198"/>
    </row>
    <row r="94" spans="1:26" s="12" customFormat="1" x14ac:dyDescent="0.25">
      <c r="A94" s="211" t="s">
        <v>1291</v>
      </c>
      <c r="B94" s="64">
        <v>163.22999999999999</v>
      </c>
      <c r="C94" s="64">
        <v>106.43</v>
      </c>
      <c r="D94" s="64">
        <v>190.29</v>
      </c>
      <c r="E94" s="64">
        <v>9.9</v>
      </c>
      <c r="F94" s="64">
        <v>3.66</v>
      </c>
      <c r="G94" s="214" t="s">
        <v>42</v>
      </c>
      <c r="H94" s="214" t="s">
        <v>42</v>
      </c>
      <c r="I94" s="64">
        <v>1.75</v>
      </c>
      <c r="J94" s="64">
        <v>0.13</v>
      </c>
      <c r="K94" s="64">
        <v>282.52</v>
      </c>
      <c r="L94" s="64">
        <v>26.19</v>
      </c>
      <c r="M94" s="64">
        <v>40.340000000000003</v>
      </c>
      <c r="N94" s="64">
        <v>5.8</v>
      </c>
      <c r="O94" s="64">
        <v>0</v>
      </c>
      <c r="P94" s="64">
        <v>3.87</v>
      </c>
      <c r="Q94" s="64">
        <v>18.32</v>
      </c>
      <c r="R94" s="198"/>
      <c r="S94" s="198"/>
      <c r="T94" s="198"/>
      <c r="U94" s="198"/>
    </row>
    <row r="95" spans="1:26" s="12" customFormat="1" x14ac:dyDescent="0.25">
      <c r="A95" s="211" t="s">
        <v>1292</v>
      </c>
      <c r="B95" s="64">
        <v>132.37</v>
      </c>
      <c r="C95" s="64">
        <v>75.98</v>
      </c>
      <c r="D95" s="64">
        <v>148.72</v>
      </c>
      <c r="E95" s="64">
        <v>8.1199999999999992</v>
      </c>
      <c r="F95" s="64">
        <v>3.43</v>
      </c>
      <c r="G95" s="214" t="s">
        <v>42</v>
      </c>
      <c r="H95" s="214" t="s">
        <v>42</v>
      </c>
      <c r="I95" s="64">
        <v>1.84</v>
      </c>
      <c r="J95" s="64">
        <v>0.12</v>
      </c>
      <c r="K95" s="64">
        <v>10.54</v>
      </c>
      <c r="L95" s="64">
        <v>25.76</v>
      </c>
      <c r="M95" s="64">
        <v>41.32</v>
      </c>
      <c r="N95" s="64">
        <v>5.6</v>
      </c>
      <c r="O95" s="64">
        <v>0</v>
      </c>
      <c r="P95" s="64">
        <v>3.7</v>
      </c>
      <c r="Q95" s="64">
        <v>26.53</v>
      </c>
      <c r="R95" s="198"/>
      <c r="S95" s="198"/>
      <c r="T95" s="198"/>
      <c r="U95" s="198"/>
    </row>
    <row r="96" spans="1:26" s="12" customFormat="1" x14ac:dyDescent="0.25">
      <c r="A96" s="211" t="s">
        <v>1293</v>
      </c>
      <c r="B96" s="64">
        <v>117.31</v>
      </c>
      <c r="C96" s="64">
        <v>96.51</v>
      </c>
      <c r="D96" s="64">
        <v>147.97999999999999</v>
      </c>
      <c r="E96" s="64">
        <v>8.35</v>
      </c>
      <c r="F96" s="64">
        <v>3.42</v>
      </c>
      <c r="G96" s="214" t="s">
        <v>42</v>
      </c>
      <c r="H96" s="214" t="s">
        <v>42</v>
      </c>
      <c r="I96" s="64">
        <v>1.63</v>
      </c>
      <c r="J96" s="64">
        <v>0.05</v>
      </c>
      <c r="K96" s="64">
        <v>56.17</v>
      </c>
      <c r="L96" s="64">
        <v>26.54</v>
      </c>
      <c r="M96" s="64">
        <v>34.17</v>
      </c>
      <c r="N96" s="64">
        <v>5.4</v>
      </c>
      <c r="O96" s="64">
        <v>0</v>
      </c>
      <c r="P96" s="64">
        <v>3.82</v>
      </c>
      <c r="Q96" s="64">
        <v>26.41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1294</v>
      </c>
      <c r="B97" s="64">
        <v>154.69999999999999</v>
      </c>
      <c r="C97" s="64">
        <v>99.51</v>
      </c>
      <c r="D97" s="64">
        <v>179.62</v>
      </c>
      <c r="E97" s="64">
        <v>8.27</v>
      </c>
      <c r="F97" s="64">
        <v>3.19</v>
      </c>
      <c r="G97" s="214" t="s">
        <v>42</v>
      </c>
      <c r="H97" s="214" t="s">
        <v>42</v>
      </c>
      <c r="I97" s="64">
        <v>1.48</v>
      </c>
      <c r="J97" s="64">
        <v>0.13</v>
      </c>
      <c r="K97" s="64">
        <v>265.66000000000003</v>
      </c>
      <c r="L97" s="64">
        <v>26.12</v>
      </c>
      <c r="M97" s="64">
        <v>34.96</v>
      </c>
      <c r="N97" s="64">
        <v>5.6</v>
      </c>
      <c r="O97" s="64">
        <v>0</v>
      </c>
      <c r="P97" s="64">
        <v>4</v>
      </c>
      <c r="Q97" s="64">
        <v>25.48</v>
      </c>
      <c r="R97" s="198"/>
      <c r="S97" s="198"/>
      <c r="T97" s="198"/>
      <c r="U97" s="198"/>
    </row>
    <row r="98" spans="1:33" s="12" customFormat="1" x14ac:dyDescent="0.25">
      <c r="A98" s="211" t="s">
        <v>1295</v>
      </c>
      <c r="B98" s="64">
        <v>128.41</v>
      </c>
      <c r="C98" s="64">
        <v>77.83</v>
      </c>
      <c r="D98" s="64">
        <v>146.57</v>
      </c>
      <c r="E98" s="64">
        <v>7.98</v>
      </c>
      <c r="F98" s="64">
        <v>3.34</v>
      </c>
      <c r="G98" s="214" t="s">
        <v>42</v>
      </c>
      <c r="H98" s="214" t="s">
        <v>42</v>
      </c>
      <c r="I98" s="64">
        <v>1.65</v>
      </c>
      <c r="J98" s="64">
        <v>0.17</v>
      </c>
      <c r="K98" s="64">
        <v>265.33</v>
      </c>
      <c r="L98" s="64">
        <v>26.04</v>
      </c>
      <c r="M98" s="64">
        <v>40.61</v>
      </c>
      <c r="N98" s="64">
        <v>5.8</v>
      </c>
      <c r="O98" s="64">
        <v>0</v>
      </c>
      <c r="P98" s="64">
        <v>3.61</v>
      </c>
      <c r="Q98" s="64">
        <v>31.04</v>
      </c>
      <c r="R98" s="198"/>
      <c r="S98" s="198"/>
      <c r="T98" s="198"/>
      <c r="U98" s="198"/>
    </row>
    <row r="99" spans="1:33" s="12" customFormat="1" x14ac:dyDescent="0.25">
      <c r="A99" s="211" t="s">
        <v>1296</v>
      </c>
      <c r="B99" s="64">
        <v>123.66</v>
      </c>
      <c r="C99" s="64">
        <v>69.03</v>
      </c>
      <c r="D99" s="64">
        <v>137.91</v>
      </c>
      <c r="E99" s="64">
        <v>7.26</v>
      </c>
      <c r="F99" s="64">
        <v>3.16</v>
      </c>
      <c r="G99" s="214" t="s">
        <v>42</v>
      </c>
      <c r="H99" s="214" t="s">
        <v>42</v>
      </c>
      <c r="I99" s="64">
        <v>1.6</v>
      </c>
      <c r="J99" s="64">
        <v>0.06</v>
      </c>
      <c r="K99" s="64">
        <v>260.95999999999998</v>
      </c>
      <c r="L99" s="64">
        <v>25.35</v>
      </c>
      <c r="M99" s="64">
        <v>41.56</v>
      </c>
      <c r="N99" s="64">
        <v>5.5</v>
      </c>
      <c r="O99" s="64">
        <v>0</v>
      </c>
      <c r="P99" s="64">
        <v>3.5</v>
      </c>
      <c r="Q99" s="64">
        <v>31.08</v>
      </c>
      <c r="R99" s="198"/>
      <c r="S99" s="198"/>
      <c r="T99" s="198"/>
      <c r="U99" s="198"/>
    </row>
    <row r="100" spans="1:33" s="12" customFormat="1" x14ac:dyDescent="0.25">
      <c r="A100" s="211" t="s">
        <v>1297</v>
      </c>
      <c r="B100" s="64">
        <v>114.97</v>
      </c>
      <c r="C100" s="64">
        <v>70.55</v>
      </c>
      <c r="D100" s="64">
        <v>131.78</v>
      </c>
      <c r="E100" s="64">
        <v>7.19</v>
      </c>
      <c r="F100" s="64">
        <v>3.1</v>
      </c>
      <c r="G100" s="214" t="s">
        <v>42</v>
      </c>
      <c r="H100" s="214" t="s">
        <v>42</v>
      </c>
      <c r="I100" s="64">
        <v>1.51</v>
      </c>
      <c r="J100" s="64">
        <v>0.02</v>
      </c>
      <c r="K100" s="64">
        <v>148.5</v>
      </c>
      <c r="L100" s="64">
        <v>25.69</v>
      </c>
      <c r="M100" s="64">
        <v>36.590000000000003</v>
      </c>
      <c r="N100" s="64">
        <v>5.2</v>
      </c>
      <c r="O100" s="64">
        <v>0</v>
      </c>
      <c r="P100" s="64">
        <v>3.23</v>
      </c>
      <c r="Q100" s="64">
        <v>33.29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1298</v>
      </c>
      <c r="B101" s="64">
        <v>100.01</v>
      </c>
      <c r="C101" s="64">
        <v>79.930000000000007</v>
      </c>
      <c r="D101" s="64">
        <v>124.96</v>
      </c>
      <c r="E101" s="64">
        <v>8.89</v>
      </c>
      <c r="F101" s="64">
        <v>3.31</v>
      </c>
      <c r="G101" s="214" t="s">
        <v>42</v>
      </c>
      <c r="H101" s="214" t="s">
        <v>42</v>
      </c>
      <c r="I101" s="64">
        <v>1.49</v>
      </c>
      <c r="J101" s="64">
        <v>0.12</v>
      </c>
      <c r="K101" s="64">
        <v>254.51</v>
      </c>
      <c r="L101" s="64">
        <v>25.34</v>
      </c>
      <c r="M101" s="64">
        <v>38.17</v>
      </c>
      <c r="N101" s="64">
        <v>5.8</v>
      </c>
      <c r="O101" s="64">
        <v>0</v>
      </c>
      <c r="P101" s="64">
        <v>3.02</v>
      </c>
      <c r="Q101" s="64">
        <v>33.44</v>
      </c>
      <c r="R101" s="198"/>
      <c r="S101" s="198"/>
      <c r="T101" s="198"/>
      <c r="U101" s="198"/>
    </row>
    <row r="102" spans="1:33" s="12" customFormat="1" x14ac:dyDescent="0.25">
      <c r="A102" s="211" t="s">
        <v>1299</v>
      </c>
      <c r="B102" s="64">
        <v>122.72</v>
      </c>
      <c r="C102" s="64">
        <v>85.84</v>
      </c>
      <c r="D102" s="64">
        <v>146.43</v>
      </c>
      <c r="E102" s="64">
        <v>10.63</v>
      </c>
      <c r="F102" s="64">
        <v>3.55</v>
      </c>
      <c r="G102" s="214" t="s">
        <v>42</v>
      </c>
      <c r="H102" s="214" t="s">
        <v>42</v>
      </c>
      <c r="I102" s="64">
        <v>1.39</v>
      </c>
      <c r="J102" s="64">
        <v>0.18</v>
      </c>
      <c r="K102" s="64">
        <v>272.2</v>
      </c>
      <c r="L102" s="64">
        <v>24.68</v>
      </c>
      <c r="M102" s="64">
        <v>45.18</v>
      </c>
      <c r="N102" s="64">
        <v>6</v>
      </c>
      <c r="O102" s="64">
        <v>0</v>
      </c>
      <c r="P102" s="64">
        <v>3.33</v>
      </c>
      <c r="Q102" s="64">
        <v>33.1</v>
      </c>
      <c r="R102" s="198"/>
      <c r="S102" s="198"/>
      <c r="T102" s="198"/>
      <c r="U102" s="198"/>
    </row>
    <row r="103" spans="1:33" s="12" customFormat="1" x14ac:dyDescent="0.25">
      <c r="A103" s="211" t="s">
        <v>1300</v>
      </c>
      <c r="B103" s="64">
        <v>119.57</v>
      </c>
      <c r="C103" s="64">
        <v>88.1</v>
      </c>
      <c r="D103" s="64">
        <v>145.15</v>
      </c>
      <c r="E103" s="64">
        <v>12.48</v>
      </c>
      <c r="F103" s="64">
        <v>3.67</v>
      </c>
      <c r="G103" s="214" t="s">
        <v>42</v>
      </c>
      <c r="H103" s="214" t="s">
        <v>42</v>
      </c>
      <c r="I103" s="64">
        <v>1.36</v>
      </c>
      <c r="J103" s="64">
        <v>0.1</v>
      </c>
      <c r="K103" s="64">
        <v>237.57</v>
      </c>
      <c r="L103" s="64">
        <v>24.47</v>
      </c>
      <c r="M103" s="64">
        <v>38.24</v>
      </c>
      <c r="N103" s="64">
        <v>5.6</v>
      </c>
      <c r="O103" s="64">
        <v>0</v>
      </c>
      <c r="P103" s="64">
        <v>2.94</v>
      </c>
      <c r="Q103" s="64">
        <v>28.98</v>
      </c>
      <c r="R103" s="198"/>
      <c r="S103" s="198"/>
      <c r="T103" s="198"/>
      <c r="U103" s="198"/>
    </row>
    <row r="104" spans="1:33" s="12" customFormat="1" x14ac:dyDescent="0.25">
      <c r="A104" s="211" t="s">
        <v>1301</v>
      </c>
      <c r="B104" s="64">
        <v>131.74</v>
      </c>
      <c r="C104" s="64">
        <v>82.94</v>
      </c>
      <c r="D104" s="64">
        <v>152.07</v>
      </c>
      <c r="E104" s="64">
        <v>9.57</v>
      </c>
      <c r="F104" s="64">
        <v>3.67</v>
      </c>
      <c r="G104" s="214" t="s">
        <v>42</v>
      </c>
      <c r="H104" s="214" t="s">
        <v>42</v>
      </c>
      <c r="I104" s="64">
        <v>1.49</v>
      </c>
      <c r="J104" s="64">
        <v>0.04</v>
      </c>
      <c r="K104" s="64">
        <v>126.96</v>
      </c>
      <c r="L104" s="64">
        <v>24.51</v>
      </c>
      <c r="M104" s="64">
        <v>39.28</v>
      </c>
      <c r="N104" s="64">
        <v>5.7</v>
      </c>
      <c r="O104" s="64">
        <v>0</v>
      </c>
      <c r="P104" s="64">
        <v>2.76</v>
      </c>
      <c r="Q104" s="64">
        <v>30.86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1.73</v>
      </c>
      <c r="C106" s="67">
        <f>MIN(C9:C104)</f>
        <v>24.28</v>
      </c>
      <c r="D106" s="67">
        <f t="shared" ref="D106:Q106" si="0">MIN(D9:D104)</f>
        <v>18.23</v>
      </c>
      <c r="E106" s="67">
        <f t="shared" si="0"/>
        <v>3.73</v>
      </c>
      <c r="F106" s="67">
        <f t="shared" si="0"/>
        <v>2.88</v>
      </c>
      <c r="G106" s="67">
        <f t="shared" si="0"/>
        <v>32.729999999999997</v>
      </c>
      <c r="H106" s="67">
        <f t="shared" si="0"/>
        <v>18.07</v>
      </c>
      <c r="I106" s="67">
        <f t="shared" si="0"/>
        <v>0.54</v>
      </c>
      <c r="J106" s="67">
        <f t="shared" si="0"/>
        <v>0.01</v>
      </c>
      <c r="K106" s="67">
        <f t="shared" si="0"/>
        <v>10.54</v>
      </c>
      <c r="L106" s="67">
        <f t="shared" si="0"/>
        <v>22.56</v>
      </c>
      <c r="M106" s="67">
        <f t="shared" si="0"/>
        <v>5.8</v>
      </c>
      <c r="N106" s="67">
        <f t="shared" si="0"/>
        <v>3.6</v>
      </c>
      <c r="O106" s="67">
        <f t="shared" si="0"/>
        <v>0</v>
      </c>
      <c r="P106" s="67">
        <f t="shared" si="0"/>
        <v>0.41</v>
      </c>
      <c r="Q106" s="67">
        <f t="shared" si="0"/>
        <v>9.3800000000000008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224.7</v>
      </c>
      <c r="C107" s="66">
        <f t="shared" ref="C107:Q107" si="1">MAX(C9:C104)</f>
        <v>129.93</v>
      </c>
      <c r="D107" s="66">
        <f t="shared" si="1"/>
        <v>251.08</v>
      </c>
      <c r="E107" s="66">
        <f t="shared" si="1"/>
        <v>64.83</v>
      </c>
      <c r="F107" s="66">
        <f t="shared" si="1"/>
        <v>71.52</v>
      </c>
      <c r="G107" s="66">
        <f t="shared" si="1"/>
        <v>299.77999999999997</v>
      </c>
      <c r="H107" s="66">
        <f t="shared" si="1"/>
        <v>68.400000000000006</v>
      </c>
      <c r="I107" s="66">
        <f t="shared" si="1"/>
        <v>1.84</v>
      </c>
      <c r="J107" s="66">
        <f t="shared" si="1"/>
        <v>2.21</v>
      </c>
      <c r="K107" s="66">
        <f t="shared" si="1"/>
        <v>309.88</v>
      </c>
      <c r="L107" s="66">
        <f t="shared" si="1"/>
        <v>39.619999999999997</v>
      </c>
      <c r="M107" s="66">
        <f t="shared" si="1"/>
        <v>71.48</v>
      </c>
      <c r="N107" s="66">
        <f t="shared" si="1"/>
        <v>983</v>
      </c>
      <c r="O107" s="66">
        <f t="shared" si="1"/>
        <v>0</v>
      </c>
      <c r="P107" s="66">
        <f t="shared" si="1"/>
        <v>5.35</v>
      </c>
      <c r="Q107" s="66">
        <f t="shared" si="1"/>
        <v>33.44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43.021249999999988</v>
      </c>
      <c r="C108" s="67">
        <f t="shared" ref="C108:Q108" si="2">AVERAGE(C9:C104)</f>
        <v>55.694375000000015</v>
      </c>
      <c r="D108" s="67">
        <f t="shared" si="2"/>
        <v>65.88239583333332</v>
      </c>
      <c r="E108" s="67">
        <f t="shared" si="2"/>
        <v>11.544895833333333</v>
      </c>
      <c r="F108" s="67">
        <f t="shared" si="2"/>
        <v>13.470104166666664</v>
      </c>
      <c r="G108" s="67">
        <f t="shared" si="2"/>
        <v>118.33403508771927</v>
      </c>
      <c r="H108" s="67">
        <f t="shared" si="2"/>
        <v>45.194912280701772</v>
      </c>
      <c r="I108" s="67">
        <f t="shared" si="2"/>
        <v>0.87645833333333334</v>
      </c>
      <c r="J108" s="67">
        <f t="shared" si="2"/>
        <v>0.4557291666666668</v>
      </c>
      <c r="K108" s="67">
        <f t="shared" si="2"/>
        <v>199.92822916666663</v>
      </c>
      <c r="L108" s="67">
        <f t="shared" si="2"/>
        <v>30.07833333333333</v>
      </c>
      <c r="M108" s="67">
        <f t="shared" si="2"/>
        <v>28.299062500000005</v>
      </c>
      <c r="N108" s="67">
        <f t="shared" si="2"/>
        <v>270.89583333333326</v>
      </c>
      <c r="O108" s="67">
        <f t="shared" si="2"/>
        <v>0</v>
      </c>
      <c r="P108" s="67">
        <f t="shared" si="2"/>
        <v>1.5865625000000003</v>
      </c>
      <c r="Q108" s="67">
        <f t="shared" si="2"/>
        <v>25.333541666666672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50.892628382548793</v>
      </c>
      <c r="C109" s="67">
        <f t="shared" ref="C109:Q109" si="3">STDEV(C9:C104)</f>
        <v>28.942693717158736</v>
      </c>
      <c r="D109" s="67">
        <f t="shared" si="3"/>
        <v>54.600429952901159</v>
      </c>
      <c r="E109" s="67">
        <f t="shared" si="3"/>
        <v>7.841840277409605</v>
      </c>
      <c r="F109" s="67">
        <f t="shared" si="3"/>
        <v>13.896212471089628</v>
      </c>
      <c r="G109" s="67">
        <f t="shared" si="3"/>
        <v>57.10306690098826</v>
      </c>
      <c r="H109" s="67">
        <f t="shared" si="3"/>
        <v>14.910714642594456</v>
      </c>
      <c r="I109" s="67">
        <f t="shared" si="3"/>
        <v>0.29739917943703992</v>
      </c>
      <c r="J109" s="67">
        <f t="shared" si="3"/>
        <v>0.52406657831688908</v>
      </c>
      <c r="K109" s="67">
        <f t="shared" si="3"/>
        <v>85.834780632939513</v>
      </c>
      <c r="L109" s="67">
        <f t="shared" si="3"/>
        <v>5.1262904750987621</v>
      </c>
      <c r="M109" s="67">
        <f t="shared" si="3"/>
        <v>17.382032106876146</v>
      </c>
      <c r="N109" s="67">
        <f t="shared" si="3"/>
        <v>354.79096289347217</v>
      </c>
      <c r="O109" s="67">
        <f t="shared" si="3"/>
        <v>0</v>
      </c>
      <c r="P109" s="67">
        <f t="shared" si="3"/>
        <v>1.0791096018916411</v>
      </c>
      <c r="Q109" s="67">
        <f t="shared" si="3"/>
        <v>4.7127263266419659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COUNT(G9:G104)+39</f>
        <v>96</v>
      </c>
      <c r="H110" s="66">
        <f>COUNT(H9:H104)+39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1302</v>
      </c>
      <c r="B9" s="64">
        <v>105.37</v>
      </c>
      <c r="C9" s="64">
        <v>74.19</v>
      </c>
      <c r="D9" s="64">
        <v>126.09</v>
      </c>
      <c r="E9" s="64">
        <v>11.86</v>
      </c>
      <c r="F9" s="64">
        <v>3.55</v>
      </c>
      <c r="G9" s="64">
        <v>157.58000000000001</v>
      </c>
      <c r="H9" s="64">
        <v>57.06</v>
      </c>
      <c r="I9" s="64">
        <v>1.3</v>
      </c>
      <c r="J9" s="64">
        <v>0.09</v>
      </c>
      <c r="K9" s="64">
        <v>260.88</v>
      </c>
      <c r="L9" s="64">
        <v>23.99</v>
      </c>
      <c r="M9" s="64">
        <v>43.9</v>
      </c>
      <c r="N9" s="64">
        <v>6.1</v>
      </c>
      <c r="O9" s="64">
        <v>0</v>
      </c>
      <c r="P9" s="64">
        <v>2.77</v>
      </c>
      <c r="Q9" s="64">
        <v>32.119999999999997</v>
      </c>
      <c r="R9" s="198"/>
      <c r="S9" s="198"/>
      <c r="T9" s="198"/>
      <c r="U9" s="198"/>
    </row>
    <row r="10" spans="1:21" s="12" customFormat="1" x14ac:dyDescent="0.25">
      <c r="A10" s="211" t="s">
        <v>1303</v>
      </c>
      <c r="B10" s="64">
        <v>115.17</v>
      </c>
      <c r="C10" s="64">
        <v>54.41</v>
      </c>
      <c r="D10" s="64">
        <v>123.03</v>
      </c>
      <c r="E10" s="64">
        <v>9.16</v>
      </c>
      <c r="F10" s="64">
        <v>3.34</v>
      </c>
      <c r="G10" s="64">
        <v>157.58000000000001</v>
      </c>
      <c r="H10" s="64">
        <v>57.16</v>
      </c>
      <c r="I10" s="64">
        <v>1.44</v>
      </c>
      <c r="J10" s="64">
        <v>0.12</v>
      </c>
      <c r="K10" s="64">
        <v>252.71</v>
      </c>
      <c r="L10" s="64">
        <v>23.53</v>
      </c>
      <c r="M10" s="64">
        <v>45.55</v>
      </c>
      <c r="N10" s="64">
        <v>5.8</v>
      </c>
      <c r="O10" s="64">
        <v>0</v>
      </c>
      <c r="P10" s="64">
        <v>2.91</v>
      </c>
      <c r="Q10" s="64">
        <v>33.270000000000003</v>
      </c>
      <c r="R10" s="198"/>
      <c r="S10" s="198"/>
      <c r="T10" s="198"/>
      <c r="U10" s="198"/>
    </row>
    <row r="11" spans="1:21" s="12" customFormat="1" x14ac:dyDescent="0.25">
      <c r="A11" s="211" t="s">
        <v>1304</v>
      </c>
      <c r="B11" s="64">
        <v>112.28</v>
      </c>
      <c r="C11" s="64">
        <v>54.65</v>
      </c>
      <c r="D11" s="64">
        <v>120.84</v>
      </c>
      <c r="E11" s="64">
        <v>7.51</v>
      </c>
      <c r="F11" s="64">
        <v>3.22</v>
      </c>
      <c r="G11" s="64">
        <v>157.58000000000001</v>
      </c>
      <c r="H11" s="64">
        <v>57.16</v>
      </c>
      <c r="I11" s="64">
        <v>1.4</v>
      </c>
      <c r="J11" s="64">
        <v>0.03</v>
      </c>
      <c r="K11" s="64">
        <v>222.14</v>
      </c>
      <c r="L11" s="64">
        <v>23.25</v>
      </c>
      <c r="M11" s="64">
        <v>46.08</v>
      </c>
      <c r="N11" s="64">
        <v>5.8</v>
      </c>
      <c r="O11" s="64">
        <v>0</v>
      </c>
      <c r="P11" s="64">
        <v>2.89</v>
      </c>
      <c r="Q11" s="64">
        <v>34.18</v>
      </c>
      <c r="R11" s="198"/>
      <c r="S11" s="198"/>
      <c r="T11" s="198"/>
      <c r="U11" s="198"/>
    </row>
    <row r="12" spans="1:21" s="12" customFormat="1" x14ac:dyDescent="0.25">
      <c r="A12" s="211" t="s">
        <v>1305</v>
      </c>
      <c r="B12" s="64">
        <v>116.12</v>
      </c>
      <c r="C12" s="64">
        <v>48.12</v>
      </c>
      <c r="D12" s="64">
        <v>120.33</v>
      </c>
      <c r="E12" s="64">
        <v>7</v>
      </c>
      <c r="F12" s="64">
        <v>3.21</v>
      </c>
      <c r="G12" s="64">
        <v>157.58000000000001</v>
      </c>
      <c r="H12" s="64">
        <v>57.16</v>
      </c>
      <c r="I12" s="64">
        <v>1.34</v>
      </c>
      <c r="J12" s="64">
        <v>0.14000000000000001</v>
      </c>
      <c r="K12" s="64">
        <v>259.17</v>
      </c>
      <c r="L12" s="64">
        <v>22.75</v>
      </c>
      <c r="M12" s="64">
        <v>52.54</v>
      </c>
      <c r="N12" s="64">
        <v>5.8</v>
      </c>
      <c r="O12" s="64">
        <v>0</v>
      </c>
      <c r="P12" s="64">
        <v>2.87</v>
      </c>
      <c r="Q12" s="64">
        <v>34.5</v>
      </c>
      <c r="R12" s="198"/>
      <c r="S12" s="198"/>
      <c r="T12" s="198"/>
      <c r="U12" s="198"/>
    </row>
    <row r="13" spans="1:21" s="12" customFormat="1" x14ac:dyDescent="0.25">
      <c r="A13" s="211" t="s">
        <v>1306</v>
      </c>
      <c r="B13" s="64">
        <v>111.54</v>
      </c>
      <c r="C13" s="64">
        <v>51.28</v>
      </c>
      <c r="D13" s="64">
        <v>118.39</v>
      </c>
      <c r="E13" s="64">
        <v>7.14</v>
      </c>
      <c r="F13" s="64">
        <v>3.1</v>
      </c>
      <c r="G13" s="218" t="s">
        <v>36</v>
      </c>
      <c r="H13" s="218" t="s">
        <v>36</v>
      </c>
      <c r="I13" s="64">
        <v>1.34</v>
      </c>
      <c r="J13" s="64">
        <v>0.05</v>
      </c>
      <c r="K13" s="64">
        <v>249.16</v>
      </c>
      <c r="L13" s="64">
        <v>22.72</v>
      </c>
      <c r="M13" s="64">
        <v>50.63</v>
      </c>
      <c r="N13" s="64">
        <v>5.6</v>
      </c>
      <c r="O13" s="64">
        <v>0</v>
      </c>
      <c r="P13" s="64">
        <v>2.4700000000000002</v>
      </c>
      <c r="Q13" s="64">
        <v>34.619999999999997</v>
      </c>
      <c r="R13" s="198"/>
      <c r="S13" s="198"/>
      <c r="T13" s="198"/>
      <c r="U13" s="198"/>
    </row>
    <row r="14" spans="1:21" s="12" customFormat="1" x14ac:dyDescent="0.25">
      <c r="A14" s="211" t="s">
        <v>1307</v>
      </c>
      <c r="B14" s="64">
        <v>114.74</v>
      </c>
      <c r="C14" s="64">
        <v>46.71</v>
      </c>
      <c r="D14" s="64">
        <v>118.44</v>
      </c>
      <c r="E14" s="64">
        <v>6.63</v>
      </c>
      <c r="F14" s="64">
        <v>3.09</v>
      </c>
      <c r="G14" s="218" t="s">
        <v>36</v>
      </c>
      <c r="H14" s="218" t="s">
        <v>36</v>
      </c>
      <c r="I14" s="64">
        <v>1.34</v>
      </c>
      <c r="J14" s="64">
        <v>0.19</v>
      </c>
      <c r="K14" s="64">
        <v>263.49</v>
      </c>
      <c r="L14" s="64">
        <v>22.68</v>
      </c>
      <c r="M14" s="64">
        <v>57.45</v>
      </c>
      <c r="N14" s="64">
        <v>5.5</v>
      </c>
      <c r="O14" s="64">
        <v>0</v>
      </c>
      <c r="P14" s="64">
        <v>2.69</v>
      </c>
      <c r="Q14" s="64">
        <v>34.700000000000003</v>
      </c>
      <c r="R14" s="198"/>
      <c r="S14" s="198"/>
      <c r="T14" s="198"/>
      <c r="U14" s="198"/>
    </row>
    <row r="15" spans="1:21" s="12" customFormat="1" x14ac:dyDescent="0.25">
      <c r="A15" s="211" t="s">
        <v>1308</v>
      </c>
      <c r="B15" s="64">
        <v>109.74</v>
      </c>
      <c r="C15" s="64">
        <v>49.46</v>
      </c>
      <c r="D15" s="64">
        <v>115.94</v>
      </c>
      <c r="E15" s="64">
        <v>6.49</v>
      </c>
      <c r="F15" s="64">
        <v>3.22</v>
      </c>
      <c r="G15" s="218" t="s">
        <v>36</v>
      </c>
      <c r="H15" s="218" t="s">
        <v>36</v>
      </c>
      <c r="I15" s="64">
        <v>1.32</v>
      </c>
      <c r="J15" s="64">
        <v>7.0000000000000007E-2</v>
      </c>
      <c r="K15" s="64">
        <v>235.1</v>
      </c>
      <c r="L15" s="64">
        <v>22.97</v>
      </c>
      <c r="M15" s="64">
        <v>54.46</v>
      </c>
      <c r="N15" s="64">
        <v>4.9000000000000004</v>
      </c>
      <c r="O15" s="64">
        <v>0</v>
      </c>
      <c r="P15" s="64">
        <v>2.5299999999999998</v>
      </c>
      <c r="Q15" s="64">
        <v>34.630000000000003</v>
      </c>
      <c r="R15" s="198"/>
      <c r="S15" s="198"/>
      <c r="T15" s="198"/>
      <c r="U15" s="198"/>
    </row>
    <row r="16" spans="1:21" s="12" customFormat="1" x14ac:dyDescent="0.25">
      <c r="A16" s="211" t="s">
        <v>1309</v>
      </c>
      <c r="B16" s="64">
        <v>110.12</v>
      </c>
      <c r="C16" s="64">
        <v>45.06</v>
      </c>
      <c r="D16" s="64">
        <v>113.82</v>
      </c>
      <c r="E16" s="64">
        <v>5.8</v>
      </c>
      <c r="F16" s="64">
        <v>3.28</v>
      </c>
      <c r="G16" s="218" t="s">
        <v>36</v>
      </c>
      <c r="H16" s="218" t="s">
        <v>36</v>
      </c>
      <c r="I16" s="64">
        <v>1.32</v>
      </c>
      <c r="J16" s="64">
        <v>0.11</v>
      </c>
      <c r="K16" s="64">
        <v>269.25</v>
      </c>
      <c r="L16" s="64">
        <v>22.48</v>
      </c>
      <c r="M16" s="64">
        <v>56.49</v>
      </c>
      <c r="N16" s="64">
        <v>5.9</v>
      </c>
      <c r="O16" s="64">
        <v>0</v>
      </c>
      <c r="P16" s="64">
        <v>2.6</v>
      </c>
      <c r="Q16" s="64">
        <v>34.46</v>
      </c>
      <c r="R16" s="198"/>
      <c r="S16" s="198"/>
      <c r="T16" s="198"/>
      <c r="U16" s="198"/>
    </row>
    <row r="17" spans="1:21" s="12" customFormat="1" x14ac:dyDescent="0.25">
      <c r="A17" s="211" t="s">
        <v>1310</v>
      </c>
      <c r="B17" s="64">
        <v>94.77</v>
      </c>
      <c r="C17" s="64">
        <v>53.38</v>
      </c>
      <c r="D17" s="64">
        <v>106.11</v>
      </c>
      <c r="E17" s="64">
        <v>6.32</v>
      </c>
      <c r="F17" s="64">
        <v>3.13</v>
      </c>
      <c r="G17" s="218" t="s">
        <v>36</v>
      </c>
      <c r="H17" s="218" t="s">
        <v>36</v>
      </c>
      <c r="I17" s="64">
        <v>1.3</v>
      </c>
      <c r="J17" s="64">
        <v>0.13</v>
      </c>
      <c r="K17" s="64">
        <v>268.54000000000002</v>
      </c>
      <c r="L17" s="64">
        <v>22.27</v>
      </c>
      <c r="M17" s="64">
        <v>55.85</v>
      </c>
      <c r="N17" s="64">
        <v>5.8</v>
      </c>
      <c r="O17" s="64">
        <v>0</v>
      </c>
      <c r="P17" s="64">
        <v>2.19</v>
      </c>
      <c r="Q17" s="64">
        <v>34.51</v>
      </c>
      <c r="R17" s="198"/>
      <c r="S17" s="198"/>
      <c r="T17" s="198"/>
      <c r="U17" s="198"/>
    </row>
    <row r="18" spans="1:21" s="12" customFormat="1" x14ac:dyDescent="0.25">
      <c r="A18" s="211" t="s">
        <v>1311</v>
      </c>
      <c r="B18" s="64">
        <v>83.3</v>
      </c>
      <c r="C18" s="64">
        <v>50.31</v>
      </c>
      <c r="D18" s="64">
        <v>95.21</v>
      </c>
      <c r="E18" s="64">
        <v>6.72</v>
      </c>
      <c r="F18" s="64">
        <v>3.2</v>
      </c>
      <c r="G18" s="218" t="s">
        <v>36</v>
      </c>
      <c r="H18" s="218" t="s">
        <v>36</v>
      </c>
      <c r="I18" s="64">
        <v>1.29</v>
      </c>
      <c r="J18" s="64">
        <v>0.13</v>
      </c>
      <c r="K18" s="64">
        <v>272.7</v>
      </c>
      <c r="L18" s="64">
        <v>22.2</v>
      </c>
      <c r="M18" s="64">
        <v>56.03</v>
      </c>
      <c r="N18" s="64">
        <v>5.7</v>
      </c>
      <c r="O18" s="64">
        <v>0</v>
      </c>
      <c r="P18" s="64">
        <v>1.99</v>
      </c>
      <c r="Q18" s="64">
        <v>35.28</v>
      </c>
      <c r="R18" s="198"/>
      <c r="S18" s="198"/>
      <c r="T18" s="198"/>
      <c r="U18" s="198"/>
    </row>
    <row r="19" spans="1:21" s="12" customFormat="1" x14ac:dyDescent="0.25">
      <c r="A19" s="211" t="s">
        <v>1312</v>
      </c>
      <c r="B19" s="64">
        <v>79.989999999999995</v>
      </c>
      <c r="C19" s="64">
        <v>48.12</v>
      </c>
      <c r="D19" s="64">
        <v>91.35</v>
      </c>
      <c r="E19" s="64">
        <v>5.96</v>
      </c>
      <c r="F19" s="64">
        <v>3.12</v>
      </c>
      <c r="G19" s="218" t="s">
        <v>36</v>
      </c>
      <c r="H19" s="218" t="s">
        <v>36</v>
      </c>
      <c r="I19" s="64">
        <v>1.17</v>
      </c>
      <c r="J19" s="64">
        <v>0.2</v>
      </c>
      <c r="K19" s="64">
        <v>263.63</v>
      </c>
      <c r="L19" s="64">
        <v>21.9</v>
      </c>
      <c r="M19" s="64">
        <v>55.48</v>
      </c>
      <c r="N19" s="64">
        <v>5.6</v>
      </c>
      <c r="O19" s="64">
        <v>0</v>
      </c>
      <c r="P19" s="64">
        <v>1.88</v>
      </c>
      <c r="Q19" s="64">
        <v>34.799999999999997</v>
      </c>
      <c r="R19" s="198"/>
      <c r="S19" s="198"/>
      <c r="T19" s="198"/>
      <c r="U19" s="198"/>
    </row>
    <row r="20" spans="1:21" s="12" customFormat="1" x14ac:dyDescent="0.25">
      <c r="A20" s="211" t="s">
        <v>1313</v>
      </c>
      <c r="B20" s="64">
        <v>81.13</v>
      </c>
      <c r="C20" s="64">
        <v>46.18</v>
      </c>
      <c r="D20" s="64">
        <v>91.19</v>
      </c>
      <c r="E20" s="64">
        <v>5.96</v>
      </c>
      <c r="F20" s="64">
        <v>3.16</v>
      </c>
      <c r="G20" s="218" t="s">
        <v>36</v>
      </c>
      <c r="H20" s="218" t="s">
        <v>36</v>
      </c>
      <c r="I20" s="64">
        <v>1.23</v>
      </c>
      <c r="J20" s="64">
        <v>7.0000000000000007E-2</v>
      </c>
      <c r="K20" s="64">
        <v>267</v>
      </c>
      <c r="L20" s="64">
        <v>21.58</v>
      </c>
      <c r="M20" s="64">
        <v>58.29</v>
      </c>
      <c r="N20" s="64">
        <v>5.6</v>
      </c>
      <c r="O20" s="64">
        <v>0</v>
      </c>
      <c r="P20" s="64">
        <v>1.97</v>
      </c>
      <c r="Q20" s="64">
        <v>34.28</v>
      </c>
      <c r="R20" s="198"/>
      <c r="S20" s="198"/>
      <c r="T20" s="198"/>
      <c r="U20" s="198"/>
    </row>
    <row r="21" spans="1:21" s="12" customFormat="1" x14ac:dyDescent="0.25">
      <c r="A21" s="211" t="s">
        <v>1314</v>
      </c>
      <c r="B21" s="64">
        <v>76.56</v>
      </c>
      <c r="C21" s="64">
        <v>48.17</v>
      </c>
      <c r="D21" s="64">
        <v>88.62</v>
      </c>
      <c r="E21" s="64">
        <v>5.84</v>
      </c>
      <c r="F21" s="64">
        <v>3.29</v>
      </c>
      <c r="G21" s="218" t="s">
        <v>36</v>
      </c>
      <c r="H21" s="218" t="s">
        <v>36</v>
      </c>
      <c r="I21" s="64">
        <v>1.2</v>
      </c>
      <c r="J21" s="64">
        <v>0.11</v>
      </c>
      <c r="K21" s="64">
        <v>278.89999999999998</v>
      </c>
      <c r="L21" s="64">
        <v>22.01</v>
      </c>
      <c r="M21" s="64">
        <v>55.91</v>
      </c>
      <c r="N21" s="64">
        <v>5.4</v>
      </c>
      <c r="O21" s="64">
        <v>0</v>
      </c>
      <c r="P21" s="64">
        <v>1.8</v>
      </c>
      <c r="Q21" s="64">
        <v>35.54</v>
      </c>
      <c r="R21" s="198"/>
      <c r="S21" s="198"/>
      <c r="T21" s="198"/>
      <c r="U21" s="198"/>
    </row>
    <row r="22" spans="1:21" s="12" customFormat="1" x14ac:dyDescent="0.25">
      <c r="A22" s="211" t="s">
        <v>1315</v>
      </c>
      <c r="B22" s="64">
        <v>97.85</v>
      </c>
      <c r="C22" s="64">
        <v>30.5</v>
      </c>
      <c r="D22" s="64">
        <v>95.94</v>
      </c>
      <c r="E22" s="64">
        <v>6.05</v>
      </c>
      <c r="F22" s="64">
        <v>3.28</v>
      </c>
      <c r="G22" s="218" t="s">
        <v>36</v>
      </c>
      <c r="H22" s="218" t="s">
        <v>36</v>
      </c>
      <c r="I22" s="64">
        <v>1.1200000000000001</v>
      </c>
      <c r="J22" s="64">
        <v>0.17</v>
      </c>
      <c r="K22" s="64">
        <v>257.44</v>
      </c>
      <c r="L22" s="64">
        <v>22.2</v>
      </c>
      <c r="M22" s="64">
        <v>57.36</v>
      </c>
      <c r="N22" s="64">
        <v>5.5</v>
      </c>
      <c r="O22" s="64">
        <v>0</v>
      </c>
      <c r="P22" s="64">
        <v>2.2599999999999998</v>
      </c>
      <c r="Q22" s="64">
        <v>34.799999999999997</v>
      </c>
      <c r="R22" s="198"/>
      <c r="S22" s="198"/>
      <c r="T22" s="198"/>
      <c r="U22" s="198"/>
    </row>
    <row r="23" spans="1:21" s="12" customFormat="1" x14ac:dyDescent="0.25">
      <c r="A23" s="211" t="s">
        <v>1316</v>
      </c>
      <c r="B23" s="64">
        <v>86.21</v>
      </c>
      <c r="C23" s="64">
        <v>39.03</v>
      </c>
      <c r="D23" s="64">
        <v>91.32</v>
      </c>
      <c r="E23" s="64">
        <v>6.42</v>
      </c>
      <c r="F23" s="64">
        <v>3.63</v>
      </c>
      <c r="G23" s="218" t="s">
        <v>36</v>
      </c>
      <c r="H23" s="218" t="s">
        <v>36</v>
      </c>
      <c r="I23" s="64">
        <v>1.1000000000000001</v>
      </c>
      <c r="J23" s="64">
        <v>0.03</v>
      </c>
      <c r="K23" s="64">
        <v>110.45</v>
      </c>
      <c r="L23" s="64">
        <v>22.49</v>
      </c>
      <c r="M23" s="64">
        <v>50.56</v>
      </c>
      <c r="N23" s="64">
        <v>5.2</v>
      </c>
      <c r="O23" s="64">
        <v>0</v>
      </c>
      <c r="P23" s="64">
        <v>2.08</v>
      </c>
      <c r="Q23" s="64">
        <v>34.119999999999997</v>
      </c>
      <c r="R23" s="198"/>
      <c r="S23" s="198"/>
      <c r="T23" s="198"/>
      <c r="U23" s="198"/>
    </row>
    <row r="24" spans="1:21" s="12" customFormat="1" x14ac:dyDescent="0.25">
      <c r="A24" s="211" t="s">
        <v>1317</v>
      </c>
      <c r="B24" s="64">
        <v>90.69</v>
      </c>
      <c r="C24" s="64">
        <v>37.06</v>
      </c>
      <c r="D24" s="64">
        <v>93.82</v>
      </c>
      <c r="E24" s="64">
        <v>3.79</v>
      </c>
      <c r="F24" s="64">
        <v>3.45</v>
      </c>
      <c r="G24" s="218" t="s">
        <v>36</v>
      </c>
      <c r="H24" s="218" t="s">
        <v>36</v>
      </c>
      <c r="I24" s="64">
        <v>1.23</v>
      </c>
      <c r="J24" s="64">
        <v>0.05</v>
      </c>
      <c r="K24" s="64">
        <v>239.83</v>
      </c>
      <c r="L24" s="64">
        <v>22.39</v>
      </c>
      <c r="M24" s="64">
        <v>53.56</v>
      </c>
      <c r="N24" s="64">
        <v>5.0999999999999996</v>
      </c>
      <c r="O24" s="64">
        <v>0</v>
      </c>
      <c r="P24" s="64">
        <v>2.09</v>
      </c>
      <c r="Q24" s="64">
        <v>33.729999999999997</v>
      </c>
      <c r="R24" s="198"/>
      <c r="S24" s="198"/>
      <c r="T24" s="198"/>
      <c r="U24" s="198"/>
    </row>
    <row r="25" spans="1:21" s="12" customFormat="1" x14ac:dyDescent="0.25">
      <c r="A25" s="211" t="s">
        <v>1318</v>
      </c>
      <c r="B25" s="64">
        <v>89.91</v>
      </c>
      <c r="C25" s="64">
        <v>40.79</v>
      </c>
      <c r="D25" s="64">
        <v>95.26</v>
      </c>
      <c r="E25" s="64">
        <v>6.12</v>
      </c>
      <c r="F25" s="64">
        <v>2.98</v>
      </c>
      <c r="G25" s="64">
        <v>131.30000000000001</v>
      </c>
      <c r="H25" s="64">
        <v>58.35</v>
      </c>
      <c r="I25" s="64">
        <v>1.19</v>
      </c>
      <c r="J25" s="64">
        <v>0.15</v>
      </c>
      <c r="K25" s="64">
        <v>170.51</v>
      </c>
      <c r="L25" s="64">
        <v>23.17</v>
      </c>
      <c r="M25" s="64">
        <v>51.4</v>
      </c>
      <c r="N25" s="64">
        <v>4.4000000000000004</v>
      </c>
      <c r="O25" s="64">
        <v>0</v>
      </c>
      <c r="P25" s="64">
        <v>2.11</v>
      </c>
      <c r="Q25" s="64">
        <v>33.44</v>
      </c>
      <c r="R25" s="198"/>
      <c r="S25" s="198"/>
      <c r="T25" s="198"/>
      <c r="U25" s="198"/>
    </row>
    <row r="26" spans="1:21" s="12" customFormat="1" x14ac:dyDescent="0.25">
      <c r="A26" s="211" t="s">
        <v>1319</v>
      </c>
      <c r="B26" s="64">
        <v>93.51</v>
      </c>
      <c r="C26" s="64">
        <v>34.6</v>
      </c>
      <c r="D26" s="64">
        <v>94.73</v>
      </c>
      <c r="E26" s="64">
        <v>5.49</v>
      </c>
      <c r="F26" s="64">
        <v>2.57</v>
      </c>
      <c r="G26" s="64">
        <v>131.30000000000001</v>
      </c>
      <c r="H26" s="64">
        <v>58.35</v>
      </c>
      <c r="I26" s="64">
        <v>1.19</v>
      </c>
      <c r="J26" s="64">
        <v>0.17</v>
      </c>
      <c r="K26" s="64">
        <v>263.89</v>
      </c>
      <c r="L26" s="64">
        <v>22.34</v>
      </c>
      <c r="M26" s="64">
        <v>54.06</v>
      </c>
      <c r="N26" s="64">
        <v>6</v>
      </c>
      <c r="O26" s="64">
        <v>0</v>
      </c>
      <c r="P26" s="64">
        <v>2.09</v>
      </c>
      <c r="Q26" s="64">
        <v>33.24</v>
      </c>
      <c r="R26" s="198"/>
      <c r="S26" s="198"/>
      <c r="T26" s="198"/>
      <c r="U26" s="198"/>
    </row>
    <row r="27" spans="1:21" s="12" customFormat="1" x14ac:dyDescent="0.25">
      <c r="A27" s="211" t="s">
        <v>1320</v>
      </c>
      <c r="B27" s="64">
        <v>94.18</v>
      </c>
      <c r="C27" s="64">
        <v>34</v>
      </c>
      <c r="D27" s="64">
        <v>94.94</v>
      </c>
      <c r="E27" s="64">
        <v>5.09</v>
      </c>
      <c r="F27" s="64">
        <v>2.64</v>
      </c>
      <c r="G27" s="64">
        <v>131.30000000000001</v>
      </c>
      <c r="H27" s="64">
        <v>58.35</v>
      </c>
      <c r="I27" s="64">
        <v>1.18</v>
      </c>
      <c r="J27" s="64">
        <v>0.17</v>
      </c>
      <c r="K27" s="64">
        <v>273.73</v>
      </c>
      <c r="L27" s="64">
        <v>22.43</v>
      </c>
      <c r="M27" s="64">
        <v>53.18</v>
      </c>
      <c r="N27" s="64">
        <v>5.6</v>
      </c>
      <c r="O27" s="64">
        <v>0</v>
      </c>
      <c r="P27" s="64">
        <v>2.0699999999999998</v>
      </c>
      <c r="Q27" s="64">
        <v>32.93</v>
      </c>
      <c r="R27" s="198"/>
      <c r="S27" s="198"/>
      <c r="T27" s="198"/>
      <c r="U27" s="198"/>
    </row>
    <row r="28" spans="1:21" s="12" customFormat="1" x14ac:dyDescent="0.25">
      <c r="A28" s="211" t="s">
        <v>1321</v>
      </c>
      <c r="B28" s="64">
        <v>94.28</v>
      </c>
      <c r="C28" s="64">
        <v>33.840000000000003</v>
      </c>
      <c r="D28" s="64">
        <v>94.92</v>
      </c>
      <c r="E28" s="64">
        <v>5.48</v>
      </c>
      <c r="F28" s="64">
        <v>2.78</v>
      </c>
      <c r="G28" s="64">
        <v>131.30000000000001</v>
      </c>
      <c r="H28" s="64">
        <v>58.35</v>
      </c>
      <c r="I28" s="64">
        <v>1.1399999999999999</v>
      </c>
      <c r="J28" s="64">
        <v>0.19</v>
      </c>
      <c r="K28" s="64">
        <v>250.3</v>
      </c>
      <c r="L28" s="64">
        <v>21.73</v>
      </c>
      <c r="M28" s="64">
        <v>55.73</v>
      </c>
      <c r="N28" s="64">
        <v>5.6</v>
      </c>
      <c r="O28" s="64">
        <v>0</v>
      </c>
      <c r="P28" s="64">
        <v>2.06</v>
      </c>
      <c r="Q28" s="64">
        <v>32.75</v>
      </c>
      <c r="R28" s="198"/>
      <c r="S28" s="198"/>
      <c r="T28" s="198"/>
      <c r="U28" s="198"/>
    </row>
    <row r="29" spans="1:21" s="12" customFormat="1" x14ac:dyDescent="0.25">
      <c r="A29" s="211" t="s">
        <v>1322</v>
      </c>
      <c r="B29" s="64">
        <v>91.76</v>
      </c>
      <c r="C29" s="64">
        <v>48.11</v>
      </c>
      <c r="D29" s="64">
        <v>100.78</v>
      </c>
      <c r="E29" s="64">
        <v>6.83</v>
      </c>
      <c r="F29" s="64">
        <v>2.71</v>
      </c>
      <c r="G29" s="64">
        <v>201.04</v>
      </c>
      <c r="H29" s="64">
        <v>72.48</v>
      </c>
      <c r="I29" s="64">
        <v>1.1299999999999999</v>
      </c>
      <c r="J29" s="64">
        <v>0.15</v>
      </c>
      <c r="K29" s="64">
        <v>242.44</v>
      </c>
      <c r="L29" s="64">
        <v>21.58</v>
      </c>
      <c r="M29" s="64">
        <v>57.12</v>
      </c>
      <c r="N29" s="64">
        <v>6</v>
      </c>
      <c r="O29" s="64">
        <v>0</v>
      </c>
      <c r="P29" s="64">
        <v>1.94</v>
      </c>
      <c r="Q29" s="64">
        <v>32.68</v>
      </c>
      <c r="R29" s="198"/>
      <c r="S29" s="198"/>
      <c r="T29" s="198"/>
      <c r="U29" s="198"/>
    </row>
    <row r="30" spans="1:21" s="12" customFormat="1" x14ac:dyDescent="0.25">
      <c r="A30" s="211" t="s">
        <v>1323</v>
      </c>
      <c r="B30" s="64">
        <v>97.04</v>
      </c>
      <c r="C30" s="64">
        <v>38.369999999999997</v>
      </c>
      <c r="D30" s="64">
        <v>99.64</v>
      </c>
      <c r="E30" s="64">
        <v>7.13</v>
      </c>
      <c r="F30" s="64">
        <v>2.91</v>
      </c>
      <c r="G30" s="64">
        <v>216.12</v>
      </c>
      <c r="H30" s="64">
        <v>72.48</v>
      </c>
      <c r="I30" s="64">
        <v>1.1000000000000001</v>
      </c>
      <c r="J30" s="64">
        <v>0.12</v>
      </c>
      <c r="K30" s="64">
        <v>257.11</v>
      </c>
      <c r="L30" s="64">
        <v>21.38</v>
      </c>
      <c r="M30" s="64">
        <v>60.02</v>
      </c>
      <c r="N30" s="64">
        <v>9.1999999999999993</v>
      </c>
      <c r="O30" s="64">
        <v>0</v>
      </c>
      <c r="P30" s="64">
        <v>1.96</v>
      </c>
      <c r="Q30" s="64">
        <v>32.03</v>
      </c>
      <c r="R30" s="198"/>
      <c r="S30" s="198"/>
      <c r="T30" s="198"/>
      <c r="U30" s="198"/>
    </row>
    <row r="31" spans="1:21" s="12" customFormat="1" x14ac:dyDescent="0.25">
      <c r="A31" s="211" t="s">
        <v>1324</v>
      </c>
      <c r="B31" s="64">
        <v>105.47</v>
      </c>
      <c r="C31" s="64">
        <v>36.86</v>
      </c>
      <c r="D31" s="64">
        <v>105.57</v>
      </c>
      <c r="E31" s="64">
        <v>6.8</v>
      </c>
      <c r="F31" s="64">
        <v>2.73</v>
      </c>
      <c r="G31" s="64">
        <v>216.12</v>
      </c>
      <c r="H31" s="64">
        <v>72.48</v>
      </c>
      <c r="I31" s="64">
        <v>1.01</v>
      </c>
      <c r="J31" s="64">
        <v>0.02</v>
      </c>
      <c r="K31" s="64">
        <v>177.15</v>
      </c>
      <c r="L31" s="64">
        <v>20.9</v>
      </c>
      <c r="M31" s="64">
        <v>63.46</v>
      </c>
      <c r="N31" s="64">
        <v>19.100000000000001</v>
      </c>
      <c r="O31" s="64">
        <v>0</v>
      </c>
      <c r="P31" s="64">
        <v>1.97</v>
      </c>
      <c r="Q31" s="64">
        <v>31.29</v>
      </c>
      <c r="R31" s="198"/>
      <c r="S31" s="198"/>
      <c r="T31" s="198"/>
      <c r="U31" s="198"/>
    </row>
    <row r="32" spans="1:21" s="12" customFormat="1" x14ac:dyDescent="0.25">
      <c r="A32" s="211" t="s">
        <v>1325</v>
      </c>
      <c r="B32" s="64">
        <v>110.75</v>
      </c>
      <c r="C32" s="64">
        <v>47.36</v>
      </c>
      <c r="D32" s="64">
        <v>115.6</v>
      </c>
      <c r="E32" s="64">
        <v>6.93</v>
      </c>
      <c r="F32" s="64">
        <v>2.84</v>
      </c>
      <c r="G32" s="64">
        <v>216.12</v>
      </c>
      <c r="H32" s="64">
        <v>72.48</v>
      </c>
      <c r="I32" s="64">
        <v>1.03</v>
      </c>
      <c r="J32" s="64">
        <v>0.1</v>
      </c>
      <c r="K32" s="64">
        <v>134.91</v>
      </c>
      <c r="L32" s="64">
        <v>21.27</v>
      </c>
      <c r="M32" s="64">
        <v>61.29</v>
      </c>
      <c r="N32" s="64">
        <v>36.799999999999997</v>
      </c>
      <c r="O32" s="64">
        <v>0</v>
      </c>
      <c r="P32" s="64">
        <v>1.93</v>
      </c>
      <c r="Q32" s="64">
        <v>29.49</v>
      </c>
      <c r="R32" s="198"/>
      <c r="S32" s="198"/>
      <c r="T32" s="198"/>
      <c r="U32" s="198"/>
    </row>
    <row r="33" spans="1:21" s="12" customFormat="1" x14ac:dyDescent="0.25">
      <c r="A33" s="211" t="s">
        <v>1326</v>
      </c>
      <c r="B33" s="64">
        <v>93.78</v>
      </c>
      <c r="C33" s="64">
        <v>41.97</v>
      </c>
      <c r="D33" s="64">
        <v>99.02</v>
      </c>
      <c r="E33" s="64">
        <v>12.19</v>
      </c>
      <c r="F33" s="64">
        <v>3.55</v>
      </c>
      <c r="G33" s="64">
        <v>159.43</v>
      </c>
      <c r="H33" s="64">
        <v>72.180000000000007</v>
      </c>
      <c r="I33" s="64">
        <v>1.03</v>
      </c>
      <c r="J33" s="64">
        <v>0.37</v>
      </c>
      <c r="K33" s="64">
        <v>103.83</v>
      </c>
      <c r="L33" s="64">
        <v>23.2</v>
      </c>
      <c r="M33" s="64">
        <v>42.58</v>
      </c>
      <c r="N33" s="64">
        <v>74.099999999999994</v>
      </c>
      <c r="O33" s="64">
        <v>0</v>
      </c>
      <c r="P33" s="64">
        <v>1.86</v>
      </c>
      <c r="Q33" s="64">
        <v>32.799999999999997</v>
      </c>
      <c r="R33" s="198"/>
      <c r="S33" s="198"/>
      <c r="T33" s="198"/>
      <c r="U33" s="198"/>
    </row>
    <row r="34" spans="1:21" s="12" customFormat="1" x14ac:dyDescent="0.25">
      <c r="A34" s="211" t="s">
        <v>1327</v>
      </c>
      <c r="B34" s="64">
        <v>91.09</v>
      </c>
      <c r="C34" s="64">
        <v>33.44</v>
      </c>
      <c r="D34" s="64">
        <v>92.15</v>
      </c>
      <c r="E34" s="64">
        <v>7.87</v>
      </c>
      <c r="F34" s="64">
        <v>4.46</v>
      </c>
      <c r="G34" s="64">
        <v>147.18</v>
      </c>
      <c r="H34" s="64">
        <v>72.180000000000007</v>
      </c>
      <c r="I34" s="64">
        <v>1.03</v>
      </c>
      <c r="J34" s="64">
        <v>0.14000000000000001</v>
      </c>
      <c r="K34" s="64">
        <v>286.67</v>
      </c>
      <c r="L34" s="64">
        <v>24.76</v>
      </c>
      <c r="M34" s="64">
        <v>33.9</v>
      </c>
      <c r="N34" s="64">
        <v>122.9</v>
      </c>
      <c r="O34" s="64">
        <v>0</v>
      </c>
      <c r="P34" s="64">
        <v>1.91</v>
      </c>
      <c r="Q34" s="64">
        <v>34.83</v>
      </c>
      <c r="R34" s="198"/>
      <c r="S34" s="198"/>
      <c r="T34" s="198"/>
      <c r="U34" s="198"/>
    </row>
    <row r="35" spans="1:21" s="12" customFormat="1" x14ac:dyDescent="0.25">
      <c r="A35" s="211" t="s">
        <v>1328</v>
      </c>
      <c r="B35" s="64">
        <v>89.84</v>
      </c>
      <c r="C35" s="64">
        <v>34.15</v>
      </c>
      <c r="D35" s="64">
        <v>91.54</v>
      </c>
      <c r="E35" s="64">
        <v>7.17</v>
      </c>
      <c r="F35" s="64">
        <v>3.72</v>
      </c>
      <c r="G35" s="64">
        <v>147.18</v>
      </c>
      <c r="H35" s="64">
        <v>72.180000000000007</v>
      </c>
      <c r="I35" s="64">
        <v>1.01</v>
      </c>
      <c r="J35" s="64">
        <v>0.43</v>
      </c>
      <c r="K35" s="64">
        <v>282.11</v>
      </c>
      <c r="L35" s="64">
        <v>26.07</v>
      </c>
      <c r="M35" s="64">
        <v>32.14</v>
      </c>
      <c r="N35" s="64">
        <v>169.5</v>
      </c>
      <c r="O35" s="64">
        <v>0</v>
      </c>
      <c r="P35" s="64">
        <v>1.88</v>
      </c>
      <c r="Q35" s="64">
        <v>34.07</v>
      </c>
      <c r="R35" s="198"/>
      <c r="S35" s="198"/>
      <c r="T35" s="198"/>
      <c r="U35" s="198"/>
    </row>
    <row r="36" spans="1:21" s="12" customFormat="1" x14ac:dyDescent="0.25">
      <c r="A36" s="211" t="s">
        <v>1329</v>
      </c>
      <c r="B36" s="64">
        <v>85.06</v>
      </c>
      <c r="C36" s="64">
        <v>36.97</v>
      </c>
      <c r="D36" s="64">
        <v>89.26</v>
      </c>
      <c r="E36" s="64">
        <v>6.58</v>
      </c>
      <c r="F36" s="64">
        <v>3.04</v>
      </c>
      <c r="G36" s="64">
        <v>147.18</v>
      </c>
      <c r="H36" s="64">
        <v>72.180000000000007</v>
      </c>
      <c r="I36" s="64">
        <v>1.03</v>
      </c>
      <c r="J36" s="64">
        <v>0.66</v>
      </c>
      <c r="K36" s="64">
        <v>271.54000000000002</v>
      </c>
      <c r="L36" s="64">
        <v>27.91</v>
      </c>
      <c r="M36" s="64">
        <v>30.66</v>
      </c>
      <c r="N36" s="64">
        <v>228.1</v>
      </c>
      <c r="O36" s="64">
        <v>0</v>
      </c>
      <c r="P36" s="64">
        <v>1.89</v>
      </c>
      <c r="Q36" s="64">
        <v>33.549999999999997</v>
      </c>
      <c r="R36" s="198"/>
      <c r="S36" s="198"/>
      <c r="T36" s="198"/>
      <c r="U36" s="198"/>
    </row>
    <row r="37" spans="1:21" s="12" customFormat="1" x14ac:dyDescent="0.25">
      <c r="A37" s="211" t="s">
        <v>1330</v>
      </c>
      <c r="B37" s="64">
        <v>78.040000000000006</v>
      </c>
      <c r="C37" s="64">
        <v>40.98</v>
      </c>
      <c r="D37" s="64">
        <v>85.84</v>
      </c>
      <c r="E37" s="64">
        <v>8.09</v>
      </c>
      <c r="F37" s="64">
        <v>3.23</v>
      </c>
      <c r="G37" s="218" t="s">
        <v>36</v>
      </c>
      <c r="H37" s="218" t="s">
        <v>36</v>
      </c>
      <c r="I37" s="64">
        <v>1.03</v>
      </c>
      <c r="J37" s="64">
        <v>0.6</v>
      </c>
      <c r="K37" s="64">
        <v>280.62</v>
      </c>
      <c r="L37" s="64">
        <v>28.96</v>
      </c>
      <c r="M37" s="64">
        <v>28.69</v>
      </c>
      <c r="N37" s="64">
        <v>244.1</v>
      </c>
      <c r="O37" s="64">
        <v>0</v>
      </c>
      <c r="P37" s="64">
        <v>1.82</v>
      </c>
      <c r="Q37" s="64">
        <v>33.01</v>
      </c>
      <c r="R37" s="198"/>
      <c r="S37" s="198"/>
      <c r="T37" s="198"/>
      <c r="U37" s="198"/>
    </row>
    <row r="38" spans="1:21" s="12" customFormat="1" x14ac:dyDescent="0.25">
      <c r="A38" s="211" t="s">
        <v>1331</v>
      </c>
      <c r="B38" s="64">
        <v>76.39</v>
      </c>
      <c r="C38" s="64">
        <v>42.72</v>
      </c>
      <c r="D38" s="64">
        <v>85.48</v>
      </c>
      <c r="E38" s="64">
        <v>10.16</v>
      </c>
      <c r="F38" s="64">
        <v>3.34</v>
      </c>
      <c r="G38" s="218" t="s">
        <v>36</v>
      </c>
      <c r="H38" s="218" t="s">
        <v>36</v>
      </c>
      <c r="I38" s="64">
        <v>1.03</v>
      </c>
      <c r="J38" s="64">
        <v>0.56999999999999995</v>
      </c>
      <c r="K38" s="64">
        <v>301.93</v>
      </c>
      <c r="L38" s="64">
        <v>30.27</v>
      </c>
      <c r="M38" s="64">
        <v>24.9</v>
      </c>
      <c r="N38" s="64">
        <v>332.5</v>
      </c>
      <c r="O38" s="64">
        <v>0</v>
      </c>
      <c r="P38" s="64">
        <v>1.86</v>
      </c>
      <c r="Q38" s="64">
        <v>32.71</v>
      </c>
      <c r="R38" s="198"/>
      <c r="S38" s="198"/>
      <c r="T38" s="198"/>
      <c r="U38" s="198"/>
    </row>
    <row r="39" spans="1:21" s="12" customFormat="1" x14ac:dyDescent="0.25">
      <c r="A39" s="211" t="s">
        <v>1332</v>
      </c>
      <c r="B39" s="64">
        <v>69.900000000000006</v>
      </c>
      <c r="C39" s="64">
        <v>45.14</v>
      </c>
      <c r="D39" s="64">
        <v>81.61</v>
      </c>
      <c r="E39" s="64">
        <v>13.41</v>
      </c>
      <c r="F39" s="64">
        <v>4.67</v>
      </c>
      <c r="G39" s="218" t="s">
        <v>36</v>
      </c>
      <c r="H39" s="218" t="s">
        <v>36</v>
      </c>
      <c r="I39" s="64">
        <v>0.94</v>
      </c>
      <c r="J39" s="64">
        <v>0.59</v>
      </c>
      <c r="K39" s="64">
        <v>311.62</v>
      </c>
      <c r="L39" s="64">
        <v>31.2</v>
      </c>
      <c r="M39" s="64">
        <v>21.06</v>
      </c>
      <c r="N39" s="64">
        <v>397.2</v>
      </c>
      <c r="O39" s="64">
        <v>0</v>
      </c>
      <c r="P39" s="64">
        <v>1.76</v>
      </c>
      <c r="Q39" s="64">
        <v>32.33</v>
      </c>
      <c r="R39" s="198"/>
      <c r="S39" s="198"/>
      <c r="T39" s="198"/>
      <c r="U39" s="198"/>
    </row>
    <row r="40" spans="1:21" s="12" customFormat="1" x14ac:dyDescent="0.25">
      <c r="A40" s="211" t="s">
        <v>1333</v>
      </c>
      <c r="B40" s="64">
        <v>67.290000000000006</v>
      </c>
      <c r="C40" s="64">
        <v>50.88</v>
      </c>
      <c r="D40" s="64">
        <v>82.69</v>
      </c>
      <c r="E40" s="64">
        <v>16.329999999999998</v>
      </c>
      <c r="F40" s="64">
        <v>5.75</v>
      </c>
      <c r="G40" s="218" t="s">
        <v>36</v>
      </c>
      <c r="H40" s="218" t="s">
        <v>36</v>
      </c>
      <c r="I40" s="64">
        <v>0.91</v>
      </c>
      <c r="J40" s="64">
        <v>0.81</v>
      </c>
      <c r="K40" s="64">
        <v>293.22000000000003</v>
      </c>
      <c r="L40" s="64">
        <v>32.92</v>
      </c>
      <c r="M40" s="64">
        <v>20.03</v>
      </c>
      <c r="N40" s="64">
        <v>456.2</v>
      </c>
      <c r="O40" s="64">
        <v>0</v>
      </c>
      <c r="P40" s="64">
        <v>1.72</v>
      </c>
      <c r="Q40" s="64">
        <v>31.76</v>
      </c>
      <c r="R40" s="198"/>
      <c r="S40" s="198"/>
      <c r="T40" s="198"/>
      <c r="U40" s="198"/>
    </row>
    <row r="41" spans="1:21" s="12" customFormat="1" x14ac:dyDescent="0.25">
      <c r="A41" s="211" t="s">
        <v>1334</v>
      </c>
      <c r="B41" s="64">
        <v>47.8</v>
      </c>
      <c r="C41" s="64">
        <v>68.19</v>
      </c>
      <c r="D41" s="64">
        <v>76.61</v>
      </c>
      <c r="E41" s="64">
        <v>73.59</v>
      </c>
      <c r="F41" s="64">
        <v>17.079999999999998</v>
      </c>
      <c r="G41" s="218" t="s">
        <v>36</v>
      </c>
      <c r="H41" s="218" t="s">
        <v>36</v>
      </c>
      <c r="I41" s="64">
        <v>0.87</v>
      </c>
      <c r="J41" s="64">
        <v>0.16</v>
      </c>
      <c r="K41" s="64">
        <v>295.87</v>
      </c>
      <c r="L41" s="64">
        <v>32.78</v>
      </c>
      <c r="M41" s="64">
        <v>20.260000000000002</v>
      </c>
      <c r="N41" s="64">
        <v>496.2</v>
      </c>
      <c r="O41" s="64">
        <v>0</v>
      </c>
      <c r="P41" s="64">
        <v>1.58</v>
      </c>
      <c r="Q41" s="64">
        <v>30.65</v>
      </c>
      <c r="R41" s="198"/>
      <c r="S41" s="198"/>
      <c r="T41" s="198"/>
      <c r="U41" s="198"/>
    </row>
    <row r="42" spans="1:21" s="12" customFormat="1" x14ac:dyDescent="0.25">
      <c r="A42" s="211" t="s">
        <v>1335</v>
      </c>
      <c r="B42" s="64">
        <v>47.76</v>
      </c>
      <c r="C42" s="64">
        <v>66.69</v>
      </c>
      <c r="D42" s="64">
        <v>75.75</v>
      </c>
      <c r="E42" s="64">
        <v>54.38</v>
      </c>
      <c r="F42" s="64">
        <v>20.68</v>
      </c>
      <c r="G42" s="218" t="s">
        <v>36</v>
      </c>
      <c r="H42" s="218" t="s">
        <v>36</v>
      </c>
      <c r="I42" s="64">
        <v>0.84</v>
      </c>
      <c r="J42" s="64">
        <v>0.14000000000000001</v>
      </c>
      <c r="K42" s="64">
        <v>83.59</v>
      </c>
      <c r="L42" s="64">
        <v>32.869999999999997</v>
      </c>
      <c r="M42" s="64">
        <v>18.739999999999998</v>
      </c>
      <c r="N42" s="64">
        <v>557.79999999999995</v>
      </c>
      <c r="O42" s="64">
        <v>0</v>
      </c>
      <c r="P42" s="64">
        <v>1.48</v>
      </c>
      <c r="Q42" s="64">
        <v>30.67</v>
      </c>
      <c r="R42" s="198"/>
      <c r="S42" s="198"/>
      <c r="T42" s="198"/>
      <c r="U42" s="198"/>
    </row>
    <row r="43" spans="1:21" s="12" customFormat="1" x14ac:dyDescent="0.25">
      <c r="A43" s="211" t="s">
        <v>1336</v>
      </c>
      <c r="B43" s="64">
        <v>47.29</v>
      </c>
      <c r="C43" s="64">
        <v>53.27</v>
      </c>
      <c r="D43" s="64">
        <v>67.97</v>
      </c>
      <c r="E43" s="64">
        <v>27.52</v>
      </c>
      <c r="F43" s="64">
        <v>17.82</v>
      </c>
      <c r="G43" s="218" t="s">
        <v>36</v>
      </c>
      <c r="H43" s="218" t="s">
        <v>36</v>
      </c>
      <c r="I43" s="64">
        <v>0.68</v>
      </c>
      <c r="J43" s="64">
        <v>0.11</v>
      </c>
      <c r="K43" s="64">
        <v>113.97</v>
      </c>
      <c r="L43" s="64">
        <v>31.83</v>
      </c>
      <c r="M43" s="64">
        <v>19.63</v>
      </c>
      <c r="N43" s="64">
        <v>603.5</v>
      </c>
      <c r="O43" s="64">
        <v>0</v>
      </c>
      <c r="P43" s="64">
        <v>1.54</v>
      </c>
      <c r="Q43" s="64">
        <v>31.69</v>
      </c>
      <c r="R43" s="198"/>
      <c r="S43" s="198"/>
      <c r="T43" s="198"/>
      <c r="U43" s="198"/>
    </row>
    <row r="44" spans="1:21" s="12" customFormat="1" x14ac:dyDescent="0.25">
      <c r="A44" s="211" t="s">
        <v>1337</v>
      </c>
      <c r="B44" s="64">
        <v>40.68</v>
      </c>
      <c r="C44" s="64">
        <v>64.72</v>
      </c>
      <c r="D44" s="64">
        <v>68.98</v>
      </c>
      <c r="E44" s="64">
        <v>38.71</v>
      </c>
      <c r="F44" s="64">
        <v>27.97</v>
      </c>
      <c r="G44" s="218" t="s">
        <v>36</v>
      </c>
      <c r="H44" s="218" t="s">
        <v>36</v>
      </c>
      <c r="I44" s="64">
        <v>0.68</v>
      </c>
      <c r="J44" s="64">
        <v>0.5</v>
      </c>
      <c r="K44" s="64">
        <v>297.83999999999997</v>
      </c>
      <c r="L44" s="64">
        <v>34.270000000000003</v>
      </c>
      <c r="M44" s="64">
        <v>17.47</v>
      </c>
      <c r="N44" s="64">
        <v>631.1</v>
      </c>
      <c r="O44" s="64">
        <v>0</v>
      </c>
      <c r="P44" s="64">
        <v>1.38</v>
      </c>
      <c r="Q44" s="64">
        <v>32.04</v>
      </c>
      <c r="R44" s="198"/>
      <c r="S44" s="198"/>
      <c r="T44" s="198"/>
      <c r="U44" s="198"/>
    </row>
    <row r="45" spans="1:21" s="12" customFormat="1" x14ac:dyDescent="0.25">
      <c r="A45" s="211" t="s">
        <v>1338</v>
      </c>
      <c r="B45" s="64">
        <v>48.09</v>
      </c>
      <c r="C45" s="64">
        <v>50.81</v>
      </c>
      <c r="D45" s="64">
        <v>67.25</v>
      </c>
      <c r="E45" s="64">
        <v>23.55</v>
      </c>
      <c r="F45" s="64">
        <v>12.84</v>
      </c>
      <c r="G45" s="218" t="s">
        <v>36</v>
      </c>
      <c r="H45" s="218" t="s">
        <v>36</v>
      </c>
      <c r="I45" s="64">
        <v>0.74</v>
      </c>
      <c r="J45" s="64">
        <v>0.73</v>
      </c>
      <c r="K45" s="64">
        <v>110.12</v>
      </c>
      <c r="L45" s="64">
        <v>33.130000000000003</v>
      </c>
      <c r="M45" s="64">
        <v>19</v>
      </c>
      <c r="N45" s="64">
        <v>681.7</v>
      </c>
      <c r="O45" s="64">
        <v>0</v>
      </c>
      <c r="P45" s="64">
        <v>1.52</v>
      </c>
      <c r="Q45" s="64">
        <v>32.08</v>
      </c>
      <c r="R45" s="198"/>
      <c r="S45" s="198"/>
      <c r="T45" s="198"/>
      <c r="U45" s="198"/>
    </row>
    <row r="46" spans="1:21" s="12" customFormat="1" x14ac:dyDescent="0.25">
      <c r="A46" s="211" t="s">
        <v>1339</v>
      </c>
      <c r="B46" s="64">
        <v>40.99</v>
      </c>
      <c r="C46" s="64">
        <v>53.67</v>
      </c>
      <c r="D46" s="64">
        <v>63.14</v>
      </c>
      <c r="E46" s="64">
        <v>14.66</v>
      </c>
      <c r="F46" s="64">
        <v>12.41</v>
      </c>
      <c r="G46" s="218" t="s">
        <v>36</v>
      </c>
      <c r="H46" s="218" t="s">
        <v>36</v>
      </c>
      <c r="I46" s="64">
        <v>0.7</v>
      </c>
      <c r="J46" s="64">
        <v>0.08</v>
      </c>
      <c r="K46" s="64">
        <v>239.34</v>
      </c>
      <c r="L46" s="64">
        <v>33.630000000000003</v>
      </c>
      <c r="M46" s="64">
        <v>18.07</v>
      </c>
      <c r="N46" s="64">
        <v>756.9</v>
      </c>
      <c r="O46" s="64">
        <v>0</v>
      </c>
      <c r="P46" s="64">
        <v>1.44</v>
      </c>
      <c r="Q46" s="64">
        <v>32.43</v>
      </c>
      <c r="R46" s="198"/>
      <c r="S46" s="198"/>
      <c r="T46" s="198"/>
      <c r="U46" s="198"/>
    </row>
    <row r="47" spans="1:21" s="12" customFormat="1" x14ac:dyDescent="0.25">
      <c r="A47" s="211" t="s">
        <v>1340</v>
      </c>
      <c r="B47" s="64">
        <v>36.85</v>
      </c>
      <c r="C47" s="64">
        <v>52.77</v>
      </c>
      <c r="D47" s="64">
        <v>59.32</v>
      </c>
      <c r="E47" s="64">
        <v>12.14</v>
      </c>
      <c r="F47" s="64">
        <v>10.41</v>
      </c>
      <c r="G47" s="218" t="s">
        <v>36</v>
      </c>
      <c r="H47" s="218" t="s">
        <v>36</v>
      </c>
      <c r="I47" s="64">
        <v>0.82</v>
      </c>
      <c r="J47" s="64">
        <v>0.89</v>
      </c>
      <c r="K47" s="64">
        <v>123.57</v>
      </c>
      <c r="L47" s="64">
        <v>33.119999999999997</v>
      </c>
      <c r="M47" s="64">
        <v>16.05</v>
      </c>
      <c r="N47" s="64">
        <v>805.8</v>
      </c>
      <c r="O47" s="64">
        <v>0</v>
      </c>
      <c r="P47" s="64">
        <v>1.41</v>
      </c>
      <c r="Q47" s="64">
        <v>32.340000000000003</v>
      </c>
      <c r="R47" s="198"/>
      <c r="S47" s="198"/>
      <c r="T47" s="198"/>
      <c r="U47" s="198"/>
    </row>
    <row r="48" spans="1:21" s="12" customFormat="1" x14ac:dyDescent="0.25">
      <c r="A48" s="211" t="s">
        <v>1341</v>
      </c>
      <c r="B48" s="64">
        <v>28.87</v>
      </c>
      <c r="C48" s="64">
        <v>51.45</v>
      </c>
      <c r="D48" s="64">
        <v>52.19</v>
      </c>
      <c r="E48" s="64">
        <v>11.87</v>
      </c>
      <c r="F48" s="64">
        <v>15.7</v>
      </c>
      <c r="G48" s="218" t="s">
        <v>36</v>
      </c>
      <c r="H48" s="218" t="s">
        <v>36</v>
      </c>
      <c r="I48" s="64">
        <v>0.84</v>
      </c>
      <c r="J48" s="64">
        <v>0.77</v>
      </c>
      <c r="K48" s="64">
        <v>105.64</v>
      </c>
      <c r="L48" s="64">
        <v>33.29</v>
      </c>
      <c r="M48" s="64">
        <v>16.190000000000001</v>
      </c>
      <c r="N48" s="64">
        <v>816.8</v>
      </c>
      <c r="O48" s="64">
        <v>0</v>
      </c>
      <c r="P48" s="64">
        <v>1.24</v>
      </c>
      <c r="Q48" s="64">
        <v>31.93</v>
      </c>
      <c r="R48" s="198"/>
      <c r="S48" s="198"/>
      <c r="T48" s="198"/>
      <c r="U48" s="198"/>
    </row>
    <row r="49" spans="1:21" s="12" customFormat="1" x14ac:dyDescent="0.25">
      <c r="A49" s="211" t="s">
        <v>1342</v>
      </c>
      <c r="B49" s="64">
        <v>15.25</v>
      </c>
      <c r="C49" s="64">
        <v>52.66</v>
      </c>
      <c r="D49" s="64">
        <v>41.93</v>
      </c>
      <c r="E49" s="64">
        <v>13.92</v>
      </c>
      <c r="F49" s="64">
        <v>27.36</v>
      </c>
      <c r="G49" s="218" t="s">
        <v>36</v>
      </c>
      <c r="H49" s="218" t="s">
        <v>36</v>
      </c>
      <c r="I49" s="64">
        <v>0.9</v>
      </c>
      <c r="J49" s="64">
        <v>1.02</v>
      </c>
      <c r="K49" s="64">
        <v>126.38</v>
      </c>
      <c r="L49" s="64">
        <v>33.729999999999997</v>
      </c>
      <c r="M49" s="64">
        <v>15.16</v>
      </c>
      <c r="N49" s="64">
        <v>854.7</v>
      </c>
      <c r="O49" s="64">
        <v>0</v>
      </c>
      <c r="P49" s="64">
        <v>1.01</v>
      </c>
      <c r="Q49" s="64">
        <v>30.8</v>
      </c>
      <c r="R49" s="198"/>
      <c r="S49" s="198"/>
      <c r="T49" s="198"/>
      <c r="U49" s="198"/>
    </row>
    <row r="50" spans="1:21" s="12" customFormat="1" x14ac:dyDescent="0.25">
      <c r="A50" s="211" t="s">
        <v>1343</v>
      </c>
      <c r="B50" s="64">
        <v>1.72</v>
      </c>
      <c r="C50" s="64">
        <v>50.34</v>
      </c>
      <c r="D50" s="64">
        <v>29.8</v>
      </c>
      <c r="E50" s="64">
        <v>17.739999999999998</v>
      </c>
      <c r="F50" s="64">
        <v>47.28</v>
      </c>
      <c r="G50" s="218" t="s">
        <v>36</v>
      </c>
      <c r="H50" s="218" t="s">
        <v>36</v>
      </c>
      <c r="I50" s="64">
        <v>0.85</v>
      </c>
      <c r="J50" s="64">
        <v>1.18</v>
      </c>
      <c r="K50" s="64">
        <v>108.55</v>
      </c>
      <c r="L50" s="64">
        <v>33.4</v>
      </c>
      <c r="M50" s="64">
        <v>17.100000000000001</v>
      </c>
      <c r="N50" s="64">
        <v>856</v>
      </c>
      <c r="O50" s="64">
        <v>0</v>
      </c>
      <c r="P50" s="64">
        <v>0.57999999999999996</v>
      </c>
      <c r="Q50" s="64">
        <v>24.32</v>
      </c>
      <c r="R50" s="198"/>
      <c r="S50" s="198"/>
      <c r="T50" s="198"/>
      <c r="U50" s="198"/>
    </row>
    <row r="51" spans="1:21" s="12" customFormat="1" x14ac:dyDescent="0.25">
      <c r="A51" s="211" t="s">
        <v>1344</v>
      </c>
      <c r="B51" s="64">
        <v>1</v>
      </c>
      <c r="C51" s="64">
        <v>46.68</v>
      </c>
      <c r="D51" s="64">
        <v>27.21</v>
      </c>
      <c r="E51" s="64">
        <v>20.190000000000001</v>
      </c>
      <c r="F51" s="64">
        <v>54.07</v>
      </c>
      <c r="G51" s="218" t="s">
        <v>36</v>
      </c>
      <c r="H51" s="218" t="s">
        <v>36</v>
      </c>
      <c r="I51" s="64">
        <v>0.75</v>
      </c>
      <c r="J51" s="64">
        <v>0.99</v>
      </c>
      <c r="K51" s="64">
        <v>125.47</v>
      </c>
      <c r="L51" s="64">
        <v>33.590000000000003</v>
      </c>
      <c r="M51" s="64">
        <v>15.96</v>
      </c>
      <c r="N51" s="64">
        <v>858.5</v>
      </c>
      <c r="O51" s="64">
        <v>0</v>
      </c>
      <c r="P51" s="64">
        <v>0.47</v>
      </c>
      <c r="Q51" s="64">
        <v>22.2</v>
      </c>
      <c r="R51" s="198"/>
      <c r="S51" s="198"/>
      <c r="T51" s="198"/>
      <c r="U51" s="198"/>
    </row>
    <row r="52" spans="1:21" s="12" customFormat="1" x14ac:dyDescent="0.25">
      <c r="A52" s="211" t="s">
        <v>1345</v>
      </c>
      <c r="B52" s="64">
        <v>1</v>
      </c>
      <c r="C52" s="64">
        <v>41.01</v>
      </c>
      <c r="D52" s="64">
        <v>24.08</v>
      </c>
      <c r="E52" s="64">
        <v>15.5</v>
      </c>
      <c r="F52" s="64">
        <v>46.69</v>
      </c>
      <c r="G52" s="218" t="s">
        <v>36</v>
      </c>
      <c r="H52" s="218" t="s">
        <v>36</v>
      </c>
      <c r="I52" s="64">
        <v>0.55000000000000004</v>
      </c>
      <c r="J52" s="64">
        <v>1.1599999999999999</v>
      </c>
      <c r="K52" s="64">
        <v>141.94999999999999</v>
      </c>
      <c r="L52" s="64">
        <v>33.81</v>
      </c>
      <c r="M52" s="64">
        <v>15.53</v>
      </c>
      <c r="N52" s="64">
        <v>844.1</v>
      </c>
      <c r="O52" s="64">
        <v>0</v>
      </c>
      <c r="P52" s="64">
        <v>0.39</v>
      </c>
      <c r="Q52" s="64">
        <v>21.2</v>
      </c>
      <c r="R52" s="198"/>
      <c r="S52" s="198"/>
      <c r="T52" s="198"/>
      <c r="U52" s="198"/>
    </row>
    <row r="53" spans="1:21" s="12" customFormat="1" x14ac:dyDescent="0.25">
      <c r="A53" s="211" t="s">
        <v>1346</v>
      </c>
      <c r="B53" s="64">
        <v>1.97</v>
      </c>
      <c r="C53" s="64">
        <v>40.99</v>
      </c>
      <c r="D53" s="64">
        <v>24.85</v>
      </c>
      <c r="E53" s="64">
        <v>26.65</v>
      </c>
      <c r="F53" s="64">
        <v>72.03</v>
      </c>
      <c r="G53" s="218" t="s">
        <v>36</v>
      </c>
      <c r="H53" s="218" t="s">
        <v>36</v>
      </c>
      <c r="I53" s="64">
        <v>0.5</v>
      </c>
      <c r="J53" s="64">
        <v>0.65</v>
      </c>
      <c r="K53" s="64">
        <v>113.75</v>
      </c>
      <c r="L53" s="64">
        <v>34.479999999999997</v>
      </c>
      <c r="M53" s="64">
        <v>16.16</v>
      </c>
      <c r="N53" s="64">
        <v>884.2</v>
      </c>
      <c r="O53" s="64">
        <v>0</v>
      </c>
      <c r="P53" s="64">
        <v>0.41</v>
      </c>
      <c r="Q53" s="64">
        <v>21.69</v>
      </c>
      <c r="R53" s="198"/>
      <c r="S53" s="198"/>
      <c r="T53" s="198"/>
      <c r="U53" s="198"/>
    </row>
    <row r="54" spans="1:21" s="12" customFormat="1" x14ac:dyDescent="0.25">
      <c r="A54" s="211" t="s">
        <v>1347</v>
      </c>
      <c r="B54" s="64">
        <v>1.19</v>
      </c>
      <c r="C54" s="64">
        <v>35.119999999999997</v>
      </c>
      <c r="D54" s="64">
        <v>20.99</v>
      </c>
      <c r="E54" s="64">
        <v>24.39</v>
      </c>
      <c r="F54" s="64">
        <v>55.42</v>
      </c>
      <c r="G54" s="218" t="s">
        <v>36</v>
      </c>
      <c r="H54" s="218" t="s">
        <v>36</v>
      </c>
      <c r="I54" s="64">
        <v>0.51</v>
      </c>
      <c r="J54" s="64">
        <v>0.97</v>
      </c>
      <c r="K54" s="64">
        <v>123.73</v>
      </c>
      <c r="L54" s="64">
        <v>34.43</v>
      </c>
      <c r="M54" s="64">
        <v>16.36</v>
      </c>
      <c r="N54" s="64">
        <v>881.3</v>
      </c>
      <c r="O54" s="64">
        <v>0</v>
      </c>
      <c r="P54" s="64">
        <v>0.36</v>
      </c>
      <c r="Q54" s="64">
        <v>22.5</v>
      </c>
      <c r="R54" s="198"/>
      <c r="S54" s="198"/>
      <c r="T54" s="198"/>
      <c r="U54" s="198"/>
    </row>
    <row r="55" spans="1:21" s="12" customFormat="1" x14ac:dyDescent="0.25">
      <c r="A55" s="211" t="s">
        <v>1348</v>
      </c>
      <c r="B55" s="64">
        <v>1.28</v>
      </c>
      <c r="C55" s="64">
        <v>33.450000000000003</v>
      </c>
      <c r="D55" s="64">
        <v>20.13</v>
      </c>
      <c r="E55" s="64">
        <v>15.88</v>
      </c>
      <c r="F55" s="64">
        <v>56.62</v>
      </c>
      <c r="G55" s="218" t="s">
        <v>36</v>
      </c>
      <c r="H55" s="218" t="s">
        <v>36</v>
      </c>
      <c r="I55" s="64">
        <v>0.49</v>
      </c>
      <c r="J55" s="64">
        <v>0.91</v>
      </c>
      <c r="K55" s="64">
        <v>125.27</v>
      </c>
      <c r="L55" s="64">
        <v>34.36</v>
      </c>
      <c r="M55" s="64">
        <v>13.87</v>
      </c>
      <c r="N55" s="64">
        <v>873.7</v>
      </c>
      <c r="O55" s="64">
        <v>0</v>
      </c>
      <c r="P55" s="64">
        <v>0.33</v>
      </c>
      <c r="Q55" s="64">
        <v>22.86</v>
      </c>
      <c r="R55" s="198"/>
      <c r="S55" s="198"/>
      <c r="T55" s="198"/>
      <c r="U55" s="198"/>
    </row>
    <row r="56" spans="1:21" s="12" customFormat="1" x14ac:dyDescent="0.25">
      <c r="A56" s="211" t="s">
        <v>1349</v>
      </c>
      <c r="B56" s="64">
        <v>1.19</v>
      </c>
      <c r="C56" s="64">
        <v>30.55</v>
      </c>
      <c r="D56" s="64">
        <v>18.46</v>
      </c>
      <c r="E56" s="64">
        <v>12.26</v>
      </c>
      <c r="F56" s="64">
        <v>53.14</v>
      </c>
      <c r="G56" s="218" t="s">
        <v>36</v>
      </c>
      <c r="H56" s="218" t="s">
        <v>36</v>
      </c>
      <c r="I56" s="64">
        <v>0.54</v>
      </c>
      <c r="J56" s="64">
        <v>0.6</v>
      </c>
      <c r="K56" s="64">
        <v>215.38</v>
      </c>
      <c r="L56" s="64">
        <v>35.19</v>
      </c>
      <c r="M56" s="64">
        <v>12.49</v>
      </c>
      <c r="N56" s="64">
        <v>909.5</v>
      </c>
      <c r="O56" s="64">
        <v>0</v>
      </c>
      <c r="P56" s="64">
        <v>0.31</v>
      </c>
      <c r="Q56" s="64">
        <v>23.31</v>
      </c>
      <c r="R56" s="198"/>
      <c r="S56" s="198"/>
      <c r="T56" s="198"/>
      <c r="U56" s="198"/>
    </row>
    <row r="57" spans="1:21" s="12" customFormat="1" x14ac:dyDescent="0.25">
      <c r="A57" s="211" t="s">
        <v>1350</v>
      </c>
      <c r="B57" s="64">
        <v>2.19</v>
      </c>
      <c r="C57" s="64">
        <v>37.04</v>
      </c>
      <c r="D57" s="64">
        <v>22.84</v>
      </c>
      <c r="E57" s="64">
        <v>13.57</v>
      </c>
      <c r="F57" s="64">
        <v>24.96</v>
      </c>
      <c r="G57" s="218" t="s">
        <v>36</v>
      </c>
      <c r="H57" s="218" t="s">
        <v>36</v>
      </c>
      <c r="I57" s="64">
        <v>0.54</v>
      </c>
      <c r="J57" s="64">
        <v>0.26</v>
      </c>
      <c r="K57" s="64">
        <v>184.6</v>
      </c>
      <c r="L57" s="64">
        <v>36.03</v>
      </c>
      <c r="M57" s="64">
        <v>13.11</v>
      </c>
      <c r="N57" s="64">
        <v>866.5</v>
      </c>
      <c r="O57" s="64">
        <v>0</v>
      </c>
      <c r="P57" s="64">
        <v>0.37</v>
      </c>
      <c r="Q57" s="64">
        <v>23.7</v>
      </c>
      <c r="R57" s="198"/>
      <c r="S57" s="198"/>
      <c r="T57" s="198"/>
      <c r="U57" s="198"/>
    </row>
    <row r="58" spans="1:21" s="12" customFormat="1" x14ac:dyDescent="0.25">
      <c r="A58" s="211" t="s">
        <v>1351</v>
      </c>
      <c r="B58" s="64">
        <v>1.91</v>
      </c>
      <c r="C58" s="64">
        <v>39.71</v>
      </c>
      <c r="D58" s="64">
        <v>24.09</v>
      </c>
      <c r="E58" s="64">
        <v>10.33</v>
      </c>
      <c r="F58" s="64">
        <v>26.2</v>
      </c>
      <c r="G58" s="218" t="s">
        <v>36</v>
      </c>
      <c r="H58" s="218" t="s">
        <v>36</v>
      </c>
      <c r="I58" s="64">
        <v>0.56999999999999995</v>
      </c>
      <c r="J58" s="64">
        <v>0.42</v>
      </c>
      <c r="K58" s="64">
        <v>140.58000000000001</v>
      </c>
      <c r="L58" s="64">
        <v>35.94</v>
      </c>
      <c r="M58" s="64">
        <v>13.31</v>
      </c>
      <c r="N58" s="64">
        <v>924.8</v>
      </c>
      <c r="O58" s="64">
        <v>0</v>
      </c>
      <c r="P58" s="64">
        <v>0.36</v>
      </c>
      <c r="Q58" s="64">
        <v>24.07</v>
      </c>
      <c r="R58" s="198"/>
      <c r="S58" s="198"/>
      <c r="T58" s="198"/>
      <c r="U58" s="198"/>
    </row>
    <row r="59" spans="1:21" s="12" customFormat="1" x14ac:dyDescent="0.25">
      <c r="A59" s="211" t="s">
        <v>1352</v>
      </c>
      <c r="B59" s="64">
        <v>1.66</v>
      </c>
      <c r="C59" s="64">
        <v>39.54</v>
      </c>
      <c r="D59" s="64">
        <v>23.8</v>
      </c>
      <c r="E59" s="64">
        <v>8.18</v>
      </c>
      <c r="F59" s="64">
        <v>14.11</v>
      </c>
      <c r="G59" s="218" t="s">
        <v>36</v>
      </c>
      <c r="H59" s="218" t="s">
        <v>36</v>
      </c>
      <c r="I59" s="64">
        <v>0.65</v>
      </c>
      <c r="J59" s="64">
        <v>0.42</v>
      </c>
      <c r="K59" s="64">
        <v>286.64999999999998</v>
      </c>
      <c r="L59" s="64">
        <v>38.340000000000003</v>
      </c>
      <c r="M59" s="64">
        <v>12.59</v>
      </c>
      <c r="N59" s="64">
        <v>891.2</v>
      </c>
      <c r="O59" s="64">
        <v>0</v>
      </c>
      <c r="P59" s="64">
        <v>0.38</v>
      </c>
      <c r="Q59" s="64">
        <v>24.47</v>
      </c>
      <c r="R59" s="198"/>
      <c r="S59" s="198"/>
      <c r="T59" s="198"/>
      <c r="U59" s="198"/>
    </row>
    <row r="60" spans="1:21" s="12" customFormat="1" x14ac:dyDescent="0.25">
      <c r="A60" s="211" t="s">
        <v>1353</v>
      </c>
      <c r="B60" s="64">
        <v>3.45</v>
      </c>
      <c r="C60" s="64">
        <v>42.17</v>
      </c>
      <c r="D60" s="64">
        <v>26.69</v>
      </c>
      <c r="E60" s="64">
        <v>10.99</v>
      </c>
      <c r="F60" s="64">
        <v>32.99</v>
      </c>
      <c r="G60" s="218" t="s">
        <v>36</v>
      </c>
      <c r="H60" s="218" t="s">
        <v>36</v>
      </c>
      <c r="I60" s="64">
        <v>0.67</v>
      </c>
      <c r="J60" s="64">
        <v>0.31</v>
      </c>
      <c r="K60" s="64">
        <v>296.85000000000002</v>
      </c>
      <c r="L60" s="64">
        <v>39.520000000000003</v>
      </c>
      <c r="M60" s="64">
        <v>10.01</v>
      </c>
      <c r="N60" s="64">
        <v>793.3</v>
      </c>
      <c r="O60" s="64">
        <v>0</v>
      </c>
      <c r="P60" s="64">
        <v>0.38</v>
      </c>
      <c r="Q60" s="64">
        <v>24.31</v>
      </c>
      <c r="R60" s="198"/>
      <c r="S60" s="198"/>
      <c r="T60" s="198"/>
      <c r="U60" s="198"/>
    </row>
    <row r="61" spans="1:21" s="12" customFormat="1" x14ac:dyDescent="0.25">
      <c r="A61" s="211" t="s">
        <v>1354</v>
      </c>
      <c r="B61" s="64">
        <v>1.65</v>
      </c>
      <c r="C61" s="64">
        <v>43.29</v>
      </c>
      <c r="D61" s="64">
        <v>25.86</v>
      </c>
      <c r="E61" s="64">
        <v>8.82</v>
      </c>
      <c r="F61" s="64">
        <v>11.51</v>
      </c>
      <c r="G61" s="218" t="s">
        <v>36</v>
      </c>
      <c r="H61" s="218" t="s">
        <v>36</v>
      </c>
      <c r="I61" s="64">
        <v>0.68</v>
      </c>
      <c r="J61" s="64">
        <v>0.16</v>
      </c>
      <c r="K61" s="64">
        <v>306.69</v>
      </c>
      <c r="L61" s="64">
        <v>38.78</v>
      </c>
      <c r="M61" s="64">
        <v>10.119999999999999</v>
      </c>
      <c r="N61" s="64">
        <v>726.3</v>
      </c>
      <c r="O61" s="64">
        <v>0</v>
      </c>
      <c r="P61" s="64">
        <v>0.57999999999999996</v>
      </c>
      <c r="Q61" s="64">
        <v>24.24</v>
      </c>
      <c r="R61" s="198"/>
      <c r="S61" s="198"/>
      <c r="T61" s="198"/>
      <c r="U61" s="198"/>
    </row>
    <row r="62" spans="1:21" s="12" customFormat="1" x14ac:dyDescent="0.25">
      <c r="A62" s="211" t="s">
        <v>1355</v>
      </c>
      <c r="B62" s="64">
        <v>1.25</v>
      </c>
      <c r="C62" s="64">
        <v>42.82</v>
      </c>
      <c r="D62" s="64">
        <v>25.28</v>
      </c>
      <c r="E62" s="64">
        <v>6.6</v>
      </c>
      <c r="F62" s="64">
        <v>15.75</v>
      </c>
      <c r="G62" s="218" t="s">
        <v>36</v>
      </c>
      <c r="H62" s="218" t="s">
        <v>36</v>
      </c>
      <c r="I62" s="64">
        <v>0.68</v>
      </c>
      <c r="J62" s="64">
        <v>0.1</v>
      </c>
      <c r="K62" s="64">
        <v>286.3</v>
      </c>
      <c r="L62" s="64">
        <v>37.24</v>
      </c>
      <c r="M62" s="64">
        <v>11.71</v>
      </c>
      <c r="N62" s="64">
        <v>668.2</v>
      </c>
      <c r="O62" s="64">
        <v>0</v>
      </c>
      <c r="P62" s="64">
        <v>0.62</v>
      </c>
      <c r="Q62" s="64">
        <v>24.35</v>
      </c>
      <c r="R62" s="198"/>
      <c r="S62" s="198"/>
      <c r="T62" s="198"/>
      <c r="U62" s="198"/>
    </row>
    <row r="63" spans="1:21" s="12" customFormat="1" x14ac:dyDescent="0.25">
      <c r="A63" s="211" t="s">
        <v>1356</v>
      </c>
      <c r="B63" s="64">
        <v>1.35</v>
      </c>
      <c r="C63" s="64">
        <v>43.8</v>
      </c>
      <c r="D63" s="64">
        <v>25.9</v>
      </c>
      <c r="E63" s="64">
        <v>6.52</v>
      </c>
      <c r="F63" s="64">
        <v>17.86</v>
      </c>
      <c r="G63" s="218" t="s">
        <v>36</v>
      </c>
      <c r="H63" s="218" t="s">
        <v>36</v>
      </c>
      <c r="I63" s="64">
        <v>0.74</v>
      </c>
      <c r="J63" s="64">
        <v>0.44</v>
      </c>
      <c r="K63" s="64">
        <v>269.38</v>
      </c>
      <c r="L63" s="64">
        <v>38.64</v>
      </c>
      <c r="M63" s="64">
        <v>11.83</v>
      </c>
      <c r="N63" s="64">
        <v>677.1</v>
      </c>
      <c r="O63" s="64">
        <v>0</v>
      </c>
      <c r="P63" s="64">
        <v>0.64</v>
      </c>
      <c r="Q63" s="64">
        <v>24.1</v>
      </c>
      <c r="R63" s="198"/>
      <c r="S63" s="198"/>
      <c r="T63" s="198"/>
      <c r="U63" s="198"/>
    </row>
    <row r="64" spans="1:21" s="12" customFormat="1" x14ac:dyDescent="0.25">
      <c r="A64" s="211" t="s">
        <v>1357</v>
      </c>
      <c r="B64" s="64">
        <v>2.25</v>
      </c>
      <c r="C64" s="64">
        <v>41.83</v>
      </c>
      <c r="D64" s="64">
        <v>25.54</v>
      </c>
      <c r="E64" s="64">
        <v>9.34</v>
      </c>
      <c r="F64" s="64">
        <v>38.61</v>
      </c>
      <c r="G64" s="64">
        <v>100.6</v>
      </c>
      <c r="H64" s="64">
        <v>28.06</v>
      </c>
      <c r="I64" s="64">
        <v>0.73</v>
      </c>
      <c r="J64" s="64">
        <v>0.82</v>
      </c>
      <c r="K64" s="64">
        <v>285.92</v>
      </c>
      <c r="L64" s="64">
        <v>38.67</v>
      </c>
      <c r="M64" s="64">
        <v>11.09</v>
      </c>
      <c r="N64" s="64">
        <v>670.8</v>
      </c>
      <c r="O64" s="64">
        <v>0</v>
      </c>
      <c r="P64" s="64">
        <v>0.66</v>
      </c>
      <c r="Q64" s="64">
        <v>24.19</v>
      </c>
      <c r="R64" s="198"/>
      <c r="S64" s="198"/>
      <c r="T64" s="198"/>
      <c r="U64" s="198"/>
    </row>
    <row r="65" spans="1:21" s="12" customFormat="1" x14ac:dyDescent="0.25">
      <c r="A65" s="211" t="s">
        <v>1358</v>
      </c>
      <c r="B65" s="64">
        <v>2.75</v>
      </c>
      <c r="C65" s="64">
        <v>36.54</v>
      </c>
      <c r="D65" s="64">
        <v>23.01</v>
      </c>
      <c r="E65" s="64">
        <v>7.83</v>
      </c>
      <c r="F65" s="64">
        <v>16.97</v>
      </c>
      <c r="G65" s="64">
        <v>100.6</v>
      </c>
      <c r="H65" s="64">
        <v>28.06</v>
      </c>
      <c r="I65" s="64">
        <v>0.67</v>
      </c>
      <c r="J65" s="64">
        <v>1.81</v>
      </c>
      <c r="K65" s="64">
        <v>282.01</v>
      </c>
      <c r="L65" s="64">
        <v>38.61</v>
      </c>
      <c r="M65" s="64">
        <v>8.09</v>
      </c>
      <c r="N65" s="64">
        <v>562.1</v>
      </c>
      <c r="O65" s="64">
        <v>0</v>
      </c>
      <c r="P65" s="64">
        <v>0.64</v>
      </c>
      <c r="Q65" s="64">
        <v>24.02</v>
      </c>
      <c r="R65" s="198"/>
      <c r="S65" s="198"/>
      <c r="T65" s="198"/>
      <c r="U65" s="198"/>
    </row>
    <row r="66" spans="1:21" s="12" customFormat="1" x14ac:dyDescent="0.25">
      <c r="A66" s="211" t="s">
        <v>1359</v>
      </c>
      <c r="B66" s="64">
        <v>3.83</v>
      </c>
      <c r="C66" s="64">
        <v>36.369999999999997</v>
      </c>
      <c r="D66" s="64">
        <v>23.79</v>
      </c>
      <c r="E66" s="64">
        <v>6.7</v>
      </c>
      <c r="F66" s="64">
        <v>20.61</v>
      </c>
      <c r="G66" s="64">
        <v>100.6</v>
      </c>
      <c r="H66" s="64">
        <v>28.06</v>
      </c>
      <c r="I66" s="64">
        <v>0.66</v>
      </c>
      <c r="J66" s="64">
        <v>1.29</v>
      </c>
      <c r="K66" s="64">
        <v>283.62</v>
      </c>
      <c r="L66" s="64">
        <v>38</v>
      </c>
      <c r="M66" s="64">
        <v>8.9600000000000009</v>
      </c>
      <c r="N66" s="64">
        <v>474.8</v>
      </c>
      <c r="O66" s="64">
        <v>0</v>
      </c>
      <c r="P66" s="64">
        <v>0.62</v>
      </c>
      <c r="Q66" s="64">
        <v>22.57</v>
      </c>
      <c r="R66" s="198"/>
      <c r="S66" s="198"/>
      <c r="T66" s="198"/>
      <c r="U66" s="198"/>
    </row>
    <row r="67" spans="1:21" s="12" customFormat="1" x14ac:dyDescent="0.25">
      <c r="A67" s="211" t="s">
        <v>1360</v>
      </c>
      <c r="B67" s="64">
        <v>5.28</v>
      </c>
      <c r="C67" s="64">
        <v>41.14</v>
      </c>
      <c r="D67" s="64">
        <v>27.59</v>
      </c>
      <c r="E67" s="64">
        <v>11.27</v>
      </c>
      <c r="F67" s="64">
        <v>50.08</v>
      </c>
      <c r="G67" s="64">
        <v>100.02</v>
      </c>
      <c r="H67" s="64">
        <v>28.06</v>
      </c>
      <c r="I67" s="64">
        <v>0.68</v>
      </c>
      <c r="J67" s="64">
        <v>0.57999999999999996</v>
      </c>
      <c r="K67" s="64">
        <v>294.76</v>
      </c>
      <c r="L67" s="64">
        <v>37.86</v>
      </c>
      <c r="M67" s="64">
        <v>9.91</v>
      </c>
      <c r="N67" s="64">
        <v>453.8</v>
      </c>
      <c r="O67" s="64">
        <v>0</v>
      </c>
      <c r="P67" s="64">
        <v>0.69</v>
      </c>
      <c r="Q67" s="64">
        <v>21.62</v>
      </c>
      <c r="R67" s="198"/>
      <c r="S67" s="198"/>
      <c r="T67" s="198"/>
      <c r="U67" s="198"/>
    </row>
    <row r="68" spans="1:21" s="12" customFormat="1" x14ac:dyDescent="0.25">
      <c r="A68" s="211" t="s">
        <v>1361</v>
      </c>
      <c r="B68" s="64">
        <v>6.72</v>
      </c>
      <c r="C68" s="64">
        <v>39.380000000000003</v>
      </c>
      <c r="D68" s="64">
        <v>27.77</v>
      </c>
      <c r="E68" s="64">
        <v>14.45</v>
      </c>
      <c r="F68" s="64">
        <v>53.23</v>
      </c>
      <c r="G68" s="64">
        <v>47.66</v>
      </c>
      <c r="H68" s="64">
        <v>25.35</v>
      </c>
      <c r="I68" s="64">
        <v>0.67</v>
      </c>
      <c r="J68" s="64">
        <v>0.27</v>
      </c>
      <c r="K68" s="64">
        <v>275.85000000000002</v>
      </c>
      <c r="L68" s="64">
        <v>36.909999999999997</v>
      </c>
      <c r="M68" s="64">
        <v>9.3699999999999992</v>
      </c>
      <c r="N68" s="64">
        <v>410</v>
      </c>
      <c r="O68" s="64">
        <v>0</v>
      </c>
      <c r="P68" s="64">
        <v>0.62</v>
      </c>
      <c r="Q68" s="64">
        <v>20.94</v>
      </c>
      <c r="R68" s="198"/>
      <c r="S68" s="198"/>
      <c r="T68" s="198"/>
      <c r="U68" s="198"/>
    </row>
    <row r="69" spans="1:21" s="12" customFormat="1" x14ac:dyDescent="0.25">
      <c r="A69" s="211" t="s">
        <v>1362</v>
      </c>
      <c r="B69" s="64">
        <v>2.72</v>
      </c>
      <c r="C69" s="64">
        <v>36.9</v>
      </c>
      <c r="D69" s="64">
        <v>23.19</v>
      </c>
      <c r="E69" s="64">
        <v>10.09</v>
      </c>
      <c r="F69" s="64">
        <v>16.559999999999999</v>
      </c>
      <c r="G69" s="64">
        <v>47.66</v>
      </c>
      <c r="H69" s="64">
        <v>25.35</v>
      </c>
      <c r="I69" s="64">
        <v>0.61</v>
      </c>
      <c r="J69" s="64">
        <v>0.52</v>
      </c>
      <c r="K69" s="64">
        <v>165.83</v>
      </c>
      <c r="L69" s="64">
        <v>36.57</v>
      </c>
      <c r="M69" s="64">
        <v>9.7799999999999994</v>
      </c>
      <c r="N69" s="64">
        <v>267.8</v>
      </c>
      <c r="O69" s="64">
        <v>0</v>
      </c>
      <c r="P69" s="64">
        <v>0.69</v>
      </c>
      <c r="Q69" s="64">
        <v>21.16</v>
      </c>
      <c r="R69" s="198"/>
      <c r="S69" s="198"/>
      <c r="T69" s="198"/>
      <c r="U69" s="198"/>
    </row>
    <row r="70" spans="1:21" s="12" customFormat="1" x14ac:dyDescent="0.25">
      <c r="A70" s="211" t="s">
        <v>1363</v>
      </c>
      <c r="B70" s="64">
        <v>2.21</v>
      </c>
      <c r="C70" s="64">
        <v>37.01</v>
      </c>
      <c r="D70" s="64">
        <v>22.84</v>
      </c>
      <c r="E70" s="64">
        <v>10.07</v>
      </c>
      <c r="F70" s="64">
        <v>33.89</v>
      </c>
      <c r="G70" s="64">
        <v>47.66</v>
      </c>
      <c r="H70" s="64">
        <v>25.35</v>
      </c>
      <c r="I70" s="64">
        <v>0.65</v>
      </c>
      <c r="J70" s="64">
        <v>0.37</v>
      </c>
      <c r="K70" s="64">
        <v>275.14</v>
      </c>
      <c r="L70" s="64">
        <v>36.03</v>
      </c>
      <c r="M70" s="64">
        <v>10.48</v>
      </c>
      <c r="N70" s="64">
        <v>290</v>
      </c>
      <c r="O70" s="64">
        <v>0</v>
      </c>
      <c r="P70" s="64">
        <v>0.62</v>
      </c>
      <c r="Q70" s="64">
        <v>23.46</v>
      </c>
      <c r="R70" s="198"/>
      <c r="S70" s="198"/>
      <c r="T70" s="198"/>
      <c r="U70" s="198"/>
    </row>
    <row r="71" spans="1:21" s="12" customFormat="1" x14ac:dyDescent="0.25">
      <c r="A71" s="211" t="s">
        <v>1364</v>
      </c>
      <c r="B71" s="64">
        <v>2.4</v>
      </c>
      <c r="C71" s="64">
        <v>40.01</v>
      </c>
      <c r="D71" s="64">
        <v>24.65</v>
      </c>
      <c r="E71" s="64">
        <v>8.01</v>
      </c>
      <c r="F71" s="64">
        <v>27.59</v>
      </c>
      <c r="G71" s="64">
        <v>47.59</v>
      </c>
      <c r="H71" s="64">
        <v>25.35</v>
      </c>
      <c r="I71" s="64">
        <v>0.77</v>
      </c>
      <c r="J71" s="64">
        <v>0.72</v>
      </c>
      <c r="K71" s="64">
        <v>289.32</v>
      </c>
      <c r="L71" s="64">
        <v>36.950000000000003</v>
      </c>
      <c r="M71" s="64">
        <v>10</v>
      </c>
      <c r="N71" s="64">
        <v>345.3</v>
      </c>
      <c r="O71" s="64">
        <v>0</v>
      </c>
      <c r="P71" s="64">
        <v>0.65</v>
      </c>
      <c r="Q71" s="64">
        <v>23.86</v>
      </c>
      <c r="R71" s="198"/>
      <c r="S71" s="198"/>
      <c r="T71" s="198"/>
      <c r="U71" s="198"/>
    </row>
    <row r="72" spans="1:21" s="12" customFormat="1" x14ac:dyDescent="0.25">
      <c r="A72" s="211" t="s">
        <v>1365</v>
      </c>
      <c r="B72" s="64">
        <v>2.99</v>
      </c>
      <c r="C72" s="64">
        <v>39.97</v>
      </c>
      <c r="D72" s="64">
        <v>25.11</v>
      </c>
      <c r="E72" s="64">
        <v>4.7</v>
      </c>
      <c r="F72" s="64">
        <v>22.15</v>
      </c>
      <c r="G72" s="64">
        <v>41.39</v>
      </c>
      <c r="H72" s="64">
        <v>22.94</v>
      </c>
      <c r="I72" s="64">
        <v>0.73</v>
      </c>
      <c r="J72" s="64">
        <v>0.94</v>
      </c>
      <c r="K72" s="64">
        <v>281.64999999999998</v>
      </c>
      <c r="L72" s="64">
        <v>36.99</v>
      </c>
      <c r="M72" s="64">
        <v>11</v>
      </c>
      <c r="N72" s="64">
        <v>173.6</v>
      </c>
      <c r="O72" s="64">
        <v>0</v>
      </c>
      <c r="P72" s="64">
        <v>0.65</v>
      </c>
      <c r="Q72" s="64">
        <v>23.67</v>
      </c>
      <c r="R72" s="198"/>
      <c r="S72" s="198"/>
      <c r="T72" s="198"/>
      <c r="U72" s="198"/>
    </row>
    <row r="73" spans="1:21" s="12" customFormat="1" x14ac:dyDescent="0.25">
      <c r="A73" s="211" t="s">
        <v>1366</v>
      </c>
      <c r="B73" s="64">
        <v>3.37</v>
      </c>
      <c r="C73" s="64">
        <v>39.549999999999997</v>
      </c>
      <c r="D73" s="64">
        <v>25.17</v>
      </c>
      <c r="E73" s="64">
        <v>6.49</v>
      </c>
      <c r="F73" s="64">
        <v>26.3</v>
      </c>
      <c r="G73" s="64">
        <v>41.39</v>
      </c>
      <c r="H73" s="64">
        <v>22.94</v>
      </c>
      <c r="I73" s="64">
        <v>0.75</v>
      </c>
      <c r="J73" s="64">
        <v>0.74</v>
      </c>
      <c r="K73" s="64">
        <v>299.27</v>
      </c>
      <c r="L73" s="64">
        <v>36.83</v>
      </c>
      <c r="M73" s="64">
        <v>10.18</v>
      </c>
      <c r="N73" s="64">
        <v>146.9</v>
      </c>
      <c r="O73" s="64">
        <v>0</v>
      </c>
      <c r="P73" s="64">
        <v>0.65</v>
      </c>
      <c r="Q73" s="64">
        <v>23.45</v>
      </c>
      <c r="R73" s="198"/>
      <c r="S73" s="198"/>
      <c r="T73" s="198"/>
      <c r="U73" s="198"/>
    </row>
    <row r="74" spans="1:21" s="12" customFormat="1" x14ac:dyDescent="0.25">
      <c r="A74" s="211" t="s">
        <v>1367</v>
      </c>
      <c r="B74" s="64">
        <v>3.59</v>
      </c>
      <c r="C74" s="64">
        <v>52.17</v>
      </c>
      <c r="D74" s="64">
        <v>32.31</v>
      </c>
      <c r="E74" s="64">
        <v>9.15</v>
      </c>
      <c r="F74" s="64">
        <v>32.869999999999997</v>
      </c>
      <c r="G74" s="64">
        <v>41.39</v>
      </c>
      <c r="H74" s="64">
        <v>22.94</v>
      </c>
      <c r="I74" s="64">
        <v>0.73</v>
      </c>
      <c r="J74" s="64">
        <v>0.37</v>
      </c>
      <c r="K74" s="64">
        <v>280.35000000000002</v>
      </c>
      <c r="L74" s="64">
        <v>36.229999999999997</v>
      </c>
      <c r="M74" s="64">
        <v>11.82</v>
      </c>
      <c r="N74" s="64">
        <v>134.69999999999999</v>
      </c>
      <c r="O74" s="64">
        <v>0</v>
      </c>
      <c r="P74" s="64">
        <v>0.68</v>
      </c>
      <c r="Q74" s="64">
        <v>22.8</v>
      </c>
      <c r="R74" s="198"/>
      <c r="S74" s="198"/>
      <c r="T74" s="198"/>
      <c r="U74" s="198"/>
    </row>
    <row r="75" spans="1:21" s="12" customFormat="1" x14ac:dyDescent="0.25">
      <c r="A75" s="211" t="s">
        <v>1368</v>
      </c>
      <c r="B75" s="64">
        <v>4.13</v>
      </c>
      <c r="C75" s="64">
        <v>45.14</v>
      </c>
      <c r="D75" s="64">
        <v>28.87</v>
      </c>
      <c r="E75" s="64">
        <v>7.8</v>
      </c>
      <c r="F75" s="64">
        <v>33.479999999999997</v>
      </c>
      <c r="G75" s="64">
        <v>41.39</v>
      </c>
      <c r="H75" s="64">
        <v>22.94</v>
      </c>
      <c r="I75" s="64">
        <v>0.72</v>
      </c>
      <c r="J75" s="64">
        <v>0.68</v>
      </c>
      <c r="K75" s="64">
        <v>286.44</v>
      </c>
      <c r="L75" s="64">
        <v>35.21</v>
      </c>
      <c r="M75" s="64">
        <v>13.86</v>
      </c>
      <c r="N75" s="64">
        <v>104.7</v>
      </c>
      <c r="O75" s="64">
        <v>0</v>
      </c>
      <c r="P75" s="64">
        <v>0.69</v>
      </c>
      <c r="Q75" s="64">
        <v>23.17</v>
      </c>
      <c r="R75" s="198"/>
      <c r="S75" s="198"/>
      <c r="T75" s="198"/>
      <c r="U75" s="198"/>
    </row>
    <row r="76" spans="1:21" s="12" customFormat="1" x14ac:dyDescent="0.25">
      <c r="A76" s="211" t="s">
        <v>1369</v>
      </c>
      <c r="B76" s="64">
        <v>7.62</v>
      </c>
      <c r="C76" s="64">
        <v>49.18</v>
      </c>
      <c r="D76" s="64">
        <v>33.9</v>
      </c>
      <c r="E76" s="64">
        <v>15.43</v>
      </c>
      <c r="F76" s="64">
        <v>63.39</v>
      </c>
      <c r="G76" s="218" t="s">
        <v>36</v>
      </c>
      <c r="H76" s="218" t="s">
        <v>36</v>
      </c>
      <c r="I76" s="64">
        <v>0.64</v>
      </c>
      <c r="J76" s="64">
        <v>0.72</v>
      </c>
      <c r="K76" s="64">
        <v>288.18</v>
      </c>
      <c r="L76" s="64">
        <v>35.119999999999997</v>
      </c>
      <c r="M76" s="64">
        <v>13.72</v>
      </c>
      <c r="N76" s="64">
        <v>98.9</v>
      </c>
      <c r="O76" s="64">
        <v>0</v>
      </c>
      <c r="P76" s="64">
        <v>0.8</v>
      </c>
      <c r="Q76" s="64">
        <v>23.05</v>
      </c>
      <c r="R76" s="198"/>
      <c r="S76" s="198"/>
      <c r="T76" s="198"/>
      <c r="U76" s="198"/>
    </row>
    <row r="77" spans="1:21" s="12" customFormat="1" x14ac:dyDescent="0.25">
      <c r="A77" s="211" t="s">
        <v>1370</v>
      </c>
      <c r="B77" s="64">
        <v>9.9499999999999993</v>
      </c>
      <c r="C77" s="64">
        <v>72.19</v>
      </c>
      <c r="D77" s="64">
        <v>48.47</v>
      </c>
      <c r="E77" s="64">
        <v>17.12</v>
      </c>
      <c r="F77" s="64">
        <v>58.3</v>
      </c>
      <c r="G77" s="218" t="s">
        <v>36</v>
      </c>
      <c r="H77" s="218" t="s">
        <v>36</v>
      </c>
      <c r="I77" s="64">
        <v>0.7</v>
      </c>
      <c r="J77" s="64">
        <v>0.2</v>
      </c>
      <c r="K77" s="64">
        <v>294.64</v>
      </c>
      <c r="L77" s="64">
        <v>35.01</v>
      </c>
      <c r="M77" s="64">
        <v>12.67</v>
      </c>
      <c r="N77" s="64">
        <v>88</v>
      </c>
      <c r="O77" s="64">
        <v>0</v>
      </c>
      <c r="P77" s="64">
        <v>0.92</v>
      </c>
      <c r="Q77" s="64">
        <v>20.13</v>
      </c>
      <c r="R77" s="198"/>
      <c r="S77" s="198"/>
      <c r="T77" s="198"/>
      <c r="U77" s="198"/>
    </row>
    <row r="78" spans="1:21" s="12" customFormat="1" x14ac:dyDescent="0.25">
      <c r="A78" s="211" t="s">
        <v>1371</v>
      </c>
      <c r="B78" s="64">
        <v>16.79</v>
      </c>
      <c r="C78" s="64">
        <v>79.319999999999993</v>
      </c>
      <c r="D78" s="64">
        <v>57.89</v>
      </c>
      <c r="E78" s="64">
        <v>16.64</v>
      </c>
      <c r="F78" s="64">
        <v>50.02</v>
      </c>
      <c r="G78" s="218" t="s">
        <v>36</v>
      </c>
      <c r="H78" s="218" t="s">
        <v>36</v>
      </c>
      <c r="I78" s="64">
        <v>0.62</v>
      </c>
      <c r="J78" s="64">
        <v>0.41</v>
      </c>
      <c r="K78" s="64">
        <v>305.38</v>
      </c>
      <c r="L78" s="64">
        <v>34.47</v>
      </c>
      <c r="M78" s="64">
        <v>14.63</v>
      </c>
      <c r="N78" s="64">
        <v>68.3</v>
      </c>
      <c r="O78" s="64">
        <v>0</v>
      </c>
      <c r="P78" s="64">
        <v>1.1299999999999999</v>
      </c>
      <c r="Q78" s="64">
        <v>18.79</v>
      </c>
      <c r="R78" s="198"/>
      <c r="S78" s="198"/>
      <c r="T78" s="198"/>
      <c r="U78" s="198"/>
    </row>
    <row r="79" spans="1:21" s="12" customFormat="1" x14ac:dyDescent="0.25">
      <c r="A79" s="211" t="s">
        <v>1372</v>
      </c>
      <c r="B79" s="64">
        <v>7.06</v>
      </c>
      <c r="C79" s="64">
        <v>75.989999999999995</v>
      </c>
      <c r="D79" s="64">
        <v>48.24</v>
      </c>
      <c r="E79" s="64">
        <v>18.2</v>
      </c>
      <c r="F79" s="64">
        <v>61.29</v>
      </c>
      <c r="G79" s="218" t="s">
        <v>36</v>
      </c>
      <c r="H79" s="218" t="s">
        <v>36</v>
      </c>
      <c r="I79" s="64">
        <v>0.61</v>
      </c>
      <c r="J79" s="64">
        <v>0.09</v>
      </c>
      <c r="K79" s="64">
        <v>98.6</v>
      </c>
      <c r="L79" s="64">
        <v>34.01</v>
      </c>
      <c r="M79" s="64">
        <v>15.05</v>
      </c>
      <c r="N79" s="64">
        <v>56.9</v>
      </c>
      <c r="O79" s="64">
        <v>0</v>
      </c>
      <c r="P79" s="64">
        <v>1.1200000000000001</v>
      </c>
      <c r="Q79" s="64">
        <v>18.309999999999999</v>
      </c>
      <c r="R79" s="198"/>
      <c r="S79" s="198"/>
      <c r="T79" s="198"/>
      <c r="U79" s="198"/>
    </row>
    <row r="80" spans="1:21" s="12" customFormat="1" x14ac:dyDescent="0.25">
      <c r="A80" s="211" t="s">
        <v>1373</v>
      </c>
      <c r="B80" s="64">
        <v>8.82</v>
      </c>
      <c r="C80" s="64">
        <v>96.33</v>
      </c>
      <c r="D80" s="64">
        <v>60.88</v>
      </c>
      <c r="E80" s="64">
        <v>15.43</v>
      </c>
      <c r="F80" s="64">
        <v>25.56</v>
      </c>
      <c r="G80" s="64">
        <v>45.52</v>
      </c>
      <c r="H80" s="64">
        <v>26.02</v>
      </c>
      <c r="I80" s="64">
        <v>0.67</v>
      </c>
      <c r="J80" s="64">
        <v>0.06</v>
      </c>
      <c r="K80" s="64">
        <v>138.53</v>
      </c>
      <c r="L80" s="64">
        <v>33.049999999999997</v>
      </c>
      <c r="M80" s="64">
        <v>20.309999999999999</v>
      </c>
      <c r="N80" s="64">
        <v>51.3</v>
      </c>
      <c r="O80" s="64">
        <v>0</v>
      </c>
      <c r="P80" s="64">
        <v>1.43</v>
      </c>
      <c r="Q80" s="64">
        <v>18.82</v>
      </c>
      <c r="R80" s="198"/>
      <c r="S80" s="198"/>
      <c r="T80" s="198"/>
      <c r="U80" s="198"/>
    </row>
    <row r="81" spans="1:26" s="12" customFormat="1" x14ac:dyDescent="0.25">
      <c r="A81" s="211" t="s">
        <v>1374</v>
      </c>
      <c r="B81" s="64">
        <v>68.27</v>
      </c>
      <c r="C81" s="64">
        <v>142.75</v>
      </c>
      <c r="D81" s="64">
        <v>134.18</v>
      </c>
      <c r="E81" s="64">
        <v>13.08</v>
      </c>
      <c r="F81" s="64">
        <v>6.96</v>
      </c>
      <c r="G81" s="64">
        <v>45.52</v>
      </c>
      <c r="H81" s="64">
        <v>26.02</v>
      </c>
      <c r="I81" s="64">
        <v>0.71</v>
      </c>
      <c r="J81" s="64">
        <v>0.01</v>
      </c>
      <c r="K81" s="64">
        <v>268.14</v>
      </c>
      <c r="L81" s="64">
        <v>32.299999999999997</v>
      </c>
      <c r="M81" s="64">
        <v>19.8</v>
      </c>
      <c r="N81" s="64">
        <v>32.200000000000003</v>
      </c>
      <c r="O81" s="64">
        <v>0</v>
      </c>
      <c r="P81" s="64">
        <v>1.54</v>
      </c>
      <c r="Q81" s="64">
        <v>12.43</v>
      </c>
      <c r="R81" s="198"/>
      <c r="S81" s="198"/>
      <c r="T81" s="198"/>
      <c r="U81" s="198"/>
    </row>
    <row r="82" spans="1:26" s="12" customFormat="1" x14ac:dyDescent="0.25">
      <c r="A82" s="211" t="s">
        <v>1375</v>
      </c>
      <c r="B82" s="64">
        <v>41.33</v>
      </c>
      <c r="C82" s="64">
        <v>125.18</v>
      </c>
      <c r="D82" s="64">
        <v>102.88</v>
      </c>
      <c r="E82" s="64">
        <v>12.67</v>
      </c>
      <c r="F82" s="64">
        <v>4.59</v>
      </c>
      <c r="G82" s="64">
        <v>45.52</v>
      </c>
      <c r="H82" s="64">
        <v>26.02</v>
      </c>
      <c r="I82" s="64">
        <v>0.8</v>
      </c>
      <c r="J82" s="64">
        <v>0.04</v>
      </c>
      <c r="K82" s="64">
        <v>239.46</v>
      </c>
      <c r="L82" s="64">
        <v>31.33</v>
      </c>
      <c r="M82" s="64">
        <v>21.3</v>
      </c>
      <c r="N82" s="64">
        <v>16.899999999999999</v>
      </c>
      <c r="O82" s="64">
        <v>0</v>
      </c>
      <c r="P82" s="64">
        <v>1.5</v>
      </c>
      <c r="Q82" s="64">
        <v>15.76</v>
      </c>
      <c r="R82" s="198"/>
      <c r="S82" s="198"/>
      <c r="T82" s="198"/>
      <c r="U82" s="198"/>
    </row>
    <row r="83" spans="1:26" s="12" customFormat="1" x14ac:dyDescent="0.25">
      <c r="A83" s="211" t="s">
        <v>1376</v>
      </c>
      <c r="B83" s="64">
        <v>49.37</v>
      </c>
      <c r="C83" s="64">
        <v>127.24</v>
      </c>
      <c r="D83" s="64">
        <v>110.46</v>
      </c>
      <c r="E83" s="64">
        <v>12.7</v>
      </c>
      <c r="F83" s="64">
        <v>4.08</v>
      </c>
      <c r="G83" s="64">
        <v>45.52</v>
      </c>
      <c r="H83" s="64">
        <v>26.02</v>
      </c>
      <c r="I83" s="64">
        <v>0.93</v>
      </c>
      <c r="J83" s="64">
        <v>0.14000000000000001</v>
      </c>
      <c r="K83" s="64">
        <v>279.33999999999997</v>
      </c>
      <c r="L83" s="64">
        <v>30.49</v>
      </c>
      <c r="M83" s="64">
        <v>25.16</v>
      </c>
      <c r="N83" s="64">
        <v>12.8</v>
      </c>
      <c r="O83" s="64">
        <v>0</v>
      </c>
      <c r="P83" s="64">
        <v>1.9</v>
      </c>
      <c r="Q83" s="64">
        <v>16.809999999999999</v>
      </c>
      <c r="R83" s="198"/>
      <c r="S83" s="198"/>
      <c r="T83" s="198"/>
      <c r="U83" s="198"/>
    </row>
    <row r="84" spans="1:26" s="12" customFormat="1" x14ac:dyDescent="0.25">
      <c r="A84" s="211" t="s">
        <v>1377</v>
      </c>
      <c r="B84" s="64">
        <v>11.34</v>
      </c>
      <c r="C84" s="64">
        <v>89.55</v>
      </c>
      <c r="D84" s="64">
        <v>59.17</v>
      </c>
      <c r="E84" s="64">
        <v>13.17</v>
      </c>
      <c r="F84" s="64">
        <v>23.04</v>
      </c>
      <c r="G84" s="64">
        <v>166.36</v>
      </c>
      <c r="H84" s="64">
        <v>33.090000000000003</v>
      </c>
      <c r="I84" s="64">
        <v>0.95</v>
      </c>
      <c r="J84" s="64">
        <v>0.13</v>
      </c>
      <c r="K84" s="64">
        <v>273.17</v>
      </c>
      <c r="L84" s="64">
        <v>30.68</v>
      </c>
      <c r="M84" s="64">
        <v>21.53</v>
      </c>
      <c r="N84" s="64">
        <v>9.6</v>
      </c>
      <c r="O84" s="64">
        <v>0</v>
      </c>
      <c r="P84" s="64">
        <v>1.25</v>
      </c>
      <c r="Q84" s="64">
        <v>23.05</v>
      </c>
      <c r="R84" s="198"/>
      <c r="S84" s="198"/>
      <c r="T84" s="198"/>
      <c r="U84" s="198"/>
    </row>
    <row r="85" spans="1:26" s="12" customFormat="1" x14ac:dyDescent="0.25">
      <c r="A85" s="211" t="s">
        <v>1378</v>
      </c>
      <c r="B85" s="64">
        <v>12.18</v>
      </c>
      <c r="C85" s="64">
        <v>68.760000000000005</v>
      </c>
      <c r="D85" s="64">
        <v>48.36</v>
      </c>
      <c r="E85" s="64">
        <v>11.09</v>
      </c>
      <c r="F85" s="64">
        <v>24.04</v>
      </c>
      <c r="G85" s="64">
        <v>166.36</v>
      </c>
      <c r="H85" s="64">
        <v>33.090000000000003</v>
      </c>
      <c r="I85" s="64">
        <v>0.95</v>
      </c>
      <c r="J85" s="64">
        <v>0.21</v>
      </c>
      <c r="K85" s="64">
        <v>254.44</v>
      </c>
      <c r="L85" s="64">
        <v>30.77</v>
      </c>
      <c r="M85" s="64">
        <v>25.02</v>
      </c>
      <c r="N85" s="64">
        <v>9.3000000000000007</v>
      </c>
      <c r="O85" s="64">
        <v>0</v>
      </c>
      <c r="P85" s="64">
        <v>0.97</v>
      </c>
      <c r="Q85" s="64">
        <v>25.57</v>
      </c>
      <c r="R85" s="198"/>
      <c r="S85" s="198"/>
      <c r="T85" s="198"/>
      <c r="U85" s="198"/>
    </row>
    <row r="86" spans="1:26" s="12" customFormat="1" x14ac:dyDescent="0.25">
      <c r="A86" s="211" t="s">
        <v>1379</v>
      </c>
      <c r="B86" s="64">
        <v>11.64</v>
      </c>
      <c r="C86" s="64">
        <v>74.69</v>
      </c>
      <c r="D86" s="64">
        <v>51.2</v>
      </c>
      <c r="E86" s="64">
        <v>13.23</v>
      </c>
      <c r="F86" s="64">
        <v>27.05</v>
      </c>
      <c r="G86" s="64">
        <v>166.36</v>
      </c>
      <c r="H86" s="64">
        <v>33.090000000000003</v>
      </c>
      <c r="I86" s="64">
        <v>0.81</v>
      </c>
      <c r="J86" s="64">
        <v>0.13</v>
      </c>
      <c r="K86" s="64">
        <v>214.17</v>
      </c>
      <c r="L86" s="64">
        <v>30.02</v>
      </c>
      <c r="M86" s="64">
        <v>25.43</v>
      </c>
      <c r="N86" s="64">
        <v>9.9</v>
      </c>
      <c r="O86" s="64">
        <v>0</v>
      </c>
      <c r="P86" s="64">
        <v>1.02</v>
      </c>
      <c r="Q86" s="64">
        <v>25.6</v>
      </c>
      <c r="R86" s="198"/>
      <c r="S86" s="198"/>
      <c r="T86" s="198"/>
      <c r="U86" s="198"/>
    </row>
    <row r="87" spans="1:26" s="12" customFormat="1" x14ac:dyDescent="0.25">
      <c r="A87" s="211" t="s">
        <v>1380</v>
      </c>
      <c r="B87" s="64">
        <v>111.05</v>
      </c>
      <c r="C87" s="64">
        <v>117.33</v>
      </c>
      <c r="D87" s="64">
        <v>154.44999999999999</v>
      </c>
      <c r="E87" s="64">
        <v>13.19</v>
      </c>
      <c r="F87" s="64">
        <v>5.75</v>
      </c>
      <c r="G87" s="64">
        <v>166.36</v>
      </c>
      <c r="H87" s="64">
        <v>33.090000000000003</v>
      </c>
      <c r="I87" s="64">
        <v>0.75</v>
      </c>
      <c r="J87" s="64">
        <v>0.14000000000000001</v>
      </c>
      <c r="K87" s="64">
        <v>284.27999999999997</v>
      </c>
      <c r="L87" s="64">
        <v>29.3</v>
      </c>
      <c r="M87" s="64">
        <v>31.53</v>
      </c>
      <c r="N87" s="64">
        <v>10.5</v>
      </c>
      <c r="O87" s="64">
        <v>0</v>
      </c>
      <c r="P87" s="64">
        <v>2.73</v>
      </c>
      <c r="Q87" s="64">
        <v>14.33</v>
      </c>
      <c r="R87" s="198"/>
      <c r="S87" s="198"/>
      <c r="T87" s="198"/>
      <c r="U87" s="198"/>
    </row>
    <row r="88" spans="1:26" s="12" customFormat="1" x14ac:dyDescent="0.25">
      <c r="A88" s="211" t="s">
        <v>1381</v>
      </c>
      <c r="B88" s="64">
        <v>32.81</v>
      </c>
      <c r="C88" s="64">
        <v>88.73</v>
      </c>
      <c r="D88" s="64">
        <v>75.92</v>
      </c>
      <c r="E88" s="64">
        <v>12.91</v>
      </c>
      <c r="F88" s="64">
        <v>26.23</v>
      </c>
      <c r="G88" s="218" t="s">
        <v>36</v>
      </c>
      <c r="H88" s="218" t="s">
        <v>36</v>
      </c>
      <c r="I88" s="64">
        <v>0.75</v>
      </c>
      <c r="J88" s="64">
        <v>0.18</v>
      </c>
      <c r="K88" s="64">
        <v>164.48</v>
      </c>
      <c r="L88" s="64">
        <v>29.25</v>
      </c>
      <c r="M88" s="64">
        <v>28.22</v>
      </c>
      <c r="N88" s="64">
        <v>8.4</v>
      </c>
      <c r="O88" s="64">
        <v>0</v>
      </c>
      <c r="P88" s="64">
        <v>1.94</v>
      </c>
      <c r="Q88" s="64">
        <v>21.96</v>
      </c>
      <c r="R88" s="198"/>
      <c r="S88" s="198"/>
      <c r="T88" s="198"/>
      <c r="U88" s="198"/>
    </row>
    <row r="89" spans="1:26" s="12" customFormat="1" x14ac:dyDescent="0.25">
      <c r="A89" s="211" t="s">
        <v>1382</v>
      </c>
      <c r="B89" s="64">
        <v>9.14</v>
      </c>
      <c r="C89" s="64">
        <v>87.66</v>
      </c>
      <c r="D89" s="64">
        <v>56.36</v>
      </c>
      <c r="E89" s="64">
        <v>16.14</v>
      </c>
      <c r="F89" s="64">
        <v>34.42</v>
      </c>
      <c r="G89" s="218" t="s">
        <v>36</v>
      </c>
      <c r="H89" s="218" t="s">
        <v>36</v>
      </c>
      <c r="I89" s="64">
        <v>1.06</v>
      </c>
      <c r="J89" s="64">
        <v>0.04</v>
      </c>
      <c r="K89" s="64">
        <v>188.52</v>
      </c>
      <c r="L89" s="64">
        <v>30.41</v>
      </c>
      <c r="M89" s="64">
        <v>20.18</v>
      </c>
      <c r="N89" s="64">
        <v>9.3000000000000007</v>
      </c>
      <c r="O89" s="64">
        <v>0</v>
      </c>
      <c r="P89" s="64">
        <v>1.0900000000000001</v>
      </c>
      <c r="Q89" s="64">
        <v>26</v>
      </c>
      <c r="R89" s="198"/>
      <c r="S89" s="198"/>
      <c r="T89" s="198"/>
      <c r="U89" s="198"/>
    </row>
    <row r="90" spans="1:26" s="12" customFormat="1" x14ac:dyDescent="0.25">
      <c r="A90" s="211" t="s">
        <v>1383</v>
      </c>
      <c r="B90" s="64">
        <v>16.100000000000001</v>
      </c>
      <c r="C90" s="64">
        <v>97.29</v>
      </c>
      <c r="D90" s="64">
        <v>67.25</v>
      </c>
      <c r="E90" s="64">
        <v>14.47</v>
      </c>
      <c r="F90" s="64">
        <v>18.739999999999998</v>
      </c>
      <c r="G90" s="218" t="s">
        <v>36</v>
      </c>
      <c r="H90" s="218" t="s">
        <v>36</v>
      </c>
      <c r="I90" s="64">
        <v>0.95</v>
      </c>
      <c r="J90" s="64">
        <v>0.09</v>
      </c>
      <c r="K90" s="64">
        <v>119.78</v>
      </c>
      <c r="L90" s="64">
        <v>29.71</v>
      </c>
      <c r="M90" s="64">
        <v>25.41</v>
      </c>
      <c r="N90" s="64">
        <v>9.9</v>
      </c>
      <c r="O90" s="64">
        <v>0</v>
      </c>
      <c r="P90" s="64">
        <v>1.28</v>
      </c>
      <c r="Q90" s="64">
        <v>24.87</v>
      </c>
      <c r="R90" s="198"/>
      <c r="S90" s="198"/>
      <c r="T90" s="198"/>
      <c r="U90" s="198"/>
    </row>
    <row r="91" spans="1:26" s="12" customFormat="1" x14ac:dyDescent="0.25">
      <c r="A91" s="211" t="s">
        <v>1384</v>
      </c>
      <c r="B91" s="64">
        <v>85.72</v>
      </c>
      <c r="C91" s="64">
        <v>131.16</v>
      </c>
      <c r="D91" s="64">
        <v>141.77000000000001</v>
      </c>
      <c r="E91" s="64">
        <v>14.75</v>
      </c>
      <c r="F91" s="64">
        <v>6.2</v>
      </c>
      <c r="G91" s="218" t="s">
        <v>36</v>
      </c>
      <c r="H91" s="218" t="s">
        <v>36</v>
      </c>
      <c r="I91" s="64">
        <v>0.72</v>
      </c>
      <c r="J91" s="64">
        <v>0.16</v>
      </c>
      <c r="K91" s="64">
        <v>259.5</v>
      </c>
      <c r="L91" s="64">
        <v>29.16</v>
      </c>
      <c r="M91" s="64">
        <v>25.06</v>
      </c>
      <c r="N91" s="64">
        <v>10</v>
      </c>
      <c r="O91" s="64">
        <v>0</v>
      </c>
      <c r="P91" s="64">
        <v>2.4</v>
      </c>
      <c r="Q91" s="64">
        <v>16.190000000000001</v>
      </c>
      <c r="R91" s="198"/>
      <c r="S91" s="198"/>
      <c r="T91" s="198"/>
      <c r="U91" s="198"/>
    </row>
    <row r="92" spans="1:26" s="12" customFormat="1" x14ac:dyDescent="0.25">
      <c r="A92" s="211" t="s">
        <v>1385</v>
      </c>
      <c r="B92" s="64">
        <v>67.47</v>
      </c>
      <c r="C92" s="64">
        <v>93.91</v>
      </c>
      <c r="D92" s="64">
        <v>106.57</v>
      </c>
      <c r="E92" s="64">
        <v>12.46</v>
      </c>
      <c r="F92" s="64">
        <v>5.54</v>
      </c>
      <c r="G92" s="64">
        <v>210.75</v>
      </c>
      <c r="H92" s="64">
        <v>35.909999999999997</v>
      </c>
      <c r="I92" s="64">
        <v>0.8</v>
      </c>
      <c r="J92" s="64">
        <v>0.18</v>
      </c>
      <c r="K92" s="64">
        <v>284.44</v>
      </c>
      <c r="L92" s="64">
        <v>28.62</v>
      </c>
      <c r="M92" s="64">
        <v>29.85</v>
      </c>
      <c r="N92" s="64">
        <v>10.5</v>
      </c>
      <c r="O92" s="64">
        <v>0</v>
      </c>
      <c r="P92" s="64">
        <v>2.23</v>
      </c>
      <c r="Q92" s="64">
        <v>18.95</v>
      </c>
      <c r="R92" s="198"/>
      <c r="S92" s="198"/>
      <c r="T92" s="198"/>
      <c r="U92" s="198"/>
    </row>
    <row r="93" spans="1:26" s="12" customFormat="1" x14ac:dyDescent="0.25">
      <c r="A93" s="211" t="s">
        <v>1386</v>
      </c>
      <c r="B93" s="64">
        <v>83.47</v>
      </c>
      <c r="C93" s="64">
        <v>96.46</v>
      </c>
      <c r="D93" s="64">
        <v>120.81</v>
      </c>
      <c r="E93" s="64">
        <v>10.16</v>
      </c>
      <c r="F93" s="64">
        <v>4.1399999999999997</v>
      </c>
      <c r="G93" s="64">
        <v>210.75</v>
      </c>
      <c r="H93" s="64">
        <v>35.909999999999997</v>
      </c>
      <c r="I93" s="64">
        <v>0.96</v>
      </c>
      <c r="J93" s="64">
        <v>7.0000000000000007E-2</v>
      </c>
      <c r="K93" s="64">
        <v>286.79000000000002</v>
      </c>
      <c r="L93" s="64">
        <v>27.66</v>
      </c>
      <c r="M93" s="64">
        <v>30.56</v>
      </c>
      <c r="N93" s="64">
        <v>10.1</v>
      </c>
      <c r="O93" s="64">
        <v>0</v>
      </c>
      <c r="P93" s="64">
        <v>2.2599999999999998</v>
      </c>
      <c r="Q93" s="64">
        <v>20.39</v>
      </c>
      <c r="R93" s="198"/>
      <c r="S93" s="198"/>
      <c r="T93" s="198"/>
      <c r="U93" s="198"/>
    </row>
    <row r="94" spans="1:26" s="12" customFormat="1" x14ac:dyDescent="0.25">
      <c r="A94" s="211" t="s">
        <v>1387</v>
      </c>
      <c r="B94" s="64">
        <v>75.709999999999994</v>
      </c>
      <c r="C94" s="64">
        <v>91</v>
      </c>
      <c r="D94" s="64">
        <v>111.58</v>
      </c>
      <c r="E94" s="64">
        <v>9.19</v>
      </c>
      <c r="F94" s="64">
        <v>3.86</v>
      </c>
      <c r="G94" s="64">
        <v>210.75</v>
      </c>
      <c r="H94" s="64">
        <v>35.909999999999997</v>
      </c>
      <c r="I94" s="64">
        <v>1</v>
      </c>
      <c r="J94" s="64">
        <v>7.0000000000000007E-2</v>
      </c>
      <c r="K94" s="64">
        <v>262.41000000000003</v>
      </c>
      <c r="L94" s="64">
        <v>27.99</v>
      </c>
      <c r="M94" s="64">
        <v>29.88</v>
      </c>
      <c r="N94" s="64">
        <v>9.8000000000000007</v>
      </c>
      <c r="O94" s="64">
        <v>0</v>
      </c>
      <c r="P94" s="64">
        <v>2.15</v>
      </c>
      <c r="Q94" s="64">
        <v>22.75</v>
      </c>
      <c r="R94" s="198"/>
      <c r="S94" s="198"/>
      <c r="T94" s="198"/>
      <c r="U94" s="198"/>
    </row>
    <row r="95" spans="1:26" s="12" customFormat="1" x14ac:dyDescent="0.25">
      <c r="A95" s="211" t="s">
        <v>1388</v>
      </c>
      <c r="B95" s="64">
        <v>95.61</v>
      </c>
      <c r="C95" s="64">
        <v>89.48</v>
      </c>
      <c r="D95" s="64">
        <v>126.69</v>
      </c>
      <c r="E95" s="64">
        <v>9.01</v>
      </c>
      <c r="F95" s="64">
        <v>2.82</v>
      </c>
      <c r="G95" s="64">
        <v>210.43</v>
      </c>
      <c r="H95" s="64">
        <v>35.909999999999997</v>
      </c>
      <c r="I95" s="64">
        <v>1.02</v>
      </c>
      <c r="J95" s="64">
        <v>0.15</v>
      </c>
      <c r="K95" s="64">
        <v>275.76</v>
      </c>
      <c r="L95" s="64">
        <v>27.11</v>
      </c>
      <c r="M95" s="64">
        <v>39.28</v>
      </c>
      <c r="N95" s="64">
        <v>10.5</v>
      </c>
      <c r="O95" s="64">
        <v>0</v>
      </c>
      <c r="P95" s="64">
        <v>3.01</v>
      </c>
      <c r="Q95" s="64">
        <v>21.15</v>
      </c>
      <c r="R95" s="198"/>
      <c r="S95" s="198"/>
      <c r="T95" s="198"/>
      <c r="U95" s="198"/>
    </row>
    <row r="96" spans="1:26" s="12" customFormat="1" x14ac:dyDescent="0.25">
      <c r="A96" s="211" t="s">
        <v>1389</v>
      </c>
      <c r="B96" s="64">
        <v>78.56</v>
      </c>
      <c r="C96" s="64">
        <v>93.46</v>
      </c>
      <c r="D96" s="64">
        <v>115.22</v>
      </c>
      <c r="E96" s="64">
        <v>8.99</v>
      </c>
      <c r="F96" s="64">
        <v>3.02</v>
      </c>
      <c r="G96" s="64">
        <v>182.53</v>
      </c>
      <c r="H96" s="64">
        <v>42.97</v>
      </c>
      <c r="I96" s="64">
        <v>0.98</v>
      </c>
      <c r="J96" s="64">
        <v>0.15</v>
      </c>
      <c r="K96" s="64">
        <v>275.3</v>
      </c>
      <c r="L96" s="64">
        <v>26.63</v>
      </c>
      <c r="M96" s="64">
        <v>33.04</v>
      </c>
      <c r="N96" s="64">
        <v>10.1</v>
      </c>
      <c r="O96" s="64">
        <v>0</v>
      </c>
      <c r="P96" s="64">
        <v>2.62</v>
      </c>
      <c r="Q96" s="64">
        <v>24.95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1390</v>
      </c>
      <c r="B97" s="64">
        <v>110.62</v>
      </c>
      <c r="C97" s="64">
        <v>89.89</v>
      </c>
      <c r="D97" s="64">
        <v>138.96</v>
      </c>
      <c r="E97" s="64">
        <v>8.16</v>
      </c>
      <c r="F97" s="64">
        <v>3.47</v>
      </c>
      <c r="G97" s="64">
        <v>182.53</v>
      </c>
      <c r="H97" s="64">
        <v>42.97</v>
      </c>
      <c r="I97" s="64">
        <v>1.26</v>
      </c>
      <c r="J97" s="64">
        <v>0.13</v>
      </c>
      <c r="K97" s="64">
        <v>304.52999999999997</v>
      </c>
      <c r="L97" s="64">
        <v>26.42</v>
      </c>
      <c r="M97" s="64">
        <v>37.42</v>
      </c>
      <c r="N97" s="64">
        <v>10</v>
      </c>
      <c r="O97" s="64">
        <v>0</v>
      </c>
      <c r="P97" s="64">
        <v>2.83</v>
      </c>
      <c r="Q97" s="64">
        <v>22.98</v>
      </c>
      <c r="R97" s="198"/>
      <c r="S97" s="198"/>
      <c r="T97" s="198"/>
      <c r="U97" s="198"/>
    </row>
    <row r="98" spans="1:33" s="12" customFormat="1" x14ac:dyDescent="0.25">
      <c r="A98" s="211" t="s">
        <v>1391</v>
      </c>
      <c r="B98" s="64">
        <v>96.62</v>
      </c>
      <c r="C98" s="64">
        <v>87.66</v>
      </c>
      <c r="D98" s="64">
        <v>126.51</v>
      </c>
      <c r="E98" s="64">
        <v>7.81</v>
      </c>
      <c r="F98" s="64">
        <v>3.62</v>
      </c>
      <c r="G98" s="64">
        <v>182.53</v>
      </c>
      <c r="H98" s="64">
        <v>42.97</v>
      </c>
      <c r="I98" s="64">
        <v>1.03</v>
      </c>
      <c r="J98" s="64">
        <v>0.14000000000000001</v>
      </c>
      <c r="K98" s="64">
        <v>273.08</v>
      </c>
      <c r="L98" s="64">
        <v>26.21</v>
      </c>
      <c r="M98" s="64">
        <v>37.36</v>
      </c>
      <c r="N98" s="64">
        <v>10.199999999999999</v>
      </c>
      <c r="O98" s="64">
        <v>0</v>
      </c>
      <c r="P98" s="64">
        <v>2.83</v>
      </c>
      <c r="Q98" s="64">
        <v>26.32</v>
      </c>
      <c r="R98" s="198"/>
      <c r="S98" s="198"/>
      <c r="T98" s="198"/>
      <c r="U98" s="198"/>
    </row>
    <row r="99" spans="1:33" s="12" customFormat="1" x14ac:dyDescent="0.25">
      <c r="A99" s="211" t="s">
        <v>1392</v>
      </c>
      <c r="B99" s="64">
        <v>127.17</v>
      </c>
      <c r="C99" s="64">
        <v>113.77</v>
      </c>
      <c r="D99" s="64">
        <v>165.41</v>
      </c>
      <c r="E99" s="64">
        <v>8.9600000000000009</v>
      </c>
      <c r="F99" s="64">
        <v>3.51</v>
      </c>
      <c r="G99" s="64">
        <v>182.06</v>
      </c>
      <c r="H99" s="64">
        <v>42.97</v>
      </c>
      <c r="I99" s="64">
        <v>1.0900000000000001</v>
      </c>
      <c r="J99" s="64">
        <v>0.08</v>
      </c>
      <c r="K99" s="64">
        <v>293.36</v>
      </c>
      <c r="L99" s="64">
        <v>25.85</v>
      </c>
      <c r="M99" s="64">
        <v>37.96</v>
      </c>
      <c r="N99" s="64">
        <v>10.3</v>
      </c>
      <c r="O99" s="64">
        <v>0</v>
      </c>
      <c r="P99" s="64">
        <v>2.91</v>
      </c>
      <c r="Q99" s="64">
        <v>22.45</v>
      </c>
      <c r="R99" s="198"/>
      <c r="S99" s="198"/>
      <c r="T99" s="198"/>
      <c r="U99" s="198"/>
    </row>
    <row r="100" spans="1:33" s="12" customFormat="1" x14ac:dyDescent="0.25">
      <c r="A100" s="211" t="s">
        <v>1393</v>
      </c>
      <c r="B100" s="64">
        <v>91.78</v>
      </c>
      <c r="C100" s="64">
        <v>97.27</v>
      </c>
      <c r="D100" s="64">
        <v>127.92</v>
      </c>
      <c r="E100" s="64">
        <v>9.44</v>
      </c>
      <c r="F100" s="64">
        <v>4.34</v>
      </c>
      <c r="G100" s="64">
        <v>140.27000000000001</v>
      </c>
      <c r="H100" s="64">
        <v>51.31</v>
      </c>
      <c r="I100" s="64">
        <v>1.1000000000000001</v>
      </c>
      <c r="J100" s="64">
        <v>0.15</v>
      </c>
      <c r="K100" s="64">
        <v>289.91000000000003</v>
      </c>
      <c r="L100" s="64">
        <v>25.58</v>
      </c>
      <c r="M100" s="64">
        <v>38.97</v>
      </c>
      <c r="N100" s="64">
        <v>10.1</v>
      </c>
      <c r="O100" s="64">
        <v>0</v>
      </c>
      <c r="P100" s="64">
        <v>2.59</v>
      </c>
      <c r="Q100" s="64">
        <v>28.08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1394</v>
      </c>
      <c r="B101" s="64">
        <v>55.8</v>
      </c>
      <c r="C101" s="64">
        <v>93.35</v>
      </c>
      <c r="D101" s="64">
        <v>96.91</v>
      </c>
      <c r="E101" s="64">
        <v>9.86</v>
      </c>
      <c r="F101" s="64">
        <v>9.9700000000000006</v>
      </c>
      <c r="G101" s="64">
        <v>140.27000000000001</v>
      </c>
      <c r="H101" s="64">
        <v>51.31</v>
      </c>
      <c r="I101" s="64">
        <v>1.1100000000000001</v>
      </c>
      <c r="J101" s="64">
        <v>0.16</v>
      </c>
      <c r="K101" s="64">
        <v>268.02</v>
      </c>
      <c r="L101" s="64">
        <v>25.69</v>
      </c>
      <c r="M101" s="64">
        <v>32.049999999999997</v>
      </c>
      <c r="N101" s="64">
        <v>9.6999999999999993</v>
      </c>
      <c r="O101" s="64">
        <v>0</v>
      </c>
      <c r="P101" s="64">
        <v>1.91</v>
      </c>
      <c r="Q101" s="64">
        <v>31.88</v>
      </c>
      <c r="R101" s="198"/>
      <c r="S101" s="198"/>
      <c r="T101" s="198"/>
      <c r="U101" s="198"/>
    </row>
    <row r="102" spans="1:33" s="12" customFormat="1" x14ac:dyDescent="0.25">
      <c r="A102" s="211" t="s">
        <v>1395</v>
      </c>
      <c r="B102" s="64">
        <v>150.76</v>
      </c>
      <c r="C102" s="64">
        <v>120.24</v>
      </c>
      <c r="D102" s="64">
        <v>187.9</v>
      </c>
      <c r="E102" s="64">
        <v>9.35</v>
      </c>
      <c r="F102" s="64">
        <v>4.4800000000000004</v>
      </c>
      <c r="G102" s="64">
        <v>140.27000000000001</v>
      </c>
      <c r="H102" s="64">
        <v>51.31</v>
      </c>
      <c r="I102" s="64">
        <v>1.1399999999999999</v>
      </c>
      <c r="J102" s="64">
        <v>0.02</v>
      </c>
      <c r="K102" s="64">
        <v>237.74</v>
      </c>
      <c r="L102" s="64">
        <v>25.59</v>
      </c>
      <c r="M102" s="64">
        <v>36.909999999999997</v>
      </c>
      <c r="N102" s="64">
        <v>10.1</v>
      </c>
      <c r="O102" s="64">
        <v>0</v>
      </c>
      <c r="P102" s="64">
        <v>2.3199999999999998</v>
      </c>
      <c r="Q102" s="64">
        <v>22.41</v>
      </c>
      <c r="R102" s="198"/>
      <c r="S102" s="198"/>
      <c r="T102" s="198"/>
      <c r="U102" s="198"/>
    </row>
    <row r="103" spans="1:33" s="12" customFormat="1" x14ac:dyDescent="0.25">
      <c r="A103" s="211" t="s">
        <v>1396</v>
      </c>
      <c r="B103" s="64">
        <v>102.73</v>
      </c>
      <c r="C103" s="64">
        <v>93.6</v>
      </c>
      <c r="D103" s="64">
        <v>134.68</v>
      </c>
      <c r="E103" s="64">
        <v>8.84</v>
      </c>
      <c r="F103" s="64">
        <v>4.3</v>
      </c>
      <c r="G103" s="64">
        <v>140.22</v>
      </c>
      <c r="H103" s="64">
        <v>51.31</v>
      </c>
      <c r="I103" s="64">
        <v>0.97</v>
      </c>
      <c r="J103" s="64">
        <v>0.13</v>
      </c>
      <c r="K103" s="64">
        <v>303.48</v>
      </c>
      <c r="L103" s="64">
        <v>25.02</v>
      </c>
      <c r="M103" s="64">
        <v>39.799999999999997</v>
      </c>
      <c r="N103" s="64">
        <v>10.3</v>
      </c>
      <c r="O103" s="64">
        <v>0</v>
      </c>
      <c r="P103" s="64">
        <v>2.3199999999999998</v>
      </c>
      <c r="Q103" s="64">
        <v>26.76</v>
      </c>
      <c r="R103" s="198"/>
      <c r="S103" s="198"/>
      <c r="T103" s="198"/>
      <c r="U103" s="198"/>
    </row>
    <row r="104" spans="1:33" s="12" customFormat="1" x14ac:dyDescent="0.25">
      <c r="A104" s="211" t="s">
        <v>1397</v>
      </c>
      <c r="B104" s="64">
        <v>90.87</v>
      </c>
      <c r="C104" s="64">
        <v>69.64</v>
      </c>
      <c r="D104" s="64">
        <v>111.95</v>
      </c>
      <c r="E104" s="64">
        <v>4.41</v>
      </c>
      <c r="F104" s="64">
        <v>3.76</v>
      </c>
      <c r="G104" s="64">
        <v>136.04</v>
      </c>
      <c r="H104" s="64">
        <v>46.36</v>
      </c>
      <c r="I104" s="64">
        <v>1.0900000000000001</v>
      </c>
      <c r="J104" s="64">
        <v>0.08</v>
      </c>
      <c r="K104" s="64">
        <v>222.87</v>
      </c>
      <c r="L104" s="64">
        <v>24.67</v>
      </c>
      <c r="M104" s="64">
        <v>40.69</v>
      </c>
      <c r="N104" s="64">
        <v>10.1</v>
      </c>
      <c r="O104" s="64">
        <v>0</v>
      </c>
      <c r="P104" s="64">
        <v>2.3199999999999998</v>
      </c>
      <c r="Q104" s="64">
        <v>29.82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30.5</v>
      </c>
      <c r="D106" s="67">
        <f t="shared" ref="D106:Q106" si="0">MIN(D9:D104)</f>
        <v>18.46</v>
      </c>
      <c r="E106" s="67">
        <f t="shared" si="0"/>
        <v>3.79</v>
      </c>
      <c r="F106" s="67">
        <f t="shared" si="0"/>
        <v>2.57</v>
      </c>
      <c r="G106" s="67">
        <f t="shared" si="0"/>
        <v>41.39</v>
      </c>
      <c r="H106" s="67">
        <f t="shared" si="0"/>
        <v>22.94</v>
      </c>
      <c r="I106" s="67">
        <f t="shared" si="0"/>
        <v>0.49</v>
      </c>
      <c r="J106" s="67">
        <f t="shared" si="0"/>
        <v>0.01</v>
      </c>
      <c r="K106" s="67">
        <f t="shared" si="0"/>
        <v>83.59</v>
      </c>
      <c r="L106" s="67">
        <f t="shared" si="0"/>
        <v>20.9</v>
      </c>
      <c r="M106" s="67">
        <f t="shared" si="0"/>
        <v>8.09</v>
      </c>
      <c r="N106" s="67">
        <f t="shared" si="0"/>
        <v>4.4000000000000004</v>
      </c>
      <c r="O106" s="67">
        <f t="shared" si="0"/>
        <v>0</v>
      </c>
      <c r="P106" s="67">
        <f t="shared" si="0"/>
        <v>0.31</v>
      </c>
      <c r="Q106" s="67">
        <f t="shared" si="0"/>
        <v>12.43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150.76</v>
      </c>
      <c r="C107" s="66">
        <f t="shared" ref="C107:Q107" si="1">MAX(C9:C104)</f>
        <v>142.75</v>
      </c>
      <c r="D107" s="66">
        <f t="shared" si="1"/>
        <v>187.9</v>
      </c>
      <c r="E107" s="66">
        <f t="shared" si="1"/>
        <v>73.59</v>
      </c>
      <c r="F107" s="66">
        <f t="shared" si="1"/>
        <v>72.03</v>
      </c>
      <c r="G107" s="66">
        <f t="shared" si="1"/>
        <v>216.12</v>
      </c>
      <c r="H107" s="66">
        <f t="shared" si="1"/>
        <v>72.48</v>
      </c>
      <c r="I107" s="66">
        <f t="shared" si="1"/>
        <v>1.44</v>
      </c>
      <c r="J107" s="66">
        <f t="shared" si="1"/>
        <v>1.81</v>
      </c>
      <c r="K107" s="66">
        <f t="shared" si="1"/>
        <v>311.62</v>
      </c>
      <c r="L107" s="66">
        <f t="shared" si="1"/>
        <v>39.520000000000003</v>
      </c>
      <c r="M107" s="66">
        <f t="shared" si="1"/>
        <v>63.46</v>
      </c>
      <c r="N107" s="66">
        <f t="shared" si="1"/>
        <v>924.8</v>
      </c>
      <c r="O107" s="66">
        <f t="shared" si="1"/>
        <v>0</v>
      </c>
      <c r="P107" s="66">
        <f t="shared" si="1"/>
        <v>3.01</v>
      </c>
      <c r="Q107" s="66">
        <f t="shared" si="1"/>
        <v>35.54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53.738124999999975</v>
      </c>
      <c r="C108" s="67">
        <f t="shared" ref="C108:Q108" si="2">AVERAGE(C9:C104)</f>
        <v>59.756666666666682</v>
      </c>
      <c r="D108" s="67">
        <f t="shared" si="2"/>
        <v>76.717916666666682</v>
      </c>
      <c r="E108" s="67">
        <f t="shared" si="2"/>
        <v>12.094166666666672</v>
      </c>
      <c r="F108" s="67">
        <f t="shared" si="2"/>
        <v>17.353333333333328</v>
      </c>
      <c r="G108" s="67">
        <f t="shared" si="2"/>
        <v>132.26040816326528</v>
      </c>
      <c r="H108" s="67">
        <f t="shared" si="2"/>
        <v>43.868163265306123</v>
      </c>
      <c r="I108" s="67">
        <f t="shared" si="2"/>
        <v>0.91406250000000011</v>
      </c>
      <c r="J108" s="67">
        <f t="shared" si="2"/>
        <v>0.34656249999999994</v>
      </c>
      <c r="K108" s="67">
        <f t="shared" si="2"/>
        <v>235.85312499999986</v>
      </c>
      <c r="L108" s="67">
        <f t="shared" si="2"/>
        <v>29.759166666666662</v>
      </c>
      <c r="M108" s="67">
        <f t="shared" si="2"/>
        <v>29.420937499999997</v>
      </c>
      <c r="N108" s="67">
        <f t="shared" si="2"/>
        <v>257.64895833333327</v>
      </c>
      <c r="O108" s="67">
        <f t="shared" si="2"/>
        <v>0</v>
      </c>
      <c r="P108" s="67">
        <f t="shared" si="2"/>
        <v>1.5706250000000006</v>
      </c>
      <c r="Q108" s="67">
        <f t="shared" si="2"/>
        <v>27.081979166666667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43.758349779153448</v>
      </c>
      <c r="C109" s="67">
        <f t="shared" ref="C109:Q109" si="3">STDEV(C9:C104)</f>
        <v>26.935405721902658</v>
      </c>
      <c r="D109" s="67">
        <f t="shared" si="3"/>
        <v>41.019297946638261</v>
      </c>
      <c r="E109" s="67">
        <f t="shared" si="3"/>
        <v>9.5305610004058074</v>
      </c>
      <c r="F109" s="67">
        <f t="shared" si="3"/>
        <v>18.230529724478323</v>
      </c>
      <c r="G109" s="67">
        <f t="shared" si="3"/>
        <v>58.663809256615863</v>
      </c>
      <c r="H109" s="67">
        <f t="shared" si="3"/>
        <v>17.302548424228959</v>
      </c>
      <c r="I109" s="67">
        <f t="shared" si="3"/>
        <v>0.2459678118650574</v>
      </c>
      <c r="J109" s="67">
        <f t="shared" si="3"/>
        <v>0.351138983205106</v>
      </c>
      <c r="K109" s="67">
        <f t="shared" si="3"/>
        <v>66.454855579796799</v>
      </c>
      <c r="L109" s="67">
        <f t="shared" si="3"/>
        <v>5.6940511277661372</v>
      </c>
      <c r="M109" s="67">
        <f t="shared" si="3"/>
        <v>16.933201959036772</v>
      </c>
      <c r="N109" s="67">
        <f t="shared" si="3"/>
        <v>327.95755020390305</v>
      </c>
      <c r="O109" s="67">
        <f t="shared" si="3"/>
        <v>0</v>
      </c>
      <c r="P109" s="67">
        <f t="shared" si="3"/>
        <v>0.79755786788895677</v>
      </c>
      <c r="Q109" s="67">
        <f t="shared" si="3"/>
        <v>5.9123579087929325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COUNT(G9:G104)+47</f>
        <v>96</v>
      </c>
      <c r="H110" s="66">
        <f>COUNT(H9:H104)+47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1398</v>
      </c>
      <c r="B9" s="64">
        <v>76.33</v>
      </c>
      <c r="C9" s="64">
        <v>71.12</v>
      </c>
      <c r="D9" s="64">
        <v>101.11</v>
      </c>
      <c r="E9" s="64">
        <v>6.22</v>
      </c>
      <c r="F9" s="64">
        <v>3.62</v>
      </c>
      <c r="G9" s="64">
        <v>136.04</v>
      </c>
      <c r="H9" s="64">
        <v>46.36</v>
      </c>
      <c r="I9" s="64">
        <v>1.07</v>
      </c>
      <c r="J9" s="64">
        <v>0.02</v>
      </c>
      <c r="K9" s="64">
        <v>125.72</v>
      </c>
      <c r="L9" s="64">
        <v>24.25</v>
      </c>
      <c r="M9" s="64">
        <v>44.22</v>
      </c>
      <c r="N9" s="64">
        <v>10.1</v>
      </c>
      <c r="O9" s="64">
        <v>0</v>
      </c>
      <c r="P9" s="64">
        <v>2.23</v>
      </c>
      <c r="Q9" s="64">
        <v>31.9</v>
      </c>
      <c r="R9" s="198"/>
      <c r="S9" s="198"/>
      <c r="T9" s="198"/>
      <c r="U9" s="198"/>
    </row>
    <row r="10" spans="1:21" s="12" customFormat="1" x14ac:dyDescent="0.25">
      <c r="A10" s="211" t="s">
        <v>1399</v>
      </c>
      <c r="B10" s="64">
        <v>77.44</v>
      </c>
      <c r="C10" s="64">
        <v>67.81</v>
      </c>
      <c r="D10" s="64">
        <v>100.17</v>
      </c>
      <c r="E10" s="64">
        <v>5.81</v>
      </c>
      <c r="F10" s="64">
        <v>3.02</v>
      </c>
      <c r="G10" s="64">
        <v>136.04</v>
      </c>
      <c r="H10" s="64">
        <v>46.36</v>
      </c>
      <c r="I10" s="64">
        <v>1.05</v>
      </c>
      <c r="J10" s="64">
        <v>0.13</v>
      </c>
      <c r="K10" s="64">
        <v>269.97000000000003</v>
      </c>
      <c r="L10" s="64">
        <v>24.15</v>
      </c>
      <c r="M10" s="64">
        <v>45.78</v>
      </c>
      <c r="N10" s="64">
        <v>10.1</v>
      </c>
      <c r="O10" s="64">
        <v>0</v>
      </c>
      <c r="P10" s="64">
        <v>2.21</v>
      </c>
      <c r="Q10" s="64">
        <v>32.51</v>
      </c>
      <c r="R10" s="198"/>
      <c r="S10" s="198"/>
      <c r="T10" s="198"/>
      <c r="U10" s="198"/>
    </row>
    <row r="11" spans="1:21" s="12" customFormat="1" x14ac:dyDescent="0.25">
      <c r="A11" s="211" t="s">
        <v>1400</v>
      </c>
      <c r="B11" s="64">
        <v>77.16</v>
      </c>
      <c r="C11" s="64">
        <v>65.38</v>
      </c>
      <c r="D11" s="64">
        <v>98.61</v>
      </c>
      <c r="E11" s="64">
        <v>5.85</v>
      </c>
      <c r="F11" s="64">
        <v>3.18</v>
      </c>
      <c r="G11" s="64">
        <v>136.41999999999999</v>
      </c>
      <c r="H11" s="64">
        <v>46.36</v>
      </c>
      <c r="I11" s="64">
        <v>1.02</v>
      </c>
      <c r="J11" s="64">
        <v>0</v>
      </c>
      <c r="K11" s="64">
        <v>149.88</v>
      </c>
      <c r="L11" s="64">
        <v>23.91</v>
      </c>
      <c r="M11" s="64">
        <v>45.43</v>
      </c>
      <c r="N11" s="64">
        <v>9.8000000000000007</v>
      </c>
      <c r="O11" s="64">
        <v>0</v>
      </c>
      <c r="P11" s="64">
        <v>2.12</v>
      </c>
      <c r="Q11" s="64">
        <v>32.51</v>
      </c>
      <c r="R11" s="198"/>
      <c r="S11" s="198"/>
      <c r="T11" s="198"/>
      <c r="U11" s="198"/>
    </row>
    <row r="12" spans="1:21" s="12" customFormat="1" x14ac:dyDescent="0.25">
      <c r="A12" s="211" t="s">
        <v>1401</v>
      </c>
      <c r="B12" s="64">
        <v>70.569999999999993</v>
      </c>
      <c r="C12" s="64">
        <v>62.47</v>
      </c>
      <c r="D12" s="64">
        <v>91.71</v>
      </c>
      <c r="E12" s="64">
        <v>5.53</v>
      </c>
      <c r="F12" s="64">
        <v>3.37</v>
      </c>
      <c r="G12" s="64">
        <v>169.93</v>
      </c>
      <c r="H12" s="64">
        <v>52.02</v>
      </c>
      <c r="I12" s="64">
        <v>1.03</v>
      </c>
      <c r="J12" s="64">
        <v>0.06</v>
      </c>
      <c r="K12" s="64">
        <v>103.44</v>
      </c>
      <c r="L12" s="64">
        <v>23.87</v>
      </c>
      <c r="M12" s="64">
        <v>42.09</v>
      </c>
      <c r="N12" s="64">
        <v>9.6999999999999993</v>
      </c>
      <c r="O12" s="64">
        <v>0</v>
      </c>
      <c r="P12" s="64">
        <v>2.04</v>
      </c>
      <c r="Q12" s="64">
        <v>32.29</v>
      </c>
      <c r="R12" s="198"/>
      <c r="S12" s="198"/>
      <c r="T12" s="198"/>
      <c r="U12" s="198"/>
    </row>
    <row r="13" spans="1:21" s="12" customFormat="1" x14ac:dyDescent="0.25">
      <c r="A13" s="211" t="s">
        <v>1402</v>
      </c>
      <c r="B13" s="64">
        <v>63.23</v>
      </c>
      <c r="C13" s="64">
        <v>52.94</v>
      </c>
      <c r="D13" s="64">
        <v>80.569999999999993</v>
      </c>
      <c r="E13" s="64">
        <v>5.15</v>
      </c>
      <c r="F13" s="64">
        <v>6.18</v>
      </c>
      <c r="G13" s="64">
        <v>169.93</v>
      </c>
      <c r="H13" s="64">
        <v>52.02</v>
      </c>
      <c r="I13" s="64">
        <v>1.01</v>
      </c>
      <c r="J13" s="64">
        <v>0.05</v>
      </c>
      <c r="K13" s="64">
        <v>263.5</v>
      </c>
      <c r="L13" s="64">
        <v>23.88</v>
      </c>
      <c r="M13" s="64">
        <v>46.87</v>
      </c>
      <c r="N13" s="64">
        <v>9.8000000000000007</v>
      </c>
      <c r="O13" s="64">
        <v>0</v>
      </c>
      <c r="P13" s="64">
        <v>1.81</v>
      </c>
      <c r="Q13" s="64">
        <v>32.880000000000003</v>
      </c>
      <c r="R13" s="198"/>
      <c r="S13" s="198"/>
      <c r="T13" s="198"/>
      <c r="U13" s="198"/>
    </row>
    <row r="14" spans="1:21" s="12" customFormat="1" x14ac:dyDescent="0.25">
      <c r="A14" s="211" t="s">
        <v>1403</v>
      </c>
      <c r="B14" s="64">
        <v>59.71</v>
      </c>
      <c r="C14" s="64">
        <v>52.52</v>
      </c>
      <c r="D14" s="64">
        <v>77.510000000000005</v>
      </c>
      <c r="E14" s="64">
        <v>4.92</v>
      </c>
      <c r="F14" s="64">
        <v>5.32</v>
      </c>
      <c r="G14" s="64">
        <v>169.93</v>
      </c>
      <c r="H14" s="64">
        <v>52.02</v>
      </c>
      <c r="I14" s="64">
        <v>0.98</v>
      </c>
      <c r="J14" s="64">
        <v>0.09</v>
      </c>
      <c r="K14" s="64">
        <v>100</v>
      </c>
      <c r="L14" s="64">
        <v>23.66</v>
      </c>
      <c r="M14" s="64">
        <v>48.11</v>
      </c>
      <c r="N14" s="64">
        <v>9.4</v>
      </c>
      <c r="O14" s="64">
        <v>0</v>
      </c>
      <c r="P14" s="64">
        <v>1.87</v>
      </c>
      <c r="Q14" s="64">
        <v>32.159999999999997</v>
      </c>
      <c r="R14" s="198"/>
      <c r="S14" s="198"/>
      <c r="T14" s="198"/>
      <c r="U14" s="198"/>
    </row>
    <row r="15" spans="1:21" s="12" customFormat="1" x14ac:dyDescent="0.25">
      <c r="A15" s="211" t="s">
        <v>1404</v>
      </c>
      <c r="B15" s="64">
        <v>24.36</v>
      </c>
      <c r="C15" s="64">
        <v>65.22</v>
      </c>
      <c r="D15" s="64">
        <v>56.17</v>
      </c>
      <c r="E15" s="64">
        <v>6.52</v>
      </c>
      <c r="F15" s="64">
        <v>12.27</v>
      </c>
      <c r="G15" s="64">
        <v>169.93</v>
      </c>
      <c r="H15" s="64">
        <v>52.02</v>
      </c>
      <c r="I15" s="64">
        <v>0.97</v>
      </c>
      <c r="J15" s="64">
        <v>0.19</v>
      </c>
      <c r="K15" s="64">
        <v>269.45</v>
      </c>
      <c r="L15" s="64">
        <v>24.39</v>
      </c>
      <c r="M15" s="64">
        <v>42.95</v>
      </c>
      <c r="N15" s="64">
        <v>9.3000000000000007</v>
      </c>
      <c r="O15" s="64">
        <v>0</v>
      </c>
      <c r="P15" s="64">
        <v>1.45</v>
      </c>
      <c r="Q15" s="64">
        <v>33.270000000000003</v>
      </c>
      <c r="R15" s="198"/>
      <c r="S15" s="198"/>
      <c r="T15" s="198"/>
      <c r="U15" s="198"/>
    </row>
    <row r="16" spans="1:21" s="12" customFormat="1" x14ac:dyDescent="0.25">
      <c r="A16" s="211" t="s">
        <v>1405</v>
      </c>
      <c r="B16" s="64">
        <v>38.549999999999997</v>
      </c>
      <c r="C16" s="64">
        <v>60.05</v>
      </c>
      <c r="D16" s="64">
        <v>64.7</v>
      </c>
      <c r="E16" s="64">
        <v>6.4</v>
      </c>
      <c r="F16" s="64">
        <v>8.7100000000000009</v>
      </c>
      <c r="G16" s="64">
        <v>120.46</v>
      </c>
      <c r="H16" s="64">
        <v>49.66</v>
      </c>
      <c r="I16" s="64">
        <v>0.96</v>
      </c>
      <c r="J16" s="64">
        <v>0.17</v>
      </c>
      <c r="K16" s="64">
        <v>264.58999999999997</v>
      </c>
      <c r="L16" s="64">
        <v>24.22</v>
      </c>
      <c r="M16" s="64">
        <v>41.24</v>
      </c>
      <c r="N16" s="64">
        <v>9.8000000000000007</v>
      </c>
      <c r="O16" s="64">
        <v>0</v>
      </c>
      <c r="P16" s="64">
        <v>1.62</v>
      </c>
      <c r="Q16" s="64">
        <v>31.56</v>
      </c>
      <c r="R16" s="198"/>
      <c r="S16" s="198"/>
      <c r="T16" s="198"/>
      <c r="U16" s="198"/>
    </row>
    <row r="17" spans="1:21" s="12" customFormat="1" x14ac:dyDescent="0.25">
      <c r="A17" s="211" t="s">
        <v>1406</v>
      </c>
      <c r="B17" s="64">
        <v>32.64</v>
      </c>
      <c r="C17" s="64">
        <v>61.57</v>
      </c>
      <c r="D17" s="64">
        <v>60.81</v>
      </c>
      <c r="E17" s="64">
        <v>6.88</v>
      </c>
      <c r="F17" s="64">
        <v>7.74</v>
      </c>
      <c r="G17" s="64">
        <v>120.46</v>
      </c>
      <c r="H17" s="64">
        <v>49.66</v>
      </c>
      <c r="I17" s="64">
        <v>0.96</v>
      </c>
      <c r="J17" s="64">
        <v>0.16</v>
      </c>
      <c r="K17" s="64">
        <v>277.66000000000003</v>
      </c>
      <c r="L17" s="64">
        <v>23.86</v>
      </c>
      <c r="M17" s="64">
        <v>44.9</v>
      </c>
      <c r="N17" s="64">
        <v>10.1</v>
      </c>
      <c r="O17" s="64">
        <v>0</v>
      </c>
      <c r="P17" s="64">
        <v>1.57</v>
      </c>
      <c r="Q17" s="64">
        <v>32.17</v>
      </c>
      <c r="R17" s="198"/>
      <c r="S17" s="198"/>
      <c r="T17" s="198"/>
      <c r="U17" s="198"/>
    </row>
    <row r="18" spans="1:21" s="12" customFormat="1" x14ac:dyDescent="0.25">
      <c r="A18" s="211" t="s">
        <v>1407</v>
      </c>
      <c r="B18" s="64">
        <v>39.159999999999997</v>
      </c>
      <c r="C18" s="64">
        <v>68.849999999999994</v>
      </c>
      <c r="D18" s="64">
        <v>70.05</v>
      </c>
      <c r="E18" s="64">
        <v>12.02</v>
      </c>
      <c r="F18" s="64">
        <v>5.36</v>
      </c>
      <c r="G18" s="64">
        <v>120.46</v>
      </c>
      <c r="H18" s="64">
        <v>49.66</v>
      </c>
      <c r="I18" s="64">
        <v>0.9</v>
      </c>
      <c r="J18" s="64">
        <v>0.1</v>
      </c>
      <c r="K18" s="64">
        <v>275.06</v>
      </c>
      <c r="L18" s="64">
        <v>23.56</v>
      </c>
      <c r="M18" s="64">
        <v>43.52</v>
      </c>
      <c r="N18" s="64">
        <v>9.6</v>
      </c>
      <c r="O18" s="64">
        <v>0</v>
      </c>
      <c r="P18" s="64">
        <v>1.75</v>
      </c>
      <c r="Q18" s="64">
        <v>31.33</v>
      </c>
      <c r="R18" s="198"/>
      <c r="S18" s="198"/>
      <c r="T18" s="198"/>
      <c r="U18" s="198"/>
    </row>
    <row r="19" spans="1:21" s="12" customFormat="1" x14ac:dyDescent="0.25">
      <c r="A19" s="211" t="s">
        <v>1408</v>
      </c>
      <c r="B19" s="64">
        <v>47.54</v>
      </c>
      <c r="C19" s="64">
        <v>60.3</v>
      </c>
      <c r="D19" s="64">
        <v>72.05</v>
      </c>
      <c r="E19" s="64">
        <v>17.399999999999999</v>
      </c>
      <c r="F19" s="64">
        <v>4.05</v>
      </c>
      <c r="G19" s="64">
        <v>120.46</v>
      </c>
      <c r="H19" s="64">
        <v>49.66</v>
      </c>
      <c r="I19" s="64">
        <v>0.99</v>
      </c>
      <c r="J19" s="64">
        <v>0.06</v>
      </c>
      <c r="K19" s="64">
        <v>274.02999999999997</v>
      </c>
      <c r="L19" s="64">
        <v>23.61</v>
      </c>
      <c r="M19" s="64">
        <v>44.48</v>
      </c>
      <c r="N19" s="64">
        <v>10.199999999999999</v>
      </c>
      <c r="O19" s="64">
        <v>0</v>
      </c>
      <c r="P19" s="64">
        <v>1.88</v>
      </c>
      <c r="Q19" s="64">
        <v>30.28</v>
      </c>
      <c r="R19" s="198"/>
      <c r="S19" s="198"/>
      <c r="T19" s="198"/>
      <c r="U19" s="198"/>
    </row>
    <row r="20" spans="1:21" s="12" customFormat="1" x14ac:dyDescent="0.25">
      <c r="A20" s="211" t="s">
        <v>1409</v>
      </c>
      <c r="B20" s="64">
        <v>50.83</v>
      </c>
      <c r="C20" s="64">
        <v>53.37</v>
      </c>
      <c r="D20" s="64">
        <v>70.86</v>
      </c>
      <c r="E20" s="64">
        <v>10.79</v>
      </c>
      <c r="F20" s="64">
        <v>3.44</v>
      </c>
      <c r="G20" s="64">
        <v>154.9</v>
      </c>
      <c r="H20" s="64">
        <v>55.4</v>
      </c>
      <c r="I20" s="64">
        <v>0.98</v>
      </c>
      <c r="J20" s="64">
        <v>0.03</v>
      </c>
      <c r="K20" s="64">
        <v>298.04000000000002</v>
      </c>
      <c r="L20" s="64">
        <v>23.15</v>
      </c>
      <c r="M20" s="64">
        <v>44.17</v>
      </c>
      <c r="N20" s="64">
        <v>10.1</v>
      </c>
      <c r="O20" s="64">
        <v>0</v>
      </c>
      <c r="P20" s="64">
        <v>1.89</v>
      </c>
      <c r="Q20" s="64">
        <v>30.45</v>
      </c>
      <c r="R20" s="198"/>
      <c r="S20" s="198"/>
      <c r="T20" s="198"/>
      <c r="U20" s="198"/>
    </row>
    <row r="21" spans="1:21" s="12" customFormat="1" x14ac:dyDescent="0.25">
      <c r="A21" s="211" t="s">
        <v>1410</v>
      </c>
      <c r="B21" s="64">
        <v>51.77</v>
      </c>
      <c r="C21" s="64">
        <v>49.5</v>
      </c>
      <c r="D21" s="64">
        <v>69.48</v>
      </c>
      <c r="E21" s="64">
        <v>8.1300000000000008</v>
      </c>
      <c r="F21" s="64">
        <v>3.27</v>
      </c>
      <c r="G21" s="64">
        <v>154.9</v>
      </c>
      <c r="H21" s="64">
        <v>55.4</v>
      </c>
      <c r="I21" s="64">
        <v>0.94</v>
      </c>
      <c r="J21" s="64">
        <v>0.11</v>
      </c>
      <c r="K21" s="64">
        <v>269.33999999999997</v>
      </c>
      <c r="L21" s="64">
        <v>23.07</v>
      </c>
      <c r="M21" s="64">
        <v>46.85</v>
      </c>
      <c r="N21" s="64">
        <v>10</v>
      </c>
      <c r="O21" s="64">
        <v>0</v>
      </c>
      <c r="P21" s="64">
        <v>1.88</v>
      </c>
      <c r="Q21" s="64">
        <v>30.81</v>
      </c>
      <c r="R21" s="198"/>
      <c r="S21" s="198"/>
      <c r="T21" s="198"/>
      <c r="U21" s="198"/>
    </row>
    <row r="22" spans="1:21" s="12" customFormat="1" x14ac:dyDescent="0.25">
      <c r="A22" s="211" t="s">
        <v>1411</v>
      </c>
      <c r="B22" s="64">
        <v>46.66</v>
      </c>
      <c r="C22" s="64">
        <v>53.53</v>
      </c>
      <c r="D22" s="64">
        <v>67.599999999999994</v>
      </c>
      <c r="E22" s="64">
        <v>7.93</v>
      </c>
      <c r="F22" s="64">
        <v>3.18</v>
      </c>
      <c r="G22" s="64">
        <v>154.9</v>
      </c>
      <c r="H22" s="64">
        <v>55.4</v>
      </c>
      <c r="I22" s="64">
        <v>0.97</v>
      </c>
      <c r="J22" s="64">
        <v>0.19</v>
      </c>
      <c r="K22" s="64">
        <v>276.60000000000002</v>
      </c>
      <c r="L22" s="64">
        <v>23.18</v>
      </c>
      <c r="M22" s="64">
        <v>46.37</v>
      </c>
      <c r="N22" s="64">
        <v>9.3000000000000007</v>
      </c>
      <c r="O22" s="64">
        <v>0</v>
      </c>
      <c r="P22" s="64">
        <v>1.86</v>
      </c>
      <c r="Q22" s="64">
        <v>30.93</v>
      </c>
      <c r="R22" s="198"/>
      <c r="S22" s="198"/>
      <c r="T22" s="198"/>
      <c r="U22" s="198"/>
    </row>
    <row r="23" spans="1:21" s="12" customFormat="1" x14ac:dyDescent="0.25">
      <c r="A23" s="211" t="s">
        <v>1412</v>
      </c>
      <c r="B23" s="64">
        <v>45.65</v>
      </c>
      <c r="C23" s="64">
        <v>49.5</v>
      </c>
      <c r="D23" s="64">
        <v>64.569999999999993</v>
      </c>
      <c r="E23" s="64">
        <v>9.1300000000000008</v>
      </c>
      <c r="F23" s="64">
        <v>3.96</v>
      </c>
      <c r="G23" s="64">
        <v>154.9</v>
      </c>
      <c r="H23" s="64">
        <v>55.4</v>
      </c>
      <c r="I23" s="64">
        <v>0.98</v>
      </c>
      <c r="J23" s="64">
        <v>0.34</v>
      </c>
      <c r="K23" s="64">
        <v>272.07</v>
      </c>
      <c r="L23" s="64">
        <v>23.32</v>
      </c>
      <c r="M23" s="64">
        <v>41.62</v>
      </c>
      <c r="N23" s="64">
        <v>8.6999999999999993</v>
      </c>
      <c r="O23" s="64">
        <v>0</v>
      </c>
      <c r="P23" s="64">
        <v>1.82</v>
      </c>
      <c r="Q23" s="64">
        <v>30.82</v>
      </c>
      <c r="R23" s="198"/>
      <c r="S23" s="198"/>
      <c r="T23" s="198"/>
      <c r="U23" s="198"/>
    </row>
    <row r="24" spans="1:21" s="12" customFormat="1" x14ac:dyDescent="0.25">
      <c r="A24" s="211" t="s">
        <v>1413</v>
      </c>
      <c r="B24" s="64">
        <v>43.54</v>
      </c>
      <c r="C24" s="64">
        <v>45.83</v>
      </c>
      <c r="D24" s="64">
        <v>60.86</v>
      </c>
      <c r="E24" s="64">
        <v>6.15</v>
      </c>
      <c r="F24" s="64">
        <v>5.03</v>
      </c>
      <c r="G24" s="64">
        <v>220.04</v>
      </c>
      <c r="H24" s="64">
        <v>127.95</v>
      </c>
      <c r="I24" s="64">
        <v>0.95</v>
      </c>
      <c r="J24" s="64">
        <v>0.78</v>
      </c>
      <c r="K24" s="64">
        <v>269.51</v>
      </c>
      <c r="L24" s="64">
        <v>23.77</v>
      </c>
      <c r="M24" s="64">
        <v>36.89</v>
      </c>
      <c r="N24" s="64">
        <v>8.1</v>
      </c>
      <c r="O24" s="64">
        <v>0</v>
      </c>
      <c r="P24" s="64">
        <v>1.77</v>
      </c>
      <c r="Q24" s="64">
        <v>30.26</v>
      </c>
      <c r="R24" s="198"/>
      <c r="S24" s="198"/>
      <c r="T24" s="198"/>
      <c r="U24" s="198"/>
    </row>
    <row r="25" spans="1:21" s="12" customFormat="1" x14ac:dyDescent="0.25">
      <c r="A25" s="211" t="s">
        <v>1414</v>
      </c>
      <c r="B25" s="64">
        <v>39.869999999999997</v>
      </c>
      <c r="C25" s="64">
        <v>46.58</v>
      </c>
      <c r="D25" s="64">
        <v>58.33</v>
      </c>
      <c r="E25" s="64">
        <v>7.19</v>
      </c>
      <c r="F25" s="64">
        <v>4.4400000000000004</v>
      </c>
      <c r="G25" s="64">
        <v>220.04</v>
      </c>
      <c r="H25" s="64">
        <v>127.95</v>
      </c>
      <c r="I25" s="64">
        <v>0.93</v>
      </c>
      <c r="J25" s="64">
        <v>0.53</v>
      </c>
      <c r="K25" s="64">
        <v>292.07</v>
      </c>
      <c r="L25" s="64">
        <v>24.07</v>
      </c>
      <c r="M25" s="64">
        <v>33.29</v>
      </c>
      <c r="N25" s="64">
        <v>9.1</v>
      </c>
      <c r="O25" s="64">
        <v>0</v>
      </c>
      <c r="P25" s="64">
        <v>1.74</v>
      </c>
      <c r="Q25" s="64">
        <v>29.9</v>
      </c>
      <c r="R25" s="198"/>
      <c r="S25" s="198"/>
      <c r="T25" s="198"/>
      <c r="U25" s="198"/>
    </row>
    <row r="26" spans="1:21" s="12" customFormat="1" x14ac:dyDescent="0.25">
      <c r="A26" s="211" t="s">
        <v>1415</v>
      </c>
      <c r="B26" s="64">
        <v>34.880000000000003</v>
      </c>
      <c r="C26" s="64">
        <v>49.62</v>
      </c>
      <c r="D26" s="64">
        <v>56</v>
      </c>
      <c r="E26" s="64">
        <v>11.43</v>
      </c>
      <c r="F26" s="64">
        <v>6.9</v>
      </c>
      <c r="G26" s="64">
        <v>220.04</v>
      </c>
      <c r="H26" s="64">
        <v>127.95</v>
      </c>
      <c r="I26" s="64">
        <v>0.92</v>
      </c>
      <c r="J26" s="64">
        <v>0.35</v>
      </c>
      <c r="K26" s="64">
        <v>305.69</v>
      </c>
      <c r="L26" s="64">
        <v>24.22</v>
      </c>
      <c r="M26" s="64">
        <v>31.45</v>
      </c>
      <c r="N26" s="64">
        <v>9.6999999999999993</v>
      </c>
      <c r="O26" s="64">
        <v>0</v>
      </c>
      <c r="P26" s="64">
        <v>1.6</v>
      </c>
      <c r="Q26" s="64">
        <v>29.84</v>
      </c>
      <c r="R26" s="198"/>
      <c r="S26" s="198"/>
      <c r="T26" s="198"/>
      <c r="U26" s="198"/>
    </row>
    <row r="27" spans="1:21" s="12" customFormat="1" x14ac:dyDescent="0.25">
      <c r="A27" s="211" t="s">
        <v>1416</v>
      </c>
      <c r="B27" s="64">
        <v>25.29</v>
      </c>
      <c r="C27" s="64">
        <v>54.19</v>
      </c>
      <c r="D27" s="64">
        <v>50.83</v>
      </c>
      <c r="E27" s="64">
        <v>30.98</v>
      </c>
      <c r="F27" s="64">
        <v>18.46</v>
      </c>
      <c r="G27" s="64">
        <v>220.04</v>
      </c>
      <c r="H27" s="64">
        <v>127.95</v>
      </c>
      <c r="I27" s="64">
        <v>0.89</v>
      </c>
      <c r="J27" s="64">
        <v>0.38</v>
      </c>
      <c r="K27" s="64">
        <v>297.07</v>
      </c>
      <c r="L27" s="64">
        <v>24.34</v>
      </c>
      <c r="M27" s="64">
        <v>28.89</v>
      </c>
      <c r="N27" s="64">
        <v>9.3000000000000007</v>
      </c>
      <c r="O27" s="64">
        <v>0</v>
      </c>
      <c r="P27" s="64">
        <v>1.3</v>
      </c>
      <c r="Q27" s="64">
        <v>30.01</v>
      </c>
      <c r="R27" s="198"/>
      <c r="S27" s="198"/>
      <c r="T27" s="198"/>
      <c r="U27" s="198"/>
    </row>
    <row r="28" spans="1:21" s="12" customFormat="1" x14ac:dyDescent="0.25">
      <c r="A28" s="211" t="s">
        <v>1417</v>
      </c>
      <c r="B28" s="64">
        <v>21.74</v>
      </c>
      <c r="C28" s="64">
        <v>52.39</v>
      </c>
      <c r="D28" s="64">
        <v>46.99</v>
      </c>
      <c r="E28" s="64">
        <v>19.7</v>
      </c>
      <c r="F28" s="64">
        <v>21.02</v>
      </c>
      <c r="G28" s="64">
        <v>122.67</v>
      </c>
      <c r="H28" s="64">
        <v>66.34</v>
      </c>
      <c r="I28" s="64">
        <v>0.82</v>
      </c>
      <c r="J28" s="64">
        <v>0.27</v>
      </c>
      <c r="K28" s="64">
        <v>100.65</v>
      </c>
      <c r="L28" s="64">
        <v>24.62</v>
      </c>
      <c r="M28" s="64">
        <v>26.7</v>
      </c>
      <c r="N28" s="64">
        <v>9.9</v>
      </c>
      <c r="O28" s="64">
        <v>0</v>
      </c>
      <c r="P28" s="64">
        <v>1.23</v>
      </c>
      <c r="Q28" s="64">
        <v>29.08</v>
      </c>
      <c r="R28" s="198"/>
      <c r="S28" s="198"/>
      <c r="T28" s="198"/>
      <c r="U28" s="198"/>
    </row>
    <row r="29" spans="1:21" s="12" customFormat="1" x14ac:dyDescent="0.25">
      <c r="A29" s="211" t="s">
        <v>1418</v>
      </c>
      <c r="B29" s="64">
        <v>19.71</v>
      </c>
      <c r="C29" s="64">
        <v>46.26</v>
      </c>
      <c r="D29" s="64">
        <v>41.99</v>
      </c>
      <c r="E29" s="64">
        <v>32.07</v>
      </c>
      <c r="F29" s="64">
        <v>20.36</v>
      </c>
      <c r="G29" s="64">
        <v>122.67</v>
      </c>
      <c r="H29" s="64">
        <v>66.34</v>
      </c>
      <c r="I29" s="64">
        <v>0.62</v>
      </c>
      <c r="J29" s="64">
        <v>7.0000000000000007E-2</v>
      </c>
      <c r="K29" s="64">
        <v>111.67</v>
      </c>
      <c r="L29" s="64">
        <v>24.31</v>
      </c>
      <c r="M29" s="64">
        <v>28.36</v>
      </c>
      <c r="N29" s="64">
        <v>10.7</v>
      </c>
      <c r="O29" s="64">
        <v>0</v>
      </c>
      <c r="P29" s="64">
        <v>1.2</v>
      </c>
      <c r="Q29" s="64">
        <v>29.64</v>
      </c>
      <c r="R29" s="198"/>
      <c r="S29" s="198"/>
      <c r="T29" s="198"/>
      <c r="U29" s="198"/>
    </row>
    <row r="30" spans="1:21" s="12" customFormat="1" x14ac:dyDescent="0.25">
      <c r="A30" s="211" t="s">
        <v>1419</v>
      </c>
      <c r="B30" s="64">
        <v>27.92</v>
      </c>
      <c r="C30" s="64">
        <v>55.39</v>
      </c>
      <c r="D30" s="64">
        <v>53.6</v>
      </c>
      <c r="E30" s="64">
        <v>34.82</v>
      </c>
      <c r="F30" s="64">
        <v>8.3699999999999992</v>
      </c>
      <c r="G30" s="64">
        <v>122.67</v>
      </c>
      <c r="H30" s="64">
        <v>66.34</v>
      </c>
      <c r="I30" s="64">
        <v>0.64</v>
      </c>
      <c r="J30" s="64">
        <v>0.03</v>
      </c>
      <c r="K30" s="64">
        <v>273.33999999999997</v>
      </c>
      <c r="L30" s="64">
        <v>23.21</v>
      </c>
      <c r="M30" s="64">
        <v>34.94</v>
      </c>
      <c r="N30" s="64">
        <v>15.4</v>
      </c>
      <c r="O30" s="64">
        <v>0</v>
      </c>
      <c r="P30" s="64">
        <v>1.33</v>
      </c>
      <c r="Q30" s="64">
        <v>28.47</v>
      </c>
      <c r="R30" s="198"/>
      <c r="S30" s="198"/>
      <c r="T30" s="198"/>
      <c r="U30" s="198"/>
    </row>
    <row r="31" spans="1:21" s="12" customFormat="1" x14ac:dyDescent="0.25">
      <c r="A31" s="211" t="s">
        <v>1420</v>
      </c>
      <c r="B31" s="64">
        <v>30.61</v>
      </c>
      <c r="C31" s="64">
        <v>53.23</v>
      </c>
      <c r="D31" s="64">
        <v>54.57</v>
      </c>
      <c r="E31" s="64">
        <v>21</v>
      </c>
      <c r="F31" s="64">
        <v>5.39</v>
      </c>
      <c r="G31" s="64">
        <v>122.67</v>
      </c>
      <c r="H31" s="64">
        <v>66.34</v>
      </c>
      <c r="I31" s="64">
        <v>0.64</v>
      </c>
      <c r="J31" s="64">
        <v>0.12</v>
      </c>
      <c r="K31" s="64">
        <v>257.31</v>
      </c>
      <c r="L31" s="64">
        <v>23.1</v>
      </c>
      <c r="M31" s="64">
        <v>34.19</v>
      </c>
      <c r="N31" s="64">
        <v>32.5</v>
      </c>
      <c r="O31" s="64">
        <v>0</v>
      </c>
      <c r="P31" s="64">
        <v>1.51</v>
      </c>
      <c r="Q31" s="64">
        <v>27.96</v>
      </c>
      <c r="R31" s="198"/>
      <c r="S31" s="198"/>
      <c r="T31" s="198"/>
      <c r="U31" s="198"/>
    </row>
    <row r="32" spans="1:21" s="12" customFormat="1" x14ac:dyDescent="0.25">
      <c r="A32" s="211" t="s">
        <v>1421</v>
      </c>
      <c r="B32" s="64">
        <v>35.92</v>
      </c>
      <c r="C32" s="64">
        <v>48.21</v>
      </c>
      <c r="D32" s="64">
        <v>56.06</v>
      </c>
      <c r="E32" s="64">
        <v>12.48</v>
      </c>
      <c r="F32" s="64">
        <v>3.49</v>
      </c>
      <c r="G32" s="64">
        <v>96.47</v>
      </c>
      <c r="H32" s="64">
        <v>65.5</v>
      </c>
      <c r="I32" s="64">
        <v>0.7</v>
      </c>
      <c r="J32" s="64">
        <v>0.11</v>
      </c>
      <c r="K32" s="64">
        <v>262.31</v>
      </c>
      <c r="L32" s="64">
        <v>22.9</v>
      </c>
      <c r="M32" s="64">
        <v>39.090000000000003</v>
      </c>
      <c r="N32" s="64">
        <v>55.9</v>
      </c>
      <c r="O32" s="64">
        <v>0</v>
      </c>
      <c r="P32" s="64">
        <v>1.54</v>
      </c>
      <c r="Q32" s="64">
        <v>28.5</v>
      </c>
      <c r="R32" s="198"/>
      <c r="S32" s="198"/>
      <c r="T32" s="198"/>
      <c r="U32" s="198"/>
    </row>
    <row r="33" spans="1:21" s="12" customFormat="1" x14ac:dyDescent="0.25">
      <c r="A33" s="211" t="s">
        <v>1422</v>
      </c>
      <c r="B33" s="64">
        <v>42.23</v>
      </c>
      <c r="C33" s="64">
        <v>44.49</v>
      </c>
      <c r="D33" s="64">
        <v>59.06</v>
      </c>
      <c r="E33" s="64">
        <v>9.02</v>
      </c>
      <c r="F33" s="64">
        <v>3.05</v>
      </c>
      <c r="G33" s="64">
        <v>96.47</v>
      </c>
      <c r="H33" s="64">
        <v>65.5</v>
      </c>
      <c r="I33" s="64">
        <v>0.79</v>
      </c>
      <c r="J33" s="64">
        <v>0.02</v>
      </c>
      <c r="K33" s="64">
        <v>107.22</v>
      </c>
      <c r="L33" s="64">
        <v>23.73</v>
      </c>
      <c r="M33" s="64">
        <v>38.28</v>
      </c>
      <c r="N33" s="64">
        <v>86.3</v>
      </c>
      <c r="O33" s="64">
        <v>0</v>
      </c>
      <c r="P33" s="64">
        <v>1.58</v>
      </c>
      <c r="Q33" s="64">
        <v>28.6</v>
      </c>
      <c r="R33" s="198"/>
      <c r="S33" s="198"/>
      <c r="T33" s="198"/>
      <c r="U33" s="198"/>
    </row>
    <row r="34" spans="1:21" s="12" customFormat="1" x14ac:dyDescent="0.25">
      <c r="A34" s="211" t="s">
        <v>1423</v>
      </c>
      <c r="B34" s="64">
        <v>45.07</v>
      </c>
      <c r="C34" s="64">
        <v>48.55</v>
      </c>
      <c r="D34" s="64">
        <v>63.58</v>
      </c>
      <c r="E34" s="64">
        <v>9.1199999999999992</v>
      </c>
      <c r="F34" s="64">
        <v>3.32</v>
      </c>
      <c r="G34" s="64">
        <v>96.47</v>
      </c>
      <c r="H34" s="64">
        <v>65.5</v>
      </c>
      <c r="I34" s="64">
        <v>0.81</v>
      </c>
      <c r="J34" s="64">
        <v>0.11</v>
      </c>
      <c r="K34" s="64">
        <v>303.75</v>
      </c>
      <c r="L34" s="64">
        <v>25.4</v>
      </c>
      <c r="M34" s="64">
        <v>34.46</v>
      </c>
      <c r="N34" s="64">
        <v>151</v>
      </c>
      <c r="O34" s="64">
        <v>0</v>
      </c>
      <c r="P34" s="64">
        <v>1.62</v>
      </c>
      <c r="Q34" s="64">
        <v>29.48</v>
      </c>
      <c r="R34" s="198"/>
      <c r="S34" s="198"/>
      <c r="T34" s="198"/>
      <c r="U34" s="198"/>
    </row>
    <row r="35" spans="1:21" s="12" customFormat="1" x14ac:dyDescent="0.25">
      <c r="A35" s="211" t="s">
        <v>1424</v>
      </c>
      <c r="B35" s="64">
        <v>43.34</v>
      </c>
      <c r="C35" s="64">
        <v>48.48</v>
      </c>
      <c r="D35" s="64">
        <v>62.16</v>
      </c>
      <c r="E35" s="64">
        <v>12.32</v>
      </c>
      <c r="F35" s="64">
        <v>4.3499999999999996</v>
      </c>
      <c r="G35" s="64">
        <v>96.47</v>
      </c>
      <c r="H35" s="64">
        <v>65.5</v>
      </c>
      <c r="I35" s="64">
        <v>0.81</v>
      </c>
      <c r="J35" s="64">
        <v>0.39</v>
      </c>
      <c r="K35" s="64">
        <v>292.55</v>
      </c>
      <c r="L35" s="64">
        <v>27.31</v>
      </c>
      <c r="M35" s="64">
        <v>30.85</v>
      </c>
      <c r="N35" s="64">
        <v>191.8</v>
      </c>
      <c r="O35" s="64">
        <v>0</v>
      </c>
      <c r="P35" s="64">
        <v>1.63</v>
      </c>
      <c r="Q35" s="64">
        <v>30.27</v>
      </c>
      <c r="R35" s="198"/>
      <c r="S35" s="198"/>
      <c r="T35" s="198"/>
      <c r="U35" s="198"/>
    </row>
    <row r="36" spans="1:21" s="12" customFormat="1" x14ac:dyDescent="0.25">
      <c r="A36" s="211" t="s">
        <v>1425</v>
      </c>
      <c r="B36" s="64">
        <v>41.62</v>
      </c>
      <c r="C36" s="64">
        <v>53.1</v>
      </c>
      <c r="D36" s="64">
        <v>63.33</v>
      </c>
      <c r="E36" s="64">
        <v>19.21</v>
      </c>
      <c r="F36" s="64">
        <v>5.98</v>
      </c>
      <c r="G36" s="64">
        <v>171.12</v>
      </c>
      <c r="H36" s="64">
        <v>77.02</v>
      </c>
      <c r="I36" s="64">
        <v>0.79</v>
      </c>
      <c r="J36" s="64">
        <v>0.25</v>
      </c>
      <c r="K36" s="64">
        <v>292.61</v>
      </c>
      <c r="L36" s="64">
        <v>28.03</v>
      </c>
      <c r="M36" s="64">
        <v>25.93</v>
      </c>
      <c r="N36" s="64">
        <v>195</v>
      </c>
      <c r="O36" s="64">
        <v>0</v>
      </c>
      <c r="P36" s="64">
        <v>1.64</v>
      </c>
      <c r="Q36" s="64">
        <v>30.2</v>
      </c>
      <c r="R36" s="198"/>
      <c r="S36" s="198"/>
      <c r="T36" s="198"/>
      <c r="U36" s="198"/>
    </row>
    <row r="37" spans="1:21" s="12" customFormat="1" x14ac:dyDescent="0.25">
      <c r="A37" s="211" t="s">
        <v>1426</v>
      </c>
      <c r="B37" s="64">
        <v>41.55</v>
      </c>
      <c r="C37" s="64">
        <v>50.49</v>
      </c>
      <c r="D37" s="64">
        <v>61.83</v>
      </c>
      <c r="E37" s="64">
        <v>10.92</v>
      </c>
      <c r="F37" s="64">
        <v>4.47</v>
      </c>
      <c r="G37" s="64">
        <v>171.12</v>
      </c>
      <c r="H37" s="64">
        <v>77.02</v>
      </c>
      <c r="I37" s="64">
        <v>0.75</v>
      </c>
      <c r="J37" s="64">
        <v>0.32</v>
      </c>
      <c r="K37" s="64">
        <v>313.27999999999997</v>
      </c>
      <c r="L37" s="64">
        <v>28.8</v>
      </c>
      <c r="M37" s="64">
        <v>23.77</v>
      </c>
      <c r="N37" s="64">
        <v>238.5</v>
      </c>
      <c r="O37" s="64">
        <v>0</v>
      </c>
      <c r="P37" s="64">
        <v>1.59</v>
      </c>
      <c r="Q37" s="64">
        <v>30.06</v>
      </c>
      <c r="R37" s="198"/>
      <c r="S37" s="198"/>
      <c r="T37" s="198"/>
      <c r="U37" s="198"/>
    </row>
    <row r="38" spans="1:21" s="12" customFormat="1" x14ac:dyDescent="0.25">
      <c r="A38" s="211" t="s">
        <v>1427</v>
      </c>
      <c r="B38" s="64">
        <v>31.17</v>
      </c>
      <c r="C38" s="64">
        <v>56.01</v>
      </c>
      <c r="D38" s="64">
        <v>56.56</v>
      </c>
      <c r="E38" s="64">
        <v>31.35</v>
      </c>
      <c r="F38" s="64">
        <v>16.760000000000002</v>
      </c>
      <c r="G38" s="64">
        <v>171.12</v>
      </c>
      <c r="H38" s="64">
        <v>77.02</v>
      </c>
      <c r="I38" s="64">
        <v>0.72</v>
      </c>
      <c r="J38" s="64">
        <v>0.44</v>
      </c>
      <c r="K38" s="64">
        <v>291.95999999999998</v>
      </c>
      <c r="L38" s="64">
        <v>28.85</v>
      </c>
      <c r="M38" s="64">
        <v>23.12</v>
      </c>
      <c r="N38" s="64">
        <v>306.3</v>
      </c>
      <c r="O38" s="64">
        <v>0</v>
      </c>
      <c r="P38" s="64">
        <v>1.63</v>
      </c>
      <c r="Q38" s="64">
        <v>29.91</v>
      </c>
      <c r="R38" s="198"/>
      <c r="S38" s="198"/>
      <c r="T38" s="198"/>
      <c r="U38" s="198"/>
    </row>
    <row r="39" spans="1:21" s="12" customFormat="1" x14ac:dyDescent="0.25">
      <c r="A39" s="211" t="s">
        <v>1428</v>
      </c>
      <c r="B39" s="64">
        <v>26.49</v>
      </c>
      <c r="C39" s="64">
        <v>54.11</v>
      </c>
      <c r="D39" s="64">
        <v>51.75</v>
      </c>
      <c r="E39" s="64">
        <v>38.42</v>
      </c>
      <c r="F39" s="64">
        <v>25.52</v>
      </c>
      <c r="G39" s="64">
        <v>171.12</v>
      </c>
      <c r="H39" s="64">
        <v>77.02</v>
      </c>
      <c r="I39" s="64">
        <v>0.71</v>
      </c>
      <c r="J39" s="64">
        <v>0.52</v>
      </c>
      <c r="K39" s="64">
        <v>293.08</v>
      </c>
      <c r="L39" s="64">
        <v>29.9</v>
      </c>
      <c r="M39" s="64">
        <v>20.98</v>
      </c>
      <c r="N39" s="64">
        <v>401.7</v>
      </c>
      <c r="O39" s="64">
        <v>0</v>
      </c>
      <c r="P39" s="64">
        <v>1.55</v>
      </c>
      <c r="Q39" s="64">
        <v>29.64</v>
      </c>
      <c r="R39" s="198"/>
      <c r="S39" s="198"/>
      <c r="T39" s="198"/>
      <c r="U39" s="198"/>
    </row>
    <row r="40" spans="1:21" s="12" customFormat="1" x14ac:dyDescent="0.25">
      <c r="A40" s="211" t="s">
        <v>1429</v>
      </c>
      <c r="B40" s="64">
        <v>25.7</v>
      </c>
      <c r="C40" s="64">
        <v>53.32</v>
      </c>
      <c r="D40" s="64">
        <v>50.68</v>
      </c>
      <c r="E40" s="64">
        <v>27.68</v>
      </c>
      <c r="F40" s="64">
        <v>25.42</v>
      </c>
      <c r="G40" s="64">
        <v>167.49</v>
      </c>
      <c r="H40" s="64">
        <v>65.67</v>
      </c>
      <c r="I40" s="64">
        <v>0.64</v>
      </c>
      <c r="J40" s="64">
        <v>0.6</v>
      </c>
      <c r="K40" s="64">
        <v>288.92</v>
      </c>
      <c r="L40" s="64">
        <v>31.16</v>
      </c>
      <c r="M40" s="64">
        <v>20.440000000000001</v>
      </c>
      <c r="N40" s="64">
        <v>493</v>
      </c>
      <c r="O40" s="64">
        <v>0</v>
      </c>
      <c r="P40" s="64">
        <v>1.47</v>
      </c>
      <c r="Q40" s="64">
        <v>28.99</v>
      </c>
      <c r="R40" s="198"/>
      <c r="S40" s="198"/>
      <c r="T40" s="198"/>
      <c r="U40" s="198"/>
    </row>
    <row r="41" spans="1:21" s="12" customFormat="1" x14ac:dyDescent="0.25">
      <c r="A41" s="211" t="s">
        <v>1430</v>
      </c>
      <c r="B41" s="64">
        <v>25.11</v>
      </c>
      <c r="C41" s="64">
        <v>58.59</v>
      </c>
      <c r="D41" s="64">
        <v>53.12</v>
      </c>
      <c r="E41" s="64">
        <v>29.45</v>
      </c>
      <c r="F41" s="64">
        <v>26.74</v>
      </c>
      <c r="G41" s="64">
        <v>167.49</v>
      </c>
      <c r="H41" s="64">
        <v>65.67</v>
      </c>
      <c r="I41" s="64">
        <v>0.6</v>
      </c>
      <c r="J41" s="64">
        <v>0.47</v>
      </c>
      <c r="K41" s="64">
        <v>316.99</v>
      </c>
      <c r="L41" s="64">
        <v>32.68</v>
      </c>
      <c r="M41" s="64">
        <v>19.309999999999999</v>
      </c>
      <c r="N41" s="64">
        <v>546.9</v>
      </c>
      <c r="O41" s="64">
        <v>0</v>
      </c>
      <c r="P41" s="64">
        <v>1.38</v>
      </c>
      <c r="Q41" s="64">
        <v>27.51</v>
      </c>
      <c r="R41" s="198"/>
      <c r="S41" s="198"/>
      <c r="T41" s="198"/>
      <c r="U41" s="198"/>
    </row>
    <row r="42" spans="1:21" s="12" customFormat="1" x14ac:dyDescent="0.25">
      <c r="A42" s="211" t="s">
        <v>1431</v>
      </c>
      <c r="B42" s="64">
        <v>21.87</v>
      </c>
      <c r="C42" s="64">
        <v>59.09</v>
      </c>
      <c r="D42" s="64">
        <v>50.79</v>
      </c>
      <c r="E42" s="64">
        <v>27.6</v>
      </c>
      <c r="F42" s="64">
        <v>22.7</v>
      </c>
      <c r="G42" s="64">
        <v>167.49</v>
      </c>
      <c r="H42" s="64">
        <v>65.67</v>
      </c>
      <c r="I42" s="64">
        <v>0.61</v>
      </c>
      <c r="J42" s="64">
        <v>0.18</v>
      </c>
      <c r="K42" s="64">
        <v>304.25</v>
      </c>
      <c r="L42" s="64">
        <v>33.03</v>
      </c>
      <c r="M42" s="64">
        <v>19.72</v>
      </c>
      <c r="N42" s="64">
        <v>479.9</v>
      </c>
      <c r="O42" s="64">
        <v>0</v>
      </c>
      <c r="P42" s="64">
        <v>1.3</v>
      </c>
      <c r="Q42" s="64">
        <v>28.09</v>
      </c>
      <c r="R42" s="198"/>
      <c r="S42" s="198"/>
      <c r="T42" s="198"/>
      <c r="U42" s="198"/>
    </row>
    <row r="43" spans="1:21" s="12" customFormat="1" x14ac:dyDescent="0.25">
      <c r="A43" s="211" t="s">
        <v>1432</v>
      </c>
      <c r="B43" s="64">
        <v>25.32</v>
      </c>
      <c r="C43" s="64">
        <v>51.78</v>
      </c>
      <c r="D43" s="64">
        <v>49.53</v>
      </c>
      <c r="E43" s="64">
        <v>14.43</v>
      </c>
      <c r="F43" s="64">
        <v>6.86</v>
      </c>
      <c r="G43" s="64">
        <v>167.49</v>
      </c>
      <c r="H43" s="64">
        <v>65.67</v>
      </c>
      <c r="I43" s="64">
        <v>0.61</v>
      </c>
      <c r="J43" s="64">
        <v>0.63</v>
      </c>
      <c r="K43" s="64">
        <v>292.77999999999997</v>
      </c>
      <c r="L43" s="64">
        <v>31.77</v>
      </c>
      <c r="M43" s="64">
        <v>23.85</v>
      </c>
      <c r="N43" s="64">
        <v>538.70000000000005</v>
      </c>
      <c r="O43" s="64">
        <v>0</v>
      </c>
      <c r="P43" s="64">
        <v>1.48</v>
      </c>
      <c r="Q43" s="64">
        <v>28.26</v>
      </c>
      <c r="R43" s="198"/>
      <c r="S43" s="198"/>
      <c r="T43" s="198"/>
      <c r="U43" s="198"/>
    </row>
    <row r="44" spans="1:21" s="12" customFormat="1" x14ac:dyDescent="0.25">
      <c r="A44" s="211" t="s">
        <v>1433</v>
      </c>
      <c r="B44" s="64">
        <v>22.4</v>
      </c>
      <c r="C44" s="64">
        <v>55.59</v>
      </c>
      <c r="D44" s="64">
        <v>49.29</v>
      </c>
      <c r="E44" s="64">
        <v>10.94</v>
      </c>
      <c r="F44" s="64">
        <v>8.25</v>
      </c>
      <c r="G44" s="64">
        <v>90.72</v>
      </c>
      <c r="H44" s="64">
        <v>42.03</v>
      </c>
      <c r="I44" s="64">
        <v>0.64</v>
      </c>
      <c r="J44" s="64">
        <v>0.27</v>
      </c>
      <c r="K44" s="64">
        <v>270.82</v>
      </c>
      <c r="L44" s="64">
        <v>31.54</v>
      </c>
      <c r="M44" s="64">
        <v>27.54</v>
      </c>
      <c r="N44" s="64">
        <v>549</v>
      </c>
      <c r="O44" s="64">
        <v>0</v>
      </c>
      <c r="P44" s="64">
        <v>1.42</v>
      </c>
      <c r="Q44" s="64">
        <v>28.4</v>
      </c>
      <c r="R44" s="198"/>
      <c r="S44" s="198"/>
      <c r="T44" s="198"/>
      <c r="U44" s="198"/>
    </row>
    <row r="45" spans="1:21" s="12" customFormat="1" x14ac:dyDescent="0.25">
      <c r="A45" s="211" t="s">
        <v>1434</v>
      </c>
      <c r="B45" s="64">
        <v>17.61</v>
      </c>
      <c r="C45" s="64">
        <v>56.62</v>
      </c>
      <c r="D45" s="64">
        <v>46.01</v>
      </c>
      <c r="E45" s="64">
        <v>9.85</v>
      </c>
      <c r="F45" s="64">
        <v>9.81</v>
      </c>
      <c r="G45" s="64">
        <v>90.72</v>
      </c>
      <c r="H45" s="64">
        <v>42.03</v>
      </c>
      <c r="I45" s="64">
        <v>0.77</v>
      </c>
      <c r="J45" s="64">
        <v>0.32</v>
      </c>
      <c r="K45" s="64">
        <v>290.12</v>
      </c>
      <c r="L45" s="64">
        <v>31.15</v>
      </c>
      <c r="M45" s="64">
        <v>26.68</v>
      </c>
      <c r="N45" s="64">
        <v>561.29999999999995</v>
      </c>
      <c r="O45" s="64">
        <v>0</v>
      </c>
      <c r="P45" s="64">
        <v>1.38</v>
      </c>
      <c r="Q45" s="64">
        <v>28.64</v>
      </c>
      <c r="R45" s="198"/>
      <c r="S45" s="198"/>
      <c r="T45" s="198"/>
      <c r="U45" s="198"/>
    </row>
    <row r="46" spans="1:21" s="12" customFormat="1" x14ac:dyDescent="0.25">
      <c r="A46" s="211" t="s">
        <v>1435</v>
      </c>
      <c r="B46" s="64">
        <v>15.06</v>
      </c>
      <c r="C46" s="64">
        <v>55.65</v>
      </c>
      <c r="D46" s="64">
        <v>43.43</v>
      </c>
      <c r="E46" s="64">
        <v>9.32</v>
      </c>
      <c r="F46" s="64">
        <v>10.25</v>
      </c>
      <c r="G46" s="64">
        <v>90.72</v>
      </c>
      <c r="H46" s="64">
        <v>42.03</v>
      </c>
      <c r="I46" s="64">
        <v>0.76</v>
      </c>
      <c r="J46" s="64">
        <v>0.25</v>
      </c>
      <c r="K46" s="64">
        <v>265.3</v>
      </c>
      <c r="L46" s="64">
        <v>31.16</v>
      </c>
      <c r="M46" s="64">
        <v>28.91</v>
      </c>
      <c r="N46" s="64">
        <v>519.4</v>
      </c>
      <c r="O46" s="64">
        <v>0</v>
      </c>
      <c r="P46" s="64">
        <v>1.33</v>
      </c>
      <c r="Q46" s="64">
        <v>28.1</v>
      </c>
      <c r="R46" s="198"/>
      <c r="S46" s="198"/>
      <c r="T46" s="198"/>
      <c r="U46" s="198"/>
    </row>
    <row r="47" spans="1:21" s="12" customFormat="1" x14ac:dyDescent="0.25">
      <c r="A47" s="211" t="s">
        <v>1436</v>
      </c>
      <c r="B47" s="64">
        <v>11.54</v>
      </c>
      <c r="C47" s="64">
        <v>58.14</v>
      </c>
      <c r="D47" s="64">
        <v>41.98</v>
      </c>
      <c r="E47" s="64">
        <v>9.34</v>
      </c>
      <c r="F47" s="64">
        <v>11.76</v>
      </c>
      <c r="G47" s="64">
        <v>90.72</v>
      </c>
      <c r="H47" s="64">
        <v>42.03</v>
      </c>
      <c r="I47" s="64">
        <v>0.74</v>
      </c>
      <c r="J47" s="64">
        <v>0.4</v>
      </c>
      <c r="K47" s="64">
        <v>133.01</v>
      </c>
      <c r="L47" s="64">
        <v>31.08</v>
      </c>
      <c r="M47" s="64">
        <v>32.44</v>
      </c>
      <c r="N47" s="64">
        <v>712.9</v>
      </c>
      <c r="O47" s="64">
        <v>0</v>
      </c>
      <c r="P47" s="64">
        <v>1.3</v>
      </c>
      <c r="Q47" s="64">
        <v>27.23</v>
      </c>
      <c r="R47" s="198"/>
      <c r="S47" s="198"/>
      <c r="T47" s="198"/>
      <c r="U47" s="198"/>
    </row>
    <row r="48" spans="1:21" s="12" customFormat="1" x14ac:dyDescent="0.25">
      <c r="A48" s="211" t="s">
        <v>1437</v>
      </c>
      <c r="B48" s="64">
        <v>8.5</v>
      </c>
      <c r="C48" s="64">
        <v>53.58</v>
      </c>
      <c r="D48" s="64">
        <v>37.03</v>
      </c>
      <c r="E48" s="64">
        <v>8.92</v>
      </c>
      <c r="F48" s="64">
        <v>16.579999999999998</v>
      </c>
      <c r="G48" s="64">
        <v>112.77</v>
      </c>
      <c r="H48" s="64">
        <v>43.35</v>
      </c>
      <c r="I48" s="64">
        <v>0.73</v>
      </c>
      <c r="J48" s="64">
        <v>0.25</v>
      </c>
      <c r="K48" s="64">
        <v>157.99</v>
      </c>
      <c r="L48" s="64">
        <v>32.11</v>
      </c>
      <c r="M48" s="64">
        <v>30.59</v>
      </c>
      <c r="N48" s="64">
        <v>787.1</v>
      </c>
      <c r="O48" s="64">
        <v>0</v>
      </c>
      <c r="P48" s="64">
        <v>1.24</v>
      </c>
      <c r="Q48" s="64">
        <v>27.71</v>
      </c>
      <c r="R48" s="198"/>
      <c r="S48" s="198"/>
      <c r="T48" s="198"/>
      <c r="U48" s="198"/>
    </row>
    <row r="49" spans="1:21" s="12" customFormat="1" x14ac:dyDescent="0.25">
      <c r="A49" s="211" t="s">
        <v>1438</v>
      </c>
      <c r="B49" s="64">
        <v>6.39</v>
      </c>
      <c r="C49" s="64">
        <v>59.79</v>
      </c>
      <c r="D49" s="64">
        <v>38.770000000000003</v>
      </c>
      <c r="E49" s="64">
        <v>9.66</v>
      </c>
      <c r="F49" s="64">
        <v>20.86</v>
      </c>
      <c r="G49" s="64">
        <v>112.77</v>
      </c>
      <c r="H49" s="64">
        <v>43.35</v>
      </c>
      <c r="I49" s="64">
        <v>0.7</v>
      </c>
      <c r="J49" s="64">
        <v>0.38</v>
      </c>
      <c r="K49" s="64">
        <v>281.70999999999998</v>
      </c>
      <c r="L49" s="64">
        <v>33.909999999999997</v>
      </c>
      <c r="M49" s="64">
        <v>26.37</v>
      </c>
      <c r="N49" s="64">
        <v>654.4</v>
      </c>
      <c r="O49" s="64">
        <v>0</v>
      </c>
      <c r="P49" s="64">
        <v>1.22</v>
      </c>
      <c r="Q49" s="64">
        <v>27.59</v>
      </c>
      <c r="R49" s="198"/>
      <c r="S49" s="198"/>
      <c r="T49" s="198"/>
      <c r="U49" s="198"/>
    </row>
    <row r="50" spans="1:21" s="12" customFormat="1" x14ac:dyDescent="0.25">
      <c r="A50" s="211" t="s">
        <v>1439</v>
      </c>
      <c r="B50" s="64">
        <v>5.16</v>
      </c>
      <c r="C50" s="64">
        <v>51.94</v>
      </c>
      <c r="D50" s="64">
        <v>33.450000000000003</v>
      </c>
      <c r="E50" s="64">
        <v>12.24</v>
      </c>
      <c r="F50" s="64">
        <v>43.54</v>
      </c>
      <c r="G50" s="64">
        <v>112.77</v>
      </c>
      <c r="H50" s="64">
        <v>43.35</v>
      </c>
      <c r="I50" s="64">
        <v>0.69</v>
      </c>
      <c r="J50" s="64">
        <v>0.33</v>
      </c>
      <c r="K50" s="64">
        <v>271.04000000000002</v>
      </c>
      <c r="L50" s="64">
        <v>34.659999999999997</v>
      </c>
      <c r="M50" s="64">
        <v>25.1</v>
      </c>
      <c r="N50" s="64">
        <v>762.6</v>
      </c>
      <c r="O50" s="64">
        <v>0</v>
      </c>
      <c r="P50" s="64">
        <v>1.1000000000000001</v>
      </c>
      <c r="Q50" s="64">
        <v>27.72</v>
      </c>
      <c r="R50" s="198"/>
      <c r="S50" s="198"/>
      <c r="T50" s="198"/>
      <c r="U50" s="198"/>
    </row>
    <row r="51" spans="1:21" s="12" customFormat="1" x14ac:dyDescent="0.25">
      <c r="A51" s="211" t="s">
        <v>1440</v>
      </c>
      <c r="B51" s="64">
        <v>3.07</v>
      </c>
      <c r="C51" s="64">
        <v>46.81</v>
      </c>
      <c r="D51" s="64">
        <v>28.94</v>
      </c>
      <c r="E51" s="64">
        <v>13.84</v>
      </c>
      <c r="F51" s="64">
        <v>35.659999999999997</v>
      </c>
      <c r="G51" s="64">
        <v>112.77</v>
      </c>
      <c r="H51" s="64">
        <v>43.35</v>
      </c>
      <c r="I51" s="64">
        <v>0.67</v>
      </c>
      <c r="J51" s="64">
        <v>0.96</v>
      </c>
      <c r="K51" s="64">
        <v>145.77000000000001</v>
      </c>
      <c r="L51" s="64">
        <v>33.49</v>
      </c>
      <c r="M51" s="64">
        <v>26.57</v>
      </c>
      <c r="N51" s="64">
        <v>889.1</v>
      </c>
      <c r="O51" s="64">
        <v>0</v>
      </c>
      <c r="P51" s="64">
        <v>1.05</v>
      </c>
      <c r="Q51" s="64">
        <v>28.24</v>
      </c>
      <c r="R51" s="198"/>
      <c r="S51" s="198"/>
      <c r="T51" s="198"/>
      <c r="U51" s="198"/>
    </row>
    <row r="52" spans="1:21" s="12" customFormat="1" x14ac:dyDescent="0.25">
      <c r="A52" s="211" t="s">
        <v>1441</v>
      </c>
      <c r="B52" s="64">
        <v>2.46</v>
      </c>
      <c r="C52" s="64">
        <v>40.57</v>
      </c>
      <c r="D52" s="64">
        <v>25.01</v>
      </c>
      <c r="E52" s="64">
        <v>12.22</v>
      </c>
      <c r="F52" s="64">
        <v>35.840000000000003</v>
      </c>
      <c r="G52" s="64">
        <v>93.82</v>
      </c>
      <c r="H52" s="64">
        <v>34.270000000000003</v>
      </c>
      <c r="I52" s="64">
        <v>0.6</v>
      </c>
      <c r="J52" s="64">
        <v>1.23</v>
      </c>
      <c r="K52" s="64">
        <v>142.30000000000001</v>
      </c>
      <c r="L52" s="64">
        <v>32.94</v>
      </c>
      <c r="M52" s="64">
        <v>24.42</v>
      </c>
      <c r="N52" s="64">
        <v>845.2</v>
      </c>
      <c r="O52" s="64">
        <v>0</v>
      </c>
      <c r="P52" s="64">
        <v>1.05</v>
      </c>
      <c r="Q52" s="64">
        <v>28.53</v>
      </c>
      <c r="R52" s="198"/>
      <c r="S52" s="198"/>
      <c r="T52" s="198"/>
      <c r="U52" s="198"/>
    </row>
    <row r="53" spans="1:21" s="12" customFormat="1" x14ac:dyDescent="0.25">
      <c r="A53" s="211" t="s">
        <v>1442</v>
      </c>
      <c r="B53" s="64">
        <v>4.03</v>
      </c>
      <c r="C53" s="64">
        <v>39.61</v>
      </c>
      <c r="D53" s="64">
        <v>25.74</v>
      </c>
      <c r="E53" s="64">
        <v>10.97</v>
      </c>
      <c r="F53" s="64">
        <v>37.22</v>
      </c>
      <c r="G53" s="64">
        <v>93.82</v>
      </c>
      <c r="H53" s="64">
        <v>34.270000000000003</v>
      </c>
      <c r="I53" s="64">
        <v>0.68</v>
      </c>
      <c r="J53" s="64">
        <v>1.1499999999999999</v>
      </c>
      <c r="K53" s="64">
        <v>132.68</v>
      </c>
      <c r="L53" s="64">
        <v>32.869999999999997</v>
      </c>
      <c r="M53" s="64">
        <v>24.1</v>
      </c>
      <c r="N53" s="64">
        <v>857.6</v>
      </c>
      <c r="O53" s="64">
        <v>0</v>
      </c>
      <c r="P53" s="64">
        <v>1.02</v>
      </c>
      <c r="Q53" s="64">
        <v>28.17</v>
      </c>
      <c r="R53" s="198"/>
      <c r="S53" s="198"/>
      <c r="T53" s="198"/>
      <c r="U53" s="198"/>
    </row>
    <row r="54" spans="1:21" s="12" customFormat="1" x14ac:dyDescent="0.25">
      <c r="A54" s="211" t="s">
        <v>1443</v>
      </c>
      <c r="B54" s="64">
        <v>3.16</v>
      </c>
      <c r="C54" s="64">
        <v>42.36</v>
      </c>
      <c r="D54" s="64">
        <v>26.55</v>
      </c>
      <c r="E54" s="64">
        <v>14.09</v>
      </c>
      <c r="F54" s="64">
        <v>36.200000000000003</v>
      </c>
      <c r="G54" s="64">
        <v>93.82</v>
      </c>
      <c r="H54" s="64">
        <v>34.270000000000003</v>
      </c>
      <c r="I54" s="64">
        <v>0.71</v>
      </c>
      <c r="J54" s="64">
        <v>0.87</v>
      </c>
      <c r="K54" s="64">
        <v>125.61</v>
      </c>
      <c r="L54" s="64">
        <v>33.979999999999997</v>
      </c>
      <c r="M54" s="64">
        <v>22.23</v>
      </c>
      <c r="N54" s="64">
        <v>893.1</v>
      </c>
      <c r="O54" s="64">
        <v>0</v>
      </c>
      <c r="P54" s="64">
        <v>0.98</v>
      </c>
      <c r="Q54" s="64">
        <v>28.2</v>
      </c>
      <c r="R54" s="198"/>
      <c r="S54" s="198"/>
      <c r="T54" s="198"/>
      <c r="U54" s="198"/>
    </row>
    <row r="55" spans="1:21" s="12" customFormat="1" x14ac:dyDescent="0.25">
      <c r="A55" s="211" t="s">
        <v>1444</v>
      </c>
      <c r="B55" s="64">
        <v>1.9</v>
      </c>
      <c r="C55" s="64">
        <v>39.47</v>
      </c>
      <c r="D55" s="64">
        <v>23.95</v>
      </c>
      <c r="E55" s="64">
        <v>10.49</v>
      </c>
      <c r="F55" s="64">
        <v>26.92</v>
      </c>
      <c r="G55" s="64">
        <v>93.82</v>
      </c>
      <c r="H55" s="64">
        <v>34.270000000000003</v>
      </c>
      <c r="I55" s="64">
        <v>0.72</v>
      </c>
      <c r="J55" s="64">
        <v>0.19</v>
      </c>
      <c r="K55" s="64">
        <v>191.77</v>
      </c>
      <c r="L55" s="64">
        <v>34.57</v>
      </c>
      <c r="M55" s="64">
        <v>20.95</v>
      </c>
      <c r="N55" s="64">
        <v>852.7</v>
      </c>
      <c r="O55" s="64">
        <v>0</v>
      </c>
      <c r="P55" s="64">
        <v>0.99</v>
      </c>
      <c r="Q55" s="64">
        <v>29.25</v>
      </c>
      <c r="R55" s="198"/>
      <c r="S55" s="198"/>
      <c r="T55" s="198"/>
      <c r="U55" s="198"/>
    </row>
    <row r="56" spans="1:21" s="12" customFormat="1" x14ac:dyDescent="0.25">
      <c r="A56" s="211" t="s">
        <v>1445</v>
      </c>
      <c r="B56" s="64">
        <v>1.92</v>
      </c>
      <c r="C56" s="64">
        <v>40.94</v>
      </c>
      <c r="D56" s="64">
        <v>24.78</v>
      </c>
      <c r="E56" s="64">
        <v>6.12</v>
      </c>
      <c r="F56" s="64">
        <v>33.58</v>
      </c>
      <c r="G56" s="64">
        <v>69.510000000000005</v>
      </c>
      <c r="H56" s="64">
        <v>16.95</v>
      </c>
      <c r="I56" s="64">
        <v>0.73</v>
      </c>
      <c r="J56" s="64">
        <v>0.52</v>
      </c>
      <c r="K56" s="64">
        <v>140.5</v>
      </c>
      <c r="L56" s="64">
        <v>35.72</v>
      </c>
      <c r="M56" s="64">
        <v>19.95</v>
      </c>
      <c r="N56" s="64">
        <v>766.4</v>
      </c>
      <c r="O56" s="64">
        <v>0</v>
      </c>
      <c r="P56" s="64">
        <v>0.93</v>
      </c>
      <c r="Q56" s="64">
        <v>29.06</v>
      </c>
      <c r="R56" s="198"/>
      <c r="S56" s="198"/>
      <c r="T56" s="198"/>
      <c r="U56" s="198"/>
    </row>
    <row r="57" spans="1:21" s="12" customFormat="1" x14ac:dyDescent="0.25">
      <c r="A57" s="211" t="s">
        <v>1446</v>
      </c>
      <c r="B57" s="64">
        <v>2.09</v>
      </c>
      <c r="C57" s="64">
        <v>43.36</v>
      </c>
      <c r="D57" s="64">
        <v>26.26</v>
      </c>
      <c r="E57" s="64">
        <v>9.76</v>
      </c>
      <c r="F57" s="64">
        <v>27.4</v>
      </c>
      <c r="G57" s="64">
        <v>69.510000000000005</v>
      </c>
      <c r="H57" s="64">
        <v>16.95</v>
      </c>
      <c r="I57" s="64">
        <v>0.77</v>
      </c>
      <c r="J57" s="64">
        <v>0.15</v>
      </c>
      <c r="K57" s="64">
        <v>286.10000000000002</v>
      </c>
      <c r="L57" s="64">
        <v>36.299999999999997</v>
      </c>
      <c r="M57" s="64">
        <v>20.21</v>
      </c>
      <c r="N57" s="64">
        <v>848.6</v>
      </c>
      <c r="O57" s="64">
        <v>0</v>
      </c>
      <c r="P57" s="64">
        <v>0.97</v>
      </c>
      <c r="Q57" s="64">
        <v>28.98</v>
      </c>
      <c r="R57" s="198"/>
      <c r="S57" s="198"/>
      <c r="T57" s="198"/>
      <c r="U57" s="198"/>
    </row>
    <row r="58" spans="1:21" s="12" customFormat="1" x14ac:dyDescent="0.25">
      <c r="A58" s="211" t="s">
        <v>1447</v>
      </c>
      <c r="B58" s="64">
        <v>3.08</v>
      </c>
      <c r="C58" s="64">
        <v>44.71</v>
      </c>
      <c r="D58" s="64">
        <v>27.79</v>
      </c>
      <c r="E58" s="64">
        <v>10.82</v>
      </c>
      <c r="F58" s="64">
        <v>31.82</v>
      </c>
      <c r="G58" s="64">
        <v>69.510000000000005</v>
      </c>
      <c r="H58" s="64">
        <v>16.95</v>
      </c>
      <c r="I58" s="64">
        <v>0.75</v>
      </c>
      <c r="J58" s="64">
        <v>0.23</v>
      </c>
      <c r="K58" s="64">
        <v>162.12</v>
      </c>
      <c r="L58" s="64">
        <v>37.56</v>
      </c>
      <c r="M58" s="64">
        <v>18.84</v>
      </c>
      <c r="N58" s="64">
        <v>806.4</v>
      </c>
      <c r="O58" s="64">
        <v>0</v>
      </c>
      <c r="P58" s="64">
        <v>0.93</v>
      </c>
      <c r="Q58" s="64">
        <v>28.63</v>
      </c>
      <c r="R58" s="198"/>
      <c r="S58" s="198"/>
      <c r="T58" s="198"/>
      <c r="U58" s="198"/>
    </row>
    <row r="59" spans="1:21" s="12" customFormat="1" x14ac:dyDescent="0.25">
      <c r="A59" s="211" t="s">
        <v>1448</v>
      </c>
      <c r="B59" s="64">
        <v>2.25</v>
      </c>
      <c r="C59" s="64">
        <v>45.4</v>
      </c>
      <c r="D59" s="64">
        <v>27.5</v>
      </c>
      <c r="E59" s="64">
        <v>15.53</v>
      </c>
      <c r="F59" s="64">
        <v>37.74</v>
      </c>
      <c r="G59" s="64">
        <v>69.510000000000005</v>
      </c>
      <c r="H59" s="64">
        <v>16.95</v>
      </c>
      <c r="I59" s="64">
        <v>0.76</v>
      </c>
      <c r="J59" s="64">
        <v>0.18</v>
      </c>
      <c r="K59" s="64">
        <v>285.52</v>
      </c>
      <c r="L59" s="64">
        <v>36.22</v>
      </c>
      <c r="M59" s="64">
        <v>18.09</v>
      </c>
      <c r="N59" s="64">
        <v>686.6</v>
      </c>
      <c r="O59" s="64">
        <v>0</v>
      </c>
      <c r="P59" s="64">
        <v>0.89</v>
      </c>
      <c r="Q59" s="64">
        <v>28.43</v>
      </c>
      <c r="R59" s="198"/>
      <c r="S59" s="198"/>
      <c r="T59" s="198"/>
      <c r="U59" s="198"/>
    </row>
    <row r="60" spans="1:21" s="12" customFormat="1" x14ac:dyDescent="0.25">
      <c r="A60" s="211" t="s">
        <v>1449</v>
      </c>
      <c r="B60" s="64">
        <v>2.59</v>
      </c>
      <c r="C60" s="64">
        <v>48.57</v>
      </c>
      <c r="D60" s="64">
        <v>29.53</v>
      </c>
      <c r="E60" s="64">
        <v>15.3</v>
      </c>
      <c r="F60" s="64">
        <v>19.73</v>
      </c>
      <c r="G60" s="64">
        <v>57</v>
      </c>
      <c r="H60" s="64">
        <v>29.02</v>
      </c>
      <c r="I60" s="64">
        <v>0.78</v>
      </c>
      <c r="J60" s="64">
        <v>1.01</v>
      </c>
      <c r="K60" s="64">
        <v>284.27</v>
      </c>
      <c r="L60" s="64">
        <v>37.5</v>
      </c>
      <c r="M60" s="64">
        <v>16.21</v>
      </c>
      <c r="N60" s="64">
        <v>740.3</v>
      </c>
      <c r="O60" s="64">
        <v>0</v>
      </c>
      <c r="P60" s="64">
        <v>0.9</v>
      </c>
      <c r="Q60" s="64">
        <v>28.1</v>
      </c>
      <c r="R60" s="198"/>
      <c r="S60" s="198"/>
      <c r="T60" s="198"/>
      <c r="U60" s="198"/>
    </row>
    <row r="61" spans="1:21" s="12" customFormat="1" x14ac:dyDescent="0.25">
      <c r="A61" s="211" t="s">
        <v>1450</v>
      </c>
      <c r="B61" s="64">
        <v>1.57</v>
      </c>
      <c r="C61" s="64">
        <v>45.62</v>
      </c>
      <c r="D61" s="64">
        <v>27.08</v>
      </c>
      <c r="E61" s="64">
        <v>7.18</v>
      </c>
      <c r="F61" s="64">
        <v>12.18</v>
      </c>
      <c r="G61" s="64">
        <v>57</v>
      </c>
      <c r="H61" s="64">
        <v>29.02</v>
      </c>
      <c r="I61" s="64">
        <v>0.74</v>
      </c>
      <c r="J61" s="64">
        <v>1.43</v>
      </c>
      <c r="K61" s="64">
        <v>275.58</v>
      </c>
      <c r="L61" s="64">
        <v>38.26</v>
      </c>
      <c r="M61" s="64">
        <v>14.69</v>
      </c>
      <c r="N61" s="64">
        <v>781.9</v>
      </c>
      <c r="O61" s="64">
        <v>0</v>
      </c>
      <c r="P61" s="64">
        <v>0.85</v>
      </c>
      <c r="Q61" s="64">
        <v>27.7</v>
      </c>
      <c r="R61" s="198"/>
      <c r="S61" s="198"/>
      <c r="T61" s="198"/>
      <c r="U61" s="198"/>
    </row>
    <row r="62" spans="1:21" s="12" customFormat="1" x14ac:dyDescent="0.25">
      <c r="A62" s="211" t="s">
        <v>1451</v>
      </c>
      <c r="B62" s="64">
        <v>2.04</v>
      </c>
      <c r="C62" s="64">
        <v>41.33</v>
      </c>
      <c r="D62" s="64">
        <v>25.1</v>
      </c>
      <c r="E62" s="64">
        <v>7.63</v>
      </c>
      <c r="F62" s="64">
        <v>18.3</v>
      </c>
      <c r="G62" s="64">
        <v>57</v>
      </c>
      <c r="H62" s="64">
        <v>29.02</v>
      </c>
      <c r="I62" s="64">
        <v>0.78</v>
      </c>
      <c r="J62" s="64">
        <v>1.64</v>
      </c>
      <c r="K62" s="64">
        <v>269.92</v>
      </c>
      <c r="L62" s="64">
        <v>38.409999999999997</v>
      </c>
      <c r="M62" s="64">
        <v>14.52</v>
      </c>
      <c r="N62" s="64">
        <v>755</v>
      </c>
      <c r="O62" s="64">
        <v>0</v>
      </c>
      <c r="P62" s="64">
        <v>0.83</v>
      </c>
      <c r="Q62" s="64">
        <v>27.79</v>
      </c>
      <c r="R62" s="198"/>
      <c r="S62" s="198"/>
      <c r="T62" s="198"/>
      <c r="U62" s="198"/>
    </row>
    <row r="63" spans="1:21" s="12" customFormat="1" x14ac:dyDescent="0.25">
      <c r="A63" s="211" t="s">
        <v>1452</v>
      </c>
      <c r="B63" s="64">
        <v>2.04</v>
      </c>
      <c r="C63" s="64">
        <v>39.92</v>
      </c>
      <c r="D63" s="64">
        <v>24.31</v>
      </c>
      <c r="E63" s="64">
        <v>6.8</v>
      </c>
      <c r="F63" s="64">
        <v>42.57</v>
      </c>
      <c r="G63" s="64">
        <v>57</v>
      </c>
      <c r="H63" s="64">
        <v>29.02</v>
      </c>
      <c r="I63" s="64">
        <v>0.8</v>
      </c>
      <c r="J63" s="64">
        <v>1.52</v>
      </c>
      <c r="K63" s="64">
        <v>276.13</v>
      </c>
      <c r="L63" s="64">
        <v>38.369999999999997</v>
      </c>
      <c r="M63" s="64">
        <v>13.84</v>
      </c>
      <c r="N63" s="64">
        <v>724.6</v>
      </c>
      <c r="O63" s="64">
        <v>0</v>
      </c>
      <c r="P63" s="64">
        <v>0.75</v>
      </c>
      <c r="Q63" s="64">
        <v>26.64</v>
      </c>
      <c r="R63" s="198"/>
      <c r="S63" s="198"/>
      <c r="T63" s="198"/>
      <c r="U63" s="198"/>
    </row>
    <row r="64" spans="1:21" s="12" customFormat="1" x14ac:dyDescent="0.25">
      <c r="A64" s="211" t="s">
        <v>1453</v>
      </c>
      <c r="B64" s="64">
        <v>4.05</v>
      </c>
      <c r="C64" s="64">
        <v>38.76</v>
      </c>
      <c r="D64" s="64">
        <v>25.19</v>
      </c>
      <c r="E64" s="64">
        <v>9.2899999999999991</v>
      </c>
      <c r="F64" s="64">
        <v>35.92</v>
      </c>
      <c r="G64" s="64">
        <v>56.51</v>
      </c>
      <c r="H64" s="64">
        <v>27.05</v>
      </c>
      <c r="I64" s="64">
        <v>0.74</v>
      </c>
      <c r="J64" s="64">
        <v>1.23</v>
      </c>
      <c r="K64" s="64">
        <v>277.83999999999997</v>
      </c>
      <c r="L64" s="64">
        <v>37.79</v>
      </c>
      <c r="M64" s="64">
        <v>13.98</v>
      </c>
      <c r="N64" s="64">
        <v>641.5</v>
      </c>
      <c r="O64" s="64">
        <v>0</v>
      </c>
      <c r="P64" s="64">
        <v>0.76</v>
      </c>
      <c r="Q64" s="64">
        <v>24.68</v>
      </c>
      <c r="R64" s="198"/>
      <c r="S64" s="198"/>
      <c r="T64" s="198"/>
      <c r="U64" s="198"/>
    </row>
    <row r="65" spans="1:21" s="12" customFormat="1" x14ac:dyDescent="0.25">
      <c r="A65" s="211" t="s">
        <v>1454</v>
      </c>
      <c r="B65" s="64">
        <v>2.72</v>
      </c>
      <c r="C65" s="64">
        <v>40.99</v>
      </c>
      <c r="D65" s="64">
        <v>25.45</v>
      </c>
      <c r="E65" s="64">
        <v>9.1199999999999992</v>
      </c>
      <c r="F65" s="64">
        <v>23.71</v>
      </c>
      <c r="G65" s="64">
        <v>56.51</v>
      </c>
      <c r="H65" s="64">
        <v>27.05</v>
      </c>
      <c r="I65" s="64">
        <v>0.69</v>
      </c>
      <c r="J65" s="64">
        <v>1.34</v>
      </c>
      <c r="K65" s="64">
        <v>271.56</v>
      </c>
      <c r="L65" s="64">
        <v>38.049999999999997</v>
      </c>
      <c r="M65" s="64">
        <v>14.91</v>
      </c>
      <c r="N65" s="64">
        <v>644.70000000000005</v>
      </c>
      <c r="O65" s="64">
        <v>0</v>
      </c>
      <c r="P65" s="64">
        <v>0.76</v>
      </c>
      <c r="Q65" s="64">
        <v>24.28</v>
      </c>
      <c r="R65" s="198"/>
      <c r="S65" s="198"/>
      <c r="T65" s="198"/>
      <c r="U65" s="198"/>
    </row>
    <row r="66" spans="1:21" s="12" customFormat="1" x14ac:dyDescent="0.25">
      <c r="A66" s="211" t="s">
        <v>1455</v>
      </c>
      <c r="B66" s="64">
        <v>4.13</v>
      </c>
      <c r="C66" s="64">
        <v>42.43</v>
      </c>
      <c r="D66" s="64">
        <v>27.37</v>
      </c>
      <c r="E66" s="64">
        <v>6.53</v>
      </c>
      <c r="F66" s="64">
        <v>25.14</v>
      </c>
      <c r="G66" s="64">
        <v>56.51</v>
      </c>
      <c r="H66" s="64">
        <v>27.05</v>
      </c>
      <c r="I66" s="64">
        <v>0.71</v>
      </c>
      <c r="J66" s="64">
        <v>1.41</v>
      </c>
      <c r="K66" s="64">
        <v>275.49</v>
      </c>
      <c r="L66" s="64">
        <v>38.01</v>
      </c>
      <c r="M66" s="64">
        <v>13.63</v>
      </c>
      <c r="N66" s="64">
        <v>606.9</v>
      </c>
      <c r="O66" s="64">
        <v>0</v>
      </c>
      <c r="P66" s="64">
        <v>0.74</v>
      </c>
      <c r="Q66" s="64">
        <v>24.81</v>
      </c>
      <c r="R66" s="198"/>
      <c r="S66" s="198"/>
      <c r="T66" s="198"/>
      <c r="U66" s="198"/>
    </row>
    <row r="67" spans="1:21" s="12" customFormat="1" x14ac:dyDescent="0.25">
      <c r="A67" s="211" t="s">
        <v>1456</v>
      </c>
      <c r="B67" s="64">
        <v>3.13</v>
      </c>
      <c r="C67" s="64">
        <v>40.549999999999997</v>
      </c>
      <c r="D67" s="64">
        <v>25.54</v>
      </c>
      <c r="E67" s="64">
        <v>7.08</v>
      </c>
      <c r="F67" s="64">
        <v>26.28</v>
      </c>
      <c r="G67" s="64">
        <v>56.51</v>
      </c>
      <c r="H67" s="64">
        <v>27.05</v>
      </c>
      <c r="I67" s="64">
        <v>0.73</v>
      </c>
      <c r="J67" s="64">
        <v>1.17</v>
      </c>
      <c r="K67" s="64">
        <v>286.52</v>
      </c>
      <c r="L67" s="64">
        <v>36.770000000000003</v>
      </c>
      <c r="M67" s="64">
        <v>13.08</v>
      </c>
      <c r="N67" s="64">
        <v>510.7</v>
      </c>
      <c r="O67" s="64">
        <v>0</v>
      </c>
      <c r="P67" s="64">
        <v>0.72</v>
      </c>
      <c r="Q67" s="64">
        <v>24.55</v>
      </c>
      <c r="R67" s="198"/>
      <c r="S67" s="198"/>
      <c r="T67" s="198"/>
      <c r="U67" s="198"/>
    </row>
    <row r="68" spans="1:21" s="12" customFormat="1" x14ac:dyDescent="0.25">
      <c r="A68" s="211" t="s">
        <v>1457</v>
      </c>
      <c r="B68" s="64">
        <v>2.12</v>
      </c>
      <c r="C68" s="64">
        <v>40.880000000000003</v>
      </c>
      <c r="D68" s="64">
        <v>24.9</v>
      </c>
      <c r="E68" s="64">
        <v>6.14</v>
      </c>
      <c r="F68" s="64">
        <v>25.4</v>
      </c>
      <c r="G68" s="64">
        <v>50.09</v>
      </c>
      <c r="H68" s="64">
        <v>26.16</v>
      </c>
      <c r="I68" s="64">
        <v>0.74</v>
      </c>
      <c r="J68" s="64">
        <v>1.58</v>
      </c>
      <c r="K68" s="64">
        <v>278.51</v>
      </c>
      <c r="L68" s="64">
        <v>36.56</v>
      </c>
      <c r="M68" s="64">
        <v>12.03</v>
      </c>
      <c r="N68" s="64">
        <v>308.5</v>
      </c>
      <c r="O68" s="64">
        <v>0</v>
      </c>
      <c r="P68" s="64">
        <v>0.69</v>
      </c>
      <c r="Q68" s="64">
        <v>24.89</v>
      </c>
      <c r="R68" s="198"/>
      <c r="S68" s="198"/>
      <c r="T68" s="198"/>
      <c r="U68" s="198"/>
    </row>
    <row r="69" spans="1:21" s="12" customFormat="1" x14ac:dyDescent="0.25">
      <c r="A69" s="211" t="s">
        <v>1458</v>
      </c>
      <c r="B69" s="64">
        <v>3.34</v>
      </c>
      <c r="C69" s="64">
        <v>42.02</v>
      </c>
      <c r="D69" s="64">
        <v>26.51</v>
      </c>
      <c r="E69" s="64">
        <v>6.53</v>
      </c>
      <c r="F69" s="64">
        <v>22.38</v>
      </c>
      <c r="G69" s="64">
        <v>50.09</v>
      </c>
      <c r="H69" s="64">
        <v>26.16</v>
      </c>
      <c r="I69" s="64">
        <v>0.73</v>
      </c>
      <c r="J69" s="64">
        <v>0.98</v>
      </c>
      <c r="K69" s="64">
        <v>276.83</v>
      </c>
      <c r="L69" s="64">
        <v>36.25</v>
      </c>
      <c r="M69" s="64">
        <v>12.7</v>
      </c>
      <c r="N69" s="64">
        <v>263.89999999999998</v>
      </c>
      <c r="O69" s="64">
        <v>0</v>
      </c>
      <c r="P69" s="64">
        <v>0.67</v>
      </c>
      <c r="Q69" s="64">
        <v>25.01</v>
      </c>
      <c r="R69" s="198"/>
      <c r="S69" s="198"/>
      <c r="T69" s="198"/>
      <c r="U69" s="198"/>
    </row>
    <row r="70" spans="1:21" s="12" customFormat="1" x14ac:dyDescent="0.25">
      <c r="A70" s="211" t="s">
        <v>1459</v>
      </c>
      <c r="B70" s="64">
        <v>3.14</v>
      </c>
      <c r="C70" s="64">
        <v>41.82</v>
      </c>
      <c r="D70" s="64">
        <v>26.25</v>
      </c>
      <c r="E70" s="64">
        <v>6.48</v>
      </c>
      <c r="F70" s="64">
        <v>21.25</v>
      </c>
      <c r="G70" s="64">
        <v>50.09</v>
      </c>
      <c r="H70" s="64">
        <v>26.16</v>
      </c>
      <c r="I70" s="64">
        <v>0.72</v>
      </c>
      <c r="J70" s="64">
        <v>1.17</v>
      </c>
      <c r="K70" s="64">
        <v>286.94</v>
      </c>
      <c r="L70" s="64">
        <v>36.92</v>
      </c>
      <c r="M70" s="64">
        <v>12.95</v>
      </c>
      <c r="N70" s="64">
        <v>228.9</v>
      </c>
      <c r="O70" s="64">
        <v>0</v>
      </c>
      <c r="P70" s="64">
        <v>0.67</v>
      </c>
      <c r="Q70" s="64">
        <v>25.16</v>
      </c>
      <c r="R70" s="198"/>
      <c r="S70" s="198"/>
      <c r="T70" s="198"/>
      <c r="U70" s="198"/>
    </row>
    <row r="71" spans="1:21" s="12" customFormat="1" x14ac:dyDescent="0.25">
      <c r="A71" s="211" t="s">
        <v>1460</v>
      </c>
      <c r="B71" s="64">
        <v>2.71</v>
      </c>
      <c r="C71" s="64">
        <v>42.56</v>
      </c>
      <c r="D71" s="64">
        <v>26.31</v>
      </c>
      <c r="E71" s="64">
        <v>6.24</v>
      </c>
      <c r="F71" s="64">
        <v>31.15</v>
      </c>
      <c r="G71" s="64">
        <v>50.09</v>
      </c>
      <c r="H71" s="64">
        <v>26.16</v>
      </c>
      <c r="I71" s="64">
        <v>0.71</v>
      </c>
      <c r="J71" s="64">
        <v>1.27</v>
      </c>
      <c r="K71" s="64">
        <v>293.07</v>
      </c>
      <c r="L71" s="64">
        <v>36.79</v>
      </c>
      <c r="M71" s="64">
        <v>12.76</v>
      </c>
      <c r="N71" s="64">
        <v>342.6</v>
      </c>
      <c r="O71" s="64">
        <v>0</v>
      </c>
      <c r="P71" s="64">
        <v>0.65</v>
      </c>
      <c r="Q71" s="64">
        <v>25</v>
      </c>
      <c r="R71" s="198"/>
      <c r="S71" s="198"/>
      <c r="T71" s="198"/>
      <c r="U71" s="198"/>
    </row>
    <row r="72" spans="1:21" s="12" customFormat="1" x14ac:dyDescent="0.25">
      <c r="A72" s="211" t="s">
        <v>1461</v>
      </c>
      <c r="B72" s="64">
        <v>3.48</v>
      </c>
      <c r="C72" s="64">
        <v>40.619999999999997</v>
      </c>
      <c r="D72" s="64">
        <v>25.86</v>
      </c>
      <c r="E72" s="64">
        <v>5.47</v>
      </c>
      <c r="F72" s="64">
        <v>35.200000000000003</v>
      </c>
      <c r="G72" s="64">
        <v>91.88</v>
      </c>
      <c r="H72" s="64">
        <v>24.73</v>
      </c>
      <c r="I72" s="64">
        <v>0.69</v>
      </c>
      <c r="J72" s="64">
        <v>1.1100000000000001</v>
      </c>
      <c r="K72" s="64">
        <v>284.89999999999998</v>
      </c>
      <c r="L72" s="64">
        <v>36.54</v>
      </c>
      <c r="M72" s="64">
        <v>13.88</v>
      </c>
      <c r="N72" s="64">
        <v>189.4</v>
      </c>
      <c r="O72" s="64">
        <v>0</v>
      </c>
      <c r="P72" s="64">
        <v>0.64</v>
      </c>
      <c r="Q72" s="64">
        <v>24.75</v>
      </c>
      <c r="R72" s="198"/>
      <c r="S72" s="198"/>
      <c r="T72" s="198"/>
      <c r="U72" s="198"/>
    </row>
    <row r="73" spans="1:21" s="12" customFormat="1" x14ac:dyDescent="0.25">
      <c r="A73" s="211" t="s">
        <v>1462</v>
      </c>
      <c r="B73" s="64">
        <v>2.71</v>
      </c>
      <c r="C73" s="64">
        <v>39.020000000000003</v>
      </c>
      <c r="D73" s="64">
        <v>24.36</v>
      </c>
      <c r="E73" s="64">
        <v>9.48</v>
      </c>
      <c r="F73" s="64">
        <v>45.24</v>
      </c>
      <c r="G73" s="64">
        <v>91.88</v>
      </c>
      <c r="H73" s="64">
        <v>24.73</v>
      </c>
      <c r="I73" s="64">
        <v>0.67</v>
      </c>
      <c r="J73" s="64">
        <v>0.88</v>
      </c>
      <c r="K73" s="64">
        <v>279.48</v>
      </c>
      <c r="L73" s="64">
        <v>36.33</v>
      </c>
      <c r="M73" s="64">
        <v>14.48</v>
      </c>
      <c r="N73" s="64">
        <v>142.4</v>
      </c>
      <c r="O73" s="64">
        <v>0</v>
      </c>
      <c r="P73" s="64">
        <v>0.64</v>
      </c>
      <c r="Q73" s="64">
        <v>24.22</v>
      </c>
      <c r="R73" s="198"/>
      <c r="S73" s="198"/>
      <c r="T73" s="198"/>
      <c r="U73" s="198"/>
    </row>
    <row r="74" spans="1:21" s="12" customFormat="1" x14ac:dyDescent="0.25">
      <c r="A74" s="211" t="s">
        <v>1463</v>
      </c>
      <c r="B74" s="64">
        <v>5.03</v>
      </c>
      <c r="C74" s="64">
        <v>41.23</v>
      </c>
      <c r="D74" s="64">
        <v>27.44</v>
      </c>
      <c r="E74" s="64">
        <v>8.2899999999999991</v>
      </c>
      <c r="F74" s="64">
        <v>31.76</v>
      </c>
      <c r="G74" s="64">
        <v>91.88</v>
      </c>
      <c r="H74" s="64">
        <v>24.73</v>
      </c>
      <c r="I74" s="64">
        <v>0.63</v>
      </c>
      <c r="J74" s="64">
        <v>1.32</v>
      </c>
      <c r="K74" s="64">
        <v>282.38</v>
      </c>
      <c r="L74" s="64">
        <v>36.119999999999997</v>
      </c>
      <c r="M74" s="64">
        <v>13.95</v>
      </c>
      <c r="N74" s="64">
        <v>132.19999999999999</v>
      </c>
      <c r="O74" s="64">
        <v>0</v>
      </c>
      <c r="P74" s="64">
        <v>0.64</v>
      </c>
      <c r="Q74" s="64">
        <v>24.41</v>
      </c>
      <c r="R74" s="198"/>
      <c r="S74" s="198"/>
      <c r="T74" s="198"/>
      <c r="U74" s="198"/>
    </row>
    <row r="75" spans="1:21" s="12" customFormat="1" x14ac:dyDescent="0.25">
      <c r="A75" s="211" t="s">
        <v>1464</v>
      </c>
      <c r="B75" s="64">
        <v>3.23</v>
      </c>
      <c r="C75" s="64">
        <v>38.68</v>
      </c>
      <c r="D75" s="64">
        <v>24.59</v>
      </c>
      <c r="E75" s="64">
        <v>10.81</v>
      </c>
      <c r="F75" s="64">
        <v>65.91</v>
      </c>
      <c r="G75" s="64">
        <v>91.88</v>
      </c>
      <c r="H75" s="64">
        <v>24.73</v>
      </c>
      <c r="I75" s="64">
        <v>0.59</v>
      </c>
      <c r="J75" s="64">
        <v>0.94</v>
      </c>
      <c r="K75" s="64">
        <v>284.2</v>
      </c>
      <c r="L75" s="64">
        <v>35.93</v>
      </c>
      <c r="M75" s="64">
        <v>13.84</v>
      </c>
      <c r="N75" s="64">
        <v>104.3</v>
      </c>
      <c r="O75" s="64">
        <v>0</v>
      </c>
      <c r="P75" s="64">
        <v>0.55000000000000004</v>
      </c>
      <c r="Q75" s="64">
        <v>22.38</v>
      </c>
      <c r="R75" s="198"/>
      <c r="S75" s="198"/>
      <c r="T75" s="198"/>
      <c r="U75" s="198"/>
    </row>
    <row r="76" spans="1:21" s="12" customFormat="1" x14ac:dyDescent="0.25">
      <c r="A76" s="211" t="s">
        <v>1465</v>
      </c>
      <c r="B76" s="64">
        <v>4.92</v>
      </c>
      <c r="C76" s="64">
        <v>43.53</v>
      </c>
      <c r="D76" s="64">
        <v>28.62</v>
      </c>
      <c r="E76" s="64">
        <v>12.12</v>
      </c>
      <c r="F76" s="64">
        <v>48.26</v>
      </c>
      <c r="G76" s="64">
        <v>64.25</v>
      </c>
      <c r="H76" s="64">
        <v>22.82</v>
      </c>
      <c r="I76" s="64">
        <v>0.65</v>
      </c>
      <c r="J76" s="64">
        <v>1.1299999999999999</v>
      </c>
      <c r="K76" s="64">
        <v>279.05</v>
      </c>
      <c r="L76" s="64">
        <v>35.51</v>
      </c>
      <c r="M76" s="64">
        <v>14.29</v>
      </c>
      <c r="N76" s="64">
        <v>80.8</v>
      </c>
      <c r="O76" s="64">
        <v>0</v>
      </c>
      <c r="P76" s="64">
        <v>0.65</v>
      </c>
      <c r="Q76" s="64">
        <v>22.26</v>
      </c>
      <c r="R76" s="198"/>
      <c r="S76" s="198"/>
      <c r="T76" s="198"/>
      <c r="U76" s="198"/>
    </row>
    <row r="77" spans="1:21" s="12" customFormat="1" x14ac:dyDescent="0.25">
      <c r="A77" s="211" t="s">
        <v>1466</v>
      </c>
      <c r="B77" s="64">
        <v>5.4</v>
      </c>
      <c r="C77" s="64">
        <v>42.19</v>
      </c>
      <c r="D77" s="64">
        <v>28.26</v>
      </c>
      <c r="E77" s="64">
        <v>10.92</v>
      </c>
      <c r="F77" s="64">
        <v>50.43</v>
      </c>
      <c r="G77" s="64">
        <v>64.25</v>
      </c>
      <c r="H77" s="64">
        <v>22.82</v>
      </c>
      <c r="I77" s="64">
        <v>0.56000000000000005</v>
      </c>
      <c r="J77" s="64">
        <v>1.06</v>
      </c>
      <c r="K77" s="64">
        <v>274.57</v>
      </c>
      <c r="L77" s="64">
        <v>34.770000000000003</v>
      </c>
      <c r="M77" s="64">
        <v>16.13</v>
      </c>
      <c r="N77" s="64">
        <v>74.7</v>
      </c>
      <c r="O77" s="64">
        <v>0</v>
      </c>
      <c r="P77" s="64">
        <v>0.66</v>
      </c>
      <c r="Q77" s="64">
        <v>21.37</v>
      </c>
      <c r="R77" s="198"/>
      <c r="S77" s="198"/>
      <c r="T77" s="198"/>
      <c r="U77" s="198"/>
    </row>
    <row r="78" spans="1:21" s="12" customFormat="1" x14ac:dyDescent="0.25">
      <c r="A78" s="211" t="s">
        <v>1467</v>
      </c>
      <c r="B78" s="64">
        <v>9.76</v>
      </c>
      <c r="C78" s="64">
        <v>47.32</v>
      </c>
      <c r="D78" s="64">
        <v>34.590000000000003</v>
      </c>
      <c r="E78" s="64">
        <v>11.22</v>
      </c>
      <c r="F78" s="64">
        <v>36.51</v>
      </c>
      <c r="G78" s="64">
        <v>64.25</v>
      </c>
      <c r="H78" s="64">
        <v>22.82</v>
      </c>
      <c r="I78" s="64">
        <v>0.61</v>
      </c>
      <c r="J78" s="64">
        <v>0.9</v>
      </c>
      <c r="K78" s="64">
        <v>281.32</v>
      </c>
      <c r="L78" s="64">
        <v>33.9</v>
      </c>
      <c r="M78" s="64">
        <v>17.309999999999999</v>
      </c>
      <c r="N78" s="64">
        <v>68.7</v>
      </c>
      <c r="O78" s="64">
        <v>0</v>
      </c>
      <c r="P78" s="64">
        <v>0.79</v>
      </c>
      <c r="Q78" s="64">
        <v>21.72</v>
      </c>
      <c r="R78" s="198"/>
      <c r="S78" s="198"/>
      <c r="T78" s="198"/>
      <c r="U78" s="198"/>
    </row>
    <row r="79" spans="1:21" s="12" customFormat="1" x14ac:dyDescent="0.25">
      <c r="A79" s="211" t="s">
        <v>1468</v>
      </c>
      <c r="B79" s="64">
        <v>9.49</v>
      </c>
      <c r="C79" s="64">
        <v>71.45</v>
      </c>
      <c r="D79" s="64">
        <v>47.68</v>
      </c>
      <c r="E79" s="64">
        <v>12.9</v>
      </c>
      <c r="F79" s="64">
        <v>47.96</v>
      </c>
      <c r="G79" s="64">
        <v>64.25</v>
      </c>
      <c r="H79" s="64">
        <v>22.82</v>
      </c>
      <c r="I79" s="64">
        <v>0.61</v>
      </c>
      <c r="J79" s="64">
        <v>0.33</v>
      </c>
      <c r="K79" s="64">
        <v>300.77</v>
      </c>
      <c r="L79" s="64">
        <v>34.35</v>
      </c>
      <c r="M79" s="64">
        <v>15.26</v>
      </c>
      <c r="N79" s="64">
        <v>55</v>
      </c>
      <c r="O79" s="64">
        <v>0</v>
      </c>
      <c r="P79" s="64">
        <v>1.03</v>
      </c>
      <c r="Q79" s="64">
        <v>21.12</v>
      </c>
      <c r="R79" s="198"/>
      <c r="S79" s="198"/>
      <c r="T79" s="198"/>
      <c r="U79" s="198"/>
    </row>
    <row r="80" spans="1:21" s="12" customFormat="1" x14ac:dyDescent="0.25">
      <c r="A80" s="211" t="s">
        <v>1469</v>
      </c>
      <c r="B80" s="64">
        <v>18.04</v>
      </c>
      <c r="C80" s="64">
        <v>93.58</v>
      </c>
      <c r="D80" s="64">
        <v>66.760000000000005</v>
      </c>
      <c r="E80" s="64">
        <v>13.65</v>
      </c>
      <c r="F80" s="64">
        <v>30.71</v>
      </c>
      <c r="G80" s="64">
        <v>49.01</v>
      </c>
      <c r="H80" s="64">
        <v>27.06</v>
      </c>
      <c r="I80" s="64">
        <v>0.61</v>
      </c>
      <c r="J80" s="64">
        <v>0.22</v>
      </c>
      <c r="K80" s="64">
        <v>293.44</v>
      </c>
      <c r="L80" s="64">
        <v>33.76</v>
      </c>
      <c r="M80" s="64">
        <v>17.170000000000002</v>
      </c>
      <c r="N80" s="64">
        <v>40.799999999999997</v>
      </c>
      <c r="O80" s="64">
        <v>0</v>
      </c>
      <c r="P80" s="64">
        <v>1.3</v>
      </c>
      <c r="Q80" s="64">
        <v>20.83</v>
      </c>
      <c r="R80" s="198"/>
      <c r="S80" s="198"/>
      <c r="T80" s="198"/>
      <c r="U80" s="198"/>
    </row>
    <row r="81" spans="1:26" s="12" customFormat="1" x14ac:dyDescent="0.25">
      <c r="A81" s="211" t="s">
        <v>1470</v>
      </c>
      <c r="B81" s="64">
        <v>33.4</v>
      </c>
      <c r="C81" s="64">
        <v>135.94</v>
      </c>
      <c r="D81" s="64">
        <v>102.46</v>
      </c>
      <c r="E81" s="64">
        <v>13.8</v>
      </c>
      <c r="F81" s="64">
        <v>11.71</v>
      </c>
      <c r="G81" s="64">
        <v>49.01</v>
      </c>
      <c r="H81" s="64">
        <v>27.06</v>
      </c>
      <c r="I81" s="64">
        <v>0.62</v>
      </c>
      <c r="J81" s="64">
        <v>0.01</v>
      </c>
      <c r="K81" s="64">
        <v>118.33</v>
      </c>
      <c r="L81" s="64">
        <v>33.04</v>
      </c>
      <c r="M81" s="64">
        <v>18.5</v>
      </c>
      <c r="N81" s="64">
        <v>25.8</v>
      </c>
      <c r="O81" s="64">
        <v>0</v>
      </c>
      <c r="P81" s="64">
        <v>1.96</v>
      </c>
      <c r="Q81" s="64">
        <v>15.31</v>
      </c>
      <c r="R81" s="198"/>
      <c r="S81" s="198"/>
      <c r="T81" s="198"/>
      <c r="U81" s="198"/>
    </row>
    <row r="82" spans="1:26" s="12" customFormat="1" x14ac:dyDescent="0.25">
      <c r="A82" s="211" t="s">
        <v>1471</v>
      </c>
      <c r="B82" s="64">
        <v>12.76</v>
      </c>
      <c r="C82" s="64">
        <v>119.2</v>
      </c>
      <c r="D82" s="64">
        <v>76.66</v>
      </c>
      <c r="E82" s="64">
        <v>14.47</v>
      </c>
      <c r="F82" s="64">
        <v>11.1</v>
      </c>
      <c r="G82" s="64">
        <v>49.01</v>
      </c>
      <c r="H82" s="64">
        <v>27.06</v>
      </c>
      <c r="I82" s="64">
        <v>0.7</v>
      </c>
      <c r="J82" s="64">
        <v>0.02</v>
      </c>
      <c r="K82" s="64">
        <v>199.22</v>
      </c>
      <c r="L82" s="64">
        <v>32.11</v>
      </c>
      <c r="M82" s="64">
        <v>20.79</v>
      </c>
      <c r="N82" s="64">
        <v>13.2</v>
      </c>
      <c r="O82" s="64">
        <v>0</v>
      </c>
      <c r="P82" s="64">
        <v>1.75</v>
      </c>
      <c r="Q82" s="64">
        <v>18.55</v>
      </c>
      <c r="R82" s="198"/>
      <c r="S82" s="198"/>
      <c r="T82" s="198"/>
      <c r="U82" s="198"/>
    </row>
    <row r="83" spans="1:26" s="12" customFormat="1" x14ac:dyDescent="0.25">
      <c r="A83" s="211" t="s">
        <v>1472</v>
      </c>
      <c r="B83" s="64">
        <v>37.01</v>
      </c>
      <c r="C83" s="64">
        <v>126.08</v>
      </c>
      <c r="D83" s="64">
        <v>99.91</v>
      </c>
      <c r="E83" s="64">
        <v>15.15</v>
      </c>
      <c r="F83" s="64">
        <v>7.71</v>
      </c>
      <c r="G83" s="64">
        <v>49.01</v>
      </c>
      <c r="H83" s="64">
        <v>27.06</v>
      </c>
      <c r="I83" s="64">
        <v>0.83</v>
      </c>
      <c r="J83" s="64">
        <v>0.04</v>
      </c>
      <c r="K83" s="64">
        <v>337.07</v>
      </c>
      <c r="L83" s="64">
        <v>31.11</v>
      </c>
      <c r="M83" s="64">
        <v>23.7</v>
      </c>
      <c r="N83" s="64">
        <v>9.6</v>
      </c>
      <c r="O83" s="64">
        <v>0</v>
      </c>
      <c r="P83" s="64">
        <v>2.0299999999999998</v>
      </c>
      <c r="Q83" s="64">
        <v>19.399999999999999</v>
      </c>
      <c r="R83" s="198"/>
      <c r="S83" s="198"/>
      <c r="T83" s="198"/>
      <c r="U83" s="198"/>
    </row>
    <row r="84" spans="1:26" s="12" customFormat="1" x14ac:dyDescent="0.25">
      <c r="A84" s="211" t="s">
        <v>1473</v>
      </c>
      <c r="B84" s="64">
        <v>48.29</v>
      </c>
      <c r="C84" s="64">
        <v>128.6</v>
      </c>
      <c r="D84" s="64">
        <v>110.34</v>
      </c>
      <c r="E84" s="64">
        <v>16</v>
      </c>
      <c r="F84" s="64">
        <v>3.69</v>
      </c>
      <c r="G84" s="64">
        <v>103.5</v>
      </c>
      <c r="H84" s="64">
        <v>46.78</v>
      </c>
      <c r="I84" s="64">
        <v>0.95</v>
      </c>
      <c r="J84" s="64">
        <v>0.03</v>
      </c>
      <c r="K84" s="64">
        <v>311.68</v>
      </c>
      <c r="L84" s="64">
        <v>30.22</v>
      </c>
      <c r="M84" s="64">
        <v>29.17</v>
      </c>
      <c r="N84" s="64">
        <v>7.6</v>
      </c>
      <c r="O84" s="64">
        <v>0</v>
      </c>
      <c r="P84" s="64">
        <v>2.2400000000000002</v>
      </c>
      <c r="Q84" s="64">
        <v>18.41</v>
      </c>
      <c r="R84" s="198"/>
      <c r="S84" s="198"/>
      <c r="T84" s="198"/>
      <c r="U84" s="198"/>
    </row>
    <row r="85" spans="1:26" s="12" customFormat="1" x14ac:dyDescent="0.25">
      <c r="A85" s="211" t="s">
        <v>1474</v>
      </c>
      <c r="B85" s="64">
        <v>112.45</v>
      </c>
      <c r="C85" s="64">
        <v>134.88999999999999</v>
      </c>
      <c r="D85" s="64">
        <v>165.26</v>
      </c>
      <c r="E85" s="64">
        <v>17.350000000000001</v>
      </c>
      <c r="F85" s="64">
        <v>3.53</v>
      </c>
      <c r="G85" s="64">
        <v>103.5</v>
      </c>
      <c r="H85" s="64">
        <v>46.78</v>
      </c>
      <c r="I85" s="64">
        <v>1.05</v>
      </c>
      <c r="J85" s="64">
        <v>0.12</v>
      </c>
      <c r="K85" s="64">
        <v>307.08999999999997</v>
      </c>
      <c r="L85" s="64">
        <v>29.44</v>
      </c>
      <c r="M85" s="64">
        <v>34.19</v>
      </c>
      <c r="N85" s="64">
        <v>7.3</v>
      </c>
      <c r="O85" s="64">
        <v>0</v>
      </c>
      <c r="P85" s="64">
        <v>4.08</v>
      </c>
      <c r="Q85" s="64">
        <v>14.51</v>
      </c>
      <c r="R85" s="198"/>
      <c r="S85" s="198"/>
      <c r="T85" s="198"/>
      <c r="U85" s="198"/>
    </row>
    <row r="86" spans="1:26" s="12" customFormat="1" x14ac:dyDescent="0.25">
      <c r="A86" s="211" t="s">
        <v>1475</v>
      </c>
      <c r="B86" s="64">
        <v>112.71</v>
      </c>
      <c r="C86" s="64">
        <v>145.09</v>
      </c>
      <c r="D86" s="64">
        <v>171.1</v>
      </c>
      <c r="E86" s="64">
        <v>20</v>
      </c>
      <c r="F86" s="64">
        <v>3.59</v>
      </c>
      <c r="G86" s="64">
        <v>103.5</v>
      </c>
      <c r="H86" s="64">
        <v>46.78</v>
      </c>
      <c r="I86" s="64">
        <v>1.1599999999999999</v>
      </c>
      <c r="J86" s="64">
        <v>7.0000000000000007E-2</v>
      </c>
      <c r="K86" s="64">
        <v>244.22</v>
      </c>
      <c r="L86" s="64">
        <v>28.92</v>
      </c>
      <c r="M86" s="64">
        <v>34.82</v>
      </c>
      <c r="N86" s="64">
        <v>7.3</v>
      </c>
      <c r="O86" s="64">
        <v>0</v>
      </c>
      <c r="P86" s="64">
        <v>4.17</v>
      </c>
      <c r="Q86" s="64">
        <v>14.2</v>
      </c>
      <c r="R86" s="198"/>
      <c r="S86" s="198"/>
      <c r="T86" s="198"/>
      <c r="U86" s="198"/>
    </row>
    <row r="87" spans="1:26" s="12" customFormat="1" x14ac:dyDescent="0.25">
      <c r="A87" s="211" t="s">
        <v>1476</v>
      </c>
      <c r="B87" s="64">
        <v>188.72</v>
      </c>
      <c r="C87" s="64">
        <v>155.08000000000001</v>
      </c>
      <c r="D87" s="64">
        <v>237.57</v>
      </c>
      <c r="E87" s="64">
        <v>20.12</v>
      </c>
      <c r="F87" s="64">
        <v>3.77</v>
      </c>
      <c r="G87" s="64">
        <v>103.5</v>
      </c>
      <c r="H87" s="64">
        <v>46.78</v>
      </c>
      <c r="I87" s="64">
        <v>1.35</v>
      </c>
      <c r="J87" s="64">
        <v>0.2</v>
      </c>
      <c r="K87" s="64">
        <v>268.77</v>
      </c>
      <c r="L87" s="64">
        <v>28.68</v>
      </c>
      <c r="M87" s="64">
        <v>35.85</v>
      </c>
      <c r="N87" s="64">
        <v>6.9</v>
      </c>
      <c r="O87" s="64">
        <v>0</v>
      </c>
      <c r="P87" s="64">
        <v>4.55</v>
      </c>
      <c r="Q87" s="64">
        <v>8.4600000000000009</v>
      </c>
      <c r="R87" s="198"/>
      <c r="S87" s="198"/>
      <c r="T87" s="198"/>
      <c r="U87" s="198"/>
    </row>
    <row r="88" spans="1:26" s="12" customFormat="1" x14ac:dyDescent="0.25">
      <c r="A88" s="211" t="s">
        <v>1477</v>
      </c>
      <c r="B88" s="64">
        <v>103.72</v>
      </c>
      <c r="C88" s="64">
        <v>145.1</v>
      </c>
      <c r="D88" s="64">
        <v>163.9</v>
      </c>
      <c r="E88" s="64">
        <v>13.19</v>
      </c>
      <c r="F88" s="64">
        <v>3.75</v>
      </c>
      <c r="G88" s="64">
        <v>285.45</v>
      </c>
      <c r="H88" s="64">
        <v>71.23</v>
      </c>
      <c r="I88" s="64">
        <v>1.49</v>
      </c>
      <c r="J88" s="64">
        <v>0.06</v>
      </c>
      <c r="K88" s="64">
        <v>264.14</v>
      </c>
      <c r="L88" s="64">
        <v>28.24</v>
      </c>
      <c r="M88" s="64">
        <v>37.25</v>
      </c>
      <c r="N88" s="64">
        <v>7.3</v>
      </c>
      <c r="O88" s="64">
        <v>0</v>
      </c>
      <c r="P88" s="64">
        <v>4.46</v>
      </c>
      <c r="Q88" s="64">
        <v>16.670000000000002</v>
      </c>
      <c r="R88" s="198"/>
      <c r="S88" s="198"/>
      <c r="T88" s="198"/>
      <c r="U88" s="198"/>
    </row>
    <row r="89" spans="1:26" s="12" customFormat="1" x14ac:dyDescent="0.25">
      <c r="A89" s="211" t="s">
        <v>1478</v>
      </c>
      <c r="B89" s="64">
        <v>158.33000000000001</v>
      </c>
      <c r="C89" s="64">
        <v>131.09</v>
      </c>
      <c r="D89" s="64">
        <v>199.96</v>
      </c>
      <c r="E89" s="64">
        <v>17.420000000000002</v>
      </c>
      <c r="F89" s="64">
        <v>3.74</v>
      </c>
      <c r="G89" s="64">
        <v>285.45</v>
      </c>
      <c r="H89" s="64">
        <v>71.23</v>
      </c>
      <c r="I89" s="64">
        <v>1.59</v>
      </c>
      <c r="J89" s="64">
        <v>0.1</v>
      </c>
      <c r="K89" s="64">
        <v>266.36</v>
      </c>
      <c r="L89" s="64">
        <v>28.36</v>
      </c>
      <c r="M89" s="64">
        <v>37.200000000000003</v>
      </c>
      <c r="N89" s="64">
        <v>6.6</v>
      </c>
      <c r="O89" s="64">
        <v>0</v>
      </c>
      <c r="P89" s="64">
        <v>4.63</v>
      </c>
      <c r="Q89" s="64">
        <v>13.27</v>
      </c>
      <c r="R89" s="198"/>
      <c r="S89" s="198"/>
      <c r="T89" s="198"/>
      <c r="U89" s="198"/>
    </row>
    <row r="90" spans="1:26" s="12" customFormat="1" x14ac:dyDescent="0.25">
      <c r="A90" s="211" t="s">
        <v>1479</v>
      </c>
      <c r="B90" s="64">
        <v>87.83</v>
      </c>
      <c r="C90" s="64">
        <v>96.84</v>
      </c>
      <c r="D90" s="64">
        <v>124.53</v>
      </c>
      <c r="E90" s="64">
        <v>14.22</v>
      </c>
      <c r="F90" s="64">
        <v>6.6</v>
      </c>
      <c r="G90" s="64">
        <v>285.45</v>
      </c>
      <c r="H90" s="64">
        <v>71.23</v>
      </c>
      <c r="I90" s="64">
        <v>1.6</v>
      </c>
      <c r="J90" s="64">
        <v>0.2</v>
      </c>
      <c r="K90" s="64">
        <v>275.02999999999997</v>
      </c>
      <c r="L90" s="64">
        <v>28.13</v>
      </c>
      <c r="M90" s="64">
        <v>36.44</v>
      </c>
      <c r="N90" s="64">
        <v>6.6</v>
      </c>
      <c r="O90" s="64">
        <v>0</v>
      </c>
      <c r="P90" s="64">
        <v>3.42</v>
      </c>
      <c r="Q90" s="64">
        <v>23.72</v>
      </c>
      <c r="R90" s="198"/>
      <c r="S90" s="198"/>
      <c r="T90" s="198"/>
      <c r="U90" s="198"/>
    </row>
    <row r="91" spans="1:26" s="12" customFormat="1" x14ac:dyDescent="0.25">
      <c r="A91" s="211" t="s">
        <v>1480</v>
      </c>
      <c r="B91" s="64">
        <v>71.459999999999994</v>
      </c>
      <c r="C91" s="64">
        <v>92.4</v>
      </c>
      <c r="D91" s="64">
        <v>108.95</v>
      </c>
      <c r="E91" s="64">
        <v>12.28</v>
      </c>
      <c r="F91" s="64">
        <v>10.6</v>
      </c>
      <c r="G91" s="64">
        <v>285.45</v>
      </c>
      <c r="H91" s="64">
        <v>71.23</v>
      </c>
      <c r="I91" s="64">
        <v>1.74</v>
      </c>
      <c r="J91" s="64">
        <v>7.0000000000000007E-2</v>
      </c>
      <c r="K91" s="64">
        <v>298.56</v>
      </c>
      <c r="L91" s="64">
        <v>28.79</v>
      </c>
      <c r="M91" s="64">
        <v>30.7</v>
      </c>
      <c r="N91" s="64">
        <v>6.6</v>
      </c>
      <c r="O91" s="64">
        <v>0</v>
      </c>
      <c r="P91" s="64">
        <v>2.67</v>
      </c>
      <c r="Q91" s="64">
        <v>28.45</v>
      </c>
      <c r="R91" s="198"/>
      <c r="S91" s="198"/>
      <c r="T91" s="198"/>
      <c r="U91" s="198"/>
    </row>
    <row r="92" spans="1:26" s="12" customFormat="1" x14ac:dyDescent="0.25">
      <c r="A92" s="211" t="s">
        <v>1481</v>
      </c>
      <c r="B92" s="64">
        <v>95.12</v>
      </c>
      <c r="C92" s="64">
        <v>104.87</v>
      </c>
      <c r="D92" s="64">
        <v>134.80000000000001</v>
      </c>
      <c r="E92" s="64">
        <v>11.89</v>
      </c>
      <c r="F92" s="64">
        <v>5.23</v>
      </c>
      <c r="G92" s="64">
        <v>214.65</v>
      </c>
      <c r="H92" s="64">
        <v>75.819999999999993</v>
      </c>
      <c r="I92" s="64">
        <v>1.4</v>
      </c>
      <c r="J92" s="64">
        <v>0.03</v>
      </c>
      <c r="K92" s="64">
        <v>165.39</v>
      </c>
      <c r="L92" s="64">
        <v>28</v>
      </c>
      <c r="M92" s="64">
        <v>33.549999999999997</v>
      </c>
      <c r="N92" s="64">
        <v>7.2</v>
      </c>
      <c r="O92" s="64">
        <v>0</v>
      </c>
      <c r="P92" s="64">
        <v>3.1</v>
      </c>
      <c r="Q92" s="64">
        <v>23.63</v>
      </c>
      <c r="R92" s="198"/>
      <c r="S92" s="198"/>
      <c r="T92" s="198"/>
      <c r="U92" s="198"/>
    </row>
    <row r="93" spans="1:26" s="12" customFormat="1" x14ac:dyDescent="0.25">
      <c r="A93" s="211" t="s">
        <v>1482</v>
      </c>
      <c r="B93" s="64">
        <v>102.75</v>
      </c>
      <c r="C93" s="64">
        <v>107.56</v>
      </c>
      <c r="D93" s="64">
        <v>142.4</v>
      </c>
      <c r="E93" s="64">
        <v>10.61</v>
      </c>
      <c r="F93" s="64">
        <v>3.91</v>
      </c>
      <c r="G93" s="64">
        <v>214.65</v>
      </c>
      <c r="H93" s="64">
        <v>75.819999999999993</v>
      </c>
      <c r="I93" s="64">
        <v>1.0900000000000001</v>
      </c>
      <c r="J93" s="64">
        <v>0.14000000000000001</v>
      </c>
      <c r="K93" s="64">
        <v>277</v>
      </c>
      <c r="L93" s="64">
        <v>27.32</v>
      </c>
      <c r="M93" s="64">
        <v>37.979999999999997</v>
      </c>
      <c r="N93" s="64">
        <v>6.9</v>
      </c>
      <c r="O93" s="64">
        <v>0</v>
      </c>
      <c r="P93" s="64">
        <v>3.61</v>
      </c>
      <c r="Q93" s="64">
        <v>24.32</v>
      </c>
      <c r="R93" s="198"/>
      <c r="S93" s="198"/>
      <c r="T93" s="198"/>
      <c r="U93" s="198"/>
    </row>
    <row r="94" spans="1:26" s="12" customFormat="1" x14ac:dyDescent="0.25">
      <c r="A94" s="211" t="s">
        <v>1483</v>
      </c>
      <c r="B94" s="64">
        <v>121.57</v>
      </c>
      <c r="C94" s="64">
        <v>105.28</v>
      </c>
      <c r="D94" s="64">
        <v>156.24</v>
      </c>
      <c r="E94" s="64">
        <v>10.119999999999999</v>
      </c>
      <c r="F94" s="64">
        <v>3.6</v>
      </c>
      <c r="G94" s="64">
        <v>214.65</v>
      </c>
      <c r="H94" s="64">
        <v>75.819999999999993</v>
      </c>
      <c r="I94" s="64">
        <v>1.2</v>
      </c>
      <c r="J94" s="64">
        <v>0.03</v>
      </c>
      <c r="K94" s="64">
        <v>11.28</v>
      </c>
      <c r="L94" s="64">
        <v>27.05</v>
      </c>
      <c r="M94" s="64">
        <v>39.880000000000003</v>
      </c>
      <c r="N94" s="64">
        <v>7</v>
      </c>
      <c r="O94" s="64">
        <v>0</v>
      </c>
      <c r="P94" s="64">
        <v>3.84</v>
      </c>
      <c r="Q94" s="64">
        <v>24.16</v>
      </c>
      <c r="R94" s="198"/>
      <c r="S94" s="198"/>
      <c r="T94" s="198"/>
      <c r="U94" s="198"/>
    </row>
    <row r="95" spans="1:26" s="12" customFormat="1" x14ac:dyDescent="0.25">
      <c r="A95" s="211" t="s">
        <v>1484</v>
      </c>
      <c r="B95" s="64">
        <v>94.72</v>
      </c>
      <c r="C95" s="64">
        <v>108.08</v>
      </c>
      <c r="D95" s="64">
        <v>136.26</v>
      </c>
      <c r="E95" s="64">
        <v>10.08</v>
      </c>
      <c r="F95" s="64">
        <v>3.64</v>
      </c>
      <c r="G95" s="64">
        <v>214.46</v>
      </c>
      <c r="H95" s="64">
        <v>75.819999999999993</v>
      </c>
      <c r="I95" s="64">
        <v>1.31</v>
      </c>
      <c r="J95" s="64">
        <v>0.03</v>
      </c>
      <c r="K95" s="64">
        <v>160.65</v>
      </c>
      <c r="L95" s="64">
        <v>26.97</v>
      </c>
      <c r="M95" s="64">
        <v>37.15</v>
      </c>
      <c r="N95" s="64">
        <v>6.9</v>
      </c>
      <c r="O95" s="64">
        <v>0</v>
      </c>
      <c r="P95" s="64">
        <v>3.09</v>
      </c>
      <c r="Q95" s="64">
        <v>27</v>
      </c>
      <c r="R95" s="198"/>
      <c r="S95" s="198"/>
      <c r="T95" s="198"/>
      <c r="U95" s="198"/>
    </row>
    <row r="96" spans="1:26" s="12" customFormat="1" x14ac:dyDescent="0.25">
      <c r="A96" s="211" t="s">
        <v>1485</v>
      </c>
      <c r="B96" s="64">
        <v>136.99</v>
      </c>
      <c r="C96" s="64">
        <v>119.58</v>
      </c>
      <c r="D96" s="64">
        <v>176.5</v>
      </c>
      <c r="E96" s="64">
        <v>10.1</v>
      </c>
      <c r="F96" s="64">
        <v>3.51</v>
      </c>
      <c r="G96" s="64">
        <v>197.88</v>
      </c>
      <c r="H96" s="64">
        <v>71.400000000000006</v>
      </c>
      <c r="I96" s="64">
        <v>1.36</v>
      </c>
      <c r="J96" s="64">
        <v>0.05</v>
      </c>
      <c r="K96" s="64">
        <v>230.52</v>
      </c>
      <c r="L96" s="64">
        <v>26.76</v>
      </c>
      <c r="M96" s="64">
        <v>41.21</v>
      </c>
      <c r="N96" s="64">
        <v>6.7</v>
      </c>
      <c r="O96" s="64">
        <v>0</v>
      </c>
      <c r="P96" s="64">
        <v>3.11</v>
      </c>
      <c r="Q96" s="64">
        <v>23.92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1486</v>
      </c>
      <c r="B97" s="64">
        <v>92.12</v>
      </c>
      <c r="C97" s="64">
        <v>121.94</v>
      </c>
      <c r="D97" s="64">
        <v>141.82</v>
      </c>
      <c r="E97" s="64">
        <v>10.3</v>
      </c>
      <c r="F97" s="64">
        <v>3.52</v>
      </c>
      <c r="G97" s="64">
        <v>197.88</v>
      </c>
      <c r="H97" s="64">
        <v>71.400000000000006</v>
      </c>
      <c r="I97" s="64">
        <v>1.28</v>
      </c>
      <c r="J97" s="64">
        <v>0.06</v>
      </c>
      <c r="K97" s="64">
        <v>269.83999999999997</v>
      </c>
      <c r="L97" s="64">
        <v>26.58</v>
      </c>
      <c r="M97" s="64">
        <v>42.18</v>
      </c>
      <c r="N97" s="64">
        <v>6.7</v>
      </c>
      <c r="O97" s="64">
        <v>0</v>
      </c>
      <c r="P97" s="64">
        <v>3.02</v>
      </c>
      <c r="Q97" s="64">
        <v>29.55</v>
      </c>
      <c r="R97" s="198"/>
      <c r="S97" s="198"/>
      <c r="T97" s="198"/>
      <c r="U97" s="198"/>
    </row>
    <row r="98" spans="1:33" s="12" customFormat="1" x14ac:dyDescent="0.25">
      <c r="A98" s="211" t="s">
        <v>1487</v>
      </c>
      <c r="B98" s="64">
        <v>101.49</v>
      </c>
      <c r="C98" s="64">
        <v>114.32</v>
      </c>
      <c r="D98" s="64">
        <v>145.13</v>
      </c>
      <c r="E98" s="64">
        <v>10.6</v>
      </c>
      <c r="F98" s="64">
        <v>4.4000000000000004</v>
      </c>
      <c r="G98" s="64">
        <v>197.88</v>
      </c>
      <c r="H98" s="64">
        <v>71.400000000000006</v>
      </c>
      <c r="I98" s="64">
        <v>1.35</v>
      </c>
      <c r="J98" s="64">
        <v>0.13</v>
      </c>
      <c r="K98" s="64">
        <v>275.89999999999998</v>
      </c>
      <c r="L98" s="64">
        <v>26.55</v>
      </c>
      <c r="M98" s="64">
        <v>43.32</v>
      </c>
      <c r="N98" s="64">
        <v>6.9</v>
      </c>
      <c r="O98" s="64">
        <v>0</v>
      </c>
      <c r="P98" s="64">
        <v>2.71</v>
      </c>
      <c r="Q98" s="64">
        <v>29.8</v>
      </c>
      <c r="R98" s="198"/>
      <c r="S98" s="198"/>
      <c r="T98" s="198"/>
      <c r="U98" s="198"/>
    </row>
    <row r="99" spans="1:33" s="12" customFormat="1" x14ac:dyDescent="0.25">
      <c r="A99" s="211" t="s">
        <v>1488</v>
      </c>
      <c r="B99" s="64">
        <v>134.54</v>
      </c>
      <c r="C99" s="64">
        <v>122.79</v>
      </c>
      <c r="D99" s="64">
        <v>176.3</v>
      </c>
      <c r="E99" s="64">
        <v>9.73</v>
      </c>
      <c r="F99" s="64">
        <v>3.63</v>
      </c>
      <c r="G99" s="64">
        <v>197.79</v>
      </c>
      <c r="H99" s="64">
        <v>71.400000000000006</v>
      </c>
      <c r="I99" s="64">
        <v>1.22</v>
      </c>
      <c r="J99" s="64">
        <v>0.09</v>
      </c>
      <c r="K99" s="64">
        <v>142.26</v>
      </c>
      <c r="L99" s="64">
        <v>26.08</v>
      </c>
      <c r="M99" s="64">
        <v>44.71</v>
      </c>
      <c r="N99" s="64">
        <v>6.9</v>
      </c>
      <c r="O99" s="64">
        <v>0</v>
      </c>
      <c r="P99" s="64">
        <v>2.54</v>
      </c>
      <c r="Q99" s="64">
        <v>25.54</v>
      </c>
      <c r="R99" s="198"/>
      <c r="S99" s="198"/>
      <c r="T99" s="198"/>
      <c r="U99" s="198"/>
    </row>
    <row r="100" spans="1:33" s="12" customFormat="1" x14ac:dyDescent="0.25">
      <c r="A100" s="211" t="s">
        <v>1489</v>
      </c>
      <c r="B100" s="64">
        <v>139.08000000000001</v>
      </c>
      <c r="C100" s="64">
        <v>114.76</v>
      </c>
      <c r="D100" s="64">
        <v>175.51</v>
      </c>
      <c r="E100" s="64">
        <v>9.6300000000000008</v>
      </c>
      <c r="F100" s="64">
        <v>3.33</v>
      </c>
      <c r="G100" s="64">
        <v>189.25</v>
      </c>
      <c r="H100" s="64">
        <v>65.510000000000005</v>
      </c>
      <c r="I100" s="64">
        <v>1.19</v>
      </c>
      <c r="J100" s="64">
        <v>0.15</v>
      </c>
      <c r="K100" s="64">
        <v>289.44</v>
      </c>
      <c r="L100" s="64">
        <v>25.77</v>
      </c>
      <c r="M100" s="64">
        <v>48.38</v>
      </c>
      <c r="N100" s="64">
        <v>6.9</v>
      </c>
      <c r="O100" s="64">
        <v>0</v>
      </c>
      <c r="P100" s="64">
        <v>2.8</v>
      </c>
      <c r="Q100" s="64">
        <v>24.87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1490</v>
      </c>
      <c r="B101" s="64">
        <v>110.4</v>
      </c>
      <c r="C101" s="64">
        <v>102.09</v>
      </c>
      <c r="D101" s="64">
        <v>145.52000000000001</v>
      </c>
      <c r="E101" s="64">
        <v>8.98</v>
      </c>
      <c r="F101" s="64">
        <v>3.27</v>
      </c>
      <c r="G101" s="64">
        <v>189.25</v>
      </c>
      <c r="H101" s="64">
        <v>65.510000000000005</v>
      </c>
      <c r="I101" s="64">
        <v>1.1299999999999999</v>
      </c>
      <c r="J101" s="64">
        <v>0.06</v>
      </c>
      <c r="K101" s="64">
        <v>249.61</v>
      </c>
      <c r="L101" s="64">
        <v>25.52</v>
      </c>
      <c r="M101" s="64">
        <v>47.1</v>
      </c>
      <c r="N101" s="64">
        <v>6.7</v>
      </c>
      <c r="O101" s="64">
        <v>0</v>
      </c>
      <c r="P101" s="64">
        <v>2.86</v>
      </c>
      <c r="Q101" s="64">
        <v>30.05</v>
      </c>
      <c r="R101" s="198"/>
      <c r="S101" s="198"/>
      <c r="T101" s="198"/>
      <c r="U101" s="198"/>
    </row>
    <row r="102" spans="1:33" s="12" customFormat="1" x14ac:dyDescent="0.25">
      <c r="A102" s="211" t="s">
        <v>1491</v>
      </c>
      <c r="B102" s="64">
        <v>128.59</v>
      </c>
      <c r="C102" s="64">
        <v>81.84</v>
      </c>
      <c r="D102" s="64">
        <v>148.93</v>
      </c>
      <c r="E102" s="64">
        <v>7.61</v>
      </c>
      <c r="F102" s="64">
        <v>3.58</v>
      </c>
      <c r="G102" s="64">
        <v>189.25</v>
      </c>
      <c r="H102" s="64">
        <v>65.510000000000005</v>
      </c>
      <c r="I102" s="64">
        <v>1.22</v>
      </c>
      <c r="J102" s="64">
        <v>0.08</v>
      </c>
      <c r="K102" s="64">
        <v>311.58</v>
      </c>
      <c r="L102" s="64">
        <v>25.54</v>
      </c>
      <c r="M102" s="64">
        <v>48.01</v>
      </c>
      <c r="N102" s="64">
        <v>6.9</v>
      </c>
      <c r="O102" s="64">
        <v>0</v>
      </c>
      <c r="P102" s="64">
        <v>2.9</v>
      </c>
      <c r="Q102" s="64">
        <v>29.17</v>
      </c>
      <c r="R102" s="198"/>
      <c r="S102" s="198"/>
      <c r="T102" s="198"/>
      <c r="U102" s="198"/>
    </row>
    <row r="103" spans="1:33" s="12" customFormat="1" x14ac:dyDescent="0.25">
      <c r="A103" s="211" t="s">
        <v>1492</v>
      </c>
      <c r="B103" s="64">
        <v>107.26</v>
      </c>
      <c r="C103" s="64">
        <v>79.28</v>
      </c>
      <c r="D103" s="64">
        <v>130.41</v>
      </c>
      <c r="E103" s="64">
        <v>6.95</v>
      </c>
      <c r="F103" s="64">
        <v>3.4</v>
      </c>
      <c r="G103" s="64">
        <v>188.82</v>
      </c>
      <c r="H103" s="64">
        <v>65.510000000000005</v>
      </c>
      <c r="I103" s="64">
        <v>1.34</v>
      </c>
      <c r="J103" s="64">
        <v>0.27</v>
      </c>
      <c r="K103" s="64">
        <v>269.52</v>
      </c>
      <c r="L103" s="64">
        <v>25.73</v>
      </c>
      <c r="M103" s="64">
        <v>45.38</v>
      </c>
      <c r="N103" s="64">
        <v>6.3</v>
      </c>
      <c r="O103" s="64">
        <v>0</v>
      </c>
      <c r="P103" s="64">
        <v>2.7</v>
      </c>
      <c r="Q103" s="64">
        <v>32.21</v>
      </c>
      <c r="R103" s="198"/>
      <c r="S103" s="198"/>
      <c r="T103" s="198"/>
      <c r="U103" s="198"/>
    </row>
    <row r="104" spans="1:33" s="12" customFormat="1" x14ac:dyDescent="0.25">
      <c r="A104" s="211" t="s">
        <v>1493</v>
      </c>
      <c r="B104" s="64">
        <v>108.25</v>
      </c>
      <c r="C104" s="64">
        <v>76.260000000000005</v>
      </c>
      <c r="D104" s="64">
        <v>129.53</v>
      </c>
      <c r="E104" s="64">
        <v>4.8899999999999997</v>
      </c>
      <c r="F104" s="64">
        <v>3.28</v>
      </c>
      <c r="G104" s="64">
        <v>150.87</v>
      </c>
      <c r="H104" s="64">
        <v>58.1</v>
      </c>
      <c r="I104" s="64">
        <v>1.22</v>
      </c>
      <c r="J104" s="64">
        <v>0.05</v>
      </c>
      <c r="K104" s="64">
        <v>295.42</v>
      </c>
      <c r="L104" s="64">
        <v>25.24</v>
      </c>
      <c r="M104" s="64">
        <v>47.61</v>
      </c>
      <c r="N104" s="64">
        <v>6.8</v>
      </c>
      <c r="O104" s="64">
        <v>0</v>
      </c>
      <c r="P104" s="64">
        <v>2.79</v>
      </c>
      <c r="Q104" s="64">
        <v>33.93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1.57</v>
      </c>
      <c r="C106" s="67">
        <f>MIN(C9:C104)</f>
        <v>38.68</v>
      </c>
      <c r="D106" s="67">
        <f t="shared" ref="D106:Q106" si="0">MIN(D9:D104)</f>
        <v>23.95</v>
      </c>
      <c r="E106" s="67">
        <f t="shared" si="0"/>
        <v>4.8899999999999997</v>
      </c>
      <c r="F106" s="67">
        <f t="shared" si="0"/>
        <v>3.02</v>
      </c>
      <c r="G106" s="67">
        <f t="shared" si="0"/>
        <v>49.01</v>
      </c>
      <c r="H106" s="67">
        <f t="shared" si="0"/>
        <v>16.95</v>
      </c>
      <c r="I106" s="67">
        <f t="shared" si="0"/>
        <v>0.56000000000000005</v>
      </c>
      <c r="J106" s="67">
        <f t="shared" si="0"/>
        <v>0</v>
      </c>
      <c r="K106" s="67">
        <f t="shared" si="0"/>
        <v>11.28</v>
      </c>
      <c r="L106" s="67">
        <f t="shared" si="0"/>
        <v>22.9</v>
      </c>
      <c r="M106" s="67">
        <f t="shared" si="0"/>
        <v>12.03</v>
      </c>
      <c r="N106" s="67">
        <f t="shared" si="0"/>
        <v>6.3</v>
      </c>
      <c r="O106" s="67">
        <f t="shared" si="0"/>
        <v>0</v>
      </c>
      <c r="P106" s="67">
        <f t="shared" si="0"/>
        <v>0.55000000000000004</v>
      </c>
      <c r="Q106" s="67">
        <f t="shared" si="0"/>
        <v>8.4600000000000009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188.72</v>
      </c>
      <c r="C107" s="66">
        <f t="shared" ref="C107:Q107" si="1">MAX(C9:C104)</f>
        <v>155.08000000000001</v>
      </c>
      <c r="D107" s="66">
        <f t="shared" si="1"/>
        <v>237.57</v>
      </c>
      <c r="E107" s="66">
        <f t="shared" si="1"/>
        <v>38.42</v>
      </c>
      <c r="F107" s="66">
        <f t="shared" si="1"/>
        <v>65.91</v>
      </c>
      <c r="G107" s="66">
        <f t="shared" si="1"/>
        <v>285.45</v>
      </c>
      <c r="H107" s="66">
        <f t="shared" si="1"/>
        <v>127.95</v>
      </c>
      <c r="I107" s="66">
        <f t="shared" si="1"/>
        <v>1.74</v>
      </c>
      <c r="J107" s="66">
        <f t="shared" si="1"/>
        <v>1.64</v>
      </c>
      <c r="K107" s="66">
        <f t="shared" si="1"/>
        <v>337.07</v>
      </c>
      <c r="L107" s="66">
        <f t="shared" si="1"/>
        <v>38.409999999999997</v>
      </c>
      <c r="M107" s="66">
        <f t="shared" si="1"/>
        <v>48.38</v>
      </c>
      <c r="N107" s="66">
        <f t="shared" si="1"/>
        <v>893.1</v>
      </c>
      <c r="O107" s="66">
        <f t="shared" si="1"/>
        <v>0</v>
      </c>
      <c r="P107" s="66">
        <f t="shared" si="1"/>
        <v>4.63</v>
      </c>
      <c r="Q107" s="66">
        <f t="shared" si="1"/>
        <v>33.93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42.67052083333332</v>
      </c>
      <c r="C108" s="67">
        <f t="shared" ref="C108:Q108" si="2">AVERAGE(C9:C104)</f>
        <v>66.983437499999994</v>
      </c>
      <c r="D108" s="67">
        <f t="shared" si="2"/>
        <v>71.830833333333331</v>
      </c>
      <c r="E108" s="67">
        <f t="shared" si="2"/>
        <v>12.320833333333331</v>
      </c>
      <c r="F108" s="67">
        <f t="shared" si="2"/>
        <v>16.175104166666667</v>
      </c>
      <c r="G108" s="67">
        <f t="shared" si="2"/>
        <v>128.70979166666669</v>
      </c>
      <c r="H108" s="67">
        <f t="shared" si="2"/>
        <v>51.376458333333325</v>
      </c>
      <c r="I108" s="67">
        <f t="shared" si="2"/>
        <v>0.88604166666666651</v>
      </c>
      <c r="J108" s="67">
        <f t="shared" si="2"/>
        <v>0.43416666666666687</v>
      </c>
      <c r="K108" s="67">
        <f t="shared" si="2"/>
        <v>247.81635416666674</v>
      </c>
      <c r="L108" s="67">
        <f t="shared" si="2"/>
        <v>29.870625</v>
      </c>
      <c r="M108" s="67">
        <f t="shared" si="2"/>
        <v>29.508125000000007</v>
      </c>
      <c r="N108" s="67">
        <f t="shared" si="2"/>
        <v>245.41145833333346</v>
      </c>
      <c r="O108" s="67">
        <f t="shared" si="2"/>
        <v>0</v>
      </c>
      <c r="P108" s="67">
        <f t="shared" si="2"/>
        <v>1.7376041666666671</v>
      </c>
      <c r="Q108" s="67">
        <f t="shared" si="2"/>
        <v>26.814479166666672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43.700456130819362</v>
      </c>
      <c r="C109" s="67">
        <f t="shared" ref="C109:Q109" si="3">STDEV(C9:C104)</f>
        <v>31.130735255256898</v>
      </c>
      <c r="D109" s="67">
        <f t="shared" si="3"/>
        <v>49.62732449105382</v>
      </c>
      <c r="E109" s="67">
        <f t="shared" si="3"/>
        <v>6.9816161100974314</v>
      </c>
      <c r="F109" s="67">
        <f t="shared" si="3"/>
        <v>14.612434286542012</v>
      </c>
      <c r="G109" s="67">
        <f t="shared" si="3"/>
        <v>61.957641998880085</v>
      </c>
      <c r="H109" s="67">
        <f t="shared" si="3"/>
        <v>24.5256744519812</v>
      </c>
      <c r="I109" s="67">
        <f t="shared" si="3"/>
        <v>0.26419083679343297</v>
      </c>
      <c r="J109" s="67">
        <f t="shared" si="3"/>
        <v>0.46297360767489615</v>
      </c>
      <c r="K109" s="67">
        <f t="shared" si="3"/>
        <v>67.152296572708309</v>
      </c>
      <c r="L109" s="67">
        <f t="shared" si="3"/>
        <v>5.0789768577000611</v>
      </c>
      <c r="M109" s="67">
        <f t="shared" si="3"/>
        <v>11.62429264967391</v>
      </c>
      <c r="N109" s="67">
        <f t="shared" si="3"/>
        <v>309.0862297907687</v>
      </c>
      <c r="O109" s="67">
        <f t="shared" si="3"/>
        <v>0</v>
      </c>
      <c r="P109" s="67">
        <f t="shared" si="3"/>
        <v>0.98237172168248188</v>
      </c>
      <c r="Q109" s="67">
        <f t="shared" si="3"/>
        <v>4.7952214964025579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1494</v>
      </c>
      <c r="B9" s="64">
        <v>102.6</v>
      </c>
      <c r="C9" s="64">
        <v>76.89</v>
      </c>
      <c r="D9" s="64">
        <v>125.35</v>
      </c>
      <c r="E9" s="64">
        <v>7.5</v>
      </c>
      <c r="F9" s="64">
        <v>3.06</v>
      </c>
      <c r="G9" s="64">
        <v>150.87</v>
      </c>
      <c r="H9" s="64">
        <v>58.1</v>
      </c>
      <c r="I9" s="64">
        <v>1.18</v>
      </c>
      <c r="J9" s="64">
        <v>0.14000000000000001</v>
      </c>
      <c r="K9" s="64">
        <v>285.66000000000003</v>
      </c>
      <c r="L9" s="64">
        <v>25.45</v>
      </c>
      <c r="M9" s="64">
        <v>46</v>
      </c>
      <c r="N9" s="64">
        <v>6.6</v>
      </c>
      <c r="O9" s="64">
        <v>0</v>
      </c>
      <c r="P9" s="64">
        <v>2.62</v>
      </c>
      <c r="Q9" s="64">
        <v>34.340000000000003</v>
      </c>
      <c r="R9" s="198"/>
      <c r="S9" s="198"/>
      <c r="T9" s="198"/>
      <c r="U9" s="198"/>
    </row>
    <row r="10" spans="1:21" s="12" customFormat="1" x14ac:dyDescent="0.25">
      <c r="A10" s="211" t="s">
        <v>1495</v>
      </c>
      <c r="B10" s="64">
        <v>91.76</v>
      </c>
      <c r="C10" s="64">
        <v>72.58</v>
      </c>
      <c r="D10" s="64">
        <v>114.29</v>
      </c>
      <c r="E10" s="64">
        <v>6.89</v>
      </c>
      <c r="F10" s="64">
        <v>3.57</v>
      </c>
      <c r="G10" s="64">
        <v>150.87</v>
      </c>
      <c r="H10" s="64">
        <v>58.1</v>
      </c>
      <c r="I10" s="64">
        <v>1.18</v>
      </c>
      <c r="J10" s="64">
        <v>0.04</v>
      </c>
      <c r="K10" s="64">
        <v>265.20999999999998</v>
      </c>
      <c r="L10" s="64">
        <v>25.14</v>
      </c>
      <c r="M10" s="64">
        <v>46.84</v>
      </c>
      <c r="N10" s="64">
        <v>6.7</v>
      </c>
      <c r="O10" s="64">
        <v>0</v>
      </c>
      <c r="P10" s="64">
        <v>2.58</v>
      </c>
      <c r="Q10" s="64">
        <v>34.82</v>
      </c>
      <c r="R10" s="198"/>
      <c r="S10" s="198"/>
      <c r="T10" s="198"/>
      <c r="U10" s="198"/>
    </row>
    <row r="11" spans="1:21" s="12" customFormat="1" x14ac:dyDescent="0.25">
      <c r="A11" s="211" t="s">
        <v>1496</v>
      </c>
      <c r="B11" s="64">
        <v>85.73</v>
      </c>
      <c r="C11" s="64">
        <v>68.540000000000006</v>
      </c>
      <c r="D11" s="64">
        <v>107.22</v>
      </c>
      <c r="E11" s="64">
        <v>6.82</v>
      </c>
      <c r="F11" s="64">
        <v>3.3</v>
      </c>
      <c r="G11" s="64">
        <v>150.87</v>
      </c>
      <c r="H11" s="64">
        <v>58.1</v>
      </c>
      <c r="I11" s="64">
        <v>1.1000000000000001</v>
      </c>
      <c r="J11" s="64">
        <v>0.02</v>
      </c>
      <c r="K11" s="64">
        <v>91.31</v>
      </c>
      <c r="L11" s="64">
        <v>24.95</v>
      </c>
      <c r="M11" s="64">
        <v>48.64</v>
      </c>
      <c r="N11" s="64">
        <v>7</v>
      </c>
      <c r="O11" s="64">
        <v>0</v>
      </c>
      <c r="P11" s="64">
        <v>2.48</v>
      </c>
      <c r="Q11" s="64">
        <v>35.020000000000003</v>
      </c>
      <c r="R11" s="198"/>
      <c r="S11" s="198"/>
      <c r="T11" s="198"/>
      <c r="U11" s="198"/>
    </row>
    <row r="12" spans="1:21" s="12" customFormat="1" x14ac:dyDescent="0.25">
      <c r="A12" s="211" t="s">
        <v>1497</v>
      </c>
      <c r="B12" s="64">
        <v>68.84</v>
      </c>
      <c r="C12" s="64">
        <v>71.64</v>
      </c>
      <c r="D12" s="64">
        <v>95.39</v>
      </c>
      <c r="E12" s="64">
        <v>6.92</v>
      </c>
      <c r="F12" s="64">
        <v>3.66</v>
      </c>
      <c r="G12" s="64">
        <v>142.66</v>
      </c>
      <c r="H12" s="64">
        <v>57.06</v>
      </c>
      <c r="I12" s="64">
        <v>1.1000000000000001</v>
      </c>
      <c r="J12" s="64">
        <v>0.2</v>
      </c>
      <c r="K12" s="64">
        <v>124.07</v>
      </c>
      <c r="L12" s="64">
        <v>24.79</v>
      </c>
      <c r="M12" s="64">
        <v>43.85</v>
      </c>
      <c r="N12" s="64">
        <v>6.6</v>
      </c>
      <c r="O12" s="64">
        <v>0</v>
      </c>
      <c r="P12" s="64">
        <v>2.17</v>
      </c>
      <c r="Q12" s="64">
        <v>34.72</v>
      </c>
      <c r="R12" s="198"/>
      <c r="S12" s="198"/>
      <c r="T12" s="198"/>
      <c r="U12" s="198"/>
    </row>
    <row r="13" spans="1:21" s="12" customFormat="1" x14ac:dyDescent="0.25">
      <c r="A13" s="211" t="s">
        <v>1498</v>
      </c>
      <c r="B13" s="64">
        <v>35.619999999999997</v>
      </c>
      <c r="C13" s="64">
        <v>70.56</v>
      </c>
      <c r="D13" s="64">
        <v>68.16</v>
      </c>
      <c r="E13" s="64">
        <v>7.7</v>
      </c>
      <c r="F13" s="64">
        <v>10.220000000000001</v>
      </c>
      <c r="G13" s="64">
        <v>142.66</v>
      </c>
      <c r="H13" s="64">
        <v>57.06</v>
      </c>
      <c r="I13" s="64">
        <v>1.06</v>
      </c>
      <c r="J13" s="64">
        <v>0.13</v>
      </c>
      <c r="K13" s="64">
        <v>259.17</v>
      </c>
      <c r="L13" s="64">
        <v>24.74</v>
      </c>
      <c r="M13" s="64">
        <v>49.22</v>
      </c>
      <c r="N13" s="64">
        <v>6.7</v>
      </c>
      <c r="O13" s="64">
        <v>0</v>
      </c>
      <c r="P13" s="64">
        <v>1.47</v>
      </c>
      <c r="Q13" s="64">
        <v>38.24</v>
      </c>
      <c r="R13" s="198"/>
      <c r="S13" s="198"/>
      <c r="T13" s="198"/>
      <c r="U13" s="198"/>
    </row>
    <row r="14" spans="1:21" s="12" customFormat="1" x14ac:dyDescent="0.25">
      <c r="A14" s="211" t="s">
        <v>1499</v>
      </c>
      <c r="B14" s="64">
        <v>44.53</v>
      </c>
      <c r="C14" s="64">
        <v>73.569999999999993</v>
      </c>
      <c r="D14" s="64">
        <v>76.959999999999994</v>
      </c>
      <c r="E14" s="64">
        <v>7.73</v>
      </c>
      <c r="F14" s="64">
        <v>7.37</v>
      </c>
      <c r="G14" s="64">
        <v>142.66</v>
      </c>
      <c r="H14" s="64">
        <v>57.06</v>
      </c>
      <c r="I14" s="64">
        <v>1.03</v>
      </c>
      <c r="J14" s="64">
        <v>0.1</v>
      </c>
      <c r="K14" s="64">
        <v>285.58999999999997</v>
      </c>
      <c r="L14" s="64">
        <v>24.23</v>
      </c>
      <c r="M14" s="64">
        <v>49.89</v>
      </c>
      <c r="N14" s="64">
        <v>7</v>
      </c>
      <c r="O14" s="64">
        <v>0</v>
      </c>
      <c r="P14" s="64">
        <v>1.64</v>
      </c>
      <c r="Q14" s="64">
        <v>35.56</v>
      </c>
      <c r="R14" s="198"/>
      <c r="S14" s="198"/>
      <c r="T14" s="198"/>
      <c r="U14" s="198"/>
    </row>
    <row r="15" spans="1:21" s="12" customFormat="1" x14ac:dyDescent="0.25">
      <c r="A15" s="211" t="s">
        <v>1500</v>
      </c>
      <c r="B15" s="64">
        <v>43.98</v>
      </c>
      <c r="C15" s="64">
        <v>78.39</v>
      </c>
      <c r="D15" s="64">
        <v>79.180000000000007</v>
      </c>
      <c r="E15" s="64">
        <v>7.57</v>
      </c>
      <c r="F15" s="64">
        <v>5.84</v>
      </c>
      <c r="G15" s="64">
        <v>142.66</v>
      </c>
      <c r="H15" s="64">
        <v>57.06</v>
      </c>
      <c r="I15" s="64">
        <v>0.91</v>
      </c>
      <c r="J15" s="64">
        <v>0.11</v>
      </c>
      <c r="K15" s="64">
        <v>266.83</v>
      </c>
      <c r="L15" s="64">
        <v>24.16</v>
      </c>
      <c r="M15" s="64">
        <v>48.41</v>
      </c>
      <c r="N15" s="64">
        <v>6.9</v>
      </c>
      <c r="O15" s="64">
        <v>0</v>
      </c>
      <c r="P15" s="64">
        <v>1.56</v>
      </c>
      <c r="Q15" s="64">
        <v>35.07</v>
      </c>
      <c r="R15" s="198"/>
      <c r="S15" s="198"/>
      <c r="T15" s="198"/>
      <c r="U15" s="198"/>
    </row>
    <row r="16" spans="1:21" s="12" customFormat="1" x14ac:dyDescent="0.25">
      <c r="A16" s="211" t="s">
        <v>1501</v>
      </c>
      <c r="B16" s="64">
        <v>35.03</v>
      </c>
      <c r="C16" s="64">
        <v>70.739999999999995</v>
      </c>
      <c r="D16" s="64">
        <v>67.78</v>
      </c>
      <c r="E16" s="64">
        <v>8.0399999999999991</v>
      </c>
      <c r="F16" s="64">
        <v>9.1999999999999993</v>
      </c>
      <c r="G16" s="64">
        <v>94.11</v>
      </c>
      <c r="H16" s="64">
        <v>49.59</v>
      </c>
      <c r="I16" s="64">
        <v>0.91</v>
      </c>
      <c r="J16" s="64">
        <v>0.09</v>
      </c>
      <c r="K16" s="64">
        <v>254.04</v>
      </c>
      <c r="L16" s="64">
        <v>24.06</v>
      </c>
      <c r="M16" s="64">
        <v>47.15</v>
      </c>
      <c r="N16" s="64">
        <v>6.8</v>
      </c>
      <c r="O16" s="64">
        <v>0</v>
      </c>
      <c r="P16" s="64">
        <v>1.42</v>
      </c>
      <c r="Q16" s="64">
        <v>35.57</v>
      </c>
      <c r="R16" s="198"/>
      <c r="S16" s="198"/>
      <c r="T16" s="198"/>
      <c r="U16" s="198"/>
    </row>
    <row r="17" spans="1:21" s="12" customFormat="1" x14ac:dyDescent="0.25">
      <c r="A17" s="211" t="s">
        <v>1502</v>
      </c>
      <c r="B17" s="64">
        <v>56.75</v>
      </c>
      <c r="C17" s="64">
        <v>53.56</v>
      </c>
      <c r="D17" s="64">
        <v>75.72</v>
      </c>
      <c r="E17" s="64">
        <v>7.82</v>
      </c>
      <c r="F17" s="64">
        <v>9.84</v>
      </c>
      <c r="G17" s="64">
        <v>94.11</v>
      </c>
      <c r="H17" s="64">
        <v>49.59</v>
      </c>
      <c r="I17" s="64">
        <v>0.91</v>
      </c>
      <c r="J17" s="64">
        <v>0.06</v>
      </c>
      <c r="K17" s="64">
        <v>267.88</v>
      </c>
      <c r="L17" s="64">
        <v>23.95</v>
      </c>
      <c r="M17" s="64">
        <v>47.34</v>
      </c>
      <c r="N17" s="64">
        <v>7.1</v>
      </c>
      <c r="O17" s="64">
        <v>0</v>
      </c>
      <c r="P17" s="64">
        <v>1.8</v>
      </c>
      <c r="Q17" s="64">
        <v>35.450000000000003</v>
      </c>
      <c r="R17" s="198"/>
      <c r="S17" s="198"/>
      <c r="T17" s="198"/>
      <c r="U17" s="198"/>
    </row>
    <row r="18" spans="1:21" s="12" customFormat="1" x14ac:dyDescent="0.25">
      <c r="A18" s="211" t="s">
        <v>1503</v>
      </c>
      <c r="B18" s="64">
        <v>57.41</v>
      </c>
      <c r="C18" s="64">
        <v>49.82</v>
      </c>
      <c r="D18" s="64">
        <v>74.180000000000007</v>
      </c>
      <c r="E18" s="64">
        <v>6.75</v>
      </c>
      <c r="F18" s="64">
        <v>8.17</v>
      </c>
      <c r="G18" s="64">
        <v>94.11</v>
      </c>
      <c r="H18" s="64">
        <v>49.59</v>
      </c>
      <c r="I18" s="64">
        <v>0.88</v>
      </c>
      <c r="J18" s="64">
        <v>0.08</v>
      </c>
      <c r="K18" s="64">
        <v>255.88</v>
      </c>
      <c r="L18" s="64">
        <v>24.13</v>
      </c>
      <c r="M18" s="64">
        <v>44.82</v>
      </c>
      <c r="N18" s="64">
        <v>6.5</v>
      </c>
      <c r="O18" s="64">
        <v>0</v>
      </c>
      <c r="P18" s="64">
        <v>1.8</v>
      </c>
      <c r="Q18" s="64">
        <v>34.44</v>
      </c>
      <c r="R18" s="198"/>
      <c r="S18" s="198"/>
      <c r="T18" s="198"/>
      <c r="U18" s="198"/>
    </row>
    <row r="19" spans="1:21" s="12" customFormat="1" x14ac:dyDescent="0.25">
      <c r="A19" s="211" t="s">
        <v>1504</v>
      </c>
      <c r="B19" s="64">
        <v>56.18</v>
      </c>
      <c r="C19" s="64">
        <v>48.96</v>
      </c>
      <c r="D19" s="64">
        <v>72.72</v>
      </c>
      <c r="E19" s="64">
        <v>6.44</v>
      </c>
      <c r="F19" s="64">
        <v>6.82</v>
      </c>
      <c r="G19" s="64">
        <v>94.11</v>
      </c>
      <c r="H19" s="64">
        <v>49.59</v>
      </c>
      <c r="I19" s="64">
        <v>0.92</v>
      </c>
      <c r="J19" s="64">
        <v>0.1</v>
      </c>
      <c r="K19" s="64">
        <v>126.14</v>
      </c>
      <c r="L19" s="64">
        <v>23.89</v>
      </c>
      <c r="M19" s="64">
        <v>46.02</v>
      </c>
      <c r="N19" s="64">
        <v>6.7</v>
      </c>
      <c r="O19" s="64">
        <v>0</v>
      </c>
      <c r="P19" s="64">
        <v>1.81</v>
      </c>
      <c r="Q19" s="64">
        <v>33.799999999999997</v>
      </c>
      <c r="R19" s="198"/>
      <c r="S19" s="198"/>
      <c r="T19" s="198"/>
      <c r="U19" s="198"/>
    </row>
    <row r="20" spans="1:21" s="12" customFormat="1" x14ac:dyDescent="0.25">
      <c r="A20" s="211" t="s">
        <v>1505</v>
      </c>
      <c r="B20" s="64">
        <v>56.05</v>
      </c>
      <c r="C20" s="64">
        <v>47.98</v>
      </c>
      <c r="D20" s="64">
        <v>72.069999999999993</v>
      </c>
      <c r="E20" s="64">
        <v>6.03</v>
      </c>
      <c r="F20" s="64">
        <v>5.22</v>
      </c>
      <c r="G20" s="64">
        <v>84.7</v>
      </c>
      <c r="H20" s="64">
        <v>45.77</v>
      </c>
      <c r="I20" s="64">
        <v>0.98</v>
      </c>
      <c r="J20" s="64">
        <v>0.14000000000000001</v>
      </c>
      <c r="K20" s="64">
        <v>268.97000000000003</v>
      </c>
      <c r="L20" s="64">
        <v>23.61</v>
      </c>
      <c r="M20" s="64">
        <v>51.1</v>
      </c>
      <c r="N20" s="64">
        <v>6.8</v>
      </c>
      <c r="O20" s="64">
        <v>0</v>
      </c>
      <c r="P20" s="64">
        <v>1.82</v>
      </c>
      <c r="Q20" s="64">
        <v>33.51</v>
      </c>
      <c r="R20" s="198"/>
      <c r="S20" s="198"/>
      <c r="T20" s="198"/>
      <c r="U20" s="198"/>
    </row>
    <row r="21" spans="1:21" s="12" customFormat="1" x14ac:dyDescent="0.25">
      <c r="A21" s="211" t="s">
        <v>1506</v>
      </c>
      <c r="B21" s="64">
        <v>50.99</v>
      </c>
      <c r="C21" s="64">
        <v>48.53</v>
      </c>
      <c r="D21" s="64">
        <v>68.31</v>
      </c>
      <c r="E21" s="64">
        <v>6.03</v>
      </c>
      <c r="F21" s="64">
        <v>4.78</v>
      </c>
      <c r="G21" s="64">
        <v>84.7</v>
      </c>
      <c r="H21" s="64">
        <v>45.77</v>
      </c>
      <c r="I21" s="64">
        <v>0.97</v>
      </c>
      <c r="J21" s="64">
        <v>0.08</v>
      </c>
      <c r="K21" s="64">
        <v>232.69</v>
      </c>
      <c r="L21" s="64">
        <v>23.04</v>
      </c>
      <c r="M21" s="64">
        <v>51.67</v>
      </c>
      <c r="N21" s="64">
        <v>6.6</v>
      </c>
      <c r="O21" s="64">
        <v>0</v>
      </c>
      <c r="P21" s="64">
        <v>1.74</v>
      </c>
      <c r="Q21" s="64">
        <v>32.799999999999997</v>
      </c>
      <c r="R21" s="198"/>
      <c r="S21" s="198"/>
      <c r="T21" s="198"/>
      <c r="U21" s="198"/>
    </row>
    <row r="22" spans="1:21" s="12" customFormat="1" x14ac:dyDescent="0.25">
      <c r="A22" s="211" t="s">
        <v>1507</v>
      </c>
      <c r="B22" s="64">
        <v>45.11</v>
      </c>
      <c r="C22" s="64">
        <v>47.4</v>
      </c>
      <c r="D22" s="64">
        <v>62.98</v>
      </c>
      <c r="E22" s="64">
        <v>6.12</v>
      </c>
      <c r="F22" s="64">
        <v>4.6500000000000004</v>
      </c>
      <c r="G22" s="64">
        <v>84.7</v>
      </c>
      <c r="H22" s="64">
        <v>45.77</v>
      </c>
      <c r="I22" s="64">
        <v>0.98</v>
      </c>
      <c r="J22" s="64">
        <v>0.04</v>
      </c>
      <c r="K22" s="64">
        <v>248.91</v>
      </c>
      <c r="L22" s="64">
        <v>23.49</v>
      </c>
      <c r="M22" s="64">
        <v>47.27</v>
      </c>
      <c r="N22" s="64">
        <v>6.4</v>
      </c>
      <c r="O22" s="64">
        <v>0</v>
      </c>
      <c r="P22" s="64">
        <v>1.62</v>
      </c>
      <c r="Q22" s="64">
        <v>32.11</v>
      </c>
      <c r="R22" s="198"/>
      <c r="S22" s="198"/>
      <c r="T22" s="198"/>
      <c r="U22" s="198"/>
    </row>
    <row r="23" spans="1:21" s="12" customFormat="1" x14ac:dyDescent="0.25">
      <c r="A23" s="211" t="s">
        <v>1508</v>
      </c>
      <c r="B23" s="64">
        <v>39.69</v>
      </c>
      <c r="C23" s="64">
        <v>50.71</v>
      </c>
      <c r="D23" s="64">
        <v>60.46</v>
      </c>
      <c r="E23" s="64">
        <v>5.05</v>
      </c>
      <c r="F23" s="64">
        <v>4.24</v>
      </c>
      <c r="G23" s="64">
        <v>84.7</v>
      </c>
      <c r="H23" s="64">
        <v>45.77</v>
      </c>
      <c r="I23" s="64">
        <v>0.95</v>
      </c>
      <c r="J23" s="64">
        <v>0.11</v>
      </c>
      <c r="K23" s="64">
        <v>266.38</v>
      </c>
      <c r="L23" s="64">
        <v>23.58</v>
      </c>
      <c r="M23" s="64">
        <v>45.98</v>
      </c>
      <c r="N23" s="64">
        <v>6.6</v>
      </c>
      <c r="O23" s="64">
        <v>0</v>
      </c>
      <c r="P23" s="64">
        <v>1.58</v>
      </c>
      <c r="Q23" s="64">
        <v>30.88</v>
      </c>
      <c r="R23" s="198"/>
      <c r="S23" s="198"/>
      <c r="T23" s="198"/>
      <c r="U23" s="198"/>
    </row>
    <row r="24" spans="1:21" s="12" customFormat="1" x14ac:dyDescent="0.25">
      <c r="A24" s="211" t="s">
        <v>1509</v>
      </c>
      <c r="B24" s="64">
        <v>34.340000000000003</v>
      </c>
      <c r="C24" s="64">
        <v>52.17</v>
      </c>
      <c r="D24" s="64">
        <v>56.98</v>
      </c>
      <c r="E24" s="64">
        <v>4.6500000000000004</v>
      </c>
      <c r="F24" s="64">
        <v>7.97</v>
      </c>
      <c r="G24" s="64">
        <v>65.88</v>
      </c>
      <c r="H24" s="64">
        <v>41.61</v>
      </c>
      <c r="I24" s="64">
        <v>0.91</v>
      </c>
      <c r="J24" s="64">
        <v>0.23</v>
      </c>
      <c r="K24" s="64">
        <v>266.79000000000002</v>
      </c>
      <c r="L24" s="64">
        <v>23.64</v>
      </c>
      <c r="M24" s="64">
        <v>43.51</v>
      </c>
      <c r="N24" s="64">
        <v>6.4</v>
      </c>
      <c r="O24" s="64">
        <v>0</v>
      </c>
      <c r="P24" s="64">
        <v>1.37</v>
      </c>
      <c r="Q24" s="64">
        <v>30.74</v>
      </c>
      <c r="R24" s="198"/>
      <c r="S24" s="198"/>
      <c r="T24" s="198"/>
      <c r="U24" s="198"/>
    </row>
    <row r="25" spans="1:21" s="12" customFormat="1" x14ac:dyDescent="0.25">
      <c r="A25" s="211" t="s">
        <v>1510</v>
      </c>
      <c r="B25" s="64">
        <v>33.06</v>
      </c>
      <c r="C25" s="64">
        <v>45.07</v>
      </c>
      <c r="D25" s="64">
        <v>52.03</v>
      </c>
      <c r="E25" s="64">
        <v>8.08</v>
      </c>
      <c r="F25" s="64">
        <v>11.65</v>
      </c>
      <c r="G25" s="64">
        <v>65.88</v>
      </c>
      <c r="H25" s="64">
        <v>41.61</v>
      </c>
      <c r="I25" s="64">
        <v>0.88</v>
      </c>
      <c r="J25" s="64">
        <v>0.1</v>
      </c>
      <c r="K25" s="64">
        <v>276.45</v>
      </c>
      <c r="L25" s="64">
        <v>23.51</v>
      </c>
      <c r="M25" s="64">
        <v>43.23</v>
      </c>
      <c r="N25" s="64">
        <v>6.7</v>
      </c>
      <c r="O25" s="64">
        <v>0</v>
      </c>
      <c r="P25" s="64">
        <v>1.3</v>
      </c>
      <c r="Q25" s="64">
        <v>30.69</v>
      </c>
      <c r="R25" s="198"/>
      <c r="S25" s="198"/>
      <c r="T25" s="198"/>
      <c r="U25" s="198"/>
    </row>
    <row r="26" spans="1:21" s="12" customFormat="1" x14ac:dyDescent="0.25">
      <c r="A26" s="211" t="s">
        <v>1511</v>
      </c>
      <c r="B26" s="64">
        <v>19.43</v>
      </c>
      <c r="C26" s="64">
        <v>52.76</v>
      </c>
      <c r="D26" s="64">
        <v>45.35</v>
      </c>
      <c r="E26" s="64">
        <v>8.67</v>
      </c>
      <c r="F26" s="64">
        <v>11.34</v>
      </c>
      <c r="G26" s="64">
        <v>65.88</v>
      </c>
      <c r="H26" s="64">
        <v>41.61</v>
      </c>
      <c r="I26" s="64">
        <v>0.78</v>
      </c>
      <c r="J26" s="64">
        <v>0.08</v>
      </c>
      <c r="K26" s="64">
        <v>275.72000000000003</v>
      </c>
      <c r="L26" s="64">
        <v>23.49</v>
      </c>
      <c r="M26" s="64">
        <v>42.73</v>
      </c>
      <c r="N26" s="64">
        <v>6.9</v>
      </c>
      <c r="O26" s="64">
        <v>0</v>
      </c>
      <c r="P26" s="64">
        <v>1.1399999999999999</v>
      </c>
      <c r="Q26" s="64">
        <v>29.43</v>
      </c>
      <c r="R26" s="198"/>
      <c r="S26" s="198"/>
      <c r="T26" s="198"/>
      <c r="U26" s="198"/>
    </row>
    <row r="27" spans="1:21" s="12" customFormat="1" x14ac:dyDescent="0.25">
      <c r="A27" s="211" t="s">
        <v>1512</v>
      </c>
      <c r="B27" s="64">
        <v>34.520000000000003</v>
      </c>
      <c r="C27" s="64">
        <v>54.64</v>
      </c>
      <c r="D27" s="64">
        <v>58.48</v>
      </c>
      <c r="E27" s="64">
        <v>8.61</v>
      </c>
      <c r="F27" s="64">
        <v>9.36</v>
      </c>
      <c r="G27" s="64">
        <v>65.88</v>
      </c>
      <c r="H27" s="64">
        <v>41.61</v>
      </c>
      <c r="I27" s="64">
        <v>0.69</v>
      </c>
      <c r="J27" s="64">
        <v>0.13</v>
      </c>
      <c r="K27" s="64">
        <v>266.57</v>
      </c>
      <c r="L27" s="64">
        <v>23.13</v>
      </c>
      <c r="M27" s="64">
        <v>44.35</v>
      </c>
      <c r="N27" s="64">
        <v>6.8</v>
      </c>
      <c r="O27" s="64">
        <v>0</v>
      </c>
      <c r="P27" s="64">
        <v>1.24</v>
      </c>
      <c r="Q27" s="64">
        <v>28.85</v>
      </c>
      <c r="R27" s="198"/>
      <c r="S27" s="198"/>
      <c r="T27" s="198"/>
      <c r="U27" s="198"/>
    </row>
    <row r="28" spans="1:21" s="12" customFormat="1" x14ac:dyDescent="0.25">
      <c r="A28" s="211" t="s">
        <v>1513</v>
      </c>
      <c r="B28" s="64">
        <v>30.05</v>
      </c>
      <c r="C28" s="64">
        <v>47.52</v>
      </c>
      <c r="D28" s="64">
        <v>50.97</v>
      </c>
      <c r="E28" s="64">
        <v>7.87</v>
      </c>
      <c r="F28" s="64">
        <v>8.09</v>
      </c>
      <c r="G28" s="64">
        <v>97.37</v>
      </c>
      <c r="H28" s="64">
        <v>45.36</v>
      </c>
      <c r="I28" s="64">
        <v>0.66</v>
      </c>
      <c r="J28" s="64">
        <v>0.19</v>
      </c>
      <c r="K28" s="64">
        <v>266.33</v>
      </c>
      <c r="L28" s="64">
        <v>22.79</v>
      </c>
      <c r="M28" s="64">
        <v>45.71</v>
      </c>
      <c r="N28" s="64">
        <v>6.5</v>
      </c>
      <c r="O28" s="64">
        <v>0</v>
      </c>
      <c r="P28" s="64">
        <v>1.28</v>
      </c>
      <c r="Q28" s="64">
        <v>29.23</v>
      </c>
      <c r="R28" s="198"/>
      <c r="S28" s="198"/>
      <c r="T28" s="198"/>
      <c r="U28" s="198"/>
    </row>
    <row r="29" spans="1:21" s="12" customFormat="1" x14ac:dyDescent="0.25">
      <c r="A29" s="211" t="s">
        <v>1514</v>
      </c>
      <c r="B29" s="64">
        <v>44.81</v>
      </c>
      <c r="C29" s="64">
        <v>44.88</v>
      </c>
      <c r="D29" s="64">
        <v>61.35</v>
      </c>
      <c r="E29" s="64">
        <v>6.69</v>
      </c>
      <c r="F29" s="64">
        <v>5.63</v>
      </c>
      <c r="G29" s="64">
        <v>97.37</v>
      </c>
      <c r="H29" s="64">
        <v>45.36</v>
      </c>
      <c r="I29" s="64">
        <v>0.7</v>
      </c>
      <c r="J29" s="64">
        <v>0.08</v>
      </c>
      <c r="K29" s="64">
        <v>263.25</v>
      </c>
      <c r="L29" s="64">
        <v>22.62</v>
      </c>
      <c r="M29" s="64">
        <v>45.09</v>
      </c>
      <c r="N29" s="64">
        <v>7.2</v>
      </c>
      <c r="O29" s="64">
        <v>0</v>
      </c>
      <c r="P29" s="64">
        <v>1.37</v>
      </c>
      <c r="Q29" s="64">
        <v>29.56</v>
      </c>
      <c r="R29" s="198"/>
      <c r="S29" s="198"/>
      <c r="T29" s="198"/>
      <c r="U29" s="198"/>
    </row>
    <row r="30" spans="1:21" s="12" customFormat="1" x14ac:dyDescent="0.25">
      <c r="A30" s="211" t="s">
        <v>1515</v>
      </c>
      <c r="B30" s="64">
        <v>42.4</v>
      </c>
      <c r="C30" s="64">
        <v>44.26</v>
      </c>
      <c r="D30" s="64">
        <v>59.07</v>
      </c>
      <c r="E30" s="64">
        <v>6.32</v>
      </c>
      <c r="F30" s="64">
        <v>4.08</v>
      </c>
      <c r="G30" s="64">
        <v>97.37</v>
      </c>
      <c r="H30" s="64">
        <v>45.36</v>
      </c>
      <c r="I30" s="64">
        <v>0.76</v>
      </c>
      <c r="J30" s="64">
        <v>0.02</v>
      </c>
      <c r="K30" s="64">
        <v>126.11</v>
      </c>
      <c r="L30" s="64">
        <v>22.57</v>
      </c>
      <c r="M30" s="64">
        <v>45.92</v>
      </c>
      <c r="N30" s="64">
        <v>11.8</v>
      </c>
      <c r="O30" s="64">
        <v>0</v>
      </c>
      <c r="P30" s="64">
        <v>1.44</v>
      </c>
      <c r="Q30" s="64">
        <v>29.51</v>
      </c>
      <c r="R30" s="198"/>
      <c r="S30" s="198"/>
      <c r="T30" s="198"/>
      <c r="U30" s="198"/>
    </row>
    <row r="31" spans="1:21" s="12" customFormat="1" x14ac:dyDescent="0.25">
      <c r="A31" s="211" t="s">
        <v>1516</v>
      </c>
      <c r="B31" s="64">
        <v>35.159999999999997</v>
      </c>
      <c r="C31" s="64">
        <v>47.47</v>
      </c>
      <c r="D31" s="64">
        <v>55.04</v>
      </c>
      <c r="E31" s="64">
        <v>5.83</v>
      </c>
      <c r="F31" s="64">
        <v>3.7</v>
      </c>
      <c r="G31" s="64">
        <v>97.37</v>
      </c>
      <c r="H31" s="64">
        <v>45.36</v>
      </c>
      <c r="I31" s="64">
        <v>0.83</v>
      </c>
      <c r="J31" s="64">
        <v>0.09</v>
      </c>
      <c r="K31" s="64">
        <v>78.17</v>
      </c>
      <c r="L31" s="64">
        <v>23.02</v>
      </c>
      <c r="M31" s="64">
        <v>43.9</v>
      </c>
      <c r="N31" s="64">
        <v>25.9</v>
      </c>
      <c r="O31" s="64">
        <v>0</v>
      </c>
      <c r="P31" s="64">
        <v>1.36</v>
      </c>
      <c r="Q31" s="64">
        <v>29.91</v>
      </c>
      <c r="R31" s="198"/>
      <c r="S31" s="198"/>
      <c r="T31" s="198"/>
      <c r="U31" s="198"/>
    </row>
    <row r="32" spans="1:21" s="12" customFormat="1" x14ac:dyDescent="0.25">
      <c r="A32" s="211" t="s">
        <v>1517</v>
      </c>
      <c r="B32" s="64">
        <v>37.659999999999997</v>
      </c>
      <c r="C32" s="64">
        <v>45.68</v>
      </c>
      <c r="D32" s="64">
        <v>56.05</v>
      </c>
      <c r="E32" s="64">
        <v>5.32</v>
      </c>
      <c r="F32" s="64">
        <v>3.16</v>
      </c>
      <c r="G32" s="64">
        <v>88.98</v>
      </c>
      <c r="H32" s="64">
        <v>45.38</v>
      </c>
      <c r="I32" s="64">
        <v>0.86</v>
      </c>
      <c r="J32" s="64">
        <v>0.08</v>
      </c>
      <c r="K32" s="64">
        <v>263.44</v>
      </c>
      <c r="L32" s="64">
        <v>23.02</v>
      </c>
      <c r="M32" s="64">
        <v>48.55</v>
      </c>
      <c r="N32" s="64">
        <v>47.7</v>
      </c>
      <c r="O32" s="64">
        <v>0</v>
      </c>
      <c r="P32" s="64">
        <v>1.39</v>
      </c>
      <c r="Q32" s="64">
        <v>29.95</v>
      </c>
      <c r="R32" s="198"/>
      <c r="S32" s="198"/>
      <c r="T32" s="198"/>
      <c r="U32" s="198"/>
    </row>
    <row r="33" spans="1:21" s="12" customFormat="1" x14ac:dyDescent="0.25">
      <c r="A33" s="211" t="s">
        <v>1518</v>
      </c>
      <c r="B33" s="64">
        <v>38.909999999999997</v>
      </c>
      <c r="C33" s="64">
        <v>48.26</v>
      </c>
      <c r="D33" s="64">
        <v>58.48</v>
      </c>
      <c r="E33" s="64">
        <v>5.67</v>
      </c>
      <c r="F33" s="64">
        <v>2.98</v>
      </c>
      <c r="G33" s="64">
        <v>88.98</v>
      </c>
      <c r="H33" s="64">
        <v>45.38</v>
      </c>
      <c r="I33" s="64">
        <v>0.82</v>
      </c>
      <c r="J33" s="64">
        <v>0.05</v>
      </c>
      <c r="K33" s="64">
        <v>332.31</v>
      </c>
      <c r="L33" s="64">
        <v>23.98</v>
      </c>
      <c r="M33" s="64">
        <v>42.08</v>
      </c>
      <c r="N33" s="64">
        <v>79.900000000000006</v>
      </c>
      <c r="O33" s="64">
        <v>0</v>
      </c>
      <c r="P33" s="64">
        <v>1.38</v>
      </c>
      <c r="Q33" s="64">
        <v>29.81</v>
      </c>
      <c r="R33" s="198"/>
      <c r="S33" s="198"/>
      <c r="T33" s="198"/>
      <c r="U33" s="198"/>
    </row>
    <row r="34" spans="1:21" s="12" customFormat="1" x14ac:dyDescent="0.25">
      <c r="A34" s="211" t="s">
        <v>1519</v>
      </c>
      <c r="B34" s="64">
        <v>38.770000000000003</v>
      </c>
      <c r="C34" s="64">
        <v>46.62</v>
      </c>
      <c r="D34" s="64">
        <v>57.47</v>
      </c>
      <c r="E34" s="64">
        <v>5.48</v>
      </c>
      <c r="F34" s="64">
        <v>3.34</v>
      </c>
      <c r="G34" s="64">
        <v>88.98</v>
      </c>
      <c r="H34" s="64">
        <v>45.38</v>
      </c>
      <c r="I34" s="64">
        <v>0.79</v>
      </c>
      <c r="J34" s="64">
        <v>0.01</v>
      </c>
      <c r="K34" s="64">
        <v>160.02000000000001</v>
      </c>
      <c r="L34" s="64">
        <v>25.4</v>
      </c>
      <c r="M34" s="64">
        <v>38.97</v>
      </c>
      <c r="N34" s="64">
        <v>117.9</v>
      </c>
      <c r="O34" s="64">
        <v>0</v>
      </c>
      <c r="P34" s="64">
        <v>1.32</v>
      </c>
      <c r="Q34" s="64">
        <v>29.51</v>
      </c>
      <c r="R34" s="198"/>
      <c r="S34" s="198"/>
      <c r="T34" s="198"/>
      <c r="U34" s="198"/>
    </row>
    <row r="35" spans="1:21" s="12" customFormat="1" x14ac:dyDescent="0.25">
      <c r="A35" s="211" t="s">
        <v>1520</v>
      </c>
      <c r="B35" s="64">
        <v>35.090000000000003</v>
      </c>
      <c r="C35" s="64">
        <v>55.86</v>
      </c>
      <c r="D35" s="64">
        <v>59.62</v>
      </c>
      <c r="E35" s="64">
        <v>6.07</v>
      </c>
      <c r="F35" s="64">
        <v>4.5</v>
      </c>
      <c r="G35" s="64">
        <v>88.98</v>
      </c>
      <c r="H35" s="64">
        <v>45.38</v>
      </c>
      <c r="I35" s="64">
        <v>0.8</v>
      </c>
      <c r="J35" s="64">
        <v>0.01</v>
      </c>
      <c r="K35" s="64">
        <v>13.84</v>
      </c>
      <c r="L35" s="64">
        <v>26.84</v>
      </c>
      <c r="M35" s="64">
        <v>34.9</v>
      </c>
      <c r="N35" s="64">
        <v>163.5</v>
      </c>
      <c r="O35" s="64">
        <v>0</v>
      </c>
      <c r="P35" s="64">
        <v>1.29</v>
      </c>
      <c r="Q35" s="64">
        <v>28.93</v>
      </c>
      <c r="R35" s="198"/>
      <c r="S35" s="198"/>
      <c r="T35" s="198"/>
      <c r="U35" s="198"/>
    </row>
    <row r="36" spans="1:21" s="12" customFormat="1" x14ac:dyDescent="0.25">
      <c r="A36" s="211" t="s">
        <v>1521</v>
      </c>
      <c r="B36" s="64">
        <v>30.66</v>
      </c>
      <c r="C36" s="64">
        <v>69.61</v>
      </c>
      <c r="D36" s="64">
        <v>63.65</v>
      </c>
      <c r="E36" s="64">
        <v>16.03</v>
      </c>
      <c r="F36" s="64">
        <v>11.48</v>
      </c>
      <c r="G36" s="64">
        <v>104.95</v>
      </c>
      <c r="H36" s="64">
        <v>53.2</v>
      </c>
      <c r="I36" s="64">
        <v>0.75</v>
      </c>
      <c r="J36" s="64">
        <v>0.05</v>
      </c>
      <c r="K36" s="64">
        <v>288.64999999999998</v>
      </c>
      <c r="L36" s="64">
        <v>28.41</v>
      </c>
      <c r="M36" s="64">
        <v>34.01</v>
      </c>
      <c r="N36" s="64">
        <v>208.5</v>
      </c>
      <c r="O36" s="64">
        <v>0</v>
      </c>
      <c r="P36" s="64">
        <v>1.29</v>
      </c>
      <c r="Q36" s="64">
        <v>28.7</v>
      </c>
      <c r="R36" s="198"/>
      <c r="S36" s="198"/>
      <c r="T36" s="198"/>
      <c r="U36" s="198"/>
    </row>
    <row r="37" spans="1:21" s="12" customFormat="1" x14ac:dyDescent="0.25">
      <c r="A37" s="211" t="s">
        <v>1522</v>
      </c>
      <c r="B37" s="64">
        <v>35.369999999999997</v>
      </c>
      <c r="C37" s="64">
        <v>71.62</v>
      </c>
      <c r="D37" s="64">
        <v>68.540000000000006</v>
      </c>
      <c r="E37" s="64">
        <v>29.6</v>
      </c>
      <c r="F37" s="64">
        <v>13.73</v>
      </c>
      <c r="G37" s="64">
        <v>104.95</v>
      </c>
      <c r="H37" s="64">
        <v>53.2</v>
      </c>
      <c r="I37" s="64">
        <v>0.72</v>
      </c>
      <c r="J37" s="64">
        <v>0.16</v>
      </c>
      <c r="K37" s="64">
        <v>276.42</v>
      </c>
      <c r="L37" s="64">
        <v>29.89</v>
      </c>
      <c r="M37" s="64">
        <v>31.01</v>
      </c>
      <c r="N37" s="64">
        <v>258.5</v>
      </c>
      <c r="O37" s="64">
        <v>0</v>
      </c>
      <c r="P37" s="64">
        <v>1.3</v>
      </c>
      <c r="Q37" s="64">
        <v>27.6</v>
      </c>
      <c r="R37" s="198"/>
      <c r="S37" s="198"/>
      <c r="T37" s="198"/>
      <c r="U37" s="198"/>
    </row>
    <row r="38" spans="1:21" s="12" customFormat="1" x14ac:dyDescent="0.25">
      <c r="A38" s="211" t="s">
        <v>1523</v>
      </c>
      <c r="B38" s="64">
        <v>27.65</v>
      </c>
      <c r="C38" s="64">
        <v>65.14</v>
      </c>
      <c r="D38" s="64">
        <v>58.77</v>
      </c>
      <c r="E38" s="64">
        <v>31.74</v>
      </c>
      <c r="F38" s="64">
        <v>13.93</v>
      </c>
      <c r="G38" s="64">
        <v>104.95</v>
      </c>
      <c r="H38" s="64">
        <v>53.2</v>
      </c>
      <c r="I38" s="64">
        <v>0.64</v>
      </c>
      <c r="J38" s="64">
        <v>0.06</v>
      </c>
      <c r="K38" s="64">
        <v>306.49</v>
      </c>
      <c r="L38" s="64">
        <v>31.44</v>
      </c>
      <c r="M38" s="64">
        <v>28.96</v>
      </c>
      <c r="N38" s="64">
        <v>306.8</v>
      </c>
      <c r="O38" s="64">
        <v>0</v>
      </c>
      <c r="P38" s="64">
        <v>1.43</v>
      </c>
      <c r="Q38" s="64">
        <v>28.04</v>
      </c>
      <c r="R38" s="198"/>
      <c r="S38" s="198"/>
      <c r="T38" s="198"/>
      <c r="U38" s="198"/>
    </row>
    <row r="39" spans="1:21" s="12" customFormat="1" x14ac:dyDescent="0.25">
      <c r="A39" s="211" t="s">
        <v>1524</v>
      </c>
      <c r="B39" s="64">
        <v>29.08</v>
      </c>
      <c r="C39" s="64">
        <v>66.349999999999994</v>
      </c>
      <c r="D39" s="64">
        <v>60.58</v>
      </c>
      <c r="E39" s="64">
        <v>35.29</v>
      </c>
      <c r="F39" s="64">
        <v>14.92</v>
      </c>
      <c r="G39" s="64">
        <v>104.95</v>
      </c>
      <c r="H39" s="64">
        <v>53.2</v>
      </c>
      <c r="I39" s="64">
        <v>0.66</v>
      </c>
      <c r="J39" s="64">
        <v>0.26</v>
      </c>
      <c r="K39" s="64">
        <v>278.36</v>
      </c>
      <c r="L39" s="64">
        <v>32.21</v>
      </c>
      <c r="M39" s="64">
        <v>27.94</v>
      </c>
      <c r="N39" s="64">
        <v>347.5</v>
      </c>
      <c r="O39" s="64">
        <v>0</v>
      </c>
      <c r="P39" s="64">
        <v>1.46</v>
      </c>
      <c r="Q39" s="64">
        <v>28.35</v>
      </c>
      <c r="R39" s="198"/>
      <c r="S39" s="198"/>
      <c r="T39" s="198"/>
      <c r="U39" s="198"/>
    </row>
    <row r="40" spans="1:21" s="12" customFormat="1" x14ac:dyDescent="0.25">
      <c r="A40" s="211" t="s">
        <v>1525</v>
      </c>
      <c r="B40" s="64">
        <v>31.89</v>
      </c>
      <c r="C40" s="64">
        <v>61.88</v>
      </c>
      <c r="D40" s="64">
        <v>60.37</v>
      </c>
      <c r="E40" s="64">
        <v>30.04</v>
      </c>
      <c r="F40" s="64">
        <v>16.52</v>
      </c>
      <c r="G40" s="64">
        <v>152.88</v>
      </c>
      <c r="H40" s="64">
        <v>61.11</v>
      </c>
      <c r="I40" s="64">
        <v>0.71</v>
      </c>
      <c r="J40" s="64">
        <v>0.38</v>
      </c>
      <c r="K40" s="64">
        <v>285</v>
      </c>
      <c r="L40" s="64">
        <v>33.130000000000003</v>
      </c>
      <c r="M40" s="64">
        <v>26.02</v>
      </c>
      <c r="N40" s="64">
        <v>399.1</v>
      </c>
      <c r="O40" s="64">
        <v>0</v>
      </c>
      <c r="P40" s="64">
        <v>1.5</v>
      </c>
      <c r="Q40" s="64">
        <v>27.76</v>
      </c>
      <c r="R40" s="198"/>
      <c r="S40" s="198"/>
      <c r="T40" s="198"/>
      <c r="U40" s="198"/>
    </row>
    <row r="41" spans="1:21" s="12" customFormat="1" x14ac:dyDescent="0.25">
      <c r="A41" s="211" t="s">
        <v>1526</v>
      </c>
      <c r="B41" s="64">
        <v>29.78</v>
      </c>
      <c r="C41" s="64">
        <v>60.42</v>
      </c>
      <c r="D41" s="64">
        <v>57.87</v>
      </c>
      <c r="E41" s="64">
        <v>23.75</v>
      </c>
      <c r="F41" s="64">
        <v>11.85</v>
      </c>
      <c r="G41" s="64">
        <v>152.88</v>
      </c>
      <c r="H41" s="64">
        <v>61.11</v>
      </c>
      <c r="I41" s="64">
        <v>0.7</v>
      </c>
      <c r="J41" s="64">
        <v>0.3</v>
      </c>
      <c r="K41" s="64">
        <v>288.5</v>
      </c>
      <c r="L41" s="64">
        <v>33.65</v>
      </c>
      <c r="M41" s="64">
        <v>25.04</v>
      </c>
      <c r="N41" s="64">
        <v>452.6</v>
      </c>
      <c r="O41" s="64">
        <v>0</v>
      </c>
      <c r="P41" s="64">
        <v>1.49</v>
      </c>
      <c r="Q41" s="64">
        <v>27.33</v>
      </c>
      <c r="R41" s="198"/>
      <c r="S41" s="198"/>
      <c r="T41" s="198"/>
      <c r="U41" s="198"/>
    </row>
    <row r="42" spans="1:21" s="12" customFormat="1" x14ac:dyDescent="0.25">
      <c r="A42" s="211" t="s">
        <v>1527</v>
      </c>
      <c r="B42" s="64">
        <v>26.68</v>
      </c>
      <c r="C42" s="64">
        <v>63.69</v>
      </c>
      <c r="D42" s="64">
        <v>57.19</v>
      </c>
      <c r="E42" s="64">
        <v>20.6</v>
      </c>
      <c r="F42" s="64">
        <v>12.47</v>
      </c>
      <c r="G42" s="64">
        <v>152.88</v>
      </c>
      <c r="H42" s="64">
        <v>61.11</v>
      </c>
      <c r="I42" s="64">
        <v>0.72</v>
      </c>
      <c r="J42" s="64">
        <v>0.15</v>
      </c>
      <c r="K42" s="64">
        <v>308.55</v>
      </c>
      <c r="L42" s="64">
        <v>34.22</v>
      </c>
      <c r="M42" s="64">
        <v>24</v>
      </c>
      <c r="N42" s="64">
        <v>505.5</v>
      </c>
      <c r="O42" s="64">
        <v>0</v>
      </c>
      <c r="P42" s="64">
        <v>1.5</v>
      </c>
      <c r="Q42" s="64">
        <v>29.13</v>
      </c>
      <c r="R42" s="198"/>
      <c r="S42" s="198"/>
      <c r="T42" s="198"/>
      <c r="U42" s="198"/>
    </row>
    <row r="43" spans="1:21" s="12" customFormat="1" x14ac:dyDescent="0.25">
      <c r="A43" s="211" t="s">
        <v>1528</v>
      </c>
      <c r="B43" s="64">
        <v>22.87</v>
      </c>
      <c r="C43" s="64">
        <v>71.86</v>
      </c>
      <c r="D43" s="64">
        <v>58.65</v>
      </c>
      <c r="E43" s="64">
        <v>21.06</v>
      </c>
      <c r="F43" s="64">
        <v>14</v>
      </c>
      <c r="G43" s="64">
        <v>152.88</v>
      </c>
      <c r="H43" s="64">
        <v>61.11</v>
      </c>
      <c r="I43" s="64">
        <v>0.76</v>
      </c>
      <c r="J43" s="64">
        <v>0.54</v>
      </c>
      <c r="K43" s="64">
        <v>276.66000000000003</v>
      </c>
      <c r="L43" s="64">
        <v>33.75</v>
      </c>
      <c r="M43" s="64">
        <v>27.73</v>
      </c>
      <c r="N43" s="64">
        <v>556.6</v>
      </c>
      <c r="O43" s="64">
        <v>0</v>
      </c>
      <c r="P43" s="64">
        <v>1.55</v>
      </c>
      <c r="Q43" s="64">
        <v>28.95</v>
      </c>
      <c r="R43" s="198"/>
      <c r="S43" s="198"/>
      <c r="T43" s="198"/>
      <c r="U43" s="198"/>
    </row>
    <row r="44" spans="1:21" s="12" customFormat="1" x14ac:dyDescent="0.25">
      <c r="A44" s="211" t="s">
        <v>1529</v>
      </c>
      <c r="B44" s="64">
        <v>20.04</v>
      </c>
      <c r="C44" s="64">
        <v>65.349999999999994</v>
      </c>
      <c r="D44" s="64">
        <v>52.78</v>
      </c>
      <c r="E44" s="64">
        <v>15.62</v>
      </c>
      <c r="F44" s="64">
        <v>10.29</v>
      </c>
      <c r="G44" s="64">
        <v>186.62</v>
      </c>
      <c r="H44" s="64">
        <v>74.67</v>
      </c>
      <c r="I44" s="64">
        <v>0.75</v>
      </c>
      <c r="J44" s="64">
        <v>0.98</v>
      </c>
      <c r="K44" s="64">
        <v>279.24</v>
      </c>
      <c r="L44" s="64">
        <v>33.78</v>
      </c>
      <c r="M44" s="64">
        <v>22.29</v>
      </c>
      <c r="N44" s="64">
        <v>623.29999999999995</v>
      </c>
      <c r="O44" s="64">
        <v>0</v>
      </c>
      <c r="P44" s="64">
        <v>1.47</v>
      </c>
      <c r="Q44" s="64">
        <v>28.86</v>
      </c>
      <c r="R44" s="198"/>
      <c r="S44" s="198"/>
      <c r="T44" s="198"/>
      <c r="U44" s="198"/>
    </row>
    <row r="45" spans="1:21" s="12" customFormat="1" x14ac:dyDescent="0.25">
      <c r="A45" s="211" t="s">
        <v>1530</v>
      </c>
      <c r="B45" s="64">
        <v>16.87</v>
      </c>
      <c r="C45" s="64">
        <v>68.510000000000005</v>
      </c>
      <c r="D45" s="64">
        <v>51.99</v>
      </c>
      <c r="E45" s="64">
        <v>12.74</v>
      </c>
      <c r="F45" s="64">
        <v>12.88</v>
      </c>
      <c r="G45" s="64">
        <v>186.62</v>
      </c>
      <c r="H45" s="64">
        <v>74.67</v>
      </c>
      <c r="I45" s="64">
        <v>0.71</v>
      </c>
      <c r="J45" s="64">
        <v>0.77</v>
      </c>
      <c r="K45" s="64">
        <v>278.81</v>
      </c>
      <c r="L45" s="64">
        <v>34.409999999999997</v>
      </c>
      <c r="M45" s="64">
        <v>23.59</v>
      </c>
      <c r="N45" s="64">
        <v>647.29999999999995</v>
      </c>
      <c r="O45" s="64">
        <v>0</v>
      </c>
      <c r="P45" s="64">
        <v>1.43</v>
      </c>
      <c r="Q45" s="64">
        <v>28.5</v>
      </c>
      <c r="R45" s="198"/>
      <c r="S45" s="198"/>
      <c r="T45" s="198"/>
      <c r="U45" s="198"/>
    </row>
    <row r="46" spans="1:21" s="12" customFormat="1" x14ac:dyDescent="0.25">
      <c r="A46" s="211" t="s">
        <v>1531</v>
      </c>
      <c r="B46" s="64">
        <v>12.71</v>
      </c>
      <c r="C46" s="64">
        <v>70.209999999999994</v>
      </c>
      <c r="D46" s="64">
        <v>49.58</v>
      </c>
      <c r="E46" s="64">
        <v>15.29</v>
      </c>
      <c r="F46" s="64">
        <v>17.25</v>
      </c>
      <c r="G46" s="64">
        <v>186.62</v>
      </c>
      <c r="H46" s="64">
        <v>74.67</v>
      </c>
      <c r="I46" s="64">
        <v>0.75</v>
      </c>
      <c r="J46" s="64">
        <v>0.65</v>
      </c>
      <c r="K46" s="64">
        <v>285.23</v>
      </c>
      <c r="L46" s="64">
        <v>36.97</v>
      </c>
      <c r="M46" s="64">
        <v>19.440000000000001</v>
      </c>
      <c r="N46" s="64">
        <v>641.6</v>
      </c>
      <c r="O46" s="64">
        <v>0</v>
      </c>
      <c r="P46" s="64">
        <v>1.45</v>
      </c>
      <c r="Q46" s="64">
        <v>27.95</v>
      </c>
      <c r="R46" s="198"/>
      <c r="S46" s="198"/>
      <c r="T46" s="198"/>
      <c r="U46" s="198"/>
    </row>
    <row r="47" spans="1:21" s="12" customFormat="1" x14ac:dyDescent="0.25">
      <c r="A47" s="211" t="s">
        <v>1532</v>
      </c>
      <c r="B47" s="64">
        <v>9.49</v>
      </c>
      <c r="C47" s="64">
        <v>72.63</v>
      </c>
      <c r="D47" s="64">
        <v>48.34</v>
      </c>
      <c r="E47" s="64">
        <v>27.6</v>
      </c>
      <c r="F47" s="64">
        <v>17.18</v>
      </c>
      <c r="G47" s="64">
        <v>186.62</v>
      </c>
      <c r="H47" s="64">
        <v>74.67</v>
      </c>
      <c r="I47" s="64">
        <v>0.73</v>
      </c>
      <c r="J47" s="64">
        <v>0.61</v>
      </c>
      <c r="K47" s="64">
        <v>287.72000000000003</v>
      </c>
      <c r="L47" s="64">
        <v>38.229999999999997</v>
      </c>
      <c r="M47" s="64">
        <v>18.98</v>
      </c>
      <c r="N47" s="64">
        <v>683.5</v>
      </c>
      <c r="O47" s="64">
        <v>0</v>
      </c>
      <c r="P47" s="64">
        <v>1.46</v>
      </c>
      <c r="Q47" s="64">
        <v>27.34</v>
      </c>
      <c r="R47" s="198"/>
      <c r="S47" s="198"/>
      <c r="T47" s="198"/>
      <c r="U47" s="198"/>
    </row>
    <row r="48" spans="1:21" s="12" customFormat="1" x14ac:dyDescent="0.25">
      <c r="A48" s="211" t="s">
        <v>1533</v>
      </c>
      <c r="B48" s="64">
        <v>7.79</v>
      </c>
      <c r="C48" s="64">
        <v>73.14</v>
      </c>
      <c r="D48" s="64">
        <v>47.26</v>
      </c>
      <c r="E48" s="64">
        <v>56.64</v>
      </c>
      <c r="F48" s="64">
        <v>39.74</v>
      </c>
      <c r="G48" s="64">
        <v>137.19</v>
      </c>
      <c r="H48" s="64">
        <v>69.760000000000005</v>
      </c>
      <c r="I48" s="64">
        <v>0.73</v>
      </c>
      <c r="J48" s="64">
        <v>0.64</v>
      </c>
      <c r="K48" s="64">
        <v>282.25</v>
      </c>
      <c r="L48" s="64">
        <v>39.33</v>
      </c>
      <c r="M48" s="64">
        <v>17.510000000000002</v>
      </c>
      <c r="N48" s="64">
        <v>713.6</v>
      </c>
      <c r="O48" s="64">
        <v>0</v>
      </c>
      <c r="P48" s="64">
        <v>1.38</v>
      </c>
      <c r="Q48" s="64">
        <v>27.56</v>
      </c>
      <c r="R48" s="198"/>
      <c r="S48" s="198"/>
      <c r="T48" s="198"/>
      <c r="U48" s="198"/>
    </row>
    <row r="49" spans="1:21" s="12" customFormat="1" x14ac:dyDescent="0.25">
      <c r="A49" s="211" t="s">
        <v>1534</v>
      </c>
      <c r="B49" s="64">
        <v>6.78</v>
      </c>
      <c r="C49" s="64">
        <v>75.73</v>
      </c>
      <c r="D49" s="64">
        <v>47.87</v>
      </c>
      <c r="E49" s="64">
        <v>61.57</v>
      </c>
      <c r="F49" s="64">
        <v>45.17</v>
      </c>
      <c r="G49" s="64">
        <v>137.19</v>
      </c>
      <c r="H49" s="64">
        <v>69.760000000000005</v>
      </c>
      <c r="I49" s="64">
        <v>0.71</v>
      </c>
      <c r="J49" s="64">
        <v>0.31</v>
      </c>
      <c r="K49" s="64">
        <v>278.55</v>
      </c>
      <c r="L49" s="64">
        <v>39.85</v>
      </c>
      <c r="M49" s="64">
        <v>16.329999999999998</v>
      </c>
      <c r="N49" s="64">
        <v>712.3</v>
      </c>
      <c r="O49" s="64">
        <v>0</v>
      </c>
      <c r="P49" s="64">
        <v>1.39</v>
      </c>
      <c r="Q49" s="64">
        <v>26.65</v>
      </c>
      <c r="R49" s="198"/>
      <c r="S49" s="198"/>
      <c r="T49" s="198"/>
      <c r="U49" s="198"/>
    </row>
    <row r="50" spans="1:21" s="12" customFormat="1" x14ac:dyDescent="0.25">
      <c r="A50" s="211" t="s">
        <v>1535</v>
      </c>
      <c r="B50" s="64">
        <v>5.33</v>
      </c>
      <c r="C50" s="64">
        <v>66.099999999999994</v>
      </c>
      <c r="D50" s="64">
        <v>41.4</v>
      </c>
      <c r="E50" s="64">
        <v>28.24</v>
      </c>
      <c r="F50" s="64">
        <v>19.61</v>
      </c>
      <c r="G50" s="64">
        <v>137.19</v>
      </c>
      <c r="H50" s="64">
        <v>69.760000000000005</v>
      </c>
      <c r="I50" s="64">
        <v>0.67</v>
      </c>
      <c r="J50" s="64">
        <v>0.37</v>
      </c>
      <c r="K50" s="64">
        <v>279.95999999999998</v>
      </c>
      <c r="L50" s="64">
        <v>39.93</v>
      </c>
      <c r="M50" s="64">
        <v>16.13</v>
      </c>
      <c r="N50" s="64">
        <v>748.5</v>
      </c>
      <c r="O50" s="64">
        <v>0</v>
      </c>
      <c r="P50" s="64">
        <v>1.4</v>
      </c>
      <c r="Q50" s="64">
        <v>26.37</v>
      </c>
      <c r="R50" s="198"/>
      <c r="S50" s="198"/>
      <c r="T50" s="198"/>
      <c r="U50" s="198"/>
    </row>
    <row r="51" spans="1:21" s="12" customFormat="1" x14ac:dyDescent="0.25">
      <c r="A51" s="211" t="s">
        <v>1536</v>
      </c>
      <c r="B51" s="64">
        <v>3.94</v>
      </c>
      <c r="C51" s="64">
        <v>57.77</v>
      </c>
      <c r="D51" s="64">
        <v>35.69</v>
      </c>
      <c r="E51" s="64">
        <v>19.78</v>
      </c>
      <c r="F51" s="64">
        <v>22.53</v>
      </c>
      <c r="G51" s="64">
        <v>137.19</v>
      </c>
      <c r="H51" s="64">
        <v>69.760000000000005</v>
      </c>
      <c r="I51" s="64">
        <v>0.68</v>
      </c>
      <c r="J51" s="64">
        <v>0.26</v>
      </c>
      <c r="K51" s="64">
        <v>281.63</v>
      </c>
      <c r="L51" s="64">
        <v>38.9</v>
      </c>
      <c r="M51" s="64">
        <v>14.66</v>
      </c>
      <c r="N51" s="64">
        <v>817.4</v>
      </c>
      <c r="O51" s="64">
        <v>0</v>
      </c>
      <c r="P51" s="64">
        <v>1.29</v>
      </c>
      <c r="Q51" s="64">
        <v>26.06</v>
      </c>
      <c r="R51" s="198"/>
      <c r="S51" s="198"/>
      <c r="T51" s="198"/>
      <c r="U51" s="198"/>
    </row>
    <row r="52" spans="1:21" s="12" customFormat="1" x14ac:dyDescent="0.25">
      <c r="A52" s="211" t="s">
        <v>1537</v>
      </c>
      <c r="B52" s="64">
        <v>7.16</v>
      </c>
      <c r="C52" s="64">
        <v>53.52</v>
      </c>
      <c r="D52" s="64">
        <v>35.93</v>
      </c>
      <c r="E52" s="64">
        <v>16.97</v>
      </c>
      <c r="F52" s="64">
        <v>26.34</v>
      </c>
      <c r="G52" s="64">
        <v>147.80000000000001</v>
      </c>
      <c r="H52" s="64">
        <v>71.709999999999994</v>
      </c>
      <c r="I52" s="64">
        <v>0.77</v>
      </c>
      <c r="J52" s="64">
        <v>0.42</v>
      </c>
      <c r="K52" s="64">
        <v>284.95999999999998</v>
      </c>
      <c r="L52" s="64">
        <v>39.24</v>
      </c>
      <c r="M52" s="64">
        <v>15.91</v>
      </c>
      <c r="N52" s="64">
        <v>840.9</v>
      </c>
      <c r="O52" s="64">
        <v>0</v>
      </c>
      <c r="P52" s="64">
        <v>1.28</v>
      </c>
      <c r="Q52" s="64">
        <v>25.41</v>
      </c>
      <c r="R52" s="198"/>
      <c r="S52" s="198"/>
      <c r="T52" s="198"/>
      <c r="U52" s="198"/>
    </row>
    <row r="53" spans="1:21" s="12" customFormat="1" x14ac:dyDescent="0.25">
      <c r="A53" s="211" t="s">
        <v>1538</v>
      </c>
      <c r="B53" s="64">
        <v>2.78</v>
      </c>
      <c r="C53" s="64">
        <v>55.96</v>
      </c>
      <c r="D53" s="64">
        <v>33.76</v>
      </c>
      <c r="E53" s="64">
        <v>13.62</v>
      </c>
      <c r="F53" s="64">
        <v>21.06</v>
      </c>
      <c r="G53" s="64">
        <v>147.80000000000001</v>
      </c>
      <c r="H53" s="64">
        <v>71.709999999999994</v>
      </c>
      <c r="I53" s="64">
        <v>0.79</v>
      </c>
      <c r="J53" s="64">
        <v>0.27</v>
      </c>
      <c r="K53" s="64">
        <v>287.14</v>
      </c>
      <c r="L53" s="64">
        <v>40.229999999999997</v>
      </c>
      <c r="M53" s="64">
        <v>13.92</v>
      </c>
      <c r="N53" s="64">
        <v>853.4</v>
      </c>
      <c r="O53" s="64">
        <v>0</v>
      </c>
      <c r="P53" s="64">
        <v>1.25</v>
      </c>
      <c r="Q53" s="64">
        <v>23.53</v>
      </c>
      <c r="R53" s="198"/>
      <c r="S53" s="198"/>
      <c r="T53" s="198"/>
      <c r="U53" s="198"/>
    </row>
    <row r="54" spans="1:21" s="12" customFormat="1" x14ac:dyDescent="0.25">
      <c r="A54" s="211" t="s">
        <v>1539</v>
      </c>
      <c r="B54" s="64">
        <v>2.52</v>
      </c>
      <c r="C54" s="64">
        <v>51.01</v>
      </c>
      <c r="D54" s="64">
        <v>30.82</v>
      </c>
      <c r="E54" s="64">
        <v>13.15</v>
      </c>
      <c r="F54" s="64">
        <v>38.29</v>
      </c>
      <c r="G54" s="64">
        <v>147.80000000000001</v>
      </c>
      <c r="H54" s="64">
        <v>71.709999999999994</v>
      </c>
      <c r="I54" s="64">
        <v>0.77</v>
      </c>
      <c r="J54" s="64">
        <v>0.39</v>
      </c>
      <c r="K54" s="64">
        <v>278.93</v>
      </c>
      <c r="L54" s="64">
        <v>39.58</v>
      </c>
      <c r="M54" s="64">
        <v>14.3</v>
      </c>
      <c r="N54" s="64">
        <v>844.2</v>
      </c>
      <c r="O54" s="64">
        <v>0</v>
      </c>
      <c r="P54" s="64">
        <v>1.0900000000000001</v>
      </c>
      <c r="Q54" s="64">
        <v>24.65</v>
      </c>
      <c r="R54" s="198"/>
      <c r="S54" s="198"/>
      <c r="T54" s="198"/>
      <c r="U54" s="198"/>
    </row>
    <row r="55" spans="1:21" s="12" customFormat="1" x14ac:dyDescent="0.25">
      <c r="A55" s="211" t="s">
        <v>1540</v>
      </c>
      <c r="B55" s="64">
        <v>2.0099999999999998</v>
      </c>
      <c r="C55" s="64">
        <v>51.16</v>
      </c>
      <c r="D55" s="64">
        <v>30.5</v>
      </c>
      <c r="E55" s="64">
        <v>12.49</v>
      </c>
      <c r="F55" s="64">
        <v>29.5</v>
      </c>
      <c r="G55" s="64">
        <v>147.80000000000001</v>
      </c>
      <c r="H55" s="64">
        <v>71.709999999999994</v>
      </c>
      <c r="I55" s="64">
        <v>0.81</v>
      </c>
      <c r="J55" s="64">
        <v>0.35</v>
      </c>
      <c r="K55" s="64">
        <v>287.64</v>
      </c>
      <c r="L55" s="64">
        <v>39.89</v>
      </c>
      <c r="M55" s="64">
        <v>14.79</v>
      </c>
      <c r="N55" s="64">
        <v>853.7</v>
      </c>
      <c r="O55" s="64">
        <v>0</v>
      </c>
      <c r="P55" s="64">
        <v>1.0900000000000001</v>
      </c>
      <c r="Q55" s="64">
        <v>24.47</v>
      </c>
      <c r="R55" s="198"/>
      <c r="S55" s="198"/>
      <c r="T55" s="198"/>
      <c r="U55" s="198"/>
    </row>
    <row r="56" spans="1:21" s="12" customFormat="1" x14ac:dyDescent="0.25">
      <c r="A56" s="211" t="s">
        <v>1541</v>
      </c>
      <c r="B56" s="64">
        <v>2.8</v>
      </c>
      <c r="C56" s="64">
        <v>46.57</v>
      </c>
      <c r="D56" s="64">
        <v>28.59</v>
      </c>
      <c r="E56" s="64">
        <v>7.41</v>
      </c>
      <c r="F56" s="64">
        <v>36.549999999999997</v>
      </c>
      <c r="G56" s="64">
        <v>101</v>
      </c>
      <c r="H56" s="64">
        <v>59.2</v>
      </c>
      <c r="I56" s="64">
        <v>0.76</v>
      </c>
      <c r="J56" s="64">
        <v>0.34</v>
      </c>
      <c r="K56" s="64">
        <v>274.19</v>
      </c>
      <c r="L56" s="64">
        <v>39.07</v>
      </c>
      <c r="M56" s="64">
        <v>14.02</v>
      </c>
      <c r="N56" s="64">
        <v>857.3</v>
      </c>
      <c r="O56" s="64">
        <v>0</v>
      </c>
      <c r="P56" s="64">
        <v>1.02</v>
      </c>
      <c r="Q56" s="64">
        <v>24.45</v>
      </c>
      <c r="R56" s="198"/>
      <c r="S56" s="198"/>
      <c r="T56" s="198"/>
      <c r="U56" s="198"/>
    </row>
    <row r="57" spans="1:21" s="12" customFormat="1" x14ac:dyDescent="0.25">
      <c r="A57" s="211" t="s">
        <v>1542</v>
      </c>
      <c r="B57" s="64">
        <v>2.9</v>
      </c>
      <c r="C57" s="64">
        <v>48.06</v>
      </c>
      <c r="D57" s="64">
        <v>29.5</v>
      </c>
      <c r="E57" s="64">
        <v>11.27</v>
      </c>
      <c r="F57" s="64">
        <v>38.22</v>
      </c>
      <c r="G57" s="64">
        <v>101</v>
      </c>
      <c r="H57" s="64">
        <v>59.2</v>
      </c>
      <c r="I57" s="64">
        <v>0.78</v>
      </c>
      <c r="J57" s="64">
        <v>0.43</v>
      </c>
      <c r="K57" s="64">
        <v>290.97000000000003</v>
      </c>
      <c r="L57" s="64">
        <v>39.03</v>
      </c>
      <c r="M57" s="64">
        <v>14.16</v>
      </c>
      <c r="N57" s="64">
        <v>849.5</v>
      </c>
      <c r="O57" s="64">
        <v>0</v>
      </c>
      <c r="P57" s="64">
        <v>0.97</v>
      </c>
      <c r="Q57" s="64">
        <v>24.34</v>
      </c>
      <c r="R57" s="198"/>
      <c r="S57" s="198"/>
      <c r="T57" s="198"/>
      <c r="U57" s="198"/>
    </row>
    <row r="58" spans="1:21" s="12" customFormat="1" x14ac:dyDescent="0.25">
      <c r="A58" s="211" t="s">
        <v>1543</v>
      </c>
      <c r="B58" s="64">
        <v>1.97</v>
      </c>
      <c r="C58" s="64">
        <v>46.4</v>
      </c>
      <c r="D58" s="64">
        <v>27.83</v>
      </c>
      <c r="E58" s="64">
        <v>8.93</v>
      </c>
      <c r="F58" s="64">
        <v>25.27</v>
      </c>
      <c r="G58" s="64">
        <v>101</v>
      </c>
      <c r="H58" s="64">
        <v>59.2</v>
      </c>
      <c r="I58" s="64">
        <v>0.75</v>
      </c>
      <c r="J58" s="64">
        <v>0.94</v>
      </c>
      <c r="K58" s="64">
        <v>290.23</v>
      </c>
      <c r="L58" s="64">
        <v>40.950000000000003</v>
      </c>
      <c r="M58" s="64">
        <v>11.54</v>
      </c>
      <c r="N58" s="64">
        <v>852.4</v>
      </c>
      <c r="O58" s="64">
        <v>0</v>
      </c>
      <c r="P58" s="64">
        <v>0.99</v>
      </c>
      <c r="Q58" s="64">
        <v>24.61</v>
      </c>
      <c r="R58" s="198"/>
      <c r="S58" s="198"/>
      <c r="T58" s="198"/>
      <c r="U58" s="198"/>
    </row>
    <row r="59" spans="1:21" s="12" customFormat="1" x14ac:dyDescent="0.25">
      <c r="A59" s="211" t="s">
        <v>1544</v>
      </c>
      <c r="B59" s="64">
        <v>3.16</v>
      </c>
      <c r="C59" s="64">
        <v>48.13</v>
      </c>
      <c r="D59" s="64">
        <v>29.74</v>
      </c>
      <c r="E59" s="64">
        <v>10.25</v>
      </c>
      <c r="F59" s="64">
        <v>53.08</v>
      </c>
      <c r="G59" s="64">
        <v>101</v>
      </c>
      <c r="H59" s="64">
        <v>59.2</v>
      </c>
      <c r="I59" s="64">
        <v>0.74</v>
      </c>
      <c r="J59" s="64">
        <v>0.59</v>
      </c>
      <c r="K59" s="64">
        <v>278.08999999999997</v>
      </c>
      <c r="L59" s="64">
        <v>41.38</v>
      </c>
      <c r="M59" s="64">
        <v>11.51</v>
      </c>
      <c r="N59" s="64">
        <v>827.2</v>
      </c>
      <c r="O59" s="64">
        <v>0</v>
      </c>
      <c r="P59" s="64">
        <v>0.88</v>
      </c>
      <c r="Q59" s="64">
        <v>24.78</v>
      </c>
      <c r="R59" s="198"/>
      <c r="S59" s="198"/>
      <c r="T59" s="198"/>
      <c r="U59" s="198"/>
    </row>
    <row r="60" spans="1:21" s="12" customFormat="1" x14ac:dyDescent="0.25">
      <c r="A60" s="211" t="s">
        <v>1545</v>
      </c>
      <c r="B60" s="64">
        <v>1.21</v>
      </c>
      <c r="C60" s="64">
        <v>35.729999999999997</v>
      </c>
      <c r="D60" s="64">
        <v>21.34</v>
      </c>
      <c r="E60" s="64">
        <v>13.23</v>
      </c>
      <c r="F60" s="64">
        <v>46.65</v>
      </c>
      <c r="G60" s="64">
        <v>68</v>
      </c>
      <c r="H60" s="64">
        <v>47.34</v>
      </c>
      <c r="I60" s="64">
        <v>0.78</v>
      </c>
      <c r="J60" s="64">
        <v>0.43</v>
      </c>
      <c r="K60" s="64">
        <v>221.73</v>
      </c>
      <c r="L60" s="64">
        <v>39.19</v>
      </c>
      <c r="M60" s="64">
        <v>11.91</v>
      </c>
      <c r="N60" s="64">
        <v>824.5</v>
      </c>
      <c r="O60" s="64">
        <v>0</v>
      </c>
      <c r="P60" s="64">
        <v>0.78</v>
      </c>
      <c r="Q60" s="64">
        <v>25.43</v>
      </c>
      <c r="R60" s="198"/>
      <c r="S60" s="198"/>
      <c r="T60" s="198"/>
      <c r="U60" s="198"/>
    </row>
    <row r="61" spans="1:21" s="12" customFormat="1" x14ac:dyDescent="0.25">
      <c r="A61" s="211" t="s">
        <v>1546</v>
      </c>
      <c r="B61" s="64">
        <v>1.72</v>
      </c>
      <c r="C61" s="64">
        <v>41.26</v>
      </c>
      <c r="D61" s="64">
        <v>24.79</v>
      </c>
      <c r="E61" s="64">
        <v>7.75</v>
      </c>
      <c r="F61" s="64">
        <v>38.24</v>
      </c>
      <c r="G61" s="64">
        <v>68</v>
      </c>
      <c r="H61" s="64">
        <v>47.34</v>
      </c>
      <c r="I61" s="64">
        <v>0.74</v>
      </c>
      <c r="J61" s="64">
        <v>0.55000000000000004</v>
      </c>
      <c r="K61" s="64">
        <v>262.49</v>
      </c>
      <c r="L61" s="64">
        <v>39.56</v>
      </c>
      <c r="M61" s="64">
        <v>12.64</v>
      </c>
      <c r="N61" s="64">
        <v>790.7</v>
      </c>
      <c r="O61" s="64">
        <v>0</v>
      </c>
      <c r="P61" s="64">
        <v>0.8</v>
      </c>
      <c r="Q61" s="64">
        <v>24.78</v>
      </c>
      <c r="R61" s="198"/>
      <c r="S61" s="198"/>
      <c r="T61" s="198"/>
      <c r="U61" s="198"/>
    </row>
    <row r="62" spans="1:21" s="12" customFormat="1" x14ac:dyDescent="0.25">
      <c r="A62" s="211" t="s">
        <v>1547</v>
      </c>
      <c r="B62" s="64">
        <v>2.19</v>
      </c>
      <c r="C62" s="64">
        <v>43.55</v>
      </c>
      <c r="D62" s="64">
        <v>26.43</v>
      </c>
      <c r="E62" s="64">
        <v>8.9499999999999993</v>
      </c>
      <c r="F62" s="64">
        <v>37.82</v>
      </c>
      <c r="G62" s="64">
        <v>68</v>
      </c>
      <c r="H62" s="64">
        <v>47.34</v>
      </c>
      <c r="I62" s="64">
        <v>0.72</v>
      </c>
      <c r="J62" s="64">
        <v>0.36</v>
      </c>
      <c r="K62" s="64">
        <v>254.53</v>
      </c>
      <c r="L62" s="64">
        <v>39.450000000000003</v>
      </c>
      <c r="M62" s="64">
        <v>11.54</v>
      </c>
      <c r="N62" s="64">
        <v>765.7</v>
      </c>
      <c r="O62" s="64">
        <v>0</v>
      </c>
      <c r="P62" s="64">
        <v>0.85</v>
      </c>
      <c r="Q62" s="64">
        <v>23.74</v>
      </c>
      <c r="R62" s="198"/>
      <c r="S62" s="198"/>
      <c r="T62" s="198"/>
      <c r="U62" s="198"/>
    </row>
    <row r="63" spans="1:21" s="12" customFormat="1" x14ac:dyDescent="0.25">
      <c r="A63" s="211" t="s">
        <v>1548</v>
      </c>
      <c r="B63" s="64">
        <v>1.64</v>
      </c>
      <c r="C63" s="64">
        <v>38.909999999999997</v>
      </c>
      <c r="D63" s="64">
        <v>23.44</v>
      </c>
      <c r="E63" s="64">
        <v>6.11</v>
      </c>
      <c r="F63" s="64">
        <v>26.97</v>
      </c>
      <c r="G63" s="64">
        <v>67.89</v>
      </c>
      <c r="H63" s="64">
        <v>47.34</v>
      </c>
      <c r="I63" s="64">
        <v>0.8</v>
      </c>
      <c r="J63" s="64">
        <v>0.52</v>
      </c>
      <c r="K63" s="64">
        <v>271.89999999999998</v>
      </c>
      <c r="L63" s="64">
        <v>39.92</v>
      </c>
      <c r="M63" s="64">
        <v>11.42</v>
      </c>
      <c r="N63" s="64">
        <v>739.1</v>
      </c>
      <c r="O63" s="64">
        <v>0</v>
      </c>
      <c r="P63" s="64">
        <v>0.85</v>
      </c>
      <c r="Q63" s="64">
        <v>23.33</v>
      </c>
      <c r="R63" s="198"/>
      <c r="S63" s="198"/>
      <c r="T63" s="198"/>
      <c r="U63" s="198"/>
    </row>
    <row r="64" spans="1:21" s="12" customFormat="1" x14ac:dyDescent="0.25">
      <c r="A64" s="211" t="s">
        <v>1549</v>
      </c>
      <c r="B64" s="64">
        <v>2.41</v>
      </c>
      <c r="C64" s="64">
        <v>40.799999999999997</v>
      </c>
      <c r="D64" s="64">
        <v>25.1</v>
      </c>
      <c r="E64" s="64">
        <v>6.42</v>
      </c>
      <c r="F64" s="64">
        <v>24.5</v>
      </c>
      <c r="G64" s="64">
        <v>58.35</v>
      </c>
      <c r="H64" s="64">
        <v>33.409999999999997</v>
      </c>
      <c r="I64" s="64">
        <v>0.8</v>
      </c>
      <c r="J64" s="64">
        <v>0.46</v>
      </c>
      <c r="K64" s="64">
        <v>270.73</v>
      </c>
      <c r="L64" s="64">
        <v>40.21</v>
      </c>
      <c r="M64" s="64">
        <v>10.8</v>
      </c>
      <c r="N64" s="64">
        <v>692.1</v>
      </c>
      <c r="O64" s="64">
        <v>0</v>
      </c>
      <c r="P64" s="64">
        <v>0.87</v>
      </c>
      <c r="Q64" s="64">
        <v>22.88</v>
      </c>
      <c r="R64" s="198"/>
      <c r="S64" s="198"/>
      <c r="T64" s="198"/>
      <c r="U64" s="198"/>
    </row>
    <row r="65" spans="1:21" s="12" customFormat="1" x14ac:dyDescent="0.25">
      <c r="A65" s="211" t="s">
        <v>1550</v>
      </c>
      <c r="B65" s="64">
        <v>1.84</v>
      </c>
      <c r="C65" s="64">
        <v>38.76</v>
      </c>
      <c r="D65" s="64">
        <v>23.51</v>
      </c>
      <c r="E65" s="64">
        <v>7.44</v>
      </c>
      <c r="F65" s="64">
        <v>26.33</v>
      </c>
      <c r="G65" s="64">
        <v>58.35</v>
      </c>
      <c r="H65" s="64">
        <v>33.409999999999997</v>
      </c>
      <c r="I65" s="64">
        <v>0.86</v>
      </c>
      <c r="J65" s="64">
        <v>0.08</v>
      </c>
      <c r="K65" s="64">
        <v>299.25</v>
      </c>
      <c r="L65" s="64">
        <v>39.4</v>
      </c>
      <c r="M65" s="64">
        <v>11</v>
      </c>
      <c r="N65" s="64">
        <v>667.6</v>
      </c>
      <c r="O65" s="64">
        <v>0</v>
      </c>
      <c r="P65" s="64">
        <v>0.8</v>
      </c>
      <c r="Q65" s="64">
        <v>22.85</v>
      </c>
      <c r="R65" s="198"/>
      <c r="S65" s="198"/>
      <c r="T65" s="198"/>
      <c r="U65" s="198"/>
    </row>
    <row r="66" spans="1:21" s="12" customFormat="1" x14ac:dyDescent="0.25">
      <c r="A66" s="211" t="s">
        <v>1551</v>
      </c>
      <c r="B66" s="64">
        <v>1.95</v>
      </c>
      <c r="C66" s="64">
        <v>41.59</v>
      </c>
      <c r="D66" s="64">
        <v>25.16</v>
      </c>
      <c r="E66" s="64">
        <v>6.23</v>
      </c>
      <c r="F66" s="64">
        <v>16.309999999999999</v>
      </c>
      <c r="G66" s="64">
        <v>58.35</v>
      </c>
      <c r="H66" s="64">
        <v>33.409999999999997</v>
      </c>
      <c r="I66" s="64">
        <v>0.87</v>
      </c>
      <c r="J66" s="64">
        <v>0.45</v>
      </c>
      <c r="K66" s="64">
        <v>270.58999999999997</v>
      </c>
      <c r="L66" s="64">
        <v>39.49</v>
      </c>
      <c r="M66" s="64">
        <v>10.92</v>
      </c>
      <c r="N66" s="64">
        <v>588.29999999999995</v>
      </c>
      <c r="O66" s="64">
        <v>0</v>
      </c>
      <c r="P66" s="64">
        <v>0.8</v>
      </c>
      <c r="Q66" s="64">
        <v>22.95</v>
      </c>
      <c r="R66" s="198"/>
      <c r="S66" s="198"/>
      <c r="T66" s="198"/>
      <c r="U66" s="198"/>
    </row>
    <row r="67" spans="1:21" s="12" customFormat="1" x14ac:dyDescent="0.25">
      <c r="A67" s="211" t="s">
        <v>1552</v>
      </c>
      <c r="B67" s="64">
        <v>1.35</v>
      </c>
      <c r="C67" s="64">
        <v>41.14</v>
      </c>
      <c r="D67" s="64">
        <v>24.43</v>
      </c>
      <c r="E67" s="64">
        <v>5.68</v>
      </c>
      <c r="F67" s="64">
        <v>12.45</v>
      </c>
      <c r="G67" s="64">
        <v>58.3</v>
      </c>
      <c r="H67" s="64">
        <v>33.409999999999997</v>
      </c>
      <c r="I67" s="64">
        <v>0.82</v>
      </c>
      <c r="J67" s="64">
        <v>0.14000000000000001</v>
      </c>
      <c r="K67" s="64">
        <v>282.2</v>
      </c>
      <c r="L67" s="64">
        <v>38.340000000000003</v>
      </c>
      <c r="M67" s="64">
        <v>10.81</v>
      </c>
      <c r="N67" s="64">
        <v>535.1</v>
      </c>
      <c r="O67" s="64">
        <v>0</v>
      </c>
      <c r="P67" s="64">
        <v>0.79</v>
      </c>
      <c r="Q67" s="64">
        <v>22.89</v>
      </c>
      <c r="R67" s="198"/>
      <c r="S67" s="198"/>
      <c r="T67" s="198"/>
      <c r="U67" s="198"/>
    </row>
    <row r="68" spans="1:21" s="12" customFormat="1" x14ac:dyDescent="0.25">
      <c r="A68" s="211" t="s">
        <v>1553</v>
      </c>
      <c r="B68" s="64">
        <v>1.1399999999999999</v>
      </c>
      <c r="C68" s="64">
        <v>40.21</v>
      </c>
      <c r="D68" s="64">
        <v>23.75</v>
      </c>
      <c r="E68" s="64">
        <v>5.45</v>
      </c>
      <c r="F68" s="64">
        <v>17.690000000000001</v>
      </c>
      <c r="G68" s="64">
        <v>53.81</v>
      </c>
      <c r="H68" s="64">
        <v>31.24</v>
      </c>
      <c r="I68" s="64">
        <v>0.82</v>
      </c>
      <c r="J68" s="64">
        <v>7.0000000000000007E-2</v>
      </c>
      <c r="K68" s="64">
        <v>278.94</v>
      </c>
      <c r="L68" s="64">
        <v>38.44</v>
      </c>
      <c r="M68" s="64">
        <v>11.69</v>
      </c>
      <c r="N68" s="64">
        <v>424.3</v>
      </c>
      <c r="O68" s="64">
        <v>0</v>
      </c>
      <c r="P68" s="64">
        <v>0.73</v>
      </c>
      <c r="Q68" s="64">
        <v>22.67</v>
      </c>
      <c r="R68" s="198"/>
      <c r="S68" s="198"/>
      <c r="T68" s="198"/>
      <c r="U68" s="198"/>
    </row>
    <row r="69" spans="1:21" s="12" customFormat="1" x14ac:dyDescent="0.25">
      <c r="A69" s="211" t="s">
        <v>1554</v>
      </c>
      <c r="B69" s="64">
        <v>1.43</v>
      </c>
      <c r="C69" s="64">
        <v>41.16</v>
      </c>
      <c r="D69" s="64">
        <v>24.51</v>
      </c>
      <c r="E69" s="64">
        <v>5.61</v>
      </c>
      <c r="F69" s="64">
        <v>25.73</v>
      </c>
      <c r="G69" s="64">
        <v>53.81</v>
      </c>
      <c r="H69" s="64">
        <v>31.24</v>
      </c>
      <c r="I69" s="64">
        <v>0.79</v>
      </c>
      <c r="J69" s="64">
        <v>0.65</v>
      </c>
      <c r="K69" s="64">
        <v>271.31</v>
      </c>
      <c r="L69" s="64">
        <v>38.19</v>
      </c>
      <c r="M69" s="64">
        <v>12.6</v>
      </c>
      <c r="N69" s="64">
        <v>175.8</v>
      </c>
      <c r="O69" s="64">
        <v>0</v>
      </c>
      <c r="P69" s="64">
        <v>0.72</v>
      </c>
      <c r="Q69" s="64">
        <v>22.59</v>
      </c>
      <c r="R69" s="198"/>
      <c r="S69" s="198"/>
      <c r="T69" s="198"/>
      <c r="U69" s="198"/>
    </row>
    <row r="70" spans="1:21" s="12" customFormat="1" x14ac:dyDescent="0.25">
      <c r="A70" s="211" t="s">
        <v>1555</v>
      </c>
      <c r="B70" s="64">
        <v>1.48</v>
      </c>
      <c r="C70" s="64">
        <v>37.53</v>
      </c>
      <c r="D70" s="64">
        <v>22.54</v>
      </c>
      <c r="E70" s="64">
        <v>7.02</v>
      </c>
      <c r="F70" s="64">
        <v>25.5</v>
      </c>
      <c r="G70" s="64">
        <v>53.81</v>
      </c>
      <c r="H70" s="64">
        <v>31.24</v>
      </c>
      <c r="I70" s="64">
        <v>0.75</v>
      </c>
      <c r="J70" s="64">
        <v>0.35</v>
      </c>
      <c r="K70" s="64">
        <v>274.48</v>
      </c>
      <c r="L70" s="64">
        <v>37.5</v>
      </c>
      <c r="M70" s="64">
        <v>13.85</v>
      </c>
      <c r="N70" s="64">
        <v>180.9</v>
      </c>
      <c r="O70" s="64">
        <v>0</v>
      </c>
      <c r="P70" s="64">
        <v>0.69</v>
      </c>
      <c r="Q70" s="64">
        <v>22.76</v>
      </c>
      <c r="R70" s="198"/>
      <c r="S70" s="198"/>
      <c r="T70" s="198"/>
      <c r="U70" s="198"/>
    </row>
    <row r="71" spans="1:21" s="12" customFormat="1" x14ac:dyDescent="0.25">
      <c r="A71" s="211" t="s">
        <v>1556</v>
      </c>
      <c r="B71" s="64">
        <v>1.5</v>
      </c>
      <c r="C71" s="64">
        <v>38.71</v>
      </c>
      <c r="D71" s="64">
        <v>23.21</v>
      </c>
      <c r="E71" s="64">
        <v>5.19</v>
      </c>
      <c r="F71" s="64">
        <v>25.23</v>
      </c>
      <c r="G71" s="64">
        <v>53.81</v>
      </c>
      <c r="H71" s="64">
        <v>31.24</v>
      </c>
      <c r="I71" s="64">
        <v>0.73</v>
      </c>
      <c r="J71" s="64">
        <v>0.69</v>
      </c>
      <c r="K71" s="64">
        <v>274.74</v>
      </c>
      <c r="L71" s="64">
        <v>37.75</v>
      </c>
      <c r="M71" s="64">
        <v>12.85</v>
      </c>
      <c r="N71" s="64">
        <v>319</v>
      </c>
      <c r="O71" s="64">
        <v>0</v>
      </c>
      <c r="P71" s="64">
        <v>0.7</v>
      </c>
      <c r="Q71" s="64">
        <v>22.9</v>
      </c>
      <c r="R71" s="198"/>
      <c r="S71" s="198"/>
      <c r="T71" s="198"/>
      <c r="U71" s="198"/>
    </row>
    <row r="72" spans="1:21" s="12" customFormat="1" x14ac:dyDescent="0.25">
      <c r="A72" s="211" t="s">
        <v>1557</v>
      </c>
      <c r="B72" s="64">
        <v>2.75</v>
      </c>
      <c r="C72" s="64">
        <v>41.74</v>
      </c>
      <c r="D72" s="64">
        <v>25.89</v>
      </c>
      <c r="E72" s="64">
        <v>7.12</v>
      </c>
      <c r="F72" s="64">
        <v>58.65</v>
      </c>
      <c r="G72" s="64">
        <v>35.200000000000003</v>
      </c>
      <c r="H72" s="64">
        <v>28.74</v>
      </c>
      <c r="I72" s="64">
        <v>0.7</v>
      </c>
      <c r="J72" s="64">
        <v>0.28999999999999998</v>
      </c>
      <c r="K72" s="64">
        <v>268.33999999999997</v>
      </c>
      <c r="L72" s="64">
        <v>37.81</v>
      </c>
      <c r="M72" s="64">
        <v>12.51</v>
      </c>
      <c r="N72" s="64">
        <v>161.6</v>
      </c>
      <c r="O72" s="64">
        <v>0</v>
      </c>
      <c r="P72" s="64">
        <v>0.7</v>
      </c>
      <c r="Q72" s="64">
        <v>22.4</v>
      </c>
      <c r="R72" s="198"/>
      <c r="S72" s="198"/>
      <c r="T72" s="198"/>
      <c r="U72" s="198"/>
    </row>
    <row r="73" spans="1:21" s="12" customFormat="1" x14ac:dyDescent="0.25">
      <c r="A73" s="211" t="s">
        <v>1558</v>
      </c>
      <c r="B73" s="64">
        <v>1.34</v>
      </c>
      <c r="C73" s="64">
        <v>35.06</v>
      </c>
      <c r="D73" s="64">
        <v>21.07</v>
      </c>
      <c r="E73" s="64">
        <v>11.53</v>
      </c>
      <c r="F73" s="64">
        <v>67.12</v>
      </c>
      <c r="G73" s="64">
        <v>35.200000000000003</v>
      </c>
      <c r="H73" s="64">
        <v>28.74</v>
      </c>
      <c r="I73" s="64">
        <v>0.7</v>
      </c>
      <c r="J73" s="64">
        <v>0.12</v>
      </c>
      <c r="K73" s="64">
        <v>239.74</v>
      </c>
      <c r="L73" s="64">
        <v>37.340000000000003</v>
      </c>
      <c r="M73" s="64">
        <v>12.24</v>
      </c>
      <c r="N73" s="64">
        <v>113.9</v>
      </c>
      <c r="O73" s="64">
        <v>0</v>
      </c>
      <c r="P73" s="64">
        <v>0.59</v>
      </c>
      <c r="Q73" s="64">
        <v>22.38</v>
      </c>
      <c r="R73" s="198"/>
      <c r="S73" s="198"/>
      <c r="T73" s="198"/>
      <c r="U73" s="198"/>
    </row>
    <row r="74" spans="1:21" s="12" customFormat="1" x14ac:dyDescent="0.25">
      <c r="A74" s="211" t="s">
        <v>1559</v>
      </c>
      <c r="B74" s="64">
        <v>1.22</v>
      </c>
      <c r="C74" s="64">
        <v>33.14</v>
      </c>
      <c r="D74" s="64">
        <v>19.91</v>
      </c>
      <c r="E74" s="64">
        <v>8.86</v>
      </c>
      <c r="F74" s="64">
        <v>38.96</v>
      </c>
      <c r="G74" s="64">
        <v>35.200000000000003</v>
      </c>
      <c r="H74" s="64">
        <v>28.74</v>
      </c>
      <c r="I74" s="64">
        <v>0.65</v>
      </c>
      <c r="J74" s="64">
        <v>0.05</v>
      </c>
      <c r="K74" s="64">
        <v>318.57</v>
      </c>
      <c r="L74" s="64">
        <v>37.090000000000003</v>
      </c>
      <c r="M74" s="64">
        <v>12.19</v>
      </c>
      <c r="N74" s="64">
        <v>100.5</v>
      </c>
      <c r="O74" s="64">
        <v>0</v>
      </c>
      <c r="P74" s="64">
        <v>0.63</v>
      </c>
      <c r="Q74" s="64">
        <v>21.78</v>
      </c>
      <c r="R74" s="198"/>
      <c r="S74" s="198"/>
      <c r="T74" s="198"/>
      <c r="U74" s="198"/>
    </row>
    <row r="75" spans="1:21" s="12" customFormat="1" x14ac:dyDescent="0.25">
      <c r="A75" s="211" t="s">
        <v>1560</v>
      </c>
      <c r="B75" s="64">
        <v>1.51</v>
      </c>
      <c r="C75" s="64">
        <v>48.17</v>
      </c>
      <c r="D75" s="64">
        <v>28.44</v>
      </c>
      <c r="E75" s="64">
        <v>11.44</v>
      </c>
      <c r="F75" s="64">
        <v>46.47</v>
      </c>
      <c r="G75" s="64">
        <v>35.200000000000003</v>
      </c>
      <c r="H75" s="64">
        <v>28.74</v>
      </c>
      <c r="I75" s="64">
        <v>0.63</v>
      </c>
      <c r="J75" s="64">
        <v>7.0000000000000007E-2</v>
      </c>
      <c r="K75" s="64">
        <v>283.64999999999998</v>
      </c>
      <c r="L75" s="64">
        <v>37.020000000000003</v>
      </c>
      <c r="M75" s="64">
        <v>12.32</v>
      </c>
      <c r="N75" s="64">
        <v>89.4</v>
      </c>
      <c r="O75" s="64">
        <v>0</v>
      </c>
      <c r="P75" s="64">
        <v>0.69</v>
      </c>
      <c r="Q75" s="64">
        <v>20.61</v>
      </c>
      <c r="R75" s="198"/>
      <c r="S75" s="198"/>
      <c r="T75" s="198"/>
      <c r="U75" s="198"/>
    </row>
    <row r="76" spans="1:21" s="12" customFormat="1" x14ac:dyDescent="0.25">
      <c r="A76" s="211" t="s">
        <v>1561</v>
      </c>
      <c r="B76" s="64">
        <v>1.32</v>
      </c>
      <c r="C76" s="64">
        <v>41.69</v>
      </c>
      <c r="D76" s="64">
        <v>24.71</v>
      </c>
      <c r="E76" s="64">
        <v>9.68</v>
      </c>
      <c r="F76" s="64">
        <v>17.809999999999999</v>
      </c>
      <c r="G76" s="64">
        <v>45.44</v>
      </c>
      <c r="H76" s="64">
        <v>27.45</v>
      </c>
      <c r="I76" s="64">
        <v>0.67</v>
      </c>
      <c r="J76" s="64">
        <v>0.05</v>
      </c>
      <c r="K76" s="64">
        <v>75.97</v>
      </c>
      <c r="L76" s="64">
        <v>36.76</v>
      </c>
      <c r="M76" s="64">
        <v>13.37</v>
      </c>
      <c r="N76" s="64">
        <v>80.2</v>
      </c>
      <c r="O76" s="64">
        <v>0</v>
      </c>
      <c r="P76" s="64">
        <v>0.74</v>
      </c>
      <c r="Q76" s="64">
        <v>20.399999999999999</v>
      </c>
      <c r="R76" s="198"/>
      <c r="S76" s="198"/>
      <c r="T76" s="198"/>
      <c r="U76" s="198"/>
    </row>
    <row r="77" spans="1:21" s="12" customFormat="1" x14ac:dyDescent="0.25">
      <c r="A77" s="211" t="s">
        <v>1562</v>
      </c>
      <c r="B77" s="64">
        <v>1.76</v>
      </c>
      <c r="C77" s="64">
        <v>53.09</v>
      </c>
      <c r="D77" s="64">
        <v>31.35</v>
      </c>
      <c r="E77" s="64">
        <v>9.7100000000000009</v>
      </c>
      <c r="F77" s="64">
        <v>25.83</v>
      </c>
      <c r="G77" s="64">
        <v>45.44</v>
      </c>
      <c r="H77" s="64">
        <v>27.45</v>
      </c>
      <c r="I77" s="64">
        <v>0.64</v>
      </c>
      <c r="J77" s="64">
        <v>0.04</v>
      </c>
      <c r="K77" s="64">
        <v>34.840000000000003</v>
      </c>
      <c r="L77" s="64">
        <v>36.53</v>
      </c>
      <c r="M77" s="64">
        <v>14.02</v>
      </c>
      <c r="N77" s="64">
        <v>70.3</v>
      </c>
      <c r="O77" s="64">
        <v>0</v>
      </c>
      <c r="P77" s="64">
        <v>0.84</v>
      </c>
      <c r="Q77" s="64">
        <v>20.41</v>
      </c>
      <c r="R77" s="198"/>
      <c r="S77" s="198"/>
      <c r="T77" s="198"/>
      <c r="U77" s="198"/>
    </row>
    <row r="78" spans="1:21" s="12" customFormat="1" x14ac:dyDescent="0.25">
      <c r="A78" s="211" t="s">
        <v>1563</v>
      </c>
      <c r="B78" s="64">
        <v>1.93</v>
      </c>
      <c r="C78" s="64">
        <v>57.31</v>
      </c>
      <c r="D78" s="64">
        <v>33.83</v>
      </c>
      <c r="E78" s="64">
        <v>11.48</v>
      </c>
      <c r="F78" s="64">
        <v>34.950000000000003</v>
      </c>
      <c r="G78" s="64">
        <v>45.44</v>
      </c>
      <c r="H78" s="64">
        <v>27.45</v>
      </c>
      <c r="I78" s="64">
        <v>0.72</v>
      </c>
      <c r="J78" s="64">
        <v>0.1</v>
      </c>
      <c r="K78" s="64">
        <v>255.28</v>
      </c>
      <c r="L78" s="64">
        <v>36.11</v>
      </c>
      <c r="M78" s="64">
        <v>14.79</v>
      </c>
      <c r="N78" s="64">
        <v>60</v>
      </c>
      <c r="O78" s="64">
        <v>0</v>
      </c>
      <c r="P78" s="64">
        <v>0.9</v>
      </c>
      <c r="Q78" s="64">
        <v>20.77</v>
      </c>
      <c r="R78" s="198"/>
      <c r="S78" s="198"/>
      <c r="T78" s="198"/>
      <c r="U78" s="198"/>
    </row>
    <row r="79" spans="1:21" s="12" customFormat="1" x14ac:dyDescent="0.25">
      <c r="A79" s="211" t="s">
        <v>1564</v>
      </c>
      <c r="B79" s="64">
        <v>6.33</v>
      </c>
      <c r="C79" s="64">
        <v>71.39</v>
      </c>
      <c r="D79" s="64">
        <v>45.12</v>
      </c>
      <c r="E79" s="64">
        <v>11.26</v>
      </c>
      <c r="F79" s="64">
        <v>32.22</v>
      </c>
      <c r="G79" s="64">
        <v>45.44</v>
      </c>
      <c r="H79" s="64">
        <v>27.45</v>
      </c>
      <c r="I79" s="64">
        <v>0.71</v>
      </c>
      <c r="J79" s="64">
        <v>0.01</v>
      </c>
      <c r="K79" s="64">
        <v>1</v>
      </c>
      <c r="L79" s="64">
        <v>35.68</v>
      </c>
      <c r="M79" s="64">
        <v>15.46</v>
      </c>
      <c r="N79" s="64">
        <v>44.5</v>
      </c>
      <c r="O79" s="64">
        <v>0</v>
      </c>
      <c r="P79" s="64">
        <v>0.95</v>
      </c>
      <c r="Q79" s="64">
        <v>19.149999999999999</v>
      </c>
      <c r="R79" s="198"/>
      <c r="S79" s="198"/>
      <c r="T79" s="198"/>
      <c r="U79" s="198"/>
    </row>
    <row r="80" spans="1:21" s="12" customFormat="1" x14ac:dyDescent="0.25">
      <c r="A80" s="211" t="s">
        <v>1565</v>
      </c>
      <c r="B80" s="64">
        <v>1.72</v>
      </c>
      <c r="C80" s="64">
        <v>62.71</v>
      </c>
      <c r="D80" s="64">
        <v>36.630000000000003</v>
      </c>
      <c r="E80" s="64">
        <v>12.78</v>
      </c>
      <c r="F80" s="64">
        <v>50.5</v>
      </c>
      <c r="G80" s="64">
        <v>63.23</v>
      </c>
      <c r="H80" s="64">
        <v>28.83</v>
      </c>
      <c r="I80" s="64">
        <v>0.67</v>
      </c>
      <c r="J80" s="64">
        <v>0.12</v>
      </c>
      <c r="K80" s="64">
        <v>256.17</v>
      </c>
      <c r="L80" s="64">
        <v>35.159999999999997</v>
      </c>
      <c r="M80" s="64">
        <v>15.67</v>
      </c>
      <c r="N80" s="64">
        <v>31.6</v>
      </c>
      <c r="O80" s="64">
        <v>0</v>
      </c>
      <c r="P80" s="64">
        <v>0.93</v>
      </c>
      <c r="Q80" s="64">
        <v>20.350000000000001</v>
      </c>
      <c r="R80" s="198"/>
      <c r="S80" s="198"/>
      <c r="T80" s="198"/>
      <c r="U80" s="198"/>
    </row>
    <row r="81" spans="1:26" s="12" customFormat="1" x14ac:dyDescent="0.25">
      <c r="A81" s="211" t="s">
        <v>1566</v>
      </c>
      <c r="B81" s="64">
        <v>1.28</v>
      </c>
      <c r="C81" s="64">
        <v>74.16</v>
      </c>
      <c r="D81" s="64">
        <v>42.6</v>
      </c>
      <c r="E81" s="64">
        <v>13.17</v>
      </c>
      <c r="F81" s="64">
        <v>40.630000000000003</v>
      </c>
      <c r="G81" s="64">
        <v>63.23</v>
      </c>
      <c r="H81" s="64">
        <v>28.83</v>
      </c>
      <c r="I81" s="64">
        <v>0.68</v>
      </c>
      <c r="J81" s="64">
        <v>0.17</v>
      </c>
      <c r="K81" s="64">
        <v>224.16</v>
      </c>
      <c r="L81" s="64">
        <v>34.33</v>
      </c>
      <c r="M81" s="64">
        <v>18.399999999999999</v>
      </c>
      <c r="N81" s="64">
        <v>20</v>
      </c>
      <c r="O81" s="64">
        <v>0</v>
      </c>
      <c r="P81" s="64">
        <v>0.9</v>
      </c>
      <c r="Q81" s="64">
        <v>21.06</v>
      </c>
      <c r="R81" s="198"/>
      <c r="S81" s="198"/>
      <c r="T81" s="198"/>
      <c r="U81" s="198"/>
    </row>
    <row r="82" spans="1:26" s="12" customFormat="1" x14ac:dyDescent="0.25">
      <c r="A82" s="211" t="s">
        <v>1567</v>
      </c>
      <c r="B82" s="64">
        <v>2.27</v>
      </c>
      <c r="C82" s="64">
        <v>73.27</v>
      </c>
      <c r="D82" s="64">
        <v>42.9</v>
      </c>
      <c r="E82" s="64">
        <v>12.84</v>
      </c>
      <c r="F82" s="64">
        <v>35</v>
      </c>
      <c r="G82" s="64">
        <v>63.23</v>
      </c>
      <c r="H82" s="64">
        <v>28.83</v>
      </c>
      <c r="I82" s="64">
        <v>0.7</v>
      </c>
      <c r="J82" s="64">
        <v>0.35</v>
      </c>
      <c r="K82" s="64">
        <v>200.18</v>
      </c>
      <c r="L82" s="64">
        <v>33.549999999999997</v>
      </c>
      <c r="M82" s="64">
        <v>21.82</v>
      </c>
      <c r="N82" s="64">
        <v>11.1</v>
      </c>
      <c r="O82" s="64">
        <v>0</v>
      </c>
      <c r="P82" s="64">
        <v>1.02</v>
      </c>
      <c r="Q82" s="64">
        <v>21.33</v>
      </c>
      <c r="R82" s="198"/>
      <c r="S82" s="198"/>
      <c r="T82" s="198"/>
      <c r="U82" s="198"/>
    </row>
    <row r="83" spans="1:26" s="12" customFormat="1" x14ac:dyDescent="0.25">
      <c r="A83" s="211" t="s">
        <v>1568</v>
      </c>
      <c r="B83" s="64">
        <v>1.3</v>
      </c>
      <c r="C83" s="64">
        <v>90.73</v>
      </c>
      <c r="D83" s="64">
        <v>51.76</v>
      </c>
      <c r="E83" s="64">
        <v>14.57</v>
      </c>
      <c r="F83" s="64">
        <v>44.16</v>
      </c>
      <c r="G83" s="64">
        <v>63.23</v>
      </c>
      <c r="H83" s="64">
        <v>28.83</v>
      </c>
      <c r="I83" s="64">
        <v>0.71</v>
      </c>
      <c r="J83" s="64">
        <v>0.13</v>
      </c>
      <c r="K83" s="64">
        <v>267.64</v>
      </c>
      <c r="L83" s="64">
        <v>32.5</v>
      </c>
      <c r="M83" s="64">
        <v>22.6</v>
      </c>
      <c r="N83" s="64">
        <v>7.8</v>
      </c>
      <c r="O83" s="64">
        <v>0</v>
      </c>
      <c r="P83" s="64">
        <v>1.08</v>
      </c>
      <c r="Q83" s="64">
        <v>21.11</v>
      </c>
      <c r="R83" s="198"/>
      <c r="S83" s="198"/>
      <c r="T83" s="198"/>
      <c r="U83" s="198"/>
    </row>
    <row r="84" spans="1:26" s="12" customFormat="1" x14ac:dyDescent="0.25">
      <c r="A84" s="211" t="s">
        <v>1569</v>
      </c>
      <c r="B84" s="64">
        <v>3.87</v>
      </c>
      <c r="C84" s="64">
        <v>110.82</v>
      </c>
      <c r="D84" s="64">
        <v>64.900000000000006</v>
      </c>
      <c r="E84" s="64">
        <v>15.72</v>
      </c>
      <c r="F84" s="64">
        <v>28.66</v>
      </c>
      <c r="G84" s="64">
        <v>78.8</v>
      </c>
      <c r="H84" s="64">
        <v>31.15</v>
      </c>
      <c r="I84" s="64">
        <v>0.69</v>
      </c>
      <c r="J84" s="64">
        <v>0.12</v>
      </c>
      <c r="K84" s="64">
        <v>257.2</v>
      </c>
      <c r="L84" s="64">
        <v>32.07</v>
      </c>
      <c r="M84" s="64">
        <v>23.53</v>
      </c>
      <c r="N84" s="64">
        <v>6.5</v>
      </c>
      <c r="O84" s="64">
        <v>0</v>
      </c>
      <c r="P84" s="64">
        <v>1.03</v>
      </c>
      <c r="Q84" s="64">
        <v>19.93</v>
      </c>
      <c r="R84" s="198"/>
      <c r="S84" s="198"/>
      <c r="T84" s="198"/>
      <c r="U84" s="198"/>
    </row>
    <row r="85" spans="1:26" s="12" customFormat="1" x14ac:dyDescent="0.25">
      <c r="A85" s="211" t="s">
        <v>1570</v>
      </c>
      <c r="B85" s="64">
        <v>21.87</v>
      </c>
      <c r="C85" s="64">
        <v>125.11</v>
      </c>
      <c r="D85" s="64">
        <v>87.23</v>
      </c>
      <c r="E85" s="64">
        <v>15.38</v>
      </c>
      <c r="F85" s="64">
        <v>14.95</v>
      </c>
      <c r="G85" s="64">
        <v>78.8</v>
      </c>
      <c r="H85" s="64">
        <v>31.15</v>
      </c>
      <c r="I85" s="64">
        <v>0.78</v>
      </c>
      <c r="J85" s="64">
        <v>0.11</v>
      </c>
      <c r="K85" s="64">
        <v>250.98</v>
      </c>
      <c r="L85" s="64">
        <v>31.51</v>
      </c>
      <c r="M85" s="64">
        <v>26.12</v>
      </c>
      <c r="N85" s="64">
        <v>6.7</v>
      </c>
      <c r="O85" s="64">
        <v>0</v>
      </c>
      <c r="P85" s="64">
        <v>1.88</v>
      </c>
      <c r="Q85" s="64">
        <v>16.329999999999998</v>
      </c>
      <c r="R85" s="198"/>
      <c r="S85" s="198"/>
      <c r="T85" s="198"/>
      <c r="U85" s="198"/>
    </row>
    <row r="86" spans="1:26" s="12" customFormat="1" x14ac:dyDescent="0.25">
      <c r="A86" s="211" t="s">
        <v>1571</v>
      </c>
      <c r="B86" s="64">
        <v>78.5</v>
      </c>
      <c r="C86" s="64">
        <v>132.03</v>
      </c>
      <c r="D86" s="64">
        <v>136.46</v>
      </c>
      <c r="E86" s="64">
        <v>14.13</v>
      </c>
      <c r="F86" s="64">
        <v>6.48</v>
      </c>
      <c r="G86" s="64">
        <v>78.8</v>
      </c>
      <c r="H86" s="64">
        <v>31.15</v>
      </c>
      <c r="I86" s="64">
        <v>0.73</v>
      </c>
      <c r="J86" s="64">
        <v>0.17</v>
      </c>
      <c r="K86" s="64">
        <v>280.13</v>
      </c>
      <c r="L86" s="64">
        <v>30.75</v>
      </c>
      <c r="M86" s="64">
        <v>30.48</v>
      </c>
      <c r="N86" s="64">
        <v>6.6</v>
      </c>
      <c r="O86" s="64">
        <v>0</v>
      </c>
      <c r="P86" s="64">
        <v>3.34</v>
      </c>
      <c r="Q86" s="64">
        <v>10.78</v>
      </c>
      <c r="R86" s="198"/>
      <c r="S86" s="198"/>
      <c r="T86" s="198"/>
      <c r="U86" s="198"/>
    </row>
    <row r="87" spans="1:26" s="12" customFormat="1" x14ac:dyDescent="0.25">
      <c r="A87" s="211" t="s">
        <v>1572</v>
      </c>
      <c r="B87" s="64">
        <v>24.27</v>
      </c>
      <c r="C87" s="64">
        <v>98.24</v>
      </c>
      <c r="D87" s="64">
        <v>74.319999999999993</v>
      </c>
      <c r="E87" s="64">
        <v>15.11</v>
      </c>
      <c r="F87" s="64">
        <v>23.23</v>
      </c>
      <c r="G87" s="64">
        <v>78.8</v>
      </c>
      <c r="H87" s="64">
        <v>31.15</v>
      </c>
      <c r="I87" s="64">
        <v>0.84</v>
      </c>
      <c r="J87" s="64">
        <v>0.09</v>
      </c>
      <c r="K87" s="64">
        <v>241.31</v>
      </c>
      <c r="L87" s="64">
        <v>30.58</v>
      </c>
      <c r="M87" s="64">
        <v>28.7</v>
      </c>
      <c r="N87" s="64">
        <v>6.3</v>
      </c>
      <c r="O87" s="64">
        <v>0</v>
      </c>
      <c r="P87" s="64">
        <v>2.02</v>
      </c>
      <c r="Q87" s="64">
        <v>17.48</v>
      </c>
      <c r="R87" s="198"/>
      <c r="S87" s="198"/>
      <c r="T87" s="198"/>
      <c r="U87" s="198"/>
    </row>
    <row r="88" spans="1:26" s="12" customFormat="1" x14ac:dyDescent="0.25">
      <c r="A88" s="211" t="s">
        <v>1573</v>
      </c>
      <c r="B88" s="64">
        <v>21.64</v>
      </c>
      <c r="C88" s="64">
        <v>95.81</v>
      </c>
      <c r="D88" s="64">
        <v>70.88</v>
      </c>
      <c r="E88" s="64">
        <v>7.81</v>
      </c>
      <c r="F88" s="64">
        <v>12.34</v>
      </c>
      <c r="G88" s="64">
        <v>106.04</v>
      </c>
      <c r="H88" s="64">
        <v>36.479999999999997</v>
      </c>
      <c r="I88" s="64">
        <v>1.08</v>
      </c>
      <c r="J88" s="64">
        <v>0.18</v>
      </c>
      <c r="K88" s="64">
        <v>277.69</v>
      </c>
      <c r="L88" s="64">
        <v>30.26</v>
      </c>
      <c r="M88" s="64">
        <v>29.89</v>
      </c>
      <c r="N88" s="64">
        <v>6.3</v>
      </c>
      <c r="O88" s="64">
        <v>0</v>
      </c>
      <c r="P88" s="64">
        <v>2.15</v>
      </c>
      <c r="Q88" s="64">
        <v>19.95</v>
      </c>
      <c r="R88" s="198"/>
      <c r="S88" s="198"/>
      <c r="T88" s="198"/>
      <c r="U88" s="198"/>
    </row>
    <row r="89" spans="1:26" s="12" customFormat="1" x14ac:dyDescent="0.25">
      <c r="A89" s="211" t="s">
        <v>1574</v>
      </c>
      <c r="B89" s="64">
        <v>38.76</v>
      </c>
      <c r="C89" s="64">
        <v>110.28</v>
      </c>
      <c r="D89" s="64">
        <v>92.59</v>
      </c>
      <c r="E89" s="64">
        <v>10.41</v>
      </c>
      <c r="F89" s="64">
        <v>5.89</v>
      </c>
      <c r="G89" s="64">
        <v>106.04</v>
      </c>
      <c r="H89" s="64">
        <v>36.479999999999997</v>
      </c>
      <c r="I89" s="64">
        <v>0.96</v>
      </c>
      <c r="J89" s="64">
        <v>0.08</v>
      </c>
      <c r="K89" s="64">
        <v>286.64999999999998</v>
      </c>
      <c r="L89" s="64">
        <v>29.69</v>
      </c>
      <c r="M89" s="64">
        <v>31.8</v>
      </c>
      <c r="N89" s="64">
        <v>6.5</v>
      </c>
      <c r="O89" s="64">
        <v>0</v>
      </c>
      <c r="P89" s="64">
        <v>2.56</v>
      </c>
      <c r="Q89" s="64">
        <v>19.41</v>
      </c>
      <c r="R89" s="198"/>
      <c r="S89" s="198"/>
      <c r="T89" s="198"/>
      <c r="U89" s="198"/>
    </row>
    <row r="90" spans="1:26" s="12" customFormat="1" x14ac:dyDescent="0.25">
      <c r="A90" s="211" t="s">
        <v>1575</v>
      </c>
      <c r="B90" s="64">
        <v>46.4</v>
      </c>
      <c r="C90" s="64">
        <v>110.05</v>
      </c>
      <c r="D90" s="64">
        <v>98.59</v>
      </c>
      <c r="E90" s="64">
        <v>10.09</v>
      </c>
      <c r="F90" s="64">
        <v>5.0999999999999996</v>
      </c>
      <c r="G90" s="64">
        <v>106.04</v>
      </c>
      <c r="H90" s="64">
        <v>36.479999999999997</v>
      </c>
      <c r="I90" s="64">
        <v>1</v>
      </c>
      <c r="J90" s="64">
        <v>0.03</v>
      </c>
      <c r="K90" s="64">
        <v>90.25</v>
      </c>
      <c r="L90" s="64">
        <v>29.4</v>
      </c>
      <c r="M90" s="64">
        <v>31.96</v>
      </c>
      <c r="N90" s="64">
        <v>6.7</v>
      </c>
      <c r="O90" s="64">
        <v>0</v>
      </c>
      <c r="P90" s="64">
        <v>2.54</v>
      </c>
      <c r="Q90" s="64">
        <v>18.079999999999998</v>
      </c>
      <c r="R90" s="198"/>
      <c r="S90" s="198"/>
      <c r="T90" s="198"/>
      <c r="U90" s="198"/>
    </row>
    <row r="91" spans="1:26" s="12" customFormat="1" x14ac:dyDescent="0.25">
      <c r="A91" s="211" t="s">
        <v>1576</v>
      </c>
      <c r="B91" s="64">
        <v>88.17</v>
      </c>
      <c r="C91" s="64">
        <v>122.32</v>
      </c>
      <c r="D91" s="64">
        <v>138.86000000000001</v>
      </c>
      <c r="E91" s="64">
        <v>9.82</v>
      </c>
      <c r="F91" s="64">
        <v>3.8</v>
      </c>
      <c r="G91" s="64">
        <v>106.04</v>
      </c>
      <c r="H91" s="64">
        <v>36.479999999999997</v>
      </c>
      <c r="I91" s="64">
        <v>1.1100000000000001</v>
      </c>
      <c r="J91" s="64">
        <v>0.04</v>
      </c>
      <c r="K91" s="64">
        <v>218.57</v>
      </c>
      <c r="L91" s="64">
        <v>29.1</v>
      </c>
      <c r="M91" s="64">
        <v>31.95</v>
      </c>
      <c r="N91" s="64">
        <v>6.2</v>
      </c>
      <c r="O91" s="64">
        <v>0</v>
      </c>
      <c r="P91" s="64">
        <v>1.72</v>
      </c>
      <c r="Q91" s="64">
        <v>17.22</v>
      </c>
      <c r="R91" s="198"/>
      <c r="S91" s="198"/>
      <c r="T91" s="198"/>
      <c r="U91" s="198"/>
    </row>
    <row r="92" spans="1:26" s="12" customFormat="1" x14ac:dyDescent="0.25">
      <c r="A92" s="211" t="s">
        <v>1577</v>
      </c>
      <c r="B92" s="64">
        <v>71.75</v>
      </c>
      <c r="C92" s="64">
        <v>98.39</v>
      </c>
      <c r="D92" s="64">
        <v>112.48</v>
      </c>
      <c r="E92" s="64">
        <v>9.44</v>
      </c>
      <c r="F92" s="64">
        <v>3.71</v>
      </c>
      <c r="G92" s="64">
        <v>132.05000000000001</v>
      </c>
      <c r="H92" s="64">
        <v>41.02</v>
      </c>
      <c r="I92" s="64">
        <v>1.08</v>
      </c>
      <c r="J92" s="64">
        <v>0.11</v>
      </c>
      <c r="K92" s="64">
        <v>285.83999999999997</v>
      </c>
      <c r="L92" s="64">
        <v>28.62</v>
      </c>
      <c r="M92" s="64">
        <v>38.369999999999997</v>
      </c>
      <c r="N92" s="64">
        <v>6.5</v>
      </c>
      <c r="O92" s="64">
        <v>0</v>
      </c>
      <c r="P92" s="64">
        <v>2.27</v>
      </c>
      <c r="Q92" s="64">
        <v>18.66</v>
      </c>
      <c r="R92" s="198"/>
      <c r="S92" s="198"/>
      <c r="T92" s="198"/>
      <c r="U92" s="198"/>
    </row>
    <row r="93" spans="1:26" s="12" customFormat="1" x14ac:dyDescent="0.25">
      <c r="A93" s="211" t="s">
        <v>1578</v>
      </c>
      <c r="B93" s="64">
        <v>56.34</v>
      </c>
      <c r="C93" s="64">
        <v>103.81</v>
      </c>
      <c r="D93" s="64">
        <v>103.12</v>
      </c>
      <c r="E93" s="64">
        <v>8.3800000000000008</v>
      </c>
      <c r="F93" s="64">
        <v>4.18</v>
      </c>
      <c r="G93" s="64">
        <v>132.05000000000001</v>
      </c>
      <c r="H93" s="64">
        <v>41.02</v>
      </c>
      <c r="I93" s="64">
        <v>1.1000000000000001</v>
      </c>
      <c r="J93" s="64">
        <v>0.11</v>
      </c>
      <c r="K93" s="64">
        <v>267.72000000000003</v>
      </c>
      <c r="L93" s="64">
        <v>28.23</v>
      </c>
      <c r="M93" s="64">
        <v>37.93</v>
      </c>
      <c r="N93" s="64">
        <v>6.4</v>
      </c>
      <c r="O93" s="64">
        <v>0</v>
      </c>
      <c r="P93" s="64">
        <v>2.66</v>
      </c>
      <c r="Q93" s="64">
        <v>22.67</v>
      </c>
      <c r="R93" s="198"/>
      <c r="S93" s="198"/>
      <c r="T93" s="198"/>
      <c r="U93" s="198"/>
    </row>
    <row r="94" spans="1:26" s="12" customFormat="1" x14ac:dyDescent="0.25">
      <c r="A94" s="211" t="s">
        <v>1579</v>
      </c>
      <c r="B94" s="64">
        <v>105.26</v>
      </c>
      <c r="C94" s="64">
        <v>107.43</v>
      </c>
      <c r="D94" s="64">
        <v>144.34</v>
      </c>
      <c r="E94" s="64">
        <v>9.36</v>
      </c>
      <c r="F94" s="64">
        <v>4.46</v>
      </c>
      <c r="G94" s="64">
        <v>132.05000000000001</v>
      </c>
      <c r="H94" s="64">
        <v>41.02</v>
      </c>
      <c r="I94" s="64">
        <v>1.19</v>
      </c>
      <c r="J94" s="64">
        <v>7.0000000000000007E-2</v>
      </c>
      <c r="K94" s="64">
        <v>246.66</v>
      </c>
      <c r="L94" s="64">
        <v>28</v>
      </c>
      <c r="M94" s="64">
        <v>37.29</v>
      </c>
      <c r="N94" s="64">
        <v>6.2</v>
      </c>
      <c r="O94" s="64">
        <v>0</v>
      </c>
      <c r="P94" s="64">
        <v>2.5299999999999998</v>
      </c>
      <c r="Q94" s="64">
        <v>20.29</v>
      </c>
      <c r="R94" s="198"/>
      <c r="S94" s="198"/>
      <c r="T94" s="198"/>
      <c r="U94" s="198"/>
    </row>
    <row r="95" spans="1:26" s="12" customFormat="1" x14ac:dyDescent="0.25">
      <c r="A95" s="211" t="s">
        <v>1580</v>
      </c>
      <c r="B95" s="64">
        <v>133.06</v>
      </c>
      <c r="C95" s="64">
        <v>116.72</v>
      </c>
      <c r="D95" s="64">
        <v>171.76</v>
      </c>
      <c r="E95" s="64">
        <v>10.5</v>
      </c>
      <c r="F95" s="64">
        <v>3.49</v>
      </c>
      <c r="G95" s="64">
        <v>132.05000000000001</v>
      </c>
      <c r="H95" s="64">
        <v>41.02</v>
      </c>
      <c r="I95" s="64">
        <v>1.29</v>
      </c>
      <c r="J95" s="64">
        <v>0.12</v>
      </c>
      <c r="K95" s="64">
        <v>243.17</v>
      </c>
      <c r="L95" s="64">
        <v>27.71</v>
      </c>
      <c r="M95" s="64">
        <v>41.6</v>
      </c>
      <c r="N95" s="64">
        <v>6.2</v>
      </c>
      <c r="O95" s="64">
        <v>0</v>
      </c>
      <c r="P95" s="64">
        <v>3.12</v>
      </c>
      <c r="Q95" s="64">
        <v>14.94</v>
      </c>
      <c r="R95" s="198"/>
      <c r="S95" s="198"/>
      <c r="T95" s="198"/>
      <c r="U95" s="198"/>
    </row>
    <row r="96" spans="1:26" s="12" customFormat="1" x14ac:dyDescent="0.25">
      <c r="A96" s="211" t="s">
        <v>1581</v>
      </c>
      <c r="B96" s="64">
        <v>79.73</v>
      </c>
      <c r="C96" s="64">
        <v>112.51</v>
      </c>
      <c r="D96" s="64">
        <v>126.68</v>
      </c>
      <c r="E96" s="64">
        <v>10.37</v>
      </c>
      <c r="F96" s="64">
        <v>3.07</v>
      </c>
      <c r="G96" s="64">
        <v>149.16999999999999</v>
      </c>
      <c r="H96" s="64">
        <v>45.5</v>
      </c>
      <c r="I96" s="64">
        <v>1.25</v>
      </c>
      <c r="J96" s="64">
        <v>0.16</v>
      </c>
      <c r="K96" s="64">
        <v>268.60000000000002</v>
      </c>
      <c r="L96" s="64">
        <v>27.42</v>
      </c>
      <c r="M96" s="64">
        <v>41.83</v>
      </c>
      <c r="N96" s="64">
        <v>6.3</v>
      </c>
      <c r="O96" s="64">
        <v>0</v>
      </c>
      <c r="P96" s="64">
        <v>2.69</v>
      </c>
      <c r="Q96" s="64">
        <v>20.55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1582</v>
      </c>
      <c r="B97" s="64">
        <v>52.37</v>
      </c>
      <c r="C97" s="64">
        <v>105.38</v>
      </c>
      <c r="D97" s="64">
        <v>100.81</v>
      </c>
      <c r="E97" s="64">
        <v>10.78</v>
      </c>
      <c r="F97" s="64">
        <v>3.56</v>
      </c>
      <c r="G97" s="64">
        <v>149.16999999999999</v>
      </c>
      <c r="H97" s="64">
        <v>45.5</v>
      </c>
      <c r="I97" s="64">
        <v>1.18</v>
      </c>
      <c r="J97" s="64">
        <v>0.19</v>
      </c>
      <c r="K97" s="64">
        <v>267.87</v>
      </c>
      <c r="L97" s="64">
        <v>27.55</v>
      </c>
      <c r="M97" s="64">
        <v>37.479999999999997</v>
      </c>
      <c r="N97" s="64">
        <v>6</v>
      </c>
      <c r="O97" s="64">
        <v>0</v>
      </c>
      <c r="P97" s="64">
        <v>1.85</v>
      </c>
      <c r="Q97" s="64">
        <v>25.02</v>
      </c>
      <c r="R97" s="198"/>
      <c r="S97" s="198"/>
      <c r="T97" s="198"/>
      <c r="U97" s="198"/>
    </row>
    <row r="98" spans="1:33" s="12" customFormat="1" x14ac:dyDescent="0.25">
      <c r="A98" s="211" t="s">
        <v>1583</v>
      </c>
      <c r="B98" s="64">
        <v>25.94</v>
      </c>
      <c r="C98" s="64">
        <v>86.97</v>
      </c>
      <c r="D98" s="64">
        <v>69.45</v>
      </c>
      <c r="E98" s="64">
        <v>11.14</v>
      </c>
      <c r="F98" s="64">
        <v>9.73</v>
      </c>
      <c r="G98" s="64">
        <v>149.16999999999999</v>
      </c>
      <c r="H98" s="64">
        <v>45.5</v>
      </c>
      <c r="I98" s="64">
        <v>1.19</v>
      </c>
      <c r="J98" s="64">
        <v>0.21</v>
      </c>
      <c r="K98" s="64">
        <v>261.22000000000003</v>
      </c>
      <c r="L98" s="64">
        <v>28.44</v>
      </c>
      <c r="M98" s="64">
        <v>30.75</v>
      </c>
      <c r="N98" s="64">
        <v>5</v>
      </c>
      <c r="O98" s="64">
        <v>0</v>
      </c>
      <c r="P98" s="64">
        <v>1.42</v>
      </c>
      <c r="Q98" s="64">
        <v>27.58</v>
      </c>
      <c r="R98" s="198"/>
      <c r="S98" s="198"/>
      <c r="T98" s="198"/>
      <c r="U98" s="198"/>
    </row>
    <row r="99" spans="1:33" s="12" customFormat="1" x14ac:dyDescent="0.25">
      <c r="A99" s="211" t="s">
        <v>1584</v>
      </c>
      <c r="B99" s="64">
        <v>27.46</v>
      </c>
      <c r="C99" s="64">
        <v>73.849999999999994</v>
      </c>
      <c r="D99" s="64">
        <v>63.42</v>
      </c>
      <c r="E99" s="64">
        <v>10.37</v>
      </c>
      <c r="F99" s="64">
        <v>11.77</v>
      </c>
      <c r="G99" s="64">
        <v>149.16</v>
      </c>
      <c r="H99" s="64">
        <v>45.5</v>
      </c>
      <c r="I99" s="64">
        <v>0.98</v>
      </c>
      <c r="J99" s="64">
        <v>0.12</v>
      </c>
      <c r="K99" s="64">
        <v>236.59</v>
      </c>
      <c r="L99" s="64">
        <v>28.4</v>
      </c>
      <c r="M99" s="64">
        <v>30.13</v>
      </c>
      <c r="N99" s="64">
        <v>6.2</v>
      </c>
      <c r="O99" s="64">
        <v>0</v>
      </c>
      <c r="P99" s="64">
        <v>1.4</v>
      </c>
      <c r="Q99" s="64">
        <v>30.09</v>
      </c>
      <c r="R99" s="198"/>
      <c r="S99" s="198"/>
      <c r="T99" s="198"/>
      <c r="U99" s="198"/>
    </row>
    <row r="100" spans="1:33" s="12" customFormat="1" x14ac:dyDescent="0.25">
      <c r="A100" s="211" t="s">
        <v>1585</v>
      </c>
      <c r="B100" s="64">
        <v>32.340000000000003</v>
      </c>
      <c r="C100" s="64">
        <v>67.63</v>
      </c>
      <c r="D100" s="64">
        <v>63.9</v>
      </c>
      <c r="E100" s="64">
        <v>7.81</v>
      </c>
      <c r="F100" s="64">
        <v>11.38</v>
      </c>
      <c r="G100" s="64">
        <v>148.09</v>
      </c>
      <c r="H100" s="64">
        <v>50.03</v>
      </c>
      <c r="I100" s="64">
        <v>0.86</v>
      </c>
      <c r="J100" s="64">
        <v>0.14000000000000001</v>
      </c>
      <c r="K100" s="64">
        <v>250.93</v>
      </c>
      <c r="L100" s="64">
        <v>28.18</v>
      </c>
      <c r="M100" s="64">
        <v>30.79</v>
      </c>
      <c r="N100" s="64">
        <v>5.9</v>
      </c>
      <c r="O100" s="64">
        <v>0</v>
      </c>
      <c r="P100" s="64">
        <v>1.55</v>
      </c>
      <c r="Q100" s="64">
        <v>30.02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1586</v>
      </c>
      <c r="B101" s="64">
        <v>41.94</v>
      </c>
      <c r="C101" s="64">
        <v>69.84</v>
      </c>
      <c r="D101" s="64">
        <v>72.819999999999993</v>
      </c>
      <c r="E101" s="64">
        <v>6.92</v>
      </c>
      <c r="F101" s="64">
        <v>5.98</v>
      </c>
      <c r="G101" s="64">
        <v>148.09</v>
      </c>
      <c r="H101" s="64">
        <v>50.03</v>
      </c>
      <c r="I101" s="64">
        <v>0.84</v>
      </c>
      <c r="J101" s="64">
        <v>0.15</v>
      </c>
      <c r="K101" s="64">
        <v>181.31</v>
      </c>
      <c r="L101" s="64">
        <v>27.76</v>
      </c>
      <c r="M101" s="64">
        <v>33.840000000000003</v>
      </c>
      <c r="N101" s="64">
        <v>6.4</v>
      </c>
      <c r="O101" s="64">
        <v>0</v>
      </c>
      <c r="P101" s="64">
        <v>1.72</v>
      </c>
      <c r="Q101" s="64">
        <v>29.27</v>
      </c>
      <c r="R101" s="198"/>
      <c r="S101" s="198"/>
      <c r="T101" s="198"/>
      <c r="U101" s="198"/>
    </row>
    <row r="102" spans="1:33" s="12" customFormat="1" x14ac:dyDescent="0.25">
      <c r="A102" s="211" t="s">
        <v>1587</v>
      </c>
      <c r="B102" s="64">
        <v>32.630000000000003</v>
      </c>
      <c r="C102" s="64">
        <v>78.150000000000006</v>
      </c>
      <c r="D102" s="64">
        <v>69.95</v>
      </c>
      <c r="E102" s="64">
        <v>7.03</v>
      </c>
      <c r="F102" s="64">
        <v>5.16</v>
      </c>
      <c r="G102" s="64">
        <v>148.09</v>
      </c>
      <c r="H102" s="64">
        <v>50.03</v>
      </c>
      <c r="I102" s="64">
        <v>0.84</v>
      </c>
      <c r="J102" s="64">
        <v>0.14000000000000001</v>
      </c>
      <c r="K102" s="64">
        <v>253.84</v>
      </c>
      <c r="L102" s="64">
        <v>27.47</v>
      </c>
      <c r="M102" s="64">
        <v>31.84</v>
      </c>
      <c r="N102" s="64">
        <v>6.3</v>
      </c>
      <c r="O102" s="64">
        <v>0</v>
      </c>
      <c r="P102" s="64">
        <v>1.49</v>
      </c>
      <c r="Q102" s="64">
        <v>28.84</v>
      </c>
      <c r="R102" s="198"/>
      <c r="S102" s="198"/>
      <c r="T102" s="198"/>
      <c r="U102" s="198"/>
    </row>
    <row r="103" spans="1:33" s="12" customFormat="1" x14ac:dyDescent="0.25">
      <c r="A103" s="211" t="s">
        <v>1588</v>
      </c>
      <c r="B103" s="64">
        <v>38.83</v>
      </c>
      <c r="C103" s="64">
        <v>74.08</v>
      </c>
      <c r="D103" s="64">
        <v>72.67</v>
      </c>
      <c r="E103" s="64">
        <v>7.8</v>
      </c>
      <c r="F103" s="64">
        <v>6.65</v>
      </c>
      <c r="G103" s="64">
        <v>148.09</v>
      </c>
      <c r="H103" s="64">
        <v>50.03</v>
      </c>
      <c r="I103" s="64">
        <v>0.88</v>
      </c>
      <c r="J103" s="64">
        <v>0.14000000000000001</v>
      </c>
      <c r="K103" s="64">
        <v>255.75</v>
      </c>
      <c r="L103" s="64">
        <v>27.31</v>
      </c>
      <c r="M103" s="64">
        <v>33.659999999999997</v>
      </c>
      <c r="N103" s="64">
        <v>6.4</v>
      </c>
      <c r="O103" s="64">
        <v>0</v>
      </c>
      <c r="P103" s="64">
        <v>1.54</v>
      </c>
      <c r="Q103" s="64">
        <v>28.34</v>
      </c>
      <c r="R103" s="198"/>
      <c r="S103" s="198"/>
      <c r="T103" s="198"/>
      <c r="U103" s="198"/>
    </row>
    <row r="104" spans="1:33" s="12" customFormat="1" x14ac:dyDescent="0.25">
      <c r="A104" s="211" t="s">
        <v>1589</v>
      </c>
      <c r="B104" s="64">
        <v>45.66</v>
      </c>
      <c r="C104" s="64">
        <v>72.52</v>
      </c>
      <c r="D104" s="64">
        <v>77.28</v>
      </c>
      <c r="E104" s="64">
        <v>5.95</v>
      </c>
      <c r="F104" s="64">
        <v>4.38</v>
      </c>
      <c r="G104" s="64">
        <v>114.77</v>
      </c>
      <c r="H104" s="64">
        <v>45.73</v>
      </c>
      <c r="I104" s="64">
        <v>0.81</v>
      </c>
      <c r="J104" s="64">
        <v>0.2</v>
      </c>
      <c r="K104" s="64">
        <v>264.68</v>
      </c>
      <c r="L104" s="64">
        <v>26.62</v>
      </c>
      <c r="M104" s="64">
        <v>38.619999999999997</v>
      </c>
      <c r="N104" s="64">
        <v>6.7</v>
      </c>
      <c r="O104" s="64">
        <v>0</v>
      </c>
      <c r="P104" s="64">
        <v>1.71</v>
      </c>
      <c r="Q104" s="64">
        <v>27.21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1.1399999999999999</v>
      </c>
      <c r="C106" s="67">
        <f>MIN(C9:C104)</f>
        <v>33.14</v>
      </c>
      <c r="D106" s="67">
        <f t="shared" ref="D106:Q106" si="0">MIN(D9:D104)</f>
        <v>19.91</v>
      </c>
      <c r="E106" s="67">
        <f t="shared" si="0"/>
        <v>4.6500000000000004</v>
      </c>
      <c r="F106" s="67">
        <f t="shared" si="0"/>
        <v>2.98</v>
      </c>
      <c r="G106" s="67">
        <f t="shared" si="0"/>
        <v>35.200000000000003</v>
      </c>
      <c r="H106" s="67">
        <f t="shared" si="0"/>
        <v>27.45</v>
      </c>
      <c r="I106" s="67">
        <f t="shared" si="0"/>
        <v>0.63</v>
      </c>
      <c r="J106" s="67">
        <f t="shared" si="0"/>
        <v>0.01</v>
      </c>
      <c r="K106" s="67">
        <f t="shared" si="0"/>
        <v>1</v>
      </c>
      <c r="L106" s="67">
        <f t="shared" si="0"/>
        <v>22.57</v>
      </c>
      <c r="M106" s="67">
        <f t="shared" si="0"/>
        <v>10.8</v>
      </c>
      <c r="N106" s="67">
        <f t="shared" si="0"/>
        <v>5</v>
      </c>
      <c r="O106" s="67">
        <f t="shared" si="0"/>
        <v>0</v>
      </c>
      <c r="P106" s="67">
        <f t="shared" si="0"/>
        <v>0.59</v>
      </c>
      <c r="Q106" s="67">
        <f t="shared" si="0"/>
        <v>10.78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133.06</v>
      </c>
      <c r="C107" s="66">
        <f t="shared" ref="C107:Q107" si="1">MAX(C9:C104)</f>
        <v>132.03</v>
      </c>
      <c r="D107" s="66">
        <f t="shared" si="1"/>
        <v>171.76</v>
      </c>
      <c r="E107" s="66">
        <f t="shared" si="1"/>
        <v>61.57</v>
      </c>
      <c r="F107" s="66">
        <f t="shared" si="1"/>
        <v>67.12</v>
      </c>
      <c r="G107" s="66">
        <f t="shared" si="1"/>
        <v>186.62</v>
      </c>
      <c r="H107" s="66">
        <f t="shared" si="1"/>
        <v>74.67</v>
      </c>
      <c r="I107" s="66">
        <f t="shared" si="1"/>
        <v>1.29</v>
      </c>
      <c r="J107" s="66">
        <f t="shared" si="1"/>
        <v>0.98</v>
      </c>
      <c r="K107" s="66">
        <f t="shared" si="1"/>
        <v>332.31</v>
      </c>
      <c r="L107" s="66">
        <f t="shared" si="1"/>
        <v>41.38</v>
      </c>
      <c r="M107" s="66">
        <f t="shared" si="1"/>
        <v>51.67</v>
      </c>
      <c r="N107" s="66">
        <f t="shared" si="1"/>
        <v>857.3</v>
      </c>
      <c r="O107" s="66">
        <f t="shared" si="1"/>
        <v>0</v>
      </c>
      <c r="P107" s="66">
        <f t="shared" si="1"/>
        <v>3.34</v>
      </c>
      <c r="Q107" s="66">
        <f t="shared" si="1"/>
        <v>38.24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28.625833333333343</v>
      </c>
      <c r="C108" s="67">
        <f t="shared" ref="C108:Q108" si="2">AVERAGE(C9:C104)</f>
        <v>64.891979166666687</v>
      </c>
      <c r="D108" s="67">
        <f t="shared" si="2"/>
        <v>59.414479166666666</v>
      </c>
      <c r="E108" s="67">
        <f t="shared" si="2"/>
        <v>12.043645833333334</v>
      </c>
      <c r="F108" s="67">
        <f t="shared" si="2"/>
        <v>17.930104166666677</v>
      </c>
      <c r="G108" s="67">
        <f t="shared" si="2"/>
        <v>103.50510416666663</v>
      </c>
      <c r="H108" s="67">
        <f t="shared" si="2"/>
        <v>47.109062499999965</v>
      </c>
      <c r="I108" s="67">
        <f t="shared" si="2"/>
        <v>0.83791666666666675</v>
      </c>
      <c r="J108" s="67">
        <f t="shared" si="2"/>
        <v>0.2256250000000001</v>
      </c>
      <c r="K108" s="67">
        <f t="shared" si="2"/>
        <v>247.57593749999992</v>
      </c>
      <c r="L108" s="67">
        <f t="shared" si="2"/>
        <v>31.532083333333347</v>
      </c>
      <c r="M108" s="67">
        <f t="shared" si="2"/>
        <v>28.571979166666665</v>
      </c>
      <c r="N108" s="67">
        <f t="shared" si="2"/>
        <v>245.99687500000002</v>
      </c>
      <c r="O108" s="67">
        <f t="shared" si="2"/>
        <v>0</v>
      </c>
      <c r="P108" s="67">
        <f t="shared" si="2"/>
        <v>1.436354166666667</v>
      </c>
      <c r="Q108" s="67">
        <f t="shared" si="2"/>
        <v>26.125208333333333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28.234489795905422</v>
      </c>
      <c r="C109" s="67">
        <f t="shared" ref="C109:Q109" si="3">STDEV(C9:C104)</f>
        <v>23.255437060691182</v>
      </c>
      <c r="D109" s="67">
        <f t="shared" si="3"/>
        <v>31.316185284585835</v>
      </c>
      <c r="E109" s="67">
        <f t="shared" si="3"/>
        <v>9.3913608811269391</v>
      </c>
      <c r="F109" s="67">
        <f t="shared" si="3"/>
        <v>15.009216711901532</v>
      </c>
      <c r="G109" s="67">
        <f t="shared" si="3"/>
        <v>40.387892844392127</v>
      </c>
      <c r="H109" s="67">
        <f t="shared" si="3"/>
        <v>13.618815396210431</v>
      </c>
      <c r="I109" s="67">
        <f t="shared" si="3"/>
        <v>0.15939964119794994</v>
      </c>
      <c r="J109" s="67">
        <f t="shared" si="3"/>
        <v>0.21115627787070518</v>
      </c>
      <c r="K109" s="67">
        <f t="shared" si="3"/>
        <v>65.123071286977137</v>
      </c>
      <c r="L109" s="67">
        <f t="shared" si="3"/>
        <v>6.1833634037192962</v>
      </c>
      <c r="M109" s="67">
        <f t="shared" si="3"/>
        <v>13.55293897975768</v>
      </c>
      <c r="N109" s="67">
        <f t="shared" si="3"/>
        <v>317.69946223738106</v>
      </c>
      <c r="O109" s="67">
        <f t="shared" si="3"/>
        <v>0</v>
      </c>
      <c r="P109" s="67">
        <f t="shared" si="3"/>
        <v>0.58050816176621778</v>
      </c>
      <c r="Q109" s="67">
        <f t="shared" si="3"/>
        <v>5.3588174224045613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P111" sqref="P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1590</v>
      </c>
      <c r="B9" s="64">
        <v>42.77</v>
      </c>
      <c r="C9" s="64">
        <v>68.75</v>
      </c>
      <c r="D9" s="64">
        <v>72.89</v>
      </c>
      <c r="E9" s="64">
        <v>7.08</v>
      </c>
      <c r="F9" s="64">
        <v>4.03</v>
      </c>
      <c r="G9" s="64">
        <v>114.77</v>
      </c>
      <c r="H9" s="64">
        <v>45.73</v>
      </c>
      <c r="I9" s="64">
        <v>0.8</v>
      </c>
      <c r="J9" s="64">
        <v>0.18</v>
      </c>
      <c r="K9" s="64">
        <v>270.41000000000003</v>
      </c>
      <c r="L9" s="64">
        <v>25.94</v>
      </c>
      <c r="M9" s="64">
        <v>40.130000000000003</v>
      </c>
      <c r="N9" s="64">
        <v>6.6</v>
      </c>
      <c r="O9" s="64">
        <v>0</v>
      </c>
      <c r="P9" s="64">
        <v>1.71</v>
      </c>
      <c r="Q9" s="64">
        <v>27.31</v>
      </c>
      <c r="R9" s="198"/>
      <c r="S9" s="198"/>
      <c r="T9" s="198"/>
      <c r="U9" s="198"/>
    </row>
    <row r="10" spans="1:21" s="12" customFormat="1" x14ac:dyDescent="0.25">
      <c r="A10" s="211" t="s">
        <v>1591</v>
      </c>
      <c r="B10" s="64">
        <v>30.64</v>
      </c>
      <c r="C10" s="64">
        <v>56.48</v>
      </c>
      <c r="D10" s="64">
        <v>56.38</v>
      </c>
      <c r="E10" s="64">
        <v>7.53</v>
      </c>
      <c r="F10" s="64">
        <v>13.76</v>
      </c>
      <c r="G10" s="64">
        <v>114.77</v>
      </c>
      <c r="H10" s="64">
        <v>45.73</v>
      </c>
      <c r="I10" s="64">
        <v>0.86</v>
      </c>
      <c r="J10" s="64">
        <v>0.23</v>
      </c>
      <c r="K10" s="64">
        <v>249.81</v>
      </c>
      <c r="L10" s="64">
        <v>25.66</v>
      </c>
      <c r="M10" s="64">
        <v>41.75</v>
      </c>
      <c r="N10" s="64">
        <v>6.2</v>
      </c>
      <c r="O10" s="64">
        <v>0</v>
      </c>
      <c r="P10" s="64">
        <v>1.4</v>
      </c>
      <c r="Q10" s="64">
        <v>28.56</v>
      </c>
      <c r="R10" s="198"/>
      <c r="S10" s="198"/>
      <c r="T10" s="198"/>
      <c r="U10" s="198"/>
    </row>
    <row r="11" spans="1:21" s="12" customFormat="1" x14ac:dyDescent="0.25">
      <c r="A11" s="211" t="s">
        <v>1592</v>
      </c>
      <c r="B11" s="64">
        <v>15.74</v>
      </c>
      <c r="C11" s="64">
        <v>51.7</v>
      </c>
      <c r="D11" s="64">
        <v>41.8</v>
      </c>
      <c r="E11" s="64">
        <v>10.52</v>
      </c>
      <c r="F11" s="64">
        <v>24.04</v>
      </c>
      <c r="G11" s="64">
        <v>114.77</v>
      </c>
      <c r="H11" s="64">
        <v>45.73</v>
      </c>
      <c r="I11" s="64">
        <v>0.84</v>
      </c>
      <c r="J11" s="64">
        <v>0.25</v>
      </c>
      <c r="K11" s="64">
        <v>226.33</v>
      </c>
      <c r="L11" s="64">
        <v>26.35</v>
      </c>
      <c r="M11" s="64">
        <v>36.229999999999997</v>
      </c>
      <c r="N11" s="64">
        <v>5.0999999999999996</v>
      </c>
      <c r="O11" s="64">
        <v>0</v>
      </c>
      <c r="P11" s="64">
        <v>1.1000000000000001</v>
      </c>
      <c r="Q11" s="64">
        <v>30.76</v>
      </c>
      <c r="R11" s="198"/>
      <c r="S11" s="198"/>
      <c r="T11" s="198"/>
      <c r="U11" s="198"/>
    </row>
    <row r="12" spans="1:21" s="12" customFormat="1" x14ac:dyDescent="0.25">
      <c r="A12" s="211" t="s">
        <v>1593</v>
      </c>
      <c r="B12" s="64">
        <v>18.61</v>
      </c>
      <c r="C12" s="64">
        <v>56.33</v>
      </c>
      <c r="D12" s="64">
        <v>46.66</v>
      </c>
      <c r="E12" s="64">
        <v>11.41</v>
      </c>
      <c r="F12" s="64">
        <v>16.36</v>
      </c>
      <c r="G12" s="64">
        <v>111.45</v>
      </c>
      <c r="H12" s="64">
        <v>47.72</v>
      </c>
      <c r="I12" s="64">
        <v>0.76</v>
      </c>
      <c r="J12" s="64">
        <v>0.24</v>
      </c>
      <c r="K12" s="64">
        <v>242.55</v>
      </c>
      <c r="L12" s="64">
        <v>26.52</v>
      </c>
      <c r="M12" s="64">
        <v>38.049999999999997</v>
      </c>
      <c r="N12" s="64">
        <v>6.3</v>
      </c>
      <c r="O12" s="64">
        <v>0</v>
      </c>
      <c r="P12" s="64">
        <v>1.22</v>
      </c>
      <c r="Q12" s="64">
        <v>29.7</v>
      </c>
      <c r="R12" s="198"/>
      <c r="S12" s="198"/>
      <c r="T12" s="198"/>
      <c r="U12" s="198"/>
    </row>
    <row r="13" spans="1:21" s="12" customFormat="1" x14ac:dyDescent="0.25">
      <c r="A13" s="211" t="s">
        <v>1594</v>
      </c>
      <c r="B13" s="64">
        <v>18.36</v>
      </c>
      <c r="C13" s="64">
        <v>41.21</v>
      </c>
      <c r="D13" s="64">
        <v>38.11</v>
      </c>
      <c r="E13" s="64">
        <v>10.18</v>
      </c>
      <c r="F13" s="64">
        <v>22.72</v>
      </c>
      <c r="G13" s="64">
        <v>111.45</v>
      </c>
      <c r="H13" s="64">
        <v>47.72</v>
      </c>
      <c r="I13" s="64">
        <v>0.71</v>
      </c>
      <c r="J13" s="64">
        <v>0.37</v>
      </c>
      <c r="K13" s="64">
        <v>213.97</v>
      </c>
      <c r="L13" s="64">
        <v>26.68</v>
      </c>
      <c r="M13" s="64">
        <v>34.700000000000003</v>
      </c>
      <c r="N13" s="64">
        <v>5.2</v>
      </c>
      <c r="O13" s="64">
        <v>0</v>
      </c>
      <c r="P13" s="64">
        <v>1.0900000000000001</v>
      </c>
      <c r="Q13" s="64">
        <v>29.39</v>
      </c>
      <c r="R13" s="198"/>
      <c r="S13" s="198"/>
      <c r="T13" s="198"/>
      <c r="U13" s="198"/>
    </row>
    <row r="14" spans="1:21" s="12" customFormat="1" x14ac:dyDescent="0.25">
      <c r="A14" s="211" t="s">
        <v>1595</v>
      </c>
      <c r="B14" s="64">
        <v>30.11</v>
      </c>
      <c r="C14" s="64">
        <v>58.21</v>
      </c>
      <c r="D14" s="64">
        <v>56.91</v>
      </c>
      <c r="E14" s="64">
        <v>9.19</v>
      </c>
      <c r="F14" s="64">
        <v>5.71</v>
      </c>
      <c r="G14" s="64">
        <v>111.45</v>
      </c>
      <c r="H14" s="64">
        <v>47.72</v>
      </c>
      <c r="I14" s="64">
        <v>0.67</v>
      </c>
      <c r="J14" s="64">
        <v>0.46</v>
      </c>
      <c r="K14" s="64">
        <v>232.17</v>
      </c>
      <c r="L14" s="64">
        <v>26.66</v>
      </c>
      <c r="M14" s="64">
        <v>35.1</v>
      </c>
      <c r="N14" s="64">
        <v>5.6</v>
      </c>
      <c r="O14" s="64">
        <v>0</v>
      </c>
      <c r="P14" s="64">
        <v>1.32</v>
      </c>
      <c r="Q14" s="64">
        <v>28.25</v>
      </c>
      <c r="R14" s="198"/>
      <c r="S14" s="198"/>
      <c r="T14" s="198"/>
      <c r="U14" s="198"/>
    </row>
    <row r="15" spans="1:21" s="12" customFormat="1" x14ac:dyDescent="0.25">
      <c r="A15" s="211" t="s">
        <v>1596</v>
      </c>
      <c r="B15" s="64">
        <v>30.91</v>
      </c>
      <c r="C15" s="64">
        <v>57.05</v>
      </c>
      <c r="D15" s="64">
        <v>56.92</v>
      </c>
      <c r="E15" s="64">
        <v>7.88</v>
      </c>
      <c r="F15" s="64">
        <v>4.72</v>
      </c>
      <c r="G15" s="64">
        <v>111.45</v>
      </c>
      <c r="H15" s="64">
        <v>47.72</v>
      </c>
      <c r="I15" s="64">
        <v>0.68</v>
      </c>
      <c r="J15" s="64">
        <v>0.19</v>
      </c>
      <c r="K15" s="64">
        <v>240.88</v>
      </c>
      <c r="L15" s="64">
        <v>26.38</v>
      </c>
      <c r="M15" s="64">
        <v>36.78</v>
      </c>
      <c r="N15" s="64">
        <v>6.3</v>
      </c>
      <c r="O15" s="64">
        <v>0</v>
      </c>
      <c r="P15" s="64">
        <v>1.34</v>
      </c>
      <c r="Q15" s="64">
        <v>27.65</v>
      </c>
      <c r="R15" s="198"/>
      <c r="S15" s="198"/>
      <c r="T15" s="198"/>
      <c r="U15" s="198"/>
    </row>
    <row r="16" spans="1:21" s="12" customFormat="1" x14ac:dyDescent="0.25">
      <c r="A16" s="211" t="s">
        <v>1597</v>
      </c>
      <c r="B16" s="64">
        <v>26.52</v>
      </c>
      <c r="C16" s="64">
        <v>51.22</v>
      </c>
      <c r="D16" s="64">
        <v>50.18</v>
      </c>
      <c r="E16" s="64">
        <v>7.51</v>
      </c>
      <c r="F16" s="64">
        <v>7.73</v>
      </c>
      <c r="G16" s="64">
        <v>80.150000000000006</v>
      </c>
      <c r="H16" s="64">
        <v>43.34</v>
      </c>
      <c r="I16" s="64">
        <v>0.74</v>
      </c>
      <c r="J16" s="64">
        <v>0.17</v>
      </c>
      <c r="K16" s="64">
        <v>242.19</v>
      </c>
      <c r="L16" s="64">
        <v>26.01</v>
      </c>
      <c r="M16" s="64">
        <v>37.82</v>
      </c>
      <c r="N16" s="64">
        <v>6.6</v>
      </c>
      <c r="O16" s="64">
        <v>0</v>
      </c>
      <c r="P16" s="64">
        <v>1.33</v>
      </c>
      <c r="Q16" s="64">
        <v>28.11</v>
      </c>
      <c r="R16" s="198"/>
      <c r="S16" s="198"/>
      <c r="T16" s="198"/>
      <c r="U16" s="198"/>
    </row>
    <row r="17" spans="1:21" s="12" customFormat="1" x14ac:dyDescent="0.25">
      <c r="A17" s="211" t="s">
        <v>1598</v>
      </c>
      <c r="B17" s="64">
        <v>26.02</v>
      </c>
      <c r="C17" s="64">
        <v>51.28</v>
      </c>
      <c r="D17" s="64">
        <v>49.81</v>
      </c>
      <c r="E17" s="64">
        <v>6.99</v>
      </c>
      <c r="F17" s="64">
        <v>6.49</v>
      </c>
      <c r="G17" s="64">
        <v>80.150000000000006</v>
      </c>
      <c r="H17" s="64">
        <v>43.34</v>
      </c>
      <c r="I17" s="64">
        <v>0.78</v>
      </c>
      <c r="J17" s="64">
        <v>0.11</v>
      </c>
      <c r="K17" s="64">
        <v>264.75</v>
      </c>
      <c r="L17" s="64">
        <v>25.35</v>
      </c>
      <c r="M17" s="64">
        <v>42.09</v>
      </c>
      <c r="N17" s="64">
        <v>6.7</v>
      </c>
      <c r="O17" s="64">
        <v>0</v>
      </c>
      <c r="P17" s="64">
        <v>1.3</v>
      </c>
      <c r="Q17" s="64">
        <v>28.23</v>
      </c>
      <c r="R17" s="198"/>
      <c r="S17" s="198"/>
      <c r="T17" s="198"/>
      <c r="U17" s="198"/>
    </row>
    <row r="18" spans="1:21" s="12" customFormat="1" x14ac:dyDescent="0.25">
      <c r="A18" s="211" t="s">
        <v>1599</v>
      </c>
      <c r="B18" s="64">
        <v>21.65</v>
      </c>
      <c r="C18" s="64">
        <v>47.2</v>
      </c>
      <c r="D18" s="64">
        <v>44.06</v>
      </c>
      <c r="E18" s="64">
        <v>7.21</v>
      </c>
      <c r="F18" s="64">
        <v>10.23</v>
      </c>
      <c r="G18" s="64">
        <v>80.150000000000006</v>
      </c>
      <c r="H18" s="64">
        <v>43.34</v>
      </c>
      <c r="I18" s="64">
        <v>0.78</v>
      </c>
      <c r="J18" s="64">
        <v>0.14000000000000001</v>
      </c>
      <c r="K18" s="64">
        <v>260.35000000000002</v>
      </c>
      <c r="L18" s="64">
        <v>24.69</v>
      </c>
      <c r="M18" s="64">
        <v>43.73</v>
      </c>
      <c r="N18" s="64">
        <v>6.6</v>
      </c>
      <c r="O18" s="64">
        <v>0</v>
      </c>
      <c r="P18" s="64">
        <v>1.21</v>
      </c>
      <c r="Q18" s="64">
        <v>27.88</v>
      </c>
      <c r="R18" s="198"/>
      <c r="S18" s="198"/>
      <c r="T18" s="198"/>
      <c r="U18" s="198"/>
    </row>
    <row r="19" spans="1:21" s="12" customFormat="1" x14ac:dyDescent="0.25">
      <c r="A19" s="211" t="s">
        <v>1600</v>
      </c>
      <c r="B19" s="64">
        <v>18.79</v>
      </c>
      <c r="C19" s="64">
        <v>44.01</v>
      </c>
      <c r="D19" s="64">
        <v>40</v>
      </c>
      <c r="E19" s="64">
        <v>7.04</v>
      </c>
      <c r="F19" s="64">
        <v>9.42</v>
      </c>
      <c r="G19" s="64">
        <v>80.150000000000006</v>
      </c>
      <c r="H19" s="64">
        <v>43.34</v>
      </c>
      <c r="I19" s="64">
        <v>0.73</v>
      </c>
      <c r="J19" s="64">
        <v>0.18</v>
      </c>
      <c r="K19" s="64">
        <v>275.16000000000003</v>
      </c>
      <c r="L19" s="64">
        <v>24.44</v>
      </c>
      <c r="M19" s="64">
        <v>46.81</v>
      </c>
      <c r="N19" s="64">
        <v>6.4</v>
      </c>
      <c r="O19" s="64">
        <v>0</v>
      </c>
      <c r="P19" s="64">
        <v>1.23</v>
      </c>
      <c r="Q19" s="64">
        <v>27.62</v>
      </c>
      <c r="R19" s="198"/>
      <c r="S19" s="198"/>
      <c r="T19" s="198"/>
      <c r="U19" s="198"/>
    </row>
    <row r="20" spans="1:21" s="12" customFormat="1" x14ac:dyDescent="0.25">
      <c r="A20" s="211" t="s">
        <v>1601</v>
      </c>
      <c r="B20" s="64">
        <v>17.98</v>
      </c>
      <c r="C20" s="64">
        <v>41.2</v>
      </c>
      <c r="D20" s="64">
        <v>37.799999999999997</v>
      </c>
      <c r="E20" s="64">
        <v>6.27</v>
      </c>
      <c r="F20" s="64">
        <v>9.26</v>
      </c>
      <c r="G20" s="64">
        <v>68.760000000000005</v>
      </c>
      <c r="H20" s="64">
        <v>39.79</v>
      </c>
      <c r="I20" s="64">
        <v>0.71</v>
      </c>
      <c r="J20" s="64">
        <v>0.19</v>
      </c>
      <c r="K20" s="64">
        <v>267.58</v>
      </c>
      <c r="L20" s="64">
        <v>24.16</v>
      </c>
      <c r="M20" s="64">
        <v>48.77</v>
      </c>
      <c r="N20" s="64">
        <v>6.3</v>
      </c>
      <c r="O20" s="64">
        <v>0</v>
      </c>
      <c r="P20" s="64">
        <v>1.18</v>
      </c>
      <c r="Q20" s="64">
        <v>27.24</v>
      </c>
      <c r="R20" s="198"/>
      <c r="S20" s="198"/>
      <c r="T20" s="198"/>
      <c r="U20" s="198"/>
    </row>
    <row r="21" spans="1:21" s="12" customFormat="1" x14ac:dyDescent="0.25">
      <c r="A21" s="211" t="s">
        <v>1602</v>
      </c>
      <c r="B21" s="64">
        <v>15.72</v>
      </c>
      <c r="C21" s="64">
        <v>39.340000000000003</v>
      </c>
      <c r="D21" s="64">
        <v>34.96</v>
      </c>
      <c r="E21" s="64">
        <v>6.4</v>
      </c>
      <c r="F21" s="64">
        <v>10.19</v>
      </c>
      <c r="G21" s="64">
        <v>68.760000000000005</v>
      </c>
      <c r="H21" s="64">
        <v>39.79</v>
      </c>
      <c r="I21" s="64">
        <v>0.7</v>
      </c>
      <c r="J21" s="64">
        <v>0.12</v>
      </c>
      <c r="K21" s="64">
        <v>257.88</v>
      </c>
      <c r="L21" s="64">
        <v>24.39</v>
      </c>
      <c r="M21" s="64">
        <v>45.07</v>
      </c>
      <c r="N21" s="64">
        <v>6.2</v>
      </c>
      <c r="O21" s="64">
        <v>0</v>
      </c>
      <c r="P21" s="64">
        <v>1.1399999999999999</v>
      </c>
      <c r="Q21" s="64">
        <v>27.06</v>
      </c>
      <c r="R21" s="198"/>
      <c r="S21" s="198"/>
      <c r="T21" s="198"/>
      <c r="U21" s="198"/>
    </row>
    <row r="22" spans="1:21" s="12" customFormat="1" x14ac:dyDescent="0.25">
      <c r="A22" s="211" t="s">
        <v>1603</v>
      </c>
      <c r="B22" s="64">
        <v>9.39</v>
      </c>
      <c r="C22" s="64">
        <v>34.36</v>
      </c>
      <c r="D22" s="64">
        <v>27.14</v>
      </c>
      <c r="E22" s="64">
        <v>7.76</v>
      </c>
      <c r="F22" s="64">
        <v>19.72</v>
      </c>
      <c r="G22" s="64">
        <v>68.760000000000005</v>
      </c>
      <c r="H22" s="64">
        <v>39.79</v>
      </c>
      <c r="I22" s="64">
        <v>0.7</v>
      </c>
      <c r="J22" s="64">
        <v>0.15</v>
      </c>
      <c r="K22" s="64">
        <v>268.86</v>
      </c>
      <c r="L22" s="64">
        <v>24.17</v>
      </c>
      <c r="M22" s="64">
        <v>48.13</v>
      </c>
      <c r="N22" s="64">
        <v>6.2</v>
      </c>
      <c r="O22" s="64">
        <v>0</v>
      </c>
      <c r="P22" s="64">
        <v>0.96</v>
      </c>
      <c r="Q22" s="64">
        <v>27.42</v>
      </c>
      <c r="R22" s="198"/>
      <c r="S22" s="198"/>
      <c r="T22" s="198"/>
      <c r="U22" s="198"/>
    </row>
    <row r="23" spans="1:21" s="12" customFormat="1" x14ac:dyDescent="0.25">
      <c r="A23" s="211" t="s">
        <v>1604</v>
      </c>
      <c r="B23" s="64">
        <v>10.220000000000001</v>
      </c>
      <c r="C23" s="64">
        <v>40.549999999999997</v>
      </c>
      <c r="D23" s="64">
        <v>31.22</v>
      </c>
      <c r="E23" s="64">
        <v>8.24</v>
      </c>
      <c r="F23" s="64">
        <v>15.34</v>
      </c>
      <c r="G23" s="64">
        <v>68.760000000000005</v>
      </c>
      <c r="H23" s="64">
        <v>39.79</v>
      </c>
      <c r="I23" s="64">
        <v>0.67</v>
      </c>
      <c r="J23" s="64">
        <v>0.17</v>
      </c>
      <c r="K23" s="64">
        <v>265.91000000000003</v>
      </c>
      <c r="L23" s="64">
        <v>23.95</v>
      </c>
      <c r="M23" s="64">
        <v>51.74</v>
      </c>
      <c r="N23" s="64">
        <v>6.2</v>
      </c>
      <c r="O23" s="64">
        <v>0</v>
      </c>
      <c r="P23" s="64">
        <v>0.93</v>
      </c>
      <c r="Q23" s="64">
        <v>27.26</v>
      </c>
      <c r="R23" s="198"/>
      <c r="S23" s="198"/>
      <c r="T23" s="198"/>
      <c r="U23" s="198"/>
    </row>
    <row r="24" spans="1:21" s="12" customFormat="1" x14ac:dyDescent="0.25">
      <c r="A24" s="211" t="s">
        <v>1605</v>
      </c>
      <c r="B24" s="64">
        <v>9.17</v>
      </c>
      <c r="C24" s="64">
        <v>37.49</v>
      </c>
      <c r="D24" s="64">
        <v>28.69</v>
      </c>
      <c r="E24" s="64">
        <v>5.62</v>
      </c>
      <c r="F24" s="64">
        <v>21.28</v>
      </c>
      <c r="G24" s="64">
        <v>63.39</v>
      </c>
      <c r="H24" s="64">
        <v>37.75</v>
      </c>
      <c r="I24" s="64">
        <v>0.56999999999999995</v>
      </c>
      <c r="J24" s="64">
        <v>0.17</v>
      </c>
      <c r="K24" s="64">
        <v>228.75</v>
      </c>
      <c r="L24" s="64">
        <v>23.98</v>
      </c>
      <c r="M24" s="64">
        <v>49.73</v>
      </c>
      <c r="N24" s="64">
        <v>6</v>
      </c>
      <c r="O24" s="64">
        <v>0</v>
      </c>
      <c r="P24" s="64">
        <v>0.89</v>
      </c>
      <c r="Q24" s="64">
        <v>27.07</v>
      </c>
      <c r="R24" s="198"/>
      <c r="S24" s="198"/>
      <c r="T24" s="198"/>
      <c r="U24" s="198"/>
    </row>
    <row r="25" spans="1:21" s="12" customFormat="1" x14ac:dyDescent="0.25">
      <c r="A25" s="211" t="s">
        <v>1606</v>
      </c>
      <c r="B25" s="64">
        <v>12.11</v>
      </c>
      <c r="C25" s="64">
        <v>43.67</v>
      </c>
      <c r="D25" s="64">
        <v>34.46</v>
      </c>
      <c r="E25" s="64">
        <v>8.4600000000000009</v>
      </c>
      <c r="F25" s="64">
        <v>15.83</v>
      </c>
      <c r="G25" s="64">
        <v>63.39</v>
      </c>
      <c r="H25" s="64">
        <v>37.75</v>
      </c>
      <c r="I25" s="64">
        <v>0.54</v>
      </c>
      <c r="J25" s="64">
        <v>0.15</v>
      </c>
      <c r="K25" s="64">
        <v>266.61</v>
      </c>
      <c r="L25" s="64">
        <v>24.48</v>
      </c>
      <c r="M25" s="64">
        <v>47.03</v>
      </c>
      <c r="N25" s="64">
        <v>6.2</v>
      </c>
      <c r="O25" s="64">
        <v>0</v>
      </c>
      <c r="P25" s="64">
        <v>0.91</v>
      </c>
      <c r="Q25" s="64">
        <v>26.91</v>
      </c>
      <c r="R25" s="198"/>
      <c r="S25" s="198"/>
      <c r="T25" s="198"/>
      <c r="U25" s="198"/>
    </row>
    <row r="26" spans="1:21" s="12" customFormat="1" x14ac:dyDescent="0.25">
      <c r="A26" s="211" t="s">
        <v>1607</v>
      </c>
      <c r="B26" s="64">
        <v>11.62</v>
      </c>
      <c r="C26" s="64">
        <v>41.45</v>
      </c>
      <c r="D26" s="64">
        <v>32.840000000000003</v>
      </c>
      <c r="E26" s="64">
        <v>7.9</v>
      </c>
      <c r="F26" s="64">
        <v>11.39</v>
      </c>
      <c r="G26" s="64">
        <v>63.39</v>
      </c>
      <c r="H26" s="64">
        <v>37.75</v>
      </c>
      <c r="I26" s="64">
        <v>0.54</v>
      </c>
      <c r="J26" s="64">
        <v>0.16</v>
      </c>
      <c r="K26" s="64">
        <v>257.95</v>
      </c>
      <c r="L26" s="64">
        <v>24.27</v>
      </c>
      <c r="M26" s="64">
        <v>49.09</v>
      </c>
      <c r="N26" s="64">
        <v>6.2</v>
      </c>
      <c r="O26" s="64">
        <v>0</v>
      </c>
      <c r="P26" s="64">
        <v>1</v>
      </c>
      <c r="Q26" s="64">
        <v>26.64</v>
      </c>
      <c r="R26" s="198"/>
      <c r="S26" s="198"/>
      <c r="T26" s="198"/>
      <c r="U26" s="198"/>
    </row>
    <row r="27" spans="1:21" s="12" customFormat="1" x14ac:dyDescent="0.25">
      <c r="A27" s="211" t="s">
        <v>1608</v>
      </c>
      <c r="B27" s="64">
        <v>13.65</v>
      </c>
      <c r="C27" s="64">
        <v>41.33</v>
      </c>
      <c r="D27" s="64">
        <v>34.4</v>
      </c>
      <c r="E27" s="64">
        <v>6.47</v>
      </c>
      <c r="F27" s="64">
        <v>6.53</v>
      </c>
      <c r="G27" s="64">
        <v>63.39</v>
      </c>
      <c r="H27" s="64">
        <v>37.75</v>
      </c>
      <c r="I27" s="64">
        <v>0.55000000000000004</v>
      </c>
      <c r="J27" s="64">
        <v>0.16</v>
      </c>
      <c r="K27" s="64">
        <v>263.25</v>
      </c>
      <c r="L27" s="64">
        <v>24.56</v>
      </c>
      <c r="M27" s="64">
        <v>48.19</v>
      </c>
      <c r="N27" s="64">
        <v>6.1</v>
      </c>
      <c r="O27" s="64">
        <v>0</v>
      </c>
      <c r="P27" s="64">
        <v>1.08</v>
      </c>
      <c r="Q27" s="64">
        <v>26.76</v>
      </c>
      <c r="R27" s="198"/>
      <c r="S27" s="198"/>
      <c r="T27" s="198"/>
      <c r="U27" s="198"/>
    </row>
    <row r="28" spans="1:21" s="12" customFormat="1" x14ac:dyDescent="0.25">
      <c r="A28" s="211" t="s">
        <v>1609</v>
      </c>
      <c r="B28" s="64">
        <v>14.95</v>
      </c>
      <c r="C28" s="64">
        <v>42.69</v>
      </c>
      <c r="D28" s="64">
        <v>36.19</v>
      </c>
      <c r="E28" s="64">
        <v>5.89</v>
      </c>
      <c r="F28" s="64">
        <v>5.36</v>
      </c>
      <c r="G28" s="64">
        <v>61.3</v>
      </c>
      <c r="H28" s="64">
        <v>34.880000000000003</v>
      </c>
      <c r="I28" s="64">
        <v>0.59</v>
      </c>
      <c r="J28" s="64">
        <v>0.18</v>
      </c>
      <c r="K28" s="64">
        <v>267.41000000000003</v>
      </c>
      <c r="L28" s="64">
        <v>24.39</v>
      </c>
      <c r="M28" s="64">
        <v>52.69</v>
      </c>
      <c r="N28" s="64">
        <v>6.6</v>
      </c>
      <c r="O28" s="64">
        <v>0</v>
      </c>
      <c r="P28" s="64">
        <v>1.07</v>
      </c>
      <c r="Q28" s="64">
        <v>26.88</v>
      </c>
      <c r="R28" s="198"/>
      <c r="S28" s="198"/>
      <c r="T28" s="198"/>
      <c r="U28" s="198"/>
    </row>
    <row r="29" spans="1:21" s="12" customFormat="1" x14ac:dyDescent="0.25">
      <c r="A29" s="211" t="s">
        <v>1610</v>
      </c>
      <c r="B29" s="64">
        <v>15.1</v>
      </c>
      <c r="C29" s="64">
        <v>41.93</v>
      </c>
      <c r="D29" s="64">
        <v>35.9</v>
      </c>
      <c r="E29" s="64">
        <v>5.57</v>
      </c>
      <c r="F29" s="64">
        <v>4.75</v>
      </c>
      <c r="G29" s="64">
        <v>61.3</v>
      </c>
      <c r="H29" s="64">
        <v>34.880000000000003</v>
      </c>
      <c r="I29" s="64">
        <v>0.75</v>
      </c>
      <c r="J29" s="64">
        <v>0.1</v>
      </c>
      <c r="K29" s="64">
        <v>268.08</v>
      </c>
      <c r="L29" s="64">
        <v>24.33</v>
      </c>
      <c r="M29" s="64">
        <v>49.32</v>
      </c>
      <c r="N29" s="64">
        <v>6.7</v>
      </c>
      <c r="O29" s="64">
        <v>0</v>
      </c>
      <c r="P29" s="64">
        <v>1.08</v>
      </c>
      <c r="Q29" s="64">
        <v>27.09</v>
      </c>
      <c r="R29" s="198"/>
      <c r="S29" s="198"/>
      <c r="T29" s="198"/>
      <c r="U29" s="198"/>
    </row>
    <row r="30" spans="1:21" s="12" customFormat="1" x14ac:dyDescent="0.25">
      <c r="A30" s="211" t="s">
        <v>1611</v>
      </c>
      <c r="B30" s="64">
        <v>14.7</v>
      </c>
      <c r="C30" s="64">
        <v>42.18</v>
      </c>
      <c r="D30" s="64">
        <v>35.71</v>
      </c>
      <c r="E30" s="64">
        <v>4.67</v>
      </c>
      <c r="F30" s="64">
        <v>4.32</v>
      </c>
      <c r="G30" s="64">
        <v>61.3</v>
      </c>
      <c r="H30" s="64">
        <v>34.880000000000003</v>
      </c>
      <c r="I30" s="64">
        <v>0.76</v>
      </c>
      <c r="J30" s="64">
        <v>0.26</v>
      </c>
      <c r="K30" s="64">
        <v>251.99</v>
      </c>
      <c r="L30" s="64">
        <v>24.93</v>
      </c>
      <c r="M30" s="64">
        <v>46.3</v>
      </c>
      <c r="N30" s="64">
        <v>9.8000000000000007</v>
      </c>
      <c r="O30" s="64">
        <v>0</v>
      </c>
      <c r="P30" s="64">
        <v>1.08</v>
      </c>
      <c r="Q30" s="64">
        <v>26.94</v>
      </c>
      <c r="R30" s="198"/>
      <c r="S30" s="198"/>
      <c r="T30" s="198"/>
      <c r="U30" s="198"/>
    </row>
    <row r="31" spans="1:21" s="12" customFormat="1" x14ac:dyDescent="0.25">
      <c r="A31" s="211" t="s">
        <v>1612</v>
      </c>
      <c r="B31" s="64">
        <v>13.1</v>
      </c>
      <c r="C31" s="64">
        <v>42.72</v>
      </c>
      <c r="D31" s="64">
        <v>34.729999999999997</v>
      </c>
      <c r="E31" s="64">
        <v>4.8099999999999996</v>
      </c>
      <c r="F31" s="64">
        <v>3.75</v>
      </c>
      <c r="G31" s="64">
        <v>61.3</v>
      </c>
      <c r="H31" s="64">
        <v>34.880000000000003</v>
      </c>
      <c r="I31" s="64">
        <v>0.75</v>
      </c>
      <c r="J31" s="64">
        <v>7.0000000000000007E-2</v>
      </c>
      <c r="K31" s="64">
        <v>286.08</v>
      </c>
      <c r="L31" s="64">
        <v>24.86</v>
      </c>
      <c r="M31" s="64">
        <v>46.93</v>
      </c>
      <c r="N31" s="64">
        <v>22.7</v>
      </c>
      <c r="O31" s="64">
        <v>0</v>
      </c>
      <c r="P31" s="64">
        <v>1.05</v>
      </c>
      <c r="Q31" s="64">
        <v>26.93</v>
      </c>
      <c r="R31" s="198"/>
      <c r="S31" s="198"/>
      <c r="T31" s="198"/>
      <c r="U31" s="198"/>
    </row>
    <row r="32" spans="1:21" s="12" customFormat="1" x14ac:dyDescent="0.25">
      <c r="A32" s="211" t="s">
        <v>1613</v>
      </c>
      <c r="B32" s="64">
        <v>11.56</v>
      </c>
      <c r="C32" s="64">
        <v>43.62</v>
      </c>
      <c r="D32" s="64">
        <v>33.99</v>
      </c>
      <c r="E32" s="64">
        <v>4.5</v>
      </c>
      <c r="F32" s="64">
        <v>3.79</v>
      </c>
      <c r="G32" s="64">
        <v>62.4</v>
      </c>
      <c r="H32" s="64">
        <v>36.57</v>
      </c>
      <c r="I32" s="64">
        <v>0.74</v>
      </c>
      <c r="J32" s="64">
        <v>0.09</v>
      </c>
      <c r="K32" s="64">
        <v>272.3</v>
      </c>
      <c r="L32" s="64">
        <v>25</v>
      </c>
      <c r="M32" s="64">
        <v>46.66</v>
      </c>
      <c r="N32" s="64">
        <v>39.700000000000003</v>
      </c>
      <c r="O32" s="64">
        <v>0</v>
      </c>
      <c r="P32" s="64">
        <v>1.03</v>
      </c>
      <c r="Q32" s="64">
        <v>26.88</v>
      </c>
      <c r="R32" s="198"/>
      <c r="S32" s="198"/>
      <c r="T32" s="198"/>
      <c r="U32" s="198"/>
    </row>
    <row r="33" spans="1:21" s="12" customFormat="1" x14ac:dyDescent="0.25">
      <c r="A33" s="211" t="s">
        <v>1614</v>
      </c>
      <c r="B33" s="64">
        <v>10.32</v>
      </c>
      <c r="C33" s="64">
        <v>44.31</v>
      </c>
      <c r="D33" s="64">
        <v>33.380000000000003</v>
      </c>
      <c r="E33" s="64">
        <v>4.7300000000000004</v>
      </c>
      <c r="F33" s="64">
        <v>5.0199999999999996</v>
      </c>
      <c r="G33" s="64">
        <v>62.4</v>
      </c>
      <c r="H33" s="64">
        <v>36.57</v>
      </c>
      <c r="I33" s="64">
        <v>0.72</v>
      </c>
      <c r="J33" s="64">
        <v>0.09</v>
      </c>
      <c r="K33" s="64">
        <v>261.3</v>
      </c>
      <c r="L33" s="64">
        <v>24.85</v>
      </c>
      <c r="M33" s="64">
        <v>48.8</v>
      </c>
      <c r="N33" s="64">
        <v>51.8</v>
      </c>
      <c r="O33" s="64">
        <v>0</v>
      </c>
      <c r="P33" s="64">
        <v>1.03</v>
      </c>
      <c r="Q33" s="64">
        <v>26.36</v>
      </c>
      <c r="R33" s="198"/>
      <c r="S33" s="198"/>
      <c r="T33" s="198"/>
      <c r="U33" s="198"/>
    </row>
    <row r="34" spans="1:21" s="12" customFormat="1" x14ac:dyDescent="0.25">
      <c r="A34" s="211" t="s">
        <v>1615</v>
      </c>
      <c r="B34" s="64">
        <v>27.7</v>
      </c>
      <c r="C34" s="64">
        <v>58.62</v>
      </c>
      <c r="D34" s="64">
        <v>55.21</v>
      </c>
      <c r="E34" s="64">
        <v>6.08</v>
      </c>
      <c r="F34" s="64">
        <v>6.61</v>
      </c>
      <c r="G34" s="64">
        <v>62.4</v>
      </c>
      <c r="H34" s="64">
        <v>36.57</v>
      </c>
      <c r="I34" s="64">
        <v>0.69</v>
      </c>
      <c r="J34" s="64">
        <v>7.0000000000000007E-2</v>
      </c>
      <c r="K34" s="64">
        <v>213.76</v>
      </c>
      <c r="L34" s="64">
        <v>25.14</v>
      </c>
      <c r="M34" s="64">
        <v>50.14</v>
      </c>
      <c r="N34" s="64">
        <v>95.3</v>
      </c>
      <c r="O34" s="64">
        <v>0</v>
      </c>
      <c r="P34" s="64">
        <v>1.27</v>
      </c>
      <c r="Q34" s="64">
        <v>24.42</v>
      </c>
      <c r="R34" s="198"/>
      <c r="S34" s="198"/>
      <c r="T34" s="198"/>
      <c r="U34" s="198"/>
    </row>
    <row r="35" spans="1:21" s="12" customFormat="1" x14ac:dyDescent="0.25">
      <c r="A35" s="211" t="s">
        <v>1616</v>
      </c>
      <c r="B35" s="64">
        <v>15.36</v>
      </c>
      <c r="C35" s="64">
        <v>54.18</v>
      </c>
      <c r="D35" s="64">
        <v>42.86</v>
      </c>
      <c r="E35" s="64">
        <v>7.21</v>
      </c>
      <c r="F35" s="64">
        <v>9.1199999999999992</v>
      </c>
      <c r="G35" s="64">
        <v>62.4</v>
      </c>
      <c r="H35" s="64">
        <v>36.57</v>
      </c>
      <c r="I35" s="64">
        <v>0.6</v>
      </c>
      <c r="J35" s="64">
        <v>0.27</v>
      </c>
      <c r="K35" s="64">
        <v>224.26</v>
      </c>
      <c r="L35" s="64">
        <v>26.39</v>
      </c>
      <c r="M35" s="64">
        <v>45.07</v>
      </c>
      <c r="N35" s="64">
        <v>164.7</v>
      </c>
      <c r="O35" s="64">
        <v>0</v>
      </c>
      <c r="P35" s="64">
        <v>1.06</v>
      </c>
      <c r="Q35" s="64">
        <v>23.35</v>
      </c>
      <c r="R35" s="198"/>
      <c r="S35" s="198"/>
      <c r="T35" s="198"/>
      <c r="U35" s="198"/>
    </row>
    <row r="36" spans="1:21" s="12" customFormat="1" x14ac:dyDescent="0.25">
      <c r="A36" s="211" t="s">
        <v>1617</v>
      </c>
      <c r="B36" s="64">
        <v>8.2200000000000006</v>
      </c>
      <c r="C36" s="64">
        <v>42.14</v>
      </c>
      <c r="D36" s="64">
        <v>30.49</v>
      </c>
      <c r="E36" s="64">
        <v>7.85</v>
      </c>
      <c r="F36" s="64">
        <v>17.62</v>
      </c>
      <c r="G36" s="64">
        <v>80.09</v>
      </c>
      <c r="H36" s="64">
        <v>38.26</v>
      </c>
      <c r="I36" s="64">
        <v>0.57999999999999996</v>
      </c>
      <c r="J36" s="64">
        <v>0.13</v>
      </c>
      <c r="K36" s="64">
        <v>233.68</v>
      </c>
      <c r="L36" s="64">
        <v>27.35</v>
      </c>
      <c r="M36" s="64">
        <v>41.61</v>
      </c>
      <c r="N36" s="64">
        <v>211.1</v>
      </c>
      <c r="O36" s="64">
        <v>0</v>
      </c>
      <c r="P36" s="64">
        <v>0.95</v>
      </c>
      <c r="Q36" s="64">
        <v>25.71</v>
      </c>
      <c r="R36" s="198"/>
      <c r="S36" s="198"/>
      <c r="T36" s="198"/>
      <c r="U36" s="198"/>
    </row>
    <row r="37" spans="1:21" s="12" customFormat="1" x14ac:dyDescent="0.25">
      <c r="A37" s="211" t="s">
        <v>1618</v>
      </c>
      <c r="B37" s="64">
        <v>7.24</v>
      </c>
      <c r="C37" s="64">
        <v>37.26</v>
      </c>
      <c r="D37" s="64">
        <v>27.01</v>
      </c>
      <c r="E37" s="64">
        <v>7.45</v>
      </c>
      <c r="F37" s="64">
        <v>17.989999999999998</v>
      </c>
      <c r="G37" s="64">
        <v>80.09</v>
      </c>
      <c r="H37" s="64">
        <v>38.26</v>
      </c>
      <c r="I37" s="64">
        <v>0.62</v>
      </c>
      <c r="J37" s="64">
        <v>0.27</v>
      </c>
      <c r="K37" s="64">
        <v>237.59</v>
      </c>
      <c r="L37" s="64">
        <v>27.73</v>
      </c>
      <c r="M37" s="64">
        <v>41.48</v>
      </c>
      <c r="N37" s="64">
        <v>266.10000000000002</v>
      </c>
      <c r="O37" s="64">
        <v>0</v>
      </c>
      <c r="P37" s="64">
        <v>0.92</v>
      </c>
      <c r="Q37" s="64">
        <v>26.34</v>
      </c>
      <c r="R37" s="198"/>
      <c r="S37" s="198"/>
      <c r="T37" s="198"/>
      <c r="U37" s="198"/>
    </row>
    <row r="38" spans="1:21" s="12" customFormat="1" x14ac:dyDescent="0.25">
      <c r="A38" s="211" t="s">
        <v>1619</v>
      </c>
      <c r="B38" s="64">
        <v>8.69</v>
      </c>
      <c r="C38" s="64">
        <v>38.619999999999997</v>
      </c>
      <c r="D38" s="64">
        <v>28.93</v>
      </c>
      <c r="E38" s="64">
        <v>7.44</v>
      </c>
      <c r="F38" s="64">
        <v>14.15</v>
      </c>
      <c r="G38" s="64">
        <v>80.09</v>
      </c>
      <c r="H38" s="64">
        <v>38.26</v>
      </c>
      <c r="I38" s="64">
        <v>0.57999999999999996</v>
      </c>
      <c r="J38" s="64">
        <v>0.06</v>
      </c>
      <c r="K38" s="64">
        <v>269.43</v>
      </c>
      <c r="L38" s="64">
        <v>28.78</v>
      </c>
      <c r="M38" s="64">
        <v>40.090000000000003</v>
      </c>
      <c r="N38" s="64">
        <v>312.39999999999998</v>
      </c>
      <c r="O38" s="64">
        <v>0</v>
      </c>
      <c r="P38" s="64">
        <v>0.97</v>
      </c>
      <c r="Q38" s="64">
        <v>26.29</v>
      </c>
      <c r="R38" s="198"/>
      <c r="S38" s="198"/>
      <c r="T38" s="198"/>
      <c r="U38" s="198"/>
    </row>
    <row r="39" spans="1:21" s="12" customFormat="1" x14ac:dyDescent="0.25">
      <c r="A39" s="211" t="s">
        <v>1620</v>
      </c>
      <c r="B39" s="64">
        <v>9.41</v>
      </c>
      <c r="C39" s="64">
        <v>40.25</v>
      </c>
      <c r="D39" s="64">
        <v>30.41</v>
      </c>
      <c r="E39" s="64">
        <v>6.04</v>
      </c>
      <c r="F39" s="64">
        <v>5.8</v>
      </c>
      <c r="G39" s="64">
        <v>80.09</v>
      </c>
      <c r="H39" s="64">
        <v>38.26</v>
      </c>
      <c r="I39" s="64">
        <v>0.6</v>
      </c>
      <c r="J39" s="64">
        <v>0.05</v>
      </c>
      <c r="K39" s="64">
        <v>263.95</v>
      </c>
      <c r="L39" s="64">
        <v>30.06</v>
      </c>
      <c r="M39" s="64">
        <v>38.020000000000003</v>
      </c>
      <c r="N39" s="64">
        <v>364.9</v>
      </c>
      <c r="O39" s="64">
        <v>0</v>
      </c>
      <c r="P39" s="64">
        <v>1.03</v>
      </c>
      <c r="Q39" s="64">
        <v>25.96</v>
      </c>
      <c r="R39" s="198"/>
      <c r="S39" s="198"/>
      <c r="T39" s="198"/>
      <c r="U39" s="198"/>
    </row>
    <row r="40" spans="1:21" s="12" customFormat="1" x14ac:dyDescent="0.25">
      <c r="A40" s="211" t="s">
        <v>1621</v>
      </c>
      <c r="B40" s="64">
        <v>7.5</v>
      </c>
      <c r="C40" s="64">
        <v>43.36</v>
      </c>
      <c r="D40" s="64">
        <v>30.59</v>
      </c>
      <c r="E40" s="64">
        <v>4.26</v>
      </c>
      <c r="F40" s="64">
        <v>6.63</v>
      </c>
      <c r="G40" s="64">
        <v>74.58</v>
      </c>
      <c r="H40" s="64">
        <v>34.08</v>
      </c>
      <c r="I40" s="64">
        <v>0.71</v>
      </c>
      <c r="J40" s="64">
        <v>0.03</v>
      </c>
      <c r="K40" s="64">
        <v>342.14</v>
      </c>
      <c r="L40" s="64">
        <v>30.26</v>
      </c>
      <c r="M40" s="64">
        <v>38.92</v>
      </c>
      <c r="N40" s="64">
        <v>419.1</v>
      </c>
      <c r="O40" s="64">
        <v>0</v>
      </c>
      <c r="P40" s="64">
        <v>1.03</v>
      </c>
      <c r="Q40" s="64">
        <v>26.24</v>
      </c>
      <c r="R40" s="198"/>
      <c r="S40" s="198"/>
      <c r="T40" s="198"/>
      <c r="U40" s="198"/>
    </row>
    <row r="41" spans="1:21" s="12" customFormat="1" x14ac:dyDescent="0.25">
      <c r="A41" s="211" t="s">
        <v>1622</v>
      </c>
      <c r="B41" s="64">
        <v>5.79</v>
      </c>
      <c r="C41" s="64">
        <v>46.75</v>
      </c>
      <c r="D41" s="64">
        <v>31.09</v>
      </c>
      <c r="E41" s="64">
        <v>4.76</v>
      </c>
      <c r="F41" s="64">
        <v>5.24</v>
      </c>
      <c r="G41" s="64">
        <v>74.58</v>
      </c>
      <c r="H41" s="64">
        <v>34.08</v>
      </c>
      <c r="I41" s="64">
        <v>0.74</v>
      </c>
      <c r="J41" s="64">
        <v>7.0000000000000007E-2</v>
      </c>
      <c r="K41" s="64">
        <v>274.98</v>
      </c>
      <c r="L41" s="64">
        <v>31.9</v>
      </c>
      <c r="M41" s="64">
        <v>35.08</v>
      </c>
      <c r="N41" s="64">
        <v>463.6</v>
      </c>
      <c r="O41" s="64">
        <v>0</v>
      </c>
      <c r="P41" s="64">
        <v>1.03</v>
      </c>
      <c r="Q41" s="64">
        <v>26.1</v>
      </c>
      <c r="R41" s="198"/>
      <c r="S41" s="198"/>
      <c r="T41" s="198"/>
      <c r="U41" s="198"/>
    </row>
    <row r="42" spans="1:21" s="12" customFormat="1" x14ac:dyDescent="0.25">
      <c r="A42" s="211" t="s">
        <v>1623</v>
      </c>
      <c r="B42" s="64">
        <v>4.26</v>
      </c>
      <c r="C42" s="64">
        <v>47.17</v>
      </c>
      <c r="D42" s="64">
        <v>30.1</v>
      </c>
      <c r="E42" s="64">
        <v>5.48</v>
      </c>
      <c r="F42" s="64">
        <v>8</v>
      </c>
      <c r="G42" s="64">
        <v>74.58</v>
      </c>
      <c r="H42" s="64">
        <v>34.08</v>
      </c>
      <c r="I42" s="64">
        <v>0.71</v>
      </c>
      <c r="J42" s="64">
        <v>0.1</v>
      </c>
      <c r="K42" s="64">
        <v>259.5</v>
      </c>
      <c r="L42" s="64">
        <v>32.97</v>
      </c>
      <c r="M42" s="64">
        <v>32.380000000000003</v>
      </c>
      <c r="N42" s="64">
        <v>512.4</v>
      </c>
      <c r="O42" s="64">
        <v>0</v>
      </c>
      <c r="P42" s="64">
        <v>1.0900000000000001</v>
      </c>
      <c r="Q42" s="64">
        <v>25.62</v>
      </c>
      <c r="R42" s="198"/>
      <c r="S42" s="198"/>
      <c r="T42" s="198"/>
      <c r="U42" s="198"/>
    </row>
    <row r="43" spans="1:21" s="12" customFormat="1" x14ac:dyDescent="0.25">
      <c r="A43" s="211" t="s">
        <v>1624</v>
      </c>
      <c r="B43" s="64">
        <v>3.39</v>
      </c>
      <c r="C43" s="64">
        <v>49.27</v>
      </c>
      <c r="D43" s="64">
        <v>30.56</v>
      </c>
      <c r="E43" s="64">
        <v>5.3</v>
      </c>
      <c r="F43" s="64">
        <v>8.36</v>
      </c>
      <c r="G43" s="64">
        <v>74.58</v>
      </c>
      <c r="H43" s="64">
        <v>34.08</v>
      </c>
      <c r="I43" s="64">
        <v>0.63</v>
      </c>
      <c r="J43" s="64">
        <v>0.21</v>
      </c>
      <c r="K43" s="64">
        <v>278.74</v>
      </c>
      <c r="L43" s="64">
        <v>34.03</v>
      </c>
      <c r="M43" s="64">
        <v>33.99</v>
      </c>
      <c r="N43" s="64">
        <v>560.20000000000005</v>
      </c>
      <c r="O43" s="64">
        <v>0</v>
      </c>
      <c r="P43" s="64">
        <v>1.1599999999999999</v>
      </c>
      <c r="Q43" s="64">
        <v>25.5</v>
      </c>
      <c r="R43" s="198"/>
      <c r="S43" s="198"/>
      <c r="T43" s="198"/>
      <c r="U43" s="198"/>
    </row>
    <row r="44" spans="1:21" s="12" customFormat="1" x14ac:dyDescent="0.25">
      <c r="A44" s="211" t="s">
        <v>1625</v>
      </c>
      <c r="B44" s="64">
        <v>2.92</v>
      </c>
      <c r="C44" s="64">
        <v>50.08</v>
      </c>
      <c r="D44" s="64">
        <v>30.63</v>
      </c>
      <c r="E44" s="64">
        <v>5.1100000000000003</v>
      </c>
      <c r="F44" s="64">
        <v>8.11</v>
      </c>
      <c r="G44" s="64">
        <v>86.26</v>
      </c>
      <c r="H44" s="64">
        <v>37.369999999999997</v>
      </c>
      <c r="I44" s="64">
        <v>0.63</v>
      </c>
      <c r="J44" s="64">
        <v>0.79</v>
      </c>
      <c r="K44" s="64">
        <v>274.89999999999998</v>
      </c>
      <c r="L44" s="64">
        <v>34.96</v>
      </c>
      <c r="M44" s="64">
        <v>30.04</v>
      </c>
      <c r="N44" s="64">
        <v>607.4</v>
      </c>
      <c r="O44" s="64">
        <v>0</v>
      </c>
      <c r="P44" s="64">
        <v>1.2</v>
      </c>
      <c r="Q44" s="64">
        <v>25.25</v>
      </c>
      <c r="R44" s="198"/>
      <c r="S44" s="198"/>
      <c r="T44" s="198"/>
      <c r="U44" s="198"/>
    </row>
    <row r="45" spans="1:21" s="12" customFormat="1" x14ac:dyDescent="0.25">
      <c r="A45" s="211" t="s">
        <v>1626</v>
      </c>
      <c r="B45" s="64">
        <v>2.66</v>
      </c>
      <c r="C45" s="64">
        <v>51.49</v>
      </c>
      <c r="D45" s="64">
        <v>31.2</v>
      </c>
      <c r="E45" s="64">
        <v>4.93</v>
      </c>
      <c r="F45" s="64">
        <v>11.51</v>
      </c>
      <c r="G45" s="64">
        <v>86.26</v>
      </c>
      <c r="H45" s="64">
        <v>37.369999999999997</v>
      </c>
      <c r="I45" s="64">
        <v>0.63</v>
      </c>
      <c r="J45" s="64">
        <v>1.37</v>
      </c>
      <c r="K45" s="64">
        <v>270.29000000000002</v>
      </c>
      <c r="L45" s="64">
        <v>36.909999999999997</v>
      </c>
      <c r="M45" s="64">
        <v>21.38</v>
      </c>
      <c r="N45" s="64">
        <v>662.6</v>
      </c>
      <c r="O45" s="64">
        <v>0</v>
      </c>
      <c r="P45" s="64">
        <v>1.17</v>
      </c>
      <c r="Q45" s="64">
        <v>25.07</v>
      </c>
      <c r="R45" s="198"/>
      <c r="S45" s="198"/>
      <c r="T45" s="198"/>
      <c r="U45" s="198"/>
    </row>
    <row r="46" spans="1:21" s="12" customFormat="1" x14ac:dyDescent="0.25">
      <c r="A46" s="211" t="s">
        <v>1627</v>
      </c>
      <c r="B46" s="64">
        <v>3.87</v>
      </c>
      <c r="C46" s="64">
        <v>41.04</v>
      </c>
      <c r="D46" s="64">
        <v>26.4</v>
      </c>
      <c r="E46" s="64">
        <v>5.34</v>
      </c>
      <c r="F46" s="64">
        <v>11.77</v>
      </c>
      <c r="G46" s="64">
        <v>86.26</v>
      </c>
      <c r="H46" s="64">
        <v>37.369999999999997</v>
      </c>
      <c r="I46" s="64">
        <v>0.6</v>
      </c>
      <c r="J46" s="64">
        <v>1.42</v>
      </c>
      <c r="K46" s="64">
        <v>273.98</v>
      </c>
      <c r="L46" s="64">
        <v>38.130000000000003</v>
      </c>
      <c r="M46" s="64">
        <v>18.86</v>
      </c>
      <c r="N46" s="64">
        <v>692.4</v>
      </c>
      <c r="O46" s="64">
        <v>0</v>
      </c>
      <c r="P46" s="64">
        <v>1.1100000000000001</v>
      </c>
      <c r="Q46" s="64">
        <v>25.1</v>
      </c>
      <c r="R46" s="198"/>
      <c r="S46" s="198"/>
      <c r="T46" s="198"/>
      <c r="U46" s="198"/>
    </row>
    <row r="47" spans="1:21" s="12" customFormat="1" x14ac:dyDescent="0.25">
      <c r="A47" s="211" t="s">
        <v>1628</v>
      </c>
      <c r="B47" s="64">
        <v>4.37</v>
      </c>
      <c r="C47" s="64">
        <v>41.02</v>
      </c>
      <c r="D47" s="64">
        <v>26.78</v>
      </c>
      <c r="E47" s="64">
        <v>5.14</v>
      </c>
      <c r="F47" s="64">
        <v>12.04</v>
      </c>
      <c r="G47" s="64">
        <v>86.26</v>
      </c>
      <c r="H47" s="64">
        <v>37.369999999999997</v>
      </c>
      <c r="I47" s="64">
        <v>0.59</v>
      </c>
      <c r="J47" s="64">
        <v>1.62</v>
      </c>
      <c r="K47" s="64">
        <v>277.39</v>
      </c>
      <c r="L47" s="64">
        <v>38.6</v>
      </c>
      <c r="M47" s="64">
        <v>17.3</v>
      </c>
      <c r="N47" s="64">
        <v>727.7</v>
      </c>
      <c r="O47" s="64">
        <v>0</v>
      </c>
      <c r="P47" s="64">
        <v>1.07</v>
      </c>
      <c r="Q47" s="64">
        <v>24.15</v>
      </c>
      <c r="R47" s="198"/>
      <c r="S47" s="198"/>
      <c r="T47" s="198"/>
      <c r="U47" s="198"/>
    </row>
    <row r="48" spans="1:21" s="12" customFormat="1" x14ac:dyDescent="0.25">
      <c r="A48" s="211" t="s">
        <v>1629</v>
      </c>
      <c r="B48" s="64">
        <v>4.43</v>
      </c>
      <c r="C48" s="64">
        <v>42.53</v>
      </c>
      <c r="D48" s="64">
        <v>27.67</v>
      </c>
      <c r="E48" s="64">
        <v>5.31</v>
      </c>
      <c r="F48" s="64">
        <v>10.46</v>
      </c>
      <c r="G48" s="64">
        <v>75.14</v>
      </c>
      <c r="H48" s="64">
        <v>37.19</v>
      </c>
      <c r="I48" s="64">
        <v>0.59</v>
      </c>
      <c r="J48" s="64">
        <v>2.3199999999999998</v>
      </c>
      <c r="K48" s="64">
        <v>278.38</v>
      </c>
      <c r="L48" s="64">
        <v>38.159999999999997</v>
      </c>
      <c r="M48" s="64">
        <v>15.69</v>
      </c>
      <c r="N48" s="64">
        <v>760.4</v>
      </c>
      <c r="O48" s="64">
        <v>0</v>
      </c>
      <c r="P48" s="64">
        <v>1.02</v>
      </c>
      <c r="Q48" s="64">
        <v>23.51</v>
      </c>
      <c r="R48" s="198"/>
      <c r="S48" s="198"/>
      <c r="T48" s="198"/>
      <c r="U48" s="198"/>
    </row>
    <row r="49" spans="1:21" s="12" customFormat="1" x14ac:dyDescent="0.25">
      <c r="A49" s="211" t="s">
        <v>1630</v>
      </c>
      <c r="B49" s="64">
        <v>3.88</v>
      </c>
      <c r="C49" s="64">
        <v>45.59</v>
      </c>
      <c r="D49" s="64">
        <v>28.92</v>
      </c>
      <c r="E49" s="64">
        <v>4.53</v>
      </c>
      <c r="F49" s="64">
        <v>9.83</v>
      </c>
      <c r="G49" s="64">
        <v>75.14</v>
      </c>
      <c r="H49" s="64">
        <v>37.19</v>
      </c>
      <c r="I49" s="64">
        <v>0.59</v>
      </c>
      <c r="J49" s="64">
        <v>2.36</v>
      </c>
      <c r="K49" s="64">
        <v>274.04000000000002</v>
      </c>
      <c r="L49" s="64">
        <v>38.229999999999997</v>
      </c>
      <c r="M49" s="64">
        <v>15.87</v>
      </c>
      <c r="N49" s="64">
        <v>784.8</v>
      </c>
      <c r="O49" s="64">
        <v>0</v>
      </c>
      <c r="P49" s="64">
        <v>0.98</v>
      </c>
      <c r="Q49" s="64">
        <v>23.09</v>
      </c>
      <c r="R49" s="198"/>
      <c r="S49" s="198"/>
      <c r="T49" s="198"/>
      <c r="U49" s="198"/>
    </row>
    <row r="50" spans="1:21" s="12" customFormat="1" x14ac:dyDescent="0.25">
      <c r="A50" s="211" t="s">
        <v>1631</v>
      </c>
      <c r="B50" s="64">
        <v>2.92</v>
      </c>
      <c r="C50" s="64">
        <v>44.87</v>
      </c>
      <c r="D50" s="64">
        <v>27.75</v>
      </c>
      <c r="E50" s="64">
        <v>4.8600000000000003</v>
      </c>
      <c r="F50" s="64">
        <v>15.89</v>
      </c>
      <c r="G50" s="64">
        <v>75.14</v>
      </c>
      <c r="H50" s="64">
        <v>37.19</v>
      </c>
      <c r="I50" s="64">
        <v>0.59</v>
      </c>
      <c r="J50" s="64">
        <v>2.39</v>
      </c>
      <c r="K50" s="64">
        <v>274.44</v>
      </c>
      <c r="L50" s="64">
        <v>38.54</v>
      </c>
      <c r="M50" s="64">
        <v>15.22</v>
      </c>
      <c r="N50" s="64">
        <v>812.5</v>
      </c>
      <c r="O50" s="64">
        <v>0</v>
      </c>
      <c r="P50" s="64">
        <v>0.91</v>
      </c>
      <c r="Q50" s="64">
        <v>22.63</v>
      </c>
      <c r="R50" s="198"/>
      <c r="S50" s="198"/>
      <c r="T50" s="198"/>
      <c r="U50" s="198"/>
    </row>
    <row r="51" spans="1:21" s="12" customFormat="1" x14ac:dyDescent="0.25">
      <c r="A51" s="211" t="s">
        <v>1632</v>
      </c>
      <c r="B51" s="64">
        <v>2.13</v>
      </c>
      <c r="C51" s="64">
        <v>44.12</v>
      </c>
      <c r="D51" s="64">
        <v>26.7</v>
      </c>
      <c r="E51" s="64">
        <v>2.66</v>
      </c>
      <c r="F51" s="64">
        <v>30.7</v>
      </c>
      <c r="G51" s="64">
        <v>75.14</v>
      </c>
      <c r="H51" s="64">
        <v>37.19</v>
      </c>
      <c r="I51" s="64">
        <v>0.59</v>
      </c>
      <c r="J51" s="64">
        <v>2.63</v>
      </c>
      <c r="K51" s="64">
        <v>272.25</v>
      </c>
      <c r="L51" s="64">
        <v>38.770000000000003</v>
      </c>
      <c r="M51" s="64">
        <v>14.3</v>
      </c>
      <c r="N51" s="64">
        <v>834.1</v>
      </c>
      <c r="O51" s="64">
        <v>0</v>
      </c>
      <c r="P51" s="64">
        <v>0.56999999999999995</v>
      </c>
      <c r="Q51" s="64">
        <v>20.53</v>
      </c>
      <c r="R51" s="198"/>
      <c r="S51" s="198"/>
      <c r="T51" s="198"/>
      <c r="U51" s="198"/>
    </row>
    <row r="52" spans="1:21" s="12" customFormat="1" x14ac:dyDescent="0.25">
      <c r="A52" s="211" t="s">
        <v>1633</v>
      </c>
      <c r="B52" s="64">
        <v>2.64</v>
      </c>
      <c r="C52" s="64">
        <v>43.85</v>
      </c>
      <c r="D52" s="64">
        <v>26.96</v>
      </c>
      <c r="E52" s="64">
        <v>1.85</v>
      </c>
      <c r="F52" s="64">
        <v>16.649999999999999</v>
      </c>
      <c r="G52" s="64">
        <v>75.14</v>
      </c>
      <c r="H52" s="64">
        <v>37.19</v>
      </c>
      <c r="I52" s="64">
        <v>0.57999999999999996</v>
      </c>
      <c r="J52" s="64">
        <v>2.58</v>
      </c>
      <c r="K52" s="64">
        <v>270.82</v>
      </c>
      <c r="L52" s="64">
        <v>39.119999999999997</v>
      </c>
      <c r="M52" s="64">
        <v>14.03</v>
      </c>
      <c r="N52" s="64">
        <v>856.6</v>
      </c>
      <c r="O52" s="64">
        <v>0</v>
      </c>
      <c r="P52" s="64">
        <v>0.56999999999999995</v>
      </c>
      <c r="Q52" s="64">
        <v>19.54</v>
      </c>
      <c r="R52" s="198"/>
      <c r="S52" s="198"/>
      <c r="T52" s="198"/>
      <c r="U52" s="198"/>
    </row>
    <row r="53" spans="1:21" s="12" customFormat="1" x14ac:dyDescent="0.25">
      <c r="A53" s="211" t="s">
        <v>1634</v>
      </c>
      <c r="B53" s="64">
        <v>1.96</v>
      </c>
      <c r="C53" s="64">
        <v>42.78</v>
      </c>
      <c r="D53" s="64">
        <v>25.83</v>
      </c>
      <c r="E53" s="64">
        <v>1.87</v>
      </c>
      <c r="F53" s="64">
        <v>11</v>
      </c>
      <c r="G53" s="64">
        <v>75.14</v>
      </c>
      <c r="H53" s="64">
        <v>37.19</v>
      </c>
      <c r="I53" s="64">
        <v>0.49</v>
      </c>
      <c r="J53" s="64">
        <v>2.78</v>
      </c>
      <c r="K53" s="64">
        <v>269.85000000000002</v>
      </c>
      <c r="L53" s="64">
        <v>39.06</v>
      </c>
      <c r="M53" s="64">
        <v>13.88</v>
      </c>
      <c r="N53" s="64">
        <v>865.8</v>
      </c>
      <c r="O53" s="64">
        <v>0</v>
      </c>
      <c r="P53" s="64">
        <v>0.56999999999999995</v>
      </c>
      <c r="Q53" s="64">
        <v>19.54</v>
      </c>
      <c r="R53" s="198"/>
      <c r="S53" s="198"/>
      <c r="T53" s="198"/>
      <c r="U53" s="198"/>
    </row>
    <row r="54" spans="1:21" s="12" customFormat="1" x14ac:dyDescent="0.25">
      <c r="A54" s="211" t="s">
        <v>1635</v>
      </c>
      <c r="B54" s="64">
        <v>2.1800000000000002</v>
      </c>
      <c r="C54" s="64">
        <v>40.869999999999997</v>
      </c>
      <c r="D54" s="64">
        <v>24.95</v>
      </c>
      <c r="E54" s="64">
        <v>3.17</v>
      </c>
      <c r="F54" s="64">
        <v>18.11</v>
      </c>
      <c r="G54" s="64">
        <v>75.14</v>
      </c>
      <c r="H54" s="64">
        <v>37.19</v>
      </c>
      <c r="I54" s="64">
        <v>0.48</v>
      </c>
      <c r="J54" s="64">
        <v>2.15</v>
      </c>
      <c r="K54" s="64">
        <v>275.18</v>
      </c>
      <c r="L54" s="64">
        <v>39.36</v>
      </c>
      <c r="M54" s="64">
        <v>14.12</v>
      </c>
      <c r="N54" s="64">
        <v>837.5</v>
      </c>
      <c r="O54" s="64">
        <v>0</v>
      </c>
      <c r="P54" s="64">
        <v>0.56000000000000005</v>
      </c>
      <c r="Q54" s="64">
        <v>20.07</v>
      </c>
      <c r="R54" s="198"/>
      <c r="S54" s="198"/>
      <c r="T54" s="198"/>
      <c r="U54" s="198"/>
    </row>
    <row r="55" spans="1:21" s="12" customFormat="1" x14ac:dyDescent="0.25">
      <c r="A55" s="211" t="s">
        <v>1636</v>
      </c>
      <c r="B55" s="64">
        <v>3.5</v>
      </c>
      <c r="C55" s="64">
        <v>36.700000000000003</v>
      </c>
      <c r="D55" s="64">
        <v>23.71</v>
      </c>
      <c r="E55" s="209" t="s">
        <v>40</v>
      </c>
      <c r="F55" s="64">
        <v>28.97</v>
      </c>
      <c r="G55" s="64">
        <v>75.14</v>
      </c>
      <c r="H55" s="64">
        <v>37.19</v>
      </c>
      <c r="I55" s="64">
        <v>0.48</v>
      </c>
      <c r="J55" s="64">
        <v>1.58</v>
      </c>
      <c r="K55" s="64">
        <v>276.89</v>
      </c>
      <c r="L55" s="64">
        <v>39.549999999999997</v>
      </c>
      <c r="M55" s="64">
        <v>13.96</v>
      </c>
      <c r="N55" s="64">
        <v>838.2</v>
      </c>
      <c r="O55" s="64">
        <v>0</v>
      </c>
      <c r="P55" s="64">
        <v>0.57999999999999996</v>
      </c>
      <c r="Q55" s="64">
        <v>20.34</v>
      </c>
      <c r="R55" s="198"/>
      <c r="S55" s="198"/>
      <c r="T55" s="198"/>
      <c r="U55" s="198"/>
    </row>
    <row r="56" spans="1:21" s="12" customFormat="1" x14ac:dyDescent="0.25">
      <c r="A56" s="211" t="s">
        <v>1637</v>
      </c>
      <c r="B56" s="64">
        <v>2.02</v>
      </c>
      <c r="C56" s="64">
        <v>40.06</v>
      </c>
      <c r="D56" s="64">
        <v>24.37</v>
      </c>
      <c r="E56" s="209" t="s">
        <v>40</v>
      </c>
      <c r="F56" s="64">
        <v>18.649999999999999</v>
      </c>
      <c r="G56" s="64">
        <v>53.43</v>
      </c>
      <c r="H56" s="64">
        <v>14.05</v>
      </c>
      <c r="I56" s="64">
        <v>0.49</v>
      </c>
      <c r="J56" s="64">
        <v>1.7</v>
      </c>
      <c r="K56" s="64">
        <v>282.22000000000003</v>
      </c>
      <c r="L56" s="64">
        <v>40.1</v>
      </c>
      <c r="M56" s="64">
        <v>13.45</v>
      </c>
      <c r="N56" s="64">
        <v>856.8</v>
      </c>
      <c r="O56" s="64">
        <v>0</v>
      </c>
      <c r="P56" s="64">
        <v>0.6</v>
      </c>
      <c r="Q56" s="64">
        <v>20.97</v>
      </c>
      <c r="R56" s="198"/>
      <c r="S56" s="198"/>
      <c r="T56" s="198"/>
      <c r="U56" s="198"/>
    </row>
    <row r="57" spans="1:21" s="12" customFormat="1" x14ac:dyDescent="0.25">
      <c r="A57" s="211" t="s">
        <v>1638</v>
      </c>
      <c r="B57" s="64">
        <v>3.02</v>
      </c>
      <c r="C57" s="64">
        <v>41.19</v>
      </c>
      <c r="D57" s="64">
        <v>25.8</v>
      </c>
      <c r="E57" s="209" t="s">
        <v>40</v>
      </c>
      <c r="F57" s="64">
        <v>26.61</v>
      </c>
      <c r="G57" s="209" t="s">
        <v>40</v>
      </c>
      <c r="H57" s="209" t="s">
        <v>40</v>
      </c>
      <c r="I57" s="64">
        <v>0.5</v>
      </c>
      <c r="J57" s="64">
        <v>1.5</v>
      </c>
      <c r="K57" s="64">
        <v>286.64999999999998</v>
      </c>
      <c r="L57" s="64">
        <v>40.18</v>
      </c>
      <c r="M57" s="64">
        <v>13.26</v>
      </c>
      <c r="N57" s="64">
        <v>845.1</v>
      </c>
      <c r="O57" s="64">
        <v>0</v>
      </c>
      <c r="P57" s="64">
        <v>0.57999999999999996</v>
      </c>
      <c r="Q57" s="64">
        <v>21.92</v>
      </c>
      <c r="R57" s="198"/>
      <c r="S57" s="198"/>
      <c r="T57" s="198"/>
      <c r="U57" s="198"/>
    </row>
    <row r="58" spans="1:21" s="12" customFormat="1" x14ac:dyDescent="0.25">
      <c r="A58" s="211" t="s">
        <v>1639</v>
      </c>
      <c r="B58" s="64">
        <v>5.56</v>
      </c>
      <c r="C58" s="64">
        <v>31.72</v>
      </c>
      <c r="D58" s="64">
        <v>22.61</v>
      </c>
      <c r="E58" s="209" t="s">
        <v>40</v>
      </c>
      <c r="F58" s="64">
        <v>37.35</v>
      </c>
      <c r="G58" s="209" t="s">
        <v>40</v>
      </c>
      <c r="H58" s="209" t="s">
        <v>40</v>
      </c>
      <c r="I58" s="64">
        <v>0.48</v>
      </c>
      <c r="J58" s="64">
        <v>1.24</v>
      </c>
      <c r="K58" s="64">
        <v>282.73</v>
      </c>
      <c r="L58" s="64">
        <v>40.71</v>
      </c>
      <c r="M58" s="64">
        <v>12.84</v>
      </c>
      <c r="N58" s="64">
        <v>845.1</v>
      </c>
      <c r="O58" s="64">
        <v>0</v>
      </c>
      <c r="P58" s="64">
        <v>0.61</v>
      </c>
      <c r="Q58" s="64">
        <v>22.41</v>
      </c>
      <c r="R58" s="198"/>
      <c r="S58" s="198"/>
      <c r="T58" s="198"/>
      <c r="U58" s="198"/>
    </row>
    <row r="59" spans="1:21" s="12" customFormat="1" x14ac:dyDescent="0.25">
      <c r="A59" s="211" t="s">
        <v>1640</v>
      </c>
      <c r="B59" s="64">
        <v>7.95</v>
      </c>
      <c r="C59" s="64">
        <v>36.229999999999997</v>
      </c>
      <c r="D59" s="64">
        <v>27.01</v>
      </c>
      <c r="E59" s="64">
        <v>9.7200000000000006</v>
      </c>
      <c r="F59" s="64">
        <v>29.55</v>
      </c>
      <c r="G59" s="209" t="s">
        <v>40</v>
      </c>
      <c r="H59" s="209" t="s">
        <v>40</v>
      </c>
      <c r="I59" s="64">
        <v>0.49</v>
      </c>
      <c r="J59" s="64">
        <v>1.1499999999999999</v>
      </c>
      <c r="K59" s="64">
        <v>279.70999999999998</v>
      </c>
      <c r="L59" s="64">
        <v>40.369999999999997</v>
      </c>
      <c r="M59" s="64">
        <v>13.81</v>
      </c>
      <c r="N59" s="64">
        <v>830</v>
      </c>
      <c r="O59" s="64">
        <v>0</v>
      </c>
      <c r="P59" s="64">
        <v>0.64</v>
      </c>
      <c r="Q59" s="64">
        <v>20.55</v>
      </c>
      <c r="R59" s="198"/>
      <c r="S59" s="198"/>
      <c r="T59" s="198"/>
      <c r="U59" s="198"/>
    </row>
    <row r="60" spans="1:21" s="12" customFormat="1" x14ac:dyDescent="0.25">
      <c r="A60" s="211" t="s">
        <v>1641</v>
      </c>
      <c r="B60" s="64">
        <v>5.0199999999999996</v>
      </c>
      <c r="C60" s="64">
        <v>48.06</v>
      </c>
      <c r="D60" s="64">
        <v>31.19</v>
      </c>
      <c r="E60" s="64">
        <v>5.99</v>
      </c>
      <c r="F60" s="64">
        <v>38.47</v>
      </c>
      <c r="G60" s="209" t="s">
        <v>40</v>
      </c>
      <c r="H60" s="209" t="s">
        <v>40</v>
      </c>
      <c r="I60" s="64">
        <v>0.5</v>
      </c>
      <c r="J60" s="64">
        <v>0.66</v>
      </c>
      <c r="K60" s="64">
        <v>272.58</v>
      </c>
      <c r="L60" s="64">
        <v>40.81</v>
      </c>
      <c r="M60" s="64">
        <v>12.58</v>
      </c>
      <c r="N60" s="64">
        <v>808.1</v>
      </c>
      <c r="O60" s="64">
        <v>0</v>
      </c>
      <c r="P60" s="64">
        <v>0.61</v>
      </c>
      <c r="Q60" s="64">
        <v>22.47</v>
      </c>
      <c r="R60" s="198"/>
      <c r="S60" s="198"/>
      <c r="T60" s="198"/>
      <c r="U60" s="198"/>
    </row>
    <row r="61" spans="1:21" s="12" customFormat="1" x14ac:dyDescent="0.25">
      <c r="A61" s="211" t="s">
        <v>1642</v>
      </c>
      <c r="B61" s="64">
        <v>71.430000000000007</v>
      </c>
      <c r="C61" s="64">
        <v>3.11</v>
      </c>
      <c r="D61" s="64">
        <v>59.38</v>
      </c>
      <c r="E61" s="64">
        <v>6.03</v>
      </c>
      <c r="F61" s="64">
        <v>33.64</v>
      </c>
      <c r="G61" s="209" t="s">
        <v>40</v>
      </c>
      <c r="H61" s="209" t="s">
        <v>40</v>
      </c>
      <c r="I61" s="64">
        <v>0.52</v>
      </c>
      <c r="J61" s="64">
        <v>0.81</v>
      </c>
      <c r="K61" s="64">
        <v>269.95</v>
      </c>
      <c r="L61" s="64">
        <v>40.32</v>
      </c>
      <c r="M61" s="64">
        <v>12.78</v>
      </c>
      <c r="N61" s="64">
        <v>805.7</v>
      </c>
      <c r="O61" s="64">
        <v>0</v>
      </c>
      <c r="P61" s="64">
        <v>0.66</v>
      </c>
      <c r="Q61" s="64">
        <v>23.88</v>
      </c>
      <c r="R61" s="198"/>
      <c r="S61" s="198"/>
      <c r="T61" s="198"/>
      <c r="U61" s="198"/>
    </row>
    <row r="62" spans="1:21" s="12" customFormat="1" x14ac:dyDescent="0.25">
      <c r="A62" s="211" t="s">
        <v>1643</v>
      </c>
      <c r="B62" s="209" t="s">
        <v>40</v>
      </c>
      <c r="C62" s="209" t="s">
        <v>40</v>
      </c>
      <c r="D62" s="209" t="s">
        <v>40</v>
      </c>
      <c r="E62" s="64">
        <v>3.2</v>
      </c>
      <c r="F62" s="64">
        <v>13.51</v>
      </c>
      <c r="G62" s="209" t="s">
        <v>40</v>
      </c>
      <c r="H62" s="209" t="s">
        <v>40</v>
      </c>
      <c r="I62" s="64">
        <v>0.51</v>
      </c>
      <c r="J62" s="64">
        <v>1.18</v>
      </c>
      <c r="K62" s="64">
        <v>279.01</v>
      </c>
      <c r="L62" s="64">
        <v>41.44</v>
      </c>
      <c r="M62" s="64">
        <v>12.03</v>
      </c>
      <c r="N62" s="64">
        <v>764.3</v>
      </c>
      <c r="O62" s="64">
        <v>0</v>
      </c>
      <c r="P62" s="64">
        <v>0.71</v>
      </c>
      <c r="Q62" s="64">
        <v>23.88</v>
      </c>
      <c r="R62" s="198"/>
      <c r="S62" s="198"/>
      <c r="T62" s="198"/>
      <c r="U62" s="198"/>
    </row>
    <row r="63" spans="1:21" s="12" customFormat="1" x14ac:dyDescent="0.25">
      <c r="A63" s="211" t="s">
        <v>1644</v>
      </c>
      <c r="B63" s="209" t="s">
        <v>40</v>
      </c>
      <c r="C63" s="209" t="s">
        <v>40</v>
      </c>
      <c r="D63" s="209" t="s">
        <v>40</v>
      </c>
      <c r="E63" s="64">
        <v>2.75</v>
      </c>
      <c r="F63" s="64">
        <v>11.47</v>
      </c>
      <c r="G63" s="64">
        <v>49.72</v>
      </c>
      <c r="H63" s="64">
        <v>25.59</v>
      </c>
      <c r="I63" s="64">
        <v>0.56000000000000005</v>
      </c>
      <c r="J63" s="64">
        <v>0.66</v>
      </c>
      <c r="K63" s="64">
        <v>276.16000000000003</v>
      </c>
      <c r="L63" s="64">
        <v>41.83</v>
      </c>
      <c r="M63" s="64">
        <v>11.7</v>
      </c>
      <c r="N63" s="64">
        <v>728.4</v>
      </c>
      <c r="O63" s="64">
        <v>0</v>
      </c>
      <c r="P63" s="64">
        <v>0.7</v>
      </c>
      <c r="Q63" s="64">
        <v>24.44</v>
      </c>
      <c r="R63" s="198"/>
      <c r="S63" s="198"/>
      <c r="T63" s="198"/>
      <c r="U63" s="198"/>
    </row>
    <row r="64" spans="1:21" s="12" customFormat="1" x14ac:dyDescent="0.25">
      <c r="A64" s="211" t="s">
        <v>1645</v>
      </c>
      <c r="B64" s="209" t="s">
        <v>40</v>
      </c>
      <c r="C64" s="209" t="s">
        <v>40</v>
      </c>
      <c r="D64" s="209" t="s">
        <v>40</v>
      </c>
      <c r="E64" s="64">
        <v>2</v>
      </c>
      <c r="F64" s="64">
        <v>10.98</v>
      </c>
      <c r="G64" s="64">
        <v>49.72</v>
      </c>
      <c r="H64" s="64">
        <v>25.59</v>
      </c>
      <c r="I64" s="64">
        <v>0.59</v>
      </c>
      <c r="J64" s="64">
        <v>1.41</v>
      </c>
      <c r="K64" s="64">
        <v>277.2</v>
      </c>
      <c r="L64" s="64">
        <v>40.880000000000003</v>
      </c>
      <c r="M64" s="64">
        <v>11.42</v>
      </c>
      <c r="N64" s="64">
        <v>483.6</v>
      </c>
      <c r="O64" s="64">
        <v>0</v>
      </c>
      <c r="P64" s="64">
        <v>0.7</v>
      </c>
      <c r="Q64" s="64">
        <v>25.34</v>
      </c>
      <c r="R64" s="198"/>
      <c r="S64" s="198"/>
      <c r="T64" s="198"/>
      <c r="U64" s="198"/>
    </row>
    <row r="65" spans="1:21" s="12" customFormat="1" x14ac:dyDescent="0.25">
      <c r="A65" s="211" t="s">
        <v>1646</v>
      </c>
      <c r="B65" s="209" t="s">
        <v>40</v>
      </c>
      <c r="C65" s="209" t="s">
        <v>40</v>
      </c>
      <c r="D65" s="209" t="s">
        <v>40</v>
      </c>
      <c r="E65" s="64">
        <v>2.5299999999999998</v>
      </c>
      <c r="F65" s="64">
        <v>23.96</v>
      </c>
      <c r="G65" s="64">
        <v>49.72</v>
      </c>
      <c r="H65" s="64">
        <v>25.59</v>
      </c>
      <c r="I65" s="64">
        <v>0.57999999999999996</v>
      </c>
      <c r="J65" s="64">
        <v>0.98</v>
      </c>
      <c r="K65" s="64">
        <v>282.58</v>
      </c>
      <c r="L65" s="64">
        <v>40.68</v>
      </c>
      <c r="M65" s="64">
        <v>10.94</v>
      </c>
      <c r="N65" s="64">
        <v>666.4</v>
      </c>
      <c r="O65" s="64">
        <v>0</v>
      </c>
      <c r="P65" s="64">
        <v>1.71</v>
      </c>
      <c r="Q65" s="64">
        <v>26.51</v>
      </c>
      <c r="R65" s="198"/>
      <c r="S65" s="198"/>
      <c r="T65" s="198"/>
      <c r="U65" s="198"/>
    </row>
    <row r="66" spans="1:21" s="12" customFormat="1" x14ac:dyDescent="0.25">
      <c r="A66" s="211" t="s">
        <v>1647</v>
      </c>
      <c r="B66" s="64">
        <v>1.52</v>
      </c>
      <c r="C66" s="64">
        <v>46.07</v>
      </c>
      <c r="D66" s="64">
        <v>27.29</v>
      </c>
      <c r="E66" s="64">
        <v>2.1800000000000002</v>
      </c>
      <c r="F66" s="64">
        <v>29.92</v>
      </c>
      <c r="G66" s="64">
        <v>49.72</v>
      </c>
      <c r="H66" s="64">
        <v>25.59</v>
      </c>
      <c r="I66" s="64">
        <v>0.56000000000000005</v>
      </c>
      <c r="J66" s="64">
        <v>0.55000000000000004</v>
      </c>
      <c r="K66" s="64">
        <v>281.68</v>
      </c>
      <c r="L66" s="64">
        <v>40.57</v>
      </c>
      <c r="M66" s="64">
        <v>11.56</v>
      </c>
      <c r="N66" s="64">
        <v>570.70000000000005</v>
      </c>
      <c r="O66" s="64">
        <v>0</v>
      </c>
      <c r="P66" s="26" t="s">
        <v>40</v>
      </c>
      <c r="Q66" s="64">
        <v>27.26</v>
      </c>
      <c r="R66" s="198"/>
      <c r="S66" s="198"/>
      <c r="T66" s="198"/>
      <c r="U66" s="198"/>
    </row>
    <row r="67" spans="1:21" s="12" customFormat="1" x14ac:dyDescent="0.25">
      <c r="A67" s="211" t="s">
        <v>1648</v>
      </c>
      <c r="B67" s="64">
        <v>1.18</v>
      </c>
      <c r="C67" s="64">
        <v>40.79</v>
      </c>
      <c r="D67" s="64">
        <v>24.11</v>
      </c>
      <c r="E67" s="64">
        <v>3.25</v>
      </c>
      <c r="F67" s="64">
        <v>52.53</v>
      </c>
      <c r="G67" s="64">
        <v>47.7</v>
      </c>
      <c r="H67" s="64">
        <v>24</v>
      </c>
      <c r="I67" s="64">
        <v>0.5</v>
      </c>
      <c r="J67" s="64">
        <v>0.06</v>
      </c>
      <c r="K67" s="64">
        <v>15.28</v>
      </c>
      <c r="L67" s="64">
        <v>39.590000000000003</v>
      </c>
      <c r="M67" s="64">
        <v>12.03</v>
      </c>
      <c r="N67" s="64">
        <v>518.29999999999995</v>
      </c>
      <c r="O67" s="64">
        <v>0</v>
      </c>
      <c r="P67" s="64">
        <v>0.43</v>
      </c>
      <c r="Q67" s="64">
        <v>26.78</v>
      </c>
      <c r="R67" s="198"/>
      <c r="S67" s="198"/>
      <c r="T67" s="198"/>
      <c r="U67" s="198"/>
    </row>
    <row r="68" spans="1:21" s="12" customFormat="1" x14ac:dyDescent="0.25">
      <c r="A68" s="211" t="s">
        <v>1649</v>
      </c>
      <c r="B68" s="64">
        <v>1</v>
      </c>
      <c r="C68" s="64">
        <v>35.15</v>
      </c>
      <c r="D68" s="64">
        <v>20.85</v>
      </c>
      <c r="E68" s="64">
        <v>1.29</v>
      </c>
      <c r="F68" s="64">
        <v>23.76</v>
      </c>
      <c r="G68" s="64">
        <v>47.41</v>
      </c>
      <c r="H68" s="64">
        <v>23.96</v>
      </c>
      <c r="I68" s="64">
        <v>0.49</v>
      </c>
      <c r="J68" s="64">
        <v>0.41</v>
      </c>
      <c r="K68" s="64">
        <v>281.85000000000002</v>
      </c>
      <c r="L68" s="64">
        <v>39.840000000000003</v>
      </c>
      <c r="M68" s="64">
        <v>12.09</v>
      </c>
      <c r="N68" s="64">
        <v>358.8</v>
      </c>
      <c r="O68" s="64">
        <v>0</v>
      </c>
      <c r="P68" s="64">
        <v>0.45</v>
      </c>
      <c r="Q68" s="64">
        <v>27.7</v>
      </c>
      <c r="R68" s="198"/>
      <c r="S68" s="198"/>
      <c r="T68" s="198"/>
      <c r="U68" s="198"/>
    </row>
    <row r="69" spans="1:21" s="12" customFormat="1" x14ac:dyDescent="0.25">
      <c r="A69" s="211" t="s">
        <v>1650</v>
      </c>
      <c r="B69" s="64">
        <v>1</v>
      </c>
      <c r="C69" s="64">
        <v>34.5</v>
      </c>
      <c r="D69" s="64">
        <v>20.49</v>
      </c>
      <c r="E69" s="64">
        <v>1.25</v>
      </c>
      <c r="F69" s="64">
        <v>12.29</v>
      </c>
      <c r="G69" s="64">
        <v>47.41</v>
      </c>
      <c r="H69" s="64">
        <v>23.96</v>
      </c>
      <c r="I69" s="64">
        <v>0.49</v>
      </c>
      <c r="J69" s="64">
        <v>0.61</v>
      </c>
      <c r="K69" s="64">
        <v>276.2</v>
      </c>
      <c r="L69" s="64">
        <v>39.01</v>
      </c>
      <c r="M69" s="64">
        <v>12.93</v>
      </c>
      <c r="N69" s="64">
        <v>181.9</v>
      </c>
      <c r="O69" s="64">
        <v>0</v>
      </c>
      <c r="P69" s="64">
        <v>0.44</v>
      </c>
      <c r="Q69" s="64">
        <v>28.16</v>
      </c>
      <c r="R69" s="198"/>
      <c r="S69" s="198"/>
      <c r="T69" s="198"/>
      <c r="U69" s="198"/>
    </row>
    <row r="70" spans="1:21" s="12" customFormat="1" x14ac:dyDescent="0.25">
      <c r="A70" s="211" t="s">
        <v>1651</v>
      </c>
      <c r="B70" s="64">
        <v>3.14</v>
      </c>
      <c r="C70" s="64">
        <v>36.380000000000003</v>
      </c>
      <c r="D70" s="64">
        <v>23.24</v>
      </c>
      <c r="E70" s="64">
        <v>1.74</v>
      </c>
      <c r="F70" s="64">
        <v>18.64</v>
      </c>
      <c r="G70" s="64">
        <v>47.41</v>
      </c>
      <c r="H70" s="64">
        <v>23.96</v>
      </c>
      <c r="I70" s="64">
        <v>0.5</v>
      </c>
      <c r="J70" s="64">
        <v>0.24</v>
      </c>
      <c r="K70" s="64">
        <v>285.99</v>
      </c>
      <c r="L70" s="64">
        <v>37.950000000000003</v>
      </c>
      <c r="M70" s="64">
        <v>15.9</v>
      </c>
      <c r="N70" s="64">
        <v>161.19999999999999</v>
      </c>
      <c r="O70" s="64">
        <v>0</v>
      </c>
      <c r="P70" s="64">
        <v>0.45</v>
      </c>
      <c r="Q70" s="64">
        <v>27.49</v>
      </c>
      <c r="R70" s="198"/>
      <c r="S70" s="198"/>
      <c r="T70" s="198"/>
      <c r="U70" s="198"/>
    </row>
    <row r="71" spans="1:21" s="12" customFormat="1" x14ac:dyDescent="0.25">
      <c r="A71" s="211" t="s">
        <v>1652</v>
      </c>
      <c r="B71" s="64">
        <v>3.31</v>
      </c>
      <c r="C71" s="64">
        <v>34.31</v>
      </c>
      <c r="D71" s="64">
        <v>22.24</v>
      </c>
      <c r="E71" s="64">
        <v>1.61</v>
      </c>
      <c r="F71" s="64">
        <v>17.09</v>
      </c>
      <c r="G71" s="64">
        <v>46.94</v>
      </c>
      <c r="H71" s="64">
        <v>25.61</v>
      </c>
      <c r="I71" s="64">
        <v>0.5</v>
      </c>
      <c r="J71" s="64">
        <v>0.13</v>
      </c>
      <c r="K71" s="64">
        <v>285.66000000000003</v>
      </c>
      <c r="L71" s="64">
        <v>38.25</v>
      </c>
      <c r="M71" s="64">
        <v>12.64</v>
      </c>
      <c r="N71" s="64">
        <v>219.3</v>
      </c>
      <c r="O71" s="64">
        <v>0</v>
      </c>
      <c r="P71" s="64">
        <v>0.45</v>
      </c>
      <c r="Q71" s="64">
        <v>26.51</v>
      </c>
      <c r="R71" s="198"/>
      <c r="S71" s="198"/>
      <c r="T71" s="198"/>
      <c r="U71" s="198"/>
    </row>
    <row r="72" spans="1:21" s="12" customFormat="1" x14ac:dyDescent="0.25">
      <c r="A72" s="211" t="s">
        <v>1653</v>
      </c>
      <c r="B72" s="64">
        <v>3.56</v>
      </c>
      <c r="C72" s="64">
        <v>33.01</v>
      </c>
      <c r="D72" s="64">
        <v>21.72</v>
      </c>
      <c r="E72" s="64">
        <v>0.89</v>
      </c>
      <c r="F72" s="64">
        <v>11.09</v>
      </c>
      <c r="G72" s="64">
        <v>46.87</v>
      </c>
      <c r="H72" s="64">
        <v>25.61</v>
      </c>
      <c r="I72" s="64">
        <v>0.49</v>
      </c>
      <c r="J72" s="64">
        <v>0.31</v>
      </c>
      <c r="K72" s="64">
        <v>278.92</v>
      </c>
      <c r="L72" s="64">
        <v>38.4</v>
      </c>
      <c r="M72" s="64">
        <v>12.73</v>
      </c>
      <c r="N72" s="64">
        <v>165.4</v>
      </c>
      <c r="O72" s="64">
        <v>0</v>
      </c>
      <c r="P72" s="64">
        <v>0.45</v>
      </c>
      <c r="Q72" s="64">
        <v>25.04</v>
      </c>
      <c r="R72" s="198"/>
      <c r="S72" s="198"/>
      <c r="T72" s="198"/>
      <c r="U72" s="198"/>
    </row>
    <row r="73" spans="1:21" s="12" customFormat="1" x14ac:dyDescent="0.25">
      <c r="A73" s="211" t="s">
        <v>1654</v>
      </c>
      <c r="B73" s="64">
        <v>2.5</v>
      </c>
      <c r="C73" s="64">
        <v>32.25</v>
      </c>
      <c r="D73" s="64">
        <v>20.45</v>
      </c>
      <c r="E73" s="64">
        <v>1.75</v>
      </c>
      <c r="F73" s="64">
        <v>8.2899999999999991</v>
      </c>
      <c r="G73" s="64">
        <v>46.87</v>
      </c>
      <c r="H73" s="64">
        <v>25.61</v>
      </c>
      <c r="I73" s="64">
        <v>0.49</v>
      </c>
      <c r="J73" s="64">
        <v>0.2</v>
      </c>
      <c r="K73" s="64">
        <v>297.85000000000002</v>
      </c>
      <c r="L73" s="64">
        <v>37.89</v>
      </c>
      <c r="M73" s="64">
        <v>13.53</v>
      </c>
      <c r="N73" s="64">
        <v>115.5</v>
      </c>
      <c r="O73" s="64">
        <v>0</v>
      </c>
      <c r="P73" s="64">
        <v>0.44</v>
      </c>
      <c r="Q73" s="64">
        <v>23.6</v>
      </c>
      <c r="R73" s="198"/>
      <c r="S73" s="198"/>
      <c r="T73" s="198"/>
      <c r="U73" s="198"/>
    </row>
    <row r="74" spans="1:21" s="12" customFormat="1" x14ac:dyDescent="0.25">
      <c r="A74" s="211" t="s">
        <v>1655</v>
      </c>
      <c r="B74" s="64">
        <v>2.0299999999999998</v>
      </c>
      <c r="C74" s="64">
        <v>32.85</v>
      </c>
      <c r="D74" s="64">
        <v>20.399999999999999</v>
      </c>
      <c r="E74" s="64">
        <v>1.25</v>
      </c>
      <c r="F74" s="64">
        <v>8.4700000000000006</v>
      </c>
      <c r="G74" s="64">
        <v>46.87</v>
      </c>
      <c r="H74" s="64">
        <v>25.61</v>
      </c>
      <c r="I74" s="64">
        <v>0.51</v>
      </c>
      <c r="J74" s="64">
        <v>0.15</v>
      </c>
      <c r="K74" s="64">
        <v>63.47</v>
      </c>
      <c r="L74" s="64">
        <v>37.770000000000003</v>
      </c>
      <c r="M74" s="64">
        <v>13.7</v>
      </c>
      <c r="N74" s="64">
        <v>144.80000000000001</v>
      </c>
      <c r="O74" s="64">
        <v>0</v>
      </c>
      <c r="P74" s="64">
        <v>0.44</v>
      </c>
      <c r="Q74" s="64">
        <v>22.6</v>
      </c>
      <c r="R74" s="198"/>
      <c r="S74" s="198"/>
      <c r="T74" s="198"/>
      <c r="U74" s="198"/>
    </row>
    <row r="75" spans="1:21" s="12" customFormat="1" x14ac:dyDescent="0.25">
      <c r="A75" s="211" t="s">
        <v>1656</v>
      </c>
      <c r="B75" s="64">
        <v>3.07</v>
      </c>
      <c r="C75" s="64">
        <v>39.22</v>
      </c>
      <c r="D75" s="64">
        <v>24.76</v>
      </c>
      <c r="E75" s="64">
        <v>1.99</v>
      </c>
      <c r="F75" s="64">
        <v>15.51</v>
      </c>
      <c r="G75" s="64">
        <v>45.15</v>
      </c>
      <c r="H75" s="64">
        <v>22.53</v>
      </c>
      <c r="I75" s="64">
        <v>0.51</v>
      </c>
      <c r="J75" s="64">
        <v>0.08</v>
      </c>
      <c r="K75" s="64">
        <v>53.4</v>
      </c>
      <c r="L75" s="64">
        <v>37.46</v>
      </c>
      <c r="M75" s="64">
        <v>14.1</v>
      </c>
      <c r="N75" s="64">
        <v>88.8</v>
      </c>
      <c r="O75" s="64">
        <v>0</v>
      </c>
      <c r="P75" s="64">
        <v>0.45</v>
      </c>
      <c r="Q75" s="64">
        <v>21.64</v>
      </c>
      <c r="R75" s="198"/>
      <c r="S75" s="198"/>
      <c r="T75" s="198"/>
      <c r="U75" s="198"/>
    </row>
    <row r="76" spans="1:21" s="12" customFormat="1" x14ac:dyDescent="0.25">
      <c r="A76" s="211" t="s">
        <v>1657</v>
      </c>
      <c r="B76" s="64">
        <v>2.36</v>
      </c>
      <c r="C76" s="64">
        <v>39.28</v>
      </c>
      <c r="D76" s="64">
        <v>24.22</v>
      </c>
      <c r="E76" s="64">
        <v>1.71</v>
      </c>
      <c r="F76" s="64">
        <v>10.07</v>
      </c>
      <c r="G76" s="64">
        <v>44.92</v>
      </c>
      <c r="H76" s="64">
        <v>22.53</v>
      </c>
      <c r="I76" s="64">
        <v>0.53</v>
      </c>
      <c r="J76" s="64">
        <v>0.49</v>
      </c>
      <c r="K76" s="64">
        <v>279.72000000000003</v>
      </c>
      <c r="L76" s="64">
        <v>37.15</v>
      </c>
      <c r="M76" s="64">
        <v>15.23</v>
      </c>
      <c r="N76" s="64">
        <v>84</v>
      </c>
      <c r="O76" s="64">
        <v>0</v>
      </c>
      <c r="P76" s="64">
        <v>0.46</v>
      </c>
      <c r="Q76" s="64">
        <v>21.57</v>
      </c>
      <c r="R76" s="198"/>
      <c r="S76" s="198"/>
      <c r="T76" s="198"/>
      <c r="U76" s="198"/>
    </row>
    <row r="77" spans="1:21" s="12" customFormat="1" x14ac:dyDescent="0.25">
      <c r="A77" s="211" t="s">
        <v>1658</v>
      </c>
      <c r="B77" s="64">
        <v>9.4600000000000009</v>
      </c>
      <c r="C77" s="64">
        <v>44.46</v>
      </c>
      <c r="D77" s="64">
        <v>32.770000000000003</v>
      </c>
      <c r="E77" s="64">
        <v>2.3199999999999998</v>
      </c>
      <c r="F77" s="64">
        <v>21.71</v>
      </c>
      <c r="G77" s="64">
        <v>44.92</v>
      </c>
      <c r="H77" s="64">
        <v>22.53</v>
      </c>
      <c r="I77" s="64">
        <v>0.53</v>
      </c>
      <c r="J77" s="64">
        <v>0.7</v>
      </c>
      <c r="K77" s="64">
        <v>301.91000000000003</v>
      </c>
      <c r="L77" s="64">
        <v>36.6</v>
      </c>
      <c r="M77" s="64">
        <v>16.440000000000001</v>
      </c>
      <c r="N77" s="64">
        <v>94.7</v>
      </c>
      <c r="O77" s="64">
        <v>0</v>
      </c>
      <c r="P77" s="64">
        <v>0.47</v>
      </c>
      <c r="Q77" s="64">
        <v>20.65</v>
      </c>
      <c r="R77" s="198"/>
      <c r="S77" s="198"/>
      <c r="T77" s="198"/>
      <c r="U77" s="198"/>
    </row>
    <row r="78" spans="1:21" s="12" customFormat="1" x14ac:dyDescent="0.25">
      <c r="A78" s="211" t="s">
        <v>1659</v>
      </c>
      <c r="B78" s="64">
        <v>3.08</v>
      </c>
      <c r="C78" s="64">
        <v>38.76</v>
      </c>
      <c r="D78" s="64">
        <v>24.5</v>
      </c>
      <c r="E78" s="64">
        <v>2.09</v>
      </c>
      <c r="F78" s="64">
        <v>12.54</v>
      </c>
      <c r="G78" s="64">
        <v>44.92</v>
      </c>
      <c r="H78" s="64">
        <v>22.53</v>
      </c>
      <c r="I78" s="64">
        <v>0.51</v>
      </c>
      <c r="J78" s="64">
        <v>7.0000000000000007E-2</v>
      </c>
      <c r="K78" s="64">
        <v>303.89</v>
      </c>
      <c r="L78" s="64">
        <v>36.840000000000003</v>
      </c>
      <c r="M78" s="64">
        <v>15.24</v>
      </c>
      <c r="N78" s="64">
        <v>88.5</v>
      </c>
      <c r="O78" s="64">
        <v>0</v>
      </c>
      <c r="P78" s="64">
        <v>0.49</v>
      </c>
      <c r="Q78" s="64">
        <v>20.93</v>
      </c>
      <c r="R78" s="198"/>
      <c r="S78" s="198"/>
      <c r="T78" s="198"/>
      <c r="U78" s="198"/>
    </row>
    <row r="79" spans="1:21" s="12" customFormat="1" x14ac:dyDescent="0.25">
      <c r="A79" s="211" t="s">
        <v>1660</v>
      </c>
      <c r="B79" s="64">
        <v>2.5</v>
      </c>
      <c r="C79" s="64">
        <v>39.29</v>
      </c>
      <c r="D79" s="64">
        <v>24.33</v>
      </c>
      <c r="E79" s="64">
        <v>1.3</v>
      </c>
      <c r="F79" s="64">
        <v>7.93</v>
      </c>
      <c r="G79" s="64">
        <v>46.45</v>
      </c>
      <c r="H79" s="64">
        <v>22.74</v>
      </c>
      <c r="I79" s="64">
        <v>0.51</v>
      </c>
      <c r="J79" s="64">
        <v>0.11</v>
      </c>
      <c r="K79" s="64">
        <v>17</v>
      </c>
      <c r="L79" s="64">
        <v>36.76</v>
      </c>
      <c r="M79" s="64">
        <v>14.78</v>
      </c>
      <c r="N79" s="64">
        <v>47.7</v>
      </c>
      <c r="O79" s="64">
        <v>0</v>
      </c>
      <c r="P79" s="64">
        <v>0.5</v>
      </c>
      <c r="Q79" s="64">
        <v>21.55</v>
      </c>
      <c r="R79" s="198"/>
      <c r="S79" s="198"/>
      <c r="T79" s="198"/>
      <c r="U79" s="198"/>
    </row>
    <row r="80" spans="1:21" s="12" customFormat="1" x14ac:dyDescent="0.25">
      <c r="A80" s="211" t="s">
        <v>1661</v>
      </c>
      <c r="B80" s="64">
        <v>1.9</v>
      </c>
      <c r="C80" s="64">
        <v>39.799999999999997</v>
      </c>
      <c r="D80" s="64">
        <v>24.13</v>
      </c>
      <c r="E80" s="64">
        <v>1.52</v>
      </c>
      <c r="F80" s="64">
        <v>8.23</v>
      </c>
      <c r="G80" s="64">
        <v>46.65</v>
      </c>
      <c r="H80" s="64">
        <v>22.74</v>
      </c>
      <c r="I80" s="64">
        <v>0.52</v>
      </c>
      <c r="J80" s="64">
        <v>0.11</v>
      </c>
      <c r="K80" s="64">
        <v>310.11</v>
      </c>
      <c r="L80" s="64">
        <v>36.08</v>
      </c>
      <c r="M80" s="64">
        <v>15.68</v>
      </c>
      <c r="N80" s="64">
        <v>29.1</v>
      </c>
      <c r="O80" s="64">
        <v>0</v>
      </c>
      <c r="P80" s="64">
        <v>0.52</v>
      </c>
      <c r="Q80" s="64">
        <v>21.3</v>
      </c>
      <c r="R80" s="198"/>
      <c r="S80" s="198"/>
      <c r="T80" s="198"/>
      <c r="U80" s="198"/>
    </row>
    <row r="81" spans="1:26" s="12" customFormat="1" x14ac:dyDescent="0.25">
      <c r="A81" s="211" t="s">
        <v>1662</v>
      </c>
      <c r="B81" s="64">
        <v>2.36</v>
      </c>
      <c r="C81" s="64">
        <v>40.32</v>
      </c>
      <c r="D81" s="64">
        <v>24.79</v>
      </c>
      <c r="E81" s="64">
        <v>1.5</v>
      </c>
      <c r="F81" s="64">
        <v>14.71</v>
      </c>
      <c r="G81" s="64">
        <v>46.65</v>
      </c>
      <c r="H81" s="64">
        <v>22.74</v>
      </c>
      <c r="I81" s="64">
        <v>0.52</v>
      </c>
      <c r="J81" s="64">
        <v>0.2</v>
      </c>
      <c r="K81" s="64">
        <v>287.69</v>
      </c>
      <c r="L81" s="64">
        <v>35.44</v>
      </c>
      <c r="M81" s="64">
        <v>16.71</v>
      </c>
      <c r="N81" s="64">
        <v>18.2</v>
      </c>
      <c r="O81" s="64">
        <v>0</v>
      </c>
      <c r="P81" s="64">
        <v>0.53</v>
      </c>
      <c r="Q81" s="64">
        <v>21.62</v>
      </c>
      <c r="R81" s="198"/>
      <c r="S81" s="198"/>
      <c r="T81" s="198"/>
      <c r="U81" s="198"/>
    </row>
    <row r="82" spans="1:26" s="12" customFormat="1" x14ac:dyDescent="0.25">
      <c r="A82" s="211" t="s">
        <v>1663</v>
      </c>
      <c r="B82" s="64">
        <v>10.34</v>
      </c>
      <c r="C82" s="64">
        <v>51.74</v>
      </c>
      <c r="D82" s="64">
        <v>37.49</v>
      </c>
      <c r="E82" s="64">
        <v>3.56</v>
      </c>
      <c r="F82" s="64">
        <v>19.420000000000002</v>
      </c>
      <c r="G82" s="64">
        <v>46.65</v>
      </c>
      <c r="H82" s="64">
        <v>22.74</v>
      </c>
      <c r="I82" s="64">
        <v>0.52</v>
      </c>
      <c r="J82" s="64">
        <v>7.0000000000000007E-2</v>
      </c>
      <c r="K82" s="64">
        <v>323.95</v>
      </c>
      <c r="L82" s="64">
        <v>34.880000000000003</v>
      </c>
      <c r="M82" s="64">
        <v>17.850000000000001</v>
      </c>
      <c r="N82" s="64">
        <v>10.6</v>
      </c>
      <c r="O82" s="64">
        <v>0</v>
      </c>
      <c r="P82" s="64">
        <v>0.54</v>
      </c>
      <c r="Q82" s="64">
        <v>19.309999999999999</v>
      </c>
      <c r="R82" s="198"/>
      <c r="S82" s="198"/>
      <c r="T82" s="198"/>
      <c r="U82" s="198"/>
    </row>
    <row r="83" spans="1:26" s="12" customFormat="1" x14ac:dyDescent="0.25">
      <c r="A83" s="211" t="s">
        <v>1664</v>
      </c>
      <c r="B83" s="64">
        <v>21.99</v>
      </c>
      <c r="C83" s="64">
        <v>67.52</v>
      </c>
      <c r="D83" s="64">
        <v>55.55</v>
      </c>
      <c r="E83" s="64">
        <v>7.68</v>
      </c>
      <c r="F83" s="64">
        <v>19.25</v>
      </c>
      <c r="G83" s="64">
        <v>48.01</v>
      </c>
      <c r="H83" s="64">
        <v>22.09</v>
      </c>
      <c r="I83" s="64">
        <v>0.52</v>
      </c>
      <c r="J83" s="64">
        <v>0.06</v>
      </c>
      <c r="K83" s="64">
        <v>294.86</v>
      </c>
      <c r="L83" s="64">
        <v>34.270000000000003</v>
      </c>
      <c r="M83" s="64">
        <v>19.170000000000002</v>
      </c>
      <c r="N83" s="64">
        <v>7.6</v>
      </c>
      <c r="O83" s="64">
        <v>0</v>
      </c>
      <c r="P83" s="64">
        <v>0.57999999999999996</v>
      </c>
      <c r="Q83" s="64">
        <v>15.91</v>
      </c>
      <c r="R83" s="198"/>
      <c r="S83" s="198"/>
      <c r="T83" s="198"/>
      <c r="U83" s="198"/>
    </row>
    <row r="84" spans="1:26" s="12" customFormat="1" x14ac:dyDescent="0.25">
      <c r="A84" s="211" t="s">
        <v>1665</v>
      </c>
      <c r="B84" s="64">
        <v>13.14</v>
      </c>
      <c r="C84" s="64">
        <v>63.74</v>
      </c>
      <c r="D84" s="64">
        <v>46.36</v>
      </c>
      <c r="E84" s="64">
        <v>9.7200000000000006</v>
      </c>
      <c r="F84" s="64">
        <v>20.47</v>
      </c>
      <c r="G84" s="64">
        <v>48.13</v>
      </c>
      <c r="H84" s="64">
        <v>22.09</v>
      </c>
      <c r="I84" s="64">
        <v>0.54</v>
      </c>
      <c r="J84" s="64">
        <v>7.0000000000000007E-2</v>
      </c>
      <c r="K84" s="64">
        <v>307.13</v>
      </c>
      <c r="L84" s="64">
        <v>33.619999999999997</v>
      </c>
      <c r="M84" s="64">
        <v>20.47</v>
      </c>
      <c r="N84" s="64">
        <v>7.1</v>
      </c>
      <c r="O84" s="64">
        <v>0</v>
      </c>
      <c r="P84" s="64">
        <v>0.98</v>
      </c>
      <c r="Q84" s="64">
        <v>17.22</v>
      </c>
      <c r="R84" s="198"/>
      <c r="S84" s="198"/>
      <c r="T84" s="198"/>
      <c r="U84" s="198"/>
    </row>
    <row r="85" spans="1:26" s="12" customFormat="1" x14ac:dyDescent="0.25">
      <c r="A85" s="211" t="s">
        <v>1666</v>
      </c>
      <c r="B85" s="64">
        <v>11.77</v>
      </c>
      <c r="C85" s="64">
        <v>55.33</v>
      </c>
      <c r="D85" s="64">
        <v>40.619999999999997</v>
      </c>
      <c r="E85" s="64">
        <v>8.99</v>
      </c>
      <c r="F85" s="64">
        <v>14.86</v>
      </c>
      <c r="G85" s="64">
        <v>48.13</v>
      </c>
      <c r="H85" s="64">
        <v>22.09</v>
      </c>
      <c r="I85" s="64">
        <v>0.61</v>
      </c>
      <c r="J85" s="64">
        <v>0.05</v>
      </c>
      <c r="K85" s="64">
        <v>8.77</v>
      </c>
      <c r="L85" s="64">
        <v>33.22</v>
      </c>
      <c r="M85" s="64">
        <v>21.23</v>
      </c>
      <c r="N85" s="64">
        <v>6.8</v>
      </c>
      <c r="O85" s="64">
        <v>0</v>
      </c>
      <c r="P85" s="64">
        <v>0.88</v>
      </c>
      <c r="Q85" s="64">
        <v>18.32</v>
      </c>
      <c r="R85" s="198"/>
      <c r="S85" s="198"/>
      <c r="T85" s="198"/>
      <c r="U85" s="198"/>
    </row>
    <row r="86" spans="1:26" s="12" customFormat="1" x14ac:dyDescent="0.25">
      <c r="A86" s="211" t="s">
        <v>1667</v>
      </c>
      <c r="B86" s="64">
        <v>13.88</v>
      </c>
      <c r="C86" s="64">
        <v>65.3</v>
      </c>
      <c r="D86" s="64">
        <v>47.81</v>
      </c>
      <c r="E86" s="64">
        <v>9.99</v>
      </c>
      <c r="F86" s="64">
        <v>12.34</v>
      </c>
      <c r="G86" s="64">
        <v>48.13</v>
      </c>
      <c r="H86" s="64">
        <v>22.09</v>
      </c>
      <c r="I86" s="64">
        <v>0.64</v>
      </c>
      <c r="J86" s="64">
        <v>0.05</v>
      </c>
      <c r="K86" s="64">
        <v>267.38</v>
      </c>
      <c r="L86" s="64">
        <v>32.950000000000003</v>
      </c>
      <c r="M86" s="64">
        <v>21.63</v>
      </c>
      <c r="N86" s="64">
        <v>7</v>
      </c>
      <c r="O86" s="64">
        <v>0</v>
      </c>
      <c r="P86" s="64">
        <v>1.4</v>
      </c>
      <c r="Q86" s="64">
        <v>19.53</v>
      </c>
      <c r="R86" s="198"/>
      <c r="S86" s="198"/>
      <c r="T86" s="198"/>
      <c r="U86" s="198"/>
    </row>
    <row r="87" spans="1:26" s="12" customFormat="1" x14ac:dyDescent="0.25">
      <c r="A87" s="211" t="s">
        <v>1668</v>
      </c>
      <c r="B87" s="64">
        <v>19.809999999999999</v>
      </c>
      <c r="C87" s="64">
        <v>77.52</v>
      </c>
      <c r="D87" s="64">
        <v>59.31</v>
      </c>
      <c r="E87" s="64">
        <v>12.47</v>
      </c>
      <c r="F87" s="64">
        <v>9.32</v>
      </c>
      <c r="G87" s="64">
        <v>58.99</v>
      </c>
      <c r="H87" s="64">
        <v>25.7</v>
      </c>
      <c r="I87" s="64">
        <v>0.63</v>
      </c>
      <c r="J87" s="64">
        <v>0.1</v>
      </c>
      <c r="K87" s="64">
        <v>264.74</v>
      </c>
      <c r="L87" s="64">
        <v>32.39</v>
      </c>
      <c r="M87" s="64">
        <v>22.64</v>
      </c>
      <c r="N87" s="64">
        <v>7.1</v>
      </c>
      <c r="O87" s="64">
        <v>0</v>
      </c>
      <c r="P87" s="64">
        <v>1.4</v>
      </c>
      <c r="Q87" s="64">
        <v>18.18</v>
      </c>
      <c r="R87" s="198"/>
      <c r="S87" s="198"/>
      <c r="T87" s="198"/>
      <c r="U87" s="198"/>
    </row>
    <row r="88" spans="1:26" s="12" customFormat="1" x14ac:dyDescent="0.25">
      <c r="A88" s="211" t="s">
        <v>1669</v>
      </c>
      <c r="B88" s="64">
        <v>25.18</v>
      </c>
      <c r="C88" s="64">
        <v>72.45</v>
      </c>
      <c r="D88" s="64">
        <v>60.82</v>
      </c>
      <c r="E88" s="64">
        <v>4.4000000000000004</v>
      </c>
      <c r="F88" s="64">
        <v>8.68</v>
      </c>
      <c r="G88" s="64">
        <v>59.9</v>
      </c>
      <c r="H88" s="64">
        <v>25.7</v>
      </c>
      <c r="I88" s="64">
        <v>0.67</v>
      </c>
      <c r="J88" s="64">
        <v>0.08</v>
      </c>
      <c r="K88" s="64">
        <v>276.60000000000002</v>
      </c>
      <c r="L88" s="64">
        <v>32.1</v>
      </c>
      <c r="M88" s="64">
        <v>24.11</v>
      </c>
      <c r="N88" s="64">
        <v>7</v>
      </c>
      <c r="O88" s="64">
        <v>0</v>
      </c>
      <c r="P88" s="64">
        <v>1.74</v>
      </c>
      <c r="Q88" s="64">
        <v>19.16</v>
      </c>
      <c r="R88" s="198"/>
      <c r="S88" s="198"/>
      <c r="T88" s="198"/>
      <c r="U88" s="198"/>
    </row>
    <row r="89" spans="1:26" s="12" customFormat="1" x14ac:dyDescent="0.25">
      <c r="A89" s="211" t="s">
        <v>1670</v>
      </c>
      <c r="B89" s="64">
        <v>37.64</v>
      </c>
      <c r="C89" s="64">
        <v>78.959999999999994</v>
      </c>
      <c r="D89" s="64">
        <v>74.41</v>
      </c>
      <c r="E89" s="64">
        <v>7.22</v>
      </c>
      <c r="F89" s="64">
        <v>7.79</v>
      </c>
      <c r="G89" s="64">
        <v>59.9</v>
      </c>
      <c r="H89" s="64">
        <v>25.7</v>
      </c>
      <c r="I89" s="64">
        <v>0.72</v>
      </c>
      <c r="J89" s="64">
        <v>0.06</v>
      </c>
      <c r="K89" s="64">
        <v>262.23</v>
      </c>
      <c r="L89" s="64">
        <v>31.39</v>
      </c>
      <c r="M89" s="64">
        <v>26.43</v>
      </c>
      <c r="N89" s="64">
        <v>7.2</v>
      </c>
      <c r="O89" s="64">
        <v>0</v>
      </c>
      <c r="P89" s="64">
        <v>2.2000000000000002</v>
      </c>
      <c r="Q89" s="64">
        <v>18.41</v>
      </c>
      <c r="R89" s="198"/>
      <c r="S89" s="198"/>
      <c r="T89" s="198"/>
      <c r="U89" s="198"/>
    </row>
    <row r="90" spans="1:26" s="12" customFormat="1" x14ac:dyDescent="0.25">
      <c r="A90" s="211" t="s">
        <v>1671</v>
      </c>
      <c r="B90" s="64">
        <v>28.68</v>
      </c>
      <c r="C90" s="64">
        <v>73.290000000000006</v>
      </c>
      <c r="D90" s="64">
        <v>64.099999999999994</v>
      </c>
      <c r="E90" s="64">
        <v>10.67</v>
      </c>
      <c r="F90" s="64">
        <v>6.01</v>
      </c>
      <c r="G90" s="64">
        <v>59.9</v>
      </c>
      <c r="H90" s="64">
        <v>25.7</v>
      </c>
      <c r="I90" s="64">
        <v>0.76</v>
      </c>
      <c r="J90" s="64">
        <v>0.04</v>
      </c>
      <c r="K90" s="64">
        <v>258.64</v>
      </c>
      <c r="L90" s="64">
        <v>31.25</v>
      </c>
      <c r="M90" s="64">
        <v>26.38</v>
      </c>
      <c r="N90" s="64">
        <v>6.5</v>
      </c>
      <c r="O90" s="64">
        <v>0</v>
      </c>
      <c r="P90" s="64">
        <v>2.17</v>
      </c>
      <c r="Q90" s="64">
        <v>19.41</v>
      </c>
      <c r="R90" s="198"/>
      <c r="S90" s="198"/>
      <c r="T90" s="198"/>
      <c r="U90" s="198"/>
    </row>
    <row r="91" spans="1:26" s="12" customFormat="1" x14ac:dyDescent="0.25">
      <c r="A91" s="211" t="s">
        <v>1672</v>
      </c>
      <c r="B91" s="64">
        <v>17.829999999999998</v>
      </c>
      <c r="C91" s="64">
        <v>66.680000000000007</v>
      </c>
      <c r="D91" s="64">
        <v>51.74</v>
      </c>
      <c r="E91" s="64">
        <v>11.18</v>
      </c>
      <c r="F91" s="64">
        <v>7.25</v>
      </c>
      <c r="G91" s="64">
        <v>73.34</v>
      </c>
      <c r="H91" s="64">
        <v>30.96</v>
      </c>
      <c r="I91" s="64">
        <v>0.8</v>
      </c>
      <c r="J91" s="64">
        <v>0.04</v>
      </c>
      <c r="K91" s="64">
        <v>319.87</v>
      </c>
      <c r="L91" s="64">
        <v>31.81</v>
      </c>
      <c r="M91" s="64">
        <v>25.59</v>
      </c>
      <c r="N91" s="64">
        <v>6.3</v>
      </c>
      <c r="O91" s="64">
        <v>0</v>
      </c>
      <c r="P91" s="64">
        <v>1.89</v>
      </c>
      <c r="Q91" s="64">
        <v>21.92</v>
      </c>
      <c r="R91" s="198"/>
      <c r="S91" s="198"/>
      <c r="T91" s="198"/>
      <c r="U91" s="198"/>
    </row>
    <row r="92" spans="1:26" s="12" customFormat="1" x14ac:dyDescent="0.25">
      <c r="A92" s="211" t="s">
        <v>1673</v>
      </c>
      <c r="B92" s="64">
        <v>32.65</v>
      </c>
      <c r="C92" s="64">
        <v>75.8</v>
      </c>
      <c r="D92" s="64">
        <v>68.66</v>
      </c>
      <c r="E92" s="64">
        <v>5.98</v>
      </c>
      <c r="F92" s="64">
        <v>7.02</v>
      </c>
      <c r="G92" s="64">
        <v>74.47</v>
      </c>
      <c r="H92" s="64">
        <v>30.96</v>
      </c>
      <c r="I92" s="64">
        <v>0.8</v>
      </c>
      <c r="J92" s="64">
        <v>0.02</v>
      </c>
      <c r="K92" s="64">
        <v>312.32</v>
      </c>
      <c r="L92" s="64">
        <v>31.48</v>
      </c>
      <c r="M92" s="64">
        <v>26.61</v>
      </c>
      <c r="N92" s="64">
        <v>6.6</v>
      </c>
      <c r="O92" s="64">
        <v>0</v>
      </c>
      <c r="P92" s="64">
        <v>1.94</v>
      </c>
      <c r="Q92" s="64">
        <v>21.62</v>
      </c>
      <c r="R92" s="198"/>
      <c r="S92" s="198"/>
      <c r="T92" s="198"/>
      <c r="U92" s="198"/>
    </row>
    <row r="93" spans="1:26" s="12" customFormat="1" x14ac:dyDescent="0.25">
      <c r="A93" s="211" t="s">
        <v>1674</v>
      </c>
      <c r="B93" s="64">
        <v>33.36</v>
      </c>
      <c r="C93" s="64">
        <v>82.83</v>
      </c>
      <c r="D93" s="64">
        <v>73.11</v>
      </c>
      <c r="E93" s="64">
        <v>6.9</v>
      </c>
      <c r="F93" s="64">
        <v>7.74</v>
      </c>
      <c r="G93" s="64">
        <v>74.47</v>
      </c>
      <c r="H93" s="64">
        <v>30.96</v>
      </c>
      <c r="I93" s="64">
        <v>0.74</v>
      </c>
      <c r="J93" s="64">
        <v>0.02</v>
      </c>
      <c r="K93" s="64">
        <v>302.95</v>
      </c>
      <c r="L93" s="64">
        <v>31.1</v>
      </c>
      <c r="M93" s="64">
        <v>27.18</v>
      </c>
      <c r="N93" s="64">
        <v>6.7</v>
      </c>
      <c r="O93" s="64">
        <v>0</v>
      </c>
      <c r="P93" s="64">
        <v>1.86</v>
      </c>
      <c r="Q93" s="64">
        <v>19.57</v>
      </c>
      <c r="R93" s="198"/>
      <c r="S93" s="198"/>
      <c r="T93" s="198"/>
      <c r="U93" s="198"/>
    </row>
    <row r="94" spans="1:26" s="12" customFormat="1" x14ac:dyDescent="0.25">
      <c r="A94" s="211" t="s">
        <v>1675</v>
      </c>
      <c r="B94" s="64">
        <v>30.91</v>
      </c>
      <c r="C94" s="64">
        <v>67.599999999999994</v>
      </c>
      <c r="D94" s="64">
        <v>62.74</v>
      </c>
      <c r="E94" s="64">
        <v>5.78</v>
      </c>
      <c r="F94" s="64">
        <v>11.9</v>
      </c>
      <c r="G94" s="64">
        <v>74.47</v>
      </c>
      <c r="H94" s="64">
        <v>30.96</v>
      </c>
      <c r="I94" s="64">
        <v>0.75</v>
      </c>
      <c r="J94" s="64">
        <v>0.03</v>
      </c>
      <c r="K94" s="64">
        <v>314.16000000000003</v>
      </c>
      <c r="L94" s="64">
        <v>31.05</v>
      </c>
      <c r="M94" s="64">
        <v>27.09</v>
      </c>
      <c r="N94" s="64">
        <v>6.4</v>
      </c>
      <c r="O94" s="64">
        <v>0</v>
      </c>
      <c r="P94" s="64">
        <v>1.55</v>
      </c>
      <c r="Q94" s="64">
        <v>21.51</v>
      </c>
      <c r="R94" s="198"/>
      <c r="S94" s="198"/>
      <c r="T94" s="198"/>
      <c r="U94" s="198"/>
    </row>
    <row r="95" spans="1:26" s="12" customFormat="1" x14ac:dyDescent="0.25">
      <c r="A95" s="211" t="s">
        <v>1676</v>
      </c>
      <c r="B95" s="64">
        <v>28.99</v>
      </c>
      <c r="C95" s="64">
        <v>79.91</v>
      </c>
      <c r="D95" s="64">
        <v>67.989999999999995</v>
      </c>
      <c r="E95" s="64">
        <v>6.44</v>
      </c>
      <c r="F95" s="64">
        <v>8.7200000000000006</v>
      </c>
      <c r="G95" s="64">
        <v>79.12</v>
      </c>
      <c r="H95" s="64">
        <v>32.020000000000003</v>
      </c>
      <c r="I95" s="64">
        <v>0.74</v>
      </c>
      <c r="J95" s="64">
        <v>0.09</v>
      </c>
      <c r="K95" s="64">
        <v>255.76</v>
      </c>
      <c r="L95" s="64">
        <v>30.72</v>
      </c>
      <c r="M95" s="64">
        <v>27.67</v>
      </c>
      <c r="N95" s="64">
        <v>6.7</v>
      </c>
      <c r="O95" s="64">
        <v>0</v>
      </c>
      <c r="P95" s="64">
        <v>1.4</v>
      </c>
      <c r="Q95" s="64">
        <v>21.11</v>
      </c>
      <c r="R95" s="198"/>
      <c r="S95" s="198"/>
      <c r="T95" s="198"/>
      <c r="U95" s="198"/>
    </row>
    <row r="96" spans="1:26" s="12" customFormat="1" x14ac:dyDescent="0.25">
      <c r="A96" s="211" t="s">
        <v>1677</v>
      </c>
      <c r="B96" s="64">
        <v>18.100000000000001</v>
      </c>
      <c r="C96" s="64">
        <v>77.34</v>
      </c>
      <c r="D96" s="64">
        <v>57.85</v>
      </c>
      <c r="E96" s="64">
        <v>6.81</v>
      </c>
      <c r="F96" s="64">
        <v>15.46</v>
      </c>
      <c r="G96" s="64">
        <v>79.510000000000005</v>
      </c>
      <c r="H96" s="64">
        <v>32.020000000000003</v>
      </c>
      <c r="I96" s="64">
        <v>0.74</v>
      </c>
      <c r="J96" s="64">
        <v>0.09</v>
      </c>
      <c r="K96" s="64">
        <v>269.70999999999998</v>
      </c>
      <c r="L96" s="64">
        <v>30.24</v>
      </c>
      <c r="M96" s="64">
        <v>28.63</v>
      </c>
      <c r="N96" s="64">
        <v>7.2</v>
      </c>
      <c r="O96" s="64">
        <v>0</v>
      </c>
      <c r="P96" s="64">
        <v>1.43</v>
      </c>
      <c r="Q96" s="64">
        <v>23.16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1678</v>
      </c>
      <c r="B97" s="64">
        <v>22.63</v>
      </c>
      <c r="C97" s="64">
        <v>56.74</v>
      </c>
      <c r="D97" s="64">
        <v>50.1</v>
      </c>
      <c r="E97" s="64">
        <v>5.45</v>
      </c>
      <c r="F97" s="64">
        <v>10.4</v>
      </c>
      <c r="G97" s="64">
        <v>79.510000000000005</v>
      </c>
      <c r="H97" s="64">
        <v>32.020000000000003</v>
      </c>
      <c r="I97" s="64">
        <v>0.72</v>
      </c>
      <c r="J97" s="64">
        <v>0.17</v>
      </c>
      <c r="K97" s="64">
        <v>258.7</v>
      </c>
      <c r="L97" s="64">
        <v>29.41</v>
      </c>
      <c r="M97" s="64">
        <v>31.42</v>
      </c>
      <c r="N97" s="64">
        <v>6.9</v>
      </c>
      <c r="O97" s="64">
        <v>0</v>
      </c>
      <c r="P97" s="64">
        <v>1.48</v>
      </c>
      <c r="Q97" s="64">
        <v>22.18</v>
      </c>
      <c r="R97" s="198"/>
      <c r="S97" s="198"/>
      <c r="T97" s="198"/>
      <c r="U97" s="198"/>
    </row>
    <row r="98" spans="1:33" s="12" customFormat="1" x14ac:dyDescent="0.25">
      <c r="A98" s="211" t="s">
        <v>1679</v>
      </c>
      <c r="B98" s="64">
        <v>27.62</v>
      </c>
      <c r="C98" s="64">
        <v>55.77</v>
      </c>
      <c r="D98" s="64">
        <v>53.57</v>
      </c>
      <c r="E98" s="64">
        <v>4.66</v>
      </c>
      <c r="F98" s="64">
        <v>12.64</v>
      </c>
      <c r="G98" s="64">
        <v>79.510000000000005</v>
      </c>
      <c r="H98" s="64">
        <v>32.020000000000003</v>
      </c>
      <c r="I98" s="64">
        <v>0.68</v>
      </c>
      <c r="J98" s="64">
        <v>0.11</v>
      </c>
      <c r="K98" s="64">
        <v>259.94</v>
      </c>
      <c r="L98" s="64">
        <v>29.08</v>
      </c>
      <c r="M98" s="64">
        <v>32.5</v>
      </c>
      <c r="N98" s="64">
        <v>6.9</v>
      </c>
      <c r="O98" s="64">
        <v>0</v>
      </c>
      <c r="P98" s="64">
        <v>1.44</v>
      </c>
      <c r="Q98" s="64">
        <v>23.54</v>
      </c>
      <c r="R98" s="198"/>
      <c r="S98" s="198"/>
      <c r="T98" s="198"/>
      <c r="U98" s="198"/>
    </row>
    <row r="99" spans="1:33" s="12" customFormat="1" x14ac:dyDescent="0.25">
      <c r="A99" s="211" t="s">
        <v>1680</v>
      </c>
      <c r="B99" s="64">
        <v>16.43</v>
      </c>
      <c r="C99" s="64">
        <v>51.83</v>
      </c>
      <c r="D99" s="64">
        <v>42.42</v>
      </c>
      <c r="E99" s="64">
        <v>4.43</v>
      </c>
      <c r="F99" s="64">
        <v>12.53</v>
      </c>
      <c r="G99" s="64">
        <v>75.5</v>
      </c>
      <c r="H99" s="64">
        <v>31.81</v>
      </c>
      <c r="I99" s="64">
        <v>0.72</v>
      </c>
      <c r="J99" s="64">
        <v>0.06</v>
      </c>
      <c r="K99" s="64">
        <v>286.2</v>
      </c>
      <c r="L99" s="64">
        <v>29.22</v>
      </c>
      <c r="M99" s="64">
        <v>32.07</v>
      </c>
      <c r="N99" s="64">
        <v>6.7</v>
      </c>
      <c r="O99" s="64">
        <v>0</v>
      </c>
      <c r="P99" s="64">
        <v>1.29</v>
      </c>
      <c r="Q99" s="64">
        <v>23.1</v>
      </c>
      <c r="R99" s="198"/>
      <c r="S99" s="198"/>
      <c r="T99" s="198"/>
      <c r="U99" s="198"/>
    </row>
    <row r="100" spans="1:33" s="12" customFormat="1" x14ac:dyDescent="0.25">
      <c r="A100" s="211" t="s">
        <v>1681</v>
      </c>
      <c r="B100" s="64">
        <v>15.25</v>
      </c>
      <c r="C100" s="64">
        <v>48.65</v>
      </c>
      <c r="D100" s="64">
        <v>39.729999999999997</v>
      </c>
      <c r="E100" s="64">
        <v>4.6399999999999997</v>
      </c>
      <c r="F100" s="64">
        <v>14.35</v>
      </c>
      <c r="G100" s="64">
        <v>75.16</v>
      </c>
      <c r="H100" s="64">
        <v>31.81</v>
      </c>
      <c r="I100" s="64">
        <v>0.63</v>
      </c>
      <c r="J100" s="64">
        <v>0.13</v>
      </c>
      <c r="K100" s="64">
        <v>270.44</v>
      </c>
      <c r="L100" s="64">
        <v>29.16</v>
      </c>
      <c r="M100" s="64">
        <v>32.06</v>
      </c>
      <c r="N100" s="64">
        <v>6.8</v>
      </c>
      <c r="O100" s="64">
        <v>0</v>
      </c>
      <c r="P100" s="64">
        <v>1.26</v>
      </c>
      <c r="Q100" s="64">
        <v>24.81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1682</v>
      </c>
      <c r="B101" s="64">
        <v>16.190000000000001</v>
      </c>
      <c r="C101" s="64">
        <v>47.15</v>
      </c>
      <c r="D101" s="64">
        <v>39.64</v>
      </c>
      <c r="E101" s="64">
        <v>3.97</v>
      </c>
      <c r="F101" s="64">
        <v>11.9</v>
      </c>
      <c r="G101" s="64">
        <v>75.16</v>
      </c>
      <c r="H101" s="64">
        <v>31.81</v>
      </c>
      <c r="I101" s="64">
        <v>0.66</v>
      </c>
      <c r="J101" s="64">
        <v>0.21</v>
      </c>
      <c r="K101" s="64">
        <v>267.63</v>
      </c>
      <c r="L101" s="64">
        <v>28.87</v>
      </c>
      <c r="M101" s="64">
        <v>34.4</v>
      </c>
      <c r="N101" s="64">
        <v>6.5</v>
      </c>
      <c r="O101" s="64">
        <v>0</v>
      </c>
      <c r="P101" s="64">
        <v>1.26</v>
      </c>
      <c r="Q101" s="64">
        <v>24.92</v>
      </c>
      <c r="R101" s="198"/>
      <c r="S101" s="198"/>
      <c r="T101" s="198"/>
      <c r="U101" s="198"/>
    </row>
    <row r="102" spans="1:33" s="12" customFormat="1" x14ac:dyDescent="0.25">
      <c r="A102" s="211" t="s">
        <v>1683</v>
      </c>
      <c r="B102" s="64">
        <v>14.79</v>
      </c>
      <c r="C102" s="64">
        <v>48.22</v>
      </c>
      <c r="D102" s="64">
        <v>39.119999999999997</v>
      </c>
      <c r="E102" s="64">
        <v>4.47</v>
      </c>
      <c r="F102" s="64">
        <v>14.53</v>
      </c>
      <c r="G102" s="64">
        <v>75.16</v>
      </c>
      <c r="H102" s="64">
        <v>31.81</v>
      </c>
      <c r="I102" s="64">
        <v>0.66</v>
      </c>
      <c r="J102" s="64">
        <v>0.26</v>
      </c>
      <c r="K102" s="64">
        <v>267.22000000000003</v>
      </c>
      <c r="L102" s="64">
        <v>29.05</v>
      </c>
      <c r="M102" s="64">
        <v>34.53</v>
      </c>
      <c r="N102" s="64">
        <v>6.7</v>
      </c>
      <c r="O102" s="64">
        <v>0</v>
      </c>
      <c r="P102" s="64">
        <v>1.24</v>
      </c>
      <c r="Q102" s="64">
        <v>24.79</v>
      </c>
      <c r="R102" s="198"/>
      <c r="S102" s="198"/>
      <c r="T102" s="198"/>
      <c r="U102" s="198"/>
    </row>
    <row r="103" spans="1:33" s="12" customFormat="1" x14ac:dyDescent="0.25">
      <c r="A103" s="211" t="s">
        <v>1684</v>
      </c>
      <c r="B103" s="64">
        <v>11.38</v>
      </c>
      <c r="C103" s="64">
        <v>57.61</v>
      </c>
      <c r="D103" s="64">
        <v>41.57</v>
      </c>
      <c r="E103" s="64">
        <v>6.18</v>
      </c>
      <c r="F103" s="64">
        <v>10.45</v>
      </c>
      <c r="G103" s="64">
        <v>68.22</v>
      </c>
      <c r="H103" s="64">
        <v>30.97</v>
      </c>
      <c r="I103" s="64">
        <v>0.67</v>
      </c>
      <c r="J103" s="64">
        <v>7.0000000000000007E-2</v>
      </c>
      <c r="K103" s="64">
        <v>237.53</v>
      </c>
      <c r="L103" s="64">
        <v>28.44</v>
      </c>
      <c r="M103" s="64">
        <v>35.43</v>
      </c>
      <c r="N103" s="64">
        <v>7</v>
      </c>
      <c r="O103" s="64">
        <v>0</v>
      </c>
      <c r="P103" s="64">
        <v>1.34</v>
      </c>
      <c r="Q103" s="64">
        <v>24.23</v>
      </c>
      <c r="R103" s="198"/>
      <c r="S103" s="198"/>
      <c r="T103" s="198"/>
      <c r="U103" s="198"/>
    </row>
    <row r="104" spans="1:33" s="12" customFormat="1" x14ac:dyDescent="0.25">
      <c r="A104" s="211" t="s">
        <v>1685</v>
      </c>
      <c r="B104" s="64">
        <v>13.21</v>
      </c>
      <c r="C104" s="64">
        <v>59.48</v>
      </c>
      <c r="D104" s="64">
        <v>44.06</v>
      </c>
      <c r="E104" s="64">
        <v>12.02</v>
      </c>
      <c r="F104" s="64">
        <v>7.83</v>
      </c>
      <c r="G104" s="64">
        <v>67.63</v>
      </c>
      <c r="H104" s="64">
        <v>30.97</v>
      </c>
      <c r="I104" s="64">
        <v>0.65</v>
      </c>
      <c r="J104" s="64">
        <v>0.13</v>
      </c>
      <c r="K104" s="64">
        <v>253.51</v>
      </c>
      <c r="L104" s="64">
        <v>28.56</v>
      </c>
      <c r="M104" s="64">
        <v>34.909999999999997</v>
      </c>
      <c r="N104" s="64">
        <v>6.4</v>
      </c>
      <c r="O104" s="64">
        <v>0</v>
      </c>
      <c r="P104" s="64">
        <v>1.25</v>
      </c>
      <c r="Q104" s="64">
        <v>24.01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3.11</v>
      </c>
      <c r="D106" s="67">
        <f t="shared" ref="D106:Q106" si="0">MIN(D9:D104)</f>
        <v>20.399999999999999</v>
      </c>
      <c r="E106" s="67">
        <f t="shared" si="0"/>
        <v>0.89</v>
      </c>
      <c r="F106" s="67">
        <f t="shared" si="0"/>
        <v>3.75</v>
      </c>
      <c r="G106" s="67">
        <f t="shared" si="0"/>
        <v>44.92</v>
      </c>
      <c r="H106" s="67">
        <f t="shared" si="0"/>
        <v>14.05</v>
      </c>
      <c r="I106" s="67">
        <f t="shared" si="0"/>
        <v>0.48</v>
      </c>
      <c r="J106" s="67">
        <f t="shared" si="0"/>
        <v>0.02</v>
      </c>
      <c r="K106" s="67">
        <f t="shared" si="0"/>
        <v>8.77</v>
      </c>
      <c r="L106" s="67">
        <f t="shared" si="0"/>
        <v>23.95</v>
      </c>
      <c r="M106" s="67">
        <f t="shared" si="0"/>
        <v>10.94</v>
      </c>
      <c r="N106" s="67">
        <f t="shared" si="0"/>
        <v>5.0999999999999996</v>
      </c>
      <c r="O106" s="67">
        <f t="shared" si="0"/>
        <v>0</v>
      </c>
      <c r="P106" s="67">
        <f t="shared" si="0"/>
        <v>0.43</v>
      </c>
      <c r="Q106" s="67">
        <f t="shared" si="0"/>
        <v>15.91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71.430000000000007</v>
      </c>
      <c r="C107" s="66">
        <f t="shared" ref="C107:Q107" si="1">MAX(C9:C104)</f>
        <v>82.83</v>
      </c>
      <c r="D107" s="66">
        <f t="shared" si="1"/>
        <v>74.41</v>
      </c>
      <c r="E107" s="66">
        <f t="shared" si="1"/>
        <v>12.47</v>
      </c>
      <c r="F107" s="66">
        <f t="shared" si="1"/>
        <v>52.53</v>
      </c>
      <c r="G107" s="66">
        <f t="shared" si="1"/>
        <v>114.77</v>
      </c>
      <c r="H107" s="66">
        <f t="shared" si="1"/>
        <v>47.72</v>
      </c>
      <c r="I107" s="66">
        <f t="shared" si="1"/>
        <v>0.86</v>
      </c>
      <c r="J107" s="66">
        <f t="shared" si="1"/>
        <v>2.78</v>
      </c>
      <c r="K107" s="66">
        <f t="shared" si="1"/>
        <v>342.14</v>
      </c>
      <c r="L107" s="66">
        <f t="shared" si="1"/>
        <v>41.83</v>
      </c>
      <c r="M107" s="66">
        <f t="shared" si="1"/>
        <v>52.69</v>
      </c>
      <c r="N107" s="66">
        <f t="shared" si="1"/>
        <v>865.8</v>
      </c>
      <c r="O107" s="66">
        <f t="shared" si="1"/>
        <v>0</v>
      </c>
      <c r="P107" s="66">
        <f t="shared" si="1"/>
        <v>2.2000000000000002</v>
      </c>
      <c r="Q107" s="66">
        <f t="shared" si="1"/>
        <v>30.76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13.211630434782606</v>
      </c>
      <c r="C108" s="67">
        <f t="shared" ref="C108:Q108" si="2">AVERAGE(C9:C104)</f>
        <v>48.164239130434758</v>
      </c>
      <c r="D108" s="67">
        <f t="shared" si="2"/>
        <v>37.818478260869554</v>
      </c>
      <c r="E108" s="67">
        <f t="shared" si="2"/>
        <v>5.5428260869565227</v>
      </c>
      <c r="F108" s="67">
        <f t="shared" si="2"/>
        <v>13.897187500000003</v>
      </c>
      <c r="G108" s="67">
        <f t="shared" si="2"/>
        <v>68.637444444444426</v>
      </c>
      <c r="H108" s="67">
        <f t="shared" si="2"/>
        <v>32.909111111111095</v>
      </c>
      <c r="I108" s="67">
        <f t="shared" si="2"/>
        <v>0.62385416666666671</v>
      </c>
      <c r="J108" s="67">
        <f t="shared" si="2"/>
        <v>0.49531250000000021</v>
      </c>
      <c r="K108" s="67">
        <f t="shared" si="2"/>
        <v>258.73552083333334</v>
      </c>
      <c r="L108" s="67">
        <f t="shared" si="2"/>
        <v>32.376874999999977</v>
      </c>
      <c r="M108" s="67">
        <f t="shared" si="2"/>
        <v>28.053854166666671</v>
      </c>
      <c r="N108" s="67">
        <f t="shared" si="2"/>
        <v>245.6791666666667</v>
      </c>
      <c r="O108" s="67">
        <f t="shared" si="2"/>
        <v>0</v>
      </c>
      <c r="P108" s="67">
        <f t="shared" si="2"/>
        <v>1.0158947368421058</v>
      </c>
      <c r="Q108" s="67">
        <f t="shared" si="2"/>
        <v>24.14520833333334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11.761329471570965</v>
      </c>
      <c r="C109" s="67">
        <f t="shared" ref="C109:Q109" si="3">STDEV(C9:C104)</f>
        <v>13.222699117131535</v>
      </c>
      <c r="D109" s="67">
        <f t="shared" si="3"/>
        <v>14.110965881130326</v>
      </c>
      <c r="E109" s="67">
        <f t="shared" si="3"/>
        <v>2.8156194353262123</v>
      </c>
      <c r="F109" s="67">
        <f t="shared" si="3"/>
        <v>8.5500663836296358</v>
      </c>
      <c r="G109" s="67">
        <f t="shared" si="3"/>
        <v>18.136466868561019</v>
      </c>
      <c r="H109" s="67">
        <f t="shared" si="3"/>
        <v>7.6130549677887451</v>
      </c>
      <c r="I109" s="67">
        <f t="shared" si="3"/>
        <v>0.10243734713335333</v>
      </c>
      <c r="J109" s="67">
        <f t="shared" si="3"/>
        <v>0.69535595295919483</v>
      </c>
      <c r="K109" s="67">
        <f t="shared" si="3"/>
        <v>58.167767595931466</v>
      </c>
      <c r="L109" s="67">
        <f t="shared" si="3"/>
        <v>5.8741365882907122</v>
      </c>
      <c r="M109" s="67">
        <f t="shared" si="3"/>
        <v>13.369883861227775</v>
      </c>
      <c r="N109" s="67">
        <f t="shared" si="3"/>
        <v>319.3636099352542</v>
      </c>
      <c r="O109" s="67">
        <f t="shared" si="3"/>
        <v>0</v>
      </c>
      <c r="P109" s="67">
        <f t="shared" si="3"/>
        <v>0.4184177255531954</v>
      </c>
      <c r="Q109" s="67">
        <f t="shared" si="3"/>
        <v>3.2154177854654868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COUNT(B9:B104)+4</f>
        <v>96</v>
      </c>
      <c r="C110" s="66">
        <f>COUNT(C9:C104)+4</f>
        <v>96</v>
      </c>
      <c r="D110" s="66">
        <f>COUNT(D9:D104)+4</f>
        <v>96</v>
      </c>
      <c r="E110" s="66">
        <f>COUNT(E9:E104)+4</f>
        <v>96</v>
      </c>
      <c r="F110" s="66">
        <f t="shared" ref="F110:Q110" si="4">COUNT(F9:F104)</f>
        <v>96</v>
      </c>
      <c r="G110" s="66">
        <f>COUNT(G9:G104)+6</f>
        <v>96</v>
      </c>
      <c r="H110" s="66">
        <f>COUNT(H9:H104)+6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>COUNT(P9:P104)+1</f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39" sqref="F13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1687</v>
      </c>
      <c r="B9" s="64">
        <v>13.51</v>
      </c>
      <c r="C9" s="64">
        <v>55.73</v>
      </c>
      <c r="D9" s="64">
        <v>42.24</v>
      </c>
      <c r="E9" s="64">
        <v>19.36</v>
      </c>
      <c r="F9" s="64">
        <v>11.34</v>
      </c>
      <c r="G9" s="64">
        <v>67.63</v>
      </c>
      <c r="H9" s="64">
        <v>30.97</v>
      </c>
      <c r="I9" s="64">
        <v>0.67</v>
      </c>
      <c r="J9" s="64">
        <v>0.11</v>
      </c>
      <c r="K9" s="64">
        <v>276.19</v>
      </c>
      <c r="L9" s="64">
        <v>28.71</v>
      </c>
      <c r="M9" s="64">
        <v>34.93</v>
      </c>
      <c r="N9" s="64">
        <v>7.1</v>
      </c>
      <c r="O9" s="64">
        <v>0</v>
      </c>
      <c r="P9" s="64">
        <v>1.23</v>
      </c>
      <c r="Q9" s="64">
        <v>23.62</v>
      </c>
      <c r="R9" s="198"/>
      <c r="S9" s="198"/>
      <c r="T9" s="198"/>
      <c r="U9" s="198"/>
    </row>
    <row r="10" spans="1:21" s="12" customFormat="1" x14ac:dyDescent="0.25">
      <c r="A10" s="211" t="s">
        <v>1688</v>
      </c>
      <c r="B10" s="64">
        <v>9.6999999999999993</v>
      </c>
      <c r="C10" s="64">
        <v>52.69</v>
      </c>
      <c r="D10" s="64">
        <v>37.5</v>
      </c>
      <c r="E10" s="64">
        <v>20.52</v>
      </c>
      <c r="F10" s="64">
        <v>11.6</v>
      </c>
      <c r="G10" s="64">
        <v>67.63</v>
      </c>
      <c r="H10" s="64">
        <v>30.97</v>
      </c>
      <c r="I10" s="64">
        <v>0.66</v>
      </c>
      <c r="J10" s="64">
        <v>7.0000000000000007E-2</v>
      </c>
      <c r="K10" s="64">
        <v>223.94</v>
      </c>
      <c r="L10" s="64">
        <v>28.05</v>
      </c>
      <c r="M10" s="64">
        <v>37.270000000000003</v>
      </c>
      <c r="N10" s="64">
        <v>7</v>
      </c>
      <c r="O10" s="64">
        <v>0</v>
      </c>
      <c r="P10" s="64">
        <v>1.24</v>
      </c>
      <c r="Q10" s="64">
        <v>24.73</v>
      </c>
      <c r="R10" s="198"/>
      <c r="S10" s="198"/>
      <c r="T10" s="198"/>
      <c r="U10" s="198"/>
    </row>
    <row r="11" spans="1:21" s="12" customFormat="1" x14ac:dyDescent="0.25">
      <c r="A11" s="211" t="s">
        <v>1689</v>
      </c>
      <c r="B11" s="64">
        <v>6.82</v>
      </c>
      <c r="C11" s="64">
        <v>53.46</v>
      </c>
      <c r="D11" s="64">
        <v>35.619999999999997</v>
      </c>
      <c r="E11" s="64">
        <v>20.7</v>
      </c>
      <c r="F11" s="64">
        <v>10.76</v>
      </c>
      <c r="G11" s="64">
        <v>75.67</v>
      </c>
      <c r="H11" s="64">
        <v>34.69</v>
      </c>
      <c r="I11" s="64">
        <v>0.64</v>
      </c>
      <c r="J11" s="64">
        <v>0.11</v>
      </c>
      <c r="K11" s="64">
        <v>252.86</v>
      </c>
      <c r="L11" s="64">
        <v>27.85</v>
      </c>
      <c r="M11" s="64">
        <v>37.5</v>
      </c>
      <c r="N11" s="64">
        <v>6.8</v>
      </c>
      <c r="O11" s="64">
        <v>0</v>
      </c>
      <c r="P11" s="64">
        <v>1.17</v>
      </c>
      <c r="Q11" s="64">
        <v>25.58</v>
      </c>
      <c r="R11" s="198"/>
      <c r="S11" s="198"/>
      <c r="T11" s="198"/>
      <c r="U11" s="198"/>
    </row>
    <row r="12" spans="1:21" s="12" customFormat="1" x14ac:dyDescent="0.25">
      <c r="A12" s="211" t="s">
        <v>1690</v>
      </c>
      <c r="B12" s="64">
        <v>7.39</v>
      </c>
      <c r="C12" s="64">
        <v>52.15</v>
      </c>
      <c r="D12" s="64">
        <v>35.35</v>
      </c>
      <c r="E12" s="64">
        <v>16.77</v>
      </c>
      <c r="F12" s="64">
        <v>8.67</v>
      </c>
      <c r="G12" s="64">
        <v>76.349999999999994</v>
      </c>
      <c r="H12" s="64">
        <v>34.69</v>
      </c>
      <c r="I12" s="64">
        <v>0.66</v>
      </c>
      <c r="J12" s="64">
        <v>0.22</v>
      </c>
      <c r="K12" s="64">
        <v>253.99</v>
      </c>
      <c r="L12" s="64">
        <v>28.09</v>
      </c>
      <c r="M12" s="64">
        <v>37.25</v>
      </c>
      <c r="N12" s="64">
        <v>6.1</v>
      </c>
      <c r="O12" s="64">
        <v>0</v>
      </c>
      <c r="P12" s="64">
        <v>1.1499999999999999</v>
      </c>
      <c r="Q12" s="64">
        <v>26.04</v>
      </c>
      <c r="R12" s="198"/>
      <c r="S12" s="198"/>
      <c r="T12" s="198"/>
      <c r="U12" s="198"/>
    </row>
    <row r="13" spans="1:21" s="12" customFormat="1" x14ac:dyDescent="0.25">
      <c r="A13" s="211" t="s">
        <v>1691</v>
      </c>
      <c r="B13" s="64">
        <v>8.93</v>
      </c>
      <c r="C13" s="64">
        <v>48.28</v>
      </c>
      <c r="D13" s="64">
        <v>34.450000000000003</v>
      </c>
      <c r="E13" s="64">
        <v>12.19</v>
      </c>
      <c r="F13" s="64">
        <v>6.87</v>
      </c>
      <c r="G13" s="64">
        <v>76.349999999999994</v>
      </c>
      <c r="H13" s="64">
        <v>34.69</v>
      </c>
      <c r="I13" s="64">
        <v>0.69</v>
      </c>
      <c r="J13" s="64">
        <v>0.2</v>
      </c>
      <c r="K13" s="64">
        <v>256.58999999999997</v>
      </c>
      <c r="L13" s="64">
        <v>27.85</v>
      </c>
      <c r="M13" s="64">
        <v>38.83</v>
      </c>
      <c r="N13" s="64">
        <v>6.8</v>
      </c>
      <c r="O13" s="64">
        <v>0</v>
      </c>
      <c r="P13" s="64">
        <v>1.0900000000000001</v>
      </c>
      <c r="Q13" s="64">
        <v>26.16</v>
      </c>
      <c r="R13" s="198"/>
      <c r="S13" s="198"/>
      <c r="T13" s="198"/>
      <c r="U13" s="198"/>
    </row>
    <row r="14" spans="1:21" s="12" customFormat="1" x14ac:dyDescent="0.25">
      <c r="A14" s="211" t="s">
        <v>1692</v>
      </c>
      <c r="B14" s="64">
        <v>8.4600000000000009</v>
      </c>
      <c r="C14" s="64">
        <v>44.58</v>
      </c>
      <c r="D14" s="64">
        <v>32.03</v>
      </c>
      <c r="E14" s="64">
        <v>11.45</v>
      </c>
      <c r="F14" s="64">
        <v>9.94</v>
      </c>
      <c r="G14" s="64">
        <v>76.349999999999994</v>
      </c>
      <c r="H14" s="64">
        <v>34.69</v>
      </c>
      <c r="I14" s="64">
        <v>0.7</v>
      </c>
      <c r="J14" s="64">
        <v>0.1</v>
      </c>
      <c r="K14" s="64">
        <v>226.43</v>
      </c>
      <c r="L14" s="64">
        <v>27.46</v>
      </c>
      <c r="M14" s="64">
        <v>38.49</v>
      </c>
      <c r="N14" s="64">
        <v>7.1</v>
      </c>
      <c r="O14" s="64">
        <v>0</v>
      </c>
      <c r="P14" s="64">
        <v>1.1100000000000001</v>
      </c>
      <c r="Q14" s="64">
        <v>26.2</v>
      </c>
      <c r="R14" s="198"/>
      <c r="S14" s="198"/>
      <c r="T14" s="198"/>
      <c r="U14" s="198"/>
    </row>
    <row r="15" spans="1:21" s="12" customFormat="1" x14ac:dyDescent="0.25">
      <c r="A15" s="211" t="s">
        <v>1693</v>
      </c>
      <c r="B15" s="64">
        <v>7.9</v>
      </c>
      <c r="C15" s="64">
        <v>43.45</v>
      </c>
      <c r="D15" s="64">
        <v>30.96</v>
      </c>
      <c r="E15" s="64">
        <v>10.23</v>
      </c>
      <c r="F15" s="64">
        <v>9.6</v>
      </c>
      <c r="G15" s="64">
        <v>71.349999999999994</v>
      </c>
      <c r="H15" s="64">
        <v>34.81</v>
      </c>
      <c r="I15" s="64">
        <v>0.69</v>
      </c>
      <c r="J15" s="64">
        <v>0.18</v>
      </c>
      <c r="K15" s="64">
        <v>255.83</v>
      </c>
      <c r="L15" s="64">
        <v>27.1</v>
      </c>
      <c r="M15" s="64">
        <v>40.83</v>
      </c>
      <c r="N15" s="64">
        <v>6.9</v>
      </c>
      <c r="O15" s="64">
        <v>0</v>
      </c>
      <c r="P15" s="64">
        <v>1.17</v>
      </c>
      <c r="Q15" s="64">
        <v>25.95</v>
      </c>
      <c r="R15" s="198"/>
      <c r="S15" s="198"/>
      <c r="T15" s="198"/>
      <c r="U15" s="198"/>
    </row>
    <row r="16" spans="1:21" s="12" customFormat="1" x14ac:dyDescent="0.25">
      <c r="A16" s="211" t="s">
        <v>1694</v>
      </c>
      <c r="B16" s="64">
        <v>8.6</v>
      </c>
      <c r="C16" s="64">
        <v>42.44</v>
      </c>
      <c r="D16" s="64">
        <v>30.97</v>
      </c>
      <c r="E16" s="64">
        <v>6.8</v>
      </c>
      <c r="F16" s="64">
        <v>7.35</v>
      </c>
      <c r="G16" s="64">
        <v>70.66</v>
      </c>
      <c r="H16" s="64">
        <v>34.81</v>
      </c>
      <c r="I16" s="64">
        <v>0.6</v>
      </c>
      <c r="J16" s="64">
        <v>0.15</v>
      </c>
      <c r="K16" s="64">
        <v>286.85000000000002</v>
      </c>
      <c r="L16" s="64">
        <v>26.83</v>
      </c>
      <c r="M16" s="64">
        <v>43.01</v>
      </c>
      <c r="N16" s="64">
        <v>6.8</v>
      </c>
      <c r="O16" s="64">
        <v>0</v>
      </c>
      <c r="P16" s="64">
        <v>1.22</v>
      </c>
      <c r="Q16" s="64">
        <v>25.69</v>
      </c>
      <c r="R16" s="198"/>
      <c r="S16" s="198"/>
      <c r="T16" s="198"/>
      <c r="U16" s="198"/>
    </row>
    <row r="17" spans="1:21" s="12" customFormat="1" x14ac:dyDescent="0.25">
      <c r="A17" s="211" t="s">
        <v>1695</v>
      </c>
      <c r="B17" s="64">
        <v>7.66</v>
      </c>
      <c r="C17" s="64">
        <v>39.119999999999997</v>
      </c>
      <c r="D17" s="64">
        <v>28.38</v>
      </c>
      <c r="E17" s="64">
        <v>6.81</v>
      </c>
      <c r="F17" s="64">
        <v>13.06</v>
      </c>
      <c r="G17" s="64">
        <v>70.66</v>
      </c>
      <c r="H17" s="64">
        <v>34.81</v>
      </c>
      <c r="I17" s="64">
        <v>0.63</v>
      </c>
      <c r="J17" s="64">
        <v>0.13</v>
      </c>
      <c r="K17" s="64">
        <v>267.16000000000003</v>
      </c>
      <c r="L17" s="64">
        <v>26.55</v>
      </c>
      <c r="M17" s="64">
        <v>43.22</v>
      </c>
      <c r="N17" s="64">
        <v>6.8</v>
      </c>
      <c r="O17" s="64">
        <v>0</v>
      </c>
      <c r="P17" s="64">
        <v>1.17</v>
      </c>
      <c r="Q17" s="64">
        <v>25.6</v>
      </c>
      <c r="R17" s="198"/>
      <c r="S17" s="198"/>
      <c r="T17" s="198"/>
      <c r="U17" s="198"/>
    </row>
    <row r="18" spans="1:21" s="12" customFormat="1" x14ac:dyDescent="0.25">
      <c r="A18" s="211" t="s">
        <v>1696</v>
      </c>
      <c r="B18" s="64">
        <v>7.85</v>
      </c>
      <c r="C18" s="64">
        <v>39.08</v>
      </c>
      <c r="D18" s="64">
        <v>28.51</v>
      </c>
      <c r="E18" s="64">
        <v>6.22</v>
      </c>
      <c r="F18" s="64">
        <v>8.93</v>
      </c>
      <c r="G18" s="64">
        <v>70.66</v>
      </c>
      <c r="H18" s="64">
        <v>34.81</v>
      </c>
      <c r="I18" s="64">
        <v>0.65</v>
      </c>
      <c r="J18" s="64">
        <v>0.02</v>
      </c>
      <c r="K18" s="64">
        <v>335.03</v>
      </c>
      <c r="L18" s="64">
        <v>25.98</v>
      </c>
      <c r="M18" s="64">
        <v>46.72</v>
      </c>
      <c r="N18" s="64">
        <v>7.1</v>
      </c>
      <c r="O18" s="64">
        <v>0</v>
      </c>
      <c r="P18" s="64">
        <v>1.17</v>
      </c>
      <c r="Q18" s="64">
        <v>25.36</v>
      </c>
      <c r="R18" s="198"/>
      <c r="S18" s="198"/>
      <c r="T18" s="198"/>
      <c r="U18" s="198"/>
    </row>
    <row r="19" spans="1:21" s="12" customFormat="1" x14ac:dyDescent="0.25">
      <c r="A19" s="211" t="s">
        <v>1697</v>
      </c>
      <c r="B19" s="64">
        <v>6.75</v>
      </c>
      <c r="C19" s="64">
        <v>38.869999999999997</v>
      </c>
      <c r="D19" s="64">
        <v>27.51</v>
      </c>
      <c r="E19" s="64">
        <v>6.37</v>
      </c>
      <c r="F19" s="64">
        <v>9.1999999999999993</v>
      </c>
      <c r="G19" s="64">
        <v>67.36</v>
      </c>
      <c r="H19" s="64">
        <v>35.479999999999997</v>
      </c>
      <c r="I19" s="64">
        <v>0.57999999999999996</v>
      </c>
      <c r="J19" s="64">
        <v>0.08</v>
      </c>
      <c r="K19" s="64">
        <v>131.74</v>
      </c>
      <c r="L19" s="64">
        <v>25.89</v>
      </c>
      <c r="M19" s="64">
        <v>45.83</v>
      </c>
      <c r="N19" s="64">
        <v>6.7</v>
      </c>
      <c r="O19" s="64">
        <v>0</v>
      </c>
      <c r="P19" s="64">
        <v>1.1599999999999999</v>
      </c>
      <c r="Q19" s="64">
        <v>25.49</v>
      </c>
      <c r="R19" s="198"/>
      <c r="S19" s="198"/>
      <c r="T19" s="198"/>
      <c r="U19" s="198"/>
    </row>
    <row r="20" spans="1:21" s="12" customFormat="1" x14ac:dyDescent="0.25">
      <c r="A20" s="211" t="s">
        <v>1698</v>
      </c>
      <c r="B20" s="64">
        <v>5</v>
      </c>
      <c r="C20" s="64">
        <v>38.39</v>
      </c>
      <c r="D20" s="64">
        <v>25.84</v>
      </c>
      <c r="E20" s="64">
        <v>7.44</v>
      </c>
      <c r="F20" s="64">
        <v>11.51</v>
      </c>
      <c r="G20" s="64">
        <v>66.900000000000006</v>
      </c>
      <c r="H20" s="64">
        <v>35.479999999999997</v>
      </c>
      <c r="I20" s="64">
        <v>0.6</v>
      </c>
      <c r="J20" s="64">
        <v>0.21</v>
      </c>
      <c r="K20" s="64">
        <v>260.02</v>
      </c>
      <c r="L20" s="64">
        <v>25.95</v>
      </c>
      <c r="M20" s="64">
        <v>48.11</v>
      </c>
      <c r="N20" s="64">
        <v>6.6</v>
      </c>
      <c r="O20" s="64">
        <v>0</v>
      </c>
      <c r="P20" s="64">
        <v>1.01</v>
      </c>
      <c r="Q20" s="64">
        <v>26.19</v>
      </c>
      <c r="R20" s="198"/>
      <c r="S20" s="198"/>
      <c r="T20" s="198"/>
      <c r="U20" s="198"/>
    </row>
    <row r="21" spans="1:21" s="12" customFormat="1" x14ac:dyDescent="0.25">
      <c r="A21" s="211" t="s">
        <v>1699</v>
      </c>
      <c r="B21" s="64">
        <v>4.59</v>
      </c>
      <c r="C21" s="64">
        <v>38.299999999999997</v>
      </c>
      <c r="D21" s="64">
        <v>25.46</v>
      </c>
      <c r="E21" s="64">
        <v>7.12</v>
      </c>
      <c r="F21" s="64">
        <v>8.9700000000000006</v>
      </c>
      <c r="G21" s="64">
        <v>66.900000000000006</v>
      </c>
      <c r="H21" s="64">
        <v>35.479999999999997</v>
      </c>
      <c r="I21" s="64">
        <v>0.6</v>
      </c>
      <c r="J21" s="64">
        <v>0.14000000000000001</v>
      </c>
      <c r="K21" s="64">
        <v>261.22000000000003</v>
      </c>
      <c r="L21" s="64">
        <v>25.44</v>
      </c>
      <c r="M21" s="64">
        <v>49.67</v>
      </c>
      <c r="N21" s="64">
        <v>7.1</v>
      </c>
      <c r="O21" s="64">
        <v>0</v>
      </c>
      <c r="P21" s="64">
        <v>1</v>
      </c>
      <c r="Q21" s="64">
        <v>25.87</v>
      </c>
      <c r="R21" s="198"/>
      <c r="S21" s="198"/>
      <c r="T21" s="198"/>
      <c r="U21" s="198"/>
    </row>
    <row r="22" spans="1:21" s="12" customFormat="1" x14ac:dyDescent="0.25">
      <c r="A22" s="211" t="s">
        <v>1700</v>
      </c>
      <c r="B22" s="64">
        <v>5.04</v>
      </c>
      <c r="C22" s="64">
        <v>41.22</v>
      </c>
      <c r="D22" s="64">
        <v>27.44</v>
      </c>
      <c r="E22" s="64">
        <v>10.029999999999999</v>
      </c>
      <c r="F22" s="64">
        <v>10.25</v>
      </c>
      <c r="G22" s="64">
        <v>66.900000000000006</v>
      </c>
      <c r="H22" s="64">
        <v>35.479999999999997</v>
      </c>
      <c r="I22" s="64">
        <v>0.56000000000000005</v>
      </c>
      <c r="J22" s="64">
        <v>0.18</v>
      </c>
      <c r="K22" s="64">
        <v>264.02</v>
      </c>
      <c r="L22" s="64">
        <v>26.07</v>
      </c>
      <c r="M22" s="64">
        <v>44.16</v>
      </c>
      <c r="N22" s="64">
        <v>6.4</v>
      </c>
      <c r="O22" s="64">
        <v>0</v>
      </c>
      <c r="P22" s="64">
        <v>0.99</v>
      </c>
      <c r="Q22" s="64">
        <v>25.98</v>
      </c>
      <c r="R22" s="198"/>
      <c r="S22" s="198"/>
      <c r="T22" s="198"/>
      <c r="U22" s="198"/>
    </row>
    <row r="23" spans="1:21" s="12" customFormat="1" x14ac:dyDescent="0.25">
      <c r="A23" s="211" t="s">
        <v>1701</v>
      </c>
      <c r="B23" s="64">
        <v>9.4600000000000009</v>
      </c>
      <c r="C23" s="64">
        <v>39.450000000000003</v>
      </c>
      <c r="D23" s="64">
        <v>30.01</v>
      </c>
      <c r="E23" s="64">
        <v>10.61</v>
      </c>
      <c r="F23" s="64">
        <v>13.54</v>
      </c>
      <c r="G23" s="64">
        <v>64.81</v>
      </c>
      <c r="H23" s="64">
        <v>34.659999999999997</v>
      </c>
      <c r="I23" s="64">
        <v>0.56999999999999995</v>
      </c>
      <c r="J23" s="64">
        <v>7.0000000000000007E-2</v>
      </c>
      <c r="K23" s="64">
        <v>275.94</v>
      </c>
      <c r="L23" s="64">
        <v>26.08</v>
      </c>
      <c r="M23" s="64">
        <v>43.79</v>
      </c>
      <c r="N23" s="64">
        <v>6.8</v>
      </c>
      <c r="O23" s="64">
        <v>0</v>
      </c>
      <c r="P23" s="64">
        <v>0.85</v>
      </c>
      <c r="Q23" s="64">
        <v>26.33</v>
      </c>
      <c r="R23" s="198"/>
      <c r="S23" s="198"/>
      <c r="T23" s="198"/>
      <c r="U23" s="198"/>
    </row>
    <row r="24" spans="1:21" s="12" customFormat="1" x14ac:dyDescent="0.25">
      <c r="A24" s="211" t="s">
        <v>1702</v>
      </c>
      <c r="B24" s="64">
        <v>9.6300000000000008</v>
      </c>
      <c r="C24" s="64">
        <v>33.86</v>
      </c>
      <c r="D24" s="64">
        <v>27.06</v>
      </c>
      <c r="E24" s="64">
        <v>3.88</v>
      </c>
      <c r="F24" s="64">
        <v>10.37</v>
      </c>
      <c r="G24" s="64">
        <v>64.510000000000005</v>
      </c>
      <c r="H24" s="64">
        <v>34.659999999999997</v>
      </c>
      <c r="I24" s="64">
        <v>0.6</v>
      </c>
      <c r="J24" s="64">
        <v>0.23</v>
      </c>
      <c r="K24" s="64">
        <v>267.04000000000002</v>
      </c>
      <c r="L24" s="64">
        <v>26.13</v>
      </c>
      <c r="M24" s="64">
        <v>43.59</v>
      </c>
      <c r="N24" s="64">
        <v>6.3</v>
      </c>
      <c r="O24" s="64">
        <v>0</v>
      </c>
      <c r="P24" s="64">
        <v>0.99</v>
      </c>
      <c r="Q24" s="64">
        <v>26.86</v>
      </c>
      <c r="R24" s="198"/>
      <c r="S24" s="198"/>
      <c r="T24" s="198"/>
      <c r="U24" s="198"/>
    </row>
    <row r="25" spans="1:21" s="12" customFormat="1" x14ac:dyDescent="0.25">
      <c r="A25" s="211" t="s">
        <v>1703</v>
      </c>
      <c r="B25" s="64">
        <v>9.5500000000000007</v>
      </c>
      <c r="C25" s="64">
        <v>36.32</v>
      </c>
      <c r="D25" s="64">
        <v>28.35</v>
      </c>
      <c r="E25" s="64">
        <v>6.92</v>
      </c>
      <c r="F25" s="64">
        <v>8.1999999999999993</v>
      </c>
      <c r="G25" s="64">
        <v>64.510000000000005</v>
      </c>
      <c r="H25" s="64">
        <v>34.659999999999997</v>
      </c>
      <c r="I25" s="64">
        <v>0.61</v>
      </c>
      <c r="J25" s="64">
        <v>0.13</v>
      </c>
      <c r="K25" s="64">
        <v>256.66000000000003</v>
      </c>
      <c r="L25" s="64">
        <v>26.44</v>
      </c>
      <c r="M25" s="64">
        <v>41.89</v>
      </c>
      <c r="N25" s="64">
        <v>6.3</v>
      </c>
      <c r="O25" s="64">
        <v>0</v>
      </c>
      <c r="P25" s="64">
        <v>1.02</v>
      </c>
      <c r="Q25" s="64">
        <v>26.59</v>
      </c>
      <c r="R25" s="198"/>
      <c r="S25" s="198"/>
      <c r="T25" s="198"/>
      <c r="U25" s="198"/>
    </row>
    <row r="26" spans="1:21" s="12" customFormat="1" x14ac:dyDescent="0.25">
      <c r="A26" s="211" t="s">
        <v>1704</v>
      </c>
      <c r="B26" s="64">
        <v>7.06</v>
      </c>
      <c r="C26" s="64">
        <v>38.61</v>
      </c>
      <c r="D26" s="64">
        <v>27.61</v>
      </c>
      <c r="E26" s="64">
        <v>9.41</v>
      </c>
      <c r="F26" s="64">
        <v>8</v>
      </c>
      <c r="G26" s="64">
        <v>64.510000000000005</v>
      </c>
      <c r="H26" s="64">
        <v>34.659999999999997</v>
      </c>
      <c r="I26" s="64">
        <v>0.65</v>
      </c>
      <c r="J26" s="64">
        <v>0.06</v>
      </c>
      <c r="K26" s="64">
        <v>292.79000000000002</v>
      </c>
      <c r="L26" s="64">
        <v>26.56</v>
      </c>
      <c r="M26" s="64">
        <v>41.52</v>
      </c>
      <c r="N26" s="64">
        <v>6.7</v>
      </c>
      <c r="O26" s="64">
        <v>0</v>
      </c>
      <c r="P26" s="64">
        <v>1</v>
      </c>
      <c r="Q26" s="64">
        <v>26.41</v>
      </c>
      <c r="R26" s="198"/>
      <c r="S26" s="198"/>
      <c r="T26" s="198"/>
      <c r="U26" s="198"/>
    </row>
    <row r="27" spans="1:21" s="12" customFormat="1" x14ac:dyDescent="0.25">
      <c r="A27" s="211" t="s">
        <v>1705</v>
      </c>
      <c r="B27" s="64">
        <v>9.48</v>
      </c>
      <c r="C27" s="64">
        <v>45.83</v>
      </c>
      <c r="D27" s="64">
        <v>33.54</v>
      </c>
      <c r="E27" s="64">
        <v>11.45</v>
      </c>
      <c r="F27" s="64">
        <v>7.01</v>
      </c>
      <c r="G27" s="64">
        <v>72.900000000000006</v>
      </c>
      <c r="H27" s="64">
        <v>35.21</v>
      </c>
      <c r="I27" s="64">
        <v>0.65</v>
      </c>
      <c r="J27" s="64">
        <v>0.05</v>
      </c>
      <c r="K27" s="64">
        <v>299.92</v>
      </c>
      <c r="L27" s="64">
        <v>26.47</v>
      </c>
      <c r="M27" s="64">
        <v>41.75</v>
      </c>
      <c r="N27" s="64">
        <v>6.8</v>
      </c>
      <c r="O27" s="64">
        <v>0</v>
      </c>
      <c r="P27" s="64">
        <v>1.02</v>
      </c>
      <c r="Q27" s="64">
        <v>25.87</v>
      </c>
      <c r="R27" s="198"/>
      <c r="S27" s="198"/>
      <c r="T27" s="198"/>
      <c r="U27" s="198"/>
    </row>
    <row r="28" spans="1:21" s="12" customFormat="1" x14ac:dyDescent="0.25">
      <c r="A28" s="211" t="s">
        <v>1706</v>
      </c>
      <c r="B28" s="64">
        <v>11.11</v>
      </c>
      <c r="C28" s="64">
        <v>45.02</v>
      </c>
      <c r="D28" s="64">
        <v>34.4</v>
      </c>
      <c r="E28" s="64">
        <v>9.01</v>
      </c>
      <c r="F28" s="64">
        <v>5.38</v>
      </c>
      <c r="G28" s="64">
        <v>74.06</v>
      </c>
      <c r="H28" s="64">
        <v>35.21</v>
      </c>
      <c r="I28" s="64">
        <v>0.6</v>
      </c>
      <c r="J28" s="64">
        <v>0.24</v>
      </c>
      <c r="K28" s="64">
        <v>225.84</v>
      </c>
      <c r="L28" s="64">
        <v>26.49</v>
      </c>
      <c r="M28" s="64">
        <v>42.47</v>
      </c>
      <c r="N28" s="64">
        <v>6.6</v>
      </c>
      <c r="O28" s="64">
        <v>0</v>
      </c>
      <c r="P28" s="64">
        <v>1.04</v>
      </c>
      <c r="Q28" s="64">
        <v>25.87</v>
      </c>
      <c r="R28" s="198"/>
      <c r="S28" s="198"/>
      <c r="T28" s="198"/>
      <c r="U28" s="198"/>
    </row>
    <row r="29" spans="1:21" s="12" customFormat="1" x14ac:dyDescent="0.25">
      <c r="A29" s="211" t="s">
        <v>1707</v>
      </c>
      <c r="B29" s="64">
        <v>17.440000000000001</v>
      </c>
      <c r="C29" s="64">
        <v>46.53</v>
      </c>
      <c r="D29" s="64">
        <v>40.32</v>
      </c>
      <c r="E29" s="64">
        <v>7.06</v>
      </c>
      <c r="F29" s="64">
        <v>4.0199999999999996</v>
      </c>
      <c r="G29" s="64">
        <v>74.06</v>
      </c>
      <c r="H29" s="64">
        <v>35.21</v>
      </c>
      <c r="I29" s="64">
        <v>0.62</v>
      </c>
      <c r="J29" s="64">
        <v>0.1</v>
      </c>
      <c r="K29" s="64">
        <v>225.81</v>
      </c>
      <c r="L29" s="64">
        <v>26.05</v>
      </c>
      <c r="M29" s="64">
        <v>46.82</v>
      </c>
      <c r="N29" s="64">
        <v>8.3000000000000007</v>
      </c>
      <c r="O29" s="64">
        <v>0</v>
      </c>
      <c r="P29" s="64">
        <v>1.07</v>
      </c>
      <c r="Q29" s="64">
        <v>25.28</v>
      </c>
      <c r="R29" s="198"/>
      <c r="S29" s="198"/>
      <c r="T29" s="198"/>
      <c r="U29" s="198"/>
    </row>
    <row r="30" spans="1:21" s="12" customFormat="1" x14ac:dyDescent="0.25">
      <c r="A30" s="211" t="s">
        <v>1708</v>
      </c>
      <c r="B30" s="64">
        <v>40.700000000000003</v>
      </c>
      <c r="C30" s="64">
        <v>50.46</v>
      </c>
      <c r="D30" s="64">
        <v>61.13</v>
      </c>
      <c r="E30" s="64">
        <v>5.83</v>
      </c>
      <c r="F30" s="64">
        <v>3.54</v>
      </c>
      <c r="G30" s="64">
        <v>74.06</v>
      </c>
      <c r="H30" s="64">
        <v>35.21</v>
      </c>
      <c r="I30" s="64">
        <v>0.65</v>
      </c>
      <c r="J30" s="64">
        <v>0.13</v>
      </c>
      <c r="K30" s="64">
        <v>281.56</v>
      </c>
      <c r="L30" s="64">
        <v>25.67</v>
      </c>
      <c r="M30" s="64">
        <v>48.9</v>
      </c>
      <c r="N30" s="64">
        <v>12.5</v>
      </c>
      <c r="O30" s="64">
        <v>0</v>
      </c>
      <c r="P30" s="64">
        <v>1.2</v>
      </c>
      <c r="Q30" s="64">
        <v>23.49</v>
      </c>
      <c r="R30" s="198"/>
      <c r="S30" s="198"/>
      <c r="T30" s="198"/>
      <c r="U30" s="198"/>
    </row>
    <row r="31" spans="1:21" s="12" customFormat="1" x14ac:dyDescent="0.25">
      <c r="A31" s="211" t="s">
        <v>1709</v>
      </c>
      <c r="B31" s="64">
        <v>32.07</v>
      </c>
      <c r="C31" s="64">
        <v>47.75</v>
      </c>
      <c r="D31" s="64">
        <v>52.72</v>
      </c>
      <c r="E31" s="64">
        <v>6.35</v>
      </c>
      <c r="F31" s="64">
        <v>3.5</v>
      </c>
      <c r="G31" s="64">
        <v>91.47</v>
      </c>
      <c r="H31" s="64">
        <v>37.57</v>
      </c>
      <c r="I31" s="64">
        <v>0.67</v>
      </c>
      <c r="J31" s="64">
        <v>0.05</v>
      </c>
      <c r="K31" s="64">
        <v>287.48</v>
      </c>
      <c r="L31" s="64">
        <v>25.34</v>
      </c>
      <c r="M31" s="64">
        <v>49.28</v>
      </c>
      <c r="N31" s="64">
        <v>24.5</v>
      </c>
      <c r="O31" s="64">
        <v>0</v>
      </c>
      <c r="P31" s="64">
        <v>1.18</v>
      </c>
      <c r="Q31" s="64">
        <v>22.92</v>
      </c>
      <c r="R31" s="198"/>
      <c r="S31" s="198"/>
      <c r="T31" s="198"/>
      <c r="U31" s="198"/>
    </row>
    <row r="32" spans="1:21" s="12" customFormat="1" x14ac:dyDescent="0.25">
      <c r="A32" s="211" t="s">
        <v>1710</v>
      </c>
      <c r="B32" s="64">
        <v>26.74</v>
      </c>
      <c r="C32" s="64">
        <v>42.24</v>
      </c>
      <c r="D32" s="64">
        <v>45.4</v>
      </c>
      <c r="E32" s="64">
        <v>8.58</v>
      </c>
      <c r="F32" s="64">
        <v>6.52</v>
      </c>
      <c r="G32" s="64">
        <v>93.89</v>
      </c>
      <c r="H32" s="64">
        <v>37.57</v>
      </c>
      <c r="I32" s="64">
        <v>0.68</v>
      </c>
      <c r="J32" s="64">
        <v>0.32</v>
      </c>
      <c r="K32" s="64">
        <v>232.99</v>
      </c>
      <c r="L32" s="64">
        <v>25.63</v>
      </c>
      <c r="M32" s="64">
        <v>48.19</v>
      </c>
      <c r="N32" s="64">
        <v>44.1</v>
      </c>
      <c r="O32" s="64">
        <v>0</v>
      </c>
      <c r="P32" s="64">
        <v>1.0900000000000001</v>
      </c>
      <c r="Q32" s="64">
        <v>25.03</v>
      </c>
      <c r="R32" s="198"/>
      <c r="S32" s="198"/>
      <c r="T32" s="198"/>
      <c r="U32" s="198"/>
    </row>
    <row r="33" spans="1:21" s="12" customFormat="1" x14ac:dyDescent="0.25">
      <c r="A33" s="211" t="s">
        <v>1711</v>
      </c>
      <c r="B33" s="64">
        <v>14.37</v>
      </c>
      <c r="C33" s="64">
        <v>40.26</v>
      </c>
      <c r="D33" s="64">
        <v>34.380000000000003</v>
      </c>
      <c r="E33" s="64">
        <v>8.34</v>
      </c>
      <c r="F33" s="64">
        <v>8.59</v>
      </c>
      <c r="G33" s="64">
        <v>93.89</v>
      </c>
      <c r="H33" s="64">
        <v>37.57</v>
      </c>
      <c r="I33" s="64">
        <v>0.66</v>
      </c>
      <c r="J33" s="64">
        <v>0.12</v>
      </c>
      <c r="K33" s="64">
        <v>196.38</v>
      </c>
      <c r="L33" s="64">
        <v>25.95</v>
      </c>
      <c r="M33" s="64">
        <v>47.49</v>
      </c>
      <c r="N33" s="64">
        <v>77.2</v>
      </c>
      <c r="O33" s="64">
        <v>0</v>
      </c>
      <c r="P33" s="64">
        <v>0.96</v>
      </c>
      <c r="Q33" s="64">
        <v>27.36</v>
      </c>
      <c r="R33" s="198"/>
      <c r="S33" s="198"/>
      <c r="T33" s="198"/>
      <c r="U33" s="198"/>
    </row>
    <row r="34" spans="1:21" s="12" customFormat="1" x14ac:dyDescent="0.25">
      <c r="A34" s="211" t="s">
        <v>1712</v>
      </c>
      <c r="B34" s="64">
        <v>16.07</v>
      </c>
      <c r="C34" s="64">
        <v>39.39</v>
      </c>
      <c r="D34" s="64">
        <v>35.270000000000003</v>
      </c>
      <c r="E34" s="64">
        <v>6.71</v>
      </c>
      <c r="F34" s="64">
        <v>8.59</v>
      </c>
      <c r="G34" s="64">
        <v>93.89</v>
      </c>
      <c r="H34" s="64">
        <v>37.57</v>
      </c>
      <c r="I34" s="64">
        <v>0.62</v>
      </c>
      <c r="J34" s="64">
        <v>0.23</v>
      </c>
      <c r="K34" s="64">
        <v>191.14</v>
      </c>
      <c r="L34" s="64">
        <v>26.53</v>
      </c>
      <c r="M34" s="64">
        <v>46.57</v>
      </c>
      <c r="N34" s="64">
        <v>159.6</v>
      </c>
      <c r="O34" s="64">
        <v>0</v>
      </c>
      <c r="P34" s="64">
        <v>0.99</v>
      </c>
      <c r="Q34" s="64">
        <v>27.86</v>
      </c>
      <c r="R34" s="198"/>
      <c r="S34" s="198"/>
      <c r="T34" s="198"/>
      <c r="U34" s="198"/>
    </row>
    <row r="35" spans="1:21" s="12" customFormat="1" x14ac:dyDescent="0.25">
      <c r="A35" s="211" t="s">
        <v>1713</v>
      </c>
      <c r="B35" s="64">
        <v>17.52</v>
      </c>
      <c r="C35" s="64">
        <v>40.9</v>
      </c>
      <c r="D35" s="64">
        <v>37.270000000000003</v>
      </c>
      <c r="E35" s="64">
        <v>7.47</v>
      </c>
      <c r="F35" s="64">
        <v>9.42</v>
      </c>
      <c r="G35" s="64">
        <v>83.14</v>
      </c>
      <c r="H35" s="64">
        <v>36.229999999999997</v>
      </c>
      <c r="I35" s="64">
        <v>0.59</v>
      </c>
      <c r="J35" s="64">
        <v>0.06</v>
      </c>
      <c r="K35" s="64">
        <v>245.92</v>
      </c>
      <c r="L35" s="64">
        <v>28.02</v>
      </c>
      <c r="M35" s="64">
        <v>43.08</v>
      </c>
      <c r="N35" s="64">
        <v>204</v>
      </c>
      <c r="O35" s="64">
        <v>0</v>
      </c>
      <c r="P35" s="64">
        <v>1.0900000000000001</v>
      </c>
      <c r="Q35" s="64">
        <v>27.95</v>
      </c>
      <c r="R35" s="198"/>
      <c r="S35" s="198"/>
      <c r="T35" s="198"/>
      <c r="U35" s="198"/>
    </row>
    <row r="36" spans="1:21" s="12" customFormat="1" x14ac:dyDescent="0.25">
      <c r="A36" s="211" t="s">
        <v>1714</v>
      </c>
      <c r="B36" s="64">
        <v>17.809999999999999</v>
      </c>
      <c r="C36" s="64">
        <v>36.03</v>
      </c>
      <c r="D36" s="64">
        <v>34.81</v>
      </c>
      <c r="E36" s="64">
        <v>6.02</v>
      </c>
      <c r="F36" s="64">
        <v>5.64</v>
      </c>
      <c r="G36" s="64">
        <v>81.650000000000006</v>
      </c>
      <c r="H36" s="64">
        <v>36.229999999999997</v>
      </c>
      <c r="I36" s="64">
        <v>0.6</v>
      </c>
      <c r="J36" s="64">
        <v>0.12</v>
      </c>
      <c r="K36" s="64">
        <v>282.43</v>
      </c>
      <c r="L36" s="64">
        <v>28.46</v>
      </c>
      <c r="M36" s="64">
        <v>42.98</v>
      </c>
      <c r="N36" s="64">
        <v>123.7</v>
      </c>
      <c r="O36" s="64">
        <v>0</v>
      </c>
      <c r="P36" s="64">
        <v>1.1000000000000001</v>
      </c>
      <c r="Q36" s="64">
        <v>28.05</v>
      </c>
      <c r="R36" s="198"/>
      <c r="S36" s="198"/>
      <c r="T36" s="198"/>
      <c r="U36" s="198"/>
    </row>
    <row r="37" spans="1:21" s="12" customFormat="1" x14ac:dyDescent="0.25">
      <c r="A37" s="211" t="s">
        <v>1715</v>
      </c>
      <c r="B37" s="64">
        <v>21.51</v>
      </c>
      <c r="C37" s="64">
        <v>40.85</v>
      </c>
      <c r="D37" s="64">
        <v>40.44</v>
      </c>
      <c r="E37" s="64">
        <v>5.49</v>
      </c>
      <c r="F37" s="64">
        <v>5.57</v>
      </c>
      <c r="G37" s="64">
        <v>81.650000000000006</v>
      </c>
      <c r="H37" s="64">
        <v>36.229999999999997</v>
      </c>
      <c r="I37" s="64">
        <v>0.64</v>
      </c>
      <c r="J37" s="64">
        <v>7.0000000000000007E-2</v>
      </c>
      <c r="K37" s="64">
        <v>285.39</v>
      </c>
      <c r="L37" s="64">
        <v>27.96</v>
      </c>
      <c r="M37" s="64">
        <v>45.11</v>
      </c>
      <c r="N37" s="64">
        <v>81.8</v>
      </c>
      <c r="O37" s="64">
        <v>0</v>
      </c>
      <c r="P37" s="64">
        <v>1.1000000000000001</v>
      </c>
      <c r="Q37" s="64">
        <v>27.81</v>
      </c>
      <c r="R37" s="198"/>
      <c r="S37" s="198"/>
      <c r="T37" s="198"/>
      <c r="U37" s="198"/>
    </row>
    <row r="38" spans="1:21" s="12" customFormat="1" x14ac:dyDescent="0.25">
      <c r="A38" s="211" t="s">
        <v>1716</v>
      </c>
      <c r="B38" s="64">
        <v>18.46</v>
      </c>
      <c r="C38" s="64">
        <v>43.08</v>
      </c>
      <c r="D38" s="64">
        <v>39.229999999999997</v>
      </c>
      <c r="E38" s="64">
        <v>6.18</v>
      </c>
      <c r="F38" s="64">
        <v>8.93</v>
      </c>
      <c r="G38" s="64">
        <v>81.650000000000006</v>
      </c>
      <c r="H38" s="64">
        <v>36.229999999999997</v>
      </c>
      <c r="I38" s="64">
        <v>0.68</v>
      </c>
      <c r="J38" s="64">
        <v>0.14000000000000001</v>
      </c>
      <c r="K38" s="64">
        <v>138.97999999999999</v>
      </c>
      <c r="L38" s="64">
        <v>27.67</v>
      </c>
      <c r="M38" s="64">
        <v>45.74</v>
      </c>
      <c r="N38" s="64">
        <v>144.9</v>
      </c>
      <c r="O38" s="64">
        <v>0</v>
      </c>
      <c r="P38" s="64">
        <v>1.17</v>
      </c>
      <c r="Q38" s="64">
        <v>27.21</v>
      </c>
      <c r="R38" s="198"/>
      <c r="S38" s="198"/>
      <c r="T38" s="198"/>
      <c r="U38" s="198"/>
    </row>
    <row r="39" spans="1:21" s="12" customFormat="1" x14ac:dyDescent="0.25">
      <c r="A39" s="211" t="s">
        <v>1717</v>
      </c>
      <c r="B39" s="64">
        <v>20.100000000000001</v>
      </c>
      <c r="C39" s="64">
        <v>50.46</v>
      </c>
      <c r="D39" s="64">
        <v>44.61</v>
      </c>
      <c r="E39" s="64">
        <v>7.43</v>
      </c>
      <c r="F39" s="64">
        <v>7.79</v>
      </c>
      <c r="G39" s="64">
        <v>72.53</v>
      </c>
      <c r="H39" s="64">
        <v>38.32</v>
      </c>
      <c r="I39" s="64">
        <v>0.66</v>
      </c>
      <c r="J39" s="64">
        <v>0.08</v>
      </c>
      <c r="K39" s="64">
        <v>312.52999999999997</v>
      </c>
      <c r="L39" s="64">
        <v>29.05</v>
      </c>
      <c r="M39" s="64">
        <v>42.75</v>
      </c>
      <c r="N39" s="64">
        <v>207.8</v>
      </c>
      <c r="O39" s="64">
        <v>0</v>
      </c>
      <c r="P39" s="64">
        <v>1.27</v>
      </c>
      <c r="Q39" s="64">
        <v>26.67</v>
      </c>
      <c r="R39" s="198"/>
      <c r="S39" s="198"/>
      <c r="T39" s="198"/>
      <c r="U39" s="198"/>
    </row>
    <row r="40" spans="1:21" s="12" customFormat="1" x14ac:dyDescent="0.25">
      <c r="A40" s="211" t="s">
        <v>1718</v>
      </c>
      <c r="B40" s="64">
        <v>18.14</v>
      </c>
      <c r="C40" s="64">
        <v>45.66</v>
      </c>
      <c r="D40" s="64">
        <v>40.39</v>
      </c>
      <c r="E40" s="64">
        <v>2.46</v>
      </c>
      <c r="F40" s="64">
        <v>11.85</v>
      </c>
      <c r="G40" s="64">
        <v>71.260000000000005</v>
      </c>
      <c r="H40" s="64">
        <v>38.32</v>
      </c>
      <c r="I40" s="64">
        <v>0.62</v>
      </c>
      <c r="J40" s="64">
        <v>0.51</v>
      </c>
      <c r="K40" s="64">
        <v>282.89999999999998</v>
      </c>
      <c r="L40" s="64">
        <v>31.63</v>
      </c>
      <c r="M40" s="64">
        <v>35.44</v>
      </c>
      <c r="N40" s="64">
        <v>421.8</v>
      </c>
      <c r="O40" s="64">
        <v>0</v>
      </c>
      <c r="P40" s="64">
        <v>1.2</v>
      </c>
      <c r="Q40" s="64">
        <v>27.01</v>
      </c>
      <c r="R40" s="198"/>
      <c r="S40" s="198"/>
      <c r="T40" s="198"/>
      <c r="U40" s="198"/>
    </row>
    <row r="41" spans="1:21" s="12" customFormat="1" x14ac:dyDescent="0.25">
      <c r="A41" s="211" t="s">
        <v>1719</v>
      </c>
      <c r="B41" s="64">
        <v>16.420000000000002</v>
      </c>
      <c r="C41" s="64">
        <v>46.05</v>
      </c>
      <c r="D41" s="64">
        <v>39.229999999999997</v>
      </c>
      <c r="E41" s="64">
        <v>4.67</v>
      </c>
      <c r="F41" s="64">
        <v>7.51</v>
      </c>
      <c r="G41" s="64">
        <v>71.260000000000005</v>
      </c>
      <c r="H41" s="64">
        <v>38.32</v>
      </c>
      <c r="I41" s="64">
        <v>0.63</v>
      </c>
      <c r="J41" s="64">
        <v>0.63</v>
      </c>
      <c r="K41" s="64">
        <v>278.95</v>
      </c>
      <c r="L41" s="64">
        <v>34.799999999999997</v>
      </c>
      <c r="M41" s="64">
        <v>28.11</v>
      </c>
      <c r="N41" s="64">
        <v>476.1</v>
      </c>
      <c r="O41" s="64">
        <v>0</v>
      </c>
      <c r="P41" s="64">
        <v>1.18</v>
      </c>
      <c r="Q41" s="64">
        <v>27.07</v>
      </c>
      <c r="R41" s="198"/>
      <c r="S41" s="198"/>
      <c r="T41" s="198"/>
      <c r="U41" s="198"/>
    </row>
    <row r="42" spans="1:21" s="12" customFormat="1" x14ac:dyDescent="0.25">
      <c r="A42" s="211" t="s">
        <v>1720</v>
      </c>
      <c r="B42" s="64">
        <v>13.2</v>
      </c>
      <c r="C42" s="64">
        <v>50.97</v>
      </c>
      <c r="D42" s="64">
        <v>39.36</v>
      </c>
      <c r="E42" s="64">
        <v>6</v>
      </c>
      <c r="F42" s="64">
        <v>12.27</v>
      </c>
      <c r="G42" s="64">
        <v>71.260000000000005</v>
      </c>
      <c r="H42" s="64">
        <v>38.32</v>
      </c>
      <c r="I42" s="64">
        <v>0.64</v>
      </c>
      <c r="J42" s="64">
        <v>0.28000000000000003</v>
      </c>
      <c r="K42" s="64">
        <v>289.56</v>
      </c>
      <c r="L42" s="64">
        <v>36.479999999999997</v>
      </c>
      <c r="M42" s="64">
        <v>24.32</v>
      </c>
      <c r="N42" s="64">
        <v>533.79999999999995</v>
      </c>
      <c r="O42" s="64">
        <v>0</v>
      </c>
      <c r="P42" s="64">
        <v>1.1399999999999999</v>
      </c>
      <c r="Q42" s="64">
        <v>27.1</v>
      </c>
      <c r="R42" s="198"/>
      <c r="S42" s="198"/>
      <c r="T42" s="198"/>
      <c r="U42" s="198"/>
    </row>
    <row r="43" spans="1:21" s="12" customFormat="1" x14ac:dyDescent="0.25">
      <c r="A43" s="211" t="s">
        <v>1721</v>
      </c>
      <c r="B43" s="64">
        <v>11.21</v>
      </c>
      <c r="C43" s="64">
        <v>51.43</v>
      </c>
      <c r="D43" s="64">
        <v>38.020000000000003</v>
      </c>
      <c r="E43" s="64">
        <v>4.1500000000000004</v>
      </c>
      <c r="F43" s="64">
        <v>15.48</v>
      </c>
      <c r="G43" s="64">
        <v>101.66</v>
      </c>
      <c r="H43" s="64">
        <v>39.880000000000003</v>
      </c>
      <c r="I43" s="64">
        <v>0.67</v>
      </c>
      <c r="J43" s="64">
        <v>0.13</v>
      </c>
      <c r="K43" s="64">
        <v>277.67</v>
      </c>
      <c r="L43" s="64">
        <v>37.33</v>
      </c>
      <c r="M43" s="64">
        <v>22.25</v>
      </c>
      <c r="N43" s="64">
        <v>604.79999999999995</v>
      </c>
      <c r="O43" s="64">
        <v>0</v>
      </c>
      <c r="P43" s="64">
        <v>1.1100000000000001</v>
      </c>
      <c r="Q43" s="64">
        <v>26.93</v>
      </c>
      <c r="R43" s="198"/>
      <c r="S43" s="198"/>
      <c r="T43" s="198"/>
      <c r="U43" s="198"/>
    </row>
    <row r="44" spans="1:21" s="12" customFormat="1" x14ac:dyDescent="0.25">
      <c r="A44" s="211" t="s">
        <v>1722</v>
      </c>
      <c r="B44" s="64">
        <v>8.9499999999999993</v>
      </c>
      <c r="C44" s="64">
        <v>52.13</v>
      </c>
      <c r="D44" s="64">
        <v>36.590000000000003</v>
      </c>
      <c r="E44" s="64">
        <v>4.8600000000000003</v>
      </c>
      <c r="F44" s="64">
        <v>19.45</v>
      </c>
      <c r="G44" s="64">
        <v>105.89</v>
      </c>
      <c r="H44" s="64">
        <v>39.880000000000003</v>
      </c>
      <c r="I44" s="64">
        <v>0.65</v>
      </c>
      <c r="J44" s="64">
        <v>0.1</v>
      </c>
      <c r="K44" s="64">
        <v>278.2</v>
      </c>
      <c r="L44" s="64">
        <v>37.619999999999997</v>
      </c>
      <c r="M44" s="64">
        <v>22.46</v>
      </c>
      <c r="N44" s="64">
        <v>726.1</v>
      </c>
      <c r="O44" s="64">
        <v>0</v>
      </c>
      <c r="P44" s="64">
        <v>1.05</v>
      </c>
      <c r="Q44" s="64">
        <v>27.35</v>
      </c>
      <c r="R44" s="198"/>
      <c r="S44" s="198"/>
      <c r="T44" s="198"/>
      <c r="U44" s="198"/>
    </row>
    <row r="45" spans="1:21" s="12" customFormat="1" x14ac:dyDescent="0.25">
      <c r="A45" s="211" t="s">
        <v>1723</v>
      </c>
      <c r="B45" s="64">
        <v>8.4</v>
      </c>
      <c r="C45" s="64">
        <v>49.43</v>
      </c>
      <c r="D45" s="64">
        <v>34.659999999999997</v>
      </c>
      <c r="E45" s="64">
        <v>4.5199999999999996</v>
      </c>
      <c r="F45" s="64">
        <v>24.09</v>
      </c>
      <c r="G45" s="64">
        <v>105.89</v>
      </c>
      <c r="H45" s="64">
        <v>39.880000000000003</v>
      </c>
      <c r="I45" s="64">
        <v>0.63</v>
      </c>
      <c r="J45" s="64">
        <v>0.06</v>
      </c>
      <c r="K45" s="64">
        <v>318.11</v>
      </c>
      <c r="L45" s="64">
        <v>37.39</v>
      </c>
      <c r="M45" s="64">
        <v>21.67</v>
      </c>
      <c r="N45" s="64">
        <v>305.10000000000002</v>
      </c>
      <c r="O45" s="64">
        <v>0</v>
      </c>
      <c r="P45" s="64">
        <v>1</v>
      </c>
      <c r="Q45" s="64">
        <v>27.09</v>
      </c>
      <c r="R45" s="198"/>
      <c r="S45" s="198"/>
      <c r="T45" s="198"/>
      <c r="U45" s="198"/>
    </row>
    <row r="46" spans="1:21" s="12" customFormat="1" x14ac:dyDescent="0.25">
      <c r="A46" s="211" t="s">
        <v>1724</v>
      </c>
      <c r="B46" s="64">
        <v>9.64</v>
      </c>
      <c r="C46" s="64">
        <v>54.46</v>
      </c>
      <c r="D46" s="64">
        <v>38.43</v>
      </c>
      <c r="E46" s="64">
        <v>5.41</v>
      </c>
      <c r="F46" s="64">
        <v>23.71</v>
      </c>
      <c r="G46" s="64">
        <v>105.89</v>
      </c>
      <c r="H46" s="64">
        <v>39.880000000000003</v>
      </c>
      <c r="I46" s="64">
        <v>0.61</v>
      </c>
      <c r="J46" s="64">
        <v>0.23</v>
      </c>
      <c r="K46" s="64">
        <v>276.45999999999998</v>
      </c>
      <c r="L46" s="64">
        <v>36.11</v>
      </c>
      <c r="M46" s="64">
        <v>24.7</v>
      </c>
      <c r="N46" s="64">
        <v>473.9</v>
      </c>
      <c r="O46" s="64">
        <v>0</v>
      </c>
      <c r="P46" s="64">
        <v>1.0900000000000001</v>
      </c>
      <c r="Q46" s="64">
        <v>25.46</v>
      </c>
      <c r="R46" s="198"/>
      <c r="S46" s="198"/>
      <c r="T46" s="198"/>
      <c r="U46" s="198"/>
    </row>
    <row r="47" spans="1:21" s="12" customFormat="1" x14ac:dyDescent="0.25">
      <c r="A47" s="211" t="s">
        <v>1725</v>
      </c>
      <c r="B47" s="64">
        <v>7.98</v>
      </c>
      <c r="C47" s="64">
        <v>50.11</v>
      </c>
      <c r="D47" s="64">
        <v>34.700000000000003</v>
      </c>
      <c r="E47" s="64">
        <v>4.93</v>
      </c>
      <c r="F47" s="64">
        <v>30.73</v>
      </c>
      <c r="G47" s="64">
        <v>75.78</v>
      </c>
      <c r="H47" s="64">
        <v>37.32</v>
      </c>
      <c r="I47" s="64">
        <v>0.63</v>
      </c>
      <c r="J47" s="64">
        <v>0.55000000000000004</v>
      </c>
      <c r="K47" s="64">
        <v>277.11</v>
      </c>
      <c r="L47" s="64">
        <v>37.159999999999997</v>
      </c>
      <c r="M47" s="64">
        <v>23.51</v>
      </c>
      <c r="N47" s="64">
        <v>270.39999999999998</v>
      </c>
      <c r="O47" s="64">
        <v>0</v>
      </c>
      <c r="P47" s="64">
        <v>1.08</v>
      </c>
      <c r="Q47" s="64">
        <v>26.32</v>
      </c>
      <c r="R47" s="198"/>
      <c r="S47" s="198"/>
      <c r="T47" s="198"/>
      <c r="U47" s="198"/>
    </row>
    <row r="48" spans="1:21" s="12" customFormat="1" x14ac:dyDescent="0.25">
      <c r="A48" s="211" t="s">
        <v>1726</v>
      </c>
      <c r="B48" s="64">
        <v>6.33</v>
      </c>
      <c r="C48" s="64">
        <v>49.66</v>
      </c>
      <c r="D48" s="64">
        <v>33.130000000000003</v>
      </c>
      <c r="E48" s="64">
        <v>4.3099999999999996</v>
      </c>
      <c r="F48" s="64">
        <v>13.81</v>
      </c>
      <c r="G48" s="64">
        <v>71.59</v>
      </c>
      <c r="H48" s="64">
        <v>37.32</v>
      </c>
      <c r="I48" s="64">
        <v>0.61</v>
      </c>
      <c r="J48" s="64">
        <v>0.15</v>
      </c>
      <c r="K48" s="64">
        <v>271.55</v>
      </c>
      <c r="L48" s="64">
        <v>35.5</v>
      </c>
      <c r="M48" s="64">
        <v>24.81</v>
      </c>
      <c r="N48" s="64">
        <v>237.1</v>
      </c>
      <c r="O48" s="64">
        <v>0</v>
      </c>
      <c r="P48" s="64">
        <v>1.1200000000000001</v>
      </c>
      <c r="Q48" s="64">
        <v>26.39</v>
      </c>
      <c r="R48" s="198"/>
      <c r="S48" s="198"/>
      <c r="T48" s="198"/>
      <c r="U48" s="198"/>
    </row>
    <row r="49" spans="1:21" s="12" customFormat="1" x14ac:dyDescent="0.25">
      <c r="A49" s="211" t="s">
        <v>1727</v>
      </c>
      <c r="B49" s="64">
        <v>7.17</v>
      </c>
      <c r="C49" s="64">
        <v>72.319999999999993</v>
      </c>
      <c r="D49" s="64">
        <v>46.31</v>
      </c>
      <c r="E49" s="64">
        <v>3.98</v>
      </c>
      <c r="F49" s="64">
        <v>25.15</v>
      </c>
      <c r="G49" s="64">
        <v>71.59</v>
      </c>
      <c r="H49" s="64">
        <v>37.32</v>
      </c>
      <c r="I49" s="64">
        <v>0.67</v>
      </c>
      <c r="J49" s="64">
        <v>0.18</v>
      </c>
      <c r="K49" s="64">
        <v>271.33999999999997</v>
      </c>
      <c r="L49" s="64">
        <v>36.159999999999997</v>
      </c>
      <c r="M49" s="64">
        <v>23.55</v>
      </c>
      <c r="N49" s="64">
        <v>696</v>
      </c>
      <c r="O49" s="64">
        <v>0</v>
      </c>
      <c r="P49" s="64">
        <v>1.07</v>
      </c>
      <c r="Q49" s="64">
        <v>25.38</v>
      </c>
      <c r="R49" s="198"/>
      <c r="S49" s="198"/>
      <c r="T49" s="198"/>
      <c r="U49" s="198"/>
    </row>
    <row r="50" spans="1:21" s="12" customFormat="1" x14ac:dyDescent="0.25">
      <c r="A50" s="211" t="s">
        <v>1728</v>
      </c>
      <c r="B50" s="64">
        <v>2.06</v>
      </c>
      <c r="C50" s="64">
        <v>72.959999999999994</v>
      </c>
      <c r="D50" s="64">
        <v>42.56</v>
      </c>
      <c r="E50" s="64">
        <v>2.7</v>
      </c>
      <c r="F50" s="64">
        <v>12.99</v>
      </c>
      <c r="G50" s="64">
        <v>71.59</v>
      </c>
      <c r="H50" s="64">
        <v>37.32</v>
      </c>
      <c r="I50" s="64">
        <v>0.7</v>
      </c>
      <c r="J50" s="64">
        <v>0.14000000000000001</v>
      </c>
      <c r="K50" s="64">
        <v>251.91</v>
      </c>
      <c r="L50" s="64">
        <v>37.11</v>
      </c>
      <c r="M50" s="64">
        <v>21.94</v>
      </c>
      <c r="N50" s="64">
        <v>825.7</v>
      </c>
      <c r="O50" s="64">
        <v>0</v>
      </c>
      <c r="P50" s="64">
        <v>0.99</v>
      </c>
      <c r="Q50" s="64">
        <v>25.07</v>
      </c>
      <c r="R50" s="198"/>
      <c r="S50" s="198"/>
      <c r="T50" s="198"/>
      <c r="U50" s="198"/>
    </row>
    <row r="51" spans="1:21" s="12" customFormat="1" x14ac:dyDescent="0.25">
      <c r="A51" s="211" t="s">
        <v>1729</v>
      </c>
      <c r="B51" s="64">
        <v>1.65</v>
      </c>
      <c r="C51" s="64">
        <v>67.37</v>
      </c>
      <c r="D51" s="64">
        <v>39.15</v>
      </c>
      <c r="E51" s="64">
        <v>2.4300000000000002</v>
      </c>
      <c r="F51" s="64">
        <v>8.1300000000000008</v>
      </c>
      <c r="G51" s="64">
        <v>70.430000000000007</v>
      </c>
      <c r="H51" s="64">
        <v>36</v>
      </c>
      <c r="I51" s="64">
        <v>0.61</v>
      </c>
      <c r="J51" s="64">
        <v>7.0000000000000007E-2</v>
      </c>
      <c r="K51" s="64">
        <v>298.14999999999998</v>
      </c>
      <c r="L51" s="64">
        <v>36.159999999999997</v>
      </c>
      <c r="M51" s="64">
        <v>23.97</v>
      </c>
      <c r="N51" s="64">
        <v>444.7</v>
      </c>
      <c r="O51" s="64">
        <v>0</v>
      </c>
      <c r="P51" s="64">
        <v>0.95</v>
      </c>
      <c r="Q51" s="64">
        <v>25.14</v>
      </c>
      <c r="R51" s="198"/>
      <c r="S51" s="198"/>
      <c r="T51" s="198"/>
      <c r="U51" s="198"/>
    </row>
    <row r="52" spans="1:21" s="12" customFormat="1" x14ac:dyDescent="0.25">
      <c r="A52" s="211" t="s">
        <v>1730</v>
      </c>
      <c r="B52" s="64">
        <v>2.6</v>
      </c>
      <c r="C52" s="64">
        <v>62.21</v>
      </c>
      <c r="D52" s="64">
        <v>37.06</v>
      </c>
      <c r="E52" s="64">
        <v>1.67</v>
      </c>
      <c r="F52" s="64">
        <v>7.32</v>
      </c>
      <c r="G52" s="64">
        <v>70.27</v>
      </c>
      <c r="H52" s="64">
        <v>36</v>
      </c>
      <c r="I52" s="64">
        <v>0.56999999999999995</v>
      </c>
      <c r="J52" s="64">
        <v>0.24</v>
      </c>
      <c r="K52" s="64">
        <v>277.23</v>
      </c>
      <c r="L52" s="64">
        <v>37.5</v>
      </c>
      <c r="M52" s="64">
        <v>22.71</v>
      </c>
      <c r="N52" s="64">
        <v>630.1</v>
      </c>
      <c r="O52" s="64">
        <v>0</v>
      </c>
      <c r="P52" s="64">
        <v>0.93</v>
      </c>
      <c r="Q52" s="64">
        <v>25.33</v>
      </c>
      <c r="R52" s="198"/>
      <c r="S52" s="198"/>
      <c r="T52" s="198"/>
      <c r="U52" s="198"/>
    </row>
    <row r="53" spans="1:21" s="12" customFormat="1" x14ac:dyDescent="0.25">
      <c r="A53" s="211" t="s">
        <v>1731</v>
      </c>
      <c r="B53" s="64">
        <v>2.8</v>
      </c>
      <c r="C53" s="64">
        <v>53.35</v>
      </c>
      <c r="D53" s="64">
        <v>32.33</v>
      </c>
      <c r="E53" s="64">
        <v>1.88</v>
      </c>
      <c r="F53" s="64">
        <v>13.96</v>
      </c>
      <c r="G53" s="64">
        <v>70.27</v>
      </c>
      <c r="H53" s="64">
        <v>36</v>
      </c>
      <c r="I53" s="64">
        <v>0.56999999999999995</v>
      </c>
      <c r="J53" s="64">
        <v>0.27</v>
      </c>
      <c r="K53" s="64">
        <v>258.35000000000002</v>
      </c>
      <c r="L53" s="64">
        <v>37.99</v>
      </c>
      <c r="M53" s="64">
        <v>20.91</v>
      </c>
      <c r="N53" s="64">
        <v>885</v>
      </c>
      <c r="O53" s="64">
        <v>0</v>
      </c>
      <c r="P53" s="64">
        <v>0.85</v>
      </c>
      <c r="Q53" s="64">
        <v>25.29</v>
      </c>
      <c r="R53" s="198"/>
      <c r="S53" s="198"/>
      <c r="T53" s="198"/>
      <c r="U53" s="198"/>
    </row>
    <row r="54" spans="1:21" s="12" customFormat="1" x14ac:dyDescent="0.25">
      <c r="A54" s="211" t="s">
        <v>1732</v>
      </c>
      <c r="B54" s="64">
        <v>1.94</v>
      </c>
      <c r="C54" s="64">
        <v>49.72</v>
      </c>
      <c r="D54" s="64">
        <v>29.64</v>
      </c>
      <c r="E54" s="64">
        <v>1.66</v>
      </c>
      <c r="F54" s="64">
        <v>19.2</v>
      </c>
      <c r="G54" s="64">
        <v>70.27</v>
      </c>
      <c r="H54" s="64">
        <v>36</v>
      </c>
      <c r="I54" s="64">
        <v>0.56999999999999995</v>
      </c>
      <c r="J54" s="64">
        <v>7.0000000000000007E-2</v>
      </c>
      <c r="K54" s="64">
        <v>240.06</v>
      </c>
      <c r="L54" s="64">
        <v>37.42</v>
      </c>
      <c r="M54" s="64">
        <v>21.76</v>
      </c>
      <c r="N54" s="64">
        <v>888.9</v>
      </c>
      <c r="O54" s="64">
        <v>0</v>
      </c>
      <c r="P54" s="64">
        <v>0.8</v>
      </c>
      <c r="Q54" s="64">
        <v>25.61</v>
      </c>
      <c r="R54" s="198"/>
      <c r="S54" s="198"/>
      <c r="T54" s="198"/>
      <c r="U54" s="198"/>
    </row>
    <row r="55" spans="1:21" s="12" customFormat="1" x14ac:dyDescent="0.25">
      <c r="A55" s="211" t="s">
        <v>1733</v>
      </c>
      <c r="B55" s="64">
        <v>2.02</v>
      </c>
      <c r="C55" s="64">
        <v>40.97</v>
      </c>
      <c r="D55" s="64">
        <v>24.88</v>
      </c>
      <c r="E55" s="64">
        <v>2.95</v>
      </c>
      <c r="F55" s="64">
        <v>27.28</v>
      </c>
      <c r="G55" s="64">
        <v>58.73</v>
      </c>
      <c r="H55" s="64">
        <v>31.81</v>
      </c>
      <c r="I55" s="64">
        <v>0.53</v>
      </c>
      <c r="J55" s="64">
        <v>0.39</v>
      </c>
      <c r="K55" s="64">
        <v>276.77999999999997</v>
      </c>
      <c r="L55" s="64">
        <v>39.01</v>
      </c>
      <c r="M55" s="64">
        <v>20.95</v>
      </c>
      <c r="N55" s="64">
        <v>885.5</v>
      </c>
      <c r="O55" s="64">
        <v>0</v>
      </c>
      <c r="P55" s="64">
        <v>0.62</v>
      </c>
      <c r="Q55" s="64">
        <v>26.3</v>
      </c>
      <c r="R55" s="198"/>
      <c r="S55" s="198"/>
      <c r="T55" s="198"/>
      <c r="U55" s="198"/>
    </row>
    <row r="56" spans="1:21" s="12" customFormat="1" x14ac:dyDescent="0.25">
      <c r="A56" s="211" t="s">
        <v>1734</v>
      </c>
      <c r="B56" s="64">
        <v>2.1</v>
      </c>
      <c r="C56" s="64">
        <v>34.1</v>
      </c>
      <c r="D56" s="64">
        <v>21.15</v>
      </c>
      <c r="E56" s="64">
        <v>0.78</v>
      </c>
      <c r="F56" s="64">
        <v>13.58</v>
      </c>
      <c r="G56" s="64">
        <v>57.13</v>
      </c>
      <c r="H56" s="64">
        <v>31.81</v>
      </c>
      <c r="I56" s="64">
        <v>0.53</v>
      </c>
      <c r="J56" s="64">
        <v>0.25</v>
      </c>
      <c r="K56" s="64">
        <v>274.41000000000003</v>
      </c>
      <c r="L56" s="64">
        <v>38.619999999999997</v>
      </c>
      <c r="M56" s="64">
        <v>19.600000000000001</v>
      </c>
      <c r="N56" s="64">
        <v>895.6</v>
      </c>
      <c r="O56" s="64">
        <v>0</v>
      </c>
      <c r="P56" s="64">
        <v>0.62</v>
      </c>
      <c r="Q56" s="64">
        <v>26.35</v>
      </c>
      <c r="R56" s="198"/>
      <c r="S56" s="198"/>
      <c r="T56" s="198"/>
      <c r="U56" s="198"/>
    </row>
    <row r="57" spans="1:21" s="12" customFormat="1" x14ac:dyDescent="0.25">
      <c r="A57" s="211" t="s">
        <v>1735</v>
      </c>
      <c r="B57" s="64">
        <v>2.93</v>
      </c>
      <c r="C57" s="64">
        <v>43.55</v>
      </c>
      <c r="D57" s="64">
        <v>27.03</v>
      </c>
      <c r="E57" s="64">
        <v>1.66</v>
      </c>
      <c r="F57" s="64">
        <v>50.65</v>
      </c>
      <c r="G57" s="64">
        <v>57.13</v>
      </c>
      <c r="H57" s="64">
        <v>31.81</v>
      </c>
      <c r="I57" s="64">
        <v>0.5</v>
      </c>
      <c r="J57" s="64">
        <v>0.54</v>
      </c>
      <c r="K57" s="64">
        <v>273.99</v>
      </c>
      <c r="L57" s="64">
        <v>39.270000000000003</v>
      </c>
      <c r="M57" s="64">
        <v>18.87</v>
      </c>
      <c r="N57" s="64">
        <v>880.8</v>
      </c>
      <c r="O57" s="64">
        <v>0</v>
      </c>
      <c r="P57" s="64">
        <v>0.49</v>
      </c>
      <c r="Q57" s="64">
        <v>23.92</v>
      </c>
      <c r="R57" s="198"/>
      <c r="S57" s="198"/>
      <c r="T57" s="198"/>
      <c r="U57" s="198"/>
    </row>
    <row r="58" spans="1:21" s="12" customFormat="1" x14ac:dyDescent="0.25">
      <c r="A58" s="211" t="s">
        <v>1736</v>
      </c>
      <c r="B58" s="64">
        <v>1.89</v>
      </c>
      <c r="C58" s="64">
        <v>39.729999999999997</v>
      </c>
      <c r="D58" s="64">
        <v>24.09</v>
      </c>
      <c r="E58" s="64">
        <v>2.4500000000000002</v>
      </c>
      <c r="F58" s="64">
        <v>57.58</v>
      </c>
      <c r="G58" s="64">
        <v>57.13</v>
      </c>
      <c r="H58" s="64">
        <v>31.81</v>
      </c>
      <c r="I58" s="214" t="s">
        <v>42</v>
      </c>
      <c r="J58" s="64">
        <v>0.51</v>
      </c>
      <c r="K58" s="64">
        <v>278.76</v>
      </c>
      <c r="L58" s="64">
        <v>39.78</v>
      </c>
      <c r="M58" s="64">
        <v>18.73</v>
      </c>
      <c r="N58" s="64">
        <v>882.9</v>
      </c>
      <c r="O58" s="64">
        <v>0</v>
      </c>
      <c r="P58" s="64">
        <v>0.45</v>
      </c>
      <c r="Q58" s="64">
        <v>25.58</v>
      </c>
      <c r="R58" s="198"/>
      <c r="S58" s="198"/>
      <c r="T58" s="198"/>
      <c r="U58" s="198"/>
    </row>
    <row r="59" spans="1:21" s="12" customFormat="1" x14ac:dyDescent="0.25">
      <c r="A59" s="211" t="s">
        <v>1737</v>
      </c>
      <c r="B59" s="64">
        <v>2.14</v>
      </c>
      <c r="C59" s="64">
        <v>38.15</v>
      </c>
      <c r="D59" s="64">
        <v>23.42</v>
      </c>
      <c r="E59" s="64">
        <v>1.86</v>
      </c>
      <c r="F59" s="64">
        <v>31.67</v>
      </c>
      <c r="G59" s="64">
        <v>53.48</v>
      </c>
      <c r="H59" s="64">
        <v>28.19</v>
      </c>
      <c r="I59" s="214" t="s">
        <v>42</v>
      </c>
      <c r="J59" s="64">
        <v>0.34</v>
      </c>
      <c r="K59" s="64">
        <v>287.51</v>
      </c>
      <c r="L59" s="64">
        <v>40.369999999999997</v>
      </c>
      <c r="M59" s="64">
        <v>17.420000000000002</v>
      </c>
      <c r="N59" s="64">
        <v>843.2</v>
      </c>
      <c r="O59" s="64">
        <v>0</v>
      </c>
      <c r="P59" s="64">
        <v>0.42</v>
      </c>
      <c r="Q59" s="64">
        <v>26.37</v>
      </c>
      <c r="R59" s="198"/>
      <c r="S59" s="198"/>
      <c r="T59" s="198"/>
      <c r="U59" s="198"/>
    </row>
    <row r="60" spans="1:21" s="12" customFormat="1" x14ac:dyDescent="0.25">
      <c r="A60" s="211" t="s">
        <v>1738</v>
      </c>
      <c r="B60" s="64">
        <v>1.37</v>
      </c>
      <c r="C60" s="64">
        <v>40.19</v>
      </c>
      <c r="D60" s="64">
        <v>23.92</v>
      </c>
      <c r="E60" s="64">
        <v>1.51</v>
      </c>
      <c r="F60" s="64">
        <v>15.24</v>
      </c>
      <c r="G60" s="64">
        <v>52.97</v>
      </c>
      <c r="H60" s="64">
        <v>28.19</v>
      </c>
      <c r="I60" s="214" t="s">
        <v>42</v>
      </c>
      <c r="J60" s="64">
        <v>0.18</v>
      </c>
      <c r="K60" s="64">
        <v>265.20999999999998</v>
      </c>
      <c r="L60" s="64">
        <v>40.97</v>
      </c>
      <c r="M60" s="64">
        <v>17.62</v>
      </c>
      <c r="N60" s="64">
        <v>844.7</v>
      </c>
      <c r="O60" s="64">
        <v>0</v>
      </c>
      <c r="P60" s="64">
        <v>0.44</v>
      </c>
      <c r="Q60" s="64">
        <v>27.94</v>
      </c>
      <c r="R60" s="198"/>
      <c r="S60" s="198"/>
      <c r="T60" s="198"/>
      <c r="U60" s="198"/>
    </row>
    <row r="61" spans="1:21" s="12" customFormat="1" x14ac:dyDescent="0.25">
      <c r="A61" s="211" t="s">
        <v>1739</v>
      </c>
      <c r="B61" s="64">
        <v>2.62</v>
      </c>
      <c r="C61" s="64">
        <v>44.81</v>
      </c>
      <c r="D61" s="64">
        <v>27.48</v>
      </c>
      <c r="E61" s="64">
        <v>1.54</v>
      </c>
      <c r="F61" s="64">
        <v>15.35</v>
      </c>
      <c r="G61" s="64">
        <v>52.97</v>
      </c>
      <c r="H61" s="64">
        <v>28.19</v>
      </c>
      <c r="I61" s="214" t="s">
        <v>42</v>
      </c>
      <c r="J61" s="64">
        <v>0.15</v>
      </c>
      <c r="K61" s="64">
        <v>284.48</v>
      </c>
      <c r="L61" s="64">
        <v>40.020000000000003</v>
      </c>
      <c r="M61" s="64">
        <v>16.63</v>
      </c>
      <c r="N61" s="64">
        <v>836.1</v>
      </c>
      <c r="O61" s="64">
        <v>0</v>
      </c>
      <c r="P61" s="64">
        <v>0.44</v>
      </c>
      <c r="Q61" s="64">
        <v>28.92</v>
      </c>
      <c r="R61" s="198"/>
      <c r="S61" s="198"/>
      <c r="T61" s="198"/>
      <c r="U61" s="198"/>
    </row>
    <row r="62" spans="1:21" s="12" customFormat="1" x14ac:dyDescent="0.25">
      <c r="A62" s="211" t="s">
        <v>1740</v>
      </c>
      <c r="B62" s="64">
        <v>1.21</v>
      </c>
      <c r="C62" s="64">
        <v>41.43</v>
      </c>
      <c r="D62" s="64">
        <v>24.48</v>
      </c>
      <c r="E62" s="64">
        <v>2.13</v>
      </c>
      <c r="F62" s="64">
        <v>24.35</v>
      </c>
      <c r="G62" s="64">
        <v>52.97</v>
      </c>
      <c r="H62" s="64">
        <v>28.19</v>
      </c>
      <c r="I62" s="214" t="s">
        <v>42</v>
      </c>
      <c r="J62" s="64">
        <v>0.32</v>
      </c>
      <c r="K62" s="64">
        <v>261.77</v>
      </c>
      <c r="L62" s="64">
        <v>39.619999999999997</v>
      </c>
      <c r="M62" s="64">
        <v>17</v>
      </c>
      <c r="N62" s="64">
        <v>643.6</v>
      </c>
      <c r="O62" s="64">
        <v>0</v>
      </c>
      <c r="P62" s="64">
        <v>0.51</v>
      </c>
      <c r="Q62" s="64">
        <v>30.45</v>
      </c>
      <c r="R62" s="198"/>
      <c r="S62" s="198"/>
      <c r="T62" s="198"/>
      <c r="U62" s="198"/>
    </row>
    <row r="63" spans="1:21" s="12" customFormat="1" x14ac:dyDescent="0.25">
      <c r="A63" s="211" t="s">
        <v>1741</v>
      </c>
      <c r="B63" s="64">
        <v>1.93</v>
      </c>
      <c r="C63" s="64">
        <v>41.99</v>
      </c>
      <c r="D63" s="64">
        <v>25.37</v>
      </c>
      <c r="E63" s="64">
        <v>0.95</v>
      </c>
      <c r="F63" s="64">
        <v>11.36</v>
      </c>
      <c r="G63" s="64">
        <v>44.86</v>
      </c>
      <c r="H63" s="64">
        <v>24.94</v>
      </c>
      <c r="I63" s="214" t="s">
        <v>42</v>
      </c>
      <c r="J63" s="64">
        <v>0.28999999999999998</v>
      </c>
      <c r="K63" s="64">
        <v>274.7</v>
      </c>
      <c r="L63" s="64">
        <v>40.08</v>
      </c>
      <c r="M63" s="64">
        <v>17.440000000000001</v>
      </c>
      <c r="N63" s="64">
        <v>773.3</v>
      </c>
      <c r="O63" s="64">
        <v>0</v>
      </c>
      <c r="P63" s="64">
        <v>0.48</v>
      </c>
      <c r="Q63" s="64">
        <v>29.53</v>
      </c>
      <c r="R63" s="198"/>
      <c r="S63" s="198"/>
      <c r="T63" s="198"/>
      <c r="U63" s="198"/>
    </row>
    <row r="64" spans="1:21" s="12" customFormat="1" x14ac:dyDescent="0.25">
      <c r="A64" s="211" t="s">
        <v>1742</v>
      </c>
      <c r="B64" s="64">
        <v>1.1499999999999999</v>
      </c>
      <c r="C64" s="64">
        <v>39.119999999999997</v>
      </c>
      <c r="D64" s="64">
        <v>23.15</v>
      </c>
      <c r="E64" s="64">
        <v>1.17</v>
      </c>
      <c r="F64" s="64">
        <v>20.350000000000001</v>
      </c>
      <c r="G64" s="64">
        <v>43.73</v>
      </c>
      <c r="H64" s="64">
        <v>24.94</v>
      </c>
      <c r="I64" s="214" t="s">
        <v>42</v>
      </c>
      <c r="J64" s="64">
        <v>0.1</v>
      </c>
      <c r="K64" s="64">
        <v>26.01</v>
      </c>
      <c r="L64" s="64">
        <v>39.270000000000003</v>
      </c>
      <c r="M64" s="64">
        <v>16.66</v>
      </c>
      <c r="N64" s="64">
        <v>758.9</v>
      </c>
      <c r="O64" s="64">
        <v>0</v>
      </c>
      <c r="P64" s="64">
        <v>0.45</v>
      </c>
      <c r="Q64" s="64">
        <v>30.1</v>
      </c>
      <c r="R64" s="198"/>
      <c r="S64" s="198"/>
      <c r="T64" s="198"/>
      <c r="U64" s="198"/>
    </row>
    <row r="65" spans="1:21" s="12" customFormat="1" x14ac:dyDescent="0.25">
      <c r="A65" s="211" t="s">
        <v>1743</v>
      </c>
      <c r="B65" s="64">
        <v>1</v>
      </c>
      <c r="C65" s="64">
        <v>32.409999999999997</v>
      </c>
      <c r="D65" s="64">
        <v>19.329999999999998</v>
      </c>
      <c r="E65" s="64">
        <v>1.26</v>
      </c>
      <c r="F65" s="64">
        <v>18.899999999999999</v>
      </c>
      <c r="G65" s="64">
        <v>43.73</v>
      </c>
      <c r="H65" s="64">
        <v>24.94</v>
      </c>
      <c r="I65" s="214" t="s">
        <v>42</v>
      </c>
      <c r="J65" s="64">
        <v>0.12</v>
      </c>
      <c r="K65" s="64">
        <v>309.39</v>
      </c>
      <c r="L65" s="64">
        <v>38.409999999999997</v>
      </c>
      <c r="M65" s="64">
        <v>17.64</v>
      </c>
      <c r="N65" s="64">
        <v>640</v>
      </c>
      <c r="O65" s="64">
        <v>0</v>
      </c>
      <c r="P65" s="64">
        <v>0.36</v>
      </c>
      <c r="Q65" s="64">
        <v>30.52</v>
      </c>
      <c r="R65" s="198"/>
      <c r="S65" s="198"/>
      <c r="T65" s="198"/>
      <c r="U65" s="198"/>
    </row>
    <row r="66" spans="1:21" s="12" customFormat="1" x14ac:dyDescent="0.25">
      <c r="A66" s="211" t="s">
        <v>1744</v>
      </c>
      <c r="B66" s="64">
        <v>1</v>
      </c>
      <c r="C66" s="64">
        <v>33.270000000000003</v>
      </c>
      <c r="D66" s="64">
        <v>19.809999999999999</v>
      </c>
      <c r="E66" s="64">
        <v>0.83</v>
      </c>
      <c r="F66" s="64">
        <v>10.94</v>
      </c>
      <c r="G66" s="64">
        <v>43.73</v>
      </c>
      <c r="H66" s="64">
        <v>24.94</v>
      </c>
      <c r="I66" s="64">
        <v>0.25</v>
      </c>
      <c r="J66" s="64">
        <v>0.38</v>
      </c>
      <c r="K66" s="64">
        <v>272.23</v>
      </c>
      <c r="L66" s="64">
        <v>39.549999999999997</v>
      </c>
      <c r="M66" s="64">
        <v>17.61</v>
      </c>
      <c r="N66" s="64">
        <v>671.1</v>
      </c>
      <c r="O66" s="64">
        <v>0</v>
      </c>
      <c r="P66" s="64">
        <v>0.38</v>
      </c>
      <c r="Q66" s="64">
        <v>31.3</v>
      </c>
      <c r="R66" s="198"/>
      <c r="S66" s="198"/>
      <c r="T66" s="198"/>
      <c r="U66" s="198"/>
    </row>
    <row r="67" spans="1:21" s="12" customFormat="1" x14ac:dyDescent="0.25">
      <c r="A67" s="211" t="s">
        <v>1745</v>
      </c>
      <c r="B67" s="64">
        <v>1.01</v>
      </c>
      <c r="C67" s="64">
        <v>35.61</v>
      </c>
      <c r="D67" s="64">
        <v>21.1</v>
      </c>
      <c r="E67" s="64">
        <v>0.73</v>
      </c>
      <c r="F67" s="64">
        <v>10.84</v>
      </c>
      <c r="G67" s="64">
        <v>39.97</v>
      </c>
      <c r="H67" s="64">
        <v>24.29</v>
      </c>
      <c r="I67" s="64">
        <v>0.53</v>
      </c>
      <c r="J67" s="64">
        <v>0.17</v>
      </c>
      <c r="K67" s="64">
        <v>298.19</v>
      </c>
      <c r="L67" s="64">
        <v>39.14</v>
      </c>
      <c r="M67" s="64">
        <v>17.12</v>
      </c>
      <c r="N67" s="64">
        <v>610.29999999999995</v>
      </c>
      <c r="O67" s="64">
        <v>0</v>
      </c>
      <c r="P67" s="64">
        <v>0.4</v>
      </c>
      <c r="Q67" s="64">
        <v>33</v>
      </c>
      <c r="R67" s="198"/>
      <c r="S67" s="198"/>
      <c r="T67" s="198"/>
      <c r="U67" s="198"/>
    </row>
    <row r="68" spans="1:21" s="12" customFormat="1" x14ac:dyDescent="0.25">
      <c r="A68" s="211" t="s">
        <v>1746</v>
      </c>
      <c r="B68" s="64">
        <v>1</v>
      </c>
      <c r="C68" s="64">
        <v>37.24</v>
      </c>
      <c r="D68" s="64">
        <v>22</v>
      </c>
      <c r="E68" s="64">
        <v>1.1499999999999999</v>
      </c>
      <c r="F68" s="64">
        <v>17.100000000000001</v>
      </c>
      <c r="G68" s="64">
        <v>39.450000000000003</v>
      </c>
      <c r="H68" s="64">
        <v>24.29</v>
      </c>
      <c r="I68" s="64">
        <v>0.54</v>
      </c>
      <c r="J68" s="64">
        <v>0.05</v>
      </c>
      <c r="K68" s="64">
        <v>293.16000000000003</v>
      </c>
      <c r="L68" s="64">
        <v>38.04</v>
      </c>
      <c r="M68" s="64">
        <v>18.57</v>
      </c>
      <c r="N68" s="64">
        <v>351.2</v>
      </c>
      <c r="O68" s="64">
        <v>0</v>
      </c>
      <c r="P68" s="64">
        <v>0.43</v>
      </c>
      <c r="Q68" s="64">
        <v>32.49</v>
      </c>
      <c r="R68" s="198"/>
      <c r="S68" s="198"/>
      <c r="T68" s="198"/>
      <c r="U68" s="198"/>
    </row>
    <row r="69" spans="1:21" s="12" customFormat="1" x14ac:dyDescent="0.25">
      <c r="A69" s="211" t="s">
        <v>1747</v>
      </c>
      <c r="B69" s="64">
        <v>1</v>
      </c>
      <c r="C69" s="64">
        <v>36.72</v>
      </c>
      <c r="D69" s="64">
        <v>21.71</v>
      </c>
      <c r="E69" s="64">
        <v>0.81</v>
      </c>
      <c r="F69" s="64">
        <v>11.63</v>
      </c>
      <c r="G69" s="64">
        <v>39.450000000000003</v>
      </c>
      <c r="H69" s="64">
        <v>24.29</v>
      </c>
      <c r="I69" s="64">
        <v>0.53</v>
      </c>
      <c r="J69" s="64">
        <v>0.15</v>
      </c>
      <c r="K69" s="64">
        <v>22.69</v>
      </c>
      <c r="L69" s="64">
        <v>37.89</v>
      </c>
      <c r="M69" s="64">
        <v>18.899999999999999</v>
      </c>
      <c r="N69" s="64">
        <v>153</v>
      </c>
      <c r="O69" s="64">
        <v>0</v>
      </c>
      <c r="P69" s="64">
        <v>0.43</v>
      </c>
      <c r="Q69" s="64">
        <v>31.97</v>
      </c>
      <c r="R69" s="198"/>
      <c r="S69" s="198"/>
      <c r="T69" s="198"/>
      <c r="U69" s="198"/>
    </row>
    <row r="70" spans="1:21" s="12" customFormat="1" x14ac:dyDescent="0.25">
      <c r="A70" s="211" t="s">
        <v>1748</v>
      </c>
      <c r="B70" s="64">
        <v>1</v>
      </c>
      <c r="C70" s="64">
        <v>35.97</v>
      </c>
      <c r="D70" s="64">
        <v>21.3</v>
      </c>
      <c r="E70" s="64">
        <v>0.84</v>
      </c>
      <c r="F70" s="64">
        <v>22.76</v>
      </c>
      <c r="G70" s="64">
        <v>39.450000000000003</v>
      </c>
      <c r="H70" s="64">
        <v>24.29</v>
      </c>
      <c r="I70" s="64">
        <v>0.52</v>
      </c>
      <c r="J70" s="64">
        <v>0.03</v>
      </c>
      <c r="K70" s="64">
        <v>289.68</v>
      </c>
      <c r="L70" s="64">
        <v>37.81</v>
      </c>
      <c r="M70" s="64">
        <v>17.79</v>
      </c>
      <c r="N70" s="64">
        <v>172.4</v>
      </c>
      <c r="O70" s="64">
        <v>0</v>
      </c>
      <c r="P70" s="64">
        <v>0.45</v>
      </c>
      <c r="Q70" s="64">
        <v>31.34</v>
      </c>
      <c r="R70" s="198"/>
      <c r="S70" s="198"/>
      <c r="T70" s="198"/>
      <c r="U70" s="198"/>
    </row>
    <row r="71" spans="1:21" s="12" customFormat="1" x14ac:dyDescent="0.25">
      <c r="A71" s="211" t="s">
        <v>1749</v>
      </c>
      <c r="B71" s="64">
        <v>1.02</v>
      </c>
      <c r="C71" s="64">
        <v>39.54</v>
      </c>
      <c r="D71" s="64">
        <v>23.29</v>
      </c>
      <c r="E71" s="64">
        <v>3.42</v>
      </c>
      <c r="F71" s="64">
        <v>44.62</v>
      </c>
      <c r="G71" s="64">
        <v>38.83</v>
      </c>
      <c r="H71" s="64">
        <v>21.65</v>
      </c>
      <c r="I71" s="64">
        <v>0.52</v>
      </c>
      <c r="J71" s="64">
        <v>0.05</v>
      </c>
      <c r="K71" s="64">
        <v>41.4</v>
      </c>
      <c r="L71" s="64">
        <v>37.58</v>
      </c>
      <c r="M71" s="64">
        <v>17.84</v>
      </c>
      <c r="N71" s="64">
        <v>382.9</v>
      </c>
      <c r="O71" s="64">
        <v>0</v>
      </c>
      <c r="P71" s="64">
        <v>0.59</v>
      </c>
      <c r="Q71" s="64">
        <v>32.409999999999997</v>
      </c>
      <c r="R71" s="198"/>
      <c r="S71" s="198"/>
      <c r="T71" s="198"/>
      <c r="U71" s="198"/>
    </row>
    <row r="72" spans="1:21" s="12" customFormat="1" x14ac:dyDescent="0.25">
      <c r="A72" s="211" t="s">
        <v>1750</v>
      </c>
      <c r="B72" s="64">
        <v>1</v>
      </c>
      <c r="C72" s="64">
        <v>43.85</v>
      </c>
      <c r="D72" s="64">
        <v>25.65</v>
      </c>
      <c r="E72" s="64">
        <v>1.74</v>
      </c>
      <c r="F72" s="64">
        <v>15.94</v>
      </c>
      <c r="G72" s="64">
        <v>38.75</v>
      </c>
      <c r="H72" s="64">
        <v>21.65</v>
      </c>
      <c r="I72" s="64">
        <v>0.53</v>
      </c>
      <c r="J72" s="64">
        <v>0.13</v>
      </c>
      <c r="K72" s="64">
        <v>36.81</v>
      </c>
      <c r="L72" s="64">
        <v>37.49</v>
      </c>
      <c r="M72" s="64">
        <v>17.84</v>
      </c>
      <c r="N72" s="64">
        <v>164.8</v>
      </c>
      <c r="O72" s="64">
        <v>0</v>
      </c>
      <c r="P72" s="64">
        <v>0.57999999999999996</v>
      </c>
      <c r="Q72" s="64">
        <v>30.41</v>
      </c>
      <c r="R72" s="198"/>
      <c r="S72" s="198"/>
      <c r="T72" s="198"/>
      <c r="U72" s="198"/>
    </row>
    <row r="73" spans="1:21" s="12" customFormat="1" x14ac:dyDescent="0.25">
      <c r="A73" s="211" t="s">
        <v>1751</v>
      </c>
      <c r="B73" s="64">
        <v>1</v>
      </c>
      <c r="C73" s="64">
        <v>42.35</v>
      </c>
      <c r="D73" s="64">
        <v>24.82</v>
      </c>
      <c r="E73" s="64">
        <v>1.51</v>
      </c>
      <c r="F73" s="64">
        <v>10.26</v>
      </c>
      <c r="G73" s="64">
        <v>38.75</v>
      </c>
      <c r="H73" s="64">
        <v>21.65</v>
      </c>
      <c r="I73" s="64">
        <v>0.48</v>
      </c>
      <c r="J73" s="64">
        <v>0.09</v>
      </c>
      <c r="K73" s="64">
        <v>44.48</v>
      </c>
      <c r="L73" s="64">
        <v>37.25</v>
      </c>
      <c r="M73" s="64">
        <v>19.16</v>
      </c>
      <c r="N73" s="64">
        <v>97.6</v>
      </c>
      <c r="O73" s="64">
        <v>0</v>
      </c>
      <c r="P73" s="64">
        <v>0.55000000000000004</v>
      </c>
      <c r="Q73" s="64">
        <v>29.74</v>
      </c>
      <c r="R73" s="198"/>
      <c r="S73" s="198"/>
      <c r="T73" s="198"/>
      <c r="U73" s="198"/>
    </row>
    <row r="74" spans="1:21" s="12" customFormat="1" x14ac:dyDescent="0.25">
      <c r="A74" s="211" t="s">
        <v>1752</v>
      </c>
      <c r="B74" s="64">
        <v>1.1499999999999999</v>
      </c>
      <c r="C74" s="64">
        <v>41.18</v>
      </c>
      <c r="D74" s="64">
        <v>24.29</v>
      </c>
      <c r="E74" s="64">
        <v>1.65</v>
      </c>
      <c r="F74" s="64">
        <v>8.0500000000000007</v>
      </c>
      <c r="G74" s="64">
        <v>38.75</v>
      </c>
      <c r="H74" s="64">
        <v>21.65</v>
      </c>
      <c r="I74" s="64">
        <v>0.5</v>
      </c>
      <c r="J74" s="64">
        <v>0.14000000000000001</v>
      </c>
      <c r="K74" s="64">
        <v>29.1</v>
      </c>
      <c r="L74" s="64">
        <v>37.07</v>
      </c>
      <c r="M74" s="64">
        <v>19.32</v>
      </c>
      <c r="N74" s="64">
        <v>87.5</v>
      </c>
      <c r="O74" s="64">
        <v>0</v>
      </c>
      <c r="P74" s="64">
        <v>0.55000000000000004</v>
      </c>
      <c r="Q74" s="64">
        <v>29.39</v>
      </c>
      <c r="R74" s="198"/>
      <c r="S74" s="198"/>
      <c r="T74" s="198"/>
      <c r="U74" s="198"/>
    </row>
    <row r="75" spans="1:21" s="12" customFormat="1" x14ac:dyDescent="0.25">
      <c r="A75" s="211" t="s">
        <v>1753</v>
      </c>
      <c r="B75" s="64">
        <v>1.57</v>
      </c>
      <c r="C75" s="64">
        <v>40.22</v>
      </c>
      <c r="D75" s="64">
        <v>24.1</v>
      </c>
      <c r="E75" s="64">
        <v>1.1599999999999999</v>
      </c>
      <c r="F75" s="64">
        <v>8.2200000000000006</v>
      </c>
      <c r="G75" s="64">
        <v>45.76</v>
      </c>
      <c r="H75" s="64">
        <v>21.34</v>
      </c>
      <c r="I75" s="64">
        <v>0.5</v>
      </c>
      <c r="J75" s="64">
        <v>0.16</v>
      </c>
      <c r="K75" s="64">
        <v>53.57</v>
      </c>
      <c r="L75" s="64">
        <v>36.979999999999997</v>
      </c>
      <c r="M75" s="64">
        <v>18.61</v>
      </c>
      <c r="N75" s="64">
        <v>76</v>
      </c>
      <c r="O75" s="64">
        <v>0</v>
      </c>
      <c r="P75" s="64">
        <v>0.53</v>
      </c>
      <c r="Q75" s="64">
        <v>29.35</v>
      </c>
      <c r="R75" s="198"/>
      <c r="S75" s="198"/>
      <c r="T75" s="198"/>
      <c r="U75" s="198"/>
    </row>
    <row r="76" spans="1:21" s="12" customFormat="1" x14ac:dyDescent="0.25">
      <c r="A76" s="211" t="s">
        <v>1754</v>
      </c>
      <c r="B76" s="64">
        <v>1.54</v>
      </c>
      <c r="C76" s="64">
        <v>39.65</v>
      </c>
      <c r="D76" s="64">
        <v>23.76</v>
      </c>
      <c r="E76" s="64">
        <v>1.42</v>
      </c>
      <c r="F76" s="64">
        <v>7.3</v>
      </c>
      <c r="G76" s="64">
        <v>46.74</v>
      </c>
      <c r="H76" s="64">
        <v>21.34</v>
      </c>
      <c r="I76" s="64">
        <v>0.51</v>
      </c>
      <c r="J76" s="64">
        <v>0.17</v>
      </c>
      <c r="K76" s="64">
        <v>52.68</v>
      </c>
      <c r="L76" s="64">
        <v>36.630000000000003</v>
      </c>
      <c r="M76" s="64">
        <v>19.41</v>
      </c>
      <c r="N76" s="64">
        <v>66.8</v>
      </c>
      <c r="O76" s="64">
        <v>0</v>
      </c>
      <c r="P76" s="64">
        <v>0.53</v>
      </c>
      <c r="Q76" s="64">
        <v>29.17</v>
      </c>
      <c r="R76" s="198"/>
      <c r="S76" s="198"/>
      <c r="T76" s="198"/>
      <c r="U76" s="198"/>
    </row>
    <row r="77" spans="1:21" s="12" customFormat="1" x14ac:dyDescent="0.25">
      <c r="A77" s="211" t="s">
        <v>1755</v>
      </c>
      <c r="B77" s="64">
        <v>1.47</v>
      </c>
      <c r="C77" s="64">
        <v>39.21</v>
      </c>
      <c r="D77" s="64">
        <v>23.46</v>
      </c>
      <c r="E77" s="64">
        <v>1.26</v>
      </c>
      <c r="F77" s="64">
        <v>7.08</v>
      </c>
      <c r="G77" s="64">
        <v>46.74</v>
      </c>
      <c r="H77" s="64">
        <v>21.34</v>
      </c>
      <c r="I77" s="64">
        <v>0.51</v>
      </c>
      <c r="J77" s="64">
        <v>0.19</v>
      </c>
      <c r="K77" s="64">
        <v>47.63</v>
      </c>
      <c r="L77" s="64">
        <v>36.29</v>
      </c>
      <c r="M77" s="64">
        <v>19.440000000000001</v>
      </c>
      <c r="N77" s="64">
        <v>60.3</v>
      </c>
      <c r="O77" s="64">
        <v>0</v>
      </c>
      <c r="P77" s="64">
        <v>0.52</v>
      </c>
      <c r="Q77" s="64">
        <v>29.2</v>
      </c>
      <c r="R77" s="198"/>
      <c r="S77" s="198"/>
      <c r="T77" s="198"/>
      <c r="U77" s="198"/>
    </row>
    <row r="78" spans="1:21" s="12" customFormat="1" x14ac:dyDescent="0.25">
      <c r="A78" s="211" t="s">
        <v>1756</v>
      </c>
      <c r="B78" s="64">
        <v>1.76</v>
      </c>
      <c r="C78" s="64">
        <v>39.86</v>
      </c>
      <c r="D78" s="64">
        <v>24.05</v>
      </c>
      <c r="E78" s="64">
        <v>1.65</v>
      </c>
      <c r="F78" s="64">
        <v>7.79</v>
      </c>
      <c r="G78" s="64">
        <v>46.74</v>
      </c>
      <c r="H78" s="64">
        <v>21.34</v>
      </c>
      <c r="I78" s="64">
        <v>0.51</v>
      </c>
      <c r="J78" s="64">
        <v>0.15</v>
      </c>
      <c r="K78" s="64">
        <v>38.96</v>
      </c>
      <c r="L78" s="64">
        <v>36.03</v>
      </c>
      <c r="M78" s="64">
        <v>19.77</v>
      </c>
      <c r="N78" s="64">
        <v>51.2</v>
      </c>
      <c r="O78" s="64">
        <v>0</v>
      </c>
      <c r="P78" s="64">
        <v>0.52</v>
      </c>
      <c r="Q78" s="64">
        <v>29.76</v>
      </c>
      <c r="R78" s="198"/>
      <c r="S78" s="198"/>
      <c r="T78" s="198"/>
      <c r="U78" s="198"/>
    </row>
    <row r="79" spans="1:21" s="12" customFormat="1" x14ac:dyDescent="0.25">
      <c r="A79" s="211" t="s">
        <v>1757</v>
      </c>
      <c r="B79" s="64">
        <v>2.8</v>
      </c>
      <c r="C79" s="64">
        <v>38.24</v>
      </c>
      <c r="D79" s="64">
        <v>23.99</v>
      </c>
      <c r="E79" s="64">
        <v>1.73</v>
      </c>
      <c r="F79" s="64">
        <v>11</v>
      </c>
      <c r="G79" s="64">
        <v>58.32</v>
      </c>
      <c r="H79" s="64">
        <v>18.489999999999998</v>
      </c>
      <c r="I79" s="64">
        <v>0.52</v>
      </c>
      <c r="J79" s="64">
        <v>0.18</v>
      </c>
      <c r="K79" s="64">
        <v>42.19</v>
      </c>
      <c r="L79" s="64">
        <v>35.82</v>
      </c>
      <c r="M79" s="64">
        <v>20.079999999999998</v>
      </c>
      <c r="N79" s="64">
        <v>40</v>
      </c>
      <c r="O79" s="64">
        <v>0</v>
      </c>
      <c r="P79" s="64">
        <v>0.57999999999999996</v>
      </c>
      <c r="Q79" s="64">
        <v>31.41</v>
      </c>
      <c r="R79" s="198"/>
      <c r="S79" s="198"/>
      <c r="T79" s="198"/>
      <c r="U79" s="198"/>
    </row>
    <row r="80" spans="1:21" s="12" customFormat="1" x14ac:dyDescent="0.25">
      <c r="A80" s="211" t="s">
        <v>1758</v>
      </c>
      <c r="B80" s="64">
        <v>7.01</v>
      </c>
      <c r="C80" s="64">
        <v>49.95</v>
      </c>
      <c r="D80" s="64">
        <v>33.83</v>
      </c>
      <c r="E80" s="64">
        <v>3.62</v>
      </c>
      <c r="F80" s="64">
        <v>16.95</v>
      </c>
      <c r="G80" s="64">
        <v>59.93</v>
      </c>
      <c r="H80" s="64">
        <v>18.489999999999998</v>
      </c>
      <c r="I80" s="64">
        <v>0.52</v>
      </c>
      <c r="J80" s="64">
        <v>0.04</v>
      </c>
      <c r="K80" s="64">
        <v>46.43</v>
      </c>
      <c r="L80" s="64">
        <v>35.43</v>
      </c>
      <c r="M80" s="64">
        <v>20.8</v>
      </c>
      <c r="N80" s="64">
        <v>28.2</v>
      </c>
      <c r="O80" s="64">
        <v>0</v>
      </c>
      <c r="P80" s="64">
        <v>0.76</v>
      </c>
      <c r="Q80" s="64">
        <v>30.6</v>
      </c>
      <c r="R80" s="198"/>
      <c r="S80" s="198"/>
      <c r="T80" s="198"/>
      <c r="U80" s="198"/>
    </row>
    <row r="81" spans="1:26" s="12" customFormat="1" x14ac:dyDescent="0.25">
      <c r="A81" s="211" t="s">
        <v>1759</v>
      </c>
      <c r="B81" s="64">
        <v>6.16</v>
      </c>
      <c r="C81" s="64">
        <v>47.03</v>
      </c>
      <c r="D81" s="64">
        <v>31.54</v>
      </c>
      <c r="E81" s="64">
        <v>4.2</v>
      </c>
      <c r="F81" s="64">
        <v>16.149999999999999</v>
      </c>
      <c r="G81" s="64">
        <v>59.93</v>
      </c>
      <c r="H81" s="64">
        <v>18.489999999999998</v>
      </c>
      <c r="I81" s="64">
        <v>0.53</v>
      </c>
      <c r="J81" s="64">
        <v>0.09</v>
      </c>
      <c r="K81" s="64">
        <v>323.27999999999997</v>
      </c>
      <c r="L81" s="64">
        <v>34.869999999999997</v>
      </c>
      <c r="M81" s="64">
        <v>21.89</v>
      </c>
      <c r="N81" s="64">
        <v>17.5</v>
      </c>
      <c r="O81" s="64">
        <v>0</v>
      </c>
      <c r="P81" s="64">
        <v>0.78</v>
      </c>
      <c r="Q81" s="64">
        <v>29.54</v>
      </c>
      <c r="R81" s="198"/>
      <c r="S81" s="198"/>
      <c r="T81" s="198"/>
      <c r="U81" s="198"/>
    </row>
    <row r="82" spans="1:26" s="12" customFormat="1" x14ac:dyDescent="0.25">
      <c r="A82" s="211" t="s">
        <v>1760</v>
      </c>
      <c r="B82" s="64">
        <v>11.86</v>
      </c>
      <c r="C82" s="64">
        <v>39.44</v>
      </c>
      <c r="D82" s="64">
        <v>31.8</v>
      </c>
      <c r="E82" s="64">
        <v>2.64</v>
      </c>
      <c r="F82" s="64">
        <v>12.33</v>
      </c>
      <c r="G82" s="64">
        <v>59.93</v>
      </c>
      <c r="H82" s="64">
        <v>18.489999999999998</v>
      </c>
      <c r="I82" s="64">
        <v>0.55000000000000004</v>
      </c>
      <c r="J82" s="64">
        <v>0.18</v>
      </c>
      <c r="K82" s="64">
        <v>280.67</v>
      </c>
      <c r="L82" s="64">
        <v>34.200000000000003</v>
      </c>
      <c r="M82" s="64">
        <v>22.96</v>
      </c>
      <c r="N82" s="64">
        <v>8.6999999999999993</v>
      </c>
      <c r="O82" s="64">
        <v>0</v>
      </c>
      <c r="P82" s="64">
        <v>0.68</v>
      </c>
      <c r="Q82" s="64">
        <v>28.2</v>
      </c>
      <c r="R82" s="198"/>
      <c r="S82" s="198"/>
      <c r="T82" s="198"/>
      <c r="U82" s="198"/>
    </row>
    <row r="83" spans="1:26" s="12" customFormat="1" x14ac:dyDescent="0.25">
      <c r="A83" s="211" t="s">
        <v>1761</v>
      </c>
      <c r="B83" s="64">
        <v>67.5</v>
      </c>
      <c r="C83" s="64">
        <v>56.34</v>
      </c>
      <c r="D83" s="64">
        <v>83.94</v>
      </c>
      <c r="E83" s="64">
        <v>2.95</v>
      </c>
      <c r="F83" s="64">
        <v>7.55</v>
      </c>
      <c r="G83" s="64">
        <v>61.97</v>
      </c>
      <c r="H83" s="64">
        <v>19.77</v>
      </c>
      <c r="I83" s="64">
        <v>0.62</v>
      </c>
      <c r="J83" s="64">
        <v>0.04</v>
      </c>
      <c r="K83" s="64">
        <v>314.08999999999997</v>
      </c>
      <c r="L83" s="64">
        <v>33.78</v>
      </c>
      <c r="M83" s="64">
        <v>24.06</v>
      </c>
      <c r="N83" s="64">
        <v>5.7</v>
      </c>
      <c r="O83" s="64">
        <v>0</v>
      </c>
      <c r="P83" s="64">
        <v>0.79</v>
      </c>
      <c r="Q83" s="64">
        <v>19.78</v>
      </c>
      <c r="R83" s="198"/>
      <c r="S83" s="198"/>
      <c r="T83" s="198"/>
      <c r="U83" s="198"/>
    </row>
    <row r="84" spans="1:26" s="12" customFormat="1" x14ac:dyDescent="0.25">
      <c r="A84" s="211" t="s">
        <v>1762</v>
      </c>
      <c r="B84" s="64">
        <v>16.84</v>
      </c>
      <c r="C84" s="64">
        <v>48.47</v>
      </c>
      <c r="D84" s="64">
        <v>40.9</v>
      </c>
      <c r="E84" s="64">
        <v>3.23</v>
      </c>
      <c r="F84" s="64">
        <v>12.21</v>
      </c>
      <c r="G84" s="64">
        <v>62.26</v>
      </c>
      <c r="H84" s="64">
        <v>19.77</v>
      </c>
      <c r="I84" s="64">
        <v>0.56999999999999995</v>
      </c>
      <c r="J84" s="64">
        <v>0.11</v>
      </c>
      <c r="K84" s="64">
        <v>280.68</v>
      </c>
      <c r="L84" s="64">
        <v>33.19</v>
      </c>
      <c r="M84" s="64">
        <v>25.75</v>
      </c>
      <c r="N84" s="64">
        <v>5.2</v>
      </c>
      <c r="O84" s="64">
        <v>0</v>
      </c>
      <c r="P84" s="64">
        <v>0.82</v>
      </c>
      <c r="Q84" s="64">
        <v>25.37</v>
      </c>
      <c r="R84" s="198"/>
      <c r="S84" s="198"/>
      <c r="T84" s="198"/>
      <c r="U84" s="198"/>
    </row>
    <row r="85" spans="1:26" s="12" customFormat="1" x14ac:dyDescent="0.25">
      <c r="A85" s="211" t="s">
        <v>1763</v>
      </c>
      <c r="B85" s="64">
        <v>16.73</v>
      </c>
      <c r="C85" s="64">
        <v>49.52</v>
      </c>
      <c r="D85" s="64">
        <v>41.39</v>
      </c>
      <c r="E85" s="64">
        <v>3.1</v>
      </c>
      <c r="F85" s="64">
        <v>10.26</v>
      </c>
      <c r="G85" s="64">
        <v>62.26</v>
      </c>
      <c r="H85" s="64">
        <v>19.77</v>
      </c>
      <c r="I85" s="64">
        <v>0.57999999999999996</v>
      </c>
      <c r="J85" s="64">
        <v>7.0000000000000007E-2</v>
      </c>
      <c r="K85" s="64">
        <v>296.83999999999997</v>
      </c>
      <c r="L85" s="64">
        <v>32.700000000000003</v>
      </c>
      <c r="M85" s="64">
        <v>27.5</v>
      </c>
      <c r="N85" s="64">
        <v>5</v>
      </c>
      <c r="O85" s="64">
        <v>0</v>
      </c>
      <c r="P85" s="64">
        <v>0.8</v>
      </c>
      <c r="Q85" s="64">
        <v>25.94</v>
      </c>
      <c r="R85" s="198"/>
      <c r="S85" s="198"/>
      <c r="T85" s="198"/>
      <c r="U85" s="198"/>
    </row>
    <row r="86" spans="1:26" s="12" customFormat="1" x14ac:dyDescent="0.25">
      <c r="A86" s="211" t="s">
        <v>1764</v>
      </c>
      <c r="B86" s="64">
        <v>14.27</v>
      </c>
      <c r="C86" s="64">
        <v>50.14</v>
      </c>
      <c r="D86" s="64">
        <v>39.770000000000003</v>
      </c>
      <c r="E86" s="64">
        <v>3.17</v>
      </c>
      <c r="F86" s="64">
        <v>9.2100000000000009</v>
      </c>
      <c r="G86" s="64">
        <v>62.26</v>
      </c>
      <c r="H86" s="64">
        <v>19.77</v>
      </c>
      <c r="I86" s="64">
        <v>0.62</v>
      </c>
      <c r="J86" s="64">
        <v>0.34</v>
      </c>
      <c r="K86" s="64">
        <v>264.89</v>
      </c>
      <c r="L86" s="64">
        <v>32.33</v>
      </c>
      <c r="M86" s="64">
        <v>28.49</v>
      </c>
      <c r="N86" s="64">
        <v>4.5999999999999996</v>
      </c>
      <c r="O86" s="64">
        <v>0</v>
      </c>
      <c r="P86" s="64">
        <v>0.82</v>
      </c>
      <c r="Q86" s="64">
        <v>26.3</v>
      </c>
      <c r="R86" s="198"/>
      <c r="S86" s="198"/>
      <c r="T86" s="198"/>
      <c r="U86" s="198"/>
    </row>
    <row r="87" spans="1:26" s="12" customFormat="1" x14ac:dyDescent="0.25">
      <c r="A87" s="211" t="s">
        <v>1765</v>
      </c>
      <c r="B87" s="64">
        <v>11.74</v>
      </c>
      <c r="C87" s="64">
        <v>47.94</v>
      </c>
      <c r="D87" s="64">
        <v>36.520000000000003</v>
      </c>
      <c r="E87" s="64">
        <v>2.31</v>
      </c>
      <c r="F87" s="64">
        <v>8.5500000000000007</v>
      </c>
      <c r="G87" s="64">
        <v>62.18</v>
      </c>
      <c r="H87" s="64">
        <v>20.41</v>
      </c>
      <c r="I87" s="64">
        <v>0.63</v>
      </c>
      <c r="J87" s="64">
        <v>0.56000000000000005</v>
      </c>
      <c r="K87" s="64">
        <v>263.27</v>
      </c>
      <c r="L87" s="64">
        <v>32.049999999999997</v>
      </c>
      <c r="M87" s="64">
        <v>26.83</v>
      </c>
      <c r="N87" s="64">
        <v>4.4000000000000004</v>
      </c>
      <c r="O87" s="64">
        <v>0</v>
      </c>
      <c r="P87" s="64">
        <v>0.85</v>
      </c>
      <c r="Q87" s="64">
        <v>26.45</v>
      </c>
      <c r="R87" s="198"/>
      <c r="S87" s="198"/>
      <c r="T87" s="198"/>
      <c r="U87" s="198"/>
    </row>
    <row r="88" spans="1:26" s="12" customFormat="1" x14ac:dyDescent="0.25">
      <c r="A88" s="211" t="s">
        <v>1766</v>
      </c>
      <c r="B88" s="64">
        <v>10.9</v>
      </c>
      <c r="C88" s="64">
        <v>49</v>
      </c>
      <c r="D88" s="64">
        <v>36.43</v>
      </c>
      <c r="E88" s="64">
        <v>1.1200000000000001</v>
      </c>
      <c r="F88" s="64">
        <v>11.08</v>
      </c>
      <c r="G88" s="64">
        <v>62.17</v>
      </c>
      <c r="H88" s="64">
        <v>20.41</v>
      </c>
      <c r="I88" s="64">
        <v>0.7</v>
      </c>
      <c r="J88" s="64">
        <v>0.15</v>
      </c>
      <c r="K88" s="64">
        <v>266.82</v>
      </c>
      <c r="L88" s="64">
        <v>31.84</v>
      </c>
      <c r="M88" s="64">
        <v>25.51</v>
      </c>
      <c r="N88" s="64">
        <v>5.2</v>
      </c>
      <c r="O88" s="64">
        <v>0</v>
      </c>
      <c r="P88" s="64">
        <v>0.86</v>
      </c>
      <c r="Q88" s="64">
        <v>25.61</v>
      </c>
      <c r="R88" s="198"/>
      <c r="S88" s="198"/>
      <c r="T88" s="198"/>
      <c r="U88" s="198"/>
    </row>
    <row r="89" spans="1:26" s="12" customFormat="1" x14ac:dyDescent="0.25">
      <c r="A89" s="211" t="s">
        <v>1767</v>
      </c>
      <c r="B89" s="64">
        <v>20.51</v>
      </c>
      <c r="C89" s="64">
        <v>57.09</v>
      </c>
      <c r="D89" s="64">
        <v>48.6</v>
      </c>
      <c r="E89" s="64">
        <v>2.44</v>
      </c>
      <c r="F89" s="64">
        <v>12.18</v>
      </c>
      <c r="G89" s="64">
        <v>62.17</v>
      </c>
      <c r="H89" s="64">
        <v>20.41</v>
      </c>
      <c r="I89" s="64">
        <v>0.65</v>
      </c>
      <c r="J89" s="64">
        <v>7.0000000000000007E-2</v>
      </c>
      <c r="K89" s="64">
        <v>293.14999999999998</v>
      </c>
      <c r="L89" s="64">
        <v>31.52</v>
      </c>
      <c r="M89" s="64">
        <v>25.5</v>
      </c>
      <c r="N89" s="64">
        <v>5.2</v>
      </c>
      <c r="O89" s="64">
        <v>0</v>
      </c>
      <c r="P89" s="64">
        <v>1.03</v>
      </c>
      <c r="Q89" s="64">
        <v>23.52</v>
      </c>
      <c r="R89" s="198"/>
      <c r="S89" s="198"/>
      <c r="T89" s="198"/>
      <c r="U89" s="198"/>
    </row>
    <row r="90" spans="1:26" s="12" customFormat="1" x14ac:dyDescent="0.25">
      <c r="A90" s="211" t="s">
        <v>1768</v>
      </c>
      <c r="B90" s="64">
        <v>37.619999999999997</v>
      </c>
      <c r="C90" s="64">
        <v>70.53</v>
      </c>
      <c r="D90" s="64">
        <v>69.739999999999995</v>
      </c>
      <c r="E90" s="64">
        <v>3.4</v>
      </c>
      <c r="F90" s="64">
        <v>14.19</v>
      </c>
      <c r="G90" s="64">
        <v>62.17</v>
      </c>
      <c r="H90" s="64">
        <v>20.41</v>
      </c>
      <c r="I90" s="64">
        <v>0.61</v>
      </c>
      <c r="J90" s="64">
        <v>0.1</v>
      </c>
      <c r="K90" s="64">
        <v>267.63</v>
      </c>
      <c r="L90" s="64">
        <v>31.15</v>
      </c>
      <c r="M90" s="64">
        <v>26.08</v>
      </c>
      <c r="N90" s="64">
        <v>5.3</v>
      </c>
      <c r="O90" s="64">
        <v>0</v>
      </c>
      <c r="P90" s="64">
        <v>1.88</v>
      </c>
      <c r="Q90" s="64">
        <v>22.45</v>
      </c>
      <c r="R90" s="198"/>
      <c r="S90" s="198"/>
      <c r="T90" s="198"/>
      <c r="U90" s="198"/>
    </row>
    <row r="91" spans="1:26" s="12" customFormat="1" x14ac:dyDescent="0.25">
      <c r="A91" s="211" t="s">
        <v>1769</v>
      </c>
      <c r="B91" s="64">
        <v>51.96</v>
      </c>
      <c r="C91" s="64">
        <v>87.36</v>
      </c>
      <c r="D91" s="64">
        <v>90.52</v>
      </c>
      <c r="E91" s="64">
        <v>2.64</v>
      </c>
      <c r="F91" s="64">
        <v>7.8</v>
      </c>
      <c r="G91" s="64">
        <v>60.05</v>
      </c>
      <c r="H91" s="64">
        <v>21.43</v>
      </c>
      <c r="I91" s="64">
        <v>0.63</v>
      </c>
      <c r="J91" s="64">
        <v>0.1</v>
      </c>
      <c r="K91" s="64">
        <v>254.18</v>
      </c>
      <c r="L91" s="64">
        <v>30.66</v>
      </c>
      <c r="M91" s="64">
        <v>26.77</v>
      </c>
      <c r="N91" s="64">
        <v>5.4</v>
      </c>
      <c r="O91" s="64">
        <v>0</v>
      </c>
      <c r="P91" s="64">
        <v>2.19</v>
      </c>
      <c r="Q91" s="64">
        <v>17.78</v>
      </c>
      <c r="R91" s="198"/>
      <c r="S91" s="198"/>
      <c r="T91" s="198"/>
      <c r="U91" s="198"/>
    </row>
    <row r="92" spans="1:26" s="12" customFormat="1" x14ac:dyDescent="0.25">
      <c r="A92" s="211" t="s">
        <v>1770</v>
      </c>
      <c r="B92" s="64">
        <v>37.590000000000003</v>
      </c>
      <c r="C92" s="64">
        <v>82.05</v>
      </c>
      <c r="D92" s="64">
        <v>76.069999999999993</v>
      </c>
      <c r="E92" s="64">
        <v>2.2799999999999998</v>
      </c>
      <c r="F92" s="64">
        <v>12.46</v>
      </c>
      <c r="G92" s="64">
        <v>59.76</v>
      </c>
      <c r="H92" s="64">
        <v>21.43</v>
      </c>
      <c r="I92" s="64">
        <v>0.77</v>
      </c>
      <c r="J92" s="64">
        <v>7.0000000000000007E-2</v>
      </c>
      <c r="K92" s="64">
        <v>261.45</v>
      </c>
      <c r="L92" s="64">
        <v>30.5</v>
      </c>
      <c r="M92" s="64">
        <v>26.87</v>
      </c>
      <c r="N92" s="64">
        <v>5.2</v>
      </c>
      <c r="O92" s="64">
        <v>0</v>
      </c>
      <c r="P92" s="64">
        <v>1.96</v>
      </c>
      <c r="Q92" s="64">
        <v>19.309999999999999</v>
      </c>
      <c r="R92" s="198"/>
      <c r="S92" s="198"/>
      <c r="T92" s="198"/>
      <c r="U92" s="198"/>
    </row>
    <row r="93" spans="1:26" s="12" customFormat="1" x14ac:dyDescent="0.25">
      <c r="A93" s="211" t="s">
        <v>1771</v>
      </c>
      <c r="B93" s="64">
        <v>39.409999999999997</v>
      </c>
      <c r="C93" s="64">
        <v>81.44</v>
      </c>
      <c r="D93" s="64">
        <v>77.2</v>
      </c>
      <c r="E93" s="64">
        <v>2.13</v>
      </c>
      <c r="F93" s="64">
        <v>14.88</v>
      </c>
      <c r="G93" s="64">
        <v>59.76</v>
      </c>
      <c r="H93" s="64">
        <v>21.43</v>
      </c>
      <c r="I93" s="64">
        <v>0.89</v>
      </c>
      <c r="J93" s="64">
        <v>0.09</v>
      </c>
      <c r="K93" s="64">
        <v>270.60000000000002</v>
      </c>
      <c r="L93" s="64">
        <v>30.62</v>
      </c>
      <c r="M93" s="64">
        <v>25.84</v>
      </c>
      <c r="N93" s="64">
        <v>5</v>
      </c>
      <c r="O93" s="64">
        <v>0</v>
      </c>
      <c r="P93" s="64">
        <v>1.6</v>
      </c>
      <c r="Q93" s="64">
        <v>16.07</v>
      </c>
      <c r="R93" s="198"/>
      <c r="S93" s="198"/>
      <c r="T93" s="198"/>
      <c r="U93" s="198"/>
    </row>
    <row r="94" spans="1:26" s="12" customFormat="1" x14ac:dyDescent="0.25">
      <c r="A94" s="211" t="s">
        <v>1772</v>
      </c>
      <c r="B94" s="64">
        <v>15.52</v>
      </c>
      <c r="C94" s="64">
        <v>67.44</v>
      </c>
      <c r="D94" s="64">
        <v>50.31</v>
      </c>
      <c r="E94" s="64">
        <v>3.47</v>
      </c>
      <c r="F94" s="64">
        <v>16.23</v>
      </c>
      <c r="G94" s="64">
        <v>59.76</v>
      </c>
      <c r="H94" s="64">
        <v>21.43</v>
      </c>
      <c r="I94" s="64">
        <v>0.87</v>
      </c>
      <c r="J94" s="64">
        <v>0.03</v>
      </c>
      <c r="K94" s="64">
        <v>334.37</v>
      </c>
      <c r="L94" s="64">
        <v>30.67</v>
      </c>
      <c r="M94" s="64">
        <v>24.92</v>
      </c>
      <c r="N94" s="64">
        <v>4.8</v>
      </c>
      <c r="O94" s="64">
        <v>0</v>
      </c>
      <c r="P94" s="64">
        <v>1.26</v>
      </c>
      <c r="Q94" s="64">
        <v>17.559999999999999</v>
      </c>
      <c r="R94" s="198"/>
      <c r="S94" s="198"/>
      <c r="T94" s="198"/>
      <c r="U94" s="198"/>
    </row>
    <row r="95" spans="1:26" s="12" customFormat="1" x14ac:dyDescent="0.25">
      <c r="A95" s="211" t="s">
        <v>1773</v>
      </c>
      <c r="B95" s="64">
        <v>13.31</v>
      </c>
      <c r="C95" s="64">
        <v>66.56</v>
      </c>
      <c r="D95" s="64">
        <v>48.05</v>
      </c>
      <c r="E95" s="64">
        <v>3.54</v>
      </c>
      <c r="F95" s="64">
        <v>14.52</v>
      </c>
      <c r="G95" s="64">
        <v>64.89</v>
      </c>
      <c r="H95" s="64">
        <v>22.32</v>
      </c>
      <c r="I95" s="64">
        <v>0.89</v>
      </c>
      <c r="J95" s="64">
        <v>0.13</v>
      </c>
      <c r="K95" s="64">
        <v>244.35</v>
      </c>
      <c r="L95" s="64">
        <v>30.48</v>
      </c>
      <c r="M95" s="64">
        <v>26.27</v>
      </c>
      <c r="N95" s="64">
        <v>4.9000000000000004</v>
      </c>
      <c r="O95" s="64">
        <v>0</v>
      </c>
      <c r="P95" s="64">
        <v>1.1299999999999999</v>
      </c>
      <c r="Q95" s="64">
        <v>20.37</v>
      </c>
      <c r="R95" s="198"/>
      <c r="S95" s="198"/>
      <c r="T95" s="198"/>
      <c r="U95" s="198"/>
    </row>
    <row r="96" spans="1:26" s="12" customFormat="1" x14ac:dyDescent="0.25">
      <c r="A96" s="211" t="s">
        <v>1774</v>
      </c>
      <c r="B96" s="64">
        <v>41.34</v>
      </c>
      <c r="C96" s="64">
        <v>81.17</v>
      </c>
      <c r="D96" s="64">
        <v>78.59</v>
      </c>
      <c r="E96" s="64">
        <v>5.51</v>
      </c>
      <c r="F96" s="64">
        <v>6.19</v>
      </c>
      <c r="G96" s="64">
        <v>65.61</v>
      </c>
      <c r="H96" s="64">
        <v>22.32</v>
      </c>
      <c r="I96" s="64">
        <v>0.82</v>
      </c>
      <c r="J96" s="64">
        <v>0.09</v>
      </c>
      <c r="K96" s="64">
        <v>247.9</v>
      </c>
      <c r="L96" s="64">
        <v>29.57</v>
      </c>
      <c r="M96" s="64">
        <v>29.63</v>
      </c>
      <c r="N96" s="64">
        <v>5.5</v>
      </c>
      <c r="O96" s="64">
        <v>0</v>
      </c>
      <c r="P96" s="64">
        <v>1.69</v>
      </c>
      <c r="Q96" s="64">
        <v>16.64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1775</v>
      </c>
      <c r="B97" s="64">
        <v>33.25</v>
      </c>
      <c r="C97" s="64">
        <v>75.430000000000007</v>
      </c>
      <c r="D97" s="64">
        <v>68.94</v>
      </c>
      <c r="E97" s="64">
        <v>10.11</v>
      </c>
      <c r="F97" s="64">
        <v>5.54</v>
      </c>
      <c r="G97" s="64">
        <v>65.61</v>
      </c>
      <c r="H97" s="64">
        <v>22.32</v>
      </c>
      <c r="I97" s="64">
        <v>1.04</v>
      </c>
      <c r="J97" s="64">
        <v>0.14000000000000001</v>
      </c>
      <c r="K97" s="64">
        <v>251.02</v>
      </c>
      <c r="L97" s="64">
        <v>29.06</v>
      </c>
      <c r="M97" s="64">
        <v>29.82</v>
      </c>
      <c r="N97" s="64">
        <v>5.2</v>
      </c>
      <c r="O97" s="64">
        <v>0</v>
      </c>
      <c r="P97" s="64">
        <v>1.55</v>
      </c>
      <c r="Q97" s="64">
        <v>17.32</v>
      </c>
      <c r="R97" s="198"/>
      <c r="S97" s="198"/>
      <c r="T97" s="198"/>
      <c r="U97" s="198"/>
    </row>
    <row r="98" spans="1:33" s="12" customFormat="1" x14ac:dyDescent="0.25">
      <c r="A98" s="211" t="s">
        <v>1776</v>
      </c>
      <c r="B98" s="64">
        <v>38.31</v>
      </c>
      <c r="C98" s="64">
        <v>74.930000000000007</v>
      </c>
      <c r="D98" s="64">
        <v>72.72</v>
      </c>
      <c r="E98" s="64">
        <v>14.24</v>
      </c>
      <c r="F98" s="64">
        <v>7.24</v>
      </c>
      <c r="G98" s="64">
        <v>65.61</v>
      </c>
      <c r="H98" s="64">
        <v>22.32</v>
      </c>
      <c r="I98" s="64">
        <v>1.04</v>
      </c>
      <c r="J98" s="64">
        <v>0.09</v>
      </c>
      <c r="K98" s="64">
        <v>264.77999999999997</v>
      </c>
      <c r="L98" s="64">
        <v>29.17</v>
      </c>
      <c r="M98" s="64">
        <v>28.67</v>
      </c>
      <c r="N98" s="64">
        <v>5.0999999999999996</v>
      </c>
      <c r="O98" s="64">
        <v>0</v>
      </c>
      <c r="P98" s="64">
        <v>1.68</v>
      </c>
      <c r="Q98" s="64">
        <v>18.88</v>
      </c>
      <c r="R98" s="198"/>
      <c r="S98" s="198"/>
      <c r="T98" s="198"/>
      <c r="U98" s="198"/>
    </row>
    <row r="99" spans="1:33" s="12" customFormat="1" x14ac:dyDescent="0.25">
      <c r="A99" s="211" t="s">
        <v>1777</v>
      </c>
      <c r="B99" s="64">
        <v>22.49</v>
      </c>
      <c r="C99" s="64">
        <v>68.290000000000006</v>
      </c>
      <c r="D99" s="64">
        <v>56.37</v>
      </c>
      <c r="E99" s="64">
        <v>13.32</v>
      </c>
      <c r="F99" s="64">
        <v>8.59</v>
      </c>
      <c r="G99" s="64">
        <v>72.69</v>
      </c>
      <c r="H99" s="64">
        <v>23.69</v>
      </c>
      <c r="I99" s="64">
        <v>0.89</v>
      </c>
      <c r="J99" s="64">
        <v>0.11</v>
      </c>
      <c r="K99" s="64">
        <v>254.51</v>
      </c>
      <c r="L99" s="64">
        <v>29.03</v>
      </c>
      <c r="M99" s="64">
        <v>29.31</v>
      </c>
      <c r="N99" s="64">
        <v>5</v>
      </c>
      <c r="O99" s="64">
        <v>0</v>
      </c>
      <c r="P99" s="64">
        <v>1.51</v>
      </c>
      <c r="Q99" s="64">
        <v>18.100000000000001</v>
      </c>
      <c r="R99" s="198"/>
      <c r="S99" s="198"/>
      <c r="T99" s="198"/>
      <c r="U99" s="198"/>
    </row>
    <row r="100" spans="1:33" s="12" customFormat="1" x14ac:dyDescent="0.25">
      <c r="A100" s="211" t="s">
        <v>1778</v>
      </c>
      <c r="B100" s="64">
        <v>17.559999999999999</v>
      </c>
      <c r="C100" s="64">
        <v>64.61</v>
      </c>
      <c r="D100" s="64">
        <v>50.38</v>
      </c>
      <c r="E100" s="64">
        <v>12.24</v>
      </c>
      <c r="F100" s="64">
        <v>8.26</v>
      </c>
      <c r="G100" s="64">
        <v>73.67</v>
      </c>
      <c r="H100" s="64">
        <v>23.69</v>
      </c>
      <c r="I100" s="64">
        <v>0.81</v>
      </c>
      <c r="J100" s="64">
        <v>0.24</v>
      </c>
      <c r="K100" s="64">
        <v>211.56</v>
      </c>
      <c r="L100" s="64">
        <v>29.52</v>
      </c>
      <c r="M100" s="64">
        <v>29.34</v>
      </c>
      <c r="N100" s="64">
        <v>4.2</v>
      </c>
      <c r="O100" s="64">
        <v>0</v>
      </c>
      <c r="P100" s="64">
        <v>1.39</v>
      </c>
      <c r="Q100" s="64">
        <v>20.28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1779</v>
      </c>
      <c r="B101" s="64">
        <v>8.9700000000000006</v>
      </c>
      <c r="C101" s="64">
        <v>46.44</v>
      </c>
      <c r="D101" s="64">
        <v>33.47</v>
      </c>
      <c r="E101" s="64">
        <v>9.24</v>
      </c>
      <c r="F101" s="64">
        <v>15.8</v>
      </c>
      <c r="G101" s="64">
        <v>73.67</v>
      </c>
      <c r="H101" s="64">
        <v>23.69</v>
      </c>
      <c r="I101" s="64">
        <v>0.74</v>
      </c>
      <c r="J101" s="64">
        <v>0.09</v>
      </c>
      <c r="K101" s="64">
        <v>245.29</v>
      </c>
      <c r="L101" s="64">
        <v>28.82</v>
      </c>
      <c r="M101" s="64">
        <v>31.88</v>
      </c>
      <c r="N101" s="64">
        <v>5.5</v>
      </c>
      <c r="O101" s="64">
        <v>0</v>
      </c>
      <c r="P101" s="64">
        <v>1.1499999999999999</v>
      </c>
      <c r="Q101" s="64">
        <v>21.17</v>
      </c>
      <c r="R101" s="198"/>
      <c r="S101" s="198"/>
      <c r="T101" s="198"/>
      <c r="U101" s="198"/>
    </row>
    <row r="102" spans="1:33" s="12" customFormat="1" x14ac:dyDescent="0.25">
      <c r="A102" s="211" t="s">
        <v>1780</v>
      </c>
      <c r="B102" s="64">
        <v>14.41</v>
      </c>
      <c r="C102" s="64">
        <v>50.72</v>
      </c>
      <c r="D102" s="64">
        <v>40.19</v>
      </c>
      <c r="E102" s="64">
        <v>8.0299999999999994</v>
      </c>
      <c r="F102" s="64">
        <v>14.86</v>
      </c>
      <c r="G102" s="64">
        <v>73.67</v>
      </c>
      <c r="H102" s="64">
        <v>23.69</v>
      </c>
      <c r="I102" s="64">
        <v>0.78</v>
      </c>
      <c r="J102" s="64">
        <v>0.08</v>
      </c>
      <c r="K102" s="64">
        <v>255.52</v>
      </c>
      <c r="L102" s="64">
        <v>28.53</v>
      </c>
      <c r="M102" s="64">
        <v>32.020000000000003</v>
      </c>
      <c r="N102" s="64">
        <v>5</v>
      </c>
      <c r="O102" s="64">
        <v>0</v>
      </c>
      <c r="P102" s="64">
        <v>1.1000000000000001</v>
      </c>
      <c r="Q102" s="64">
        <v>21.03</v>
      </c>
      <c r="R102" s="198"/>
      <c r="S102" s="198"/>
      <c r="T102" s="198"/>
      <c r="U102" s="198"/>
    </row>
    <row r="103" spans="1:33" s="12" customFormat="1" x14ac:dyDescent="0.25">
      <c r="A103" s="211" t="s">
        <v>1781</v>
      </c>
      <c r="B103" s="64">
        <v>7.76</v>
      </c>
      <c r="C103" s="64">
        <v>52.72</v>
      </c>
      <c r="D103" s="64">
        <v>35.96</v>
      </c>
      <c r="E103" s="64">
        <v>7.3</v>
      </c>
      <c r="F103" s="64">
        <v>15.11</v>
      </c>
      <c r="G103" s="64">
        <v>47.8</v>
      </c>
      <c r="H103" s="64">
        <v>26.77</v>
      </c>
      <c r="I103" s="64">
        <v>0.66</v>
      </c>
      <c r="J103" s="64">
        <v>0.09</v>
      </c>
      <c r="K103" s="64">
        <v>247.28</v>
      </c>
      <c r="L103" s="64">
        <v>28.89</v>
      </c>
      <c r="M103" s="64">
        <v>30.54</v>
      </c>
      <c r="N103" s="64">
        <v>4.7</v>
      </c>
      <c r="O103" s="64">
        <v>0</v>
      </c>
      <c r="P103" s="64">
        <v>0.95</v>
      </c>
      <c r="Q103" s="64">
        <v>21.93</v>
      </c>
      <c r="R103" s="198"/>
      <c r="S103" s="198"/>
      <c r="T103" s="198"/>
      <c r="U103" s="198"/>
    </row>
    <row r="104" spans="1:33" s="12" customFormat="1" x14ac:dyDescent="0.25">
      <c r="A104" s="211" t="s">
        <v>1782</v>
      </c>
      <c r="B104" s="64">
        <v>9.99</v>
      </c>
      <c r="C104" s="64">
        <v>41.66</v>
      </c>
      <c r="D104" s="64">
        <v>31.64</v>
      </c>
      <c r="E104" s="64">
        <v>3.4</v>
      </c>
      <c r="F104" s="64">
        <v>13.97</v>
      </c>
      <c r="G104" s="64">
        <v>44.2</v>
      </c>
      <c r="H104" s="64">
        <v>26.77</v>
      </c>
      <c r="I104" s="64">
        <v>0.63</v>
      </c>
      <c r="J104" s="64">
        <v>0.41</v>
      </c>
      <c r="K104" s="64">
        <v>261.39</v>
      </c>
      <c r="L104" s="64">
        <v>28.55</v>
      </c>
      <c r="M104" s="64">
        <v>33.21</v>
      </c>
      <c r="N104" s="64">
        <v>4.8</v>
      </c>
      <c r="O104" s="64">
        <v>0</v>
      </c>
      <c r="P104" s="64">
        <v>1</v>
      </c>
      <c r="Q104" s="64">
        <v>22.69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32.409999999999997</v>
      </c>
      <c r="D106" s="67">
        <f t="shared" ref="D106:Q106" si="0">MIN(D9:D104)</f>
        <v>19.329999999999998</v>
      </c>
      <c r="E106" s="67">
        <f t="shared" si="0"/>
        <v>0.73</v>
      </c>
      <c r="F106" s="67">
        <f t="shared" si="0"/>
        <v>3.5</v>
      </c>
      <c r="G106" s="67">
        <f t="shared" si="0"/>
        <v>38.75</v>
      </c>
      <c r="H106" s="67">
        <f t="shared" si="0"/>
        <v>18.489999999999998</v>
      </c>
      <c r="I106" s="67">
        <f t="shared" si="0"/>
        <v>0.25</v>
      </c>
      <c r="J106" s="67">
        <f t="shared" si="0"/>
        <v>0.02</v>
      </c>
      <c r="K106" s="67">
        <f t="shared" si="0"/>
        <v>22.69</v>
      </c>
      <c r="L106" s="67">
        <f t="shared" si="0"/>
        <v>25.34</v>
      </c>
      <c r="M106" s="67">
        <f t="shared" si="0"/>
        <v>16.63</v>
      </c>
      <c r="N106" s="67">
        <f t="shared" si="0"/>
        <v>4.2</v>
      </c>
      <c r="O106" s="67">
        <f t="shared" si="0"/>
        <v>0</v>
      </c>
      <c r="P106" s="67">
        <f t="shared" si="0"/>
        <v>0.36</v>
      </c>
      <c r="Q106" s="67">
        <f t="shared" si="0"/>
        <v>16.07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67.5</v>
      </c>
      <c r="C107" s="66">
        <f t="shared" ref="C107:Q107" si="1">MAX(C9:C104)</f>
        <v>87.36</v>
      </c>
      <c r="D107" s="66">
        <f t="shared" si="1"/>
        <v>90.52</v>
      </c>
      <c r="E107" s="66">
        <f t="shared" si="1"/>
        <v>20.7</v>
      </c>
      <c r="F107" s="66">
        <f t="shared" si="1"/>
        <v>57.58</v>
      </c>
      <c r="G107" s="66">
        <f t="shared" si="1"/>
        <v>105.89</v>
      </c>
      <c r="H107" s="66">
        <f t="shared" si="1"/>
        <v>39.880000000000003</v>
      </c>
      <c r="I107" s="66">
        <f t="shared" si="1"/>
        <v>1.04</v>
      </c>
      <c r="J107" s="66">
        <f t="shared" si="1"/>
        <v>0.63</v>
      </c>
      <c r="K107" s="66">
        <f t="shared" si="1"/>
        <v>335.03</v>
      </c>
      <c r="L107" s="66">
        <f t="shared" si="1"/>
        <v>40.97</v>
      </c>
      <c r="M107" s="66">
        <f t="shared" si="1"/>
        <v>49.67</v>
      </c>
      <c r="N107" s="66">
        <f t="shared" si="1"/>
        <v>895.6</v>
      </c>
      <c r="O107" s="66">
        <f t="shared" si="1"/>
        <v>0</v>
      </c>
      <c r="P107" s="66">
        <f t="shared" si="1"/>
        <v>2.19</v>
      </c>
      <c r="Q107" s="66">
        <f t="shared" si="1"/>
        <v>33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11.848541666666664</v>
      </c>
      <c r="C108" s="67">
        <f t="shared" ref="C108:Q108" si="2">AVERAGE(C9:C104)</f>
        <v>48.523541666666659</v>
      </c>
      <c r="D108" s="67">
        <f t="shared" si="2"/>
        <v>36.904895833333335</v>
      </c>
      <c r="E108" s="67">
        <f t="shared" si="2"/>
        <v>5.3351041666666674</v>
      </c>
      <c r="F108" s="67">
        <f t="shared" si="2"/>
        <v>13.336041666666667</v>
      </c>
      <c r="G108" s="67">
        <f t="shared" si="2"/>
        <v>65.246770833333343</v>
      </c>
      <c r="H108" s="67">
        <f t="shared" si="2"/>
        <v>29.473749999999999</v>
      </c>
      <c r="I108" s="67">
        <f t="shared" si="2"/>
        <v>0.63193181818181832</v>
      </c>
      <c r="J108" s="67">
        <f t="shared" si="2"/>
        <v>0.17135416666666667</v>
      </c>
      <c r="K108" s="67">
        <f t="shared" si="2"/>
        <v>238.29114583333327</v>
      </c>
      <c r="L108" s="67">
        <f t="shared" si="2"/>
        <v>32.44583333333334</v>
      </c>
      <c r="M108" s="67">
        <f t="shared" si="2"/>
        <v>29.690937500000004</v>
      </c>
      <c r="N108" s="67">
        <f t="shared" si="2"/>
        <v>225.80937500000007</v>
      </c>
      <c r="O108" s="67">
        <f t="shared" si="2"/>
        <v>0</v>
      </c>
      <c r="P108" s="67">
        <f t="shared" si="2"/>
        <v>0.9596874999999998</v>
      </c>
      <c r="Q108" s="67">
        <f t="shared" si="2"/>
        <v>25.920520833333338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12.408078012171764</v>
      </c>
      <c r="C109" s="67">
        <f t="shared" ref="C109:Q109" si="3">STDEV(C9:C104)</f>
        <v>12.290565913840458</v>
      </c>
      <c r="D109" s="67">
        <f t="shared" si="3"/>
        <v>15.011154869474607</v>
      </c>
      <c r="E109" s="67">
        <f t="shared" si="3"/>
        <v>4.4292520444478649</v>
      </c>
      <c r="F109" s="67">
        <f t="shared" si="3"/>
        <v>8.8920493735360875</v>
      </c>
      <c r="G109" s="67">
        <f t="shared" si="3"/>
        <v>15.491305914492939</v>
      </c>
      <c r="H109" s="67">
        <f t="shared" si="3"/>
        <v>7.0678580467084675</v>
      </c>
      <c r="I109" s="67">
        <f t="shared" si="3"/>
        <v>0.11648943471943597</v>
      </c>
      <c r="J109" s="67">
        <f t="shared" si="3"/>
        <v>0.13017089812741645</v>
      </c>
      <c r="K109" s="67">
        <f t="shared" si="3"/>
        <v>81.634684719178125</v>
      </c>
      <c r="L109" s="67">
        <f t="shared" si="3"/>
        <v>4.9728917070276095</v>
      </c>
      <c r="M109" s="67">
        <f t="shared" si="3"/>
        <v>10.560024329928593</v>
      </c>
      <c r="N109" s="67">
        <f t="shared" si="3"/>
        <v>309.57857469660934</v>
      </c>
      <c r="O109" s="67">
        <f t="shared" si="3"/>
        <v>0</v>
      </c>
      <c r="P109" s="67">
        <f t="shared" si="3"/>
        <v>0.36774262488579607</v>
      </c>
      <c r="Q109" s="67">
        <f t="shared" si="3"/>
        <v>3.6733513651967598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COUNT(I9:I104)+8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36" sqref="F13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1783</v>
      </c>
      <c r="B9" s="64">
        <v>12.43</v>
      </c>
      <c r="C9" s="64">
        <v>39.72</v>
      </c>
      <c r="D9" s="64">
        <v>32.54</v>
      </c>
      <c r="E9" s="64">
        <v>4.08</v>
      </c>
      <c r="F9" s="64">
        <v>9.2100000000000009</v>
      </c>
      <c r="G9" s="64">
        <v>44.2</v>
      </c>
      <c r="H9" s="64">
        <v>26.77</v>
      </c>
      <c r="I9" s="64">
        <v>0.61</v>
      </c>
      <c r="J9" s="64">
        <v>0.24</v>
      </c>
      <c r="K9" s="64">
        <v>263.72000000000003</v>
      </c>
      <c r="L9" s="64">
        <v>28.25</v>
      </c>
      <c r="M9" s="64">
        <v>32.869999999999997</v>
      </c>
      <c r="N9" s="64">
        <v>4.8</v>
      </c>
      <c r="O9" s="64">
        <v>0</v>
      </c>
      <c r="P9" s="64">
        <v>1.1100000000000001</v>
      </c>
      <c r="Q9" s="64">
        <v>22.06</v>
      </c>
      <c r="R9" s="198"/>
      <c r="S9" s="198"/>
      <c r="T9" s="198"/>
      <c r="U9" s="198"/>
    </row>
    <row r="10" spans="1:21" s="12" customFormat="1" x14ac:dyDescent="0.25">
      <c r="A10" s="211" t="s">
        <v>1784</v>
      </c>
      <c r="B10" s="64">
        <v>10.07</v>
      </c>
      <c r="C10" s="64">
        <v>44.51</v>
      </c>
      <c r="D10" s="64">
        <v>33.29</v>
      </c>
      <c r="E10" s="64">
        <v>3.88</v>
      </c>
      <c r="F10" s="64">
        <v>10.39</v>
      </c>
      <c r="G10" s="64">
        <v>44.2</v>
      </c>
      <c r="H10" s="64">
        <v>26.77</v>
      </c>
      <c r="I10" s="64">
        <v>0.69</v>
      </c>
      <c r="J10" s="64">
        <v>0.17</v>
      </c>
      <c r="K10" s="64">
        <v>265.45999999999998</v>
      </c>
      <c r="L10" s="64">
        <v>28.3</v>
      </c>
      <c r="M10" s="64">
        <v>32.43</v>
      </c>
      <c r="N10" s="64">
        <v>4.9000000000000004</v>
      </c>
      <c r="O10" s="64">
        <v>0</v>
      </c>
      <c r="P10" s="64">
        <v>1</v>
      </c>
      <c r="Q10" s="64">
        <v>21.5</v>
      </c>
      <c r="R10" s="198"/>
      <c r="S10" s="198"/>
      <c r="T10" s="198"/>
      <c r="U10" s="198"/>
    </row>
    <row r="11" spans="1:21" s="12" customFormat="1" x14ac:dyDescent="0.25">
      <c r="A11" s="211" t="s">
        <v>1785</v>
      </c>
      <c r="B11" s="64">
        <v>9.6300000000000008</v>
      </c>
      <c r="C11" s="64">
        <v>49.75</v>
      </c>
      <c r="D11" s="64">
        <v>35.83</v>
      </c>
      <c r="E11" s="64">
        <v>5.53</v>
      </c>
      <c r="F11" s="64">
        <v>9.4600000000000009</v>
      </c>
      <c r="G11" s="212" t="s">
        <v>43</v>
      </c>
      <c r="H11" s="212" t="s">
        <v>43</v>
      </c>
      <c r="I11" s="64">
        <v>0.68</v>
      </c>
      <c r="J11" s="64">
        <v>0.14000000000000001</v>
      </c>
      <c r="K11" s="64">
        <v>262.66000000000003</v>
      </c>
      <c r="L11" s="64">
        <v>28.13</v>
      </c>
      <c r="M11" s="64">
        <v>32.729999999999997</v>
      </c>
      <c r="N11" s="64">
        <v>5.0999999999999996</v>
      </c>
      <c r="O11" s="64">
        <v>0</v>
      </c>
      <c r="P11" s="64">
        <v>0.89</v>
      </c>
      <c r="Q11" s="64">
        <v>20.420000000000002</v>
      </c>
      <c r="R11" s="198"/>
      <c r="S11" s="198"/>
      <c r="T11" s="198"/>
      <c r="U11" s="198"/>
    </row>
    <row r="12" spans="1:21" s="12" customFormat="1" x14ac:dyDescent="0.25">
      <c r="A12" s="211" t="s">
        <v>1786</v>
      </c>
      <c r="B12" s="64">
        <v>7.31</v>
      </c>
      <c r="C12" s="64">
        <v>47.07</v>
      </c>
      <c r="D12" s="64">
        <v>32.49</v>
      </c>
      <c r="E12" s="64">
        <v>7.12</v>
      </c>
      <c r="F12" s="64">
        <v>13.56</v>
      </c>
      <c r="G12" s="212" t="s">
        <v>43</v>
      </c>
      <c r="H12" s="212" t="s">
        <v>43</v>
      </c>
      <c r="I12" s="64">
        <v>0.64</v>
      </c>
      <c r="J12" s="64">
        <v>0.1</v>
      </c>
      <c r="K12" s="64">
        <v>265.2</v>
      </c>
      <c r="L12" s="64">
        <v>27.84</v>
      </c>
      <c r="M12" s="64">
        <v>33.78</v>
      </c>
      <c r="N12" s="64">
        <v>5.4</v>
      </c>
      <c r="O12" s="64">
        <v>0</v>
      </c>
      <c r="P12" s="64">
        <v>0.81</v>
      </c>
      <c r="Q12" s="64">
        <v>20.12</v>
      </c>
      <c r="R12" s="198"/>
      <c r="S12" s="198"/>
      <c r="T12" s="198"/>
      <c r="U12" s="198"/>
    </row>
    <row r="13" spans="1:21" s="12" customFormat="1" x14ac:dyDescent="0.25">
      <c r="A13" s="211" t="s">
        <v>1787</v>
      </c>
      <c r="B13" s="64">
        <v>4.9800000000000004</v>
      </c>
      <c r="C13" s="64">
        <v>42.49</v>
      </c>
      <c r="D13" s="64">
        <v>28.09</v>
      </c>
      <c r="E13" s="64">
        <v>8.5299999999999994</v>
      </c>
      <c r="F13" s="64">
        <v>16.670000000000002</v>
      </c>
      <c r="G13" s="212" t="s">
        <v>43</v>
      </c>
      <c r="H13" s="212" t="s">
        <v>43</v>
      </c>
      <c r="I13" s="64">
        <v>0.62</v>
      </c>
      <c r="J13" s="64">
        <v>0.18</v>
      </c>
      <c r="K13" s="64">
        <v>273.99</v>
      </c>
      <c r="L13" s="64">
        <v>27.52</v>
      </c>
      <c r="M13" s="64">
        <v>34.96</v>
      </c>
      <c r="N13" s="64">
        <v>5.2</v>
      </c>
      <c r="O13" s="64">
        <v>0</v>
      </c>
      <c r="P13" s="64">
        <v>0.64</v>
      </c>
      <c r="Q13" s="64">
        <v>20.28</v>
      </c>
      <c r="R13" s="198"/>
      <c r="S13" s="198"/>
      <c r="T13" s="198"/>
      <c r="U13" s="198"/>
    </row>
    <row r="14" spans="1:21" s="12" customFormat="1" x14ac:dyDescent="0.25">
      <c r="A14" s="211" t="s">
        <v>1788</v>
      </c>
      <c r="B14" s="64">
        <v>4.54</v>
      </c>
      <c r="C14" s="64">
        <v>36.92</v>
      </c>
      <c r="D14" s="64">
        <v>24.67</v>
      </c>
      <c r="E14" s="64">
        <v>8.14</v>
      </c>
      <c r="F14" s="64">
        <v>18.82</v>
      </c>
      <c r="G14" s="212" t="s">
        <v>43</v>
      </c>
      <c r="H14" s="212" t="s">
        <v>43</v>
      </c>
      <c r="I14" s="64">
        <v>0.6</v>
      </c>
      <c r="J14" s="64">
        <v>0.15</v>
      </c>
      <c r="K14" s="64">
        <v>261.33</v>
      </c>
      <c r="L14" s="64">
        <v>27.14</v>
      </c>
      <c r="M14" s="64">
        <v>36.380000000000003</v>
      </c>
      <c r="N14" s="64">
        <v>5.3</v>
      </c>
      <c r="O14" s="64">
        <v>0</v>
      </c>
      <c r="P14" s="64">
        <v>0.65</v>
      </c>
      <c r="Q14" s="64">
        <v>20.36</v>
      </c>
      <c r="R14" s="198"/>
      <c r="S14" s="198"/>
      <c r="T14" s="198"/>
      <c r="U14" s="198"/>
    </row>
    <row r="15" spans="1:21" s="12" customFormat="1" x14ac:dyDescent="0.25">
      <c r="A15" s="211" t="s">
        <v>1789</v>
      </c>
      <c r="B15" s="64">
        <v>4.47</v>
      </c>
      <c r="C15" s="64">
        <v>37.090000000000003</v>
      </c>
      <c r="D15" s="64">
        <v>24.7</v>
      </c>
      <c r="E15" s="64">
        <v>7.59</v>
      </c>
      <c r="F15" s="64">
        <v>16.78</v>
      </c>
      <c r="G15" s="64">
        <v>119.02</v>
      </c>
      <c r="H15" s="64">
        <v>26.64</v>
      </c>
      <c r="I15" s="64">
        <v>0.59</v>
      </c>
      <c r="J15" s="64">
        <v>0.1</v>
      </c>
      <c r="K15" s="64">
        <v>254.8</v>
      </c>
      <c r="L15" s="64">
        <v>26.8</v>
      </c>
      <c r="M15" s="64">
        <v>38.58</v>
      </c>
      <c r="N15" s="64">
        <v>5.3</v>
      </c>
      <c r="O15" s="64">
        <v>0</v>
      </c>
      <c r="P15" s="64">
        <v>0.6</v>
      </c>
      <c r="Q15" s="64">
        <v>20.010000000000002</v>
      </c>
      <c r="R15" s="198"/>
      <c r="S15" s="198"/>
      <c r="T15" s="198"/>
      <c r="U15" s="198"/>
    </row>
    <row r="16" spans="1:21" s="12" customFormat="1" x14ac:dyDescent="0.25">
      <c r="A16" s="211" t="s">
        <v>1790</v>
      </c>
      <c r="B16" s="64">
        <v>3.32</v>
      </c>
      <c r="C16" s="64">
        <v>37.630000000000003</v>
      </c>
      <c r="D16" s="64">
        <v>24.07</v>
      </c>
      <c r="E16" s="64">
        <v>6.85</v>
      </c>
      <c r="F16" s="64">
        <v>17.21</v>
      </c>
      <c r="G16" s="64">
        <v>132.21</v>
      </c>
      <c r="H16" s="64">
        <v>26.64</v>
      </c>
      <c r="I16" s="64">
        <v>0.6</v>
      </c>
      <c r="J16" s="64">
        <v>0.09</v>
      </c>
      <c r="K16" s="64">
        <v>250.69</v>
      </c>
      <c r="L16" s="64">
        <v>27.16</v>
      </c>
      <c r="M16" s="64">
        <v>35.869999999999997</v>
      </c>
      <c r="N16" s="64">
        <v>4.9000000000000004</v>
      </c>
      <c r="O16" s="64">
        <v>0</v>
      </c>
      <c r="P16" s="64">
        <v>0.53</v>
      </c>
      <c r="Q16" s="64">
        <v>19.66</v>
      </c>
      <c r="R16" s="198"/>
      <c r="S16" s="198"/>
      <c r="T16" s="198"/>
      <c r="U16" s="198"/>
    </row>
    <row r="17" spans="1:21" s="12" customFormat="1" x14ac:dyDescent="0.25">
      <c r="A17" s="211" t="s">
        <v>1791</v>
      </c>
      <c r="B17" s="64">
        <v>2.56</v>
      </c>
      <c r="C17" s="64">
        <v>37.56</v>
      </c>
      <c r="D17" s="64">
        <v>23.43</v>
      </c>
      <c r="E17" s="64">
        <v>6.41</v>
      </c>
      <c r="F17" s="64">
        <v>18.649999999999999</v>
      </c>
      <c r="G17" s="64">
        <v>132.21</v>
      </c>
      <c r="H17" s="64">
        <v>26.64</v>
      </c>
      <c r="I17" s="64">
        <v>0.57999999999999996</v>
      </c>
      <c r="J17" s="64">
        <v>7.0000000000000007E-2</v>
      </c>
      <c r="K17" s="64">
        <v>246.78</v>
      </c>
      <c r="L17" s="64">
        <v>27.08</v>
      </c>
      <c r="M17" s="64">
        <v>36.25</v>
      </c>
      <c r="N17" s="64">
        <v>5.2</v>
      </c>
      <c r="O17" s="64">
        <v>0</v>
      </c>
      <c r="P17" s="64">
        <v>0.49</v>
      </c>
      <c r="Q17" s="64">
        <v>19.260000000000002</v>
      </c>
      <c r="R17" s="198"/>
      <c r="S17" s="198"/>
      <c r="T17" s="198"/>
      <c r="U17" s="198"/>
    </row>
    <row r="18" spans="1:21" s="12" customFormat="1" x14ac:dyDescent="0.25">
      <c r="A18" s="211" t="s">
        <v>1792</v>
      </c>
      <c r="B18" s="64">
        <v>1.97</v>
      </c>
      <c r="C18" s="64">
        <v>36.07</v>
      </c>
      <c r="D18" s="64">
        <v>22.13</v>
      </c>
      <c r="E18" s="64">
        <v>5.63</v>
      </c>
      <c r="F18" s="64">
        <v>19.829999999999998</v>
      </c>
      <c r="G18" s="64">
        <v>132.21</v>
      </c>
      <c r="H18" s="64">
        <v>26.64</v>
      </c>
      <c r="I18" s="64">
        <v>0.55000000000000004</v>
      </c>
      <c r="J18" s="64">
        <v>0.14000000000000001</v>
      </c>
      <c r="K18" s="64">
        <v>260.07</v>
      </c>
      <c r="L18" s="64">
        <v>26.96</v>
      </c>
      <c r="M18" s="64">
        <v>38.5</v>
      </c>
      <c r="N18" s="64">
        <v>5.4</v>
      </c>
      <c r="O18" s="64">
        <v>0</v>
      </c>
      <c r="P18" s="64">
        <v>0.41</v>
      </c>
      <c r="Q18" s="64">
        <v>20.28</v>
      </c>
      <c r="R18" s="198"/>
      <c r="S18" s="198"/>
      <c r="T18" s="198"/>
      <c r="U18" s="198"/>
    </row>
    <row r="19" spans="1:21" s="12" customFormat="1" x14ac:dyDescent="0.25">
      <c r="A19" s="211" t="s">
        <v>1793</v>
      </c>
      <c r="B19" s="64">
        <v>2.14</v>
      </c>
      <c r="C19" s="64">
        <v>41.43</v>
      </c>
      <c r="D19" s="64">
        <v>25.23</v>
      </c>
      <c r="E19" s="64">
        <v>3.1</v>
      </c>
      <c r="F19" s="64">
        <v>10.42</v>
      </c>
      <c r="G19" s="64">
        <v>16.16</v>
      </c>
      <c r="H19" s="64">
        <v>25.82</v>
      </c>
      <c r="I19" s="64">
        <v>0.56000000000000005</v>
      </c>
      <c r="J19" s="64">
        <v>0.14000000000000001</v>
      </c>
      <c r="K19" s="64">
        <v>238.64</v>
      </c>
      <c r="L19" s="64">
        <v>26.49</v>
      </c>
      <c r="M19" s="64">
        <v>41.17</v>
      </c>
      <c r="N19" s="64">
        <v>5.2</v>
      </c>
      <c r="O19" s="64">
        <v>0</v>
      </c>
      <c r="P19" s="64">
        <v>0.48</v>
      </c>
      <c r="Q19" s="64">
        <v>20.07</v>
      </c>
      <c r="R19" s="198"/>
      <c r="S19" s="198"/>
      <c r="T19" s="198"/>
      <c r="U19" s="198"/>
    </row>
    <row r="20" spans="1:21" s="12" customFormat="1" x14ac:dyDescent="0.25">
      <c r="A20" s="211" t="s">
        <v>1794</v>
      </c>
      <c r="B20" s="64">
        <v>1.89</v>
      </c>
      <c r="C20" s="64">
        <v>37.979999999999997</v>
      </c>
      <c r="D20" s="64">
        <v>23.12</v>
      </c>
      <c r="E20" s="64">
        <v>2.98</v>
      </c>
      <c r="F20" s="64">
        <v>13.82</v>
      </c>
      <c r="G20" s="214" t="s">
        <v>42</v>
      </c>
      <c r="H20" s="64">
        <v>25.82</v>
      </c>
      <c r="I20" s="64">
        <v>0.55000000000000004</v>
      </c>
      <c r="J20" s="64">
        <v>0.23</v>
      </c>
      <c r="K20" s="64">
        <v>233.06</v>
      </c>
      <c r="L20" s="64">
        <v>26.59</v>
      </c>
      <c r="M20" s="64">
        <v>38.590000000000003</v>
      </c>
      <c r="N20" s="64">
        <v>4.7</v>
      </c>
      <c r="O20" s="64">
        <v>0</v>
      </c>
      <c r="P20" s="64">
        <v>0.55000000000000004</v>
      </c>
      <c r="Q20" s="64">
        <v>20.21</v>
      </c>
      <c r="R20" s="198"/>
      <c r="S20" s="198"/>
      <c r="T20" s="198"/>
      <c r="U20" s="198"/>
    </row>
    <row r="21" spans="1:21" s="12" customFormat="1" x14ac:dyDescent="0.25">
      <c r="A21" s="211" t="s">
        <v>1795</v>
      </c>
      <c r="B21" s="64">
        <v>1.88</v>
      </c>
      <c r="C21" s="64">
        <v>35.200000000000003</v>
      </c>
      <c r="D21" s="64">
        <v>21.58</v>
      </c>
      <c r="E21" s="64">
        <v>2.64</v>
      </c>
      <c r="F21" s="64">
        <v>13.61</v>
      </c>
      <c r="G21" s="214" t="s">
        <v>42</v>
      </c>
      <c r="H21" s="64">
        <v>25.82</v>
      </c>
      <c r="I21" s="64">
        <v>0.56000000000000005</v>
      </c>
      <c r="J21" s="64">
        <v>0.1</v>
      </c>
      <c r="K21" s="64">
        <v>265.62</v>
      </c>
      <c r="L21" s="64">
        <v>26.21</v>
      </c>
      <c r="M21" s="64">
        <v>39.950000000000003</v>
      </c>
      <c r="N21" s="64">
        <v>5.4</v>
      </c>
      <c r="O21" s="64">
        <v>0</v>
      </c>
      <c r="P21" s="64">
        <v>0.54</v>
      </c>
      <c r="Q21" s="64">
        <v>20.260000000000002</v>
      </c>
      <c r="R21" s="198"/>
      <c r="S21" s="198"/>
      <c r="T21" s="198"/>
      <c r="U21" s="198"/>
    </row>
    <row r="22" spans="1:21" s="12" customFormat="1" x14ac:dyDescent="0.25">
      <c r="A22" s="211" t="s">
        <v>1796</v>
      </c>
      <c r="B22" s="64">
        <v>6.29</v>
      </c>
      <c r="C22" s="64">
        <v>40.75</v>
      </c>
      <c r="D22" s="64">
        <v>28.18</v>
      </c>
      <c r="E22" s="64">
        <v>2.4700000000000002</v>
      </c>
      <c r="F22" s="64">
        <v>8.4499999999999993</v>
      </c>
      <c r="G22" s="214" t="s">
        <v>42</v>
      </c>
      <c r="H22" s="64">
        <v>25.82</v>
      </c>
      <c r="I22" s="64">
        <v>0.56000000000000005</v>
      </c>
      <c r="J22" s="64">
        <v>0.19</v>
      </c>
      <c r="K22" s="64">
        <v>260.98</v>
      </c>
      <c r="L22" s="64">
        <v>25.87</v>
      </c>
      <c r="M22" s="64">
        <v>44.77</v>
      </c>
      <c r="N22" s="64">
        <v>5.4</v>
      </c>
      <c r="O22" s="64">
        <v>0</v>
      </c>
      <c r="P22" s="64">
        <v>0.57999999999999996</v>
      </c>
      <c r="Q22" s="64">
        <v>19.739999999999998</v>
      </c>
      <c r="R22" s="198"/>
      <c r="S22" s="198"/>
      <c r="T22" s="198"/>
      <c r="U22" s="198"/>
    </row>
    <row r="23" spans="1:21" s="12" customFormat="1" x14ac:dyDescent="0.25">
      <c r="A23" s="211" t="s">
        <v>1797</v>
      </c>
      <c r="B23" s="64">
        <v>7.2</v>
      </c>
      <c r="C23" s="64">
        <v>41.41</v>
      </c>
      <c r="D23" s="64">
        <v>29.27</v>
      </c>
      <c r="E23" s="64">
        <v>2.89</v>
      </c>
      <c r="F23" s="64">
        <v>6.33</v>
      </c>
      <c r="G23" s="64">
        <v>100.18</v>
      </c>
      <c r="H23" s="64">
        <v>23.6</v>
      </c>
      <c r="I23" s="64">
        <v>0.57999999999999996</v>
      </c>
      <c r="J23" s="64">
        <v>0.15</v>
      </c>
      <c r="K23" s="64">
        <v>259.79000000000002</v>
      </c>
      <c r="L23" s="64">
        <v>25.62</v>
      </c>
      <c r="M23" s="64">
        <v>45.75</v>
      </c>
      <c r="N23" s="64">
        <v>5.6</v>
      </c>
      <c r="O23" s="64">
        <v>0</v>
      </c>
      <c r="P23" s="64">
        <v>0.64</v>
      </c>
      <c r="Q23" s="64">
        <v>19.68</v>
      </c>
      <c r="R23" s="198"/>
      <c r="S23" s="198"/>
      <c r="T23" s="198"/>
      <c r="U23" s="198"/>
    </row>
    <row r="24" spans="1:21" s="12" customFormat="1" x14ac:dyDescent="0.25">
      <c r="A24" s="211" t="s">
        <v>1798</v>
      </c>
      <c r="B24" s="64">
        <v>3.89</v>
      </c>
      <c r="C24" s="64">
        <v>41.25</v>
      </c>
      <c r="D24" s="64">
        <v>26.53</v>
      </c>
      <c r="E24" s="64">
        <v>3.23</v>
      </c>
      <c r="F24" s="64">
        <v>7.25</v>
      </c>
      <c r="G24" s="64">
        <v>114.13</v>
      </c>
      <c r="H24" s="64">
        <v>23.6</v>
      </c>
      <c r="I24" s="64">
        <v>0.6</v>
      </c>
      <c r="J24" s="64">
        <v>0.12</v>
      </c>
      <c r="K24" s="64">
        <v>74.86</v>
      </c>
      <c r="L24" s="64">
        <v>25.81</v>
      </c>
      <c r="M24" s="64">
        <v>43.65</v>
      </c>
      <c r="N24" s="64">
        <v>5</v>
      </c>
      <c r="O24" s="64">
        <v>0</v>
      </c>
      <c r="P24" s="64">
        <v>0.7</v>
      </c>
      <c r="Q24" s="64">
        <v>19.96</v>
      </c>
      <c r="R24" s="198"/>
      <c r="S24" s="198"/>
      <c r="T24" s="198"/>
      <c r="U24" s="198"/>
    </row>
    <row r="25" spans="1:21" s="12" customFormat="1" x14ac:dyDescent="0.25">
      <c r="A25" s="211" t="s">
        <v>1799</v>
      </c>
      <c r="B25" s="64">
        <v>12.59</v>
      </c>
      <c r="C25" s="64">
        <v>43.87</v>
      </c>
      <c r="D25" s="64">
        <v>34.96</v>
      </c>
      <c r="E25" s="64">
        <v>5.91</v>
      </c>
      <c r="F25" s="64">
        <v>6.85</v>
      </c>
      <c r="G25" s="64">
        <v>114.13</v>
      </c>
      <c r="H25" s="64">
        <v>23.6</v>
      </c>
      <c r="I25" s="64">
        <v>0.57999999999999996</v>
      </c>
      <c r="J25" s="64">
        <v>0.15</v>
      </c>
      <c r="K25" s="64">
        <v>252.06</v>
      </c>
      <c r="L25" s="64">
        <v>26.04</v>
      </c>
      <c r="M25" s="64">
        <v>44.44</v>
      </c>
      <c r="N25" s="64">
        <v>5.2</v>
      </c>
      <c r="O25" s="64">
        <v>0</v>
      </c>
      <c r="P25" s="64">
        <v>0.79</v>
      </c>
      <c r="Q25" s="64">
        <v>19.54</v>
      </c>
      <c r="R25" s="198"/>
      <c r="S25" s="198"/>
      <c r="T25" s="198"/>
      <c r="U25" s="198"/>
    </row>
    <row r="26" spans="1:21" s="12" customFormat="1" x14ac:dyDescent="0.25">
      <c r="A26" s="211" t="s">
        <v>1800</v>
      </c>
      <c r="B26" s="64">
        <v>19.25</v>
      </c>
      <c r="C26" s="64">
        <v>45.39</v>
      </c>
      <c r="D26" s="64">
        <v>41.13</v>
      </c>
      <c r="E26" s="64">
        <v>5.78</v>
      </c>
      <c r="F26" s="64">
        <v>4.1100000000000003</v>
      </c>
      <c r="G26" s="64">
        <v>114.13</v>
      </c>
      <c r="H26" s="64">
        <v>23.6</v>
      </c>
      <c r="I26" s="64">
        <v>0.6</v>
      </c>
      <c r="J26" s="64">
        <v>0.1</v>
      </c>
      <c r="K26" s="64">
        <v>288.31</v>
      </c>
      <c r="L26" s="64">
        <v>25.9</v>
      </c>
      <c r="M26" s="64">
        <v>47.65</v>
      </c>
      <c r="N26" s="64">
        <v>5.5</v>
      </c>
      <c r="O26" s="64">
        <v>0</v>
      </c>
      <c r="P26" s="64">
        <v>0.94</v>
      </c>
      <c r="Q26" s="64">
        <v>18.670000000000002</v>
      </c>
      <c r="R26" s="198"/>
      <c r="S26" s="198"/>
      <c r="T26" s="198"/>
      <c r="U26" s="198"/>
    </row>
    <row r="27" spans="1:21" s="12" customFormat="1" x14ac:dyDescent="0.25">
      <c r="A27" s="211" t="s">
        <v>1801</v>
      </c>
      <c r="B27" s="64">
        <v>34.31</v>
      </c>
      <c r="C27" s="64">
        <v>48.69</v>
      </c>
      <c r="D27" s="64">
        <v>55.03</v>
      </c>
      <c r="E27" s="64">
        <v>5.0999999999999996</v>
      </c>
      <c r="F27" s="64">
        <v>3.35</v>
      </c>
      <c r="G27" s="64">
        <v>96.33</v>
      </c>
      <c r="H27" s="64">
        <v>28.2</v>
      </c>
      <c r="I27" s="64">
        <v>0.6</v>
      </c>
      <c r="J27" s="64">
        <v>0.15</v>
      </c>
      <c r="K27" s="64">
        <v>265.89999999999998</v>
      </c>
      <c r="L27" s="64">
        <v>25.45</v>
      </c>
      <c r="M27" s="64">
        <v>49.99</v>
      </c>
      <c r="N27" s="64">
        <v>5.5</v>
      </c>
      <c r="O27" s="64">
        <v>0</v>
      </c>
      <c r="P27" s="64">
        <v>0.99</v>
      </c>
      <c r="Q27" s="64">
        <v>17.12</v>
      </c>
      <c r="R27" s="198"/>
      <c r="S27" s="198"/>
      <c r="T27" s="198"/>
      <c r="U27" s="198"/>
    </row>
    <row r="28" spans="1:21" s="12" customFormat="1" x14ac:dyDescent="0.25">
      <c r="A28" s="211" t="s">
        <v>1802</v>
      </c>
      <c r="B28" s="64">
        <v>28.77</v>
      </c>
      <c r="C28" s="64">
        <v>47.69</v>
      </c>
      <c r="D28" s="64">
        <v>50.03</v>
      </c>
      <c r="E28" s="64">
        <v>5.47</v>
      </c>
      <c r="F28" s="64">
        <v>3.33</v>
      </c>
      <c r="G28" s="64">
        <v>93.85</v>
      </c>
      <c r="H28" s="64">
        <v>28.2</v>
      </c>
      <c r="I28" s="64">
        <v>0.67</v>
      </c>
      <c r="J28" s="64">
        <v>0.15</v>
      </c>
      <c r="K28" s="64">
        <v>255.45</v>
      </c>
      <c r="L28" s="64">
        <v>25.44</v>
      </c>
      <c r="M28" s="64">
        <v>47.69</v>
      </c>
      <c r="N28" s="64">
        <v>5.2</v>
      </c>
      <c r="O28" s="64">
        <v>0</v>
      </c>
      <c r="P28" s="64">
        <v>0.88</v>
      </c>
      <c r="Q28" s="64">
        <v>17.600000000000001</v>
      </c>
      <c r="R28" s="198"/>
      <c r="S28" s="198"/>
      <c r="T28" s="198"/>
      <c r="U28" s="198"/>
    </row>
    <row r="29" spans="1:21" s="12" customFormat="1" x14ac:dyDescent="0.25">
      <c r="A29" s="211" t="s">
        <v>1803</v>
      </c>
      <c r="B29" s="64">
        <v>33.35</v>
      </c>
      <c r="C29" s="64">
        <v>50.01</v>
      </c>
      <c r="D29" s="64">
        <v>54.99</v>
      </c>
      <c r="E29" s="64">
        <v>6.51</v>
      </c>
      <c r="F29" s="64">
        <v>3.82</v>
      </c>
      <c r="G29" s="64">
        <v>93.85</v>
      </c>
      <c r="H29" s="64">
        <v>28.2</v>
      </c>
      <c r="I29" s="64">
        <v>0.66</v>
      </c>
      <c r="J29" s="64">
        <v>0.2</v>
      </c>
      <c r="K29" s="64">
        <v>246.61</v>
      </c>
      <c r="L29" s="64">
        <v>25.37</v>
      </c>
      <c r="M29" s="64">
        <v>46.11</v>
      </c>
      <c r="N29" s="64">
        <v>5.9</v>
      </c>
      <c r="O29" s="64">
        <v>0</v>
      </c>
      <c r="P29" s="64">
        <v>1.2</v>
      </c>
      <c r="Q29" s="64">
        <v>16.68</v>
      </c>
      <c r="R29" s="198"/>
      <c r="S29" s="198"/>
      <c r="T29" s="198"/>
      <c r="U29" s="198"/>
    </row>
    <row r="30" spans="1:21" s="12" customFormat="1" x14ac:dyDescent="0.25">
      <c r="A30" s="211" t="s">
        <v>1804</v>
      </c>
      <c r="B30" s="64">
        <v>11.24</v>
      </c>
      <c r="C30" s="64">
        <v>41.47</v>
      </c>
      <c r="D30" s="64">
        <v>32.549999999999997</v>
      </c>
      <c r="E30" s="64">
        <v>5.25</v>
      </c>
      <c r="F30" s="64">
        <v>5.24</v>
      </c>
      <c r="G30" s="64">
        <v>93.85</v>
      </c>
      <c r="H30" s="64">
        <v>28.2</v>
      </c>
      <c r="I30" s="64">
        <v>0.64</v>
      </c>
      <c r="J30" s="64">
        <v>0.48</v>
      </c>
      <c r="K30" s="64">
        <v>235.6</v>
      </c>
      <c r="L30" s="64">
        <v>25.88</v>
      </c>
      <c r="M30" s="64">
        <v>42.73</v>
      </c>
      <c r="N30" s="64">
        <v>8.8000000000000007</v>
      </c>
      <c r="O30" s="64">
        <v>0</v>
      </c>
      <c r="P30" s="64">
        <v>1.04</v>
      </c>
      <c r="Q30" s="64">
        <v>20.74</v>
      </c>
      <c r="R30" s="198"/>
      <c r="S30" s="198"/>
      <c r="T30" s="198"/>
      <c r="U30" s="198"/>
    </row>
    <row r="31" spans="1:21" s="12" customFormat="1" x14ac:dyDescent="0.25">
      <c r="A31" s="211" t="s">
        <v>1805</v>
      </c>
      <c r="B31" s="64">
        <v>10.52</v>
      </c>
      <c r="C31" s="64">
        <v>32.130000000000003</v>
      </c>
      <c r="D31" s="64">
        <v>26.81</v>
      </c>
      <c r="E31" s="64">
        <v>4.04</v>
      </c>
      <c r="F31" s="64">
        <v>9.77</v>
      </c>
      <c r="G31" s="64">
        <v>63.48</v>
      </c>
      <c r="H31" s="64">
        <v>32.64</v>
      </c>
      <c r="I31" s="64">
        <v>0.63</v>
      </c>
      <c r="J31" s="64">
        <v>0.21</v>
      </c>
      <c r="K31" s="64">
        <v>241.36</v>
      </c>
      <c r="L31" s="64">
        <v>25.49</v>
      </c>
      <c r="M31" s="64">
        <v>44.19</v>
      </c>
      <c r="N31" s="64">
        <v>21.5</v>
      </c>
      <c r="O31" s="64">
        <v>0</v>
      </c>
      <c r="P31" s="64">
        <v>0.87</v>
      </c>
      <c r="Q31" s="64">
        <v>21.28</v>
      </c>
      <c r="R31" s="198"/>
      <c r="S31" s="198"/>
      <c r="T31" s="198"/>
      <c r="U31" s="198"/>
    </row>
    <row r="32" spans="1:21" s="12" customFormat="1" x14ac:dyDescent="0.25">
      <c r="A32" s="211" t="s">
        <v>1806</v>
      </c>
      <c r="B32" s="64">
        <v>9.94</v>
      </c>
      <c r="C32" s="64">
        <v>35.53</v>
      </c>
      <c r="D32" s="64">
        <v>28.22</v>
      </c>
      <c r="E32" s="64">
        <v>3.4</v>
      </c>
      <c r="F32" s="64">
        <v>9.18</v>
      </c>
      <c r="G32" s="64">
        <v>59.25</v>
      </c>
      <c r="H32" s="64">
        <v>32.64</v>
      </c>
      <c r="I32" s="64">
        <v>0.61</v>
      </c>
      <c r="J32" s="64">
        <v>0.19</v>
      </c>
      <c r="K32" s="64">
        <v>224.1</v>
      </c>
      <c r="L32" s="64">
        <v>25.44</v>
      </c>
      <c r="M32" s="64">
        <v>45.39</v>
      </c>
      <c r="N32" s="64">
        <v>41</v>
      </c>
      <c r="O32" s="64">
        <v>0</v>
      </c>
      <c r="P32" s="64">
        <v>0.85</v>
      </c>
      <c r="Q32" s="64">
        <v>21.14</v>
      </c>
      <c r="R32" s="198"/>
      <c r="S32" s="198"/>
      <c r="T32" s="198"/>
      <c r="U32" s="198"/>
    </row>
    <row r="33" spans="1:21" s="12" customFormat="1" x14ac:dyDescent="0.25">
      <c r="A33" s="211" t="s">
        <v>1807</v>
      </c>
      <c r="B33" s="64">
        <v>10.99</v>
      </c>
      <c r="C33" s="64">
        <v>37.68</v>
      </c>
      <c r="D33" s="64">
        <v>30.25</v>
      </c>
      <c r="E33" s="64">
        <v>3.07</v>
      </c>
      <c r="F33" s="64">
        <v>10.7</v>
      </c>
      <c r="G33" s="64">
        <v>59.25</v>
      </c>
      <c r="H33" s="64">
        <v>32.64</v>
      </c>
      <c r="I33" s="64">
        <v>0.59</v>
      </c>
      <c r="J33" s="64">
        <v>0.15</v>
      </c>
      <c r="K33" s="64">
        <v>227.65</v>
      </c>
      <c r="L33" s="64">
        <v>25.95</v>
      </c>
      <c r="M33" s="64">
        <v>44.29</v>
      </c>
      <c r="N33" s="64">
        <v>75.900000000000006</v>
      </c>
      <c r="O33" s="64">
        <v>0</v>
      </c>
      <c r="P33" s="64">
        <v>0.85</v>
      </c>
      <c r="Q33" s="64">
        <v>21.17</v>
      </c>
      <c r="R33" s="198"/>
      <c r="S33" s="198"/>
      <c r="T33" s="198"/>
      <c r="U33" s="198"/>
    </row>
    <row r="34" spans="1:21" s="12" customFormat="1" x14ac:dyDescent="0.25">
      <c r="A34" s="211" t="s">
        <v>1808</v>
      </c>
      <c r="B34" s="64">
        <v>11.55</v>
      </c>
      <c r="C34" s="64">
        <v>32.03</v>
      </c>
      <c r="D34" s="64">
        <v>27.58</v>
      </c>
      <c r="E34" s="64">
        <v>3.67</v>
      </c>
      <c r="F34" s="64">
        <v>7.6</v>
      </c>
      <c r="G34" s="64">
        <v>59.25</v>
      </c>
      <c r="H34" s="64">
        <v>32.64</v>
      </c>
      <c r="I34" s="64">
        <v>0.56000000000000005</v>
      </c>
      <c r="J34" s="64">
        <v>0.03</v>
      </c>
      <c r="K34" s="64">
        <v>342.29</v>
      </c>
      <c r="L34" s="64">
        <v>26.62</v>
      </c>
      <c r="M34" s="64">
        <v>43.39</v>
      </c>
      <c r="N34" s="64">
        <v>124.8</v>
      </c>
      <c r="O34" s="64">
        <v>0</v>
      </c>
      <c r="P34" s="64">
        <v>0.84</v>
      </c>
      <c r="Q34" s="64">
        <v>20.78</v>
      </c>
      <c r="R34" s="198"/>
      <c r="S34" s="198"/>
      <c r="T34" s="198"/>
      <c r="U34" s="198"/>
    </row>
    <row r="35" spans="1:21" s="12" customFormat="1" x14ac:dyDescent="0.25">
      <c r="A35" s="211" t="s">
        <v>1809</v>
      </c>
      <c r="B35" s="64">
        <v>12.22</v>
      </c>
      <c r="C35" s="64">
        <v>30.23</v>
      </c>
      <c r="D35" s="64">
        <v>27.12</v>
      </c>
      <c r="E35" s="64">
        <v>4.76</v>
      </c>
      <c r="F35" s="64">
        <v>8.19</v>
      </c>
      <c r="G35" s="64">
        <v>72.3</v>
      </c>
      <c r="H35" s="64">
        <v>28.74</v>
      </c>
      <c r="I35" s="64">
        <v>0.63</v>
      </c>
      <c r="J35" s="64">
        <v>0.01</v>
      </c>
      <c r="K35" s="64">
        <v>279.22000000000003</v>
      </c>
      <c r="L35" s="64">
        <v>27.27</v>
      </c>
      <c r="M35" s="64">
        <v>42.39</v>
      </c>
      <c r="N35" s="64">
        <v>174.8</v>
      </c>
      <c r="O35" s="64">
        <v>0</v>
      </c>
      <c r="P35" s="64">
        <v>0.87</v>
      </c>
      <c r="Q35" s="64">
        <v>20.440000000000001</v>
      </c>
      <c r="R35" s="198"/>
      <c r="S35" s="198"/>
      <c r="T35" s="198"/>
      <c r="U35" s="198"/>
    </row>
    <row r="36" spans="1:21" s="12" customFormat="1" x14ac:dyDescent="0.25">
      <c r="A36" s="211" t="s">
        <v>1810</v>
      </c>
      <c r="B36" s="64">
        <v>11.14</v>
      </c>
      <c r="C36" s="64">
        <v>33.700000000000003</v>
      </c>
      <c r="D36" s="64">
        <v>28.18</v>
      </c>
      <c r="E36" s="64">
        <v>4.3099999999999996</v>
      </c>
      <c r="F36" s="64">
        <v>7.59</v>
      </c>
      <c r="G36" s="64">
        <v>74.12</v>
      </c>
      <c r="H36" s="64">
        <v>28.74</v>
      </c>
      <c r="I36" s="64">
        <v>0.63</v>
      </c>
      <c r="J36" s="64">
        <v>0.03</v>
      </c>
      <c r="K36" s="64">
        <v>319.3</v>
      </c>
      <c r="L36" s="64">
        <v>28.68</v>
      </c>
      <c r="M36" s="64">
        <v>40.18</v>
      </c>
      <c r="N36" s="64">
        <v>217.2</v>
      </c>
      <c r="O36" s="64">
        <v>0</v>
      </c>
      <c r="P36" s="64">
        <v>0.88</v>
      </c>
      <c r="Q36" s="64">
        <v>20.02</v>
      </c>
      <c r="R36" s="198"/>
      <c r="S36" s="198"/>
      <c r="T36" s="198"/>
      <c r="U36" s="198"/>
    </row>
    <row r="37" spans="1:21" s="12" customFormat="1" x14ac:dyDescent="0.25">
      <c r="A37" s="211" t="s">
        <v>1811</v>
      </c>
      <c r="B37" s="64">
        <v>14.48</v>
      </c>
      <c r="C37" s="64">
        <v>35.97</v>
      </c>
      <c r="D37" s="64">
        <v>32.11</v>
      </c>
      <c r="E37" s="64">
        <v>4.63</v>
      </c>
      <c r="F37" s="64">
        <v>10.29</v>
      </c>
      <c r="G37" s="64">
        <v>74.12</v>
      </c>
      <c r="H37" s="64">
        <v>28.74</v>
      </c>
      <c r="I37" s="64">
        <v>0.63</v>
      </c>
      <c r="J37" s="64">
        <v>0.14000000000000001</v>
      </c>
      <c r="K37" s="64">
        <v>269.26</v>
      </c>
      <c r="L37" s="64">
        <v>30.05</v>
      </c>
      <c r="M37" s="64">
        <v>38.74</v>
      </c>
      <c r="N37" s="64">
        <v>275</v>
      </c>
      <c r="O37" s="64">
        <v>0</v>
      </c>
      <c r="P37" s="64">
        <v>0.88</v>
      </c>
      <c r="Q37" s="64">
        <v>19.53</v>
      </c>
      <c r="R37" s="198"/>
      <c r="S37" s="198"/>
      <c r="T37" s="198"/>
      <c r="U37" s="198"/>
    </row>
    <row r="38" spans="1:21" s="12" customFormat="1" x14ac:dyDescent="0.25">
      <c r="A38" s="211" t="s">
        <v>1812</v>
      </c>
      <c r="B38" s="64">
        <v>9.3699999999999992</v>
      </c>
      <c r="C38" s="64">
        <v>34.6</v>
      </c>
      <c r="D38" s="64">
        <v>27.26</v>
      </c>
      <c r="E38" s="64">
        <v>4.9400000000000004</v>
      </c>
      <c r="F38" s="64">
        <v>15.79</v>
      </c>
      <c r="G38" s="64">
        <v>74.12</v>
      </c>
      <c r="H38" s="64">
        <v>28.74</v>
      </c>
      <c r="I38" s="64">
        <v>0.63</v>
      </c>
      <c r="J38" s="64">
        <v>0.06</v>
      </c>
      <c r="K38" s="64">
        <v>279.23</v>
      </c>
      <c r="L38" s="64">
        <v>31.91</v>
      </c>
      <c r="M38" s="64">
        <v>35.58</v>
      </c>
      <c r="N38" s="64">
        <v>332.1</v>
      </c>
      <c r="O38" s="64">
        <v>0</v>
      </c>
      <c r="P38" s="64">
        <v>0.84</v>
      </c>
      <c r="Q38" s="64">
        <v>19.16</v>
      </c>
      <c r="R38" s="198"/>
      <c r="S38" s="198"/>
      <c r="T38" s="198"/>
      <c r="U38" s="198"/>
    </row>
    <row r="39" spans="1:21" s="12" customFormat="1" x14ac:dyDescent="0.25">
      <c r="A39" s="211" t="s">
        <v>1813</v>
      </c>
      <c r="B39" s="64">
        <v>7.67</v>
      </c>
      <c r="C39" s="64">
        <v>34.049999999999997</v>
      </c>
      <c r="D39" s="64">
        <v>25.58</v>
      </c>
      <c r="E39" s="64">
        <v>4.57</v>
      </c>
      <c r="F39" s="64">
        <v>9.92</v>
      </c>
      <c r="G39" s="64">
        <v>77.62</v>
      </c>
      <c r="H39" s="64">
        <v>30.9</v>
      </c>
      <c r="I39" s="64">
        <v>0.6</v>
      </c>
      <c r="J39" s="64">
        <v>0.04</v>
      </c>
      <c r="K39" s="64">
        <v>76.78</v>
      </c>
      <c r="L39" s="64">
        <v>31.33</v>
      </c>
      <c r="M39" s="64">
        <v>35.32</v>
      </c>
      <c r="N39" s="64">
        <v>388.9</v>
      </c>
      <c r="O39" s="64">
        <v>0</v>
      </c>
      <c r="P39" s="64">
        <v>0.84</v>
      </c>
      <c r="Q39" s="64">
        <v>19.32</v>
      </c>
      <c r="R39" s="198"/>
      <c r="S39" s="198"/>
      <c r="T39" s="198"/>
      <c r="U39" s="198"/>
    </row>
    <row r="40" spans="1:21" s="12" customFormat="1" x14ac:dyDescent="0.25">
      <c r="A40" s="211" t="s">
        <v>1814</v>
      </c>
      <c r="B40" s="64">
        <v>8.0500000000000007</v>
      </c>
      <c r="C40" s="64">
        <v>33.880000000000003</v>
      </c>
      <c r="D40" s="64">
        <v>25.8</v>
      </c>
      <c r="E40" s="64">
        <v>2.52</v>
      </c>
      <c r="F40" s="64">
        <v>14.37</v>
      </c>
      <c r="G40" s="64">
        <v>78.11</v>
      </c>
      <c r="H40" s="64">
        <v>30.9</v>
      </c>
      <c r="I40" s="64">
        <v>0.63</v>
      </c>
      <c r="J40" s="64">
        <v>0.02</v>
      </c>
      <c r="K40" s="64">
        <v>296.27999999999997</v>
      </c>
      <c r="L40" s="64">
        <v>32.83</v>
      </c>
      <c r="M40" s="64">
        <v>33.01</v>
      </c>
      <c r="N40" s="64">
        <v>431.6</v>
      </c>
      <c r="O40" s="64">
        <v>0</v>
      </c>
      <c r="P40" s="64">
        <v>0.79</v>
      </c>
      <c r="Q40" s="64">
        <v>19.03</v>
      </c>
      <c r="R40" s="198"/>
      <c r="S40" s="198"/>
      <c r="T40" s="198"/>
      <c r="U40" s="198"/>
    </row>
    <row r="41" spans="1:21" s="12" customFormat="1" x14ac:dyDescent="0.25">
      <c r="A41" s="211" t="s">
        <v>1815</v>
      </c>
      <c r="B41" s="64">
        <v>7.41</v>
      </c>
      <c r="C41" s="64">
        <v>37.67</v>
      </c>
      <c r="D41" s="64">
        <v>27.38</v>
      </c>
      <c r="E41" s="64">
        <v>4.22</v>
      </c>
      <c r="F41" s="64">
        <v>22.17</v>
      </c>
      <c r="G41" s="64">
        <v>78.11</v>
      </c>
      <c r="H41" s="64">
        <v>30.9</v>
      </c>
      <c r="I41" s="64">
        <v>0.62</v>
      </c>
      <c r="J41" s="64">
        <v>0.02</v>
      </c>
      <c r="K41" s="64">
        <v>141.57</v>
      </c>
      <c r="L41" s="64">
        <v>33.04</v>
      </c>
      <c r="M41" s="64">
        <v>32.36</v>
      </c>
      <c r="N41" s="64">
        <v>470</v>
      </c>
      <c r="O41" s="64">
        <v>0</v>
      </c>
      <c r="P41" s="64">
        <v>0.72</v>
      </c>
      <c r="Q41" s="64">
        <v>18.78</v>
      </c>
      <c r="R41" s="198"/>
      <c r="S41" s="198"/>
      <c r="T41" s="198"/>
      <c r="U41" s="198"/>
    </row>
    <row r="42" spans="1:21" s="12" customFormat="1" x14ac:dyDescent="0.25">
      <c r="A42" s="211" t="s">
        <v>1816</v>
      </c>
      <c r="B42" s="64">
        <v>5.07</v>
      </c>
      <c r="C42" s="64">
        <v>31.75</v>
      </c>
      <c r="D42" s="64">
        <v>22.24</v>
      </c>
      <c r="E42" s="64">
        <v>3.25</v>
      </c>
      <c r="F42" s="64">
        <v>28.29</v>
      </c>
      <c r="G42" s="64">
        <v>78.11</v>
      </c>
      <c r="H42" s="64">
        <v>30.9</v>
      </c>
      <c r="I42" s="64">
        <v>0.56999999999999995</v>
      </c>
      <c r="J42" s="64">
        <v>0.2</v>
      </c>
      <c r="K42" s="64">
        <v>180.64</v>
      </c>
      <c r="L42" s="64">
        <v>33.57</v>
      </c>
      <c r="M42" s="64">
        <v>30.79</v>
      </c>
      <c r="N42" s="64">
        <v>533.1</v>
      </c>
      <c r="O42" s="64">
        <v>0</v>
      </c>
      <c r="P42" s="64">
        <v>0.7</v>
      </c>
      <c r="Q42" s="64">
        <v>19.73</v>
      </c>
      <c r="R42" s="198"/>
      <c r="S42" s="198"/>
      <c r="T42" s="198"/>
      <c r="U42" s="198"/>
    </row>
    <row r="43" spans="1:21" s="12" customFormat="1" x14ac:dyDescent="0.25">
      <c r="A43" s="211" t="s">
        <v>1817</v>
      </c>
      <c r="B43" s="64">
        <v>5.28</v>
      </c>
      <c r="C43" s="64">
        <v>32.92</v>
      </c>
      <c r="D43" s="64">
        <v>23.05</v>
      </c>
      <c r="E43" s="64">
        <v>3.2</v>
      </c>
      <c r="F43" s="64">
        <v>28.74</v>
      </c>
      <c r="G43" s="64">
        <v>62.37</v>
      </c>
      <c r="H43" s="64">
        <v>29.46</v>
      </c>
      <c r="I43" s="64">
        <v>0.56000000000000005</v>
      </c>
      <c r="J43" s="64">
        <v>0.09</v>
      </c>
      <c r="K43" s="64">
        <v>268.95999999999998</v>
      </c>
      <c r="L43" s="64">
        <v>35.090000000000003</v>
      </c>
      <c r="M43" s="64">
        <v>30.93</v>
      </c>
      <c r="N43" s="64">
        <v>575.79999999999995</v>
      </c>
      <c r="O43" s="64">
        <v>0</v>
      </c>
      <c r="P43" s="64">
        <v>0.84</v>
      </c>
      <c r="Q43" s="64">
        <v>19.12</v>
      </c>
      <c r="R43" s="198"/>
      <c r="S43" s="198"/>
      <c r="T43" s="198"/>
      <c r="U43" s="198"/>
    </row>
    <row r="44" spans="1:21" s="12" customFormat="1" x14ac:dyDescent="0.25">
      <c r="A44" s="211" t="s">
        <v>1818</v>
      </c>
      <c r="B44" s="64">
        <v>6.21</v>
      </c>
      <c r="C44" s="64">
        <v>40.31</v>
      </c>
      <c r="D44" s="64">
        <v>27.87</v>
      </c>
      <c r="E44" s="64">
        <v>2.79</v>
      </c>
      <c r="F44" s="64">
        <v>32.94</v>
      </c>
      <c r="G44" s="64">
        <v>60.17</v>
      </c>
      <c r="H44" s="64">
        <v>29.46</v>
      </c>
      <c r="I44" s="64">
        <v>0.56000000000000005</v>
      </c>
      <c r="J44" s="64">
        <v>0.09</v>
      </c>
      <c r="K44" s="64">
        <v>270.06</v>
      </c>
      <c r="L44" s="64">
        <v>35.090000000000003</v>
      </c>
      <c r="M44" s="64">
        <v>30.87</v>
      </c>
      <c r="N44" s="64">
        <v>613.79999999999995</v>
      </c>
      <c r="O44" s="64">
        <v>0</v>
      </c>
      <c r="P44" s="64">
        <v>0.95</v>
      </c>
      <c r="Q44" s="64">
        <v>18.510000000000002</v>
      </c>
      <c r="R44" s="198"/>
      <c r="S44" s="198"/>
      <c r="T44" s="198"/>
      <c r="U44" s="198"/>
    </row>
    <row r="45" spans="1:21" s="12" customFormat="1" x14ac:dyDescent="0.25">
      <c r="A45" s="211" t="s">
        <v>1819</v>
      </c>
      <c r="B45" s="64">
        <v>5.25</v>
      </c>
      <c r="C45" s="64">
        <v>41.61</v>
      </c>
      <c r="D45" s="64">
        <v>27.82</v>
      </c>
      <c r="E45" s="64">
        <v>3.41</v>
      </c>
      <c r="F45" s="64">
        <v>37.130000000000003</v>
      </c>
      <c r="G45" s="64">
        <v>60.17</v>
      </c>
      <c r="H45" s="64">
        <v>29.46</v>
      </c>
      <c r="I45" s="64">
        <v>0.55000000000000004</v>
      </c>
      <c r="J45" s="64">
        <v>0.26</v>
      </c>
      <c r="K45" s="64">
        <v>276.74</v>
      </c>
      <c r="L45" s="64">
        <v>35.65</v>
      </c>
      <c r="M45" s="64">
        <v>31.7</v>
      </c>
      <c r="N45" s="64">
        <v>649.29999999999995</v>
      </c>
      <c r="O45" s="64">
        <v>0</v>
      </c>
      <c r="P45" s="64">
        <v>1.0900000000000001</v>
      </c>
      <c r="Q45" s="64">
        <v>18.25</v>
      </c>
      <c r="R45" s="198"/>
      <c r="S45" s="198"/>
      <c r="T45" s="198"/>
      <c r="U45" s="198"/>
    </row>
    <row r="46" spans="1:21" s="12" customFormat="1" x14ac:dyDescent="0.25">
      <c r="A46" s="211" t="s">
        <v>1820</v>
      </c>
      <c r="B46" s="64">
        <v>3.89</v>
      </c>
      <c r="C46" s="64">
        <v>36.090000000000003</v>
      </c>
      <c r="D46" s="64">
        <v>23.68</v>
      </c>
      <c r="E46" s="64">
        <v>5.3</v>
      </c>
      <c r="F46" s="64">
        <v>24.93</v>
      </c>
      <c r="G46" s="64">
        <v>60.17</v>
      </c>
      <c r="H46" s="64">
        <v>29.46</v>
      </c>
      <c r="I46" s="64">
        <v>0.56000000000000005</v>
      </c>
      <c r="J46" s="64">
        <v>0.09</v>
      </c>
      <c r="K46" s="64">
        <v>272.45999999999998</v>
      </c>
      <c r="L46" s="64">
        <v>36.22</v>
      </c>
      <c r="M46" s="64">
        <v>28.45</v>
      </c>
      <c r="N46" s="64">
        <v>704.7</v>
      </c>
      <c r="O46" s="64">
        <v>0</v>
      </c>
      <c r="P46" s="64">
        <v>0.87</v>
      </c>
      <c r="Q46" s="64">
        <v>19.03</v>
      </c>
      <c r="R46" s="198"/>
      <c r="S46" s="198"/>
      <c r="T46" s="198"/>
      <c r="U46" s="198"/>
    </row>
    <row r="47" spans="1:21" s="12" customFormat="1" x14ac:dyDescent="0.25">
      <c r="A47" s="211" t="s">
        <v>1821</v>
      </c>
      <c r="B47" s="64">
        <v>3.65</v>
      </c>
      <c r="C47" s="64">
        <v>35.57</v>
      </c>
      <c r="D47" s="64">
        <v>23.2</v>
      </c>
      <c r="E47" s="64">
        <v>6.96</v>
      </c>
      <c r="F47" s="64">
        <v>16.39</v>
      </c>
      <c r="G47" s="64">
        <v>64.09</v>
      </c>
      <c r="H47" s="64">
        <v>34.08</v>
      </c>
      <c r="I47" s="64">
        <v>0.57999999999999996</v>
      </c>
      <c r="J47" s="64">
        <v>0.39</v>
      </c>
      <c r="K47" s="64">
        <v>270.07</v>
      </c>
      <c r="L47" s="64">
        <v>37.020000000000003</v>
      </c>
      <c r="M47" s="64">
        <v>27.29</v>
      </c>
      <c r="N47" s="64">
        <v>736.9</v>
      </c>
      <c r="O47" s="64">
        <v>0</v>
      </c>
      <c r="P47" s="64">
        <v>0.85</v>
      </c>
      <c r="Q47" s="64">
        <v>19.27</v>
      </c>
      <c r="R47" s="198"/>
      <c r="S47" s="198"/>
      <c r="T47" s="198"/>
      <c r="U47" s="198"/>
    </row>
    <row r="48" spans="1:21" s="12" customFormat="1" x14ac:dyDescent="0.25">
      <c r="A48" s="211" t="s">
        <v>1822</v>
      </c>
      <c r="B48" s="64">
        <v>5.5</v>
      </c>
      <c r="C48" s="64">
        <v>34.51</v>
      </c>
      <c r="D48" s="64">
        <v>24.11</v>
      </c>
      <c r="E48" s="64">
        <v>6.15</v>
      </c>
      <c r="F48" s="64">
        <v>22.29</v>
      </c>
      <c r="G48" s="64">
        <v>64.63</v>
      </c>
      <c r="H48" s="64">
        <v>34.08</v>
      </c>
      <c r="I48" s="64">
        <v>0.61</v>
      </c>
      <c r="J48" s="64">
        <v>0.4</v>
      </c>
      <c r="K48" s="64">
        <v>270.82</v>
      </c>
      <c r="L48" s="64">
        <v>37.07</v>
      </c>
      <c r="M48" s="64">
        <v>26.82</v>
      </c>
      <c r="N48" s="64">
        <v>766</v>
      </c>
      <c r="O48" s="64">
        <v>0</v>
      </c>
      <c r="P48" s="64">
        <v>0.82</v>
      </c>
      <c r="Q48" s="64">
        <v>18.8</v>
      </c>
      <c r="R48" s="198"/>
      <c r="S48" s="198"/>
      <c r="T48" s="198"/>
      <c r="U48" s="198"/>
    </row>
    <row r="49" spans="1:21" s="12" customFormat="1" x14ac:dyDescent="0.25">
      <c r="A49" s="211" t="s">
        <v>1823</v>
      </c>
      <c r="B49" s="64">
        <v>6.71</v>
      </c>
      <c r="C49" s="64">
        <v>37.159999999999997</v>
      </c>
      <c r="D49" s="64">
        <v>26.54</v>
      </c>
      <c r="E49" s="64">
        <v>6.45</v>
      </c>
      <c r="F49" s="64">
        <v>21.42</v>
      </c>
      <c r="G49" s="64">
        <v>64.63</v>
      </c>
      <c r="H49" s="64">
        <v>34.08</v>
      </c>
      <c r="I49" s="64">
        <v>0.67</v>
      </c>
      <c r="J49" s="64">
        <v>0.66</v>
      </c>
      <c r="K49" s="64">
        <v>267.58</v>
      </c>
      <c r="L49" s="64">
        <v>37.700000000000003</v>
      </c>
      <c r="M49" s="64">
        <v>25.47</v>
      </c>
      <c r="N49" s="64">
        <v>793.4</v>
      </c>
      <c r="O49" s="64">
        <v>0</v>
      </c>
      <c r="P49" s="64">
        <v>0.81</v>
      </c>
      <c r="Q49" s="64">
        <v>18.25</v>
      </c>
      <c r="R49" s="198"/>
      <c r="S49" s="198"/>
      <c r="T49" s="198"/>
      <c r="U49" s="198"/>
    </row>
    <row r="50" spans="1:21" s="12" customFormat="1" x14ac:dyDescent="0.25">
      <c r="A50" s="211" t="s">
        <v>1824</v>
      </c>
      <c r="B50" s="64">
        <v>8.34</v>
      </c>
      <c r="C50" s="64">
        <v>39.79</v>
      </c>
      <c r="D50" s="64">
        <v>29.3</v>
      </c>
      <c r="E50" s="64">
        <v>6.34</v>
      </c>
      <c r="F50" s="64">
        <v>17.54</v>
      </c>
      <c r="G50" s="64">
        <v>64.63</v>
      </c>
      <c r="H50" s="64">
        <v>34.08</v>
      </c>
      <c r="I50" s="64">
        <v>0.66</v>
      </c>
      <c r="J50" s="64">
        <v>0.5</v>
      </c>
      <c r="K50" s="64">
        <v>269.69</v>
      </c>
      <c r="L50" s="64">
        <v>38.76</v>
      </c>
      <c r="M50" s="64">
        <v>22.51</v>
      </c>
      <c r="N50" s="64">
        <v>819.5</v>
      </c>
      <c r="O50" s="64">
        <v>0</v>
      </c>
      <c r="P50" s="64">
        <v>0.78</v>
      </c>
      <c r="Q50" s="64">
        <v>18.47</v>
      </c>
      <c r="R50" s="198"/>
      <c r="S50" s="198"/>
      <c r="T50" s="198"/>
      <c r="U50" s="198"/>
    </row>
    <row r="51" spans="1:21" s="12" customFormat="1" x14ac:dyDescent="0.25">
      <c r="A51" s="211" t="s">
        <v>1825</v>
      </c>
      <c r="B51" s="64">
        <v>4.3899999999999997</v>
      </c>
      <c r="C51" s="64">
        <v>37.71</v>
      </c>
      <c r="D51" s="64">
        <v>24.98</v>
      </c>
      <c r="E51" s="64">
        <v>5.75</v>
      </c>
      <c r="F51" s="64">
        <v>14.57</v>
      </c>
      <c r="G51" s="64">
        <v>47.55</v>
      </c>
      <c r="H51" s="64">
        <v>25.5</v>
      </c>
      <c r="I51" s="64">
        <v>0.66</v>
      </c>
      <c r="J51" s="64">
        <v>0.8</v>
      </c>
      <c r="K51" s="64">
        <v>270.87</v>
      </c>
      <c r="L51" s="64">
        <v>40.4</v>
      </c>
      <c r="M51" s="64">
        <v>20.56</v>
      </c>
      <c r="N51" s="64">
        <v>850.3</v>
      </c>
      <c r="O51" s="64">
        <v>0</v>
      </c>
      <c r="P51" s="64">
        <v>0.78</v>
      </c>
      <c r="Q51" s="64">
        <v>18.920000000000002</v>
      </c>
      <c r="R51" s="198"/>
      <c r="S51" s="198"/>
      <c r="T51" s="198"/>
      <c r="U51" s="198"/>
    </row>
    <row r="52" spans="1:21" s="12" customFormat="1" x14ac:dyDescent="0.25">
      <c r="A52" s="211" t="s">
        <v>1826</v>
      </c>
      <c r="B52" s="64">
        <v>5.56</v>
      </c>
      <c r="C52" s="64">
        <v>35.35</v>
      </c>
      <c r="D52" s="64">
        <v>24.62</v>
      </c>
      <c r="E52" s="64">
        <v>5.9</v>
      </c>
      <c r="F52" s="64">
        <v>33.549999999999997</v>
      </c>
      <c r="G52" s="64">
        <v>45.17</v>
      </c>
      <c r="H52" s="64">
        <v>25.5</v>
      </c>
      <c r="I52" s="64">
        <v>0.67</v>
      </c>
      <c r="J52" s="64">
        <v>0.82</v>
      </c>
      <c r="K52" s="64">
        <v>271.72000000000003</v>
      </c>
      <c r="L52" s="64">
        <v>40.630000000000003</v>
      </c>
      <c r="M52" s="64">
        <v>19.79</v>
      </c>
      <c r="N52" s="64">
        <v>870.8</v>
      </c>
      <c r="O52" s="64">
        <v>0</v>
      </c>
      <c r="P52" s="64">
        <v>0.67</v>
      </c>
      <c r="Q52" s="64">
        <v>19.100000000000001</v>
      </c>
      <c r="R52" s="198"/>
      <c r="S52" s="198"/>
      <c r="T52" s="198"/>
      <c r="U52" s="198"/>
    </row>
    <row r="53" spans="1:21" s="12" customFormat="1" x14ac:dyDescent="0.25">
      <c r="A53" s="211" t="s">
        <v>1827</v>
      </c>
      <c r="B53" s="64">
        <v>5.19</v>
      </c>
      <c r="C53" s="64">
        <v>34.93</v>
      </c>
      <c r="D53" s="64">
        <v>24.09</v>
      </c>
      <c r="E53" s="64">
        <v>6.12</v>
      </c>
      <c r="F53" s="64">
        <v>38.47</v>
      </c>
      <c r="G53" s="64">
        <v>45.17</v>
      </c>
      <c r="H53" s="64">
        <v>25.5</v>
      </c>
      <c r="I53" s="64">
        <v>0.7</v>
      </c>
      <c r="J53" s="64">
        <v>0.76</v>
      </c>
      <c r="K53" s="64">
        <v>271.66000000000003</v>
      </c>
      <c r="L53" s="64">
        <v>40.46</v>
      </c>
      <c r="M53" s="64">
        <v>20.56</v>
      </c>
      <c r="N53" s="64">
        <v>870.9</v>
      </c>
      <c r="O53" s="64">
        <v>0</v>
      </c>
      <c r="P53" s="64">
        <v>0.64</v>
      </c>
      <c r="Q53" s="64">
        <v>19.68</v>
      </c>
      <c r="R53" s="198"/>
      <c r="S53" s="198"/>
      <c r="T53" s="198"/>
      <c r="U53" s="198"/>
    </row>
    <row r="54" spans="1:21" s="12" customFormat="1" x14ac:dyDescent="0.25">
      <c r="A54" s="211" t="s">
        <v>1828</v>
      </c>
      <c r="B54" s="64">
        <v>5.29</v>
      </c>
      <c r="C54" s="64">
        <v>35.43</v>
      </c>
      <c r="D54" s="64">
        <v>24.44</v>
      </c>
      <c r="E54" s="64">
        <v>4.2300000000000004</v>
      </c>
      <c r="F54" s="64">
        <v>29.57</v>
      </c>
      <c r="G54" s="64">
        <v>45.17</v>
      </c>
      <c r="H54" s="64">
        <v>25.5</v>
      </c>
      <c r="I54" s="64">
        <v>0.62</v>
      </c>
      <c r="J54" s="64">
        <v>0.39</v>
      </c>
      <c r="K54" s="64">
        <v>270.74</v>
      </c>
      <c r="L54" s="64">
        <v>39.49</v>
      </c>
      <c r="M54" s="64">
        <v>22.78</v>
      </c>
      <c r="N54" s="64">
        <v>869.3</v>
      </c>
      <c r="O54" s="64">
        <v>0</v>
      </c>
      <c r="P54" s="64">
        <v>0.73</v>
      </c>
      <c r="Q54" s="64">
        <v>18.87</v>
      </c>
      <c r="R54" s="198"/>
      <c r="S54" s="198"/>
      <c r="T54" s="198"/>
      <c r="U54" s="198"/>
    </row>
    <row r="55" spans="1:21" s="12" customFormat="1" x14ac:dyDescent="0.25">
      <c r="A55" s="211" t="s">
        <v>1829</v>
      </c>
      <c r="B55" s="64">
        <v>2.48</v>
      </c>
      <c r="C55" s="64">
        <v>28.7</v>
      </c>
      <c r="D55" s="64">
        <v>18.47</v>
      </c>
      <c r="E55" s="64">
        <v>3.95</v>
      </c>
      <c r="F55" s="64">
        <v>31.71</v>
      </c>
      <c r="G55" s="64">
        <v>38.15</v>
      </c>
      <c r="H55" s="64">
        <v>25.76</v>
      </c>
      <c r="I55" s="64">
        <v>0.66</v>
      </c>
      <c r="J55" s="64">
        <v>0.02</v>
      </c>
      <c r="K55" s="64">
        <v>261.07</v>
      </c>
      <c r="L55" s="64">
        <v>38.56</v>
      </c>
      <c r="M55" s="64">
        <v>22.13</v>
      </c>
      <c r="N55" s="64">
        <v>890.1</v>
      </c>
      <c r="O55" s="64">
        <v>0</v>
      </c>
      <c r="P55" s="64">
        <v>0.61</v>
      </c>
      <c r="Q55" s="64">
        <v>17.489999999999998</v>
      </c>
      <c r="R55" s="198"/>
      <c r="S55" s="198"/>
      <c r="T55" s="198"/>
      <c r="U55" s="198"/>
    </row>
    <row r="56" spans="1:21" s="12" customFormat="1" x14ac:dyDescent="0.25">
      <c r="A56" s="211" t="s">
        <v>1830</v>
      </c>
      <c r="B56" s="64">
        <v>4.8</v>
      </c>
      <c r="C56" s="64">
        <v>30.63</v>
      </c>
      <c r="D56" s="64">
        <v>21.4</v>
      </c>
      <c r="E56" s="64">
        <v>1.92</v>
      </c>
      <c r="F56" s="64">
        <v>30.14</v>
      </c>
      <c r="G56" s="64">
        <v>37.17</v>
      </c>
      <c r="H56" s="64">
        <v>25.76</v>
      </c>
      <c r="I56" s="64">
        <v>0.7</v>
      </c>
      <c r="J56" s="64">
        <v>0.41</v>
      </c>
      <c r="K56" s="64">
        <v>266.10000000000002</v>
      </c>
      <c r="L56" s="64">
        <v>38.47</v>
      </c>
      <c r="M56" s="64">
        <v>23.56</v>
      </c>
      <c r="N56" s="64">
        <v>893.3</v>
      </c>
      <c r="O56" s="64">
        <v>0</v>
      </c>
      <c r="P56" s="64">
        <v>0.64</v>
      </c>
      <c r="Q56" s="64">
        <v>15.92</v>
      </c>
      <c r="R56" s="198"/>
      <c r="S56" s="198"/>
      <c r="T56" s="198"/>
      <c r="U56" s="198"/>
    </row>
    <row r="57" spans="1:21" s="12" customFormat="1" x14ac:dyDescent="0.25">
      <c r="A57" s="211" t="s">
        <v>1831</v>
      </c>
      <c r="B57" s="64">
        <v>5.37</v>
      </c>
      <c r="C57" s="64">
        <v>27.35</v>
      </c>
      <c r="D57" s="64">
        <v>20.04</v>
      </c>
      <c r="E57" s="64">
        <v>2.62</v>
      </c>
      <c r="F57" s="64">
        <v>31.94</v>
      </c>
      <c r="G57" s="64">
        <v>37.17</v>
      </c>
      <c r="H57" s="64">
        <v>25.76</v>
      </c>
      <c r="I57" s="64">
        <v>0.7</v>
      </c>
      <c r="J57" s="64">
        <v>0.18</v>
      </c>
      <c r="K57" s="64">
        <v>277.08</v>
      </c>
      <c r="L57" s="64">
        <v>38.76</v>
      </c>
      <c r="M57" s="64">
        <v>19.79</v>
      </c>
      <c r="N57" s="64">
        <v>882.6</v>
      </c>
      <c r="O57" s="64">
        <v>0</v>
      </c>
      <c r="P57" s="64">
        <v>0.53</v>
      </c>
      <c r="Q57" s="64">
        <v>15.35</v>
      </c>
      <c r="R57" s="198"/>
      <c r="S57" s="198"/>
      <c r="T57" s="198"/>
      <c r="U57" s="198"/>
    </row>
    <row r="58" spans="1:21" s="12" customFormat="1" x14ac:dyDescent="0.25">
      <c r="A58" s="211" t="s">
        <v>1832</v>
      </c>
      <c r="B58" s="64">
        <v>3.06</v>
      </c>
      <c r="C58" s="64">
        <v>30.5</v>
      </c>
      <c r="D58" s="64">
        <v>19.93</v>
      </c>
      <c r="E58" s="64">
        <v>3.66</v>
      </c>
      <c r="F58" s="64">
        <v>19.23</v>
      </c>
      <c r="G58" s="64">
        <v>37.17</v>
      </c>
      <c r="H58" s="64">
        <v>25.76</v>
      </c>
      <c r="I58" s="64">
        <v>0.69</v>
      </c>
      <c r="J58" s="64">
        <v>0.39</v>
      </c>
      <c r="K58" s="64">
        <v>262.77999999999997</v>
      </c>
      <c r="L58" s="64">
        <v>39.68</v>
      </c>
      <c r="M58" s="64">
        <v>20.11</v>
      </c>
      <c r="N58" s="64">
        <v>869.9</v>
      </c>
      <c r="O58" s="64">
        <v>0</v>
      </c>
      <c r="P58" s="64">
        <v>0.64</v>
      </c>
      <c r="Q58" s="64">
        <v>16.86</v>
      </c>
      <c r="R58" s="198"/>
      <c r="S58" s="198"/>
      <c r="T58" s="198"/>
      <c r="U58" s="198"/>
    </row>
    <row r="59" spans="1:21" s="12" customFormat="1" x14ac:dyDescent="0.25">
      <c r="A59" s="211" t="s">
        <v>1833</v>
      </c>
      <c r="B59" s="64">
        <v>4.1399999999999997</v>
      </c>
      <c r="C59" s="64">
        <v>29.54</v>
      </c>
      <c r="D59" s="64">
        <v>20.27</v>
      </c>
      <c r="E59" s="64">
        <v>4.49</v>
      </c>
      <c r="F59" s="64">
        <v>17.18</v>
      </c>
      <c r="G59" s="64">
        <v>31.76</v>
      </c>
      <c r="H59" s="64">
        <v>22.46</v>
      </c>
      <c r="I59" s="64">
        <v>0.69</v>
      </c>
      <c r="J59" s="64">
        <v>0.36</v>
      </c>
      <c r="K59" s="64">
        <v>269.58999999999997</v>
      </c>
      <c r="L59" s="64">
        <v>40.76</v>
      </c>
      <c r="M59" s="64">
        <v>18.07</v>
      </c>
      <c r="N59" s="64">
        <v>876.6</v>
      </c>
      <c r="O59" s="64">
        <v>0</v>
      </c>
      <c r="P59" s="64">
        <v>0.6</v>
      </c>
      <c r="Q59" s="64">
        <v>17.95</v>
      </c>
      <c r="R59" s="198"/>
      <c r="S59" s="198"/>
      <c r="T59" s="198"/>
      <c r="U59" s="198"/>
    </row>
    <row r="60" spans="1:21" s="12" customFormat="1" x14ac:dyDescent="0.25">
      <c r="A60" s="211" t="s">
        <v>1834</v>
      </c>
      <c r="B60" s="64">
        <v>3.79</v>
      </c>
      <c r="C60" s="64">
        <v>36.57</v>
      </c>
      <c r="D60" s="64">
        <v>23.87</v>
      </c>
      <c r="E60" s="64">
        <v>3.81</v>
      </c>
      <c r="F60" s="64">
        <v>10.52</v>
      </c>
      <c r="G60" s="64">
        <v>31.01</v>
      </c>
      <c r="H60" s="64">
        <v>22.46</v>
      </c>
      <c r="I60" s="64">
        <v>0.78</v>
      </c>
      <c r="J60" s="64">
        <v>0.39</v>
      </c>
      <c r="K60" s="64">
        <v>270</v>
      </c>
      <c r="L60" s="64">
        <v>39.479999999999997</v>
      </c>
      <c r="M60" s="64">
        <v>18.079999999999998</v>
      </c>
      <c r="N60" s="64">
        <v>860.9</v>
      </c>
      <c r="O60" s="64">
        <v>0</v>
      </c>
      <c r="P60" s="64">
        <v>0.6</v>
      </c>
      <c r="Q60" s="64">
        <v>18.649999999999999</v>
      </c>
      <c r="R60" s="198"/>
      <c r="S60" s="198"/>
      <c r="T60" s="198"/>
      <c r="U60" s="198"/>
    </row>
    <row r="61" spans="1:21" s="12" customFormat="1" x14ac:dyDescent="0.25">
      <c r="A61" s="211" t="s">
        <v>1835</v>
      </c>
      <c r="B61" s="64">
        <v>3.35</v>
      </c>
      <c r="C61" s="64">
        <v>35.33</v>
      </c>
      <c r="D61" s="64">
        <v>22.83</v>
      </c>
      <c r="E61" s="64">
        <v>3.54</v>
      </c>
      <c r="F61" s="64">
        <v>12.48</v>
      </c>
      <c r="G61" s="64">
        <v>31.01</v>
      </c>
      <c r="H61" s="64">
        <v>22.46</v>
      </c>
      <c r="I61" s="64">
        <v>0.73</v>
      </c>
      <c r="J61" s="64">
        <v>0.31</v>
      </c>
      <c r="K61" s="64">
        <v>270.23</v>
      </c>
      <c r="L61" s="64">
        <v>39.15</v>
      </c>
      <c r="M61" s="64">
        <v>17.89</v>
      </c>
      <c r="N61" s="64">
        <v>745.2</v>
      </c>
      <c r="O61" s="64">
        <v>0</v>
      </c>
      <c r="P61" s="64">
        <v>0.56000000000000005</v>
      </c>
      <c r="Q61" s="64">
        <v>17.920000000000002</v>
      </c>
      <c r="R61" s="198"/>
      <c r="S61" s="198"/>
      <c r="T61" s="198"/>
      <c r="U61" s="198"/>
    </row>
    <row r="62" spans="1:21" s="12" customFormat="1" x14ac:dyDescent="0.25">
      <c r="A62" s="211" t="s">
        <v>1836</v>
      </c>
      <c r="B62" s="64">
        <v>3.16</v>
      </c>
      <c r="C62" s="64">
        <v>33.56</v>
      </c>
      <c r="D62" s="64">
        <v>21.7</v>
      </c>
      <c r="E62" s="64">
        <v>3.48</v>
      </c>
      <c r="F62" s="64">
        <v>12.37</v>
      </c>
      <c r="G62" s="64">
        <v>31.01</v>
      </c>
      <c r="H62" s="64">
        <v>22.46</v>
      </c>
      <c r="I62" s="64">
        <v>0.81</v>
      </c>
      <c r="J62" s="64">
        <v>1</v>
      </c>
      <c r="K62" s="64">
        <v>266.08999999999997</v>
      </c>
      <c r="L62" s="64">
        <v>39.47</v>
      </c>
      <c r="M62" s="64">
        <v>18.21</v>
      </c>
      <c r="N62" s="64">
        <v>560.70000000000005</v>
      </c>
      <c r="O62" s="64">
        <v>0</v>
      </c>
      <c r="P62" s="64">
        <v>0.56999999999999995</v>
      </c>
      <c r="Q62" s="64">
        <v>19.34</v>
      </c>
      <c r="R62" s="198"/>
      <c r="S62" s="198"/>
      <c r="T62" s="198"/>
      <c r="U62" s="198"/>
    </row>
    <row r="63" spans="1:21" s="12" customFormat="1" x14ac:dyDescent="0.25">
      <c r="A63" s="211" t="s">
        <v>1837</v>
      </c>
      <c r="B63" s="64">
        <v>2.73</v>
      </c>
      <c r="C63" s="64">
        <v>32.619999999999997</v>
      </c>
      <c r="D63" s="64">
        <v>20.84</v>
      </c>
      <c r="E63" s="64">
        <v>2.56</v>
      </c>
      <c r="F63" s="64">
        <v>18.760000000000002</v>
      </c>
      <c r="G63" s="212" t="s">
        <v>43</v>
      </c>
      <c r="H63" s="212" t="s">
        <v>43</v>
      </c>
      <c r="I63" s="64">
        <v>0.77</v>
      </c>
      <c r="J63" s="64">
        <v>0.35</v>
      </c>
      <c r="K63" s="64">
        <v>271.77999999999997</v>
      </c>
      <c r="L63" s="64">
        <v>38.79</v>
      </c>
      <c r="M63" s="64">
        <v>19.170000000000002</v>
      </c>
      <c r="N63" s="64">
        <v>375.3</v>
      </c>
      <c r="O63" s="64">
        <v>0</v>
      </c>
      <c r="P63" s="64">
        <v>0.54</v>
      </c>
      <c r="Q63" s="64">
        <v>20.079999999999998</v>
      </c>
      <c r="R63" s="198"/>
      <c r="S63" s="198"/>
      <c r="T63" s="198"/>
      <c r="U63" s="198"/>
    </row>
    <row r="64" spans="1:21" s="12" customFormat="1" x14ac:dyDescent="0.25">
      <c r="A64" s="211" t="s">
        <v>1838</v>
      </c>
      <c r="B64" s="64">
        <v>3.09</v>
      </c>
      <c r="C64" s="64">
        <v>34.950000000000003</v>
      </c>
      <c r="D64" s="64">
        <v>22.42</v>
      </c>
      <c r="E64" s="64">
        <v>3.49</v>
      </c>
      <c r="F64" s="64">
        <v>15.71</v>
      </c>
      <c r="G64" s="212" t="s">
        <v>43</v>
      </c>
      <c r="H64" s="212" t="s">
        <v>43</v>
      </c>
      <c r="I64" s="64">
        <v>0.74</v>
      </c>
      <c r="J64" s="64">
        <v>0.08</v>
      </c>
      <c r="K64" s="64">
        <v>322.55</v>
      </c>
      <c r="L64" s="64">
        <v>37.83</v>
      </c>
      <c r="M64" s="64">
        <v>18.84</v>
      </c>
      <c r="N64" s="64">
        <v>458.2</v>
      </c>
      <c r="O64" s="64">
        <v>0</v>
      </c>
      <c r="P64" s="64">
        <v>0.54</v>
      </c>
      <c r="Q64" s="64">
        <v>20.02</v>
      </c>
      <c r="R64" s="198"/>
      <c r="S64" s="198"/>
      <c r="T64" s="198"/>
      <c r="U64" s="198"/>
    </row>
    <row r="65" spans="1:21" s="12" customFormat="1" x14ac:dyDescent="0.25">
      <c r="A65" s="211" t="s">
        <v>1839</v>
      </c>
      <c r="B65" s="64">
        <v>2.06</v>
      </c>
      <c r="C65" s="64">
        <v>33.64</v>
      </c>
      <c r="D65" s="64">
        <v>20.86</v>
      </c>
      <c r="E65" s="64">
        <v>2.77</v>
      </c>
      <c r="F65" s="64">
        <v>21.85</v>
      </c>
      <c r="G65" s="212" t="s">
        <v>43</v>
      </c>
      <c r="H65" s="212" t="s">
        <v>43</v>
      </c>
      <c r="I65" s="64">
        <v>0.69</v>
      </c>
      <c r="J65" s="64">
        <v>0.02</v>
      </c>
      <c r="K65" s="64">
        <v>84.59</v>
      </c>
      <c r="L65" s="64">
        <v>37.39</v>
      </c>
      <c r="M65" s="64">
        <v>18.579999999999998</v>
      </c>
      <c r="N65" s="64">
        <v>378.8</v>
      </c>
      <c r="O65" s="64">
        <v>0</v>
      </c>
      <c r="P65" s="64">
        <v>0.49</v>
      </c>
      <c r="Q65" s="64">
        <v>22.43</v>
      </c>
      <c r="R65" s="198"/>
      <c r="S65" s="198"/>
      <c r="T65" s="198"/>
      <c r="U65" s="198"/>
    </row>
    <row r="66" spans="1:21" s="12" customFormat="1" x14ac:dyDescent="0.25">
      <c r="A66" s="211" t="s">
        <v>1840</v>
      </c>
      <c r="B66" s="64">
        <v>5.04</v>
      </c>
      <c r="C66" s="64">
        <v>32.75</v>
      </c>
      <c r="D66" s="64">
        <v>22.76</v>
      </c>
      <c r="E66" s="64">
        <v>2.4</v>
      </c>
      <c r="F66" s="64">
        <v>30.96</v>
      </c>
      <c r="G66" s="212" t="s">
        <v>43</v>
      </c>
      <c r="H66" s="212" t="s">
        <v>43</v>
      </c>
      <c r="I66" s="64">
        <v>0.67</v>
      </c>
      <c r="J66" s="64">
        <v>0.23</v>
      </c>
      <c r="K66" s="64">
        <v>283.33999999999997</v>
      </c>
      <c r="L66" s="64">
        <v>37.770000000000003</v>
      </c>
      <c r="M66" s="64">
        <v>19.32</v>
      </c>
      <c r="N66" s="64">
        <v>276.60000000000002</v>
      </c>
      <c r="O66" s="64">
        <v>0</v>
      </c>
      <c r="P66" s="64">
        <v>0.49</v>
      </c>
      <c r="Q66" s="64">
        <v>21.91</v>
      </c>
      <c r="R66" s="198"/>
      <c r="S66" s="198"/>
      <c r="T66" s="198"/>
      <c r="U66" s="198"/>
    </row>
    <row r="67" spans="1:21" s="12" customFormat="1" x14ac:dyDescent="0.25">
      <c r="A67" s="211" t="s">
        <v>1841</v>
      </c>
      <c r="B67" s="64">
        <v>4.59</v>
      </c>
      <c r="C67" s="64">
        <v>26.03</v>
      </c>
      <c r="D67" s="64">
        <v>18.690000000000001</v>
      </c>
      <c r="E67" s="64">
        <v>2.13</v>
      </c>
      <c r="F67" s="64">
        <v>24.56</v>
      </c>
      <c r="G67" s="212" t="s">
        <v>43</v>
      </c>
      <c r="H67" s="212" t="s">
        <v>43</v>
      </c>
      <c r="I67" s="64">
        <v>0.7</v>
      </c>
      <c r="J67" s="64">
        <v>0.52</v>
      </c>
      <c r="K67" s="64">
        <v>267.5</v>
      </c>
      <c r="L67" s="64">
        <v>37.840000000000003</v>
      </c>
      <c r="M67" s="64">
        <v>18.440000000000001</v>
      </c>
      <c r="N67" s="64">
        <v>486.3</v>
      </c>
      <c r="O67" s="64">
        <v>0</v>
      </c>
      <c r="P67" s="64">
        <v>0.51</v>
      </c>
      <c r="Q67" s="64">
        <v>19.940000000000001</v>
      </c>
      <c r="R67" s="198"/>
      <c r="S67" s="198"/>
      <c r="T67" s="198"/>
      <c r="U67" s="198"/>
    </row>
    <row r="68" spans="1:21" s="12" customFormat="1" x14ac:dyDescent="0.25">
      <c r="A68" s="211" t="s">
        <v>1842</v>
      </c>
      <c r="B68" s="64">
        <v>2.2599999999999998</v>
      </c>
      <c r="C68" s="64">
        <v>26.56</v>
      </c>
      <c r="D68" s="64">
        <v>17.12</v>
      </c>
      <c r="E68" s="64">
        <v>2.11</v>
      </c>
      <c r="F68" s="64">
        <v>18.86</v>
      </c>
      <c r="G68" s="212" t="s">
        <v>43</v>
      </c>
      <c r="H68" s="212" t="s">
        <v>43</v>
      </c>
      <c r="I68" s="64">
        <v>0.61</v>
      </c>
      <c r="J68" s="64">
        <v>0.33</v>
      </c>
      <c r="K68" s="64">
        <v>270.36</v>
      </c>
      <c r="L68" s="64">
        <v>38.24</v>
      </c>
      <c r="M68" s="64">
        <v>18</v>
      </c>
      <c r="N68" s="64">
        <v>391.4</v>
      </c>
      <c r="O68" s="64">
        <v>0</v>
      </c>
      <c r="P68" s="64">
        <v>0.51</v>
      </c>
      <c r="Q68" s="64">
        <v>18.079999999999998</v>
      </c>
      <c r="R68" s="198"/>
      <c r="S68" s="198"/>
      <c r="T68" s="198"/>
      <c r="U68" s="198"/>
    </row>
    <row r="69" spans="1:21" s="12" customFormat="1" x14ac:dyDescent="0.25">
      <c r="A69" s="211" t="s">
        <v>1843</v>
      </c>
      <c r="B69" s="64">
        <v>1.98</v>
      </c>
      <c r="C69" s="64">
        <v>25.97</v>
      </c>
      <c r="D69" s="64">
        <v>16.57</v>
      </c>
      <c r="E69" s="64">
        <v>1.87</v>
      </c>
      <c r="F69" s="64">
        <v>11.96</v>
      </c>
      <c r="G69" s="64">
        <v>21.5</v>
      </c>
      <c r="H69" s="64">
        <v>19.22</v>
      </c>
      <c r="I69" s="64">
        <v>0.63</v>
      </c>
      <c r="J69" s="64">
        <v>0.63</v>
      </c>
      <c r="K69" s="64">
        <v>266.75</v>
      </c>
      <c r="L69" s="64">
        <v>38.159999999999997</v>
      </c>
      <c r="M69" s="64">
        <v>16.559999999999999</v>
      </c>
      <c r="N69" s="64">
        <v>218.7</v>
      </c>
      <c r="O69" s="64">
        <v>0</v>
      </c>
      <c r="P69" s="64">
        <v>0.5</v>
      </c>
      <c r="Q69" s="64">
        <v>16.8</v>
      </c>
      <c r="R69" s="198"/>
      <c r="S69" s="198"/>
      <c r="T69" s="198"/>
      <c r="U69" s="198"/>
    </row>
    <row r="70" spans="1:21" s="12" customFormat="1" x14ac:dyDescent="0.25">
      <c r="A70" s="211" t="s">
        <v>1844</v>
      </c>
      <c r="B70" s="64">
        <v>1.86</v>
      </c>
      <c r="C70" s="64">
        <v>27.73</v>
      </c>
      <c r="D70" s="64">
        <v>17.440000000000001</v>
      </c>
      <c r="E70" s="64">
        <v>2.41</v>
      </c>
      <c r="F70" s="64">
        <v>11.37</v>
      </c>
      <c r="G70" s="64">
        <v>21.5</v>
      </c>
      <c r="H70" s="64">
        <v>19.22</v>
      </c>
      <c r="I70" s="64">
        <v>0.69</v>
      </c>
      <c r="J70" s="64">
        <v>0.45</v>
      </c>
      <c r="K70" s="64">
        <v>269.73</v>
      </c>
      <c r="L70" s="64">
        <v>37.950000000000003</v>
      </c>
      <c r="M70" s="64">
        <v>16.09</v>
      </c>
      <c r="N70" s="64">
        <v>237.5</v>
      </c>
      <c r="O70" s="64">
        <v>0</v>
      </c>
      <c r="P70" s="64">
        <v>0.49</v>
      </c>
      <c r="Q70" s="64">
        <v>16.98</v>
      </c>
      <c r="R70" s="198"/>
      <c r="S70" s="198"/>
      <c r="T70" s="198"/>
      <c r="U70" s="198"/>
    </row>
    <row r="71" spans="1:21" s="12" customFormat="1" x14ac:dyDescent="0.25">
      <c r="A71" s="211" t="s">
        <v>1845</v>
      </c>
      <c r="B71" s="64">
        <v>2.36</v>
      </c>
      <c r="C71" s="64">
        <v>30.13</v>
      </c>
      <c r="D71" s="64">
        <v>19.170000000000002</v>
      </c>
      <c r="E71" s="64">
        <v>2.4300000000000002</v>
      </c>
      <c r="F71" s="64">
        <v>13.76</v>
      </c>
      <c r="G71" s="64">
        <v>26.94</v>
      </c>
      <c r="H71" s="64">
        <v>15.61</v>
      </c>
      <c r="I71" s="64">
        <v>0.68</v>
      </c>
      <c r="J71" s="64">
        <v>0.06</v>
      </c>
      <c r="K71" s="64">
        <v>275.57</v>
      </c>
      <c r="L71" s="64">
        <v>37.630000000000003</v>
      </c>
      <c r="M71" s="64">
        <v>15.77</v>
      </c>
      <c r="N71" s="64">
        <v>298.5</v>
      </c>
      <c r="O71" s="64">
        <v>0</v>
      </c>
      <c r="P71" s="64">
        <v>0.47</v>
      </c>
      <c r="Q71" s="64">
        <v>17.88</v>
      </c>
      <c r="R71" s="198"/>
      <c r="S71" s="198"/>
      <c r="T71" s="198"/>
      <c r="U71" s="198"/>
    </row>
    <row r="72" spans="1:21" s="12" customFormat="1" x14ac:dyDescent="0.25">
      <c r="A72" s="211" t="s">
        <v>1846</v>
      </c>
      <c r="B72" s="64">
        <v>1.21</v>
      </c>
      <c r="C72" s="64">
        <v>29.34</v>
      </c>
      <c r="D72" s="64">
        <v>17.809999999999999</v>
      </c>
      <c r="E72" s="64">
        <v>2.0699999999999998</v>
      </c>
      <c r="F72" s="64">
        <v>13.22</v>
      </c>
      <c r="G72" s="64">
        <v>27.7</v>
      </c>
      <c r="H72" s="64">
        <v>15.61</v>
      </c>
      <c r="I72" s="64">
        <v>0.68</v>
      </c>
      <c r="J72" s="64">
        <v>0.03</v>
      </c>
      <c r="K72" s="64">
        <v>219.5</v>
      </c>
      <c r="L72" s="64">
        <v>37.22</v>
      </c>
      <c r="M72" s="64">
        <v>16.350000000000001</v>
      </c>
      <c r="N72" s="64">
        <v>171.5</v>
      </c>
      <c r="O72" s="64">
        <v>0</v>
      </c>
      <c r="P72" s="64">
        <v>0.46</v>
      </c>
      <c r="Q72" s="64">
        <v>18.18</v>
      </c>
      <c r="R72" s="198"/>
      <c r="S72" s="198"/>
      <c r="T72" s="198"/>
      <c r="U72" s="198"/>
    </row>
    <row r="73" spans="1:21" s="12" customFormat="1" x14ac:dyDescent="0.25">
      <c r="A73" s="211" t="s">
        <v>1847</v>
      </c>
      <c r="B73" s="64">
        <v>1.22</v>
      </c>
      <c r="C73" s="64">
        <v>30.28</v>
      </c>
      <c r="D73" s="64">
        <v>18.34</v>
      </c>
      <c r="E73" s="64">
        <v>2.89</v>
      </c>
      <c r="F73" s="64">
        <v>10.66</v>
      </c>
      <c r="G73" s="64">
        <v>27.7</v>
      </c>
      <c r="H73" s="64">
        <v>15.61</v>
      </c>
      <c r="I73" s="64">
        <v>0.61</v>
      </c>
      <c r="J73" s="64">
        <v>0.06</v>
      </c>
      <c r="K73" s="64">
        <v>256.83999999999997</v>
      </c>
      <c r="L73" s="64">
        <v>37.22</v>
      </c>
      <c r="M73" s="64">
        <v>16.809999999999999</v>
      </c>
      <c r="N73" s="64">
        <v>113.2</v>
      </c>
      <c r="O73" s="64">
        <v>0</v>
      </c>
      <c r="P73" s="64">
        <v>0.47</v>
      </c>
      <c r="Q73" s="64">
        <v>18.670000000000002</v>
      </c>
      <c r="R73" s="198"/>
      <c r="S73" s="198"/>
      <c r="T73" s="198"/>
      <c r="U73" s="198"/>
    </row>
    <row r="74" spans="1:21" s="12" customFormat="1" x14ac:dyDescent="0.25">
      <c r="A74" s="211" t="s">
        <v>1848</v>
      </c>
      <c r="B74" s="64">
        <v>2.99</v>
      </c>
      <c r="C74" s="64">
        <v>30.92</v>
      </c>
      <c r="D74" s="64">
        <v>20.11</v>
      </c>
      <c r="E74" s="64">
        <v>2.86</v>
      </c>
      <c r="F74" s="64">
        <v>11.31</v>
      </c>
      <c r="G74" s="64">
        <v>27.7</v>
      </c>
      <c r="H74" s="64">
        <v>15.61</v>
      </c>
      <c r="I74" s="64">
        <v>0.61</v>
      </c>
      <c r="J74" s="64">
        <v>0.42</v>
      </c>
      <c r="K74" s="64">
        <v>268.61</v>
      </c>
      <c r="L74" s="64">
        <v>36.64</v>
      </c>
      <c r="M74" s="64">
        <v>18.98</v>
      </c>
      <c r="N74" s="64">
        <v>90.6</v>
      </c>
      <c r="O74" s="64">
        <v>0</v>
      </c>
      <c r="P74" s="64">
        <v>0.46</v>
      </c>
      <c r="Q74" s="64">
        <v>19.309999999999999</v>
      </c>
      <c r="R74" s="198"/>
      <c r="S74" s="198"/>
      <c r="T74" s="198"/>
      <c r="U74" s="198"/>
    </row>
    <row r="75" spans="1:21" s="12" customFormat="1" x14ac:dyDescent="0.25">
      <c r="A75" s="211" t="s">
        <v>1849</v>
      </c>
      <c r="B75" s="64">
        <v>3.5</v>
      </c>
      <c r="C75" s="64">
        <v>31.82</v>
      </c>
      <c r="D75" s="64">
        <v>21.01</v>
      </c>
      <c r="E75" s="64">
        <v>2.95</v>
      </c>
      <c r="F75" s="64">
        <v>10.41</v>
      </c>
      <c r="G75" s="64">
        <v>19.88</v>
      </c>
      <c r="H75" s="64">
        <v>16.36</v>
      </c>
      <c r="I75" s="64">
        <v>0.61</v>
      </c>
      <c r="J75" s="64">
        <v>0.02</v>
      </c>
      <c r="K75" s="64">
        <v>355.1</v>
      </c>
      <c r="L75" s="64">
        <v>36.21</v>
      </c>
      <c r="M75" s="64">
        <v>18.010000000000002</v>
      </c>
      <c r="N75" s="64">
        <v>103.7</v>
      </c>
      <c r="O75" s="64">
        <v>0</v>
      </c>
      <c r="P75" s="64">
        <v>0.48</v>
      </c>
      <c r="Q75" s="64">
        <v>19.829999999999998</v>
      </c>
      <c r="R75" s="198"/>
      <c r="S75" s="198"/>
      <c r="T75" s="198"/>
      <c r="U75" s="198"/>
    </row>
    <row r="76" spans="1:21" s="12" customFormat="1" x14ac:dyDescent="0.25">
      <c r="A76" s="211" t="s">
        <v>1850</v>
      </c>
      <c r="B76" s="64">
        <v>1.65</v>
      </c>
      <c r="C76" s="64">
        <v>38.700000000000003</v>
      </c>
      <c r="D76" s="64">
        <v>23.33</v>
      </c>
      <c r="E76" s="64">
        <v>2.62</v>
      </c>
      <c r="F76" s="64">
        <v>10.210000000000001</v>
      </c>
      <c r="G76" s="64">
        <v>18.8</v>
      </c>
      <c r="H76" s="64">
        <v>16.36</v>
      </c>
      <c r="I76" s="64">
        <v>0.59</v>
      </c>
      <c r="J76" s="64">
        <v>0.08</v>
      </c>
      <c r="K76" s="64">
        <v>253.9</v>
      </c>
      <c r="L76" s="64">
        <v>36.729999999999997</v>
      </c>
      <c r="M76" s="64">
        <v>16.86</v>
      </c>
      <c r="N76" s="64">
        <v>127.4</v>
      </c>
      <c r="O76" s="64">
        <v>0</v>
      </c>
      <c r="P76" s="64">
        <v>0.48</v>
      </c>
      <c r="Q76" s="64">
        <v>19.59</v>
      </c>
      <c r="R76" s="198"/>
      <c r="S76" s="198"/>
      <c r="T76" s="198"/>
      <c r="U76" s="198"/>
    </row>
    <row r="77" spans="1:21" s="12" customFormat="1" x14ac:dyDescent="0.25">
      <c r="A77" s="211" t="s">
        <v>1851</v>
      </c>
      <c r="B77" s="64">
        <v>3.55</v>
      </c>
      <c r="C77" s="64">
        <v>36.14</v>
      </c>
      <c r="D77" s="64">
        <v>23.45</v>
      </c>
      <c r="E77" s="64">
        <v>2.0699999999999998</v>
      </c>
      <c r="F77" s="64">
        <v>17.239999999999998</v>
      </c>
      <c r="G77" s="64">
        <v>18.8</v>
      </c>
      <c r="H77" s="64">
        <v>16.36</v>
      </c>
      <c r="I77" s="64">
        <v>0.56999999999999995</v>
      </c>
      <c r="J77" s="64">
        <v>0.1</v>
      </c>
      <c r="K77" s="64">
        <v>19.63</v>
      </c>
      <c r="L77" s="64">
        <v>36.58</v>
      </c>
      <c r="M77" s="64">
        <v>15.97</v>
      </c>
      <c r="N77" s="64">
        <v>78.099999999999994</v>
      </c>
      <c r="O77" s="64">
        <v>0</v>
      </c>
      <c r="P77" s="64">
        <v>0.49</v>
      </c>
      <c r="Q77" s="64">
        <v>0</v>
      </c>
      <c r="R77" s="198"/>
      <c r="S77" s="198"/>
      <c r="T77" s="198"/>
      <c r="U77" s="198"/>
    </row>
    <row r="78" spans="1:21" s="12" customFormat="1" x14ac:dyDescent="0.25">
      <c r="A78" s="211" t="s">
        <v>1852</v>
      </c>
      <c r="B78" s="64">
        <v>4.71</v>
      </c>
      <c r="C78" s="64">
        <v>33.86</v>
      </c>
      <c r="D78" s="64">
        <v>23.12</v>
      </c>
      <c r="E78" s="64">
        <v>2.37</v>
      </c>
      <c r="F78" s="64">
        <v>24.47</v>
      </c>
      <c r="G78" s="64">
        <v>18.8</v>
      </c>
      <c r="H78" s="64">
        <v>16.36</v>
      </c>
      <c r="I78" s="64">
        <v>0.56999999999999995</v>
      </c>
      <c r="J78" s="64">
        <v>0.05</v>
      </c>
      <c r="K78" s="64">
        <v>337.72</v>
      </c>
      <c r="L78" s="64">
        <v>35.32</v>
      </c>
      <c r="M78" s="64">
        <v>21.39</v>
      </c>
      <c r="N78" s="64">
        <v>51.9</v>
      </c>
      <c r="O78" s="64">
        <v>0</v>
      </c>
      <c r="P78" s="64">
        <v>0.56000000000000005</v>
      </c>
      <c r="Q78" s="64">
        <v>17.420000000000002</v>
      </c>
      <c r="R78" s="198"/>
      <c r="S78" s="198"/>
      <c r="T78" s="198"/>
      <c r="U78" s="198"/>
    </row>
    <row r="79" spans="1:21" s="12" customFormat="1" x14ac:dyDescent="0.25">
      <c r="A79" s="211" t="s">
        <v>1853</v>
      </c>
      <c r="B79" s="64">
        <v>24</v>
      </c>
      <c r="C79" s="64">
        <v>58.83</v>
      </c>
      <c r="D79" s="64">
        <v>51.63</v>
      </c>
      <c r="E79" s="64">
        <v>2.44</v>
      </c>
      <c r="F79" s="64">
        <v>23.4</v>
      </c>
      <c r="G79" s="64">
        <v>53.1</v>
      </c>
      <c r="H79" s="64">
        <v>17.63</v>
      </c>
      <c r="I79" s="64">
        <v>0.56999999999999995</v>
      </c>
      <c r="J79" s="64">
        <v>0.1</v>
      </c>
      <c r="K79" s="64">
        <v>32.19</v>
      </c>
      <c r="L79" s="64">
        <v>35.479999999999997</v>
      </c>
      <c r="M79" s="64">
        <v>18.29</v>
      </c>
      <c r="N79" s="64">
        <v>40</v>
      </c>
      <c r="O79" s="64">
        <v>0</v>
      </c>
      <c r="P79" s="64">
        <v>0.59</v>
      </c>
      <c r="Q79" s="64">
        <v>13.63</v>
      </c>
      <c r="R79" s="198"/>
      <c r="S79" s="198"/>
      <c r="T79" s="198"/>
      <c r="U79" s="198"/>
    </row>
    <row r="80" spans="1:21" s="12" customFormat="1" x14ac:dyDescent="0.25">
      <c r="A80" s="211" t="s">
        <v>1854</v>
      </c>
      <c r="B80" s="64">
        <v>6.77</v>
      </c>
      <c r="C80" s="64">
        <v>45.91</v>
      </c>
      <c r="D80" s="64">
        <v>31.42</v>
      </c>
      <c r="E80" s="64">
        <v>2.46</v>
      </c>
      <c r="F80" s="64">
        <v>27.08</v>
      </c>
      <c r="G80" s="64">
        <v>57.87</v>
      </c>
      <c r="H80" s="64">
        <v>17.63</v>
      </c>
      <c r="I80" s="64">
        <v>0.55000000000000004</v>
      </c>
      <c r="J80" s="64">
        <v>0.01</v>
      </c>
      <c r="K80" s="64">
        <v>19.75</v>
      </c>
      <c r="L80" s="64">
        <v>35.36</v>
      </c>
      <c r="M80" s="64">
        <v>17.66</v>
      </c>
      <c r="N80" s="64">
        <v>27.8</v>
      </c>
      <c r="O80" s="64">
        <v>0</v>
      </c>
      <c r="P80" s="64">
        <v>0.63</v>
      </c>
      <c r="Q80" s="64">
        <v>13.66</v>
      </c>
      <c r="R80" s="198"/>
      <c r="S80" s="198"/>
      <c r="T80" s="198"/>
      <c r="U80" s="198"/>
    </row>
    <row r="81" spans="1:26" s="12" customFormat="1" x14ac:dyDescent="0.25">
      <c r="A81" s="211" t="s">
        <v>1855</v>
      </c>
      <c r="B81" s="64">
        <v>5.73</v>
      </c>
      <c r="C81" s="64">
        <v>48.63</v>
      </c>
      <c r="D81" s="64">
        <v>32.08</v>
      </c>
      <c r="E81" s="64">
        <v>2.86</v>
      </c>
      <c r="F81" s="64">
        <v>19.09</v>
      </c>
      <c r="G81" s="64">
        <v>57.87</v>
      </c>
      <c r="H81" s="64">
        <v>17.63</v>
      </c>
      <c r="I81" s="64">
        <v>0.54</v>
      </c>
      <c r="J81" s="64">
        <v>0.12</v>
      </c>
      <c r="K81" s="64">
        <v>43.97</v>
      </c>
      <c r="L81" s="64">
        <v>34.65</v>
      </c>
      <c r="M81" s="64">
        <v>20.36</v>
      </c>
      <c r="N81" s="64">
        <v>14.9</v>
      </c>
      <c r="O81" s="64">
        <v>0</v>
      </c>
      <c r="P81" s="64">
        <v>0.67</v>
      </c>
      <c r="Q81" s="64">
        <v>12.84</v>
      </c>
      <c r="R81" s="198"/>
      <c r="S81" s="198"/>
      <c r="T81" s="198"/>
      <c r="U81" s="198"/>
    </row>
    <row r="82" spans="1:26" s="12" customFormat="1" x14ac:dyDescent="0.25">
      <c r="A82" s="211" t="s">
        <v>1856</v>
      </c>
      <c r="B82" s="64">
        <v>6.2</v>
      </c>
      <c r="C82" s="64">
        <v>56.2</v>
      </c>
      <c r="D82" s="64">
        <v>36.630000000000003</v>
      </c>
      <c r="E82" s="64">
        <v>3.47</v>
      </c>
      <c r="F82" s="64">
        <v>19.61</v>
      </c>
      <c r="G82" s="64">
        <v>57.87</v>
      </c>
      <c r="H82" s="64">
        <v>17.63</v>
      </c>
      <c r="I82" s="64">
        <v>0.54</v>
      </c>
      <c r="J82" s="64">
        <v>0.04</v>
      </c>
      <c r="K82" s="64">
        <v>30.46</v>
      </c>
      <c r="L82" s="64">
        <v>33.68</v>
      </c>
      <c r="M82" s="64">
        <v>23</v>
      </c>
      <c r="N82" s="64">
        <v>8.4</v>
      </c>
      <c r="O82" s="64">
        <v>0</v>
      </c>
      <c r="P82" s="64">
        <v>0.83</v>
      </c>
      <c r="Q82" s="64">
        <v>14.18</v>
      </c>
      <c r="R82" s="198"/>
      <c r="S82" s="198"/>
      <c r="T82" s="198"/>
      <c r="U82" s="198"/>
    </row>
    <row r="83" spans="1:26" s="12" customFormat="1" x14ac:dyDescent="0.25">
      <c r="A83" s="211" t="s">
        <v>1857</v>
      </c>
      <c r="B83" s="64">
        <v>7.89</v>
      </c>
      <c r="C83" s="64">
        <v>58.5</v>
      </c>
      <c r="D83" s="64">
        <v>39.26</v>
      </c>
      <c r="E83" s="64">
        <v>3.57</v>
      </c>
      <c r="F83" s="64">
        <v>19.66</v>
      </c>
      <c r="G83" s="64">
        <v>41.55</v>
      </c>
      <c r="H83" s="64">
        <v>15.44</v>
      </c>
      <c r="I83" s="64">
        <v>0.57999999999999996</v>
      </c>
      <c r="J83" s="64">
        <v>0.04</v>
      </c>
      <c r="K83" s="64">
        <v>5.2</v>
      </c>
      <c r="L83" s="64">
        <v>33.270000000000003</v>
      </c>
      <c r="M83" s="64">
        <v>23.11</v>
      </c>
      <c r="N83" s="64">
        <v>5.4</v>
      </c>
      <c r="O83" s="64">
        <v>0</v>
      </c>
      <c r="P83" s="64">
        <v>0.9</v>
      </c>
      <c r="Q83" s="64">
        <v>15.45</v>
      </c>
      <c r="R83" s="198"/>
      <c r="S83" s="198"/>
      <c r="T83" s="198"/>
      <c r="U83" s="198"/>
    </row>
    <row r="84" spans="1:26" s="12" customFormat="1" x14ac:dyDescent="0.25">
      <c r="A84" s="211" t="s">
        <v>1858</v>
      </c>
      <c r="B84" s="64">
        <v>6.03</v>
      </c>
      <c r="C84" s="64">
        <v>59.27</v>
      </c>
      <c r="D84" s="64">
        <v>38.200000000000003</v>
      </c>
      <c r="E84" s="64">
        <v>3.57</v>
      </c>
      <c r="F84" s="64">
        <v>17.63</v>
      </c>
      <c r="G84" s="64">
        <v>39.28</v>
      </c>
      <c r="H84" s="64">
        <v>15.44</v>
      </c>
      <c r="I84" s="64">
        <v>0.67</v>
      </c>
      <c r="J84" s="64">
        <v>0.06</v>
      </c>
      <c r="K84" s="64">
        <v>19.73</v>
      </c>
      <c r="L84" s="64">
        <v>33.630000000000003</v>
      </c>
      <c r="M84" s="64">
        <v>20.95</v>
      </c>
      <c r="N84" s="64">
        <v>4.5</v>
      </c>
      <c r="O84" s="64">
        <v>0</v>
      </c>
      <c r="P84" s="64">
        <v>0.95</v>
      </c>
      <c r="Q84" s="64">
        <v>15.87</v>
      </c>
      <c r="R84" s="198"/>
      <c r="S84" s="198"/>
      <c r="T84" s="198"/>
      <c r="U84" s="198"/>
    </row>
    <row r="85" spans="1:26" s="12" customFormat="1" x14ac:dyDescent="0.25">
      <c r="A85" s="211" t="s">
        <v>1859</v>
      </c>
      <c r="B85" s="64">
        <v>5.95</v>
      </c>
      <c r="C85" s="64">
        <v>52.8</v>
      </c>
      <c r="D85" s="64">
        <v>34.56</v>
      </c>
      <c r="E85" s="64">
        <v>3.18</v>
      </c>
      <c r="F85" s="64">
        <v>17.170000000000002</v>
      </c>
      <c r="G85" s="64">
        <v>39.28</v>
      </c>
      <c r="H85" s="64">
        <v>15.44</v>
      </c>
      <c r="I85" s="64">
        <v>0.69</v>
      </c>
      <c r="J85" s="64">
        <v>0.04</v>
      </c>
      <c r="K85" s="64">
        <v>343.3</v>
      </c>
      <c r="L85" s="64">
        <v>33.380000000000003</v>
      </c>
      <c r="M85" s="64">
        <v>21.55</v>
      </c>
      <c r="N85" s="64">
        <v>4.5999999999999996</v>
      </c>
      <c r="O85" s="64">
        <v>0</v>
      </c>
      <c r="P85" s="64">
        <v>0.87</v>
      </c>
      <c r="Q85" s="64">
        <v>16.510000000000002</v>
      </c>
      <c r="R85" s="198"/>
      <c r="S85" s="198"/>
      <c r="T85" s="198"/>
      <c r="U85" s="198"/>
    </row>
    <row r="86" spans="1:26" s="12" customFormat="1" x14ac:dyDescent="0.25">
      <c r="A86" s="211" t="s">
        <v>1860</v>
      </c>
      <c r="B86" s="64">
        <v>12.28</v>
      </c>
      <c r="C86" s="64">
        <v>62.33</v>
      </c>
      <c r="D86" s="64">
        <v>44.9</v>
      </c>
      <c r="E86" s="64">
        <v>3.51</v>
      </c>
      <c r="F86" s="64">
        <v>16.690000000000001</v>
      </c>
      <c r="G86" s="64">
        <v>39.28</v>
      </c>
      <c r="H86" s="64">
        <v>15.44</v>
      </c>
      <c r="I86" s="64">
        <v>0.7</v>
      </c>
      <c r="J86" s="64">
        <v>0.04</v>
      </c>
      <c r="K86" s="64">
        <v>318.51</v>
      </c>
      <c r="L86" s="64">
        <v>33.03</v>
      </c>
      <c r="M86" s="64">
        <v>22.43</v>
      </c>
      <c r="N86" s="64">
        <v>4.9000000000000004</v>
      </c>
      <c r="O86" s="64">
        <v>0</v>
      </c>
      <c r="P86" s="64">
        <v>1.1499999999999999</v>
      </c>
      <c r="Q86" s="64">
        <v>16.11</v>
      </c>
      <c r="R86" s="198"/>
      <c r="S86" s="198"/>
      <c r="T86" s="198"/>
      <c r="U86" s="198"/>
    </row>
    <row r="87" spans="1:26" s="12" customFormat="1" x14ac:dyDescent="0.25">
      <c r="A87" s="211" t="s">
        <v>1861</v>
      </c>
      <c r="B87" s="64">
        <v>21.25</v>
      </c>
      <c r="C87" s="64">
        <v>70.55</v>
      </c>
      <c r="D87" s="64">
        <v>56.62</v>
      </c>
      <c r="E87" s="64">
        <v>3.78</v>
      </c>
      <c r="F87" s="64">
        <v>11.81</v>
      </c>
      <c r="G87" s="64">
        <v>16.32</v>
      </c>
      <c r="H87" s="64">
        <v>20.22</v>
      </c>
      <c r="I87" s="64">
        <v>0.66</v>
      </c>
      <c r="J87" s="64">
        <v>0.03</v>
      </c>
      <c r="K87" s="64">
        <v>49.23</v>
      </c>
      <c r="L87" s="64">
        <v>32.409999999999997</v>
      </c>
      <c r="M87" s="64">
        <v>24.33</v>
      </c>
      <c r="N87" s="64">
        <v>5</v>
      </c>
      <c r="O87" s="64">
        <v>0</v>
      </c>
      <c r="P87" s="64">
        <v>1.47</v>
      </c>
      <c r="Q87" s="64">
        <v>13.27</v>
      </c>
      <c r="R87" s="198"/>
      <c r="S87" s="198"/>
      <c r="T87" s="198"/>
      <c r="U87" s="198"/>
    </row>
    <row r="88" spans="1:26" s="12" customFormat="1" x14ac:dyDescent="0.25">
      <c r="A88" s="211" t="s">
        <v>1862</v>
      </c>
      <c r="B88" s="64">
        <v>19.600000000000001</v>
      </c>
      <c r="C88" s="64">
        <v>78.05</v>
      </c>
      <c r="D88" s="64">
        <v>59.44</v>
      </c>
      <c r="E88" s="64">
        <v>2.42</v>
      </c>
      <c r="F88" s="64">
        <v>15.38</v>
      </c>
      <c r="G88" s="64">
        <v>12.78</v>
      </c>
      <c r="H88" s="64">
        <v>20.22</v>
      </c>
      <c r="I88" s="64">
        <v>0.72</v>
      </c>
      <c r="J88" s="64">
        <v>0.02</v>
      </c>
      <c r="K88" s="64">
        <v>332.79</v>
      </c>
      <c r="L88" s="64">
        <v>32.369999999999997</v>
      </c>
      <c r="M88" s="64">
        <v>24.76</v>
      </c>
      <c r="N88" s="64">
        <v>4.7</v>
      </c>
      <c r="O88" s="64">
        <v>0</v>
      </c>
      <c r="P88" s="64">
        <v>1.45</v>
      </c>
      <c r="Q88" s="64">
        <v>16.61</v>
      </c>
      <c r="R88" s="198"/>
      <c r="S88" s="198"/>
      <c r="T88" s="198"/>
      <c r="U88" s="198"/>
    </row>
    <row r="89" spans="1:26" s="12" customFormat="1" x14ac:dyDescent="0.25">
      <c r="A89" s="211" t="s">
        <v>1863</v>
      </c>
      <c r="B89" s="64">
        <v>18.309999999999999</v>
      </c>
      <c r="C89" s="64">
        <v>72.11</v>
      </c>
      <c r="D89" s="64">
        <v>55.12</v>
      </c>
      <c r="E89" s="64">
        <v>2.78</v>
      </c>
      <c r="F89" s="64">
        <v>17.16</v>
      </c>
      <c r="G89" s="64">
        <v>12.78</v>
      </c>
      <c r="H89" s="64">
        <v>20.22</v>
      </c>
      <c r="I89" s="64">
        <v>0.8</v>
      </c>
      <c r="J89" s="64">
        <v>0.02</v>
      </c>
      <c r="K89" s="64">
        <v>9.57</v>
      </c>
      <c r="L89" s="64">
        <v>32.049999999999997</v>
      </c>
      <c r="M89" s="64">
        <v>26.1</v>
      </c>
      <c r="N89" s="64">
        <v>4.7</v>
      </c>
      <c r="O89" s="64">
        <v>0</v>
      </c>
      <c r="P89" s="64">
        <v>1.45</v>
      </c>
      <c r="Q89" s="64">
        <v>15.48</v>
      </c>
      <c r="R89" s="198"/>
      <c r="S89" s="198"/>
      <c r="T89" s="198"/>
      <c r="U89" s="198"/>
    </row>
    <row r="90" spans="1:26" s="12" customFormat="1" x14ac:dyDescent="0.25">
      <c r="A90" s="211" t="s">
        <v>1864</v>
      </c>
      <c r="B90" s="64">
        <v>21.15</v>
      </c>
      <c r="C90" s="64">
        <v>65</v>
      </c>
      <c r="D90" s="64">
        <v>53.48</v>
      </c>
      <c r="E90" s="64">
        <v>2.54</v>
      </c>
      <c r="F90" s="64">
        <v>18.82</v>
      </c>
      <c r="G90" s="64">
        <v>12.78</v>
      </c>
      <c r="H90" s="64">
        <v>20.22</v>
      </c>
      <c r="I90" s="64">
        <v>0.81</v>
      </c>
      <c r="J90" s="64">
        <v>0.02</v>
      </c>
      <c r="K90" s="64">
        <v>27.81</v>
      </c>
      <c r="L90" s="64">
        <v>31.71</v>
      </c>
      <c r="M90" s="64">
        <v>27.12</v>
      </c>
      <c r="N90" s="64">
        <v>4.5999999999999996</v>
      </c>
      <c r="O90" s="64">
        <v>0</v>
      </c>
      <c r="P90" s="64">
        <v>1.42</v>
      </c>
      <c r="Q90" s="64">
        <v>15.33</v>
      </c>
      <c r="R90" s="198"/>
      <c r="S90" s="198"/>
      <c r="T90" s="198"/>
      <c r="U90" s="198"/>
    </row>
    <row r="91" spans="1:26" s="12" customFormat="1" x14ac:dyDescent="0.25">
      <c r="A91" s="211" t="s">
        <v>1865</v>
      </c>
      <c r="B91" s="64">
        <v>15.94</v>
      </c>
      <c r="C91" s="64">
        <v>69.86</v>
      </c>
      <c r="D91" s="64">
        <v>51.98</v>
      </c>
      <c r="E91" s="64">
        <v>2.39</v>
      </c>
      <c r="F91" s="64">
        <v>16.46</v>
      </c>
      <c r="G91" s="64">
        <v>58.84</v>
      </c>
      <c r="H91" s="64">
        <v>22.96</v>
      </c>
      <c r="I91" s="64">
        <v>0.79</v>
      </c>
      <c r="J91" s="64">
        <v>0.04</v>
      </c>
      <c r="K91" s="64">
        <v>58.37</v>
      </c>
      <c r="L91" s="64">
        <v>31.62</v>
      </c>
      <c r="M91" s="64">
        <v>27.24</v>
      </c>
      <c r="N91" s="64">
        <v>4.5999999999999996</v>
      </c>
      <c r="O91" s="64">
        <v>0</v>
      </c>
      <c r="P91" s="64">
        <v>1.28</v>
      </c>
      <c r="Q91" s="64">
        <v>13.47</v>
      </c>
      <c r="R91" s="198"/>
      <c r="S91" s="198"/>
      <c r="T91" s="198"/>
      <c r="U91" s="198"/>
    </row>
    <row r="92" spans="1:26" s="12" customFormat="1" x14ac:dyDescent="0.25">
      <c r="A92" s="211" t="s">
        <v>1866</v>
      </c>
      <c r="B92" s="64">
        <v>9.32</v>
      </c>
      <c r="C92" s="64">
        <v>58.57</v>
      </c>
      <c r="D92" s="64">
        <v>40.450000000000003</v>
      </c>
      <c r="E92" s="64">
        <v>3.1</v>
      </c>
      <c r="F92" s="64">
        <v>17.809999999999999</v>
      </c>
      <c r="G92" s="64">
        <v>65.25</v>
      </c>
      <c r="H92" s="64">
        <v>22.96</v>
      </c>
      <c r="I92" s="64">
        <v>0.8</v>
      </c>
      <c r="J92" s="64">
        <v>0.03</v>
      </c>
      <c r="K92" s="64">
        <v>215.82</v>
      </c>
      <c r="L92" s="64">
        <v>31.27</v>
      </c>
      <c r="M92" s="64">
        <v>28.06</v>
      </c>
      <c r="N92" s="64">
        <v>4.7</v>
      </c>
      <c r="O92" s="64">
        <v>0</v>
      </c>
      <c r="P92" s="64">
        <v>1.1599999999999999</v>
      </c>
      <c r="Q92" s="64">
        <v>14.96</v>
      </c>
      <c r="R92" s="198"/>
      <c r="S92" s="198"/>
      <c r="T92" s="198"/>
      <c r="U92" s="198"/>
    </row>
    <row r="93" spans="1:26" s="12" customFormat="1" x14ac:dyDescent="0.25">
      <c r="A93" s="211" t="s">
        <v>1867</v>
      </c>
      <c r="B93" s="64">
        <v>12.79</v>
      </c>
      <c r="C93" s="64">
        <v>62.45</v>
      </c>
      <c r="D93" s="64">
        <v>45.37</v>
      </c>
      <c r="E93" s="64">
        <v>3.5</v>
      </c>
      <c r="F93" s="64">
        <v>13.36</v>
      </c>
      <c r="G93" s="64">
        <v>65.25</v>
      </c>
      <c r="H93" s="64">
        <v>22.96</v>
      </c>
      <c r="I93" s="64">
        <v>0.75</v>
      </c>
      <c r="J93" s="64">
        <v>0.04</v>
      </c>
      <c r="K93" s="64">
        <v>59.36</v>
      </c>
      <c r="L93" s="64">
        <v>31.07</v>
      </c>
      <c r="M93" s="64">
        <v>28.43</v>
      </c>
      <c r="N93" s="64">
        <v>4.5999999999999996</v>
      </c>
      <c r="O93" s="64">
        <v>0</v>
      </c>
      <c r="P93" s="64">
        <v>1.1000000000000001</v>
      </c>
      <c r="Q93" s="64">
        <v>15.87</v>
      </c>
      <c r="R93" s="198"/>
      <c r="S93" s="198"/>
      <c r="T93" s="198"/>
      <c r="U93" s="198"/>
    </row>
    <row r="94" spans="1:26" s="12" customFormat="1" x14ac:dyDescent="0.25">
      <c r="A94" s="211" t="s">
        <v>1868</v>
      </c>
      <c r="B94" s="64">
        <v>17.309999999999999</v>
      </c>
      <c r="C94" s="64">
        <v>63.93</v>
      </c>
      <c r="D94" s="64">
        <v>49.8</v>
      </c>
      <c r="E94" s="64">
        <v>4.1399999999999997</v>
      </c>
      <c r="F94" s="64">
        <v>14.67</v>
      </c>
      <c r="G94" s="64">
        <v>65.25</v>
      </c>
      <c r="H94" s="64">
        <v>22.96</v>
      </c>
      <c r="I94" s="64">
        <v>0.77</v>
      </c>
      <c r="J94" s="64">
        <v>0.05</v>
      </c>
      <c r="K94" s="64">
        <v>267.45</v>
      </c>
      <c r="L94" s="64">
        <v>30.78</v>
      </c>
      <c r="M94" s="64">
        <v>29.13</v>
      </c>
      <c r="N94" s="64">
        <v>4.9000000000000004</v>
      </c>
      <c r="O94" s="64">
        <v>0</v>
      </c>
      <c r="P94" s="64">
        <v>1.1499999999999999</v>
      </c>
      <c r="Q94" s="64">
        <v>14.83</v>
      </c>
      <c r="R94" s="198"/>
      <c r="S94" s="198"/>
      <c r="T94" s="198"/>
      <c r="U94" s="198"/>
    </row>
    <row r="95" spans="1:26" s="12" customFormat="1" x14ac:dyDescent="0.25">
      <c r="A95" s="211" t="s">
        <v>1869</v>
      </c>
      <c r="B95" s="64">
        <v>13.62</v>
      </c>
      <c r="C95" s="64">
        <v>61.61</v>
      </c>
      <c r="D95" s="64">
        <v>45.57</v>
      </c>
      <c r="E95" s="64">
        <v>4.74</v>
      </c>
      <c r="F95" s="64">
        <v>14.83</v>
      </c>
      <c r="G95" s="64">
        <v>37.19</v>
      </c>
      <c r="H95" s="64">
        <v>22.34</v>
      </c>
      <c r="I95" s="64">
        <v>0.74</v>
      </c>
      <c r="J95" s="64">
        <v>0.05</v>
      </c>
      <c r="K95" s="64">
        <v>279.27</v>
      </c>
      <c r="L95" s="64">
        <v>30.32</v>
      </c>
      <c r="M95" s="64">
        <v>30.22</v>
      </c>
      <c r="N95" s="64">
        <v>4.9000000000000004</v>
      </c>
      <c r="O95" s="64">
        <v>0</v>
      </c>
      <c r="P95" s="64">
        <v>1.22</v>
      </c>
      <c r="Q95" s="64">
        <v>15.45</v>
      </c>
      <c r="R95" s="198"/>
      <c r="S95" s="198"/>
      <c r="T95" s="198"/>
      <c r="U95" s="198"/>
    </row>
    <row r="96" spans="1:26" s="12" customFormat="1" x14ac:dyDescent="0.25">
      <c r="A96" s="211" t="s">
        <v>1870</v>
      </c>
      <c r="B96" s="64">
        <v>18.32</v>
      </c>
      <c r="C96" s="64">
        <v>71.7</v>
      </c>
      <c r="D96" s="64">
        <v>54.91</v>
      </c>
      <c r="E96" s="64">
        <v>5.26</v>
      </c>
      <c r="F96" s="64">
        <v>12.6</v>
      </c>
      <c r="G96" s="64">
        <v>33.29</v>
      </c>
      <c r="H96" s="64">
        <v>22.34</v>
      </c>
      <c r="I96" s="64">
        <v>0.75</v>
      </c>
      <c r="J96" s="64">
        <v>0.06</v>
      </c>
      <c r="K96" s="64">
        <v>269.82</v>
      </c>
      <c r="L96" s="64">
        <v>29.98</v>
      </c>
      <c r="M96" s="64">
        <v>30.83</v>
      </c>
      <c r="N96" s="64">
        <v>4.9000000000000004</v>
      </c>
      <c r="O96" s="64">
        <v>0</v>
      </c>
      <c r="P96" s="64">
        <v>1.32</v>
      </c>
      <c r="Q96" s="64">
        <v>14.31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1871</v>
      </c>
      <c r="B97" s="64">
        <v>16.82</v>
      </c>
      <c r="C97" s="64">
        <v>66.89</v>
      </c>
      <c r="D97" s="64">
        <v>51.05</v>
      </c>
      <c r="E97" s="64">
        <v>4.83</v>
      </c>
      <c r="F97" s="64">
        <v>13.17</v>
      </c>
      <c r="G97" s="64">
        <v>33.29</v>
      </c>
      <c r="H97" s="64">
        <v>22.34</v>
      </c>
      <c r="I97" s="64">
        <v>0.68</v>
      </c>
      <c r="J97" s="64">
        <v>0.02</v>
      </c>
      <c r="K97" s="64">
        <v>258.25</v>
      </c>
      <c r="L97" s="64">
        <v>29.44</v>
      </c>
      <c r="M97" s="64">
        <v>32.450000000000003</v>
      </c>
      <c r="N97" s="64">
        <v>5.2</v>
      </c>
      <c r="O97" s="64">
        <v>0</v>
      </c>
      <c r="P97" s="64">
        <v>1.26</v>
      </c>
      <c r="Q97" s="64">
        <v>14.49</v>
      </c>
      <c r="R97" s="198"/>
      <c r="S97" s="198"/>
      <c r="T97" s="198"/>
      <c r="U97" s="198"/>
    </row>
    <row r="98" spans="1:33" s="12" customFormat="1" x14ac:dyDescent="0.25">
      <c r="A98" s="211" t="s">
        <v>1872</v>
      </c>
      <c r="B98" s="64">
        <v>7.17</v>
      </c>
      <c r="C98" s="64">
        <v>55.56</v>
      </c>
      <c r="D98" s="64">
        <v>37.06</v>
      </c>
      <c r="E98" s="64">
        <v>4.88</v>
      </c>
      <c r="F98" s="64">
        <v>19.91</v>
      </c>
      <c r="G98" s="64">
        <v>33.29</v>
      </c>
      <c r="H98" s="64">
        <v>22.34</v>
      </c>
      <c r="I98" s="64">
        <v>0.69</v>
      </c>
      <c r="J98" s="64">
        <v>0.08</v>
      </c>
      <c r="K98" s="64">
        <v>254.66</v>
      </c>
      <c r="L98" s="64">
        <v>29.51</v>
      </c>
      <c r="M98" s="64">
        <v>31.63</v>
      </c>
      <c r="N98" s="64">
        <v>4.5999999999999996</v>
      </c>
      <c r="O98" s="64">
        <v>0</v>
      </c>
      <c r="P98" s="64">
        <v>0.98</v>
      </c>
      <c r="Q98" s="64">
        <v>16.41</v>
      </c>
      <c r="R98" s="198"/>
      <c r="S98" s="198"/>
      <c r="T98" s="198"/>
      <c r="U98" s="198"/>
    </row>
    <row r="99" spans="1:33" s="12" customFormat="1" x14ac:dyDescent="0.25">
      <c r="A99" s="211" t="s">
        <v>1873</v>
      </c>
      <c r="B99" s="64">
        <v>9.64</v>
      </c>
      <c r="C99" s="64">
        <v>57.59</v>
      </c>
      <c r="D99" s="64">
        <v>40.15</v>
      </c>
      <c r="E99" s="64">
        <v>4.91</v>
      </c>
      <c r="F99" s="64">
        <v>18.57</v>
      </c>
      <c r="G99" s="64">
        <v>44.08</v>
      </c>
      <c r="H99" s="64">
        <v>25.57</v>
      </c>
      <c r="I99" s="64">
        <v>0.68</v>
      </c>
      <c r="J99" s="64">
        <v>0.11</v>
      </c>
      <c r="K99" s="64">
        <v>250.76</v>
      </c>
      <c r="L99" s="64">
        <v>29.13</v>
      </c>
      <c r="M99" s="64">
        <v>33.11</v>
      </c>
      <c r="N99" s="64">
        <v>5</v>
      </c>
      <c r="O99" s="64">
        <v>0</v>
      </c>
      <c r="P99" s="64">
        <v>1.03</v>
      </c>
      <c r="Q99" s="64">
        <v>16.46</v>
      </c>
      <c r="R99" s="198"/>
      <c r="S99" s="198"/>
      <c r="T99" s="198"/>
      <c r="U99" s="198"/>
    </row>
    <row r="100" spans="1:33" s="12" customFormat="1" x14ac:dyDescent="0.25">
      <c r="A100" s="211" t="s">
        <v>1874</v>
      </c>
      <c r="B100" s="64">
        <v>12.26</v>
      </c>
      <c r="C100" s="64">
        <v>50.94</v>
      </c>
      <c r="D100" s="64">
        <v>38.590000000000003</v>
      </c>
      <c r="E100" s="64">
        <v>4.18</v>
      </c>
      <c r="F100" s="64">
        <v>24.46</v>
      </c>
      <c r="G100" s="64">
        <v>45.58</v>
      </c>
      <c r="H100" s="64">
        <v>25.57</v>
      </c>
      <c r="I100" s="64">
        <v>0.63</v>
      </c>
      <c r="J100" s="64">
        <v>0.08</v>
      </c>
      <c r="K100" s="64">
        <v>266.43</v>
      </c>
      <c r="L100" s="64">
        <v>28.79</v>
      </c>
      <c r="M100" s="64">
        <v>34.04</v>
      </c>
      <c r="N100" s="64">
        <v>5</v>
      </c>
      <c r="O100" s="64">
        <v>0</v>
      </c>
      <c r="P100" s="64">
        <v>0.85</v>
      </c>
      <c r="Q100" s="64">
        <v>16.579999999999998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1875</v>
      </c>
      <c r="B101" s="64">
        <v>6.73</v>
      </c>
      <c r="C101" s="64">
        <v>51.86</v>
      </c>
      <c r="D101" s="64">
        <v>34.659999999999997</v>
      </c>
      <c r="E101" s="64">
        <v>4.0599999999999996</v>
      </c>
      <c r="F101" s="64">
        <v>20.82</v>
      </c>
      <c r="G101" s="64">
        <v>45.58</v>
      </c>
      <c r="H101" s="64">
        <v>25.57</v>
      </c>
      <c r="I101" s="64">
        <v>0.59</v>
      </c>
      <c r="J101" s="64">
        <v>0.03</v>
      </c>
      <c r="K101" s="64">
        <v>268.52</v>
      </c>
      <c r="L101" s="64">
        <v>29.65</v>
      </c>
      <c r="M101" s="64">
        <v>31.28</v>
      </c>
      <c r="N101" s="64">
        <v>4</v>
      </c>
      <c r="O101" s="64">
        <v>0</v>
      </c>
      <c r="P101" s="64">
        <v>0.75</v>
      </c>
      <c r="Q101" s="64">
        <v>17.75</v>
      </c>
      <c r="R101" s="198"/>
      <c r="S101" s="198"/>
      <c r="T101" s="198"/>
      <c r="U101" s="198"/>
    </row>
    <row r="102" spans="1:33" s="12" customFormat="1" x14ac:dyDescent="0.25">
      <c r="A102" s="211" t="s">
        <v>1876</v>
      </c>
      <c r="B102" s="64">
        <v>7.25</v>
      </c>
      <c r="C102" s="64">
        <v>51.83</v>
      </c>
      <c r="D102" s="64">
        <v>35.06</v>
      </c>
      <c r="E102" s="64">
        <v>3.24</v>
      </c>
      <c r="F102" s="64">
        <v>23.95</v>
      </c>
      <c r="G102" s="64">
        <v>45.58</v>
      </c>
      <c r="H102" s="64">
        <v>25.57</v>
      </c>
      <c r="I102" s="64">
        <v>0.69</v>
      </c>
      <c r="J102" s="64">
        <v>0.04</v>
      </c>
      <c r="K102" s="64">
        <v>266.55</v>
      </c>
      <c r="L102" s="64">
        <v>29.51</v>
      </c>
      <c r="M102" s="64">
        <v>32.32</v>
      </c>
      <c r="N102" s="64">
        <v>4.8</v>
      </c>
      <c r="O102" s="64">
        <v>0</v>
      </c>
      <c r="P102" s="64">
        <v>0.79</v>
      </c>
      <c r="Q102" s="64">
        <v>18.29</v>
      </c>
      <c r="R102" s="198"/>
      <c r="S102" s="198"/>
      <c r="T102" s="198"/>
      <c r="U102" s="198"/>
    </row>
    <row r="103" spans="1:33" s="12" customFormat="1" x14ac:dyDescent="0.25">
      <c r="A103" s="211" t="s">
        <v>1877</v>
      </c>
      <c r="B103" s="64">
        <v>6.81</v>
      </c>
      <c r="C103" s="64">
        <v>49.19</v>
      </c>
      <c r="D103" s="64">
        <v>33.26</v>
      </c>
      <c r="E103" s="64">
        <v>2.77</v>
      </c>
      <c r="F103" s="64">
        <v>23.78</v>
      </c>
      <c r="G103" s="64">
        <v>57.01</v>
      </c>
      <c r="H103" s="64">
        <v>24.6</v>
      </c>
      <c r="I103" s="64">
        <v>0.57999999999999996</v>
      </c>
      <c r="J103" s="64">
        <v>0.13</v>
      </c>
      <c r="K103" s="64">
        <v>261.93</v>
      </c>
      <c r="L103" s="64">
        <v>28.6</v>
      </c>
      <c r="M103" s="64">
        <v>35.090000000000003</v>
      </c>
      <c r="N103" s="64">
        <v>5.3</v>
      </c>
      <c r="O103" s="64">
        <v>0</v>
      </c>
      <c r="P103" s="64">
        <v>0.77</v>
      </c>
      <c r="Q103" s="64">
        <v>18.46</v>
      </c>
      <c r="R103" s="198"/>
      <c r="S103" s="198"/>
      <c r="T103" s="198"/>
      <c r="U103" s="198"/>
    </row>
    <row r="104" spans="1:33" s="12" customFormat="1" x14ac:dyDescent="0.25">
      <c r="A104" s="211" t="s">
        <v>1878</v>
      </c>
      <c r="B104" s="64">
        <v>7.63</v>
      </c>
      <c r="C104" s="64">
        <v>45.99</v>
      </c>
      <c r="D104" s="64">
        <v>32.15</v>
      </c>
      <c r="E104" s="64">
        <v>2.06</v>
      </c>
      <c r="F104" s="64">
        <v>20.78</v>
      </c>
      <c r="G104" s="64">
        <v>58.6</v>
      </c>
      <c r="H104" s="64">
        <v>24.6</v>
      </c>
      <c r="I104" s="64">
        <v>0.55000000000000004</v>
      </c>
      <c r="J104" s="64">
        <v>0.13</v>
      </c>
      <c r="K104" s="64">
        <v>256.52</v>
      </c>
      <c r="L104" s="64">
        <v>27.91</v>
      </c>
      <c r="M104" s="64">
        <v>37.119999999999997</v>
      </c>
      <c r="N104" s="64">
        <v>5.2</v>
      </c>
      <c r="O104" s="64">
        <v>0</v>
      </c>
      <c r="P104" s="64">
        <v>0.76</v>
      </c>
      <c r="Q104" s="64">
        <v>18.23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1.21</v>
      </c>
      <c r="C106" s="67">
        <f>MIN(C9:C104)</f>
        <v>25.97</v>
      </c>
      <c r="D106" s="67">
        <f t="shared" ref="D106:Q106" si="0">MIN(D9:D104)</f>
        <v>16.57</v>
      </c>
      <c r="E106" s="67">
        <f t="shared" si="0"/>
        <v>1.87</v>
      </c>
      <c r="F106" s="67">
        <f t="shared" si="0"/>
        <v>3.33</v>
      </c>
      <c r="G106" s="67">
        <f t="shared" si="0"/>
        <v>12.78</v>
      </c>
      <c r="H106" s="67">
        <f t="shared" si="0"/>
        <v>15.44</v>
      </c>
      <c r="I106" s="67">
        <f t="shared" si="0"/>
        <v>0.54</v>
      </c>
      <c r="J106" s="67">
        <f t="shared" si="0"/>
        <v>0.01</v>
      </c>
      <c r="K106" s="67">
        <f t="shared" si="0"/>
        <v>5.2</v>
      </c>
      <c r="L106" s="67">
        <f t="shared" si="0"/>
        <v>25.37</v>
      </c>
      <c r="M106" s="67">
        <f t="shared" si="0"/>
        <v>15.77</v>
      </c>
      <c r="N106" s="67">
        <f t="shared" si="0"/>
        <v>4</v>
      </c>
      <c r="O106" s="67">
        <f t="shared" si="0"/>
        <v>0</v>
      </c>
      <c r="P106" s="67">
        <f t="shared" si="0"/>
        <v>0.41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34.31</v>
      </c>
      <c r="C107" s="66">
        <f t="shared" ref="C107:Q107" si="1">MAX(C9:C104)</f>
        <v>78.05</v>
      </c>
      <c r="D107" s="66">
        <f t="shared" si="1"/>
        <v>59.44</v>
      </c>
      <c r="E107" s="66">
        <f t="shared" si="1"/>
        <v>8.5299999999999994</v>
      </c>
      <c r="F107" s="66">
        <f t="shared" si="1"/>
        <v>38.47</v>
      </c>
      <c r="G107" s="66">
        <f t="shared" si="1"/>
        <v>132.21</v>
      </c>
      <c r="H107" s="66">
        <f t="shared" si="1"/>
        <v>34.08</v>
      </c>
      <c r="I107" s="66">
        <f t="shared" si="1"/>
        <v>0.81</v>
      </c>
      <c r="J107" s="66">
        <f t="shared" si="1"/>
        <v>1</v>
      </c>
      <c r="K107" s="66">
        <f t="shared" si="1"/>
        <v>355.1</v>
      </c>
      <c r="L107" s="66">
        <f t="shared" si="1"/>
        <v>40.76</v>
      </c>
      <c r="M107" s="66">
        <f t="shared" si="1"/>
        <v>49.99</v>
      </c>
      <c r="N107" s="66">
        <f t="shared" si="1"/>
        <v>893.3</v>
      </c>
      <c r="O107" s="66">
        <f t="shared" si="1"/>
        <v>0</v>
      </c>
      <c r="P107" s="66">
        <f t="shared" si="1"/>
        <v>1.47</v>
      </c>
      <c r="Q107" s="66">
        <f t="shared" si="1"/>
        <v>22.43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8.3278125000000021</v>
      </c>
      <c r="C108" s="67">
        <f t="shared" ref="C108:Q108" si="2">AVERAGE(C9:C104)</f>
        <v>42.440833333333337</v>
      </c>
      <c r="D108" s="67">
        <f t="shared" si="2"/>
        <v>30.739791666666662</v>
      </c>
      <c r="E108" s="67">
        <f t="shared" si="2"/>
        <v>3.9914583333333327</v>
      </c>
      <c r="F108" s="67">
        <f t="shared" si="2"/>
        <v>16.855312500000004</v>
      </c>
      <c r="G108" s="67">
        <f t="shared" si="2"/>
        <v>55.48228915662655</v>
      </c>
      <c r="H108" s="67">
        <f t="shared" si="2"/>
        <v>24.429069767441856</v>
      </c>
      <c r="I108" s="67">
        <f t="shared" si="2"/>
        <v>0.64322916666666663</v>
      </c>
      <c r="J108" s="67">
        <f t="shared" si="2"/>
        <v>0.18552083333333325</v>
      </c>
      <c r="K108" s="67">
        <f t="shared" si="2"/>
        <v>231.70062499999995</v>
      </c>
      <c r="L108" s="67">
        <f t="shared" si="2"/>
        <v>32.521458333333349</v>
      </c>
      <c r="M108" s="67">
        <f t="shared" si="2"/>
        <v>29.289479166666652</v>
      </c>
      <c r="N108" s="67">
        <f t="shared" si="2"/>
        <v>239.1635416666667</v>
      </c>
      <c r="O108" s="67">
        <f t="shared" si="2"/>
        <v>0</v>
      </c>
      <c r="P108" s="67">
        <f t="shared" si="2"/>
        <v>0.7886458333333336</v>
      </c>
      <c r="Q108" s="67">
        <f t="shared" si="2"/>
        <v>18.041354166666665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6.7294141769156717</v>
      </c>
      <c r="C109" s="67">
        <f t="shared" ref="C109:Q109" si="3">STDEV(C9:C104)</f>
        <v>12.316685701383603</v>
      </c>
      <c r="D109" s="67">
        <f t="shared" si="3"/>
        <v>10.95414662934512</v>
      </c>
      <c r="E109" s="67">
        <f t="shared" si="3"/>
        <v>1.540198879274784</v>
      </c>
      <c r="F109" s="67">
        <f t="shared" si="3"/>
        <v>7.7364490634813823</v>
      </c>
      <c r="G109" s="67">
        <f t="shared" si="3"/>
        <v>29.455016025901163</v>
      </c>
      <c r="H109" s="67">
        <f t="shared" si="3"/>
        <v>5.2541595013535405</v>
      </c>
      <c r="I109" s="67">
        <f t="shared" si="3"/>
        <v>7.0300030570730754E-2</v>
      </c>
      <c r="J109" s="67">
        <f t="shared" si="3"/>
        <v>0.20316376485701673</v>
      </c>
      <c r="K109" s="67">
        <f t="shared" si="3"/>
        <v>87.934698795395192</v>
      </c>
      <c r="L109" s="67">
        <f t="shared" si="3"/>
        <v>4.9122266318294825</v>
      </c>
      <c r="M109" s="67">
        <f t="shared" si="3"/>
        <v>9.5879594854327213</v>
      </c>
      <c r="N109" s="67">
        <f t="shared" si="3"/>
        <v>315.23624227913871</v>
      </c>
      <c r="O109" s="67">
        <f t="shared" si="3"/>
        <v>0</v>
      </c>
      <c r="P109" s="67">
        <f t="shared" si="3"/>
        <v>0.26043130134317172</v>
      </c>
      <c r="Q109" s="67">
        <f t="shared" si="3"/>
        <v>2.8738108276721568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86</v>
      </c>
      <c r="H110" s="66">
        <f>COUNT(H9:H104)+4</f>
        <v>90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09" sqref="H10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1879</v>
      </c>
      <c r="B9" s="64">
        <v>4.4000000000000004</v>
      </c>
      <c r="C9" s="64">
        <v>45.14</v>
      </c>
      <c r="D9" s="64">
        <v>29.09</v>
      </c>
      <c r="E9" s="64">
        <v>3.68</v>
      </c>
      <c r="F9" s="64">
        <v>24.53</v>
      </c>
      <c r="G9" s="64">
        <v>58.6</v>
      </c>
      <c r="H9" s="64">
        <v>24.6</v>
      </c>
      <c r="I9" s="64">
        <v>0.51</v>
      </c>
      <c r="J9" s="64">
        <v>0.11</v>
      </c>
      <c r="K9" s="64">
        <v>249.29</v>
      </c>
      <c r="L9" s="64">
        <v>28.07</v>
      </c>
      <c r="M9" s="64">
        <v>35.409999999999997</v>
      </c>
      <c r="N9" s="64">
        <v>4.5999999999999996</v>
      </c>
      <c r="O9" s="64">
        <v>0</v>
      </c>
      <c r="P9" s="64">
        <v>0.65</v>
      </c>
      <c r="Q9" s="64">
        <v>18.36</v>
      </c>
      <c r="R9" s="198"/>
      <c r="S9" s="198"/>
      <c r="T9" s="198"/>
      <c r="U9" s="198"/>
    </row>
    <row r="10" spans="1:21" s="12" customFormat="1" x14ac:dyDescent="0.25">
      <c r="A10" s="211" t="s">
        <v>1880</v>
      </c>
      <c r="B10" s="64">
        <v>1.9</v>
      </c>
      <c r="C10" s="64">
        <v>30.43</v>
      </c>
      <c r="D10" s="64">
        <v>18.96</v>
      </c>
      <c r="E10" s="64">
        <v>4.47</v>
      </c>
      <c r="F10" s="64">
        <v>28.9</v>
      </c>
      <c r="G10" s="64">
        <v>58.6</v>
      </c>
      <c r="H10" s="64">
        <v>24.6</v>
      </c>
      <c r="I10" s="64">
        <v>0.54</v>
      </c>
      <c r="J10" s="64">
        <v>0.05</v>
      </c>
      <c r="K10" s="64">
        <v>268.52</v>
      </c>
      <c r="L10" s="64">
        <v>28.73</v>
      </c>
      <c r="M10" s="64">
        <v>33.85</v>
      </c>
      <c r="N10" s="64">
        <v>4.5</v>
      </c>
      <c r="O10" s="64">
        <v>0</v>
      </c>
      <c r="P10" s="64">
        <v>0.62</v>
      </c>
      <c r="Q10" s="64">
        <v>18.88</v>
      </c>
      <c r="R10" s="198"/>
      <c r="S10" s="198"/>
      <c r="T10" s="198"/>
      <c r="U10" s="198"/>
    </row>
    <row r="11" spans="1:21" s="12" customFormat="1" x14ac:dyDescent="0.25">
      <c r="A11" s="211" t="s">
        <v>1881</v>
      </c>
      <c r="B11" s="64">
        <v>1.43</v>
      </c>
      <c r="C11" s="64">
        <v>29.99</v>
      </c>
      <c r="D11" s="64">
        <v>18.34</v>
      </c>
      <c r="E11" s="64">
        <v>4.28</v>
      </c>
      <c r="F11" s="64">
        <v>29.95</v>
      </c>
      <c r="G11" s="64">
        <v>76.930000000000007</v>
      </c>
      <c r="H11" s="64">
        <v>23.87</v>
      </c>
      <c r="I11" s="64">
        <v>0.59</v>
      </c>
      <c r="J11" s="64">
        <v>0.1</v>
      </c>
      <c r="K11" s="64">
        <v>265.51</v>
      </c>
      <c r="L11" s="64">
        <v>28.38</v>
      </c>
      <c r="M11" s="64">
        <v>35.11</v>
      </c>
      <c r="N11" s="64">
        <v>5</v>
      </c>
      <c r="O11" s="64">
        <v>0</v>
      </c>
      <c r="P11" s="64">
        <v>0.61</v>
      </c>
      <c r="Q11" s="64">
        <v>18.690000000000001</v>
      </c>
      <c r="R11" s="198"/>
      <c r="S11" s="198"/>
      <c r="T11" s="198"/>
      <c r="U11" s="198"/>
    </row>
    <row r="12" spans="1:21" s="12" customFormat="1" x14ac:dyDescent="0.25">
      <c r="A12" s="211" t="s">
        <v>1882</v>
      </c>
      <c r="B12" s="64">
        <v>1.31</v>
      </c>
      <c r="C12" s="64">
        <v>33.1</v>
      </c>
      <c r="D12" s="64">
        <v>19.96</v>
      </c>
      <c r="E12" s="64">
        <v>4.3</v>
      </c>
      <c r="F12" s="64">
        <v>27.21</v>
      </c>
      <c r="G12" s="64">
        <v>79.48</v>
      </c>
      <c r="H12" s="64">
        <v>23.87</v>
      </c>
      <c r="I12" s="64">
        <v>0.56000000000000005</v>
      </c>
      <c r="J12" s="64">
        <v>7.0000000000000007E-2</v>
      </c>
      <c r="K12" s="64">
        <v>253.62</v>
      </c>
      <c r="L12" s="64">
        <v>28.14</v>
      </c>
      <c r="M12" s="64">
        <v>35.75</v>
      </c>
      <c r="N12" s="64">
        <v>5</v>
      </c>
      <c r="O12" s="64">
        <v>0</v>
      </c>
      <c r="P12" s="64">
        <v>0.64</v>
      </c>
      <c r="Q12" s="64">
        <v>18.16</v>
      </c>
      <c r="R12" s="198"/>
      <c r="S12" s="198"/>
      <c r="T12" s="198"/>
      <c r="U12" s="198"/>
    </row>
    <row r="13" spans="1:21" s="12" customFormat="1" x14ac:dyDescent="0.25">
      <c r="A13" s="211" t="s">
        <v>1883</v>
      </c>
      <c r="B13" s="64">
        <v>1.1100000000000001</v>
      </c>
      <c r="C13" s="64">
        <v>34.65</v>
      </c>
      <c r="D13" s="64">
        <v>20.66</v>
      </c>
      <c r="E13" s="64">
        <v>4.3499999999999996</v>
      </c>
      <c r="F13" s="64">
        <v>25.53</v>
      </c>
      <c r="G13" s="64">
        <v>79.48</v>
      </c>
      <c r="H13" s="64">
        <v>23.87</v>
      </c>
      <c r="I13" s="64">
        <v>0.56999999999999995</v>
      </c>
      <c r="J13" s="64">
        <v>0.12</v>
      </c>
      <c r="K13" s="64">
        <v>254.01</v>
      </c>
      <c r="L13" s="64">
        <v>27.35</v>
      </c>
      <c r="M13" s="64">
        <v>38.450000000000003</v>
      </c>
      <c r="N13" s="64">
        <v>5.2</v>
      </c>
      <c r="O13" s="64">
        <v>0</v>
      </c>
      <c r="P13" s="64">
        <v>0.56999999999999995</v>
      </c>
      <c r="Q13" s="64">
        <v>17.82</v>
      </c>
      <c r="R13" s="198"/>
      <c r="S13" s="198"/>
      <c r="T13" s="198"/>
      <c r="U13" s="198"/>
    </row>
    <row r="14" spans="1:21" s="12" customFormat="1" x14ac:dyDescent="0.25">
      <c r="A14" s="211" t="s">
        <v>1884</v>
      </c>
      <c r="B14" s="64">
        <v>1.03</v>
      </c>
      <c r="C14" s="64">
        <v>31.73</v>
      </c>
      <c r="D14" s="64">
        <v>18.989999999999998</v>
      </c>
      <c r="E14" s="64">
        <v>4.46</v>
      </c>
      <c r="F14" s="64">
        <v>28.93</v>
      </c>
      <c r="G14" s="64">
        <v>79.48</v>
      </c>
      <c r="H14" s="64">
        <v>23.87</v>
      </c>
      <c r="I14" s="64">
        <v>0.64</v>
      </c>
      <c r="J14" s="64">
        <v>0.08</v>
      </c>
      <c r="K14" s="64">
        <v>246.8</v>
      </c>
      <c r="L14" s="64">
        <v>26.79</v>
      </c>
      <c r="M14" s="64">
        <v>39.89</v>
      </c>
      <c r="N14" s="64">
        <v>5.3</v>
      </c>
      <c r="O14" s="64">
        <v>0</v>
      </c>
      <c r="P14" s="64">
        <v>0.55000000000000004</v>
      </c>
      <c r="Q14" s="64">
        <v>17.8</v>
      </c>
      <c r="R14" s="198"/>
      <c r="S14" s="198"/>
      <c r="T14" s="198"/>
      <c r="U14" s="198"/>
    </row>
    <row r="15" spans="1:21" s="12" customFormat="1" x14ac:dyDescent="0.25">
      <c r="A15" s="211" t="s">
        <v>1885</v>
      </c>
      <c r="B15" s="64">
        <v>3.32</v>
      </c>
      <c r="C15" s="64">
        <v>37.950000000000003</v>
      </c>
      <c r="D15" s="64">
        <v>24.25</v>
      </c>
      <c r="E15" s="64">
        <v>4.2300000000000004</v>
      </c>
      <c r="F15" s="64">
        <v>20.58</v>
      </c>
      <c r="G15" s="64">
        <v>40.409999999999997</v>
      </c>
      <c r="H15" s="64">
        <v>24.28</v>
      </c>
      <c r="I15" s="64">
        <v>0.54</v>
      </c>
      <c r="J15" s="64">
        <v>0.13</v>
      </c>
      <c r="K15" s="64">
        <v>257.75</v>
      </c>
      <c r="L15" s="64">
        <v>26.51</v>
      </c>
      <c r="M15" s="64">
        <v>41.53</v>
      </c>
      <c r="N15" s="64">
        <v>5.0999999999999996</v>
      </c>
      <c r="O15" s="64">
        <v>0</v>
      </c>
      <c r="P15" s="64">
        <v>0.6</v>
      </c>
      <c r="Q15" s="64">
        <v>17.41</v>
      </c>
      <c r="R15" s="198"/>
      <c r="S15" s="198"/>
      <c r="T15" s="198"/>
      <c r="U15" s="198"/>
    </row>
    <row r="16" spans="1:21" s="12" customFormat="1" x14ac:dyDescent="0.25">
      <c r="A16" s="211" t="s">
        <v>1886</v>
      </c>
      <c r="B16" s="64">
        <v>1.77</v>
      </c>
      <c r="C16" s="64">
        <v>34.07</v>
      </c>
      <c r="D16" s="64">
        <v>20.87</v>
      </c>
      <c r="E16" s="64">
        <v>3.44</v>
      </c>
      <c r="F16" s="64">
        <v>30.17</v>
      </c>
      <c r="G16" s="64">
        <v>34.97</v>
      </c>
      <c r="H16" s="64">
        <v>24.28</v>
      </c>
      <c r="I16" s="64">
        <v>0.51</v>
      </c>
      <c r="J16" s="64">
        <v>0.09</v>
      </c>
      <c r="K16" s="64">
        <v>259.86</v>
      </c>
      <c r="L16" s="64">
        <v>26.74</v>
      </c>
      <c r="M16" s="64">
        <v>39.729999999999997</v>
      </c>
      <c r="N16" s="64">
        <v>5</v>
      </c>
      <c r="O16" s="64">
        <v>0</v>
      </c>
      <c r="P16" s="64">
        <v>0.52</v>
      </c>
      <c r="Q16" s="64">
        <v>18.29</v>
      </c>
      <c r="R16" s="198"/>
      <c r="S16" s="198"/>
      <c r="T16" s="198"/>
      <c r="U16" s="198"/>
    </row>
    <row r="17" spans="1:21" s="12" customFormat="1" x14ac:dyDescent="0.25">
      <c r="A17" s="211" t="s">
        <v>1887</v>
      </c>
      <c r="B17" s="64">
        <v>1.01</v>
      </c>
      <c r="C17" s="64">
        <v>27.91</v>
      </c>
      <c r="D17" s="64">
        <v>16.86</v>
      </c>
      <c r="E17" s="64">
        <v>2.95</v>
      </c>
      <c r="F17" s="64">
        <v>30.8</v>
      </c>
      <c r="G17" s="64">
        <v>34.97</v>
      </c>
      <c r="H17" s="64">
        <v>24.28</v>
      </c>
      <c r="I17" s="64">
        <v>0.49</v>
      </c>
      <c r="J17" s="64">
        <v>0.14000000000000001</v>
      </c>
      <c r="K17" s="64">
        <v>251.9</v>
      </c>
      <c r="L17" s="64">
        <v>26.89</v>
      </c>
      <c r="M17" s="64">
        <v>39.86</v>
      </c>
      <c r="N17" s="64">
        <v>4.9000000000000004</v>
      </c>
      <c r="O17" s="64">
        <v>0</v>
      </c>
      <c r="P17" s="64">
        <v>0.49</v>
      </c>
      <c r="Q17" s="64">
        <v>18.899999999999999</v>
      </c>
      <c r="R17" s="198"/>
      <c r="S17" s="198"/>
      <c r="T17" s="198"/>
      <c r="U17" s="198"/>
    </row>
    <row r="18" spans="1:21" s="12" customFormat="1" x14ac:dyDescent="0.25">
      <c r="A18" s="211" t="s">
        <v>1888</v>
      </c>
      <c r="B18" s="64">
        <v>1.01</v>
      </c>
      <c r="C18" s="64">
        <v>25.56</v>
      </c>
      <c r="D18" s="64">
        <v>15.56</v>
      </c>
      <c r="E18" s="64">
        <v>2.42</v>
      </c>
      <c r="F18" s="64">
        <v>27</v>
      </c>
      <c r="G18" s="64">
        <v>34.97</v>
      </c>
      <c r="H18" s="64">
        <v>24.28</v>
      </c>
      <c r="I18" s="64">
        <v>0.49</v>
      </c>
      <c r="J18" s="64">
        <v>0.22</v>
      </c>
      <c r="K18" s="64">
        <v>258.56</v>
      </c>
      <c r="L18" s="64">
        <v>26.26</v>
      </c>
      <c r="M18" s="64">
        <v>43.4</v>
      </c>
      <c r="N18" s="64">
        <v>5.0999999999999996</v>
      </c>
      <c r="O18" s="64">
        <v>0</v>
      </c>
      <c r="P18" s="64">
        <v>0.5</v>
      </c>
      <c r="Q18" s="64">
        <v>18.350000000000001</v>
      </c>
      <c r="R18" s="198"/>
      <c r="S18" s="198"/>
      <c r="T18" s="198"/>
      <c r="U18" s="198"/>
    </row>
    <row r="19" spans="1:21" s="12" customFormat="1" x14ac:dyDescent="0.25">
      <c r="A19" s="211" t="s">
        <v>1889</v>
      </c>
      <c r="B19" s="64">
        <v>1.01</v>
      </c>
      <c r="C19" s="64">
        <v>25.69</v>
      </c>
      <c r="D19" s="64">
        <v>15.63</v>
      </c>
      <c r="E19" s="64">
        <v>2.35</v>
      </c>
      <c r="F19" s="64">
        <v>25.05</v>
      </c>
      <c r="G19" s="64">
        <v>63.42</v>
      </c>
      <c r="H19" s="64">
        <v>22.5</v>
      </c>
      <c r="I19" s="64">
        <v>0.54</v>
      </c>
      <c r="J19" s="64">
        <v>0.11</v>
      </c>
      <c r="K19" s="64">
        <v>259.13</v>
      </c>
      <c r="L19" s="64">
        <v>26.2</v>
      </c>
      <c r="M19" s="64">
        <v>42.28</v>
      </c>
      <c r="N19" s="64">
        <v>5</v>
      </c>
      <c r="O19" s="64">
        <v>0</v>
      </c>
      <c r="P19" s="64">
        <v>0.51</v>
      </c>
      <c r="Q19" s="64">
        <v>18.16</v>
      </c>
      <c r="R19" s="198"/>
      <c r="S19" s="198"/>
      <c r="T19" s="198"/>
      <c r="U19" s="198"/>
    </row>
    <row r="20" spans="1:21" s="12" customFormat="1" x14ac:dyDescent="0.25">
      <c r="A20" s="211" t="s">
        <v>1890</v>
      </c>
      <c r="B20" s="64">
        <v>1</v>
      </c>
      <c r="C20" s="64">
        <v>27.49</v>
      </c>
      <c r="D20" s="64">
        <v>16.62</v>
      </c>
      <c r="E20" s="64">
        <v>1.84</v>
      </c>
      <c r="F20" s="64">
        <v>23.31</v>
      </c>
      <c r="G20" s="64">
        <v>67.38</v>
      </c>
      <c r="H20" s="64">
        <v>22.5</v>
      </c>
      <c r="I20" s="64">
        <v>0.48</v>
      </c>
      <c r="J20" s="64">
        <v>0.09</v>
      </c>
      <c r="K20" s="64">
        <v>226.11</v>
      </c>
      <c r="L20" s="64">
        <v>26.09</v>
      </c>
      <c r="M20" s="64">
        <v>42.53</v>
      </c>
      <c r="N20" s="64">
        <v>5</v>
      </c>
      <c r="O20" s="64">
        <v>0</v>
      </c>
      <c r="P20" s="64">
        <v>0.51</v>
      </c>
      <c r="Q20" s="64">
        <v>18.510000000000002</v>
      </c>
      <c r="R20" s="198"/>
      <c r="S20" s="198"/>
      <c r="T20" s="198"/>
      <c r="U20" s="198"/>
    </row>
    <row r="21" spans="1:21" s="12" customFormat="1" x14ac:dyDescent="0.25">
      <c r="A21" s="211" t="s">
        <v>1891</v>
      </c>
      <c r="B21" s="64">
        <v>1</v>
      </c>
      <c r="C21" s="64">
        <v>27.93</v>
      </c>
      <c r="D21" s="64">
        <v>16.86</v>
      </c>
      <c r="E21" s="64">
        <v>3.21</v>
      </c>
      <c r="F21" s="64">
        <v>23.55</v>
      </c>
      <c r="G21" s="64">
        <v>67.38</v>
      </c>
      <c r="H21" s="64">
        <v>22.5</v>
      </c>
      <c r="I21" s="64">
        <v>0.51</v>
      </c>
      <c r="J21" s="64">
        <v>0.15</v>
      </c>
      <c r="K21" s="64">
        <v>249.16</v>
      </c>
      <c r="L21" s="64">
        <v>26.34</v>
      </c>
      <c r="M21" s="64">
        <v>41.25</v>
      </c>
      <c r="N21" s="64">
        <v>4.5999999999999996</v>
      </c>
      <c r="O21" s="64">
        <v>0</v>
      </c>
      <c r="P21" s="64">
        <v>0.51</v>
      </c>
      <c r="Q21" s="64">
        <v>18.73</v>
      </c>
      <c r="R21" s="198"/>
      <c r="S21" s="198"/>
      <c r="T21" s="198"/>
      <c r="U21" s="198"/>
    </row>
    <row r="22" spans="1:21" s="12" customFormat="1" x14ac:dyDescent="0.25">
      <c r="A22" s="211" t="s">
        <v>1892</v>
      </c>
      <c r="B22" s="64">
        <v>1</v>
      </c>
      <c r="C22" s="64">
        <v>25.26</v>
      </c>
      <c r="D22" s="64">
        <v>15.39</v>
      </c>
      <c r="E22" s="64">
        <v>3.59</v>
      </c>
      <c r="F22" s="64">
        <v>24.31</v>
      </c>
      <c r="G22" s="64">
        <v>67.38</v>
      </c>
      <c r="H22" s="64">
        <v>22.5</v>
      </c>
      <c r="I22" s="64">
        <v>0.54</v>
      </c>
      <c r="J22" s="64">
        <v>0.25</v>
      </c>
      <c r="K22" s="64">
        <v>206.59</v>
      </c>
      <c r="L22" s="64">
        <v>26.14</v>
      </c>
      <c r="M22" s="64">
        <v>42.53</v>
      </c>
      <c r="N22" s="64">
        <v>4.7</v>
      </c>
      <c r="O22" s="64">
        <v>0</v>
      </c>
      <c r="P22" s="64">
        <v>0.51</v>
      </c>
      <c r="Q22" s="64">
        <v>18.71</v>
      </c>
      <c r="R22" s="198"/>
      <c r="S22" s="198"/>
      <c r="T22" s="198"/>
      <c r="U22" s="198"/>
    </row>
    <row r="23" spans="1:21" s="12" customFormat="1" x14ac:dyDescent="0.25">
      <c r="A23" s="211" t="s">
        <v>1893</v>
      </c>
      <c r="B23" s="64">
        <v>1</v>
      </c>
      <c r="C23" s="64">
        <v>24.08</v>
      </c>
      <c r="D23" s="64">
        <v>14.74</v>
      </c>
      <c r="E23" s="64">
        <v>4.1500000000000004</v>
      </c>
      <c r="F23" s="64">
        <v>22.04</v>
      </c>
      <c r="G23" s="64">
        <v>55.52</v>
      </c>
      <c r="H23" s="64">
        <v>21.86</v>
      </c>
      <c r="I23" s="64">
        <v>0.52</v>
      </c>
      <c r="J23" s="64">
        <v>0.08</v>
      </c>
      <c r="K23" s="64">
        <v>240.9</v>
      </c>
      <c r="L23" s="64">
        <v>25.67</v>
      </c>
      <c r="M23" s="64">
        <v>44.91</v>
      </c>
      <c r="N23" s="64">
        <v>5.0999999999999996</v>
      </c>
      <c r="O23" s="64">
        <v>0</v>
      </c>
      <c r="P23" s="64">
        <v>0.6</v>
      </c>
      <c r="Q23" s="64">
        <v>18.43</v>
      </c>
      <c r="R23" s="198"/>
      <c r="S23" s="198"/>
      <c r="T23" s="198"/>
      <c r="U23" s="198"/>
    </row>
    <row r="24" spans="1:21" s="12" customFormat="1" x14ac:dyDescent="0.25">
      <c r="A24" s="211" t="s">
        <v>1894</v>
      </c>
      <c r="B24" s="64">
        <v>1</v>
      </c>
      <c r="C24" s="64">
        <v>22.76</v>
      </c>
      <c r="D24" s="64">
        <v>14.01</v>
      </c>
      <c r="E24" s="64">
        <v>1.65</v>
      </c>
      <c r="F24" s="64">
        <v>23.14</v>
      </c>
      <c r="G24" s="64">
        <v>53.86</v>
      </c>
      <c r="H24" s="64">
        <v>21.86</v>
      </c>
      <c r="I24" s="64">
        <v>0.49</v>
      </c>
      <c r="J24" s="64">
        <v>0.28999999999999998</v>
      </c>
      <c r="K24" s="64">
        <v>180.14</v>
      </c>
      <c r="L24" s="64">
        <v>25.33</v>
      </c>
      <c r="M24" s="64">
        <v>46.62</v>
      </c>
      <c r="N24" s="64">
        <v>4.8</v>
      </c>
      <c r="O24" s="64">
        <v>0</v>
      </c>
      <c r="P24" s="64">
        <v>0.52</v>
      </c>
      <c r="Q24" s="64">
        <v>17.43</v>
      </c>
      <c r="R24" s="198"/>
      <c r="S24" s="198"/>
      <c r="T24" s="198"/>
      <c r="U24" s="198"/>
    </row>
    <row r="25" spans="1:21" s="12" customFormat="1" x14ac:dyDescent="0.25">
      <c r="A25" s="211" t="s">
        <v>1895</v>
      </c>
      <c r="B25" s="64">
        <v>1.28</v>
      </c>
      <c r="C25" s="64">
        <v>20.02</v>
      </c>
      <c r="D25" s="64">
        <v>12.72</v>
      </c>
      <c r="E25" s="64">
        <v>2.77</v>
      </c>
      <c r="F25" s="64">
        <v>25.84</v>
      </c>
      <c r="G25" s="64">
        <v>53.86</v>
      </c>
      <c r="H25" s="64">
        <v>21.86</v>
      </c>
      <c r="I25" s="64">
        <v>0.53</v>
      </c>
      <c r="J25" s="64">
        <v>0.15</v>
      </c>
      <c r="K25" s="64">
        <v>197.75</v>
      </c>
      <c r="L25" s="64">
        <v>25.13</v>
      </c>
      <c r="M25" s="64">
        <v>47.32</v>
      </c>
      <c r="N25" s="64">
        <v>4.9000000000000004</v>
      </c>
      <c r="O25" s="64">
        <v>0</v>
      </c>
      <c r="P25" s="64">
        <v>0.49</v>
      </c>
      <c r="Q25" s="64">
        <v>16.670000000000002</v>
      </c>
      <c r="R25" s="198"/>
      <c r="S25" s="198"/>
      <c r="T25" s="198"/>
      <c r="U25" s="198"/>
    </row>
    <row r="26" spans="1:21" s="12" customFormat="1" x14ac:dyDescent="0.25">
      <c r="A26" s="211" t="s">
        <v>1896</v>
      </c>
      <c r="B26" s="64">
        <v>2.02</v>
      </c>
      <c r="C26" s="64">
        <v>25.51</v>
      </c>
      <c r="D26" s="64">
        <v>16.350000000000001</v>
      </c>
      <c r="E26" s="64">
        <v>2.4</v>
      </c>
      <c r="F26" s="64">
        <v>22.78</v>
      </c>
      <c r="G26" s="64">
        <v>53.86</v>
      </c>
      <c r="H26" s="64">
        <v>21.86</v>
      </c>
      <c r="I26" s="64">
        <v>0.5</v>
      </c>
      <c r="J26" s="64">
        <v>0.21</v>
      </c>
      <c r="K26" s="64">
        <v>256.02</v>
      </c>
      <c r="L26" s="64">
        <v>25.06</v>
      </c>
      <c r="M26" s="64">
        <v>48.9</v>
      </c>
      <c r="N26" s="64">
        <v>5.0999999999999996</v>
      </c>
      <c r="O26" s="64">
        <v>0</v>
      </c>
      <c r="P26" s="64">
        <v>0.5</v>
      </c>
      <c r="Q26" s="64">
        <v>16.3</v>
      </c>
      <c r="R26" s="198"/>
      <c r="S26" s="198"/>
      <c r="T26" s="198"/>
      <c r="U26" s="198"/>
    </row>
    <row r="27" spans="1:21" s="12" customFormat="1" x14ac:dyDescent="0.25">
      <c r="A27" s="211" t="s">
        <v>1897</v>
      </c>
      <c r="B27" s="64">
        <v>9.52</v>
      </c>
      <c r="C27" s="64">
        <v>42.01</v>
      </c>
      <c r="D27" s="64">
        <v>31.46</v>
      </c>
      <c r="E27" s="64">
        <v>2.21</v>
      </c>
      <c r="F27" s="64">
        <v>15.12</v>
      </c>
      <c r="G27" s="64">
        <v>38.06</v>
      </c>
      <c r="H27" s="64">
        <v>21.61</v>
      </c>
      <c r="I27" s="64">
        <v>0.49</v>
      </c>
      <c r="J27" s="64">
        <v>0.09</v>
      </c>
      <c r="K27" s="64">
        <v>251.75</v>
      </c>
      <c r="L27" s="64">
        <v>24.52</v>
      </c>
      <c r="M27" s="64">
        <v>52.6</v>
      </c>
      <c r="N27" s="64">
        <v>5.2</v>
      </c>
      <c r="O27" s="64">
        <v>0</v>
      </c>
      <c r="P27" s="64">
        <v>0.6</v>
      </c>
      <c r="Q27" s="64">
        <v>15.04</v>
      </c>
      <c r="R27" s="198"/>
      <c r="S27" s="198"/>
      <c r="T27" s="198"/>
      <c r="U27" s="198"/>
    </row>
    <row r="28" spans="1:21" s="12" customFormat="1" x14ac:dyDescent="0.25">
      <c r="A28" s="211" t="s">
        <v>1898</v>
      </c>
      <c r="B28" s="64">
        <v>4.75</v>
      </c>
      <c r="C28" s="64">
        <v>48.03</v>
      </c>
      <c r="D28" s="64">
        <v>30.97</v>
      </c>
      <c r="E28" s="64">
        <v>1.77</v>
      </c>
      <c r="F28" s="64">
        <v>14.31</v>
      </c>
      <c r="G28" s="64">
        <v>35.85</v>
      </c>
      <c r="H28" s="64">
        <v>21.61</v>
      </c>
      <c r="I28" s="64">
        <v>0.53</v>
      </c>
      <c r="J28" s="64">
        <v>0.15</v>
      </c>
      <c r="K28" s="64">
        <v>260.66000000000003</v>
      </c>
      <c r="L28" s="64">
        <v>24.43</v>
      </c>
      <c r="M28" s="64">
        <v>51.48</v>
      </c>
      <c r="N28" s="64">
        <v>5.0999999999999996</v>
      </c>
      <c r="O28" s="64">
        <v>0</v>
      </c>
      <c r="P28" s="64">
        <v>0.6</v>
      </c>
      <c r="Q28" s="64">
        <v>16.97</v>
      </c>
      <c r="R28" s="198"/>
      <c r="S28" s="198"/>
      <c r="T28" s="198"/>
      <c r="U28" s="198"/>
    </row>
    <row r="29" spans="1:21" s="12" customFormat="1" x14ac:dyDescent="0.25">
      <c r="A29" s="211" t="s">
        <v>1899</v>
      </c>
      <c r="B29" s="64">
        <v>20.399999999999999</v>
      </c>
      <c r="C29" s="64">
        <v>52.26</v>
      </c>
      <c r="D29" s="64">
        <v>45.85</v>
      </c>
      <c r="E29" s="64">
        <v>1.42</v>
      </c>
      <c r="F29" s="64">
        <v>9.9</v>
      </c>
      <c r="G29" s="64">
        <v>35.85</v>
      </c>
      <c r="H29" s="64">
        <v>21.61</v>
      </c>
      <c r="I29" s="64">
        <v>0.49</v>
      </c>
      <c r="J29" s="64">
        <v>0.11</v>
      </c>
      <c r="K29" s="64">
        <v>260.26</v>
      </c>
      <c r="L29" s="64">
        <v>24.7</v>
      </c>
      <c r="M29" s="64">
        <v>51.44</v>
      </c>
      <c r="N29" s="64">
        <v>5.7</v>
      </c>
      <c r="O29" s="64">
        <v>0</v>
      </c>
      <c r="P29" s="64">
        <v>0.69</v>
      </c>
      <c r="Q29" s="64">
        <v>15.05</v>
      </c>
      <c r="R29" s="198"/>
      <c r="S29" s="198"/>
      <c r="T29" s="198"/>
      <c r="U29" s="198"/>
    </row>
    <row r="30" spans="1:21" s="12" customFormat="1" x14ac:dyDescent="0.25">
      <c r="A30" s="211" t="s">
        <v>1900</v>
      </c>
      <c r="B30" s="64">
        <v>10.46</v>
      </c>
      <c r="C30" s="64">
        <v>37.69</v>
      </c>
      <c r="D30" s="64">
        <v>29.84</v>
      </c>
      <c r="E30" s="64">
        <v>0.98</v>
      </c>
      <c r="F30" s="64">
        <v>15.06</v>
      </c>
      <c r="G30" s="64">
        <v>35.85</v>
      </c>
      <c r="H30" s="64">
        <v>21.61</v>
      </c>
      <c r="I30" s="64">
        <v>0.49</v>
      </c>
      <c r="J30" s="64">
        <v>0.54</v>
      </c>
      <c r="K30" s="64">
        <v>254.8</v>
      </c>
      <c r="L30" s="64">
        <v>24.83</v>
      </c>
      <c r="M30" s="64">
        <v>51.82</v>
      </c>
      <c r="N30" s="64">
        <v>9.1</v>
      </c>
      <c r="O30" s="64">
        <v>0</v>
      </c>
      <c r="P30" s="64">
        <v>0.7</v>
      </c>
      <c r="Q30" s="64">
        <v>16.43</v>
      </c>
      <c r="R30" s="198"/>
      <c r="S30" s="198"/>
      <c r="T30" s="198"/>
      <c r="U30" s="198"/>
    </row>
    <row r="31" spans="1:21" s="12" customFormat="1" x14ac:dyDescent="0.25">
      <c r="A31" s="211" t="s">
        <v>1901</v>
      </c>
      <c r="B31" s="64">
        <v>11.5</v>
      </c>
      <c r="C31" s="64">
        <v>35.14</v>
      </c>
      <c r="D31" s="64">
        <v>29.26</v>
      </c>
      <c r="E31" s="64">
        <v>1</v>
      </c>
      <c r="F31" s="64">
        <v>18.989999999999998</v>
      </c>
      <c r="G31" s="212" t="s">
        <v>43</v>
      </c>
      <c r="H31" s="212" t="s">
        <v>43</v>
      </c>
      <c r="I31" s="64">
        <v>0.52</v>
      </c>
      <c r="J31" s="64">
        <v>0.31</v>
      </c>
      <c r="K31" s="64">
        <v>258.55</v>
      </c>
      <c r="L31" s="64">
        <v>25.39</v>
      </c>
      <c r="M31" s="64">
        <v>49.4</v>
      </c>
      <c r="N31" s="64">
        <v>21.4</v>
      </c>
      <c r="O31" s="64">
        <v>0</v>
      </c>
      <c r="P31" s="64">
        <v>0.61</v>
      </c>
      <c r="Q31" s="64">
        <v>17.850000000000001</v>
      </c>
      <c r="R31" s="198"/>
      <c r="S31" s="198"/>
      <c r="T31" s="198"/>
      <c r="U31" s="198"/>
    </row>
    <row r="32" spans="1:21" s="12" customFormat="1" x14ac:dyDescent="0.25">
      <c r="A32" s="211" t="s">
        <v>1902</v>
      </c>
      <c r="B32" s="64">
        <v>23.69</v>
      </c>
      <c r="C32" s="64">
        <v>47.03</v>
      </c>
      <c r="D32" s="64">
        <v>45.6</v>
      </c>
      <c r="E32" s="64">
        <v>1.0900000000000001</v>
      </c>
      <c r="F32" s="64">
        <v>12.6</v>
      </c>
      <c r="G32" s="212" t="s">
        <v>43</v>
      </c>
      <c r="H32" s="212" t="s">
        <v>43</v>
      </c>
      <c r="I32" s="64">
        <v>0.56000000000000005</v>
      </c>
      <c r="J32" s="64">
        <v>0.1</v>
      </c>
      <c r="K32" s="64">
        <v>223.44</v>
      </c>
      <c r="L32" s="64">
        <v>25.58</v>
      </c>
      <c r="M32" s="64">
        <v>49.17</v>
      </c>
      <c r="N32" s="64">
        <v>45.5</v>
      </c>
      <c r="O32" s="64">
        <v>0</v>
      </c>
      <c r="P32" s="64">
        <v>0.86</v>
      </c>
      <c r="Q32" s="64">
        <v>16</v>
      </c>
      <c r="R32" s="198"/>
      <c r="S32" s="198"/>
      <c r="T32" s="198"/>
      <c r="U32" s="198"/>
    </row>
    <row r="33" spans="1:21" s="12" customFormat="1" x14ac:dyDescent="0.25">
      <c r="A33" s="211" t="s">
        <v>1903</v>
      </c>
      <c r="B33" s="64">
        <v>8.2899999999999991</v>
      </c>
      <c r="C33" s="64">
        <v>51.31</v>
      </c>
      <c r="D33" s="64">
        <v>35.61</v>
      </c>
      <c r="E33" s="64">
        <v>1.28</v>
      </c>
      <c r="F33" s="64">
        <v>8.1300000000000008</v>
      </c>
      <c r="G33" s="212" t="s">
        <v>43</v>
      </c>
      <c r="H33" s="212" t="s">
        <v>43</v>
      </c>
      <c r="I33" s="64">
        <v>0.59</v>
      </c>
      <c r="J33" s="64">
        <v>0.12</v>
      </c>
      <c r="K33" s="64">
        <v>246.37</v>
      </c>
      <c r="L33" s="64">
        <v>26.54</v>
      </c>
      <c r="M33" s="64">
        <v>46.77</v>
      </c>
      <c r="N33" s="64">
        <v>77.7</v>
      </c>
      <c r="O33" s="64">
        <v>0</v>
      </c>
      <c r="P33" s="64">
        <v>0.82</v>
      </c>
      <c r="Q33" s="64">
        <v>15.71</v>
      </c>
      <c r="R33" s="198"/>
      <c r="S33" s="198"/>
      <c r="T33" s="198"/>
      <c r="U33" s="198"/>
    </row>
    <row r="34" spans="1:21" s="12" customFormat="1" x14ac:dyDescent="0.25">
      <c r="A34" s="211" t="s">
        <v>1904</v>
      </c>
      <c r="B34" s="64">
        <v>9.3000000000000007</v>
      </c>
      <c r="C34" s="64">
        <v>51.04</v>
      </c>
      <c r="D34" s="64">
        <v>36.270000000000003</v>
      </c>
      <c r="E34" s="64">
        <v>2.2999999999999998</v>
      </c>
      <c r="F34" s="64">
        <v>12.44</v>
      </c>
      <c r="G34" s="212" t="s">
        <v>43</v>
      </c>
      <c r="H34" s="212" t="s">
        <v>43</v>
      </c>
      <c r="I34" s="64">
        <v>0.56000000000000005</v>
      </c>
      <c r="J34" s="64">
        <v>0.06</v>
      </c>
      <c r="K34" s="64">
        <v>253.5</v>
      </c>
      <c r="L34" s="64">
        <v>27.8</v>
      </c>
      <c r="M34" s="64">
        <v>42.72</v>
      </c>
      <c r="N34" s="64">
        <v>118.9</v>
      </c>
      <c r="O34" s="64">
        <v>0</v>
      </c>
      <c r="P34" s="64">
        <v>1.08</v>
      </c>
      <c r="Q34" s="64">
        <v>18.02</v>
      </c>
      <c r="R34" s="198"/>
      <c r="S34" s="198"/>
      <c r="T34" s="198"/>
      <c r="U34" s="198"/>
    </row>
    <row r="35" spans="1:21" s="12" customFormat="1" x14ac:dyDescent="0.25">
      <c r="A35" s="211" t="s">
        <v>1905</v>
      </c>
      <c r="B35" s="64">
        <v>13.02</v>
      </c>
      <c r="C35" s="64">
        <v>52.68</v>
      </c>
      <c r="D35" s="64">
        <v>40.159999999999997</v>
      </c>
      <c r="E35" s="64">
        <v>3.51</v>
      </c>
      <c r="F35" s="64">
        <v>13.05</v>
      </c>
      <c r="G35" s="64">
        <v>41.56</v>
      </c>
      <c r="H35" s="64">
        <v>29.03</v>
      </c>
      <c r="I35" s="64">
        <v>0.57999999999999996</v>
      </c>
      <c r="J35" s="64">
        <v>7.0000000000000007E-2</v>
      </c>
      <c r="K35" s="64">
        <v>258.49</v>
      </c>
      <c r="L35" s="64">
        <v>29.19</v>
      </c>
      <c r="M35" s="64">
        <v>40.61</v>
      </c>
      <c r="N35" s="64">
        <v>165.7</v>
      </c>
      <c r="O35" s="64">
        <v>0</v>
      </c>
      <c r="P35" s="64">
        <v>1.55</v>
      </c>
      <c r="Q35" s="64">
        <v>17.260000000000002</v>
      </c>
      <c r="R35" s="198"/>
      <c r="S35" s="198"/>
      <c r="T35" s="198"/>
      <c r="U35" s="198"/>
    </row>
    <row r="36" spans="1:21" s="12" customFormat="1" x14ac:dyDescent="0.25">
      <c r="A36" s="211" t="s">
        <v>1906</v>
      </c>
      <c r="B36" s="64">
        <v>14.04</v>
      </c>
      <c r="C36" s="64">
        <v>53.23</v>
      </c>
      <c r="D36" s="64">
        <v>41.29</v>
      </c>
      <c r="E36" s="64">
        <v>6.28</v>
      </c>
      <c r="F36" s="64">
        <v>10.83</v>
      </c>
      <c r="G36" s="64">
        <v>45.84</v>
      </c>
      <c r="H36" s="64">
        <v>29.03</v>
      </c>
      <c r="I36" s="64">
        <v>0.59</v>
      </c>
      <c r="J36" s="64">
        <v>0.03</v>
      </c>
      <c r="K36" s="64">
        <v>350.93</v>
      </c>
      <c r="L36" s="64">
        <v>30.4</v>
      </c>
      <c r="M36" s="64">
        <v>38.200000000000003</v>
      </c>
      <c r="N36" s="64">
        <v>213.4</v>
      </c>
      <c r="O36" s="64">
        <v>0</v>
      </c>
      <c r="P36" s="64">
        <v>1.61</v>
      </c>
      <c r="Q36" s="64">
        <v>17.54</v>
      </c>
      <c r="R36" s="198"/>
      <c r="S36" s="198"/>
      <c r="T36" s="198"/>
      <c r="U36" s="198"/>
    </row>
    <row r="37" spans="1:21" s="12" customFormat="1" x14ac:dyDescent="0.25">
      <c r="A37" s="211" t="s">
        <v>1907</v>
      </c>
      <c r="B37" s="64">
        <v>13.23</v>
      </c>
      <c r="C37" s="64">
        <v>46.88</v>
      </c>
      <c r="D37" s="64">
        <v>37.119999999999997</v>
      </c>
      <c r="E37" s="64">
        <v>7.41</v>
      </c>
      <c r="F37" s="64">
        <v>13.58</v>
      </c>
      <c r="G37" s="64">
        <v>45.84</v>
      </c>
      <c r="H37" s="64">
        <v>29.03</v>
      </c>
      <c r="I37" s="64">
        <v>0.56000000000000005</v>
      </c>
      <c r="J37" s="64">
        <v>7.0000000000000007E-2</v>
      </c>
      <c r="K37" s="64">
        <v>283.10000000000002</v>
      </c>
      <c r="L37" s="64">
        <v>31.21</v>
      </c>
      <c r="M37" s="64">
        <v>37.54</v>
      </c>
      <c r="N37" s="64">
        <v>264</v>
      </c>
      <c r="O37" s="64">
        <v>0</v>
      </c>
      <c r="P37" s="64">
        <v>1.19</v>
      </c>
      <c r="Q37" s="64">
        <v>17.5</v>
      </c>
      <c r="R37" s="198"/>
      <c r="S37" s="198"/>
      <c r="T37" s="198"/>
      <c r="U37" s="198"/>
    </row>
    <row r="38" spans="1:21" s="12" customFormat="1" x14ac:dyDescent="0.25">
      <c r="A38" s="211" t="s">
        <v>1908</v>
      </c>
      <c r="B38" s="64">
        <v>8.5500000000000007</v>
      </c>
      <c r="C38" s="64">
        <v>42.48</v>
      </c>
      <c r="D38" s="64">
        <v>30.95</v>
      </c>
      <c r="E38" s="64">
        <v>6.27</v>
      </c>
      <c r="F38" s="64">
        <v>19</v>
      </c>
      <c r="G38" s="64">
        <v>45.84</v>
      </c>
      <c r="H38" s="64">
        <v>29.03</v>
      </c>
      <c r="I38" s="64">
        <v>0.56999999999999995</v>
      </c>
      <c r="J38" s="64">
        <v>7.0000000000000007E-2</v>
      </c>
      <c r="K38" s="64">
        <v>287.43</v>
      </c>
      <c r="L38" s="64">
        <v>32.380000000000003</v>
      </c>
      <c r="M38" s="64">
        <v>36.36</v>
      </c>
      <c r="N38" s="64">
        <v>317.60000000000002</v>
      </c>
      <c r="O38" s="64">
        <v>0</v>
      </c>
      <c r="P38" s="64">
        <v>1.46</v>
      </c>
      <c r="Q38" s="64">
        <v>18.38</v>
      </c>
      <c r="R38" s="198"/>
      <c r="S38" s="198"/>
      <c r="T38" s="198"/>
      <c r="U38" s="198"/>
    </row>
    <row r="39" spans="1:21" s="12" customFormat="1" x14ac:dyDescent="0.25">
      <c r="A39" s="211" t="s">
        <v>1909</v>
      </c>
      <c r="B39" s="64">
        <v>8.4600000000000009</v>
      </c>
      <c r="C39" s="64">
        <v>45.99</v>
      </c>
      <c r="D39" s="64">
        <v>32.81</v>
      </c>
      <c r="E39" s="64">
        <v>5.32</v>
      </c>
      <c r="F39" s="64">
        <v>25.88</v>
      </c>
      <c r="G39" s="212" t="s">
        <v>43</v>
      </c>
      <c r="H39" s="212" t="s">
        <v>43</v>
      </c>
      <c r="I39" s="64">
        <v>0.68</v>
      </c>
      <c r="J39" s="64">
        <v>0.1</v>
      </c>
      <c r="K39" s="64">
        <v>258.27999999999997</v>
      </c>
      <c r="L39" s="64">
        <v>32.229999999999997</v>
      </c>
      <c r="M39" s="64">
        <v>36.82</v>
      </c>
      <c r="N39" s="64">
        <v>369.8</v>
      </c>
      <c r="O39" s="64">
        <v>0</v>
      </c>
      <c r="P39" s="64">
        <v>1.61</v>
      </c>
      <c r="Q39" s="64">
        <v>18.7</v>
      </c>
      <c r="R39" s="198"/>
      <c r="S39" s="198"/>
      <c r="T39" s="198"/>
      <c r="U39" s="198"/>
    </row>
    <row r="40" spans="1:21" s="12" customFormat="1" x14ac:dyDescent="0.25">
      <c r="A40" s="211" t="s">
        <v>1910</v>
      </c>
      <c r="B40" s="64">
        <v>8.35</v>
      </c>
      <c r="C40" s="64">
        <v>44.96</v>
      </c>
      <c r="D40" s="64">
        <v>32.15</v>
      </c>
      <c r="E40" s="64">
        <v>2.2200000000000002</v>
      </c>
      <c r="F40" s="64">
        <v>31.75</v>
      </c>
      <c r="G40" s="212" t="s">
        <v>43</v>
      </c>
      <c r="H40" s="212" t="s">
        <v>43</v>
      </c>
      <c r="I40" s="64">
        <v>0.56999999999999995</v>
      </c>
      <c r="J40" s="64">
        <v>0.1</v>
      </c>
      <c r="K40" s="64">
        <v>279.31</v>
      </c>
      <c r="L40" s="64">
        <v>34.31</v>
      </c>
      <c r="M40" s="64">
        <v>33.24</v>
      </c>
      <c r="N40" s="64">
        <v>411.9</v>
      </c>
      <c r="O40" s="64">
        <v>0</v>
      </c>
      <c r="P40" s="64">
        <v>1.53</v>
      </c>
      <c r="Q40" s="64">
        <v>18.59</v>
      </c>
      <c r="R40" s="198"/>
      <c r="S40" s="198"/>
      <c r="T40" s="198"/>
      <c r="U40" s="198"/>
    </row>
    <row r="41" spans="1:21" s="12" customFormat="1" x14ac:dyDescent="0.25">
      <c r="A41" s="211" t="s">
        <v>1911</v>
      </c>
      <c r="B41" s="64">
        <v>8.56</v>
      </c>
      <c r="C41" s="64">
        <v>46.66</v>
      </c>
      <c r="D41" s="64">
        <v>33.26</v>
      </c>
      <c r="E41" s="64">
        <v>2.82</v>
      </c>
      <c r="F41" s="64">
        <v>32.020000000000003</v>
      </c>
      <c r="G41" s="212" t="s">
        <v>43</v>
      </c>
      <c r="H41" s="212" t="s">
        <v>43</v>
      </c>
      <c r="I41" s="64">
        <v>0.53</v>
      </c>
      <c r="J41" s="64">
        <v>0.17</v>
      </c>
      <c r="K41" s="64">
        <v>251.2</v>
      </c>
      <c r="L41" s="64">
        <v>34.78</v>
      </c>
      <c r="M41" s="64">
        <v>32.01</v>
      </c>
      <c r="N41" s="64">
        <v>456.9</v>
      </c>
      <c r="O41" s="64">
        <v>0</v>
      </c>
      <c r="P41" s="64">
        <v>1.44</v>
      </c>
      <c r="Q41" s="64">
        <v>17.38</v>
      </c>
      <c r="R41" s="198"/>
      <c r="S41" s="198"/>
      <c r="T41" s="198"/>
      <c r="U41" s="198"/>
    </row>
    <row r="42" spans="1:21" s="12" customFormat="1" x14ac:dyDescent="0.25">
      <c r="A42" s="211" t="s">
        <v>1912</v>
      </c>
      <c r="B42" s="64">
        <v>5.36</v>
      </c>
      <c r="C42" s="64">
        <v>42.57</v>
      </c>
      <c r="D42" s="64">
        <v>28.43</v>
      </c>
      <c r="E42" s="64">
        <v>2.2999999999999998</v>
      </c>
      <c r="F42" s="64">
        <v>34.04</v>
      </c>
      <c r="G42" s="212" t="s">
        <v>43</v>
      </c>
      <c r="H42" s="212" t="s">
        <v>43</v>
      </c>
      <c r="I42" s="64">
        <v>0.56000000000000005</v>
      </c>
      <c r="J42" s="64">
        <v>0.08</v>
      </c>
      <c r="K42" s="64">
        <v>208.9</v>
      </c>
      <c r="L42" s="64">
        <v>34.159999999999997</v>
      </c>
      <c r="M42" s="64">
        <v>32.58</v>
      </c>
      <c r="N42" s="64">
        <v>506.2</v>
      </c>
      <c r="O42" s="64">
        <v>0</v>
      </c>
      <c r="P42" s="64">
        <v>1.49</v>
      </c>
      <c r="Q42" s="64">
        <v>18.47</v>
      </c>
      <c r="R42" s="198"/>
      <c r="S42" s="198"/>
      <c r="T42" s="198"/>
      <c r="U42" s="198"/>
    </row>
    <row r="43" spans="1:21" s="12" customFormat="1" x14ac:dyDescent="0.25">
      <c r="A43" s="211" t="s">
        <v>1913</v>
      </c>
      <c r="B43" s="64">
        <v>4.75</v>
      </c>
      <c r="C43" s="64">
        <v>39.520000000000003</v>
      </c>
      <c r="D43" s="64">
        <v>26.27</v>
      </c>
      <c r="E43" s="64">
        <v>2.58</v>
      </c>
      <c r="F43" s="64">
        <v>31.78</v>
      </c>
      <c r="G43" s="212" t="s">
        <v>43</v>
      </c>
      <c r="H43" s="212" t="s">
        <v>43</v>
      </c>
      <c r="I43" s="64">
        <v>0.56999999999999995</v>
      </c>
      <c r="J43" s="64">
        <v>0.06</v>
      </c>
      <c r="K43" s="64">
        <v>287.2</v>
      </c>
      <c r="L43" s="64">
        <v>35.64</v>
      </c>
      <c r="M43" s="64">
        <v>29.94</v>
      </c>
      <c r="N43" s="64">
        <v>549.29999999999995</v>
      </c>
      <c r="O43" s="64">
        <v>0</v>
      </c>
      <c r="P43" s="64">
        <v>1.37</v>
      </c>
      <c r="Q43" s="64">
        <v>18.89</v>
      </c>
      <c r="R43" s="198"/>
      <c r="S43" s="198"/>
      <c r="T43" s="198"/>
      <c r="U43" s="198"/>
    </row>
    <row r="44" spans="1:21" s="12" customFormat="1" x14ac:dyDescent="0.25">
      <c r="A44" s="211" t="s">
        <v>1914</v>
      </c>
      <c r="B44" s="64">
        <v>3.22</v>
      </c>
      <c r="C44" s="64">
        <v>36.5</v>
      </c>
      <c r="D44" s="64">
        <v>23.37</v>
      </c>
      <c r="E44" s="64">
        <v>3.78</v>
      </c>
      <c r="F44" s="64">
        <v>26.83</v>
      </c>
      <c r="G44" s="64">
        <v>258.33999999999997</v>
      </c>
      <c r="H44" s="64">
        <v>35.14</v>
      </c>
      <c r="I44" s="64">
        <v>0.59</v>
      </c>
      <c r="J44" s="64">
        <v>0.2</v>
      </c>
      <c r="K44" s="64">
        <v>192.37</v>
      </c>
      <c r="L44" s="64">
        <v>34.869999999999997</v>
      </c>
      <c r="M44" s="64">
        <v>30.73</v>
      </c>
      <c r="N44" s="64">
        <v>601.79999999999995</v>
      </c>
      <c r="O44" s="64">
        <v>0</v>
      </c>
      <c r="P44" s="64">
        <v>1.21</v>
      </c>
      <c r="Q44" s="64">
        <v>18.670000000000002</v>
      </c>
      <c r="R44" s="198"/>
      <c r="S44" s="198"/>
      <c r="T44" s="198"/>
      <c r="U44" s="198"/>
    </row>
    <row r="45" spans="1:21" s="12" customFormat="1" x14ac:dyDescent="0.25">
      <c r="A45" s="211" t="s">
        <v>1915</v>
      </c>
      <c r="B45" s="64">
        <v>2.1</v>
      </c>
      <c r="C45" s="64">
        <v>33.89</v>
      </c>
      <c r="D45" s="64">
        <v>21.04</v>
      </c>
      <c r="E45" s="64">
        <v>4.76</v>
      </c>
      <c r="F45" s="64">
        <v>30.04</v>
      </c>
      <c r="G45" s="64">
        <v>258.33999999999997</v>
      </c>
      <c r="H45" s="64">
        <v>35.14</v>
      </c>
      <c r="I45" s="64">
        <v>0.68</v>
      </c>
      <c r="J45" s="64">
        <v>0.27</v>
      </c>
      <c r="K45" s="64">
        <v>197.32</v>
      </c>
      <c r="L45" s="64">
        <v>35.04</v>
      </c>
      <c r="M45" s="64">
        <v>30.4</v>
      </c>
      <c r="N45" s="64">
        <v>643.29999999999995</v>
      </c>
      <c r="O45" s="64">
        <v>0</v>
      </c>
      <c r="P45" s="64">
        <v>1.1200000000000001</v>
      </c>
      <c r="Q45" s="64">
        <v>18.34</v>
      </c>
      <c r="R45" s="198"/>
      <c r="S45" s="198"/>
      <c r="T45" s="198"/>
      <c r="U45" s="198"/>
    </row>
    <row r="46" spans="1:21" s="12" customFormat="1" x14ac:dyDescent="0.25">
      <c r="A46" s="211" t="s">
        <v>1916</v>
      </c>
      <c r="B46" s="64">
        <v>1.26</v>
      </c>
      <c r="C46" s="64">
        <v>30.39</v>
      </c>
      <c r="D46" s="64">
        <v>18.420000000000002</v>
      </c>
      <c r="E46" s="64">
        <v>6.28</v>
      </c>
      <c r="F46" s="64">
        <v>31.09</v>
      </c>
      <c r="G46" s="64">
        <v>258.33999999999997</v>
      </c>
      <c r="H46" s="64">
        <v>35.14</v>
      </c>
      <c r="I46" s="64">
        <v>0.64</v>
      </c>
      <c r="J46" s="64">
        <v>0.67</v>
      </c>
      <c r="K46" s="64">
        <v>188.22</v>
      </c>
      <c r="L46" s="64">
        <v>34.86</v>
      </c>
      <c r="M46" s="64">
        <v>29.92</v>
      </c>
      <c r="N46" s="64">
        <v>685.7</v>
      </c>
      <c r="O46" s="64">
        <v>0</v>
      </c>
      <c r="P46" s="64">
        <v>1.1100000000000001</v>
      </c>
      <c r="Q46" s="64">
        <v>18.440000000000001</v>
      </c>
      <c r="R46" s="198"/>
      <c r="S46" s="198"/>
      <c r="T46" s="198"/>
      <c r="U46" s="198"/>
    </row>
    <row r="47" spans="1:21" s="12" customFormat="1" x14ac:dyDescent="0.25">
      <c r="A47" s="211" t="s">
        <v>1917</v>
      </c>
      <c r="B47" s="64">
        <v>2.1800000000000002</v>
      </c>
      <c r="C47" s="64">
        <v>30.55</v>
      </c>
      <c r="D47" s="64">
        <v>19.25</v>
      </c>
      <c r="E47" s="64">
        <v>6.53</v>
      </c>
      <c r="F47" s="64">
        <v>29.06</v>
      </c>
      <c r="G47" s="64">
        <v>58.34</v>
      </c>
      <c r="H47" s="64">
        <v>35.54</v>
      </c>
      <c r="I47" s="64">
        <v>0.55000000000000004</v>
      </c>
      <c r="J47" s="64">
        <v>0.34</v>
      </c>
      <c r="K47" s="64">
        <v>206.39</v>
      </c>
      <c r="L47" s="64">
        <v>35.68</v>
      </c>
      <c r="M47" s="64">
        <v>28.01</v>
      </c>
      <c r="N47" s="64">
        <v>713.2</v>
      </c>
      <c r="O47" s="64">
        <v>0</v>
      </c>
      <c r="P47" s="64">
        <v>1.08</v>
      </c>
      <c r="Q47" s="64">
        <v>18.260000000000002</v>
      </c>
      <c r="R47" s="198"/>
      <c r="S47" s="198"/>
      <c r="T47" s="198"/>
      <c r="U47" s="198"/>
    </row>
    <row r="48" spans="1:21" s="12" customFormat="1" x14ac:dyDescent="0.25">
      <c r="A48" s="211" t="s">
        <v>1918</v>
      </c>
      <c r="B48" s="64">
        <v>1.33</v>
      </c>
      <c r="C48" s="64">
        <v>28.89</v>
      </c>
      <c r="D48" s="64">
        <v>17.66</v>
      </c>
      <c r="E48" s="64">
        <v>7.15</v>
      </c>
      <c r="F48" s="64">
        <v>28.89</v>
      </c>
      <c r="G48" s="64">
        <v>58.34</v>
      </c>
      <c r="H48" s="64">
        <v>35.54</v>
      </c>
      <c r="I48" s="64">
        <v>0.59</v>
      </c>
      <c r="J48" s="64">
        <v>0.32</v>
      </c>
      <c r="K48" s="64">
        <v>191.84</v>
      </c>
      <c r="L48" s="64">
        <v>36.36</v>
      </c>
      <c r="M48" s="64">
        <v>26.83</v>
      </c>
      <c r="N48" s="64">
        <v>736.6</v>
      </c>
      <c r="O48" s="64">
        <v>0</v>
      </c>
      <c r="P48" s="64">
        <v>1.02</v>
      </c>
      <c r="Q48" s="64">
        <v>18.29</v>
      </c>
      <c r="R48" s="198"/>
      <c r="S48" s="198"/>
      <c r="T48" s="198"/>
      <c r="U48" s="198"/>
    </row>
    <row r="49" spans="1:21" s="12" customFormat="1" x14ac:dyDescent="0.25">
      <c r="A49" s="211" t="s">
        <v>1919</v>
      </c>
      <c r="B49" s="64">
        <v>2.0699999999999998</v>
      </c>
      <c r="C49" s="64">
        <v>31.68</v>
      </c>
      <c r="D49" s="64">
        <v>19.79</v>
      </c>
      <c r="E49" s="64">
        <v>7.08</v>
      </c>
      <c r="F49" s="64">
        <v>18.989999999999998</v>
      </c>
      <c r="G49" s="64">
        <v>58.34</v>
      </c>
      <c r="H49" s="64">
        <v>35.54</v>
      </c>
      <c r="I49" s="64">
        <v>0.65</v>
      </c>
      <c r="J49" s="64">
        <v>0.13</v>
      </c>
      <c r="K49" s="64">
        <v>242.88</v>
      </c>
      <c r="L49" s="64">
        <v>37.15</v>
      </c>
      <c r="M49" s="64">
        <v>24.88</v>
      </c>
      <c r="N49" s="64">
        <v>766.1</v>
      </c>
      <c r="O49" s="64">
        <v>0</v>
      </c>
      <c r="P49" s="64">
        <v>1.05</v>
      </c>
      <c r="Q49" s="64">
        <v>18.440000000000001</v>
      </c>
      <c r="R49" s="198"/>
      <c r="S49" s="198"/>
      <c r="T49" s="198"/>
      <c r="U49" s="198"/>
    </row>
    <row r="50" spans="1:21" s="12" customFormat="1" x14ac:dyDescent="0.25">
      <c r="A50" s="211" t="s">
        <v>1920</v>
      </c>
      <c r="B50" s="64">
        <v>2.74</v>
      </c>
      <c r="C50" s="64">
        <v>33.89</v>
      </c>
      <c r="D50" s="64">
        <v>21.55</v>
      </c>
      <c r="E50" s="64">
        <v>6.52</v>
      </c>
      <c r="F50" s="64">
        <v>19.18</v>
      </c>
      <c r="G50" s="64">
        <v>58.34</v>
      </c>
      <c r="H50" s="64">
        <v>35.54</v>
      </c>
      <c r="I50" s="64">
        <v>0.65</v>
      </c>
      <c r="J50" s="64">
        <v>0.65</v>
      </c>
      <c r="K50" s="64">
        <v>264.16000000000003</v>
      </c>
      <c r="L50" s="64">
        <v>38.479999999999997</v>
      </c>
      <c r="M50" s="64">
        <v>23.91</v>
      </c>
      <c r="N50" s="64">
        <v>787</v>
      </c>
      <c r="O50" s="64">
        <v>0</v>
      </c>
      <c r="P50" s="64">
        <v>0.94</v>
      </c>
      <c r="Q50" s="64">
        <v>18.78</v>
      </c>
      <c r="R50" s="198"/>
      <c r="S50" s="198"/>
      <c r="T50" s="198"/>
      <c r="U50" s="198"/>
    </row>
    <row r="51" spans="1:21" s="12" customFormat="1" x14ac:dyDescent="0.25">
      <c r="A51" s="211" t="s">
        <v>1921</v>
      </c>
      <c r="B51" s="64">
        <v>4.7</v>
      </c>
      <c r="C51" s="64">
        <v>30.96</v>
      </c>
      <c r="D51" s="64">
        <v>21.5</v>
      </c>
      <c r="E51" s="64">
        <v>5.31</v>
      </c>
      <c r="F51" s="64">
        <v>28.39</v>
      </c>
      <c r="G51" s="64">
        <v>58.62</v>
      </c>
      <c r="H51" s="64">
        <v>28.28</v>
      </c>
      <c r="I51" s="64">
        <v>0.69</v>
      </c>
      <c r="J51" s="64">
        <v>0.64</v>
      </c>
      <c r="K51" s="64">
        <v>265.82</v>
      </c>
      <c r="L51" s="64">
        <v>40.26</v>
      </c>
      <c r="M51" s="64">
        <v>21.91</v>
      </c>
      <c r="N51" s="64">
        <v>798.3</v>
      </c>
      <c r="O51" s="64">
        <v>0</v>
      </c>
      <c r="P51" s="64">
        <v>0.9</v>
      </c>
      <c r="Q51" s="64">
        <v>19.329999999999998</v>
      </c>
      <c r="R51" s="198"/>
      <c r="S51" s="198"/>
      <c r="T51" s="198"/>
      <c r="U51" s="198"/>
    </row>
    <row r="52" spans="1:21" s="12" customFormat="1" x14ac:dyDescent="0.25">
      <c r="A52" s="211" t="s">
        <v>1922</v>
      </c>
      <c r="B52" s="64">
        <v>4.38</v>
      </c>
      <c r="C52" s="64">
        <v>25.19</v>
      </c>
      <c r="D52" s="64">
        <v>18.05</v>
      </c>
      <c r="E52" s="64">
        <v>4.54</v>
      </c>
      <c r="F52" s="64">
        <v>26.13</v>
      </c>
      <c r="G52" s="64">
        <v>58.66</v>
      </c>
      <c r="H52" s="64">
        <v>28.28</v>
      </c>
      <c r="I52" s="64">
        <v>0.59</v>
      </c>
      <c r="J52" s="64">
        <v>0.65</v>
      </c>
      <c r="K52" s="64">
        <v>268.26</v>
      </c>
      <c r="L52" s="64">
        <v>40.729999999999997</v>
      </c>
      <c r="M52" s="64">
        <v>21.53</v>
      </c>
      <c r="N52" s="64">
        <v>812.7</v>
      </c>
      <c r="O52" s="64">
        <v>0</v>
      </c>
      <c r="P52" s="64">
        <v>0.87</v>
      </c>
      <c r="Q52" s="64">
        <v>17.27</v>
      </c>
      <c r="R52" s="198"/>
      <c r="S52" s="198"/>
      <c r="T52" s="198"/>
      <c r="U52" s="198"/>
    </row>
    <row r="53" spans="1:21" s="12" customFormat="1" x14ac:dyDescent="0.25">
      <c r="A53" s="211" t="s">
        <v>1923</v>
      </c>
      <c r="B53" s="64">
        <v>2.93</v>
      </c>
      <c r="C53" s="64">
        <v>29.55</v>
      </c>
      <c r="D53" s="64">
        <v>19.309999999999999</v>
      </c>
      <c r="E53" s="64">
        <v>3.63</v>
      </c>
      <c r="F53" s="64">
        <v>29.56</v>
      </c>
      <c r="G53" s="64">
        <v>58.66</v>
      </c>
      <c r="H53" s="64">
        <v>28.28</v>
      </c>
      <c r="I53" s="64">
        <v>0.62</v>
      </c>
      <c r="J53" s="64">
        <v>0.42</v>
      </c>
      <c r="K53" s="64">
        <v>268.3</v>
      </c>
      <c r="L53" s="64">
        <v>39.840000000000003</v>
      </c>
      <c r="M53" s="64">
        <v>21.54</v>
      </c>
      <c r="N53" s="64">
        <v>819.8</v>
      </c>
      <c r="O53" s="64">
        <v>0</v>
      </c>
      <c r="P53" s="64">
        <v>0.83</v>
      </c>
      <c r="Q53" s="64">
        <v>14.67</v>
      </c>
      <c r="R53" s="198"/>
      <c r="S53" s="198"/>
      <c r="T53" s="198"/>
      <c r="U53" s="198"/>
    </row>
    <row r="54" spans="1:21" s="12" customFormat="1" x14ac:dyDescent="0.25">
      <c r="A54" s="211" t="s">
        <v>1924</v>
      </c>
      <c r="B54" s="64">
        <v>2.67</v>
      </c>
      <c r="C54" s="64">
        <v>31.73</v>
      </c>
      <c r="D54" s="64">
        <v>20.3</v>
      </c>
      <c r="E54" s="64">
        <v>4.3499999999999996</v>
      </c>
      <c r="F54" s="64">
        <v>27.66</v>
      </c>
      <c r="G54" s="64">
        <v>58.66</v>
      </c>
      <c r="H54" s="64">
        <v>28.28</v>
      </c>
      <c r="I54" s="64">
        <v>0.73</v>
      </c>
      <c r="J54" s="64">
        <v>0.33</v>
      </c>
      <c r="K54" s="64">
        <v>272.74</v>
      </c>
      <c r="L54" s="64">
        <v>40.159999999999997</v>
      </c>
      <c r="M54" s="64">
        <v>21.19</v>
      </c>
      <c r="N54" s="64">
        <v>823.5</v>
      </c>
      <c r="O54" s="64">
        <v>0</v>
      </c>
      <c r="P54" s="64">
        <v>0.68</v>
      </c>
      <c r="Q54" s="64">
        <v>15.47</v>
      </c>
      <c r="R54" s="198"/>
      <c r="S54" s="198"/>
      <c r="T54" s="198"/>
      <c r="U54" s="198"/>
    </row>
    <row r="55" spans="1:21" s="12" customFormat="1" x14ac:dyDescent="0.25">
      <c r="A55" s="211" t="s">
        <v>1925</v>
      </c>
      <c r="B55" s="64">
        <v>1.68</v>
      </c>
      <c r="C55" s="64">
        <v>29.78</v>
      </c>
      <c r="D55" s="64">
        <v>18.43</v>
      </c>
      <c r="E55" s="64">
        <v>5.18</v>
      </c>
      <c r="F55" s="64">
        <v>22.11</v>
      </c>
      <c r="G55" s="64">
        <v>46.42</v>
      </c>
      <c r="H55" s="64">
        <v>29.16</v>
      </c>
      <c r="I55" s="64">
        <v>0.66</v>
      </c>
      <c r="J55" s="64">
        <v>0.16</v>
      </c>
      <c r="K55" s="64">
        <v>287.45999999999998</v>
      </c>
      <c r="L55" s="64">
        <v>40.18</v>
      </c>
      <c r="M55" s="64">
        <v>20.85</v>
      </c>
      <c r="N55" s="64">
        <v>846</v>
      </c>
      <c r="O55" s="64">
        <v>0</v>
      </c>
      <c r="P55" s="64">
        <v>0.66</v>
      </c>
      <c r="Q55" s="64">
        <v>16.190000000000001</v>
      </c>
      <c r="R55" s="198"/>
      <c r="S55" s="198"/>
      <c r="T55" s="198"/>
      <c r="U55" s="198"/>
    </row>
    <row r="56" spans="1:21" s="12" customFormat="1" x14ac:dyDescent="0.25">
      <c r="A56" s="211" t="s">
        <v>1926</v>
      </c>
      <c r="B56" s="64">
        <v>1.1000000000000001</v>
      </c>
      <c r="C56" s="64">
        <v>30.74</v>
      </c>
      <c r="D56" s="64">
        <v>18.489999999999998</v>
      </c>
      <c r="E56" s="64">
        <v>5.39</v>
      </c>
      <c r="F56" s="64">
        <v>10.95</v>
      </c>
      <c r="G56" s="64">
        <v>44.72</v>
      </c>
      <c r="H56" s="64">
        <v>29.16</v>
      </c>
      <c r="I56" s="64">
        <v>0.64</v>
      </c>
      <c r="J56" s="64">
        <v>0.32</v>
      </c>
      <c r="K56" s="64">
        <v>267.57</v>
      </c>
      <c r="L56" s="64">
        <v>38.46</v>
      </c>
      <c r="M56" s="64">
        <v>22.7</v>
      </c>
      <c r="N56" s="64">
        <v>858.5</v>
      </c>
      <c r="O56" s="64">
        <v>0</v>
      </c>
      <c r="P56" s="64">
        <v>0.68</v>
      </c>
      <c r="Q56" s="64">
        <v>17.079999999999998</v>
      </c>
      <c r="R56" s="198"/>
      <c r="S56" s="198"/>
      <c r="T56" s="198"/>
      <c r="U56" s="198"/>
    </row>
    <row r="57" spans="1:21" s="12" customFormat="1" x14ac:dyDescent="0.25">
      <c r="A57" s="211" t="s">
        <v>1927</v>
      </c>
      <c r="B57" s="64">
        <v>1.25</v>
      </c>
      <c r="C57" s="64">
        <v>33.58</v>
      </c>
      <c r="D57" s="64">
        <v>20.18</v>
      </c>
      <c r="E57" s="64">
        <v>7.55</v>
      </c>
      <c r="F57" s="64">
        <v>10.99</v>
      </c>
      <c r="G57" s="64">
        <v>44.72</v>
      </c>
      <c r="H57" s="64">
        <v>29.16</v>
      </c>
      <c r="I57" s="64">
        <v>0.59</v>
      </c>
      <c r="J57" s="64">
        <v>0.04</v>
      </c>
      <c r="K57" s="64">
        <v>0.56999999999999995</v>
      </c>
      <c r="L57" s="64">
        <v>39.33</v>
      </c>
      <c r="M57" s="64">
        <v>21.7</v>
      </c>
      <c r="N57" s="64">
        <v>838.3</v>
      </c>
      <c r="O57" s="64">
        <v>0</v>
      </c>
      <c r="P57" s="64">
        <v>0.67</v>
      </c>
      <c r="Q57" s="64">
        <v>18.920000000000002</v>
      </c>
      <c r="R57" s="198"/>
      <c r="S57" s="198"/>
      <c r="T57" s="198"/>
      <c r="U57" s="198"/>
    </row>
    <row r="58" spans="1:21" s="12" customFormat="1" x14ac:dyDescent="0.25">
      <c r="A58" s="211" t="s">
        <v>1928</v>
      </c>
      <c r="B58" s="64">
        <v>1</v>
      </c>
      <c r="C58" s="64">
        <v>34.51</v>
      </c>
      <c r="D58" s="64">
        <v>20.49</v>
      </c>
      <c r="E58" s="64">
        <v>7.38</v>
      </c>
      <c r="F58" s="64">
        <v>12.4</v>
      </c>
      <c r="G58" s="64">
        <v>44.72</v>
      </c>
      <c r="H58" s="64">
        <v>29.16</v>
      </c>
      <c r="I58" s="64">
        <v>0.77</v>
      </c>
      <c r="J58" s="64">
        <v>0.19</v>
      </c>
      <c r="K58" s="64">
        <v>273</v>
      </c>
      <c r="L58" s="64">
        <v>40.31</v>
      </c>
      <c r="M58" s="64">
        <v>21.02</v>
      </c>
      <c r="N58" s="64">
        <v>844.2</v>
      </c>
      <c r="O58" s="64">
        <v>0</v>
      </c>
      <c r="P58" s="64">
        <v>0.64</v>
      </c>
      <c r="Q58" s="64">
        <v>20.83</v>
      </c>
      <c r="R58" s="198"/>
      <c r="S58" s="198"/>
      <c r="T58" s="198"/>
      <c r="U58" s="198"/>
    </row>
    <row r="59" spans="1:21" s="12" customFormat="1" x14ac:dyDescent="0.25">
      <c r="A59" s="211" t="s">
        <v>1929</v>
      </c>
      <c r="B59" s="64">
        <v>1.06</v>
      </c>
      <c r="C59" s="64">
        <v>35.24</v>
      </c>
      <c r="D59" s="64">
        <v>20.95</v>
      </c>
      <c r="E59" s="64">
        <v>6.66</v>
      </c>
      <c r="F59" s="64">
        <v>13.17</v>
      </c>
      <c r="G59" s="64">
        <v>40.049999999999997</v>
      </c>
      <c r="H59" s="64">
        <v>25.71</v>
      </c>
      <c r="I59" s="64">
        <v>0.64</v>
      </c>
      <c r="J59" s="64">
        <v>0.54</v>
      </c>
      <c r="K59" s="64">
        <v>264.58</v>
      </c>
      <c r="L59" s="64">
        <v>40.67</v>
      </c>
      <c r="M59" s="64">
        <v>20.78</v>
      </c>
      <c r="N59" s="64">
        <v>628.9</v>
      </c>
      <c r="O59" s="64">
        <v>0</v>
      </c>
      <c r="P59" s="64">
        <v>0.62</v>
      </c>
      <c r="Q59" s="64">
        <v>21.92</v>
      </c>
      <c r="R59" s="198"/>
      <c r="S59" s="198"/>
      <c r="T59" s="198"/>
      <c r="U59" s="198"/>
    </row>
    <row r="60" spans="1:21" s="12" customFormat="1" x14ac:dyDescent="0.25">
      <c r="A60" s="211" t="s">
        <v>1930</v>
      </c>
      <c r="B60" s="64">
        <v>1</v>
      </c>
      <c r="C60" s="64">
        <v>35.44</v>
      </c>
      <c r="D60" s="64">
        <v>21.01</v>
      </c>
      <c r="E60" s="64">
        <v>5.19</v>
      </c>
      <c r="F60" s="64">
        <v>9.1199999999999992</v>
      </c>
      <c r="G60" s="64">
        <v>39.4</v>
      </c>
      <c r="H60" s="64">
        <v>25.71</v>
      </c>
      <c r="I60" s="64">
        <v>0.57999999999999996</v>
      </c>
      <c r="J60" s="64">
        <v>0.14000000000000001</v>
      </c>
      <c r="K60" s="64">
        <v>291.5</v>
      </c>
      <c r="L60" s="64">
        <v>38.700000000000003</v>
      </c>
      <c r="M60" s="64">
        <v>22.6</v>
      </c>
      <c r="N60" s="64">
        <v>529.20000000000005</v>
      </c>
      <c r="O60" s="64">
        <v>0</v>
      </c>
      <c r="P60" s="64">
        <v>0.6</v>
      </c>
      <c r="Q60" s="64">
        <v>22.65</v>
      </c>
      <c r="R60" s="198"/>
      <c r="S60" s="198"/>
      <c r="T60" s="198"/>
      <c r="U60" s="198"/>
    </row>
    <row r="61" spans="1:21" s="12" customFormat="1" x14ac:dyDescent="0.25">
      <c r="A61" s="211" t="s">
        <v>1931</v>
      </c>
      <c r="B61" s="64">
        <v>1</v>
      </c>
      <c r="C61" s="64">
        <v>36.26</v>
      </c>
      <c r="D61" s="64">
        <v>21.46</v>
      </c>
      <c r="E61" s="64">
        <v>4.34</v>
      </c>
      <c r="F61" s="64">
        <v>9.16</v>
      </c>
      <c r="G61" s="64">
        <v>39.4</v>
      </c>
      <c r="H61" s="64">
        <v>25.71</v>
      </c>
      <c r="I61" s="64">
        <v>0.57999999999999996</v>
      </c>
      <c r="J61" s="64">
        <v>1.08</v>
      </c>
      <c r="K61" s="64">
        <v>264.04000000000002</v>
      </c>
      <c r="L61" s="64">
        <v>38.840000000000003</v>
      </c>
      <c r="M61" s="64">
        <v>22.7</v>
      </c>
      <c r="N61" s="64">
        <v>389.1</v>
      </c>
      <c r="O61" s="64">
        <v>0</v>
      </c>
      <c r="P61" s="64">
        <v>0.56999999999999995</v>
      </c>
      <c r="Q61" s="64">
        <v>23.27</v>
      </c>
      <c r="R61" s="198"/>
      <c r="S61" s="198"/>
      <c r="T61" s="198"/>
      <c r="U61" s="198"/>
    </row>
    <row r="62" spans="1:21" s="12" customFormat="1" x14ac:dyDescent="0.25">
      <c r="A62" s="211" t="s">
        <v>1932</v>
      </c>
      <c r="B62" s="64">
        <v>1</v>
      </c>
      <c r="C62" s="64">
        <v>36.229999999999997</v>
      </c>
      <c r="D62" s="64">
        <v>21.44</v>
      </c>
      <c r="E62" s="64">
        <v>4.75</v>
      </c>
      <c r="F62" s="64">
        <v>11.12</v>
      </c>
      <c r="G62" s="64">
        <v>39.4</v>
      </c>
      <c r="H62" s="64">
        <v>25.71</v>
      </c>
      <c r="I62" s="64">
        <v>0.55000000000000004</v>
      </c>
      <c r="J62" s="64">
        <v>1.24</v>
      </c>
      <c r="K62" s="64">
        <v>263.37</v>
      </c>
      <c r="L62" s="64">
        <v>37.090000000000003</v>
      </c>
      <c r="M62" s="64">
        <v>25.39</v>
      </c>
      <c r="N62" s="64">
        <v>446.7</v>
      </c>
      <c r="O62" s="64">
        <v>0</v>
      </c>
      <c r="P62" s="64">
        <v>0.54</v>
      </c>
      <c r="Q62" s="64">
        <v>23.78</v>
      </c>
      <c r="R62" s="198"/>
      <c r="S62" s="198"/>
      <c r="T62" s="198"/>
      <c r="U62" s="198"/>
    </row>
    <row r="63" spans="1:21" s="12" customFormat="1" x14ac:dyDescent="0.25">
      <c r="A63" s="211" t="s">
        <v>1933</v>
      </c>
      <c r="B63" s="64">
        <v>1</v>
      </c>
      <c r="C63" s="64">
        <v>33.11</v>
      </c>
      <c r="D63" s="64">
        <v>19.72</v>
      </c>
      <c r="E63" s="64">
        <v>3.31</v>
      </c>
      <c r="F63" s="64">
        <v>9.27</v>
      </c>
      <c r="G63" s="64">
        <v>53.56</v>
      </c>
      <c r="H63" s="64">
        <v>27.45</v>
      </c>
      <c r="I63" s="64">
        <v>0.53</v>
      </c>
      <c r="J63" s="64">
        <v>1.28</v>
      </c>
      <c r="K63" s="64">
        <v>260.33</v>
      </c>
      <c r="L63" s="64">
        <v>37.72</v>
      </c>
      <c r="M63" s="64">
        <v>25.74</v>
      </c>
      <c r="N63" s="64">
        <v>670</v>
      </c>
      <c r="O63" s="64">
        <v>0</v>
      </c>
      <c r="P63" s="64">
        <v>0.51</v>
      </c>
      <c r="Q63" s="64">
        <v>25.05</v>
      </c>
      <c r="R63" s="198"/>
      <c r="S63" s="198"/>
      <c r="T63" s="198"/>
      <c r="U63" s="198"/>
    </row>
    <row r="64" spans="1:21" s="12" customFormat="1" x14ac:dyDescent="0.25">
      <c r="A64" s="211" t="s">
        <v>1934</v>
      </c>
      <c r="B64" s="64">
        <v>1.08</v>
      </c>
      <c r="C64" s="64">
        <v>29.26</v>
      </c>
      <c r="D64" s="64">
        <v>17.66</v>
      </c>
      <c r="E64" s="64">
        <v>3.96</v>
      </c>
      <c r="F64" s="64">
        <v>10.54</v>
      </c>
      <c r="G64" s="64">
        <v>55.53</v>
      </c>
      <c r="H64" s="64">
        <v>27.45</v>
      </c>
      <c r="I64" s="64">
        <v>0.55000000000000004</v>
      </c>
      <c r="J64" s="64">
        <v>1.39</v>
      </c>
      <c r="K64" s="64">
        <v>261.35000000000002</v>
      </c>
      <c r="L64" s="64">
        <v>38.83</v>
      </c>
      <c r="M64" s="64">
        <v>23.99</v>
      </c>
      <c r="N64" s="64">
        <v>682.9</v>
      </c>
      <c r="O64" s="64">
        <v>0</v>
      </c>
      <c r="P64" s="64">
        <v>0.48</v>
      </c>
      <c r="Q64" s="64">
        <v>25.04</v>
      </c>
      <c r="R64" s="198"/>
      <c r="S64" s="198"/>
      <c r="T64" s="198"/>
      <c r="U64" s="198"/>
    </row>
    <row r="65" spans="1:21" s="12" customFormat="1" x14ac:dyDescent="0.25">
      <c r="A65" s="211" t="s">
        <v>1935</v>
      </c>
      <c r="B65" s="64">
        <v>1.33</v>
      </c>
      <c r="C65" s="64">
        <v>30.96</v>
      </c>
      <c r="D65" s="64">
        <v>18.8</v>
      </c>
      <c r="E65" s="64">
        <v>3.55</v>
      </c>
      <c r="F65" s="64">
        <v>10.8</v>
      </c>
      <c r="G65" s="64">
        <v>55.53</v>
      </c>
      <c r="H65" s="64">
        <v>27.45</v>
      </c>
      <c r="I65" s="64">
        <v>0.57999999999999996</v>
      </c>
      <c r="J65" s="64">
        <v>0.51</v>
      </c>
      <c r="K65" s="64">
        <v>264.36</v>
      </c>
      <c r="L65" s="64">
        <v>38.5</v>
      </c>
      <c r="M65" s="64">
        <v>23.18</v>
      </c>
      <c r="N65" s="64">
        <v>302</v>
      </c>
      <c r="O65" s="64">
        <v>0</v>
      </c>
      <c r="P65" s="64">
        <v>0.45</v>
      </c>
      <c r="Q65" s="64">
        <v>24.77</v>
      </c>
      <c r="R65" s="198"/>
      <c r="S65" s="198"/>
      <c r="T65" s="198"/>
      <c r="U65" s="198"/>
    </row>
    <row r="66" spans="1:21" s="12" customFormat="1" x14ac:dyDescent="0.25">
      <c r="A66" s="211" t="s">
        <v>1936</v>
      </c>
      <c r="B66" s="64">
        <v>3.48</v>
      </c>
      <c r="C66" s="64">
        <v>28.65</v>
      </c>
      <c r="D66" s="64">
        <v>19.25</v>
      </c>
      <c r="E66" s="64">
        <v>3.25</v>
      </c>
      <c r="F66" s="64">
        <v>11.97</v>
      </c>
      <c r="G66" s="64">
        <v>55.53</v>
      </c>
      <c r="H66" s="64">
        <v>27.45</v>
      </c>
      <c r="I66" s="64">
        <v>0.51</v>
      </c>
      <c r="J66" s="64">
        <v>2</v>
      </c>
      <c r="K66" s="64">
        <v>263.99</v>
      </c>
      <c r="L66" s="64">
        <v>36.729999999999997</v>
      </c>
      <c r="M66" s="64">
        <v>24.46</v>
      </c>
      <c r="N66" s="64">
        <v>142.5</v>
      </c>
      <c r="O66" s="64">
        <v>0</v>
      </c>
      <c r="P66" s="64">
        <v>0.44</v>
      </c>
      <c r="Q66" s="64">
        <v>24.64</v>
      </c>
      <c r="R66" s="198"/>
      <c r="S66" s="198"/>
      <c r="T66" s="198"/>
      <c r="U66" s="198"/>
    </row>
    <row r="67" spans="1:21" s="12" customFormat="1" x14ac:dyDescent="0.25">
      <c r="A67" s="211" t="s">
        <v>1937</v>
      </c>
      <c r="B67" s="64">
        <v>2.5099999999999998</v>
      </c>
      <c r="C67" s="64">
        <v>27.2</v>
      </c>
      <c r="D67" s="64">
        <v>17.670000000000002</v>
      </c>
      <c r="E67" s="64">
        <v>3.32</v>
      </c>
      <c r="F67" s="64">
        <v>11.57</v>
      </c>
      <c r="G67" s="64">
        <v>42.75</v>
      </c>
      <c r="H67" s="64">
        <v>24.77</v>
      </c>
      <c r="I67" s="64">
        <v>0.5</v>
      </c>
      <c r="J67" s="64">
        <v>0.81</v>
      </c>
      <c r="K67" s="64">
        <v>266.17</v>
      </c>
      <c r="L67" s="64">
        <v>35.81</v>
      </c>
      <c r="M67" s="64">
        <v>26.09</v>
      </c>
      <c r="N67" s="64">
        <v>145.4</v>
      </c>
      <c r="O67" s="64">
        <v>0</v>
      </c>
      <c r="P67" s="64">
        <v>0.44</v>
      </c>
      <c r="Q67" s="64">
        <v>24.06</v>
      </c>
      <c r="R67" s="198"/>
      <c r="S67" s="198"/>
      <c r="T67" s="198"/>
      <c r="U67" s="198"/>
    </row>
    <row r="68" spans="1:21" s="12" customFormat="1" x14ac:dyDescent="0.25">
      <c r="A68" s="211" t="s">
        <v>1938</v>
      </c>
      <c r="B68" s="64">
        <v>4.18</v>
      </c>
      <c r="C68" s="64">
        <v>36.03</v>
      </c>
      <c r="D68" s="64">
        <v>23.88</v>
      </c>
      <c r="E68" s="64">
        <v>3.51</v>
      </c>
      <c r="F68" s="64">
        <v>12.99</v>
      </c>
      <c r="G68" s="64">
        <v>40.97</v>
      </c>
      <c r="H68" s="64">
        <v>24.77</v>
      </c>
      <c r="I68" s="64">
        <v>0.53</v>
      </c>
      <c r="J68" s="64">
        <v>0.24</v>
      </c>
      <c r="K68" s="64">
        <v>230.52</v>
      </c>
      <c r="L68" s="64">
        <v>35.020000000000003</v>
      </c>
      <c r="M68" s="64">
        <v>28.7</v>
      </c>
      <c r="N68" s="64">
        <v>177.7</v>
      </c>
      <c r="O68" s="64">
        <v>0</v>
      </c>
      <c r="P68" s="64">
        <v>0.49</v>
      </c>
      <c r="Q68" s="64">
        <v>23.99</v>
      </c>
      <c r="R68" s="198"/>
      <c r="S68" s="198"/>
      <c r="T68" s="198"/>
      <c r="U68" s="198"/>
    </row>
    <row r="69" spans="1:21" s="12" customFormat="1" x14ac:dyDescent="0.25">
      <c r="A69" s="211" t="s">
        <v>1939</v>
      </c>
      <c r="B69" s="64">
        <v>2.71</v>
      </c>
      <c r="C69" s="64">
        <v>33.83</v>
      </c>
      <c r="D69" s="64">
        <v>21.49</v>
      </c>
      <c r="E69" s="64">
        <v>3.21</v>
      </c>
      <c r="F69" s="64">
        <v>6.3</v>
      </c>
      <c r="G69" s="64">
        <v>40.97</v>
      </c>
      <c r="H69" s="64">
        <v>24.77</v>
      </c>
      <c r="I69" s="64">
        <v>0.52</v>
      </c>
      <c r="J69" s="64">
        <v>0.1</v>
      </c>
      <c r="K69" s="64">
        <v>259.16000000000003</v>
      </c>
      <c r="L69" s="64">
        <v>34.51</v>
      </c>
      <c r="M69" s="64">
        <v>29.3</v>
      </c>
      <c r="N69" s="64">
        <v>143.4</v>
      </c>
      <c r="O69" s="64">
        <v>0</v>
      </c>
      <c r="P69" s="64">
        <v>0.47</v>
      </c>
      <c r="Q69" s="64">
        <v>25.14</v>
      </c>
      <c r="R69" s="198"/>
      <c r="S69" s="198"/>
      <c r="T69" s="198"/>
      <c r="U69" s="198"/>
    </row>
    <row r="70" spans="1:21" s="12" customFormat="1" x14ac:dyDescent="0.25">
      <c r="A70" s="211" t="s">
        <v>1940</v>
      </c>
      <c r="B70" s="64">
        <v>2.2400000000000002</v>
      </c>
      <c r="C70" s="64">
        <v>34.14</v>
      </c>
      <c r="D70" s="64">
        <v>21.29</v>
      </c>
      <c r="E70" s="64">
        <v>2.62</v>
      </c>
      <c r="F70" s="64">
        <v>5.43</v>
      </c>
      <c r="G70" s="64">
        <v>40.97</v>
      </c>
      <c r="H70" s="64">
        <v>24.77</v>
      </c>
      <c r="I70" s="64">
        <v>0.69</v>
      </c>
      <c r="J70" s="64">
        <v>0.1</v>
      </c>
      <c r="K70" s="64">
        <v>266.81</v>
      </c>
      <c r="L70" s="64">
        <v>34.07</v>
      </c>
      <c r="M70" s="64">
        <v>29.53</v>
      </c>
      <c r="N70" s="64">
        <v>161.9</v>
      </c>
      <c r="O70" s="64">
        <v>0</v>
      </c>
      <c r="P70" s="64">
        <v>0.46</v>
      </c>
      <c r="Q70" s="64">
        <v>25.64</v>
      </c>
      <c r="R70" s="198"/>
      <c r="S70" s="198"/>
      <c r="T70" s="198"/>
      <c r="U70" s="198"/>
    </row>
    <row r="71" spans="1:21" s="12" customFormat="1" x14ac:dyDescent="0.25">
      <c r="A71" s="211" t="s">
        <v>1941</v>
      </c>
      <c r="B71" s="64">
        <v>3.09</v>
      </c>
      <c r="C71" s="64">
        <v>35.799999999999997</v>
      </c>
      <c r="D71" s="64">
        <v>22.88</v>
      </c>
      <c r="E71" s="64">
        <v>2.5099999999999998</v>
      </c>
      <c r="F71" s="64">
        <v>7.37</v>
      </c>
      <c r="G71" s="64">
        <v>82.33</v>
      </c>
      <c r="H71" s="64">
        <v>25.82</v>
      </c>
      <c r="I71" s="64">
        <v>0.57999999999999996</v>
      </c>
      <c r="J71" s="64">
        <v>7.0000000000000007E-2</v>
      </c>
      <c r="K71" s="64">
        <v>252.19</v>
      </c>
      <c r="L71" s="64">
        <v>34.35</v>
      </c>
      <c r="M71" s="64">
        <v>27.57</v>
      </c>
      <c r="N71" s="64">
        <v>173.8</v>
      </c>
      <c r="O71" s="64">
        <v>0</v>
      </c>
      <c r="P71" s="64">
        <v>0.45</v>
      </c>
      <c r="Q71" s="64">
        <v>25.75</v>
      </c>
      <c r="R71" s="198"/>
      <c r="S71" s="198"/>
      <c r="T71" s="198"/>
      <c r="U71" s="198"/>
    </row>
    <row r="72" spans="1:21" s="12" customFormat="1" x14ac:dyDescent="0.25">
      <c r="A72" s="211" t="s">
        <v>1942</v>
      </c>
      <c r="B72" s="64">
        <v>3.04</v>
      </c>
      <c r="C72" s="64">
        <v>36.47</v>
      </c>
      <c r="D72" s="64">
        <v>23.21</v>
      </c>
      <c r="E72" s="64">
        <v>1.75</v>
      </c>
      <c r="F72" s="64">
        <v>7.68</v>
      </c>
      <c r="G72" s="64">
        <v>88.08</v>
      </c>
      <c r="H72" s="64">
        <v>25.82</v>
      </c>
      <c r="I72" s="64">
        <v>0.56000000000000005</v>
      </c>
      <c r="J72" s="64">
        <v>0.04</v>
      </c>
      <c r="K72" s="64">
        <v>237.56</v>
      </c>
      <c r="L72" s="64">
        <v>34.21</v>
      </c>
      <c r="M72" s="64">
        <v>26.22</v>
      </c>
      <c r="N72" s="64">
        <v>140</v>
      </c>
      <c r="O72" s="64">
        <v>0</v>
      </c>
      <c r="P72" s="64">
        <v>0.54</v>
      </c>
      <c r="Q72" s="64">
        <v>25.76</v>
      </c>
      <c r="R72" s="198"/>
      <c r="S72" s="198"/>
      <c r="T72" s="198"/>
      <c r="U72" s="198"/>
    </row>
    <row r="73" spans="1:21" s="12" customFormat="1" x14ac:dyDescent="0.25">
      <c r="A73" s="211" t="s">
        <v>1943</v>
      </c>
      <c r="B73" s="64">
        <v>3.16</v>
      </c>
      <c r="C73" s="64">
        <v>39.29</v>
      </c>
      <c r="D73" s="64">
        <v>24.87</v>
      </c>
      <c r="E73" s="64">
        <v>3.08</v>
      </c>
      <c r="F73" s="64">
        <v>6.53</v>
      </c>
      <c r="G73" s="64">
        <v>88.08</v>
      </c>
      <c r="H73" s="64">
        <v>25.82</v>
      </c>
      <c r="I73" s="64">
        <v>0.51</v>
      </c>
      <c r="J73" s="64">
        <v>0.14000000000000001</v>
      </c>
      <c r="K73" s="64">
        <v>217.59</v>
      </c>
      <c r="L73" s="64">
        <v>34.24</v>
      </c>
      <c r="M73" s="64">
        <v>24.73</v>
      </c>
      <c r="N73" s="64">
        <v>130.19999999999999</v>
      </c>
      <c r="O73" s="64">
        <v>0</v>
      </c>
      <c r="P73" s="64">
        <v>0.69</v>
      </c>
      <c r="Q73" s="64">
        <v>26.18</v>
      </c>
      <c r="R73" s="198"/>
      <c r="S73" s="198"/>
      <c r="T73" s="198"/>
      <c r="U73" s="198"/>
    </row>
    <row r="74" spans="1:21" s="12" customFormat="1" x14ac:dyDescent="0.25">
      <c r="A74" s="211" t="s">
        <v>1944</v>
      </c>
      <c r="B74" s="64">
        <v>5.25</v>
      </c>
      <c r="C74" s="64">
        <v>50.55</v>
      </c>
      <c r="D74" s="64">
        <v>32.75</v>
      </c>
      <c r="E74" s="64">
        <v>12.65</v>
      </c>
      <c r="F74" s="64">
        <v>20.61</v>
      </c>
      <c r="G74" s="64">
        <v>88.08</v>
      </c>
      <c r="H74" s="64">
        <v>25.82</v>
      </c>
      <c r="I74" s="64">
        <v>0.74</v>
      </c>
      <c r="J74" s="64">
        <v>0.24</v>
      </c>
      <c r="K74" s="64">
        <v>194.82</v>
      </c>
      <c r="L74" s="64">
        <v>34.18</v>
      </c>
      <c r="M74" s="64">
        <v>24.96</v>
      </c>
      <c r="N74" s="64">
        <v>136.4</v>
      </c>
      <c r="O74" s="64">
        <v>0</v>
      </c>
      <c r="P74" s="64">
        <v>1.08</v>
      </c>
      <c r="Q74" s="64">
        <v>26.99</v>
      </c>
      <c r="R74" s="198"/>
      <c r="S74" s="198"/>
      <c r="T74" s="198"/>
      <c r="U74" s="198"/>
    </row>
    <row r="75" spans="1:21" s="12" customFormat="1" x14ac:dyDescent="0.25">
      <c r="A75" s="211" t="s">
        <v>1945</v>
      </c>
      <c r="B75" s="64">
        <v>4.8</v>
      </c>
      <c r="C75" s="64">
        <v>47.7</v>
      </c>
      <c r="D75" s="64">
        <v>30.82</v>
      </c>
      <c r="E75" s="64">
        <v>21.29</v>
      </c>
      <c r="F75" s="64">
        <v>32.119999999999997</v>
      </c>
      <c r="G75" s="64">
        <v>53.54</v>
      </c>
      <c r="H75" s="64">
        <v>23.94</v>
      </c>
      <c r="I75" s="64">
        <v>0.6</v>
      </c>
      <c r="J75" s="64">
        <v>0.93</v>
      </c>
      <c r="K75" s="64">
        <v>178.11</v>
      </c>
      <c r="L75" s="64">
        <v>34.21</v>
      </c>
      <c r="M75" s="64">
        <v>25.99</v>
      </c>
      <c r="N75" s="64">
        <v>137.80000000000001</v>
      </c>
      <c r="O75" s="64">
        <v>0</v>
      </c>
      <c r="P75" s="64">
        <v>1.08</v>
      </c>
      <c r="Q75" s="64">
        <v>28.21</v>
      </c>
      <c r="R75" s="198"/>
      <c r="S75" s="198"/>
      <c r="T75" s="198"/>
      <c r="U75" s="198"/>
    </row>
    <row r="76" spans="1:21" s="12" customFormat="1" x14ac:dyDescent="0.25">
      <c r="A76" s="211" t="s">
        <v>1946</v>
      </c>
      <c r="B76" s="64">
        <v>5.58</v>
      </c>
      <c r="C76" s="64">
        <v>52.05</v>
      </c>
      <c r="D76" s="64">
        <v>33.85</v>
      </c>
      <c r="E76" s="64">
        <v>25.87</v>
      </c>
      <c r="F76" s="64">
        <v>32.770000000000003</v>
      </c>
      <c r="G76" s="64">
        <v>48.73</v>
      </c>
      <c r="H76" s="64">
        <v>23.94</v>
      </c>
      <c r="I76" s="64">
        <v>0.52</v>
      </c>
      <c r="J76" s="64">
        <v>0.82</v>
      </c>
      <c r="K76" s="64">
        <v>174.21</v>
      </c>
      <c r="L76" s="64">
        <v>34.5</v>
      </c>
      <c r="M76" s="64">
        <v>26.02</v>
      </c>
      <c r="N76" s="64">
        <v>91.7</v>
      </c>
      <c r="O76" s="64">
        <v>0</v>
      </c>
      <c r="P76" s="64">
        <v>1.05</v>
      </c>
      <c r="Q76" s="64">
        <v>27.62</v>
      </c>
      <c r="R76" s="198"/>
      <c r="S76" s="198"/>
      <c r="T76" s="198"/>
      <c r="U76" s="198"/>
    </row>
    <row r="77" spans="1:21" s="12" customFormat="1" x14ac:dyDescent="0.25">
      <c r="A77" s="211" t="s">
        <v>1947</v>
      </c>
      <c r="B77" s="64">
        <v>3.27</v>
      </c>
      <c r="C77" s="64">
        <v>45.22</v>
      </c>
      <c r="D77" s="64">
        <v>28.22</v>
      </c>
      <c r="E77" s="64">
        <v>21.83</v>
      </c>
      <c r="F77" s="64">
        <v>36.700000000000003</v>
      </c>
      <c r="G77" s="64">
        <v>48.73</v>
      </c>
      <c r="H77" s="64">
        <v>23.94</v>
      </c>
      <c r="I77" s="64">
        <v>0.47</v>
      </c>
      <c r="J77" s="64">
        <v>0.28999999999999998</v>
      </c>
      <c r="K77" s="64">
        <v>185.84</v>
      </c>
      <c r="L77" s="64">
        <v>34.630000000000003</v>
      </c>
      <c r="M77" s="64">
        <v>24.57</v>
      </c>
      <c r="N77" s="64">
        <v>68.599999999999994</v>
      </c>
      <c r="O77" s="64">
        <v>0</v>
      </c>
      <c r="P77" s="64">
        <v>0.91</v>
      </c>
      <c r="Q77" s="64">
        <v>27.14</v>
      </c>
      <c r="R77" s="198"/>
      <c r="S77" s="198"/>
      <c r="T77" s="198"/>
      <c r="U77" s="198"/>
    </row>
    <row r="78" spans="1:21" s="12" customFormat="1" x14ac:dyDescent="0.25">
      <c r="A78" s="211" t="s">
        <v>1948</v>
      </c>
      <c r="B78" s="64">
        <v>6.92</v>
      </c>
      <c r="C78" s="64">
        <v>44.26</v>
      </c>
      <c r="D78" s="64">
        <v>30.62</v>
      </c>
      <c r="E78" s="64">
        <v>26.05</v>
      </c>
      <c r="F78" s="64">
        <v>23.27</v>
      </c>
      <c r="G78" s="64">
        <v>48.73</v>
      </c>
      <c r="H78" s="64">
        <v>23.94</v>
      </c>
      <c r="I78" s="64">
        <v>0.49</v>
      </c>
      <c r="J78" s="64">
        <v>7.0000000000000007E-2</v>
      </c>
      <c r="K78" s="64">
        <v>80.569999999999993</v>
      </c>
      <c r="L78" s="64">
        <v>35.17</v>
      </c>
      <c r="M78" s="64">
        <v>21.85</v>
      </c>
      <c r="N78" s="64">
        <v>52</v>
      </c>
      <c r="O78" s="64">
        <v>0</v>
      </c>
      <c r="P78" s="64">
        <v>0.98</v>
      </c>
      <c r="Q78" s="64">
        <v>27.82</v>
      </c>
      <c r="R78" s="198"/>
      <c r="S78" s="198"/>
      <c r="T78" s="198"/>
      <c r="U78" s="198"/>
    </row>
    <row r="79" spans="1:21" s="12" customFormat="1" x14ac:dyDescent="0.25">
      <c r="A79" s="211" t="s">
        <v>1949</v>
      </c>
      <c r="B79" s="64">
        <v>6.38</v>
      </c>
      <c r="C79" s="64">
        <v>42.84</v>
      </c>
      <c r="D79" s="64">
        <v>29.41</v>
      </c>
      <c r="E79" s="64">
        <v>15.45</v>
      </c>
      <c r="F79" s="64">
        <v>6.56</v>
      </c>
      <c r="G79" s="64">
        <v>44.03</v>
      </c>
      <c r="H79" s="64">
        <v>21.82</v>
      </c>
      <c r="I79" s="64">
        <v>0.52</v>
      </c>
      <c r="J79" s="64">
        <v>0.03</v>
      </c>
      <c r="K79" s="64">
        <v>259.38</v>
      </c>
      <c r="L79" s="64">
        <v>34.97</v>
      </c>
      <c r="M79" s="64">
        <v>21.82</v>
      </c>
      <c r="N79" s="64">
        <v>37</v>
      </c>
      <c r="O79" s="64">
        <v>0</v>
      </c>
      <c r="P79" s="64">
        <v>0.98</v>
      </c>
      <c r="Q79" s="64">
        <v>27.66</v>
      </c>
      <c r="R79" s="198"/>
      <c r="S79" s="198"/>
      <c r="T79" s="198"/>
      <c r="U79" s="198"/>
    </row>
    <row r="80" spans="1:21" s="12" customFormat="1" x14ac:dyDescent="0.25">
      <c r="A80" s="211" t="s">
        <v>1950</v>
      </c>
      <c r="B80" s="64">
        <v>3.95</v>
      </c>
      <c r="C80" s="64">
        <v>45.57</v>
      </c>
      <c r="D80" s="64">
        <v>28.97</v>
      </c>
      <c r="E80" s="64">
        <v>12.88</v>
      </c>
      <c r="F80" s="64">
        <v>10.52</v>
      </c>
      <c r="G80" s="64">
        <v>43.37</v>
      </c>
      <c r="H80" s="64">
        <v>21.82</v>
      </c>
      <c r="I80" s="64">
        <v>0.66</v>
      </c>
      <c r="J80" s="64">
        <v>0.01</v>
      </c>
      <c r="K80" s="64">
        <v>135.52000000000001</v>
      </c>
      <c r="L80" s="64">
        <v>34.659999999999997</v>
      </c>
      <c r="M80" s="64">
        <v>22.37</v>
      </c>
      <c r="N80" s="64">
        <v>28.9</v>
      </c>
      <c r="O80" s="64">
        <v>0</v>
      </c>
      <c r="P80" s="64">
        <v>0.95</v>
      </c>
      <c r="Q80" s="64">
        <v>28.63</v>
      </c>
      <c r="R80" s="198"/>
      <c r="S80" s="198"/>
      <c r="T80" s="198"/>
      <c r="U80" s="198"/>
    </row>
    <row r="81" spans="1:26" s="12" customFormat="1" x14ac:dyDescent="0.25">
      <c r="A81" s="211" t="s">
        <v>1951</v>
      </c>
      <c r="B81" s="64">
        <v>2.81</v>
      </c>
      <c r="C81" s="64">
        <v>53.26</v>
      </c>
      <c r="D81" s="64">
        <v>32.29</v>
      </c>
      <c r="E81" s="64">
        <v>18.21</v>
      </c>
      <c r="F81" s="64">
        <v>14.13</v>
      </c>
      <c r="G81" s="64">
        <v>43.37</v>
      </c>
      <c r="H81" s="64">
        <v>21.82</v>
      </c>
      <c r="I81" s="64">
        <v>0.63</v>
      </c>
      <c r="J81" s="64">
        <v>0.1</v>
      </c>
      <c r="K81" s="64">
        <v>223.57</v>
      </c>
      <c r="L81" s="64">
        <v>34.130000000000003</v>
      </c>
      <c r="M81" s="64">
        <v>24.28</v>
      </c>
      <c r="N81" s="64">
        <v>18.899999999999999</v>
      </c>
      <c r="O81" s="64">
        <v>0</v>
      </c>
      <c r="P81" s="64">
        <v>1</v>
      </c>
      <c r="Q81" s="64">
        <v>28.57</v>
      </c>
      <c r="R81" s="198"/>
      <c r="S81" s="198"/>
      <c r="T81" s="198"/>
      <c r="U81" s="198"/>
    </row>
    <row r="82" spans="1:26" s="12" customFormat="1" x14ac:dyDescent="0.25">
      <c r="A82" s="211" t="s">
        <v>1952</v>
      </c>
      <c r="B82" s="64">
        <v>7.38</v>
      </c>
      <c r="C82" s="64">
        <v>65.02</v>
      </c>
      <c r="D82" s="64">
        <v>42.44</v>
      </c>
      <c r="E82" s="64">
        <v>17.25</v>
      </c>
      <c r="F82" s="64">
        <v>8.26</v>
      </c>
      <c r="G82" s="64">
        <v>43.37</v>
      </c>
      <c r="H82" s="64">
        <v>21.82</v>
      </c>
      <c r="I82" s="64">
        <v>0.55000000000000004</v>
      </c>
      <c r="J82" s="64">
        <v>0.43</v>
      </c>
      <c r="K82" s="64">
        <v>190.32</v>
      </c>
      <c r="L82" s="64">
        <v>33.409999999999997</v>
      </c>
      <c r="M82" s="64">
        <v>26.86</v>
      </c>
      <c r="N82" s="64">
        <v>9.6</v>
      </c>
      <c r="O82" s="64">
        <v>0</v>
      </c>
      <c r="P82" s="64">
        <v>0.96</v>
      </c>
      <c r="Q82" s="64">
        <v>28.01</v>
      </c>
      <c r="R82" s="198"/>
      <c r="S82" s="198"/>
      <c r="T82" s="198"/>
      <c r="U82" s="198"/>
    </row>
    <row r="83" spans="1:26" s="12" customFormat="1" x14ac:dyDescent="0.25">
      <c r="A83" s="211" t="s">
        <v>1953</v>
      </c>
      <c r="B83" s="64">
        <v>6.23</v>
      </c>
      <c r="C83" s="64">
        <v>52.74</v>
      </c>
      <c r="D83" s="64">
        <v>34.75</v>
      </c>
      <c r="E83" s="64">
        <v>10.74</v>
      </c>
      <c r="F83" s="64">
        <v>6.89</v>
      </c>
      <c r="G83" s="64">
        <v>62.12</v>
      </c>
      <c r="H83" s="64">
        <v>26.53</v>
      </c>
      <c r="I83" s="64">
        <v>0.57999999999999996</v>
      </c>
      <c r="J83" s="64">
        <v>0.7</v>
      </c>
      <c r="K83" s="64">
        <v>180.17</v>
      </c>
      <c r="L83" s="64">
        <v>33.020000000000003</v>
      </c>
      <c r="M83" s="64">
        <v>29.14</v>
      </c>
      <c r="N83" s="64">
        <v>5.6</v>
      </c>
      <c r="O83" s="64">
        <v>0</v>
      </c>
      <c r="P83" s="64">
        <v>0.94</v>
      </c>
      <c r="Q83" s="64">
        <v>28.52</v>
      </c>
      <c r="R83" s="198"/>
      <c r="S83" s="198"/>
      <c r="T83" s="198"/>
      <c r="U83" s="198"/>
    </row>
    <row r="84" spans="1:26" s="12" customFormat="1" x14ac:dyDescent="0.25">
      <c r="A84" s="211" t="s">
        <v>1954</v>
      </c>
      <c r="B84" s="64">
        <v>7.5</v>
      </c>
      <c r="C84" s="64">
        <v>52.19</v>
      </c>
      <c r="D84" s="64">
        <v>35.47</v>
      </c>
      <c r="E84" s="64">
        <v>6.44</v>
      </c>
      <c r="F84" s="64">
        <v>5.44</v>
      </c>
      <c r="G84" s="64">
        <v>64.73</v>
      </c>
      <c r="H84" s="64">
        <v>26.53</v>
      </c>
      <c r="I84" s="64">
        <v>0.56999999999999995</v>
      </c>
      <c r="J84" s="64">
        <v>0.75</v>
      </c>
      <c r="K84" s="64">
        <v>176.67</v>
      </c>
      <c r="L84" s="64">
        <v>32.49</v>
      </c>
      <c r="M84" s="64">
        <v>31.3</v>
      </c>
      <c r="N84" s="64">
        <v>5.3</v>
      </c>
      <c r="O84" s="64">
        <v>0</v>
      </c>
      <c r="P84" s="64">
        <v>0.89</v>
      </c>
      <c r="Q84" s="64">
        <v>29.52</v>
      </c>
      <c r="R84" s="198"/>
      <c r="S84" s="198"/>
      <c r="T84" s="198"/>
      <c r="U84" s="198"/>
    </row>
    <row r="85" spans="1:26" s="12" customFormat="1" x14ac:dyDescent="0.25">
      <c r="A85" s="211" t="s">
        <v>1955</v>
      </c>
      <c r="B85" s="64">
        <v>7.75</v>
      </c>
      <c r="C85" s="64">
        <v>51.29</v>
      </c>
      <c r="D85" s="64">
        <v>35.17</v>
      </c>
      <c r="E85" s="64">
        <v>4.99</v>
      </c>
      <c r="F85" s="64">
        <v>5.13</v>
      </c>
      <c r="G85" s="64">
        <v>64.73</v>
      </c>
      <c r="H85" s="64">
        <v>26.53</v>
      </c>
      <c r="I85" s="64">
        <v>0.65</v>
      </c>
      <c r="J85" s="64">
        <v>0.91</v>
      </c>
      <c r="K85" s="64">
        <v>179.26</v>
      </c>
      <c r="L85" s="64">
        <v>32.04</v>
      </c>
      <c r="M85" s="64">
        <v>33.28</v>
      </c>
      <c r="N85" s="64">
        <v>5.0999999999999996</v>
      </c>
      <c r="O85" s="64">
        <v>0</v>
      </c>
      <c r="P85" s="64">
        <v>0.86</v>
      </c>
      <c r="Q85" s="64">
        <v>29.71</v>
      </c>
      <c r="R85" s="198"/>
      <c r="S85" s="198"/>
      <c r="T85" s="198"/>
      <c r="U85" s="198"/>
    </row>
    <row r="86" spans="1:26" s="12" customFormat="1" x14ac:dyDescent="0.25">
      <c r="A86" s="211" t="s">
        <v>1956</v>
      </c>
      <c r="B86" s="64">
        <v>5.51</v>
      </c>
      <c r="C86" s="64">
        <v>54.85</v>
      </c>
      <c r="D86" s="64">
        <v>35.340000000000003</v>
      </c>
      <c r="E86" s="64">
        <v>5.49</v>
      </c>
      <c r="F86" s="64">
        <v>19.62</v>
      </c>
      <c r="G86" s="64">
        <v>64.73</v>
      </c>
      <c r="H86" s="64">
        <v>26.53</v>
      </c>
      <c r="I86" s="64">
        <v>0.6</v>
      </c>
      <c r="J86" s="64">
        <v>0.84</v>
      </c>
      <c r="K86" s="64">
        <v>181.02</v>
      </c>
      <c r="L86" s="64">
        <v>31.63</v>
      </c>
      <c r="M86" s="64">
        <v>34.68</v>
      </c>
      <c r="N86" s="64">
        <v>5</v>
      </c>
      <c r="O86" s="64">
        <v>0</v>
      </c>
      <c r="P86" s="64">
        <v>0.76</v>
      </c>
      <c r="Q86" s="64">
        <v>30.54</v>
      </c>
      <c r="R86" s="198"/>
      <c r="S86" s="198"/>
      <c r="T86" s="198"/>
      <c r="U86" s="198"/>
    </row>
    <row r="87" spans="1:26" s="12" customFormat="1" x14ac:dyDescent="0.25">
      <c r="A87" s="211" t="s">
        <v>1957</v>
      </c>
      <c r="B87" s="64">
        <v>5.87</v>
      </c>
      <c r="C87" s="64">
        <v>52.63</v>
      </c>
      <c r="D87" s="64">
        <v>34.4</v>
      </c>
      <c r="E87" s="64">
        <v>5.1100000000000003</v>
      </c>
      <c r="F87" s="64">
        <v>18.66</v>
      </c>
      <c r="G87" s="64">
        <v>76.3</v>
      </c>
      <c r="H87" s="64">
        <v>26.76</v>
      </c>
      <c r="I87" s="64">
        <v>0.73</v>
      </c>
      <c r="J87" s="64">
        <v>0.51</v>
      </c>
      <c r="K87" s="64">
        <v>189.26</v>
      </c>
      <c r="L87" s="64">
        <v>31.39</v>
      </c>
      <c r="M87" s="64">
        <v>35.31</v>
      </c>
      <c r="N87" s="64">
        <v>5.2</v>
      </c>
      <c r="O87" s="64">
        <v>0</v>
      </c>
      <c r="P87" s="64">
        <v>0.87</v>
      </c>
      <c r="Q87" s="64">
        <v>30.83</v>
      </c>
      <c r="R87" s="198"/>
      <c r="S87" s="198"/>
      <c r="T87" s="198"/>
      <c r="U87" s="198"/>
    </row>
    <row r="88" spans="1:26" s="12" customFormat="1" x14ac:dyDescent="0.25">
      <c r="A88" s="211" t="s">
        <v>1958</v>
      </c>
      <c r="B88" s="64">
        <v>12.58</v>
      </c>
      <c r="C88" s="64">
        <v>66.92</v>
      </c>
      <c r="D88" s="64">
        <v>47.67</v>
      </c>
      <c r="E88" s="64">
        <v>3.13</v>
      </c>
      <c r="F88" s="64">
        <v>15.26</v>
      </c>
      <c r="G88" s="64">
        <v>77.92</v>
      </c>
      <c r="H88" s="64">
        <v>26.76</v>
      </c>
      <c r="I88" s="64">
        <v>0.52</v>
      </c>
      <c r="J88" s="64">
        <v>0.63</v>
      </c>
      <c r="K88" s="64">
        <v>185.9</v>
      </c>
      <c r="L88" s="64">
        <v>31.08</v>
      </c>
      <c r="M88" s="64">
        <v>35.93</v>
      </c>
      <c r="N88" s="64">
        <v>4.8</v>
      </c>
      <c r="O88" s="64">
        <v>0</v>
      </c>
      <c r="P88" s="64">
        <v>0.84</v>
      </c>
      <c r="Q88" s="64">
        <v>29.86</v>
      </c>
      <c r="R88" s="198"/>
      <c r="S88" s="198"/>
      <c r="T88" s="198"/>
      <c r="U88" s="198"/>
    </row>
    <row r="89" spans="1:26" s="12" customFormat="1" x14ac:dyDescent="0.25">
      <c r="A89" s="211" t="s">
        <v>1959</v>
      </c>
      <c r="B89" s="64">
        <v>26.24</v>
      </c>
      <c r="C89" s="64">
        <v>81.52</v>
      </c>
      <c r="D89" s="64">
        <v>66.680000000000007</v>
      </c>
      <c r="E89" s="64">
        <v>5.16</v>
      </c>
      <c r="F89" s="64">
        <v>7.54</v>
      </c>
      <c r="G89" s="64">
        <v>77.92</v>
      </c>
      <c r="H89" s="64">
        <v>26.76</v>
      </c>
      <c r="I89" s="64">
        <v>0.62</v>
      </c>
      <c r="J89" s="64">
        <v>0.7</v>
      </c>
      <c r="K89" s="64">
        <v>178.75</v>
      </c>
      <c r="L89" s="64">
        <v>30.99</v>
      </c>
      <c r="M89" s="64">
        <v>36.18</v>
      </c>
      <c r="N89" s="64">
        <v>4.8</v>
      </c>
      <c r="O89" s="64">
        <v>0</v>
      </c>
      <c r="P89" s="64">
        <v>0.98</v>
      </c>
      <c r="Q89" s="64">
        <v>28.22</v>
      </c>
      <c r="R89" s="198"/>
      <c r="S89" s="198"/>
      <c r="T89" s="198"/>
      <c r="U89" s="198"/>
    </row>
    <row r="90" spans="1:26" s="12" customFormat="1" x14ac:dyDescent="0.25">
      <c r="A90" s="211" t="s">
        <v>1960</v>
      </c>
      <c r="B90" s="64">
        <v>15.58</v>
      </c>
      <c r="C90" s="64">
        <v>62.26</v>
      </c>
      <c r="D90" s="64">
        <v>47.5</v>
      </c>
      <c r="E90" s="64">
        <v>5.2</v>
      </c>
      <c r="F90" s="64">
        <v>8.0299999999999994</v>
      </c>
      <c r="G90" s="64">
        <v>77.92</v>
      </c>
      <c r="H90" s="64">
        <v>26.76</v>
      </c>
      <c r="I90" s="64">
        <v>0.56999999999999995</v>
      </c>
      <c r="J90" s="64">
        <v>0.56000000000000005</v>
      </c>
      <c r="K90" s="64">
        <v>182.82</v>
      </c>
      <c r="L90" s="64">
        <v>30.82</v>
      </c>
      <c r="M90" s="64">
        <v>36.700000000000003</v>
      </c>
      <c r="N90" s="64">
        <v>4.9000000000000004</v>
      </c>
      <c r="O90" s="64">
        <v>0</v>
      </c>
      <c r="P90" s="64">
        <v>0.95</v>
      </c>
      <c r="Q90" s="64">
        <v>30.73</v>
      </c>
      <c r="R90" s="198"/>
      <c r="S90" s="198"/>
      <c r="T90" s="198"/>
      <c r="U90" s="198"/>
    </row>
    <row r="91" spans="1:26" s="12" customFormat="1" x14ac:dyDescent="0.25">
      <c r="A91" s="211" t="s">
        <v>1961</v>
      </c>
      <c r="B91" s="64">
        <v>14.87</v>
      </c>
      <c r="C91" s="64">
        <v>50.58</v>
      </c>
      <c r="D91" s="64">
        <v>40.49</v>
      </c>
      <c r="E91" s="64">
        <v>4.01</v>
      </c>
      <c r="F91" s="64">
        <v>5.57</v>
      </c>
      <c r="G91" s="64">
        <v>71.37</v>
      </c>
      <c r="H91" s="64">
        <v>26.52</v>
      </c>
      <c r="I91" s="64">
        <v>0.69</v>
      </c>
      <c r="J91" s="64">
        <v>0.76</v>
      </c>
      <c r="K91" s="64">
        <v>180.05</v>
      </c>
      <c r="L91" s="64">
        <v>30.68</v>
      </c>
      <c r="M91" s="64">
        <v>36.64</v>
      </c>
      <c r="N91" s="64">
        <v>4.7</v>
      </c>
      <c r="O91" s="64">
        <v>0</v>
      </c>
      <c r="P91" s="64">
        <v>0.9</v>
      </c>
      <c r="Q91" s="64">
        <v>31.69</v>
      </c>
      <c r="R91" s="198"/>
      <c r="S91" s="198"/>
      <c r="T91" s="198"/>
      <c r="U91" s="198"/>
    </row>
    <row r="92" spans="1:26" s="12" customFormat="1" x14ac:dyDescent="0.25">
      <c r="A92" s="211" t="s">
        <v>1962</v>
      </c>
      <c r="B92" s="64">
        <v>13.08</v>
      </c>
      <c r="C92" s="64">
        <v>49.67</v>
      </c>
      <c r="D92" s="64">
        <v>38.549999999999997</v>
      </c>
      <c r="E92" s="64">
        <v>3.01</v>
      </c>
      <c r="F92" s="64">
        <v>5.0999999999999996</v>
      </c>
      <c r="G92" s="64">
        <v>70.459999999999994</v>
      </c>
      <c r="H92" s="64">
        <v>26.52</v>
      </c>
      <c r="I92" s="64">
        <v>0.67</v>
      </c>
      <c r="J92" s="64">
        <v>0.55000000000000004</v>
      </c>
      <c r="K92" s="64">
        <v>184.69</v>
      </c>
      <c r="L92" s="64">
        <v>30.49</v>
      </c>
      <c r="M92" s="64">
        <v>37.06</v>
      </c>
      <c r="N92" s="64">
        <v>5</v>
      </c>
      <c r="O92" s="64">
        <v>0</v>
      </c>
      <c r="P92" s="64">
        <v>0.89</v>
      </c>
      <c r="Q92" s="64">
        <v>31.77</v>
      </c>
      <c r="R92" s="198"/>
      <c r="S92" s="198"/>
      <c r="T92" s="198"/>
      <c r="U92" s="198"/>
    </row>
    <row r="93" spans="1:26" s="12" customFormat="1" x14ac:dyDescent="0.25">
      <c r="A93" s="211" t="s">
        <v>1963</v>
      </c>
      <c r="B93" s="64">
        <v>10.37</v>
      </c>
      <c r="C93" s="64">
        <v>51.1</v>
      </c>
      <c r="D93" s="64">
        <v>37.159999999999997</v>
      </c>
      <c r="E93" s="64">
        <v>3.28</v>
      </c>
      <c r="F93" s="64">
        <v>8.34</v>
      </c>
      <c r="G93" s="64">
        <v>70.459999999999994</v>
      </c>
      <c r="H93" s="64">
        <v>26.52</v>
      </c>
      <c r="I93" s="64">
        <v>0.67</v>
      </c>
      <c r="J93" s="64">
        <v>0.11</v>
      </c>
      <c r="K93" s="64">
        <v>234.55</v>
      </c>
      <c r="L93" s="64">
        <v>30.28</v>
      </c>
      <c r="M93" s="64">
        <v>37.35</v>
      </c>
      <c r="N93" s="64">
        <v>5.3</v>
      </c>
      <c r="O93" s="64">
        <v>0</v>
      </c>
      <c r="P93" s="64">
        <v>0.9</v>
      </c>
      <c r="Q93" s="64">
        <v>31.41</v>
      </c>
      <c r="R93" s="198"/>
      <c r="S93" s="198"/>
      <c r="T93" s="198"/>
      <c r="U93" s="198"/>
    </row>
    <row r="94" spans="1:26" s="12" customFormat="1" x14ac:dyDescent="0.25">
      <c r="A94" s="211" t="s">
        <v>1964</v>
      </c>
      <c r="B94" s="64">
        <v>15.48</v>
      </c>
      <c r="C94" s="64">
        <v>56.03</v>
      </c>
      <c r="D94" s="64">
        <v>43.98</v>
      </c>
      <c r="E94" s="64">
        <v>2.97</v>
      </c>
      <c r="F94" s="64">
        <v>7.54</v>
      </c>
      <c r="G94" s="64">
        <v>70.459999999999994</v>
      </c>
      <c r="H94" s="64">
        <v>26.52</v>
      </c>
      <c r="I94" s="64">
        <v>0.74</v>
      </c>
      <c r="J94" s="64">
        <v>0.08</v>
      </c>
      <c r="K94" s="64">
        <v>247.25</v>
      </c>
      <c r="L94" s="64">
        <v>29.84</v>
      </c>
      <c r="M94" s="64">
        <v>38.57</v>
      </c>
      <c r="N94" s="64">
        <v>5.5</v>
      </c>
      <c r="O94" s="64">
        <v>0</v>
      </c>
      <c r="P94" s="64">
        <v>1.1100000000000001</v>
      </c>
      <c r="Q94" s="64">
        <v>30.93</v>
      </c>
      <c r="R94" s="198"/>
      <c r="S94" s="198"/>
      <c r="T94" s="198"/>
      <c r="U94" s="198"/>
    </row>
    <row r="95" spans="1:26" s="12" customFormat="1" x14ac:dyDescent="0.25">
      <c r="A95" s="211" t="s">
        <v>1965</v>
      </c>
      <c r="B95" s="64">
        <v>27.88</v>
      </c>
      <c r="C95" s="64">
        <v>57.19</v>
      </c>
      <c r="D95" s="64">
        <v>54.56</v>
      </c>
      <c r="E95" s="64">
        <v>2.96</v>
      </c>
      <c r="F95" s="64">
        <v>4.68</v>
      </c>
      <c r="G95" s="64">
        <v>68.150000000000006</v>
      </c>
      <c r="H95" s="64">
        <v>25.81</v>
      </c>
      <c r="I95" s="64">
        <v>0.74</v>
      </c>
      <c r="J95" s="64">
        <v>0.33</v>
      </c>
      <c r="K95" s="64">
        <v>196.3</v>
      </c>
      <c r="L95" s="64">
        <v>29.4</v>
      </c>
      <c r="M95" s="64">
        <v>40.08</v>
      </c>
      <c r="N95" s="64">
        <v>4.8</v>
      </c>
      <c r="O95" s="64">
        <v>0</v>
      </c>
      <c r="P95" s="64">
        <v>1.24</v>
      </c>
      <c r="Q95" s="64">
        <v>28.05</v>
      </c>
      <c r="R95" s="198"/>
      <c r="S95" s="198"/>
      <c r="T95" s="198"/>
      <c r="U95" s="198"/>
    </row>
    <row r="96" spans="1:26" s="12" customFormat="1" x14ac:dyDescent="0.25">
      <c r="A96" s="211" t="s">
        <v>1966</v>
      </c>
      <c r="B96" s="64">
        <v>15.4</v>
      </c>
      <c r="C96" s="64">
        <v>52.61</v>
      </c>
      <c r="D96" s="64">
        <v>42.03</v>
      </c>
      <c r="E96" s="64">
        <v>3</v>
      </c>
      <c r="F96" s="64">
        <v>6.11</v>
      </c>
      <c r="G96" s="64">
        <v>67.83</v>
      </c>
      <c r="H96" s="64">
        <v>25.81</v>
      </c>
      <c r="I96" s="64">
        <v>0.66</v>
      </c>
      <c r="J96" s="64">
        <v>0.42</v>
      </c>
      <c r="K96" s="64">
        <v>186.77</v>
      </c>
      <c r="L96" s="64">
        <v>29.67</v>
      </c>
      <c r="M96" s="64">
        <v>38.61</v>
      </c>
      <c r="N96" s="64">
        <v>4.5999999999999996</v>
      </c>
      <c r="O96" s="64">
        <v>0</v>
      </c>
      <c r="P96" s="64">
        <v>1.01</v>
      </c>
      <c r="Q96" s="64">
        <v>30.59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1967</v>
      </c>
      <c r="B97" s="64">
        <v>11.19</v>
      </c>
      <c r="C97" s="64">
        <v>55.5</v>
      </c>
      <c r="D97" s="64">
        <v>40.25</v>
      </c>
      <c r="E97" s="64">
        <v>2.91</v>
      </c>
      <c r="F97" s="64">
        <v>10.42</v>
      </c>
      <c r="G97" s="64">
        <v>67.83</v>
      </c>
      <c r="H97" s="64">
        <v>25.81</v>
      </c>
      <c r="I97" s="64">
        <v>0.8</v>
      </c>
      <c r="J97" s="64">
        <v>0.2</v>
      </c>
      <c r="K97" s="64">
        <v>205.94</v>
      </c>
      <c r="L97" s="64">
        <v>29.48</v>
      </c>
      <c r="M97" s="64">
        <v>39.380000000000003</v>
      </c>
      <c r="N97" s="64">
        <v>5.0999999999999996</v>
      </c>
      <c r="O97" s="64">
        <v>0</v>
      </c>
      <c r="P97" s="64">
        <v>0.94</v>
      </c>
      <c r="Q97" s="64">
        <v>30.42</v>
      </c>
      <c r="R97" s="198"/>
      <c r="S97" s="198"/>
      <c r="T97" s="198"/>
      <c r="U97" s="198"/>
    </row>
    <row r="98" spans="1:33" s="12" customFormat="1" x14ac:dyDescent="0.25">
      <c r="A98" s="211" t="s">
        <v>1968</v>
      </c>
      <c r="B98" s="64">
        <v>9.0500000000000007</v>
      </c>
      <c r="C98" s="64">
        <v>58.71</v>
      </c>
      <c r="D98" s="64">
        <v>40.299999999999997</v>
      </c>
      <c r="E98" s="64">
        <v>4.67</v>
      </c>
      <c r="F98" s="64">
        <v>14.51</v>
      </c>
      <c r="G98" s="64">
        <v>67.83</v>
      </c>
      <c r="H98" s="64">
        <v>25.81</v>
      </c>
      <c r="I98" s="64">
        <v>0.63</v>
      </c>
      <c r="J98" s="64">
        <v>0.19</v>
      </c>
      <c r="K98" s="64">
        <v>218.67</v>
      </c>
      <c r="L98" s="64">
        <v>29.23</v>
      </c>
      <c r="M98" s="64">
        <v>40.42</v>
      </c>
      <c r="N98" s="64">
        <v>4.9000000000000004</v>
      </c>
      <c r="O98" s="64">
        <v>0</v>
      </c>
      <c r="P98" s="64">
        <v>0.87</v>
      </c>
      <c r="Q98" s="64">
        <v>30.95</v>
      </c>
      <c r="R98" s="198"/>
      <c r="S98" s="198"/>
      <c r="T98" s="198"/>
      <c r="U98" s="198"/>
    </row>
    <row r="99" spans="1:33" s="12" customFormat="1" x14ac:dyDescent="0.25">
      <c r="A99" s="211" t="s">
        <v>1969</v>
      </c>
      <c r="B99" s="64">
        <v>4.68</v>
      </c>
      <c r="C99" s="64">
        <v>48.66</v>
      </c>
      <c r="D99" s="64">
        <v>31.25</v>
      </c>
      <c r="E99" s="64">
        <v>4.84</v>
      </c>
      <c r="F99" s="64">
        <v>20.170000000000002</v>
      </c>
      <c r="G99" s="64">
        <v>65.709999999999994</v>
      </c>
      <c r="H99" s="64">
        <v>30.32</v>
      </c>
      <c r="I99" s="64">
        <v>0.61</v>
      </c>
      <c r="J99" s="64">
        <v>0.15</v>
      </c>
      <c r="K99" s="64">
        <v>233.9</v>
      </c>
      <c r="L99" s="64">
        <v>29.21</v>
      </c>
      <c r="M99" s="64">
        <v>40.14</v>
      </c>
      <c r="N99" s="64">
        <v>5</v>
      </c>
      <c r="O99" s="64">
        <v>0</v>
      </c>
      <c r="P99" s="64">
        <v>0.84</v>
      </c>
      <c r="Q99" s="64">
        <v>33.17</v>
      </c>
      <c r="R99" s="198"/>
      <c r="S99" s="198"/>
      <c r="T99" s="198"/>
      <c r="U99" s="198"/>
    </row>
    <row r="100" spans="1:33" s="12" customFormat="1" x14ac:dyDescent="0.25">
      <c r="A100" s="211" t="s">
        <v>1970</v>
      </c>
      <c r="B100" s="64">
        <v>4.41</v>
      </c>
      <c r="C100" s="64">
        <v>43.58</v>
      </c>
      <c r="D100" s="64">
        <v>28.24</v>
      </c>
      <c r="E100" s="64">
        <v>4.95</v>
      </c>
      <c r="F100" s="64">
        <v>22.25</v>
      </c>
      <c r="G100" s="64">
        <v>65.42</v>
      </c>
      <c r="H100" s="64">
        <v>30.32</v>
      </c>
      <c r="I100" s="64">
        <v>0.7</v>
      </c>
      <c r="J100" s="64">
        <v>0.15</v>
      </c>
      <c r="K100" s="64">
        <v>246.3</v>
      </c>
      <c r="L100" s="64">
        <v>28.91</v>
      </c>
      <c r="M100" s="64">
        <v>40.71</v>
      </c>
      <c r="N100" s="64">
        <v>5.2</v>
      </c>
      <c r="O100" s="64">
        <v>0</v>
      </c>
      <c r="P100" s="64">
        <v>0.82</v>
      </c>
      <c r="Q100" s="64">
        <v>34.229999999999997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1971</v>
      </c>
      <c r="B101" s="64">
        <v>3.86</v>
      </c>
      <c r="C101" s="64">
        <v>43.26</v>
      </c>
      <c r="D101" s="64">
        <v>27.62</v>
      </c>
      <c r="E101" s="64">
        <v>5.33</v>
      </c>
      <c r="F101" s="64">
        <v>19.66</v>
      </c>
      <c r="G101" s="64">
        <v>65.42</v>
      </c>
      <c r="H101" s="64">
        <v>30.32</v>
      </c>
      <c r="I101" s="64">
        <v>0.61</v>
      </c>
      <c r="J101" s="64">
        <v>0.19</v>
      </c>
      <c r="K101" s="64">
        <v>242.27</v>
      </c>
      <c r="L101" s="64">
        <v>28.77</v>
      </c>
      <c r="M101" s="64">
        <v>41.61</v>
      </c>
      <c r="N101" s="64">
        <v>4.8</v>
      </c>
      <c r="O101" s="64">
        <v>0</v>
      </c>
      <c r="P101" s="64">
        <v>0.81</v>
      </c>
      <c r="Q101" s="64">
        <v>34.32</v>
      </c>
      <c r="R101" s="198"/>
      <c r="S101" s="198"/>
      <c r="T101" s="198"/>
      <c r="U101" s="198"/>
    </row>
    <row r="102" spans="1:33" s="12" customFormat="1" x14ac:dyDescent="0.25">
      <c r="A102" s="211" t="s">
        <v>1972</v>
      </c>
      <c r="B102" s="64">
        <v>6.09</v>
      </c>
      <c r="C102" s="64">
        <v>42.54</v>
      </c>
      <c r="D102" s="64">
        <v>29.01</v>
      </c>
      <c r="E102" s="64">
        <v>4.07</v>
      </c>
      <c r="F102" s="64">
        <v>10.28</v>
      </c>
      <c r="G102" s="64">
        <v>65.42</v>
      </c>
      <c r="H102" s="64">
        <v>30.32</v>
      </c>
      <c r="I102" s="64">
        <v>0.57999999999999996</v>
      </c>
      <c r="J102" s="64">
        <v>0.03</v>
      </c>
      <c r="K102" s="64">
        <v>246.72</v>
      </c>
      <c r="L102" s="64">
        <v>28.69</v>
      </c>
      <c r="M102" s="64">
        <v>40.770000000000003</v>
      </c>
      <c r="N102" s="64">
        <v>5</v>
      </c>
      <c r="O102" s="64">
        <v>0</v>
      </c>
      <c r="P102" s="64">
        <v>0.91</v>
      </c>
      <c r="Q102" s="64">
        <v>34.340000000000003</v>
      </c>
      <c r="R102" s="198"/>
      <c r="S102" s="198"/>
      <c r="T102" s="198"/>
      <c r="U102" s="198"/>
    </row>
    <row r="103" spans="1:33" s="12" customFormat="1" x14ac:dyDescent="0.25">
      <c r="A103" s="211" t="s">
        <v>1973</v>
      </c>
      <c r="B103" s="64">
        <v>8.48</v>
      </c>
      <c r="C103" s="64">
        <v>41.28</v>
      </c>
      <c r="D103" s="64">
        <v>30.23</v>
      </c>
      <c r="E103" s="64">
        <v>2.96</v>
      </c>
      <c r="F103" s="64">
        <v>7.4</v>
      </c>
      <c r="G103" s="64">
        <v>62.03</v>
      </c>
      <c r="H103" s="64">
        <v>30</v>
      </c>
      <c r="I103" s="64">
        <v>0.63</v>
      </c>
      <c r="J103" s="64">
        <v>0.03</v>
      </c>
      <c r="K103" s="64">
        <v>265.48</v>
      </c>
      <c r="L103" s="64">
        <v>28.83</v>
      </c>
      <c r="M103" s="64">
        <v>40</v>
      </c>
      <c r="N103" s="64">
        <v>4.9000000000000004</v>
      </c>
      <c r="O103" s="64">
        <v>0</v>
      </c>
      <c r="P103" s="64">
        <v>0.92</v>
      </c>
      <c r="Q103" s="64">
        <v>33.22</v>
      </c>
      <c r="R103" s="198"/>
      <c r="S103" s="198"/>
      <c r="T103" s="198"/>
      <c r="U103" s="198"/>
    </row>
    <row r="104" spans="1:33" s="12" customFormat="1" x14ac:dyDescent="0.25">
      <c r="A104" s="211" t="s">
        <v>1974</v>
      </c>
      <c r="B104" s="64">
        <v>7.51</v>
      </c>
      <c r="C104" s="64">
        <v>41.27</v>
      </c>
      <c r="D104" s="64">
        <v>29.44</v>
      </c>
      <c r="E104" s="64">
        <v>2.27</v>
      </c>
      <c r="F104" s="64">
        <v>7.06</v>
      </c>
      <c r="G104" s="64">
        <v>61.56</v>
      </c>
      <c r="H104" s="64">
        <v>30</v>
      </c>
      <c r="I104" s="64">
        <v>0.65</v>
      </c>
      <c r="J104" s="64">
        <v>0.04</v>
      </c>
      <c r="K104" s="64">
        <v>257.01</v>
      </c>
      <c r="L104" s="64">
        <v>28.55</v>
      </c>
      <c r="M104" s="64">
        <v>40.89</v>
      </c>
      <c r="N104" s="64">
        <v>5.0999999999999996</v>
      </c>
      <c r="O104" s="64">
        <v>0</v>
      </c>
      <c r="P104" s="64">
        <v>0.92</v>
      </c>
      <c r="Q104" s="64">
        <v>32.69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20.02</v>
      </c>
      <c r="D106" s="67">
        <f t="shared" ref="D106:Q106" si="0">MIN(D9:D104)</f>
        <v>12.72</v>
      </c>
      <c r="E106" s="67">
        <f t="shared" si="0"/>
        <v>0.98</v>
      </c>
      <c r="F106" s="67">
        <f t="shared" si="0"/>
        <v>4.68</v>
      </c>
      <c r="G106" s="67">
        <f t="shared" si="0"/>
        <v>34.97</v>
      </c>
      <c r="H106" s="67">
        <f t="shared" si="0"/>
        <v>21.61</v>
      </c>
      <c r="I106" s="67">
        <f t="shared" si="0"/>
        <v>0.47</v>
      </c>
      <c r="J106" s="67">
        <f t="shared" si="0"/>
        <v>0.01</v>
      </c>
      <c r="K106" s="67">
        <f t="shared" si="0"/>
        <v>0.56999999999999995</v>
      </c>
      <c r="L106" s="67">
        <f t="shared" si="0"/>
        <v>24.43</v>
      </c>
      <c r="M106" s="67">
        <f t="shared" si="0"/>
        <v>20.78</v>
      </c>
      <c r="N106" s="67">
        <f t="shared" si="0"/>
        <v>4.5</v>
      </c>
      <c r="O106" s="67">
        <f t="shared" si="0"/>
        <v>0</v>
      </c>
      <c r="P106" s="67">
        <f t="shared" si="0"/>
        <v>0.44</v>
      </c>
      <c r="Q106" s="67">
        <f t="shared" si="0"/>
        <v>14.67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27.88</v>
      </c>
      <c r="C107" s="66">
        <f t="shared" ref="C107:Q107" si="1">MAX(C9:C104)</f>
        <v>81.52</v>
      </c>
      <c r="D107" s="66">
        <f t="shared" si="1"/>
        <v>66.680000000000007</v>
      </c>
      <c r="E107" s="66">
        <f t="shared" si="1"/>
        <v>26.05</v>
      </c>
      <c r="F107" s="66">
        <f t="shared" si="1"/>
        <v>36.700000000000003</v>
      </c>
      <c r="G107" s="66">
        <f t="shared" si="1"/>
        <v>258.33999999999997</v>
      </c>
      <c r="H107" s="66">
        <f t="shared" si="1"/>
        <v>35.54</v>
      </c>
      <c r="I107" s="66">
        <f t="shared" si="1"/>
        <v>0.8</v>
      </c>
      <c r="J107" s="66">
        <f t="shared" si="1"/>
        <v>2</v>
      </c>
      <c r="K107" s="66">
        <f t="shared" si="1"/>
        <v>350.93</v>
      </c>
      <c r="L107" s="66">
        <f t="shared" si="1"/>
        <v>40.729999999999997</v>
      </c>
      <c r="M107" s="66">
        <f t="shared" si="1"/>
        <v>52.6</v>
      </c>
      <c r="N107" s="66">
        <f t="shared" si="1"/>
        <v>858.5</v>
      </c>
      <c r="O107" s="66">
        <f t="shared" si="1"/>
        <v>0</v>
      </c>
      <c r="P107" s="66">
        <f t="shared" si="1"/>
        <v>1.61</v>
      </c>
      <c r="Q107" s="66">
        <f t="shared" si="1"/>
        <v>34.340000000000003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5.8569791666666662</v>
      </c>
      <c r="C108" s="67">
        <f t="shared" ref="C108:Q108" si="2">AVERAGE(C9:C104)</f>
        <v>40.638958333333349</v>
      </c>
      <c r="D108" s="67">
        <f t="shared" si="2"/>
        <v>27.771145833333335</v>
      </c>
      <c r="E108" s="67">
        <f t="shared" si="2"/>
        <v>5.4240625000000007</v>
      </c>
      <c r="F108" s="67">
        <f t="shared" si="2"/>
        <v>17.68739583333333</v>
      </c>
      <c r="G108" s="67">
        <f t="shared" si="2"/>
        <v>64.133563218390776</v>
      </c>
      <c r="H108" s="67">
        <f t="shared" si="2"/>
        <v>26.447586206896553</v>
      </c>
      <c r="I108" s="67">
        <f t="shared" si="2"/>
        <v>0.58791666666666675</v>
      </c>
      <c r="J108" s="67">
        <f t="shared" si="2"/>
        <v>0.32739583333333333</v>
      </c>
      <c r="K108" s="67">
        <f t="shared" si="2"/>
        <v>232.58645833333321</v>
      </c>
      <c r="L108" s="67">
        <f t="shared" si="2"/>
        <v>32.023541666666652</v>
      </c>
      <c r="M108" s="67">
        <f t="shared" si="2"/>
        <v>33.787395833333335</v>
      </c>
      <c r="N108" s="67">
        <f t="shared" si="2"/>
        <v>216.27604166666671</v>
      </c>
      <c r="O108" s="67">
        <f t="shared" si="2"/>
        <v>0</v>
      </c>
      <c r="P108" s="67">
        <f t="shared" si="2"/>
        <v>0.82791666666666652</v>
      </c>
      <c r="Q108" s="67">
        <f t="shared" si="2"/>
        <v>22.837083333333339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5.6812054169018626</v>
      </c>
      <c r="C109" s="67">
        <f t="shared" ref="C109:Q109" si="3">STDEV(C9:C104)</f>
        <v>11.370309950796932</v>
      </c>
      <c r="D109" s="67">
        <f t="shared" si="3"/>
        <v>10.131424991453882</v>
      </c>
      <c r="E109" s="67">
        <f t="shared" si="3"/>
        <v>4.940839174008909</v>
      </c>
      <c r="F109" s="67">
        <f t="shared" si="3"/>
        <v>9.0708983185142475</v>
      </c>
      <c r="G109" s="67">
        <f t="shared" si="3"/>
        <v>39.513005247228044</v>
      </c>
      <c r="H109" s="67">
        <f t="shared" si="3"/>
        <v>3.6350122246419265</v>
      </c>
      <c r="I109" s="67">
        <f t="shared" si="3"/>
        <v>7.3812232143696546E-2</v>
      </c>
      <c r="J109" s="67">
        <f t="shared" si="3"/>
        <v>0.3558155784633284</v>
      </c>
      <c r="K109" s="67">
        <f t="shared" si="3"/>
        <v>46.770256517289312</v>
      </c>
      <c r="L109" s="67">
        <f t="shared" si="3"/>
        <v>4.7050286601659659</v>
      </c>
      <c r="M109" s="67">
        <f t="shared" si="3"/>
        <v>8.8448502108397964</v>
      </c>
      <c r="N109" s="67">
        <f t="shared" si="3"/>
        <v>292.81877626912109</v>
      </c>
      <c r="O109" s="67">
        <f t="shared" si="3"/>
        <v>0</v>
      </c>
      <c r="P109" s="67">
        <f t="shared" si="3"/>
        <v>0.29741311572206969</v>
      </c>
      <c r="Q109" s="67">
        <f t="shared" si="3"/>
        <v>5.8516716310121666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87</v>
      </c>
      <c r="H110" s="66">
        <f>COUNT(H9:H104)</f>
        <v>87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1977</v>
      </c>
      <c r="B9" s="64">
        <v>6.53</v>
      </c>
      <c r="C9" s="64">
        <v>41.53</v>
      </c>
      <c r="D9" s="64">
        <v>28.8</v>
      </c>
      <c r="E9" s="64">
        <v>2.79</v>
      </c>
      <c r="F9" s="64">
        <v>7.22</v>
      </c>
      <c r="G9" s="64">
        <v>61.56</v>
      </c>
      <c r="H9" s="64">
        <v>30</v>
      </c>
      <c r="I9" s="64">
        <v>0.88</v>
      </c>
      <c r="J9" s="64">
        <v>0.09</v>
      </c>
      <c r="K9" s="64">
        <v>255.38</v>
      </c>
      <c r="L9" s="64">
        <v>28.12</v>
      </c>
      <c r="M9" s="64">
        <v>42.64</v>
      </c>
      <c r="N9" s="64">
        <v>5</v>
      </c>
      <c r="O9" s="64">
        <v>0</v>
      </c>
      <c r="P9" s="64">
        <v>0.9</v>
      </c>
      <c r="Q9" s="64">
        <v>32.18</v>
      </c>
      <c r="R9" s="198"/>
      <c r="S9" s="198"/>
      <c r="T9" s="198"/>
      <c r="U9" s="198"/>
    </row>
    <row r="10" spans="1:21" s="12" customFormat="1" x14ac:dyDescent="0.25">
      <c r="A10" s="211" t="s">
        <v>1978</v>
      </c>
      <c r="B10" s="64">
        <v>5.98</v>
      </c>
      <c r="C10" s="64">
        <v>41.07</v>
      </c>
      <c r="D10" s="64">
        <v>28.11</v>
      </c>
      <c r="E10" s="64">
        <v>2.29</v>
      </c>
      <c r="F10" s="64">
        <v>5.6</v>
      </c>
      <c r="G10" s="64">
        <v>61.56</v>
      </c>
      <c r="H10" s="64">
        <v>30</v>
      </c>
      <c r="I10" s="64">
        <v>0.62</v>
      </c>
      <c r="J10" s="64">
        <v>0.18</v>
      </c>
      <c r="K10" s="64">
        <v>224.48</v>
      </c>
      <c r="L10" s="64">
        <v>28.56</v>
      </c>
      <c r="M10" s="64">
        <v>40.9</v>
      </c>
      <c r="N10" s="64">
        <v>4.4000000000000004</v>
      </c>
      <c r="O10" s="64">
        <v>0</v>
      </c>
      <c r="P10" s="64">
        <v>0.88</v>
      </c>
      <c r="Q10" s="64">
        <v>31.63</v>
      </c>
      <c r="R10" s="198"/>
      <c r="S10" s="198"/>
      <c r="T10" s="198"/>
      <c r="U10" s="198"/>
    </row>
    <row r="11" spans="1:21" s="12" customFormat="1" x14ac:dyDescent="0.25">
      <c r="A11" s="211" t="s">
        <v>1979</v>
      </c>
      <c r="B11" s="64">
        <v>4.58</v>
      </c>
      <c r="C11" s="64">
        <v>39.33</v>
      </c>
      <c r="D11" s="64">
        <v>26.02</v>
      </c>
      <c r="E11" s="64">
        <v>2.62</v>
      </c>
      <c r="F11" s="64">
        <v>6.64</v>
      </c>
      <c r="G11" s="64">
        <v>62.06</v>
      </c>
      <c r="H11" s="64">
        <v>30.4</v>
      </c>
      <c r="I11" s="64">
        <v>0.62</v>
      </c>
      <c r="J11" s="64">
        <v>0.13</v>
      </c>
      <c r="K11" s="64">
        <v>227.34</v>
      </c>
      <c r="L11" s="64">
        <v>27.86</v>
      </c>
      <c r="M11" s="64">
        <v>44.27</v>
      </c>
      <c r="N11" s="64">
        <v>5.0999999999999996</v>
      </c>
      <c r="O11" s="64">
        <v>0</v>
      </c>
      <c r="P11" s="64">
        <v>0.84</v>
      </c>
      <c r="Q11" s="64">
        <v>31.19</v>
      </c>
      <c r="R11" s="198"/>
      <c r="S11" s="198"/>
      <c r="T11" s="198"/>
      <c r="U11" s="198"/>
    </row>
    <row r="12" spans="1:21" s="12" customFormat="1" x14ac:dyDescent="0.25">
      <c r="A12" s="211" t="s">
        <v>1980</v>
      </c>
      <c r="B12" s="64">
        <v>3.97</v>
      </c>
      <c r="C12" s="64">
        <v>39.17</v>
      </c>
      <c r="D12" s="64">
        <v>25.45</v>
      </c>
      <c r="E12" s="64">
        <v>2.2200000000000002</v>
      </c>
      <c r="F12" s="64">
        <v>4.97</v>
      </c>
      <c r="G12" s="64">
        <v>62.13</v>
      </c>
      <c r="H12" s="64">
        <v>30.4</v>
      </c>
      <c r="I12" s="64">
        <v>0.66</v>
      </c>
      <c r="J12" s="64">
        <v>0.04</v>
      </c>
      <c r="K12" s="64">
        <v>211.3</v>
      </c>
      <c r="L12" s="64">
        <v>27.64</v>
      </c>
      <c r="M12" s="64">
        <v>44.97</v>
      </c>
      <c r="N12" s="64">
        <v>5</v>
      </c>
      <c r="O12" s="64">
        <v>0</v>
      </c>
      <c r="P12" s="64">
        <v>0.84</v>
      </c>
      <c r="Q12" s="64">
        <v>30.91</v>
      </c>
      <c r="R12" s="198"/>
      <c r="S12" s="198"/>
      <c r="T12" s="198"/>
      <c r="U12" s="198"/>
    </row>
    <row r="13" spans="1:21" s="12" customFormat="1" x14ac:dyDescent="0.25">
      <c r="A13" s="211" t="s">
        <v>1981</v>
      </c>
      <c r="B13" s="64">
        <v>2.91</v>
      </c>
      <c r="C13" s="64">
        <v>36.31</v>
      </c>
      <c r="D13" s="64">
        <v>23.02</v>
      </c>
      <c r="E13" s="64">
        <v>2.68</v>
      </c>
      <c r="F13" s="64">
        <v>13.71</v>
      </c>
      <c r="G13" s="64">
        <v>62.13</v>
      </c>
      <c r="H13" s="64">
        <v>30.4</v>
      </c>
      <c r="I13" s="64">
        <v>0.78</v>
      </c>
      <c r="J13" s="64">
        <v>0.04</v>
      </c>
      <c r="K13" s="64">
        <v>72.87</v>
      </c>
      <c r="L13" s="64">
        <v>27.81</v>
      </c>
      <c r="M13" s="64">
        <v>43.81</v>
      </c>
      <c r="N13" s="64">
        <v>4.5999999999999996</v>
      </c>
      <c r="O13" s="64">
        <v>0</v>
      </c>
      <c r="P13" s="64">
        <v>0.71</v>
      </c>
      <c r="Q13" s="64">
        <v>31.17</v>
      </c>
      <c r="R13" s="198"/>
      <c r="S13" s="198"/>
      <c r="T13" s="198"/>
      <c r="U13" s="198"/>
    </row>
    <row r="14" spans="1:21" s="12" customFormat="1" x14ac:dyDescent="0.25">
      <c r="A14" s="211" t="s">
        <v>1982</v>
      </c>
      <c r="B14" s="64">
        <v>2.04</v>
      </c>
      <c r="C14" s="64">
        <v>31</v>
      </c>
      <c r="D14" s="64">
        <v>19.39</v>
      </c>
      <c r="E14" s="64">
        <v>3.17</v>
      </c>
      <c r="F14" s="64">
        <v>16.64</v>
      </c>
      <c r="G14" s="64">
        <v>62.13</v>
      </c>
      <c r="H14" s="64">
        <v>30.4</v>
      </c>
      <c r="I14" s="64">
        <v>0.79</v>
      </c>
      <c r="J14" s="64">
        <v>0.01</v>
      </c>
      <c r="K14" s="64">
        <v>347.9</v>
      </c>
      <c r="L14" s="64">
        <v>27.69</v>
      </c>
      <c r="M14" s="64">
        <v>44.44</v>
      </c>
      <c r="N14" s="64">
        <v>4.7</v>
      </c>
      <c r="O14" s="64">
        <v>0</v>
      </c>
      <c r="P14" s="64">
        <v>0.74</v>
      </c>
      <c r="Q14" s="64">
        <v>32.11</v>
      </c>
      <c r="R14" s="198"/>
      <c r="S14" s="198"/>
      <c r="T14" s="198"/>
      <c r="U14" s="198"/>
    </row>
    <row r="15" spans="1:21" s="12" customFormat="1" x14ac:dyDescent="0.25">
      <c r="A15" s="211" t="s">
        <v>1983</v>
      </c>
      <c r="B15" s="64">
        <v>2.0699999999999998</v>
      </c>
      <c r="C15" s="64">
        <v>31.65</v>
      </c>
      <c r="D15" s="64">
        <v>19.78</v>
      </c>
      <c r="E15" s="64">
        <v>3.34</v>
      </c>
      <c r="F15" s="64">
        <v>14.77</v>
      </c>
      <c r="G15" s="64">
        <v>50.11</v>
      </c>
      <c r="H15" s="64">
        <v>28.18</v>
      </c>
      <c r="I15" s="64">
        <v>0.57999999999999996</v>
      </c>
      <c r="J15" s="64">
        <v>0.02</v>
      </c>
      <c r="K15" s="64">
        <v>296.58</v>
      </c>
      <c r="L15" s="64">
        <v>27.56</v>
      </c>
      <c r="M15" s="64">
        <v>45.27</v>
      </c>
      <c r="N15" s="64">
        <v>5</v>
      </c>
      <c r="O15" s="64">
        <v>0</v>
      </c>
      <c r="P15" s="64">
        <v>0.73</v>
      </c>
      <c r="Q15" s="64">
        <v>32.42</v>
      </c>
      <c r="R15" s="198"/>
      <c r="S15" s="198"/>
      <c r="T15" s="198"/>
      <c r="U15" s="198"/>
    </row>
    <row r="16" spans="1:21" s="12" customFormat="1" x14ac:dyDescent="0.25">
      <c r="A16" s="211" t="s">
        <v>1984</v>
      </c>
      <c r="B16" s="64">
        <v>2.0099999999999998</v>
      </c>
      <c r="C16" s="64">
        <v>29.5</v>
      </c>
      <c r="D16" s="64">
        <v>18.53</v>
      </c>
      <c r="E16" s="64">
        <v>4.0599999999999996</v>
      </c>
      <c r="F16" s="64">
        <v>18.43</v>
      </c>
      <c r="G16" s="64">
        <v>48.43</v>
      </c>
      <c r="H16" s="64">
        <v>28.18</v>
      </c>
      <c r="I16" s="64">
        <v>0.53</v>
      </c>
      <c r="J16" s="64">
        <v>7.0000000000000007E-2</v>
      </c>
      <c r="K16" s="64">
        <v>72.2</v>
      </c>
      <c r="L16" s="64">
        <v>27.38</v>
      </c>
      <c r="M16" s="64">
        <v>45.85</v>
      </c>
      <c r="N16" s="64">
        <v>4.9000000000000004</v>
      </c>
      <c r="O16" s="64">
        <v>0</v>
      </c>
      <c r="P16" s="64">
        <v>0.67</v>
      </c>
      <c r="Q16" s="64">
        <v>32.97</v>
      </c>
      <c r="R16" s="198"/>
      <c r="S16" s="198"/>
      <c r="T16" s="198"/>
      <c r="U16" s="198"/>
    </row>
    <row r="17" spans="1:21" s="12" customFormat="1" x14ac:dyDescent="0.25">
      <c r="A17" s="211" t="s">
        <v>1985</v>
      </c>
      <c r="B17" s="64">
        <v>2.36</v>
      </c>
      <c r="C17" s="64">
        <v>30.04</v>
      </c>
      <c r="D17" s="64">
        <v>19.12</v>
      </c>
      <c r="E17" s="64">
        <v>4.16</v>
      </c>
      <c r="F17" s="64">
        <v>14.48</v>
      </c>
      <c r="G17" s="64">
        <v>48.43</v>
      </c>
      <c r="H17" s="64">
        <v>28.18</v>
      </c>
      <c r="I17" s="64">
        <v>0.72</v>
      </c>
      <c r="J17" s="64">
        <v>0.03</v>
      </c>
      <c r="K17" s="64">
        <v>312.39999999999998</v>
      </c>
      <c r="L17" s="64">
        <v>27.21</v>
      </c>
      <c r="M17" s="64">
        <v>46.96</v>
      </c>
      <c r="N17" s="64">
        <v>4.9000000000000004</v>
      </c>
      <c r="O17" s="64">
        <v>0</v>
      </c>
      <c r="P17" s="64">
        <v>0.9</v>
      </c>
      <c r="Q17" s="64">
        <v>33.130000000000003</v>
      </c>
      <c r="R17" s="198"/>
      <c r="S17" s="198"/>
      <c r="T17" s="198"/>
      <c r="U17" s="198"/>
    </row>
    <row r="18" spans="1:21" s="12" customFormat="1" x14ac:dyDescent="0.25">
      <c r="A18" s="211" t="s">
        <v>1986</v>
      </c>
      <c r="B18" s="64">
        <v>3.12</v>
      </c>
      <c r="C18" s="64">
        <v>30.96</v>
      </c>
      <c r="D18" s="64">
        <v>20.239999999999998</v>
      </c>
      <c r="E18" s="64">
        <v>3.48</v>
      </c>
      <c r="F18" s="64">
        <v>6.8</v>
      </c>
      <c r="G18" s="64">
        <v>48.43</v>
      </c>
      <c r="H18" s="64">
        <v>28.18</v>
      </c>
      <c r="I18" s="64">
        <v>0.55000000000000004</v>
      </c>
      <c r="J18" s="64">
        <v>0.08</v>
      </c>
      <c r="K18" s="64">
        <v>239.06</v>
      </c>
      <c r="L18" s="64">
        <v>26.61</v>
      </c>
      <c r="M18" s="64">
        <v>49.61</v>
      </c>
      <c r="N18" s="64">
        <v>5.2</v>
      </c>
      <c r="O18" s="64">
        <v>0</v>
      </c>
      <c r="P18" s="64">
        <v>0.95</v>
      </c>
      <c r="Q18" s="64">
        <v>32.79</v>
      </c>
      <c r="R18" s="198"/>
      <c r="S18" s="198"/>
      <c r="T18" s="198"/>
      <c r="U18" s="198"/>
    </row>
    <row r="19" spans="1:21" s="12" customFormat="1" x14ac:dyDescent="0.25">
      <c r="A19" s="211" t="s">
        <v>1987</v>
      </c>
      <c r="B19" s="64">
        <v>3.5</v>
      </c>
      <c r="C19" s="64">
        <v>33.549999999999997</v>
      </c>
      <c r="D19" s="64">
        <v>21.97</v>
      </c>
      <c r="E19" s="64">
        <v>3.12</v>
      </c>
      <c r="F19" s="64">
        <v>6.01</v>
      </c>
      <c r="G19" s="64">
        <v>65.45</v>
      </c>
      <c r="H19" s="64">
        <v>28.27</v>
      </c>
      <c r="I19" s="64">
        <v>0.6</v>
      </c>
      <c r="J19" s="64">
        <v>0.02</v>
      </c>
      <c r="K19" s="64">
        <v>15.06</v>
      </c>
      <c r="L19" s="64">
        <v>27.06</v>
      </c>
      <c r="M19" s="64">
        <v>47.49</v>
      </c>
      <c r="N19" s="64">
        <v>4.7</v>
      </c>
      <c r="O19" s="64">
        <v>0</v>
      </c>
      <c r="P19" s="64">
        <v>1.03</v>
      </c>
      <c r="Q19" s="64">
        <v>32.14</v>
      </c>
      <c r="R19" s="198"/>
      <c r="S19" s="198"/>
      <c r="T19" s="198"/>
      <c r="U19" s="198"/>
    </row>
    <row r="20" spans="1:21" s="12" customFormat="1" x14ac:dyDescent="0.25">
      <c r="A20" s="211" t="s">
        <v>1988</v>
      </c>
      <c r="B20" s="64">
        <v>3.23</v>
      </c>
      <c r="C20" s="64">
        <v>34.840000000000003</v>
      </c>
      <c r="D20" s="64">
        <v>22.46</v>
      </c>
      <c r="E20" s="64">
        <v>3.43</v>
      </c>
      <c r="F20" s="64">
        <v>4.9800000000000004</v>
      </c>
      <c r="G20" s="64">
        <v>67.819999999999993</v>
      </c>
      <c r="H20" s="64">
        <v>28.27</v>
      </c>
      <c r="I20" s="64">
        <v>0.62</v>
      </c>
      <c r="J20" s="64">
        <v>0.04</v>
      </c>
      <c r="K20" s="64">
        <v>250.84</v>
      </c>
      <c r="L20" s="64">
        <v>26.83</v>
      </c>
      <c r="M20" s="64">
        <v>48.9</v>
      </c>
      <c r="N20" s="64">
        <v>5</v>
      </c>
      <c r="O20" s="64">
        <v>0</v>
      </c>
      <c r="P20" s="64">
        <v>1.1299999999999999</v>
      </c>
      <c r="Q20" s="64">
        <v>31.86</v>
      </c>
      <c r="R20" s="198"/>
      <c r="S20" s="198"/>
      <c r="T20" s="198"/>
      <c r="U20" s="198"/>
    </row>
    <row r="21" spans="1:21" s="12" customFormat="1" x14ac:dyDescent="0.25">
      <c r="A21" s="211" t="s">
        <v>1989</v>
      </c>
      <c r="B21" s="64">
        <v>2.97</v>
      </c>
      <c r="C21" s="64">
        <v>35.53</v>
      </c>
      <c r="D21" s="64">
        <v>22.63</v>
      </c>
      <c r="E21" s="64">
        <v>3.02</v>
      </c>
      <c r="F21" s="64">
        <v>4.95</v>
      </c>
      <c r="G21" s="64">
        <v>67.819999999999993</v>
      </c>
      <c r="H21" s="64">
        <v>28.27</v>
      </c>
      <c r="I21" s="64">
        <v>0.9</v>
      </c>
      <c r="J21" s="64">
        <v>0.05</v>
      </c>
      <c r="K21" s="64">
        <v>231.63</v>
      </c>
      <c r="L21" s="64">
        <v>26.95</v>
      </c>
      <c r="M21" s="64">
        <v>48.07</v>
      </c>
      <c r="N21" s="64">
        <v>4.5</v>
      </c>
      <c r="O21" s="64">
        <v>0</v>
      </c>
      <c r="P21" s="64">
        <v>1.4</v>
      </c>
      <c r="Q21" s="64">
        <v>31.58</v>
      </c>
      <c r="R21" s="198"/>
      <c r="S21" s="198"/>
      <c r="T21" s="198"/>
      <c r="U21" s="198"/>
    </row>
    <row r="22" spans="1:21" s="12" customFormat="1" x14ac:dyDescent="0.25">
      <c r="A22" s="211" t="s">
        <v>1990</v>
      </c>
      <c r="B22" s="64">
        <v>2.8</v>
      </c>
      <c r="C22" s="64">
        <v>35.869999999999997</v>
      </c>
      <c r="D22" s="64">
        <v>22.69</v>
      </c>
      <c r="E22" s="64">
        <v>2.84</v>
      </c>
      <c r="F22" s="64">
        <v>3.68</v>
      </c>
      <c r="G22" s="64">
        <v>67.819999999999993</v>
      </c>
      <c r="H22" s="64">
        <v>28.27</v>
      </c>
      <c r="I22" s="64">
        <v>0.59</v>
      </c>
      <c r="J22" s="64">
        <v>0.02</v>
      </c>
      <c r="K22" s="64">
        <v>223.41</v>
      </c>
      <c r="L22" s="64">
        <v>27.12</v>
      </c>
      <c r="M22" s="64">
        <v>48.1</v>
      </c>
      <c r="N22" s="64">
        <v>4.7</v>
      </c>
      <c r="O22" s="64">
        <v>0</v>
      </c>
      <c r="P22" s="64">
        <v>1.64</v>
      </c>
      <c r="Q22" s="64">
        <v>31.35</v>
      </c>
      <c r="R22" s="198"/>
      <c r="S22" s="198"/>
      <c r="T22" s="198"/>
      <c r="U22" s="198"/>
    </row>
    <row r="23" spans="1:21" s="12" customFormat="1" x14ac:dyDescent="0.25">
      <c r="A23" s="211" t="s">
        <v>1991</v>
      </c>
      <c r="B23" s="64">
        <v>2.54</v>
      </c>
      <c r="C23" s="64">
        <v>35.590000000000003</v>
      </c>
      <c r="D23" s="64">
        <v>22.33</v>
      </c>
      <c r="E23" s="64">
        <v>2.76</v>
      </c>
      <c r="F23" s="64">
        <v>3.93</v>
      </c>
      <c r="G23" s="64">
        <v>86.52</v>
      </c>
      <c r="H23" s="64">
        <v>34.61</v>
      </c>
      <c r="I23" s="64">
        <v>0.59</v>
      </c>
      <c r="J23" s="64">
        <v>0.09</v>
      </c>
      <c r="K23" s="64">
        <v>251.27</v>
      </c>
      <c r="L23" s="64">
        <v>26.97</v>
      </c>
      <c r="M23" s="64">
        <v>48.15</v>
      </c>
      <c r="N23" s="64">
        <v>4.7</v>
      </c>
      <c r="O23" s="64">
        <v>0</v>
      </c>
      <c r="P23" s="64">
        <v>1.78</v>
      </c>
      <c r="Q23" s="64">
        <v>31.17</v>
      </c>
      <c r="R23" s="198"/>
      <c r="S23" s="198"/>
      <c r="T23" s="198"/>
      <c r="U23" s="198"/>
    </row>
    <row r="24" spans="1:21" s="12" customFormat="1" x14ac:dyDescent="0.25">
      <c r="A24" s="211" t="s">
        <v>1992</v>
      </c>
      <c r="B24" s="64">
        <v>2.56</v>
      </c>
      <c r="C24" s="64">
        <v>35.200000000000003</v>
      </c>
      <c r="D24" s="64">
        <v>22.13</v>
      </c>
      <c r="E24" s="64">
        <v>1.85</v>
      </c>
      <c r="F24" s="64">
        <v>4.51</v>
      </c>
      <c r="G24" s="64">
        <v>89.13</v>
      </c>
      <c r="H24" s="64">
        <v>34.61</v>
      </c>
      <c r="I24" s="64">
        <v>0.56999999999999995</v>
      </c>
      <c r="J24" s="64">
        <v>0.26</v>
      </c>
      <c r="K24" s="64">
        <v>186.38</v>
      </c>
      <c r="L24" s="64">
        <v>26.77</v>
      </c>
      <c r="M24" s="64">
        <v>48.93</v>
      </c>
      <c r="N24" s="64">
        <v>4.7</v>
      </c>
      <c r="O24" s="64">
        <v>0</v>
      </c>
      <c r="P24" s="64">
        <v>1.87</v>
      </c>
      <c r="Q24" s="64">
        <v>31.02</v>
      </c>
      <c r="R24" s="198"/>
      <c r="S24" s="198"/>
      <c r="T24" s="198"/>
      <c r="U24" s="198"/>
    </row>
    <row r="25" spans="1:21" s="12" customFormat="1" x14ac:dyDescent="0.25">
      <c r="A25" s="211" t="s">
        <v>1993</v>
      </c>
      <c r="B25" s="64">
        <v>4.82</v>
      </c>
      <c r="C25" s="64">
        <v>40.049999999999997</v>
      </c>
      <c r="D25" s="64">
        <v>26.61</v>
      </c>
      <c r="E25" s="64">
        <v>4.6500000000000004</v>
      </c>
      <c r="F25" s="64">
        <v>11.96</v>
      </c>
      <c r="G25" s="64">
        <v>89.13</v>
      </c>
      <c r="H25" s="64">
        <v>34.61</v>
      </c>
      <c r="I25" s="64">
        <v>0.57999999999999996</v>
      </c>
      <c r="J25" s="64">
        <v>0.13</v>
      </c>
      <c r="K25" s="64">
        <v>254.76</v>
      </c>
      <c r="L25" s="64">
        <v>26.14</v>
      </c>
      <c r="M25" s="64">
        <v>51.71</v>
      </c>
      <c r="N25" s="64">
        <v>5.4</v>
      </c>
      <c r="O25" s="64">
        <v>0</v>
      </c>
      <c r="P25" s="64">
        <v>2.16</v>
      </c>
      <c r="Q25" s="64">
        <v>30.54</v>
      </c>
      <c r="R25" s="198"/>
      <c r="S25" s="198"/>
      <c r="T25" s="198"/>
      <c r="U25" s="198"/>
    </row>
    <row r="26" spans="1:21" s="12" customFormat="1" x14ac:dyDescent="0.25">
      <c r="A26" s="211" t="s">
        <v>1994</v>
      </c>
      <c r="B26" s="64">
        <v>5.78</v>
      </c>
      <c r="C26" s="64">
        <v>37.21</v>
      </c>
      <c r="D26" s="64">
        <v>25.81</v>
      </c>
      <c r="E26" s="64">
        <v>6.82</v>
      </c>
      <c r="F26" s="64">
        <v>14.3</v>
      </c>
      <c r="G26" s="64">
        <v>89.13</v>
      </c>
      <c r="H26" s="64">
        <v>34.61</v>
      </c>
      <c r="I26" s="64">
        <v>0.56000000000000005</v>
      </c>
      <c r="J26" s="64">
        <v>7.0000000000000007E-2</v>
      </c>
      <c r="K26" s="64">
        <v>264.27</v>
      </c>
      <c r="L26" s="64">
        <v>26.2</v>
      </c>
      <c r="M26" s="64">
        <v>50.47</v>
      </c>
      <c r="N26" s="64">
        <v>5</v>
      </c>
      <c r="O26" s="64">
        <v>0</v>
      </c>
      <c r="P26" s="64">
        <v>1.44</v>
      </c>
      <c r="Q26" s="64">
        <v>31.57</v>
      </c>
      <c r="R26" s="198"/>
      <c r="S26" s="198"/>
      <c r="T26" s="198"/>
      <c r="U26" s="198"/>
    </row>
    <row r="27" spans="1:21" s="12" customFormat="1" x14ac:dyDescent="0.25">
      <c r="A27" s="211" t="s">
        <v>1995</v>
      </c>
      <c r="B27" s="64">
        <v>10.19</v>
      </c>
      <c r="C27" s="64">
        <v>39.090000000000003</v>
      </c>
      <c r="D27" s="64">
        <v>30.39</v>
      </c>
      <c r="E27" s="64">
        <v>8.84</v>
      </c>
      <c r="F27" s="64">
        <v>12.91</v>
      </c>
      <c r="G27" s="64">
        <v>81.92</v>
      </c>
      <c r="H27" s="64">
        <v>36.6</v>
      </c>
      <c r="I27" s="64">
        <v>0.56999999999999995</v>
      </c>
      <c r="J27" s="64">
        <v>0.11</v>
      </c>
      <c r="K27" s="64">
        <v>261.86</v>
      </c>
      <c r="L27" s="64">
        <v>25.96</v>
      </c>
      <c r="M27" s="64">
        <v>51.97</v>
      </c>
      <c r="N27" s="64">
        <v>5.3</v>
      </c>
      <c r="O27" s="64">
        <v>0</v>
      </c>
      <c r="P27" s="64">
        <v>1.71</v>
      </c>
      <c r="Q27" s="64">
        <v>31.76</v>
      </c>
      <c r="R27" s="198"/>
      <c r="S27" s="198"/>
      <c r="T27" s="198"/>
      <c r="U27" s="198"/>
    </row>
    <row r="28" spans="1:21" s="12" customFormat="1" x14ac:dyDescent="0.25">
      <c r="A28" s="211" t="s">
        <v>1996</v>
      </c>
      <c r="B28" s="64">
        <v>3.61</v>
      </c>
      <c r="C28" s="64">
        <v>35.17</v>
      </c>
      <c r="D28" s="64">
        <v>22.95</v>
      </c>
      <c r="E28" s="64">
        <v>8.98</v>
      </c>
      <c r="F28" s="64">
        <v>12.22</v>
      </c>
      <c r="G28" s="64">
        <v>80.92</v>
      </c>
      <c r="H28" s="64">
        <v>36.6</v>
      </c>
      <c r="I28" s="64">
        <v>0.54</v>
      </c>
      <c r="J28" s="64">
        <v>0.08</v>
      </c>
      <c r="K28" s="64">
        <v>253.14</v>
      </c>
      <c r="L28" s="64">
        <v>25.98</v>
      </c>
      <c r="M28" s="64">
        <v>51.19</v>
      </c>
      <c r="N28" s="64">
        <v>5</v>
      </c>
      <c r="O28" s="64">
        <v>0</v>
      </c>
      <c r="P28" s="64">
        <v>1.71</v>
      </c>
      <c r="Q28" s="64">
        <v>32.909999999999997</v>
      </c>
      <c r="R28" s="198"/>
      <c r="S28" s="198"/>
      <c r="T28" s="198"/>
      <c r="U28" s="198"/>
    </row>
    <row r="29" spans="1:21" s="12" customFormat="1" x14ac:dyDescent="0.25">
      <c r="A29" s="211" t="s">
        <v>1997</v>
      </c>
      <c r="B29" s="64">
        <v>3.62</v>
      </c>
      <c r="C29" s="64">
        <v>38.29</v>
      </c>
      <c r="D29" s="64">
        <v>24.68</v>
      </c>
      <c r="E29" s="64">
        <v>9.4700000000000006</v>
      </c>
      <c r="F29" s="64">
        <v>8.61</v>
      </c>
      <c r="G29" s="64">
        <v>80.92</v>
      </c>
      <c r="H29" s="64">
        <v>36.6</v>
      </c>
      <c r="I29" s="64">
        <v>0.56000000000000005</v>
      </c>
      <c r="J29" s="64">
        <v>0.09</v>
      </c>
      <c r="K29" s="64">
        <v>242.2</v>
      </c>
      <c r="L29" s="64">
        <v>26.16</v>
      </c>
      <c r="M29" s="64">
        <v>50.53</v>
      </c>
      <c r="N29" s="64">
        <v>5.5</v>
      </c>
      <c r="O29" s="64">
        <v>0</v>
      </c>
      <c r="P29" s="64">
        <v>1.66</v>
      </c>
      <c r="Q29" s="64">
        <v>33.42</v>
      </c>
      <c r="R29" s="198"/>
      <c r="S29" s="198"/>
      <c r="T29" s="198"/>
      <c r="U29" s="198"/>
    </row>
    <row r="30" spans="1:21" s="12" customFormat="1" x14ac:dyDescent="0.25">
      <c r="A30" s="211" t="s">
        <v>1998</v>
      </c>
      <c r="B30" s="64">
        <v>5.0199999999999996</v>
      </c>
      <c r="C30" s="64">
        <v>34.479999999999997</v>
      </c>
      <c r="D30" s="64">
        <v>23.7</v>
      </c>
      <c r="E30" s="64">
        <v>5.05</v>
      </c>
      <c r="F30" s="64">
        <v>3.91</v>
      </c>
      <c r="G30" s="64">
        <v>80.92</v>
      </c>
      <c r="H30" s="64">
        <v>36.6</v>
      </c>
      <c r="I30" s="64">
        <v>0.73</v>
      </c>
      <c r="J30" s="64">
        <v>0.01</v>
      </c>
      <c r="K30" s="64">
        <v>311.42</v>
      </c>
      <c r="L30" s="64">
        <v>26.26</v>
      </c>
      <c r="M30" s="64">
        <v>50.16</v>
      </c>
      <c r="N30" s="64">
        <v>11.9</v>
      </c>
      <c r="O30" s="64">
        <v>0</v>
      </c>
      <c r="P30" s="64">
        <v>1.68</v>
      </c>
      <c r="Q30" s="64">
        <v>33.28</v>
      </c>
      <c r="R30" s="198"/>
      <c r="S30" s="198"/>
      <c r="T30" s="198"/>
      <c r="U30" s="198"/>
    </row>
    <row r="31" spans="1:21" s="12" customFormat="1" x14ac:dyDescent="0.25">
      <c r="A31" s="211" t="s">
        <v>1999</v>
      </c>
      <c r="B31" s="64">
        <v>4.88</v>
      </c>
      <c r="C31" s="64">
        <v>35.11</v>
      </c>
      <c r="D31" s="64">
        <v>23.94</v>
      </c>
      <c r="E31" s="64">
        <v>4.03</v>
      </c>
      <c r="F31" s="64">
        <v>4.9000000000000004</v>
      </c>
      <c r="G31" s="64">
        <v>66.05</v>
      </c>
      <c r="H31" s="64">
        <v>32.979999999999997</v>
      </c>
      <c r="I31" s="64">
        <v>0.59</v>
      </c>
      <c r="J31" s="64">
        <v>0.16</v>
      </c>
      <c r="K31" s="64">
        <v>180.99</v>
      </c>
      <c r="L31" s="64">
        <v>26.04</v>
      </c>
      <c r="M31" s="64">
        <v>51.18</v>
      </c>
      <c r="N31" s="64">
        <v>27.2</v>
      </c>
      <c r="O31" s="64">
        <v>0</v>
      </c>
      <c r="P31" s="64">
        <v>1.52</v>
      </c>
      <c r="Q31" s="64">
        <v>32.68</v>
      </c>
      <c r="R31" s="198"/>
      <c r="S31" s="198"/>
      <c r="T31" s="198"/>
      <c r="U31" s="198"/>
    </row>
    <row r="32" spans="1:21" s="12" customFormat="1" x14ac:dyDescent="0.25">
      <c r="A32" s="211" t="s">
        <v>2000</v>
      </c>
      <c r="B32" s="64">
        <v>6.75</v>
      </c>
      <c r="C32" s="64">
        <v>36.69</v>
      </c>
      <c r="D32" s="64">
        <v>26.3</v>
      </c>
      <c r="E32" s="64">
        <v>3.75</v>
      </c>
      <c r="F32" s="64">
        <v>3.63</v>
      </c>
      <c r="G32" s="64">
        <v>63.98</v>
      </c>
      <c r="H32" s="64">
        <v>32.979999999999997</v>
      </c>
      <c r="I32" s="64">
        <v>0.66</v>
      </c>
      <c r="J32" s="64">
        <v>0.11</v>
      </c>
      <c r="K32" s="64">
        <v>225.11</v>
      </c>
      <c r="L32" s="64">
        <v>26.24</v>
      </c>
      <c r="M32" s="64">
        <v>52.03</v>
      </c>
      <c r="N32" s="64">
        <v>51.7</v>
      </c>
      <c r="O32" s="64">
        <v>0</v>
      </c>
      <c r="P32" s="64">
        <v>1.47</v>
      </c>
      <c r="Q32" s="64">
        <v>32.26</v>
      </c>
      <c r="R32" s="198"/>
      <c r="S32" s="198"/>
      <c r="T32" s="198"/>
      <c r="U32" s="198"/>
    </row>
    <row r="33" spans="1:21" s="12" customFormat="1" x14ac:dyDescent="0.25">
      <c r="A33" s="211" t="s">
        <v>2001</v>
      </c>
      <c r="B33" s="64">
        <v>9.2799999999999994</v>
      </c>
      <c r="C33" s="64">
        <v>40.65</v>
      </c>
      <c r="D33" s="64">
        <v>30.52</v>
      </c>
      <c r="E33" s="64">
        <v>3.31</v>
      </c>
      <c r="F33" s="64">
        <v>3.39</v>
      </c>
      <c r="G33" s="64">
        <v>63.98</v>
      </c>
      <c r="H33" s="64">
        <v>32.979999999999997</v>
      </c>
      <c r="I33" s="64">
        <v>0.78</v>
      </c>
      <c r="J33" s="64">
        <v>0.03</v>
      </c>
      <c r="K33" s="64">
        <v>108.92</v>
      </c>
      <c r="L33" s="64">
        <v>27.19</v>
      </c>
      <c r="M33" s="64">
        <v>48.98</v>
      </c>
      <c r="N33" s="64">
        <v>91.3</v>
      </c>
      <c r="O33" s="64">
        <v>0</v>
      </c>
      <c r="P33" s="64">
        <v>1.38</v>
      </c>
      <c r="Q33" s="64">
        <v>32.07</v>
      </c>
      <c r="R33" s="198"/>
      <c r="S33" s="198"/>
      <c r="T33" s="198"/>
      <c r="U33" s="198"/>
    </row>
    <row r="34" spans="1:21" s="12" customFormat="1" x14ac:dyDescent="0.25">
      <c r="A34" s="211" t="s">
        <v>2002</v>
      </c>
      <c r="B34" s="64">
        <v>9.9600000000000009</v>
      </c>
      <c r="C34" s="64">
        <v>42.15</v>
      </c>
      <c r="D34" s="64">
        <v>31.89</v>
      </c>
      <c r="E34" s="64">
        <v>3.55</v>
      </c>
      <c r="F34" s="64">
        <v>3.5</v>
      </c>
      <c r="G34" s="64">
        <v>63.98</v>
      </c>
      <c r="H34" s="64">
        <v>32.979999999999997</v>
      </c>
      <c r="I34" s="64">
        <v>0.63</v>
      </c>
      <c r="J34" s="64">
        <v>0.06</v>
      </c>
      <c r="K34" s="64">
        <v>263.11</v>
      </c>
      <c r="L34" s="64">
        <v>28.71</v>
      </c>
      <c r="M34" s="64">
        <v>46.23</v>
      </c>
      <c r="N34" s="64">
        <v>146.6</v>
      </c>
      <c r="O34" s="64">
        <v>0</v>
      </c>
      <c r="P34" s="64">
        <v>1.3</v>
      </c>
      <c r="Q34" s="64">
        <v>31.89</v>
      </c>
      <c r="R34" s="198"/>
      <c r="S34" s="198"/>
      <c r="T34" s="198"/>
      <c r="U34" s="198"/>
    </row>
    <row r="35" spans="1:21" s="12" customFormat="1" x14ac:dyDescent="0.25">
      <c r="A35" s="211" t="s">
        <v>2003</v>
      </c>
      <c r="B35" s="64">
        <v>8.8800000000000008</v>
      </c>
      <c r="C35" s="64">
        <v>42.19</v>
      </c>
      <c r="D35" s="64">
        <v>31.05</v>
      </c>
      <c r="E35" s="64">
        <v>3.24</v>
      </c>
      <c r="F35" s="64">
        <v>4.0599999999999996</v>
      </c>
      <c r="G35" s="64">
        <v>67.58</v>
      </c>
      <c r="H35" s="64">
        <v>31.92</v>
      </c>
      <c r="I35" s="64">
        <v>0.86</v>
      </c>
      <c r="J35" s="64">
        <v>0.05</v>
      </c>
      <c r="K35" s="64">
        <v>244.89</v>
      </c>
      <c r="L35" s="64">
        <v>29.79</v>
      </c>
      <c r="M35" s="64">
        <v>42.97</v>
      </c>
      <c r="N35" s="64">
        <v>207</v>
      </c>
      <c r="O35" s="64">
        <v>0</v>
      </c>
      <c r="P35" s="64">
        <v>1.26</v>
      </c>
      <c r="Q35" s="64">
        <v>31.74</v>
      </c>
      <c r="R35" s="198"/>
      <c r="S35" s="198"/>
      <c r="T35" s="198"/>
      <c r="U35" s="198"/>
    </row>
    <row r="36" spans="1:21" s="12" customFormat="1" x14ac:dyDescent="0.25">
      <c r="A36" s="211" t="s">
        <v>2004</v>
      </c>
      <c r="B36" s="64">
        <v>14.86</v>
      </c>
      <c r="C36" s="64">
        <v>46.75</v>
      </c>
      <c r="D36" s="64">
        <v>38.369999999999997</v>
      </c>
      <c r="E36" s="64">
        <v>3.17</v>
      </c>
      <c r="F36" s="64">
        <v>4.17</v>
      </c>
      <c r="G36" s="64">
        <v>68.08</v>
      </c>
      <c r="H36" s="64">
        <v>31.92</v>
      </c>
      <c r="I36" s="64">
        <v>0.6</v>
      </c>
      <c r="J36" s="64">
        <v>0.01</v>
      </c>
      <c r="K36" s="64">
        <v>0.44</v>
      </c>
      <c r="L36" s="64">
        <v>29.85</v>
      </c>
      <c r="M36" s="64">
        <v>43.14</v>
      </c>
      <c r="N36" s="64">
        <v>185.2</v>
      </c>
      <c r="O36" s="64">
        <v>0</v>
      </c>
      <c r="P36" s="64">
        <v>1.2</v>
      </c>
      <c r="Q36" s="64">
        <v>31.47</v>
      </c>
      <c r="R36" s="198"/>
      <c r="S36" s="198"/>
      <c r="T36" s="198"/>
      <c r="U36" s="198"/>
    </row>
    <row r="37" spans="1:21" s="12" customFormat="1" x14ac:dyDescent="0.25">
      <c r="A37" s="211" t="s">
        <v>2005</v>
      </c>
      <c r="B37" s="64">
        <v>9.1300000000000008</v>
      </c>
      <c r="C37" s="64">
        <v>45.42</v>
      </c>
      <c r="D37" s="64">
        <v>33.03</v>
      </c>
      <c r="E37" s="64">
        <v>3.68</v>
      </c>
      <c r="F37" s="64">
        <v>15.37</v>
      </c>
      <c r="G37" s="64">
        <v>68.08</v>
      </c>
      <c r="H37" s="64">
        <v>31.92</v>
      </c>
      <c r="I37" s="64">
        <v>0.64</v>
      </c>
      <c r="J37" s="64">
        <v>0.11</v>
      </c>
      <c r="K37" s="64">
        <v>260.5</v>
      </c>
      <c r="L37" s="64">
        <v>30.02</v>
      </c>
      <c r="M37" s="64">
        <v>43.98</v>
      </c>
      <c r="N37" s="64">
        <v>119.8</v>
      </c>
      <c r="O37" s="64">
        <v>0</v>
      </c>
      <c r="P37" s="64">
        <v>0.93</v>
      </c>
      <c r="Q37" s="64">
        <v>30.23</v>
      </c>
      <c r="R37" s="198"/>
      <c r="S37" s="198"/>
      <c r="T37" s="198"/>
      <c r="U37" s="198"/>
    </row>
    <row r="38" spans="1:21" s="12" customFormat="1" x14ac:dyDescent="0.25">
      <c r="A38" s="211" t="s">
        <v>2006</v>
      </c>
      <c r="B38" s="64">
        <v>11.06</v>
      </c>
      <c r="C38" s="64">
        <v>42.92</v>
      </c>
      <c r="D38" s="64">
        <v>33.200000000000003</v>
      </c>
      <c r="E38" s="64">
        <v>3.49</v>
      </c>
      <c r="F38" s="64">
        <v>15.2</v>
      </c>
      <c r="G38" s="64">
        <v>68.08</v>
      </c>
      <c r="H38" s="64">
        <v>31.92</v>
      </c>
      <c r="I38" s="64">
        <v>0.57999999999999996</v>
      </c>
      <c r="J38" s="64">
        <v>0.06</v>
      </c>
      <c r="K38" s="64">
        <v>268.13</v>
      </c>
      <c r="L38" s="64">
        <v>30.19</v>
      </c>
      <c r="M38" s="64">
        <v>43.25</v>
      </c>
      <c r="N38" s="64">
        <v>156</v>
      </c>
      <c r="O38" s="64">
        <v>0</v>
      </c>
      <c r="P38" s="64">
        <v>0.97</v>
      </c>
      <c r="Q38" s="64">
        <v>31.76</v>
      </c>
      <c r="R38" s="198"/>
      <c r="S38" s="198"/>
      <c r="T38" s="198"/>
      <c r="U38" s="198"/>
    </row>
    <row r="39" spans="1:21" s="12" customFormat="1" x14ac:dyDescent="0.25">
      <c r="A39" s="211" t="s">
        <v>2007</v>
      </c>
      <c r="B39" s="64">
        <v>6.65</v>
      </c>
      <c r="C39" s="64">
        <v>39.15</v>
      </c>
      <c r="D39" s="64">
        <v>27.59</v>
      </c>
      <c r="E39" s="64">
        <v>3.94</v>
      </c>
      <c r="F39" s="64">
        <v>10.72</v>
      </c>
      <c r="G39" s="64">
        <v>66.48</v>
      </c>
      <c r="H39" s="64">
        <v>30.76</v>
      </c>
      <c r="I39" s="64">
        <v>0.67</v>
      </c>
      <c r="J39" s="64">
        <v>0.04</v>
      </c>
      <c r="K39" s="64">
        <v>342.85</v>
      </c>
      <c r="L39" s="64">
        <v>30.27</v>
      </c>
      <c r="M39" s="64">
        <v>43.09</v>
      </c>
      <c r="N39" s="64">
        <v>374.7</v>
      </c>
      <c r="O39" s="64">
        <v>0</v>
      </c>
      <c r="P39" s="64">
        <v>1.07</v>
      </c>
      <c r="Q39" s="64">
        <v>32.229999999999997</v>
      </c>
      <c r="R39" s="198"/>
      <c r="S39" s="198"/>
      <c r="T39" s="198"/>
      <c r="U39" s="198"/>
    </row>
    <row r="40" spans="1:21" s="12" customFormat="1" x14ac:dyDescent="0.25">
      <c r="A40" s="211" t="s">
        <v>2008</v>
      </c>
      <c r="B40" s="64">
        <v>12.8</v>
      </c>
      <c r="C40" s="64">
        <v>38.47</v>
      </c>
      <c r="D40" s="64">
        <v>32.14</v>
      </c>
      <c r="E40" s="64">
        <v>1.92</v>
      </c>
      <c r="F40" s="64">
        <v>12.37</v>
      </c>
      <c r="G40" s="64">
        <v>66.260000000000005</v>
      </c>
      <c r="H40" s="64">
        <v>30.76</v>
      </c>
      <c r="I40" s="64">
        <v>0.67</v>
      </c>
      <c r="J40" s="64">
        <v>0.14000000000000001</v>
      </c>
      <c r="K40" s="64">
        <v>273.17</v>
      </c>
      <c r="L40" s="64">
        <v>31.68</v>
      </c>
      <c r="M40" s="64">
        <v>39.869999999999997</v>
      </c>
      <c r="N40" s="64">
        <v>459.2</v>
      </c>
      <c r="O40" s="64">
        <v>0</v>
      </c>
      <c r="P40" s="64">
        <v>1.02</v>
      </c>
      <c r="Q40" s="64">
        <v>31.61</v>
      </c>
      <c r="R40" s="198"/>
      <c r="S40" s="198"/>
      <c r="T40" s="198"/>
      <c r="U40" s="198"/>
    </row>
    <row r="41" spans="1:21" s="12" customFormat="1" x14ac:dyDescent="0.25">
      <c r="A41" s="211" t="s">
        <v>2009</v>
      </c>
      <c r="B41" s="64">
        <v>6.08</v>
      </c>
      <c r="C41" s="64">
        <v>38.659999999999997</v>
      </c>
      <c r="D41" s="64">
        <v>26.86</v>
      </c>
      <c r="E41" s="64">
        <v>2.76</v>
      </c>
      <c r="F41" s="64">
        <v>7.02</v>
      </c>
      <c r="G41" s="64">
        <v>66.260000000000005</v>
      </c>
      <c r="H41" s="64">
        <v>30.76</v>
      </c>
      <c r="I41" s="64">
        <v>0.57999999999999996</v>
      </c>
      <c r="J41" s="64">
        <v>0.08</v>
      </c>
      <c r="K41" s="64">
        <v>27.2</v>
      </c>
      <c r="L41" s="64">
        <v>34.01</v>
      </c>
      <c r="M41" s="64">
        <v>34.06</v>
      </c>
      <c r="N41" s="64">
        <v>440.6</v>
      </c>
      <c r="O41" s="64">
        <v>0</v>
      </c>
      <c r="P41" s="64">
        <v>1.04</v>
      </c>
      <c r="Q41" s="64">
        <v>32.18</v>
      </c>
      <c r="R41" s="198"/>
      <c r="S41" s="198"/>
      <c r="T41" s="198"/>
      <c r="U41" s="198"/>
    </row>
    <row r="42" spans="1:21" s="12" customFormat="1" x14ac:dyDescent="0.25">
      <c r="A42" s="211" t="s">
        <v>2010</v>
      </c>
      <c r="B42" s="64">
        <v>3.89</v>
      </c>
      <c r="C42" s="64">
        <v>38.92</v>
      </c>
      <c r="D42" s="64">
        <v>25.25</v>
      </c>
      <c r="E42" s="64">
        <v>2.57</v>
      </c>
      <c r="F42" s="64">
        <v>5.96</v>
      </c>
      <c r="G42" s="64">
        <v>66.260000000000005</v>
      </c>
      <c r="H42" s="64">
        <v>30.76</v>
      </c>
      <c r="I42" s="64">
        <v>0.6</v>
      </c>
      <c r="J42" s="64">
        <v>0.13</v>
      </c>
      <c r="K42" s="64">
        <v>26.62</v>
      </c>
      <c r="L42" s="64">
        <v>33.17</v>
      </c>
      <c r="M42" s="64">
        <v>35.64</v>
      </c>
      <c r="N42" s="64">
        <v>368.1</v>
      </c>
      <c r="O42" s="64">
        <v>0</v>
      </c>
      <c r="P42" s="64">
        <v>0.99</v>
      </c>
      <c r="Q42" s="64">
        <v>31.55</v>
      </c>
      <c r="R42" s="198"/>
      <c r="S42" s="198"/>
      <c r="T42" s="198"/>
      <c r="U42" s="198"/>
    </row>
    <row r="43" spans="1:21" s="12" customFormat="1" x14ac:dyDescent="0.25">
      <c r="A43" s="211" t="s">
        <v>2011</v>
      </c>
      <c r="B43" s="64">
        <v>2.3199999999999998</v>
      </c>
      <c r="C43" s="64">
        <v>41.15</v>
      </c>
      <c r="D43" s="64">
        <v>25.22</v>
      </c>
      <c r="E43" s="64">
        <v>2.63</v>
      </c>
      <c r="F43" s="64">
        <v>6.91</v>
      </c>
      <c r="G43" s="64">
        <v>59.11</v>
      </c>
      <c r="H43" s="64">
        <v>31.74</v>
      </c>
      <c r="I43" s="64">
        <v>0.69</v>
      </c>
      <c r="J43" s="64">
        <v>0.08</v>
      </c>
      <c r="K43" s="64">
        <v>4.28</v>
      </c>
      <c r="L43" s="64">
        <v>33.79</v>
      </c>
      <c r="M43" s="64">
        <v>35.659999999999997</v>
      </c>
      <c r="N43" s="64">
        <v>544.20000000000005</v>
      </c>
      <c r="O43" s="64">
        <v>0</v>
      </c>
      <c r="P43" s="64">
        <v>0.98</v>
      </c>
      <c r="Q43" s="64">
        <v>30.77</v>
      </c>
      <c r="R43" s="198"/>
      <c r="S43" s="198"/>
      <c r="T43" s="198"/>
      <c r="U43" s="198"/>
    </row>
    <row r="44" spans="1:21" s="12" customFormat="1" x14ac:dyDescent="0.25">
      <c r="A44" s="211" t="s">
        <v>2012</v>
      </c>
      <c r="B44" s="64">
        <v>1.6</v>
      </c>
      <c r="C44" s="64">
        <v>43.09</v>
      </c>
      <c r="D44" s="64">
        <v>25.71</v>
      </c>
      <c r="E44" s="64">
        <v>2.74</v>
      </c>
      <c r="F44" s="64">
        <v>7.06</v>
      </c>
      <c r="G44" s="64">
        <v>58.12</v>
      </c>
      <c r="H44" s="64">
        <v>31.74</v>
      </c>
      <c r="I44" s="64">
        <v>0.56999999999999995</v>
      </c>
      <c r="J44" s="64">
        <v>0.15</v>
      </c>
      <c r="K44" s="64">
        <v>39.29</v>
      </c>
      <c r="L44" s="64">
        <v>34.200000000000003</v>
      </c>
      <c r="M44" s="64">
        <v>34.299999999999997</v>
      </c>
      <c r="N44" s="64">
        <v>582.4</v>
      </c>
      <c r="O44" s="64">
        <v>0</v>
      </c>
      <c r="P44" s="64">
        <v>1.17</v>
      </c>
      <c r="Q44" s="64">
        <v>30.33</v>
      </c>
      <c r="R44" s="198"/>
      <c r="S44" s="198"/>
      <c r="T44" s="198"/>
      <c r="U44" s="198"/>
    </row>
    <row r="45" spans="1:21" s="12" customFormat="1" x14ac:dyDescent="0.25">
      <c r="A45" s="211" t="s">
        <v>2013</v>
      </c>
      <c r="B45" s="64">
        <v>1.41</v>
      </c>
      <c r="C45" s="64">
        <v>45.85</v>
      </c>
      <c r="D45" s="64">
        <v>27.08</v>
      </c>
      <c r="E45" s="64">
        <v>2.67</v>
      </c>
      <c r="F45" s="64">
        <v>7.87</v>
      </c>
      <c r="G45" s="64">
        <v>58.12</v>
      </c>
      <c r="H45" s="64">
        <v>31.74</v>
      </c>
      <c r="I45" s="64">
        <v>0.61</v>
      </c>
      <c r="J45" s="64">
        <v>0.06</v>
      </c>
      <c r="K45" s="64">
        <v>323.12</v>
      </c>
      <c r="L45" s="64">
        <v>33.85</v>
      </c>
      <c r="M45" s="64">
        <v>35.380000000000003</v>
      </c>
      <c r="N45" s="64">
        <v>602.5</v>
      </c>
      <c r="O45" s="64">
        <v>0</v>
      </c>
      <c r="P45" s="64">
        <v>1.29</v>
      </c>
      <c r="Q45" s="64">
        <v>29.79</v>
      </c>
      <c r="R45" s="198"/>
      <c r="S45" s="198"/>
      <c r="T45" s="198"/>
      <c r="U45" s="198"/>
    </row>
    <row r="46" spans="1:21" s="12" customFormat="1" x14ac:dyDescent="0.25">
      <c r="A46" s="211" t="s">
        <v>2014</v>
      </c>
      <c r="B46" s="64">
        <v>1.17</v>
      </c>
      <c r="C46" s="64">
        <v>47.81</v>
      </c>
      <c r="D46" s="64">
        <v>27.97</v>
      </c>
      <c r="E46" s="64">
        <v>2.4700000000000002</v>
      </c>
      <c r="F46" s="64">
        <v>8.11</v>
      </c>
      <c r="G46" s="64">
        <v>58.12</v>
      </c>
      <c r="H46" s="64">
        <v>31.74</v>
      </c>
      <c r="I46" s="64">
        <v>0.85</v>
      </c>
      <c r="J46" s="64">
        <v>0.12</v>
      </c>
      <c r="K46" s="64">
        <v>50.55</v>
      </c>
      <c r="L46" s="64">
        <v>35.299999999999997</v>
      </c>
      <c r="M46" s="64">
        <v>33.92</v>
      </c>
      <c r="N46" s="64">
        <v>673.1</v>
      </c>
      <c r="O46" s="64">
        <v>0</v>
      </c>
      <c r="P46" s="64">
        <v>1.38</v>
      </c>
      <c r="Q46" s="64">
        <v>29.77</v>
      </c>
      <c r="R46" s="198"/>
      <c r="S46" s="198"/>
      <c r="T46" s="198"/>
      <c r="U46" s="198"/>
    </row>
    <row r="47" spans="1:21" s="12" customFormat="1" x14ac:dyDescent="0.25">
      <c r="A47" s="211" t="s">
        <v>2015</v>
      </c>
      <c r="B47" s="64">
        <v>1.0900000000000001</v>
      </c>
      <c r="C47" s="64">
        <v>48.32</v>
      </c>
      <c r="D47" s="64">
        <v>28.19</v>
      </c>
      <c r="E47" s="64">
        <v>2.37</v>
      </c>
      <c r="F47" s="64">
        <v>8.19</v>
      </c>
      <c r="G47" s="64">
        <v>75.88</v>
      </c>
      <c r="H47" s="64">
        <v>38.19</v>
      </c>
      <c r="I47" s="64">
        <v>0.57999999999999996</v>
      </c>
      <c r="J47" s="64">
        <v>0.28999999999999998</v>
      </c>
      <c r="K47" s="64">
        <v>270.23</v>
      </c>
      <c r="L47" s="64">
        <v>36.729999999999997</v>
      </c>
      <c r="M47" s="64">
        <v>31.1</v>
      </c>
      <c r="N47" s="64">
        <v>715</v>
      </c>
      <c r="O47" s="64">
        <v>0</v>
      </c>
      <c r="P47" s="64">
        <v>1.41</v>
      </c>
      <c r="Q47" s="64">
        <v>29.84</v>
      </c>
      <c r="R47" s="198"/>
      <c r="S47" s="198"/>
      <c r="T47" s="198"/>
      <c r="U47" s="198"/>
    </row>
    <row r="48" spans="1:21" s="12" customFormat="1" x14ac:dyDescent="0.25">
      <c r="A48" s="211" t="s">
        <v>2016</v>
      </c>
      <c r="B48" s="64">
        <v>1.64</v>
      </c>
      <c r="C48" s="64">
        <v>51.92</v>
      </c>
      <c r="D48" s="64">
        <v>30.61</v>
      </c>
      <c r="E48" s="64">
        <v>3.43</v>
      </c>
      <c r="F48" s="64">
        <v>34.74</v>
      </c>
      <c r="G48" s="64">
        <v>78.36</v>
      </c>
      <c r="H48" s="64">
        <v>38.19</v>
      </c>
      <c r="I48" s="64">
        <v>0.53</v>
      </c>
      <c r="J48" s="64">
        <v>0.52</v>
      </c>
      <c r="K48" s="64">
        <v>263.08999999999997</v>
      </c>
      <c r="L48" s="64">
        <v>37.36</v>
      </c>
      <c r="M48" s="64">
        <v>29.27</v>
      </c>
      <c r="N48" s="64">
        <v>739.3</v>
      </c>
      <c r="O48" s="64">
        <v>0</v>
      </c>
      <c r="P48" s="64">
        <v>1.02</v>
      </c>
      <c r="Q48" s="64">
        <v>29.34</v>
      </c>
      <c r="R48" s="198"/>
      <c r="S48" s="198"/>
      <c r="T48" s="198"/>
      <c r="U48" s="198"/>
    </row>
    <row r="49" spans="1:21" s="12" customFormat="1" x14ac:dyDescent="0.25">
      <c r="A49" s="211" t="s">
        <v>2017</v>
      </c>
      <c r="B49" s="64">
        <v>1.23</v>
      </c>
      <c r="C49" s="64">
        <v>46.24</v>
      </c>
      <c r="D49" s="64">
        <v>27.15</v>
      </c>
      <c r="E49" s="64">
        <v>3.44</v>
      </c>
      <c r="F49" s="64">
        <v>17.39</v>
      </c>
      <c r="G49" s="64">
        <v>78.36</v>
      </c>
      <c r="H49" s="64">
        <v>38.19</v>
      </c>
      <c r="I49" s="64">
        <v>0.55000000000000004</v>
      </c>
      <c r="J49" s="64">
        <v>0.45</v>
      </c>
      <c r="K49" s="64">
        <v>265.52999999999997</v>
      </c>
      <c r="L49" s="64">
        <v>38.020000000000003</v>
      </c>
      <c r="M49" s="64">
        <v>28.87</v>
      </c>
      <c r="N49" s="64">
        <v>761.4</v>
      </c>
      <c r="O49" s="64">
        <v>0</v>
      </c>
      <c r="P49" s="64">
        <v>1</v>
      </c>
      <c r="Q49" s="64">
        <v>31.01</v>
      </c>
      <c r="R49" s="198"/>
      <c r="S49" s="198"/>
      <c r="T49" s="198"/>
      <c r="U49" s="198"/>
    </row>
    <row r="50" spans="1:21" s="12" customFormat="1" x14ac:dyDescent="0.25">
      <c r="A50" s="211" t="s">
        <v>2018</v>
      </c>
      <c r="B50" s="64">
        <v>2.6</v>
      </c>
      <c r="C50" s="64">
        <v>43.59</v>
      </c>
      <c r="D50" s="64">
        <v>26.79</v>
      </c>
      <c r="E50" s="64">
        <v>2.85</v>
      </c>
      <c r="F50" s="64">
        <v>18.73</v>
      </c>
      <c r="G50" s="64">
        <v>78.36</v>
      </c>
      <c r="H50" s="64">
        <v>38.19</v>
      </c>
      <c r="I50" s="64">
        <v>0.56000000000000005</v>
      </c>
      <c r="J50" s="64">
        <v>0.26</v>
      </c>
      <c r="K50" s="64">
        <v>272.99</v>
      </c>
      <c r="L50" s="64">
        <v>38.89</v>
      </c>
      <c r="M50" s="64">
        <v>26.92</v>
      </c>
      <c r="N50" s="64">
        <v>793</v>
      </c>
      <c r="O50" s="64">
        <v>0</v>
      </c>
      <c r="P50" s="64">
        <v>0.95</v>
      </c>
      <c r="Q50" s="64">
        <v>30.07</v>
      </c>
      <c r="R50" s="198"/>
      <c r="S50" s="198"/>
      <c r="T50" s="198"/>
      <c r="U50" s="198"/>
    </row>
    <row r="51" spans="1:21" s="12" customFormat="1" x14ac:dyDescent="0.25">
      <c r="A51" s="211" t="s">
        <v>2019</v>
      </c>
      <c r="B51" s="64">
        <v>2.3199999999999998</v>
      </c>
      <c r="C51" s="64">
        <v>40.74</v>
      </c>
      <c r="D51" s="64">
        <v>25</v>
      </c>
      <c r="E51" s="64">
        <v>3.03</v>
      </c>
      <c r="F51" s="64">
        <v>14.68</v>
      </c>
      <c r="G51" s="217" t="s">
        <v>40</v>
      </c>
      <c r="H51" s="217" t="s">
        <v>40</v>
      </c>
      <c r="I51" s="64">
        <v>0.59</v>
      </c>
      <c r="J51" s="64">
        <v>0.39</v>
      </c>
      <c r="K51" s="64">
        <v>259.42</v>
      </c>
      <c r="L51" s="64">
        <v>37.29</v>
      </c>
      <c r="M51" s="64">
        <v>28.77</v>
      </c>
      <c r="N51" s="64">
        <v>811.4</v>
      </c>
      <c r="O51" s="64">
        <v>0</v>
      </c>
      <c r="P51" s="64">
        <v>0.92</v>
      </c>
      <c r="Q51" s="64">
        <v>29.07</v>
      </c>
      <c r="R51" s="198"/>
      <c r="S51" s="198"/>
      <c r="T51" s="198"/>
      <c r="U51" s="198"/>
    </row>
    <row r="52" spans="1:21" s="12" customFormat="1" x14ac:dyDescent="0.25">
      <c r="A52" s="211" t="s">
        <v>2020</v>
      </c>
      <c r="B52" s="64">
        <v>1.86</v>
      </c>
      <c r="C52" s="64">
        <v>37.69</v>
      </c>
      <c r="D52" s="64">
        <v>22.94</v>
      </c>
      <c r="E52" s="64">
        <v>3.11</v>
      </c>
      <c r="F52" s="64">
        <v>16.87</v>
      </c>
      <c r="G52" s="217" t="s">
        <v>40</v>
      </c>
      <c r="H52" s="217" t="s">
        <v>40</v>
      </c>
      <c r="I52" s="64">
        <v>0.68</v>
      </c>
      <c r="J52" s="64">
        <v>0.44</v>
      </c>
      <c r="K52" s="64">
        <v>264.70999999999998</v>
      </c>
      <c r="L52" s="64">
        <v>38.03</v>
      </c>
      <c r="M52" s="64">
        <v>27.64</v>
      </c>
      <c r="N52" s="64">
        <v>836</v>
      </c>
      <c r="O52" s="64">
        <v>0</v>
      </c>
      <c r="P52" s="64">
        <v>0.87</v>
      </c>
      <c r="Q52" s="64">
        <v>29.52</v>
      </c>
      <c r="R52" s="198"/>
      <c r="S52" s="198"/>
      <c r="T52" s="198"/>
      <c r="U52" s="198"/>
    </row>
    <row r="53" spans="1:21" s="12" customFormat="1" x14ac:dyDescent="0.25">
      <c r="A53" s="211" t="s">
        <v>2021</v>
      </c>
      <c r="B53" s="64">
        <v>1.76</v>
      </c>
      <c r="C53" s="64">
        <v>40.36</v>
      </c>
      <c r="D53" s="64">
        <v>24.33</v>
      </c>
      <c r="E53" s="64">
        <v>2.66</v>
      </c>
      <c r="F53" s="64">
        <v>8.9700000000000006</v>
      </c>
      <c r="G53" s="217" t="s">
        <v>40</v>
      </c>
      <c r="H53" s="217" t="s">
        <v>40</v>
      </c>
      <c r="I53" s="64">
        <v>0.56999999999999995</v>
      </c>
      <c r="J53" s="64">
        <v>0.64</v>
      </c>
      <c r="K53" s="64">
        <v>262.06</v>
      </c>
      <c r="L53" s="64">
        <v>39.119999999999997</v>
      </c>
      <c r="M53" s="64">
        <v>26.15</v>
      </c>
      <c r="N53" s="64">
        <v>851</v>
      </c>
      <c r="O53" s="64">
        <v>0</v>
      </c>
      <c r="P53" s="64">
        <v>0.87</v>
      </c>
      <c r="Q53" s="64">
        <v>29.2</v>
      </c>
      <c r="R53" s="198"/>
      <c r="S53" s="198"/>
      <c r="T53" s="198"/>
      <c r="U53" s="198"/>
    </row>
    <row r="54" spans="1:21" s="12" customFormat="1" x14ac:dyDescent="0.25">
      <c r="A54" s="211" t="s">
        <v>2022</v>
      </c>
      <c r="B54" s="64">
        <v>1.1599999999999999</v>
      </c>
      <c r="C54" s="64">
        <v>38.950000000000003</v>
      </c>
      <c r="D54" s="64">
        <v>23.08</v>
      </c>
      <c r="E54" s="64">
        <v>2.94</v>
      </c>
      <c r="F54" s="64">
        <v>10.220000000000001</v>
      </c>
      <c r="G54" s="217" t="s">
        <v>40</v>
      </c>
      <c r="H54" s="217" t="s">
        <v>40</v>
      </c>
      <c r="I54" s="64">
        <v>0.6</v>
      </c>
      <c r="J54" s="64">
        <v>0.23</v>
      </c>
      <c r="K54" s="64">
        <v>271.10000000000002</v>
      </c>
      <c r="L54" s="64">
        <v>39.19</v>
      </c>
      <c r="M54" s="64">
        <v>25.65</v>
      </c>
      <c r="N54" s="64">
        <v>844.7</v>
      </c>
      <c r="O54" s="64">
        <v>0</v>
      </c>
      <c r="P54" s="64">
        <v>0.83</v>
      </c>
      <c r="Q54" s="64">
        <v>28.8</v>
      </c>
      <c r="R54" s="198"/>
      <c r="S54" s="198"/>
      <c r="T54" s="198"/>
      <c r="U54" s="198"/>
    </row>
    <row r="55" spans="1:21" s="12" customFormat="1" x14ac:dyDescent="0.25">
      <c r="A55" s="211" t="s">
        <v>2023</v>
      </c>
      <c r="B55" s="64">
        <v>1</v>
      </c>
      <c r="C55" s="64">
        <v>38.950000000000003</v>
      </c>
      <c r="D55" s="64">
        <v>22.94</v>
      </c>
      <c r="E55" s="64">
        <v>2.86</v>
      </c>
      <c r="F55" s="64">
        <v>10.59</v>
      </c>
      <c r="G55" s="217" t="s">
        <v>40</v>
      </c>
      <c r="H55" s="217" t="s">
        <v>40</v>
      </c>
      <c r="I55" s="64">
        <v>0.65</v>
      </c>
      <c r="J55" s="64">
        <v>0.56000000000000005</v>
      </c>
      <c r="K55" s="64">
        <v>262.41000000000003</v>
      </c>
      <c r="L55" s="64">
        <v>39.4</v>
      </c>
      <c r="M55" s="64">
        <v>24.81</v>
      </c>
      <c r="N55" s="64">
        <v>866.2</v>
      </c>
      <c r="O55" s="64">
        <v>0</v>
      </c>
      <c r="P55" s="64">
        <v>0.78</v>
      </c>
      <c r="Q55" s="64">
        <v>28.84</v>
      </c>
      <c r="R55" s="198"/>
      <c r="S55" s="198"/>
      <c r="T55" s="198"/>
      <c r="U55" s="198"/>
    </row>
    <row r="56" spans="1:21" s="12" customFormat="1" x14ac:dyDescent="0.25">
      <c r="A56" s="211" t="s">
        <v>2024</v>
      </c>
      <c r="B56" s="64">
        <v>1.01</v>
      </c>
      <c r="C56" s="64">
        <v>39.770000000000003</v>
      </c>
      <c r="D56" s="64">
        <v>23.4</v>
      </c>
      <c r="E56" s="64">
        <v>1.9</v>
      </c>
      <c r="F56" s="64">
        <v>16.559999999999999</v>
      </c>
      <c r="G56" s="64">
        <v>28.3</v>
      </c>
      <c r="H56" s="64">
        <v>14.06</v>
      </c>
      <c r="I56" s="64">
        <v>0.57999999999999996</v>
      </c>
      <c r="J56" s="64">
        <v>0.95</v>
      </c>
      <c r="K56" s="64">
        <v>259.10000000000002</v>
      </c>
      <c r="L56" s="64">
        <v>40.1</v>
      </c>
      <c r="M56" s="64">
        <v>23.84</v>
      </c>
      <c r="N56" s="64">
        <v>862.1</v>
      </c>
      <c r="O56" s="64">
        <v>0</v>
      </c>
      <c r="P56" s="64">
        <v>0.7</v>
      </c>
      <c r="Q56" s="64">
        <v>29.64</v>
      </c>
      <c r="R56" s="198"/>
      <c r="S56" s="198"/>
      <c r="T56" s="198"/>
      <c r="U56" s="198"/>
    </row>
    <row r="57" spans="1:21" s="12" customFormat="1" x14ac:dyDescent="0.25">
      <c r="A57" s="211" t="s">
        <v>2025</v>
      </c>
      <c r="B57" s="64">
        <v>1.1100000000000001</v>
      </c>
      <c r="C57" s="64">
        <v>39.99</v>
      </c>
      <c r="D57" s="64">
        <v>23.6</v>
      </c>
      <c r="E57" s="64">
        <v>2.86</v>
      </c>
      <c r="F57" s="64">
        <v>15.31</v>
      </c>
      <c r="G57" s="64">
        <v>28.3</v>
      </c>
      <c r="H57" s="64">
        <v>14.06</v>
      </c>
      <c r="I57" s="64">
        <v>0.56999999999999995</v>
      </c>
      <c r="J57" s="64">
        <v>0.43</v>
      </c>
      <c r="K57" s="64">
        <v>259.27999999999997</v>
      </c>
      <c r="L57" s="64">
        <v>40.42</v>
      </c>
      <c r="M57" s="64">
        <v>22.38</v>
      </c>
      <c r="N57" s="64">
        <v>810.1</v>
      </c>
      <c r="O57" s="64">
        <v>0</v>
      </c>
      <c r="P57" s="64">
        <v>0.65</v>
      </c>
      <c r="Q57" s="64">
        <v>30</v>
      </c>
      <c r="R57" s="198"/>
      <c r="S57" s="198"/>
      <c r="T57" s="198"/>
      <c r="U57" s="198"/>
    </row>
    <row r="58" spans="1:21" s="12" customFormat="1" x14ac:dyDescent="0.25">
      <c r="A58" s="211" t="s">
        <v>2026</v>
      </c>
      <c r="B58" s="64">
        <v>1.57</v>
      </c>
      <c r="C58" s="64">
        <v>36.61</v>
      </c>
      <c r="D58" s="64">
        <v>22.1</v>
      </c>
      <c r="E58" s="64">
        <v>3.2</v>
      </c>
      <c r="F58" s="64">
        <v>13.79</v>
      </c>
      <c r="G58" s="64">
        <v>28.3</v>
      </c>
      <c r="H58" s="64">
        <v>14.06</v>
      </c>
      <c r="I58" s="64">
        <v>0.56999999999999995</v>
      </c>
      <c r="J58" s="64">
        <v>0.71</v>
      </c>
      <c r="K58" s="64">
        <v>266.68</v>
      </c>
      <c r="L58" s="64">
        <v>40.33</v>
      </c>
      <c r="M58" s="64">
        <v>22.56</v>
      </c>
      <c r="N58" s="64">
        <v>838.6</v>
      </c>
      <c r="O58" s="64">
        <v>0</v>
      </c>
      <c r="P58" s="64">
        <v>0.62</v>
      </c>
      <c r="Q58" s="64">
        <v>30.34</v>
      </c>
      <c r="R58" s="198"/>
      <c r="S58" s="198"/>
      <c r="T58" s="198"/>
      <c r="U58" s="198"/>
    </row>
    <row r="59" spans="1:21" s="12" customFormat="1" x14ac:dyDescent="0.25">
      <c r="A59" s="211" t="s">
        <v>2027</v>
      </c>
      <c r="B59" s="64">
        <v>1</v>
      </c>
      <c r="C59" s="64">
        <v>38.020000000000003</v>
      </c>
      <c r="D59" s="64">
        <v>22.44</v>
      </c>
      <c r="E59" s="64">
        <v>2.87</v>
      </c>
      <c r="F59" s="64">
        <v>11.37</v>
      </c>
      <c r="G59" s="64">
        <v>28.77</v>
      </c>
      <c r="H59" s="64">
        <v>14.28</v>
      </c>
      <c r="I59" s="64">
        <v>0.53</v>
      </c>
      <c r="J59" s="64">
        <v>0.32</v>
      </c>
      <c r="K59" s="64">
        <v>216.78</v>
      </c>
      <c r="L59" s="64">
        <v>39.200000000000003</v>
      </c>
      <c r="M59" s="64">
        <v>22.92</v>
      </c>
      <c r="N59" s="64">
        <v>827.9</v>
      </c>
      <c r="O59" s="64">
        <v>0</v>
      </c>
      <c r="P59" s="64">
        <v>0.59</v>
      </c>
      <c r="Q59" s="64">
        <v>30.64</v>
      </c>
      <c r="R59" s="198"/>
      <c r="S59" s="198"/>
      <c r="T59" s="198"/>
      <c r="U59" s="198"/>
    </row>
    <row r="60" spans="1:21" s="12" customFormat="1" x14ac:dyDescent="0.25">
      <c r="A60" s="211" t="s">
        <v>2028</v>
      </c>
      <c r="B60" s="64">
        <v>1.1100000000000001</v>
      </c>
      <c r="C60" s="64">
        <v>32.08</v>
      </c>
      <c r="D60" s="64">
        <v>19.239999999999998</v>
      </c>
      <c r="E60" s="64">
        <v>3.15</v>
      </c>
      <c r="F60" s="64">
        <v>33.409999999999997</v>
      </c>
      <c r="G60" s="64">
        <v>33.01</v>
      </c>
      <c r="H60" s="64">
        <v>15.68</v>
      </c>
      <c r="I60" s="64">
        <v>0.53</v>
      </c>
      <c r="J60" s="64">
        <v>0.51</v>
      </c>
      <c r="K60" s="64">
        <v>253.13</v>
      </c>
      <c r="L60" s="64">
        <v>40.1</v>
      </c>
      <c r="M60" s="64">
        <v>22.02</v>
      </c>
      <c r="N60" s="64">
        <v>650.79999999999995</v>
      </c>
      <c r="O60" s="64">
        <v>0</v>
      </c>
      <c r="P60" s="64">
        <v>0.53</v>
      </c>
      <c r="Q60" s="64">
        <v>31.89</v>
      </c>
      <c r="R60" s="198"/>
      <c r="S60" s="198"/>
      <c r="T60" s="198"/>
      <c r="U60" s="198"/>
    </row>
    <row r="61" spans="1:21" s="12" customFormat="1" x14ac:dyDescent="0.25">
      <c r="A61" s="211" t="s">
        <v>2029</v>
      </c>
      <c r="B61" s="64">
        <v>3.76</v>
      </c>
      <c r="C61" s="64">
        <v>25.61</v>
      </c>
      <c r="D61" s="64">
        <v>17.8</v>
      </c>
      <c r="E61" s="64">
        <v>5.16</v>
      </c>
      <c r="F61" s="64">
        <v>49.61</v>
      </c>
      <c r="G61" s="64">
        <v>33.01</v>
      </c>
      <c r="H61" s="64">
        <v>15.68</v>
      </c>
      <c r="I61" s="64">
        <v>0.54</v>
      </c>
      <c r="J61" s="64">
        <v>0.39</v>
      </c>
      <c r="K61" s="64">
        <v>271.82</v>
      </c>
      <c r="L61" s="64">
        <v>38.97</v>
      </c>
      <c r="M61" s="64">
        <v>22.75</v>
      </c>
      <c r="N61" s="64">
        <v>671</v>
      </c>
      <c r="O61" s="64">
        <v>0</v>
      </c>
      <c r="P61" s="64">
        <v>0.41</v>
      </c>
      <c r="Q61" s="64">
        <v>32.32</v>
      </c>
      <c r="R61" s="198"/>
      <c r="S61" s="198"/>
      <c r="T61" s="198"/>
      <c r="U61" s="198"/>
    </row>
    <row r="62" spans="1:21" s="12" customFormat="1" x14ac:dyDescent="0.25">
      <c r="A62" s="211" t="s">
        <v>2030</v>
      </c>
      <c r="B62" s="64">
        <v>4.8899999999999997</v>
      </c>
      <c r="C62" s="64">
        <v>31.84</v>
      </c>
      <c r="D62" s="64">
        <v>22.14</v>
      </c>
      <c r="E62" s="64">
        <v>5.08</v>
      </c>
      <c r="F62" s="64">
        <v>33.159999999999997</v>
      </c>
      <c r="G62" s="64">
        <v>33.01</v>
      </c>
      <c r="H62" s="64">
        <v>15.68</v>
      </c>
      <c r="I62" s="64">
        <v>0.56000000000000005</v>
      </c>
      <c r="J62" s="64">
        <v>0.6</v>
      </c>
      <c r="K62" s="64">
        <v>261.04000000000002</v>
      </c>
      <c r="L62" s="64">
        <v>40.549999999999997</v>
      </c>
      <c r="M62" s="64">
        <v>20.61</v>
      </c>
      <c r="N62" s="64">
        <v>776.4</v>
      </c>
      <c r="O62" s="64">
        <v>0</v>
      </c>
      <c r="P62" s="64">
        <v>0.48</v>
      </c>
      <c r="Q62" s="64">
        <v>30.73</v>
      </c>
      <c r="R62" s="198"/>
      <c r="S62" s="198"/>
      <c r="T62" s="198"/>
      <c r="U62" s="198"/>
    </row>
    <row r="63" spans="1:21" s="12" customFormat="1" x14ac:dyDescent="0.25">
      <c r="A63" s="211" t="s">
        <v>2031</v>
      </c>
      <c r="B63" s="64">
        <v>4.05</v>
      </c>
      <c r="C63" s="64">
        <v>30.21</v>
      </c>
      <c r="D63" s="64">
        <v>20.57</v>
      </c>
      <c r="E63" s="64">
        <v>2.9</v>
      </c>
      <c r="F63" s="64">
        <v>26.86</v>
      </c>
      <c r="G63" s="64">
        <v>33.06</v>
      </c>
      <c r="H63" s="64">
        <v>16.059999999999999</v>
      </c>
      <c r="I63" s="64">
        <v>0.57999999999999996</v>
      </c>
      <c r="J63" s="64">
        <v>0.41</v>
      </c>
      <c r="K63" s="64">
        <v>269.67</v>
      </c>
      <c r="L63" s="64">
        <v>40.85</v>
      </c>
      <c r="M63" s="64">
        <v>19.32</v>
      </c>
      <c r="N63" s="64">
        <v>614</v>
      </c>
      <c r="O63" s="64">
        <v>0</v>
      </c>
      <c r="P63" s="64">
        <v>0.49</v>
      </c>
      <c r="Q63" s="64">
        <v>30.49</v>
      </c>
      <c r="R63" s="198"/>
      <c r="S63" s="198"/>
      <c r="T63" s="198"/>
      <c r="U63" s="198"/>
    </row>
    <row r="64" spans="1:21" s="12" customFormat="1" x14ac:dyDescent="0.25">
      <c r="A64" s="211" t="s">
        <v>2032</v>
      </c>
      <c r="B64" s="64">
        <v>2.36</v>
      </c>
      <c r="C64" s="64">
        <v>32.520000000000003</v>
      </c>
      <c r="D64" s="64">
        <v>20.49</v>
      </c>
      <c r="E64" s="64">
        <v>3.12</v>
      </c>
      <c r="F64" s="64">
        <v>17.32</v>
      </c>
      <c r="G64" s="64">
        <v>33.43</v>
      </c>
      <c r="H64" s="64">
        <v>18.46</v>
      </c>
      <c r="I64" s="64">
        <v>0.63</v>
      </c>
      <c r="J64" s="64">
        <v>0.18</v>
      </c>
      <c r="K64" s="64">
        <v>262.2</v>
      </c>
      <c r="L64" s="64">
        <v>39.29</v>
      </c>
      <c r="M64" s="64">
        <v>21.07</v>
      </c>
      <c r="N64" s="64">
        <v>640.20000000000005</v>
      </c>
      <c r="O64" s="64">
        <v>0</v>
      </c>
      <c r="P64" s="64">
        <v>0.48</v>
      </c>
      <c r="Q64" s="64">
        <v>30.62</v>
      </c>
      <c r="R64" s="198"/>
      <c r="S64" s="198"/>
      <c r="T64" s="198"/>
      <c r="U64" s="198"/>
    </row>
    <row r="65" spans="1:21" s="12" customFormat="1" x14ac:dyDescent="0.25">
      <c r="A65" s="211" t="s">
        <v>2033</v>
      </c>
      <c r="B65" s="64">
        <v>1.9</v>
      </c>
      <c r="C65" s="64">
        <v>35.25</v>
      </c>
      <c r="D65" s="64">
        <v>21.62</v>
      </c>
      <c r="E65" s="64">
        <v>2.44</v>
      </c>
      <c r="F65" s="64">
        <v>9.24</v>
      </c>
      <c r="G65" s="64">
        <v>33.43</v>
      </c>
      <c r="H65" s="64">
        <v>18.46</v>
      </c>
      <c r="I65" s="64">
        <v>0.73</v>
      </c>
      <c r="J65" s="64">
        <v>0.03</v>
      </c>
      <c r="K65" s="64">
        <v>186.1</v>
      </c>
      <c r="L65" s="64">
        <v>38.22</v>
      </c>
      <c r="M65" s="64">
        <v>21.27</v>
      </c>
      <c r="N65" s="64">
        <v>487.5</v>
      </c>
      <c r="O65" s="64">
        <v>0</v>
      </c>
      <c r="P65" s="64">
        <v>0.48</v>
      </c>
      <c r="Q65" s="64">
        <v>30.68</v>
      </c>
      <c r="R65" s="198"/>
      <c r="S65" s="198"/>
      <c r="T65" s="198"/>
      <c r="U65" s="198"/>
    </row>
    <row r="66" spans="1:21" s="12" customFormat="1" x14ac:dyDescent="0.25">
      <c r="A66" s="211" t="s">
        <v>2034</v>
      </c>
      <c r="B66" s="64">
        <v>1.29</v>
      </c>
      <c r="C66" s="64">
        <v>37.14</v>
      </c>
      <c r="D66" s="64">
        <v>22.18</v>
      </c>
      <c r="E66" s="64">
        <v>2.58</v>
      </c>
      <c r="F66" s="64">
        <v>9.2100000000000009</v>
      </c>
      <c r="G66" s="64">
        <v>33.43</v>
      </c>
      <c r="H66" s="64">
        <v>18.46</v>
      </c>
      <c r="I66" s="64">
        <v>0.62</v>
      </c>
      <c r="J66" s="64">
        <v>0.17</v>
      </c>
      <c r="K66" s="64">
        <v>261.08999999999997</v>
      </c>
      <c r="L66" s="64">
        <v>37.39</v>
      </c>
      <c r="M66" s="64">
        <v>22.75</v>
      </c>
      <c r="N66" s="64">
        <v>137.69999999999999</v>
      </c>
      <c r="O66" s="64">
        <v>0</v>
      </c>
      <c r="P66" s="64">
        <v>0.47</v>
      </c>
      <c r="Q66" s="64">
        <v>30.73</v>
      </c>
      <c r="R66" s="198"/>
      <c r="S66" s="198"/>
      <c r="T66" s="198"/>
      <c r="U66" s="198"/>
    </row>
    <row r="67" spans="1:21" s="12" customFormat="1" x14ac:dyDescent="0.25">
      <c r="A67" s="211" t="s">
        <v>2035</v>
      </c>
      <c r="B67" s="64">
        <v>2.2000000000000002</v>
      </c>
      <c r="C67" s="64">
        <v>38.29</v>
      </c>
      <c r="D67" s="64">
        <v>23.54</v>
      </c>
      <c r="E67" s="64">
        <v>2.68</v>
      </c>
      <c r="F67" s="64">
        <v>15.62</v>
      </c>
      <c r="G67" s="64">
        <v>33.31</v>
      </c>
      <c r="H67" s="64">
        <v>18.260000000000002</v>
      </c>
      <c r="I67" s="64">
        <v>0.78</v>
      </c>
      <c r="J67" s="64">
        <v>0.77</v>
      </c>
      <c r="K67" s="64">
        <v>258.56</v>
      </c>
      <c r="L67" s="64">
        <v>37.229999999999997</v>
      </c>
      <c r="M67" s="64">
        <v>26.19</v>
      </c>
      <c r="N67" s="64">
        <v>267.39999999999998</v>
      </c>
      <c r="O67" s="64">
        <v>0</v>
      </c>
      <c r="P67" s="64">
        <v>0.48</v>
      </c>
      <c r="Q67" s="64">
        <v>30.92</v>
      </c>
      <c r="R67" s="198"/>
      <c r="S67" s="198"/>
      <c r="T67" s="198"/>
      <c r="U67" s="198"/>
    </row>
    <row r="68" spans="1:21" s="12" customFormat="1" x14ac:dyDescent="0.25">
      <c r="A68" s="211" t="s">
        <v>2036</v>
      </c>
      <c r="B68" s="64">
        <v>3.27</v>
      </c>
      <c r="C68" s="64">
        <v>44.22</v>
      </c>
      <c r="D68" s="64">
        <v>27.67</v>
      </c>
      <c r="E68" s="64">
        <v>2.54</v>
      </c>
      <c r="F68" s="64">
        <v>14.41</v>
      </c>
      <c r="G68" s="64">
        <v>32.39</v>
      </c>
      <c r="H68" s="64">
        <v>16.989999999999998</v>
      </c>
      <c r="I68" s="64">
        <v>0.77</v>
      </c>
      <c r="J68" s="64">
        <v>0.53</v>
      </c>
      <c r="K68" s="64">
        <v>259.85000000000002</v>
      </c>
      <c r="L68" s="64">
        <v>36.1</v>
      </c>
      <c r="M68" s="64">
        <v>27.04</v>
      </c>
      <c r="N68" s="64">
        <v>133.6</v>
      </c>
      <c r="O68" s="64">
        <v>0</v>
      </c>
      <c r="P68" s="64">
        <v>0.48</v>
      </c>
      <c r="Q68" s="64">
        <v>31.07</v>
      </c>
      <c r="R68" s="198"/>
      <c r="S68" s="198"/>
      <c r="T68" s="198"/>
      <c r="U68" s="198"/>
    </row>
    <row r="69" spans="1:21" s="12" customFormat="1" x14ac:dyDescent="0.25">
      <c r="A69" s="211" t="s">
        <v>2037</v>
      </c>
      <c r="B69" s="64">
        <v>3.02</v>
      </c>
      <c r="C69" s="64">
        <v>44.2</v>
      </c>
      <c r="D69" s="64">
        <v>27.47</v>
      </c>
      <c r="E69" s="64">
        <v>2.31</v>
      </c>
      <c r="F69" s="64">
        <v>16.63</v>
      </c>
      <c r="G69" s="64">
        <v>32.39</v>
      </c>
      <c r="H69" s="64">
        <v>16.989999999999998</v>
      </c>
      <c r="I69" s="64">
        <v>0.69</v>
      </c>
      <c r="J69" s="64">
        <v>0.69</v>
      </c>
      <c r="K69" s="64">
        <v>261.81</v>
      </c>
      <c r="L69" s="64">
        <v>36.549999999999997</v>
      </c>
      <c r="M69" s="64">
        <v>24.44</v>
      </c>
      <c r="N69" s="64">
        <v>114</v>
      </c>
      <c r="O69" s="64">
        <v>0</v>
      </c>
      <c r="P69" s="64">
        <v>0.48</v>
      </c>
      <c r="Q69" s="64">
        <v>31.58</v>
      </c>
      <c r="R69" s="198"/>
      <c r="S69" s="198"/>
      <c r="T69" s="198"/>
      <c r="U69" s="198"/>
    </row>
    <row r="70" spans="1:21" s="12" customFormat="1" x14ac:dyDescent="0.25">
      <c r="A70" s="211" t="s">
        <v>2038</v>
      </c>
      <c r="B70" s="64">
        <v>4.71</v>
      </c>
      <c r="C70" s="64">
        <v>41.74</v>
      </c>
      <c r="D70" s="64">
        <v>27.46</v>
      </c>
      <c r="E70" s="64">
        <v>2.86</v>
      </c>
      <c r="F70" s="64">
        <v>30.52</v>
      </c>
      <c r="G70" s="64">
        <v>32.39</v>
      </c>
      <c r="H70" s="64">
        <v>16.989999999999998</v>
      </c>
      <c r="I70" s="64">
        <v>0.63</v>
      </c>
      <c r="J70" s="64">
        <v>0.03</v>
      </c>
      <c r="K70" s="64">
        <v>267.33</v>
      </c>
      <c r="L70" s="64">
        <v>36.770000000000003</v>
      </c>
      <c r="M70" s="64">
        <v>21.81</v>
      </c>
      <c r="N70" s="64">
        <v>78.8</v>
      </c>
      <c r="O70" s="64">
        <v>0</v>
      </c>
      <c r="P70" s="64">
        <v>0.47</v>
      </c>
      <c r="Q70" s="64">
        <v>31.85</v>
      </c>
      <c r="R70" s="198"/>
      <c r="S70" s="198"/>
      <c r="T70" s="198"/>
      <c r="U70" s="198"/>
    </row>
    <row r="71" spans="1:21" s="12" customFormat="1" x14ac:dyDescent="0.25">
      <c r="A71" s="211" t="s">
        <v>2039</v>
      </c>
      <c r="B71" s="64">
        <v>4.8099999999999996</v>
      </c>
      <c r="C71" s="64">
        <v>42.39</v>
      </c>
      <c r="D71" s="64">
        <v>27.89</v>
      </c>
      <c r="E71" s="64">
        <v>3</v>
      </c>
      <c r="F71" s="64">
        <v>12.73</v>
      </c>
      <c r="G71" s="64">
        <v>32.49</v>
      </c>
      <c r="H71" s="64">
        <v>16.8</v>
      </c>
      <c r="I71" s="64">
        <v>0.66</v>
      </c>
      <c r="J71" s="64">
        <v>1.26</v>
      </c>
      <c r="K71" s="64">
        <v>265.14999999999998</v>
      </c>
      <c r="L71" s="64">
        <v>36.26</v>
      </c>
      <c r="M71" s="64">
        <v>24.96</v>
      </c>
      <c r="N71" s="64">
        <v>167.2</v>
      </c>
      <c r="O71" s="64">
        <v>0</v>
      </c>
      <c r="P71" s="64">
        <v>0.57999999999999996</v>
      </c>
      <c r="Q71" s="64">
        <v>31.56</v>
      </c>
      <c r="R71" s="198"/>
      <c r="S71" s="198"/>
      <c r="T71" s="198"/>
      <c r="U71" s="198"/>
    </row>
    <row r="72" spans="1:21" s="12" customFormat="1" x14ac:dyDescent="0.25">
      <c r="A72" s="211" t="s">
        <v>2040</v>
      </c>
      <c r="B72" s="64">
        <v>9.0500000000000007</v>
      </c>
      <c r="C72" s="64">
        <v>38.33</v>
      </c>
      <c r="D72" s="64">
        <v>29.06</v>
      </c>
      <c r="E72" s="64">
        <v>1.95</v>
      </c>
      <c r="F72" s="64">
        <v>44.49</v>
      </c>
      <c r="G72" s="64">
        <v>33.299999999999997</v>
      </c>
      <c r="H72" s="64">
        <v>15.6</v>
      </c>
      <c r="I72" s="64">
        <v>0.53</v>
      </c>
      <c r="J72" s="64">
        <v>0.69</v>
      </c>
      <c r="K72" s="64">
        <v>264.25</v>
      </c>
      <c r="L72" s="64">
        <v>36.25</v>
      </c>
      <c r="M72" s="64">
        <v>21.35</v>
      </c>
      <c r="N72" s="64">
        <v>226</v>
      </c>
      <c r="O72" s="64">
        <v>0</v>
      </c>
      <c r="P72" s="64">
        <v>0.51</v>
      </c>
      <c r="Q72" s="64">
        <v>34.1</v>
      </c>
      <c r="R72" s="198"/>
      <c r="S72" s="198"/>
      <c r="T72" s="198"/>
      <c r="U72" s="198"/>
    </row>
    <row r="73" spans="1:21" s="12" customFormat="1" x14ac:dyDescent="0.25">
      <c r="A73" s="211" t="s">
        <v>2041</v>
      </c>
      <c r="B73" s="64">
        <v>3.18</v>
      </c>
      <c r="C73" s="64">
        <v>31.91</v>
      </c>
      <c r="D73" s="64">
        <v>20.81</v>
      </c>
      <c r="E73" s="64">
        <v>5.0599999999999996</v>
      </c>
      <c r="F73" s="64">
        <v>45.65</v>
      </c>
      <c r="G73" s="64">
        <v>33.299999999999997</v>
      </c>
      <c r="H73" s="64">
        <v>15.6</v>
      </c>
      <c r="I73" s="64">
        <v>0.62</v>
      </c>
      <c r="J73" s="64">
        <v>0.55000000000000004</v>
      </c>
      <c r="K73" s="64">
        <v>219.21</v>
      </c>
      <c r="L73" s="64">
        <v>36.700000000000003</v>
      </c>
      <c r="M73" s="64">
        <v>22</v>
      </c>
      <c r="N73" s="64">
        <v>171.8</v>
      </c>
      <c r="O73" s="64">
        <v>0</v>
      </c>
      <c r="P73" s="64">
        <v>0.46</v>
      </c>
      <c r="Q73" s="64">
        <v>31.38</v>
      </c>
      <c r="R73" s="198"/>
      <c r="S73" s="198"/>
      <c r="T73" s="198"/>
      <c r="U73" s="198"/>
    </row>
    <row r="74" spans="1:21" s="12" customFormat="1" x14ac:dyDescent="0.25">
      <c r="A74" s="211" t="s">
        <v>2042</v>
      </c>
      <c r="B74" s="64">
        <v>3.46</v>
      </c>
      <c r="C74" s="64">
        <v>39.89</v>
      </c>
      <c r="D74" s="64">
        <v>25.44</v>
      </c>
      <c r="E74" s="64">
        <v>3.81</v>
      </c>
      <c r="F74" s="64">
        <v>20.309999999999999</v>
      </c>
      <c r="G74" s="64">
        <v>33.299999999999997</v>
      </c>
      <c r="H74" s="64">
        <v>15.6</v>
      </c>
      <c r="I74" s="64">
        <v>0.55000000000000004</v>
      </c>
      <c r="J74" s="64">
        <v>1.64</v>
      </c>
      <c r="K74" s="64">
        <v>127.02</v>
      </c>
      <c r="L74" s="64">
        <v>34.479999999999997</v>
      </c>
      <c r="M74" s="64">
        <v>28.29</v>
      </c>
      <c r="N74" s="64">
        <v>129.4</v>
      </c>
      <c r="O74" s="64">
        <v>0</v>
      </c>
      <c r="P74" s="64">
        <v>0.54</v>
      </c>
      <c r="Q74" s="64">
        <v>31.52</v>
      </c>
      <c r="R74" s="198"/>
      <c r="S74" s="198"/>
      <c r="T74" s="198"/>
      <c r="U74" s="198"/>
    </row>
    <row r="75" spans="1:21" s="12" customFormat="1" x14ac:dyDescent="0.25">
      <c r="A75" s="211" t="s">
        <v>2043</v>
      </c>
      <c r="B75" s="64">
        <v>2.35</v>
      </c>
      <c r="C75" s="64">
        <v>32.97</v>
      </c>
      <c r="D75" s="64">
        <v>20.72</v>
      </c>
      <c r="E75" s="64">
        <v>3.69</v>
      </c>
      <c r="F75" s="64">
        <v>35.92</v>
      </c>
      <c r="G75" s="64">
        <v>33.58</v>
      </c>
      <c r="H75" s="64">
        <v>16.489999999999998</v>
      </c>
      <c r="I75" s="64">
        <v>0.51</v>
      </c>
      <c r="J75" s="64">
        <v>1.41</v>
      </c>
      <c r="K75" s="64">
        <v>121.61</v>
      </c>
      <c r="L75" s="64">
        <v>33.33</v>
      </c>
      <c r="M75" s="64">
        <v>28.92</v>
      </c>
      <c r="N75" s="64">
        <v>118.7</v>
      </c>
      <c r="O75" s="64">
        <v>0</v>
      </c>
      <c r="P75" s="64">
        <v>0.46</v>
      </c>
      <c r="Q75" s="64">
        <v>32.729999999999997</v>
      </c>
      <c r="R75" s="198"/>
      <c r="S75" s="198"/>
      <c r="T75" s="198"/>
      <c r="U75" s="198"/>
    </row>
    <row r="76" spans="1:21" s="12" customFormat="1" x14ac:dyDescent="0.25">
      <c r="A76" s="211" t="s">
        <v>2044</v>
      </c>
      <c r="B76" s="64">
        <v>2.0499999999999998</v>
      </c>
      <c r="C76" s="64">
        <v>33.450000000000003</v>
      </c>
      <c r="D76" s="64">
        <v>20.75</v>
      </c>
      <c r="E76" s="64">
        <v>3.25</v>
      </c>
      <c r="F76" s="64">
        <v>12.3</v>
      </c>
      <c r="G76" s="64">
        <v>36.07</v>
      </c>
      <c r="H76" s="64">
        <v>22.2</v>
      </c>
      <c r="I76" s="64">
        <v>0.59</v>
      </c>
      <c r="J76" s="64">
        <v>1.79</v>
      </c>
      <c r="K76" s="64">
        <v>120.74</v>
      </c>
      <c r="L76" s="64">
        <v>33.840000000000003</v>
      </c>
      <c r="M76" s="64">
        <v>26.7</v>
      </c>
      <c r="N76" s="64">
        <v>93.3</v>
      </c>
      <c r="O76" s="64">
        <v>0</v>
      </c>
      <c r="P76" s="64">
        <v>0.5</v>
      </c>
      <c r="Q76" s="64">
        <v>33.119999999999997</v>
      </c>
      <c r="R76" s="198"/>
      <c r="S76" s="198"/>
      <c r="T76" s="198"/>
      <c r="U76" s="198"/>
    </row>
    <row r="77" spans="1:21" s="12" customFormat="1" x14ac:dyDescent="0.25">
      <c r="A77" s="211" t="s">
        <v>2045</v>
      </c>
      <c r="B77" s="64">
        <v>1.96</v>
      </c>
      <c r="C77" s="64">
        <v>36.93</v>
      </c>
      <c r="D77" s="64">
        <v>22.6</v>
      </c>
      <c r="E77" s="64">
        <v>2.84</v>
      </c>
      <c r="F77" s="64">
        <v>7.03</v>
      </c>
      <c r="G77" s="64">
        <v>36.07</v>
      </c>
      <c r="H77" s="64">
        <v>22.2</v>
      </c>
      <c r="I77" s="64">
        <v>0.67</v>
      </c>
      <c r="J77" s="64">
        <v>1.4</v>
      </c>
      <c r="K77" s="64">
        <v>113.41</v>
      </c>
      <c r="L77" s="64">
        <v>33.619999999999997</v>
      </c>
      <c r="M77" s="64">
        <v>26.4</v>
      </c>
      <c r="N77" s="64">
        <v>67</v>
      </c>
      <c r="O77" s="64">
        <v>0</v>
      </c>
      <c r="P77" s="64">
        <v>0.5</v>
      </c>
      <c r="Q77" s="64">
        <v>33.04</v>
      </c>
      <c r="R77" s="198"/>
      <c r="S77" s="198"/>
      <c r="T77" s="198"/>
      <c r="U77" s="198"/>
    </row>
    <row r="78" spans="1:21" s="12" customFormat="1" x14ac:dyDescent="0.25">
      <c r="A78" s="211" t="s">
        <v>2046</v>
      </c>
      <c r="B78" s="64">
        <v>1.52</v>
      </c>
      <c r="C78" s="64">
        <v>38.9</v>
      </c>
      <c r="D78" s="64">
        <v>23.33</v>
      </c>
      <c r="E78" s="64">
        <v>2.62</v>
      </c>
      <c r="F78" s="64">
        <v>9.1</v>
      </c>
      <c r="G78" s="64">
        <v>36.07</v>
      </c>
      <c r="H78" s="64">
        <v>22.2</v>
      </c>
      <c r="I78" s="64">
        <v>0.7</v>
      </c>
      <c r="J78" s="64">
        <v>0.84</v>
      </c>
      <c r="K78" s="64">
        <v>124.66</v>
      </c>
      <c r="L78" s="64">
        <v>33.18</v>
      </c>
      <c r="M78" s="64">
        <v>29.11</v>
      </c>
      <c r="N78" s="64">
        <v>56.9</v>
      </c>
      <c r="O78" s="64">
        <v>0</v>
      </c>
      <c r="P78" s="64">
        <v>0.49</v>
      </c>
      <c r="Q78" s="64">
        <v>32.840000000000003</v>
      </c>
      <c r="R78" s="198"/>
      <c r="S78" s="198"/>
      <c r="T78" s="198"/>
      <c r="U78" s="198"/>
    </row>
    <row r="79" spans="1:21" s="12" customFormat="1" x14ac:dyDescent="0.25">
      <c r="A79" s="211" t="s">
        <v>2047</v>
      </c>
      <c r="B79" s="64">
        <v>3.58</v>
      </c>
      <c r="C79" s="64">
        <v>43.86</v>
      </c>
      <c r="D79" s="64">
        <v>27.72</v>
      </c>
      <c r="E79" s="64">
        <v>3.02</v>
      </c>
      <c r="F79" s="64">
        <v>15.77</v>
      </c>
      <c r="G79" s="64">
        <v>36.049999999999997</v>
      </c>
      <c r="H79" s="64">
        <v>21.83</v>
      </c>
      <c r="I79" s="64">
        <v>0.7</v>
      </c>
      <c r="J79" s="64">
        <v>0.18</v>
      </c>
      <c r="K79" s="64">
        <v>194.08</v>
      </c>
      <c r="L79" s="64">
        <v>33</v>
      </c>
      <c r="M79" s="64">
        <v>30.17</v>
      </c>
      <c r="N79" s="64">
        <v>41.7</v>
      </c>
      <c r="O79" s="64">
        <v>0</v>
      </c>
      <c r="P79" s="64">
        <v>0.52</v>
      </c>
      <c r="Q79" s="64">
        <v>32.340000000000003</v>
      </c>
      <c r="R79" s="198"/>
      <c r="S79" s="198"/>
      <c r="T79" s="198"/>
      <c r="U79" s="198"/>
    </row>
    <row r="80" spans="1:21" s="12" customFormat="1" x14ac:dyDescent="0.25">
      <c r="A80" s="211" t="s">
        <v>2048</v>
      </c>
      <c r="B80" s="64">
        <v>1.83</v>
      </c>
      <c r="C80" s="64">
        <v>46.66</v>
      </c>
      <c r="D80" s="64">
        <v>27.87</v>
      </c>
      <c r="E80" s="64">
        <v>2.97</v>
      </c>
      <c r="F80" s="64">
        <v>12.18</v>
      </c>
      <c r="G80" s="64">
        <v>35.869999999999997</v>
      </c>
      <c r="H80" s="64">
        <v>19.43</v>
      </c>
      <c r="I80" s="64">
        <v>0.73</v>
      </c>
      <c r="J80" s="64">
        <v>0.2</v>
      </c>
      <c r="K80" s="64">
        <v>185.43</v>
      </c>
      <c r="L80" s="64">
        <v>32.81</v>
      </c>
      <c r="M80" s="64">
        <v>30.93</v>
      </c>
      <c r="N80" s="64">
        <v>31.5</v>
      </c>
      <c r="O80" s="64">
        <v>0</v>
      </c>
      <c r="P80" s="64">
        <v>0.51</v>
      </c>
      <c r="Q80" s="64">
        <v>32.6</v>
      </c>
      <c r="R80" s="198"/>
      <c r="S80" s="198"/>
      <c r="T80" s="198"/>
      <c r="U80" s="198"/>
    </row>
    <row r="81" spans="1:26" s="12" customFormat="1" x14ac:dyDescent="0.25">
      <c r="A81" s="211" t="s">
        <v>2049</v>
      </c>
      <c r="B81" s="64">
        <v>1.83</v>
      </c>
      <c r="C81" s="64">
        <v>49.07</v>
      </c>
      <c r="D81" s="64">
        <v>29.19</v>
      </c>
      <c r="E81" s="64">
        <v>2.75</v>
      </c>
      <c r="F81" s="64">
        <v>10.44</v>
      </c>
      <c r="G81" s="64">
        <v>35.869999999999997</v>
      </c>
      <c r="H81" s="64">
        <v>19.43</v>
      </c>
      <c r="I81" s="64">
        <v>0.62</v>
      </c>
      <c r="J81" s="64">
        <v>0.33</v>
      </c>
      <c r="K81" s="64">
        <v>193.18</v>
      </c>
      <c r="L81" s="64">
        <v>32.72</v>
      </c>
      <c r="M81" s="64">
        <v>30.72</v>
      </c>
      <c r="N81" s="64">
        <v>18.7</v>
      </c>
      <c r="O81" s="64">
        <v>0</v>
      </c>
      <c r="P81" s="64">
        <v>0.52</v>
      </c>
      <c r="Q81" s="64">
        <v>32.369999999999997</v>
      </c>
      <c r="R81" s="198"/>
      <c r="S81" s="198"/>
      <c r="T81" s="198"/>
      <c r="U81" s="198"/>
    </row>
    <row r="82" spans="1:26" s="12" customFormat="1" x14ac:dyDescent="0.25">
      <c r="A82" s="211" t="s">
        <v>2050</v>
      </c>
      <c r="B82" s="64">
        <v>4.3899999999999997</v>
      </c>
      <c r="C82" s="64">
        <v>55.61</v>
      </c>
      <c r="D82" s="64">
        <v>34.85</v>
      </c>
      <c r="E82" s="64">
        <v>2.71</v>
      </c>
      <c r="F82" s="64">
        <v>8.26</v>
      </c>
      <c r="G82" s="64">
        <v>35.869999999999997</v>
      </c>
      <c r="H82" s="64">
        <v>19.43</v>
      </c>
      <c r="I82" s="64">
        <v>0.6</v>
      </c>
      <c r="J82" s="64">
        <v>0.39</v>
      </c>
      <c r="K82" s="64">
        <v>186</v>
      </c>
      <c r="L82" s="64">
        <v>32.4</v>
      </c>
      <c r="M82" s="64">
        <v>32.08</v>
      </c>
      <c r="N82" s="64">
        <v>9.3000000000000007</v>
      </c>
      <c r="O82" s="64">
        <v>0</v>
      </c>
      <c r="P82" s="64">
        <v>0.56000000000000005</v>
      </c>
      <c r="Q82" s="64">
        <v>31.89</v>
      </c>
      <c r="R82" s="198"/>
      <c r="S82" s="198"/>
      <c r="T82" s="198"/>
      <c r="U82" s="198"/>
    </row>
    <row r="83" spans="1:26" s="12" customFormat="1" x14ac:dyDescent="0.25">
      <c r="A83" s="211" t="s">
        <v>2051</v>
      </c>
      <c r="B83" s="64">
        <v>3.66</v>
      </c>
      <c r="C83" s="64">
        <v>53.98</v>
      </c>
      <c r="D83" s="64">
        <v>33.369999999999997</v>
      </c>
      <c r="E83" s="64">
        <v>2.8</v>
      </c>
      <c r="F83" s="64">
        <v>17.91</v>
      </c>
      <c r="G83" s="64">
        <v>36.549999999999997</v>
      </c>
      <c r="H83" s="64">
        <v>19.78</v>
      </c>
      <c r="I83" s="64">
        <v>0.65</v>
      </c>
      <c r="J83" s="64">
        <v>0.38</v>
      </c>
      <c r="K83" s="64">
        <v>189.4</v>
      </c>
      <c r="L83" s="64">
        <v>32.28</v>
      </c>
      <c r="M83" s="64">
        <v>32.700000000000003</v>
      </c>
      <c r="N83" s="64">
        <v>5.4</v>
      </c>
      <c r="O83" s="64">
        <v>0</v>
      </c>
      <c r="P83" s="64">
        <v>0.64</v>
      </c>
      <c r="Q83" s="64">
        <v>31.55</v>
      </c>
      <c r="R83" s="198"/>
      <c r="S83" s="198"/>
      <c r="T83" s="198"/>
      <c r="U83" s="198"/>
    </row>
    <row r="84" spans="1:26" s="12" customFormat="1" x14ac:dyDescent="0.25">
      <c r="A84" s="211" t="s">
        <v>2052</v>
      </c>
      <c r="B84" s="64">
        <v>2.14</v>
      </c>
      <c r="C84" s="64">
        <v>54.63</v>
      </c>
      <c r="D84" s="64">
        <v>32.51</v>
      </c>
      <c r="E84" s="64">
        <v>4.6399999999999997</v>
      </c>
      <c r="F84" s="64">
        <v>31.6</v>
      </c>
      <c r="G84" s="64">
        <v>41.93</v>
      </c>
      <c r="H84" s="64">
        <v>22.02</v>
      </c>
      <c r="I84" s="64">
        <v>0.6</v>
      </c>
      <c r="J84" s="64">
        <v>0.21</v>
      </c>
      <c r="K84" s="64">
        <v>191.04</v>
      </c>
      <c r="L84" s="64">
        <v>32.08</v>
      </c>
      <c r="M84" s="64">
        <v>33.200000000000003</v>
      </c>
      <c r="N84" s="64">
        <v>5.0999999999999996</v>
      </c>
      <c r="O84" s="64">
        <v>0</v>
      </c>
      <c r="P84" s="64">
        <v>0.73</v>
      </c>
      <c r="Q84" s="64">
        <v>32.229999999999997</v>
      </c>
      <c r="R84" s="198"/>
      <c r="S84" s="198"/>
      <c r="T84" s="198"/>
      <c r="U84" s="198"/>
    </row>
    <row r="85" spans="1:26" s="12" customFormat="1" x14ac:dyDescent="0.25">
      <c r="A85" s="211" t="s">
        <v>2053</v>
      </c>
      <c r="B85" s="64">
        <v>12.39</v>
      </c>
      <c r="C85" s="64">
        <v>59.11</v>
      </c>
      <c r="D85" s="64">
        <v>43.2</v>
      </c>
      <c r="E85" s="64">
        <v>5.36</v>
      </c>
      <c r="F85" s="64">
        <v>19.940000000000001</v>
      </c>
      <c r="G85" s="64">
        <v>41.93</v>
      </c>
      <c r="H85" s="64">
        <v>22.02</v>
      </c>
      <c r="I85" s="64">
        <v>0.63</v>
      </c>
      <c r="J85" s="64">
        <v>0.25</v>
      </c>
      <c r="K85" s="64">
        <v>256.49</v>
      </c>
      <c r="L85" s="64">
        <v>31.6</v>
      </c>
      <c r="M85" s="64">
        <v>34.840000000000003</v>
      </c>
      <c r="N85" s="64">
        <v>4.8</v>
      </c>
      <c r="O85" s="64">
        <v>0</v>
      </c>
      <c r="P85" s="64">
        <v>1.08</v>
      </c>
      <c r="Q85" s="64">
        <v>31.15</v>
      </c>
      <c r="R85" s="198"/>
      <c r="S85" s="198"/>
      <c r="T85" s="198"/>
      <c r="U85" s="198"/>
    </row>
    <row r="86" spans="1:26" s="12" customFormat="1" x14ac:dyDescent="0.25">
      <c r="A86" s="211" t="s">
        <v>2054</v>
      </c>
      <c r="B86" s="64">
        <v>7.9</v>
      </c>
      <c r="C86" s="64">
        <v>53.13</v>
      </c>
      <c r="D86" s="64">
        <v>36.299999999999997</v>
      </c>
      <c r="E86" s="64">
        <v>8.74</v>
      </c>
      <c r="F86" s="64">
        <v>21.68</v>
      </c>
      <c r="G86" s="64">
        <v>41.93</v>
      </c>
      <c r="H86" s="64">
        <v>22.02</v>
      </c>
      <c r="I86" s="64">
        <v>0.61</v>
      </c>
      <c r="J86" s="64">
        <v>0.13</v>
      </c>
      <c r="K86" s="64">
        <v>159.53</v>
      </c>
      <c r="L86" s="64">
        <v>31.36</v>
      </c>
      <c r="M86" s="64">
        <v>33.74</v>
      </c>
      <c r="N86" s="64">
        <v>4.5</v>
      </c>
      <c r="O86" s="64">
        <v>0</v>
      </c>
      <c r="P86" s="64">
        <v>1.03</v>
      </c>
      <c r="Q86" s="64">
        <v>31.37</v>
      </c>
      <c r="R86" s="198"/>
      <c r="S86" s="198"/>
      <c r="T86" s="198"/>
      <c r="U86" s="198"/>
    </row>
    <row r="87" spans="1:26" s="12" customFormat="1" x14ac:dyDescent="0.25">
      <c r="A87" s="211" t="s">
        <v>2055</v>
      </c>
      <c r="B87" s="64">
        <v>5.16</v>
      </c>
      <c r="C87" s="64">
        <v>42.87</v>
      </c>
      <c r="D87" s="64">
        <v>28.45</v>
      </c>
      <c r="E87" s="64">
        <v>6.31</v>
      </c>
      <c r="F87" s="64">
        <v>11.34</v>
      </c>
      <c r="G87" s="64">
        <v>42.6</v>
      </c>
      <c r="H87" s="64">
        <v>22.52</v>
      </c>
      <c r="I87" s="64">
        <v>0.79</v>
      </c>
      <c r="J87" s="64">
        <v>2.19</v>
      </c>
      <c r="K87" s="64">
        <v>122.31</v>
      </c>
      <c r="L87" s="64">
        <v>31.03</v>
      </c>
      <c r="M87" s="64">
        <v>33.11</v>
      </c>
      <c r="N87" s="64">
        <v>5.2</v>
      </c>
      <c r="O87" s="64">
        <v>0</v>
      </c>
      <c r="P87" s="64">
        <v>0.67</v>
      </c>
      <c r="Q87" s="64">
        <v>32.479999999999997</v>
      </c>
      <c r="R87" s="198"/>
      <c r="S87" s="198"/>
      <c r="T87" s="198"/>
      <c r="U87" s="198"/>
    </row>
    <row r="88" spans="1:26" s="12" customFormat="1" x14ac:dyDescent="0.25">
      <c r="A88" s="211" t="s">
        <v>2056</v>
      </c>
      <c r="B88" s="64">
        <v>4.38</v>
      </c>
      <c r="C88" s="64">
        <v>39.840000000000003</v>
      </c>
      <c r="D88" s="64">
        <v>26.15</v>
      </c>
      <c r="E88" s="64">
        <v>1.94</v>
      </c>
      <c r="F88" s="64">
        <v>8.83</v>
      </c>
      <c r="G88" s="64">
        <v>47.94</v>
      </c>
      <c r="H88" s="64">
        <v>25.72</v>
      </c>
      <c r="I88" s="64">
        <v>0.67</v>
      </c>
      <c r="J88" s="64">
        <v>1.97</v>
      </c>
      <c r="K88" s="64">
        <v>120.83</v>
      </c>
      <c r="L88" s="64">
        <v>30.38</v>
      </c>
      <c r="M88" s="64">
        <v>34.1</v>
      </c>
      <c r="N88" s="64">
        <v>5.4</v>
      </c>
      <c r="O88" s="64">
        <v>0</v>
      </c>
      <c r="P88" s="64">
        <v>0.66</v>
      </c>
      <c r="Q88" s="64">
        <v>33.700000000000003</v>
      </c>
      <c r="R88" s="198"/>
      <c r="S88" s="198"/>
      <c r="T88" s="198"/>
      <c r="U88" s="198"/>
    </row>
    <row r="89" spans="1:26" s="12" customFormat="1" x14ac:dyDescent="0.25">
      <c r="A89" s="211" t="s">
        <v>2057</v>
      </c>
      <c r="B89" s="64">
        <v>3.5</v>
      </c>
      <c r="C89" s="64">
        <v>40.270000000000003</v>
      </c>
      <c r="D89" s="64">
        <v>25.68</v>
      </c>
      <c r="E89" s="64">
        <v>3.5</v>
      </c>
      <c r="F89" s="64">
        <v>5.99</v>
      </c>
      <c r="G89" s="64">
        <v>47.94</v>
      </c>
      <c r="H89" s="64">
        <v>25.72</v>
      </c>
      <c r="I89" s="64">
        <v>0.68</v>
      </c>
      <c r="J89" s="64">
        <v>1.5</v>
      </c>
      <c r="K89" s="64">
        <v>122.24</v>
      </c>
      <c r="L89" s="64">
        <v>30.18</v>
      </c>
      <c r="M89" s="64">
        <v>35.270000000000003</v>
      </c>
      <c r="N89" s="64">
        <v>5</v>
      </c>
      <c r="O89" s="64">
        <v>0</v>
      </c>
      <c r="P89" s="64">
        <v>0.65</v>
      </c>
      <c r="Q89" s="64">
        <v>33.42</v>
      </c>
      <c r="R89" s="198"/>
      <c r="S89" s="198"/>
      <c r="T89" s="198"/>
      <c r="U89" s="198"/>
    </row>
    <row r="90" spans="1:26" s="12" customFormat="1" x14ac:dyDescent="0.25">
      <c r="A90" s="211" t="s">
        <v>2058</v>
      </c>
      <c r="B90" s="64">
        <v>2.3199999999999998</v>
      </c>
      <c r="C90" s="64">
        <v>40.61</v>
      </c>
      <c r="D90" s="64">
        <v>24.91</v>
      </c>
      <c r="E90" s="64">
        <v>3.26</v>
      </c>
      <c r="F90" s="64">
        <v>6.28</v>
      </c>
      <c r="G90" s="64">
        <v>47.94</v>
      </c>
      <c r="H90" s="64">
        <v>25.72</v>
      </c>
      <c r="I90" s="64">
        <v>0.65</v>
      </c>
      <c r="J90" s="64">
        <v>1.39</v>
      </c>
      <c r="K90" s="64">
        <v>113.96</v>
      </c>
      <c r="L90" s="64">
        <v>29.93</v>
      </c>
      <c r="M90" s="64">
        <v>36.549999999999997</v>
      </c>
      <c r="N90" s="64">
        <v>5</v>
      </c>
      <c r="O90" s="64">
        <v>0</v>
      </c>
      <c r="P90" s="64">
        <v>0.61</v>
      </c>
      <c r="Q90" s="64">
        <v>32.99</v>
      </c>
      <c r="R90" s="198"/>
      <c r="S90" s="198"/>
      <c r="T90" s="198"/>
      <c r="U90" s="198"/>
    </row>
    <row r="91" spans="1:26" s="12" customFormat="1" x14ac:dyDescent="0.25">
      <c r="A91" s="211" t="s">
        <v>2059</v>
      </c>
      <c r="B91" s="64">
        <v>1.55</v>
      </c>
      <c r="C91" s="64">
        <v>39.72</v>
      </c>
      <c r="D91" s="64">
        <v>23.81</v>
      </c>
      <c r="E91" s="64">
        <v>2.92</v>
      </c>
      <c r="F91" s="64">
        <v>7.55</v>
      </c>
      <c r="G91" s="64">
        <v>47.47</v>
      </c>
      <c r="H91" s="64">
        <v>25.18</v>
      </c>
      <c r="I91" s="64">
        <v>0.64</v>
      </c>
      <c r="J91" s="64">
        <v>1.5</v>
      </c>
      <c r="K91" s="64">
        <v>110.82</v>
      </c>
      <c r="L91" s="64">
        <v>29.89</v>
      </c>
      <c r="M91" s="64">
        <v>36.04</v>
      </c>
      <c r="N91" s="64">
        <v>4.7</v>
      </c>
      <c r="O91" s="64">
        <v>0</v>
      </c>
      <c r="P91" s="64">
        <v>0.56999999999999995</v>
      </c>
      <c r="Q91" s="64">
        <v>32.42</v>
      </c>
      <c r="R91" s="198"/>
      <c r="S91" s="198"/>
      <c r="T91" s="198"/>
      <c r="U91" s="198"/>
    </row>
    <row r="92" spans="1:26" s="12" customFormat="1" x14ac:dyDescent="0.25">
      <c r="A92" s="211" t="s">
        <v>2060</v>
      </c>
      <c r="B92" s="64">
        <v>1.17</v>
      </c>
      <c r="C92" s="64">
        <v>38.36</v>
      </c>
      <c r="D92" s="64">
        <v>22.75</v>
      </c>
      <c r="E92" s="64">
        <v>2.88</v>
      </c>
      <c r="F92" s="64">
        <v>9.2200000000000006</v>
      </c>
      <c r="G92" s="64">
        <v>43.77</v>
      </c>
      <c r="H92" s="64">
        <v>21.42</v>
      </c>
      <c r="I92" s="64">
        <v>0.7</v>
      </c>
      <c r="J92" s="64">
        <v>1.1000000000000001</v>
      </c>
      <c r="K92" s="64">
        <v>125.86</v>
      </c>
      <c r="L92" s="64">
        <v>29.83</v>
      </c>
      <c r="M92" s="64">
        <v>35.799999999999997</v>
      </c>
      <c r="N92" s="64">
        <v>4.9000000000000004</v>
      </c>
      <c r="O92" s="64">
        <v>0</v>
      </c>
      <c r="P92" s="64">
        <v>0.53</v>
      </c>
      <c r="Q92" s="64">
        <v>32.21</v>
      </c>
      <c r="R92" s="198"/>
      <c r="S92" s="198"/>
      <c r="T92" s="198"/>
      <c r="U92" s="198"/>
    </row>
    <row r="93" spans="1:26" s="12" customFormat="1" x14ac:dyDescent="0.25">
      <c r="A93" s="211" t="s">
        <v>2061</v>
      </c>
      <c r="B93" s="64">
        <v>1.03</v>
      </c>
      <c r="C93" s="64">
        <v>37.68</v>
      </c>
      <c r="D93" s="64">
        <v>22.26</v>
      </c>
      <c r="E93" s="64">
        <v>2.66</v>
      </c>
      <c r="F93" s="64">
        <v>8.1</v>
      </c>
      <c r="G93" s="64">
        <v>43.77</v>
      </c>
      <c r="H93" s="64">
        <v>21.42</v>
      </c>
      <c r="I93" s="64">
        <v>0.71</v>
      </c>
      <c r="J93" s="64">
        <v>0.63</v>
      </c>
      <c r="K93" s="64">
        <v>151.03</v>
      </c>
      <c r="L93" s="64">
        <v>29.52</v>
      </c>
      <c r="M93" s="64">
        <v>36.01</v>
      </c>
      <c r="N93" s="64">
        <v>5.0999999999999996</v>
      </c>
      <c r="O93" s="64">
        <v>0</v>
      </c>
      <c r="P93" s="64">
        <v>0.5</v>
      </c>
      <c r="Q93" s="64">
        <v>31.74</v>
      </c>
      <c r="R93" s="198"/>
      <c r="S93" s="198"/>
      <c r="T93" s="198"/>
      <c r="U93" s="198"/>
    </row>
    <row r="94" spans="1:26" s="12" customFormat="1" x14ac:dyDescent="0.25">
      <c r="A94" s="211" t="s">
        <v>2062</v>
      </c>
      <c r="B94" s="64">
        <v>1</v>
      </c>
      <c r="C94" s="64">
        <v>36.6</v>
      </c>
      <c r="D94" s="64">
        <v>21.64</v>
      </c>
      <c r="E94" s="64">
        <v>2.31</v>
      </c>
      <c r="F94" s="64">
        <v>8.93</v>
      </c>
      <c r="G94" s="64">
        <v>43.77</v>
      </c>
      <c r="H94" s="64">
        <v>21.42</v>
      </c>
      <c r="I94" s="64">
        <v>0.57999999999999996</v>
      </c>
      <c r="J94" s="64">
        <v>0.77</v>
      </c>
      <c r="K94" s="64">
        <v>166.17</v>
      </c>
      <c r="L94" s="64">
        <v>29.33</v>
      </c>
      <c r="M94" s="64">
        <v>35.15</v>
      </c>
      <c r="N94" s="64">
        <v>4.9000000000000004</v>
      </c>
      <c r="O94" s="64">
        <v>0</v>
      </c>
      <c r="P94" s="64">
        <v>0.48</v>
      </c>
      <c r="Q94" s="64">
        <v>30.93</v>
      </c>
      <c r="R94" s="198"/>
      <c r="S94" s="198"/>
      <c r="T94" s="198"/>
      <c r="U94" s="198"/>
    </row>
    <row r="95" spans="1:26" s="12" customFormat="1" x14ac:dyDescent="0.25">
      <c r="A95" s="211" t="s">
        <v>2063</v>
      </c>
      <c r="B95" s="64">
        <v>1</v>
      </c>
      <c r="C95" s="64">
        <v>35.01</v>
      </c>
      <c r="D95" s="64">
        <v>20.77</v>
      </c>
      <c r="E95" s="64">
        <v>2.8</v>
      </c>
      <c r="F95" s="64">
        <v>17.39</v>
      </c>
      <c r="G95" s="64">
        <v>43.44</v>
      </c>
      <c r="H95" s="64">
        <v>21.24</v>
      </c>
      <c r="I95" s="64">
        <v>0.61</v>
      </c>
      <c r="J95" s="64">
        <v>0.75</v>
      </c>
      <c r="K95" s="64">
        <v>186.71</v>
      </c>
      <c r="L95" s="64">
        <v>29.15</v>
      </c>
      <c r="M95" s="64">
        <v>35.71</v>
      </c>
      <c r="N95" s="64">
        <v>4.8</v>
      </c>
      <c r="O95" s="64">
        <v>0</v>
      </c>
      <c r="P95" s="64">
        <v>0.43</v>
      </c>
      <c r="Q95" s="64">
        <v>30.63</v>
      </c>
      <c r="R95" s="198"/>
      <c r="S95" s="198"/>
      <c r="T95" s="198"/>
      <c r="U95" s="198"/>
    </row>
    <row r="96" spans="1:26" s="12" customFormat="1" x14ac:dyDescent="0.25">
      <c r="A96" s="211" t="s">
        <v>2064</v>
      </c>
      <c r="B96" s="64">
        <v>1</v>
      </c>
      <c r="C96" s="64">
        <v>32.950000000000003</v>
      </c>
      <c r="D96" s="64">
        <v>19.63</v>
      </c>
      <c r="E96" s="64">
        <v>2.92</v>
      </c>
      <c r="F96" s="64">
        <v>15.46</v>
      </c>
      <c r="G96" s="64">
        <v>40.869999999999997</v>
      </c>
      <c r="H96" s="64">
        <v>20</v>
      </c>
      <c r="I96" s="64">
        <v>0.63</v>
      </c>
      <c r="J96" s="64">
        <v>1</v>
      </c>
      <c r="K96" s="64">
        <v>181.42</v>
      </c>
      <c r="L96" s="64">
        <v>29.06</v>
      </c>
      <c r="M96" s="64">
        <v>36.36</v>
      </c>
      <c r="N96" s="64">
        <v>4.7</v>
      </c>
      <c r="O96" s="64">
        <v>0</v>
      </c>
      <c r="P96" s="64">
        <v>0.42</v>
      </c>
      <c r="Q96" s="64">
        <v>31.19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2065</v>
      </c>
      <c r="B97" s="64">
        <v>1.07</v>
      </c>
      <c r="C97" s="64">
        <v>31.1</v>
      </c>
      <c r="D97" s="64">
        <v>18.670000000000002</v>
      </c>
      <c r="E97" s="64">
        <v>3.04</v>
      </c>
      <c r="F97" s="64">
        <v>20.54</v>
      </c>
      <c r="G97" s="64">
        <v>40.869999999999997</v>
      </c>
      <c r="H97" s="64">
        <v>20</v>
      </c>
      <c r="I97" s="64">
        <v>0.6</v>
      </c>
      <c r="J97" s="64">
        <v>0.48</v>
      </c>
      <c r="K97" s="64">
        <v>165.63</v>
      </c>
      <c r="L97" s="64">
        <v>28.76</v>
      </c>
      <c r="M97" s="64">
        <v>38.24</v>
      </c>
      <c r="N97" s="64">
        <v>5.0999999999999996</v>
      </c>
      <c r="O97" s="64">
        <v>0</v>
      </c>
      <c r="P97" s="64">
        <v>0.39</v>
      </c>
      <c r="Q97" s="64">
        <v>31.28</v>
      </c>
      <c r="R97" s="198"/>
      <c r="S97" s="198"/>
      <c r="T97" s="198"/>
      <c r="U97" s="198"/>
    </row>
    <row r="98" spans="1:33" s="12" customFormat="1" x14ac:dyDescent="0.25">
      <c r="A98" s="211" t="s">
        <v>2066</v>
      </c>
      <c r="B98" s="64">
        <v>1.25</v>
      </c>
      <c r="C98" s="64">
        <v>30.27</v>
      </c>
      <c r="D98" s="64">
        <v>18.36</v>
      </c>
      <c r="E98" s="64">
        <v>3.59</v>
      </c>
      <c r="F98" s="64">
        <v>19.559999999999999</v>
      </c>
      <c r="G98" s="64">
        <v>40.869999999999997</v>
      </c>
      <c r="H98" s="64">
        <v>20</v>
      </c>
      <c r="I98" s="64">
        <v>0.57999999999999996</v>
      </c>
      <c r="J98" s="64">
        <v>0.65</v>
      </c>
      <c r="K98" s="64">
        <v>172.32</v>
      </c>
      <c r="L98" s="64">
        <v>28.5</v>
      </c>
      <c r="M98" s="64">
        <v>39.22</v>
      </c>
      <c r="N98" s="64">
        <v>4.8</v>
      </c>
      <c r="O98" s="64">
        <v>0</v>
      </c>
      <c r="P98" s="64">
        <v>0.37</v>
      </c>
      <c r="Q98" s="64">
        <v>31.57</v>
      </c>
      <c r="R98" s="198"/>
      <c r="S98" s="198"/>
      <c r="T98" s="198"/>
      <c r="U98" s="198"/>
    </row>
    <row r="99" spans="1:33" s="12" customFormat="1" x14ac:dyDescent="0.25">
      <c r="A99" s="211" t="s">
        <v>2067</v>
      </c>
      <c r="B99" s="64">
        <v>1.45</v>
      </c>
      <c r="C99" s="64">
        <v>29.51</v>
      </c>
      <c r="D99" s="64">
        <v>18.100000000000001</v>
      </c>
      <c r="E99" s="64">
        <v>2.91</v>
      </c>
      <c r="F99" s="64">
        <v>6.46</v>
      </c>
      <c r="G99" s="64">
        <v>40.380000000000003</v>
      </c>
      <c r="H99" s="64">
        <v>19.93</v>
      </c>
      <c r="I99" s="64">
        <v>0.67</v>
      </c>
      <c r="J99" s="64">
        <v>1.37</v>
      </c>
      <c r="K99" s="64">
        <v>174.74</v>
      </c>
      <c r="L99" s="64">
        <v>28.42</v>
      </c>
      <c r="M99" s="64">
        <v>40.03</v>
      </c>
      <c r="N99" s="64">
        <v>4.5999999999999996</v>
      </c>
      <c r="O99" s="64">
        <v>0</v>
      </c>
      <c r="P99" s="64">
        <v>0.41</v>
      </c>
      <c r="Q99" s="64">
        <v>31.67</v>
      </c>
      <c r="R99" s="198"/>
      <c r="S99" s="198"/>
      <c r="T99" s="198"/>
      <c r="U99" s="198"/>
    </row>
    <row r="100" spans="1:33" s="12" customFormat="1" x14ac:dyDescent="0.25">
      <c r="A100" s="211" t="s">
        <v>2068</v>
      </c>
      <c r="B100" s="64">
        <v>1.56</v>
      </c>
      <c r="C100" s="64">
        <v>29.94</v>
      </c>
      <c r="D100" s="64">
        <v>18.420000000000002</v>
      </c>
      <c r="E100" s="64">
        <v>2.64</v>
      </c>
      <c r="F100" s="64">
        <v>5.67</v>
      </c>
      <c r="G100" s="64">
        <v>36.4</v>
      </c>
      <c r="H100" s="64">
        <v>19.5</v>
      </c>
      <c r="I100" s="64">
        <v>0.55000000000000004</v>
      </c>
      <c r="J100" s="64">
        <v>1.17</v>
      </c>
      <c r="K100" s="64">
        <v>177.28</v>
      </c>
      <c r="L100" s="64">
        <v>28.17</v>
      </c>
      <c r="M100" s="64">
        <v>41.76</v>
      </c>
      <c r="N100" s="64">
        <v>5</v>
      </c>
      <c r="O100" s="64">
        <v>0</v>
      </c>
      <c r="P100" s="64">
        <v>0.41</v>
      </c>
      <c r="Q100" s="64">
        <v>31.39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2069</v>
      </c>
      <c r="B101" s="64">
        <v>1.33</v>
      </c>
      <c r="C101" s="64">
        <v>30.04</v>
      </c>
      <c r="D101" s="64">
        <v>18.29</v>
      </c>
      <c r="E101" s="64">
        <v>2.1</v>
      </c>
      <c r="F101" s="64">
        <v>5.68</v>
      </c>
      <c r="G101" s="64">
        <v>36.4</v>
      </c>
      <c r="H101" s="64">
        <v>19.5</v>
      </c>
      <c r="I101" s="64">
        <v>0.85</v>
      </c>
      <c r="J101" s="64">
        <v>1.28</v>
      </c>
      <c r="K101" s="64">
        <v>176.35</v>
      </c>
      <c r="L101" s="64">
        <v>27.83</v>
      </c>
      <c r="M101" s="64">
        <v>43.89</v>
      </c>
      <c r="N101" s="64">
        <v>5.4</v>
      </c>
      <c r="O101" s="64">
        <v>0</v>
      </c>
      <c r="P101" s="64">
        <v>0.38</v>
      </c>
      <c r="Q101" s="64">
        <v>30.99</v>
      </c>
      <c r="R101" s="198"/>
      <c r="S101" s="198"/>
      <c r="T101" s="198"/>
      <c r="U101" s="198"/>
    </row>
    <row r="102" spans="1:33" s="12" customFormat="1" x14ac:dyDescent="0.25">
      <c r="A102" s="211" t="s">
        <v>2070</v>
      </c>
      <c r="B102" s="64">
        <v>1.0900000000000001</v>
      </c>
      <c r="C102" s="64">
        <v>29.73</v>
      </c>
      <c r="D102" s="64">
        <v>17.93</v>
      </c>
      <c r="E102" s="64">
        <v>2.19</v>
      </c>
      <c r="F102" s="64">
        <v>5.13</v>
      </c>
      <c r="G102" s="64">
        <v>36.4</v>
      </c>
      <c r="H102" s="64">
        <v>19.5</v>
      </c>
      <c r="I102" s="64">
        <v>0.57999999999999996</v>
      </c>
      <c r="J102" s="64">
        <v>1.48</v>
      </c>
      <c r="K102" s="64">
        <v>175.46</v>
      </c>
      <c r="L102" s="64">
        <v>27.51</v>
      </c>
      <c r="M102" s="64">
        <v>45.05</v>
      </c>
      <c r="N102" s="64">
        <v>5.3</v>
      </c>
      <c r="O102" s="64">
        <v>0</v>
      </c>
      <c r="P102" s="64">
        <v>0.36</v>
      </c>
      <c r="Q102" s="64">
        <v>30.58</v>
      </c>
      <c r="R102" s="198"/>
      <c r="S102" s="198"/>
      <c r="T102" s="198"/>
      <c r="U102" s="198"/>
    </row>
    <row r="103" spans="1:33" s="12" customFormat="1" x14ac:dyDescent="0.25">
      <c r="A103" s="211" t="s">
        <v>2071</v>
      </c>
      <c r="B103" s="64">
        <v>1</v>
      </c>
      <c r="C103" s="64">
        <v>29.22</v>
      </c>
      <c r="D103" s="64">
        <v>17.57</v>
      </c>
      <c r="E103" s="64">
        <v>1.98</v>
      </c>
      <c r="F103" s="64">
        <v>6.18</v>
      </c>
      <c r="G103" s="64">
        <v>35.43</v>
      </c>
      <c r="H103" s="64">
        <v>19.16</v>
      </c>
      <c r="I103" s="64">
        <v>0.53</v>
      </c>
      <c r="J103" s="64">
        <v>1.65</v>
      </c>
      <c r="K103" s="64">
        <v>173.96</v>
      </c>
      <c r="L103" s="64">
        <v>27.26</v>
      </c>
      <c r="M103" s="64">
        <v>45.92</v>
      </c>
      <c r="N103" s="64">
        <v>5</v>
      </c>
      <c r="O103" s="64">
        <v>0</v>
      </c>
      <c r="P103" s="64">
        <v>0.34</v>
      </c>
      <c r="Q103" s="64">
        <v>30.13</v>
      </c>
      <c r="R103" s="198"/>
      <c r="S103" s="198"/>
      <c r="T103" s="198"/>
      <c r="U103" s="198"/>
    </row>
    <row r="104" spans="1:33" s="12" customFormat="1" x14ac:dyDescent="0.25">
      <c r="A104" s="211" t="s">
        <v>2072</v>
      </c>
      <c r="B104" s="64">
        <v>1</v>
      </c>
      <c r="C104" s="64">
        <v>28.6</v>
      </c>
      <c r="D104" s="64">
        <v>17.23</v>
      </c>
      <c r="E104" s="64">
        <v>0.67</v>
      </c>
      <c r="F104" s="64">
        <v>6.07</v>
      </c>
      <c r="G104" s="64">
        <v>27.72</v>
      </c>
      <c r="H104" s="64">
        <v>16.97</v>
      </c>
      <c r="I104" s="64">
        <v>0.55000000000000004</v>
      </c>
      <c r="J104" s="64">
        <v>1.68</v>
      </c>
      <c r="K104" s="64">
        <v>168.24</v>
      </c>
      <c r="L104" s="64">
        <v>27.02</v>
      </c>
      <c r="M104" s="64">
        <v>46.77</v>
      </c>
      <c r="N104" s="64">
        <v>5.4</v>
      </c>
      <c r="O104" s="64">
        <v>0</v>
      </c>
      <c r="P104" s="64">
        <v>0.33</v>
      </c>
      <c r="Q104" s="64">
        <v>29.78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25.61</v>
      </c>
      <c r="D106" s="67">
        <f t="shared" ref="D106:Q106" si="0">MIN(D9:D104)</f>
        <v>17.23</v>
      </c>
      <c r="E106" s="67">
        <f t="shared" si="0"/>
        <v>0.67</v>
      </c>
      <c r="F106" s="67">
        <f t="shared" si="0"/>
        <v>3.39</v>
      </c>
      <c r="G106" s="67">
        <f t="shared" si="0"/>
        <v>27.72</v>
      </c>
      <c r="H106" s="67">
        <f t="shared" si="0"/>
        <v>14.06</v>
      </c>
      <c r="I106" s="67">
        <f t="shared" si="0"/>
        <v>0.51</v>
      </c>
      <c r="J106" s="67">
        <f t="shared" si="0"/>
        <v>0.01</v>
      </c>
      <c r="K106" s="67">
        <f t="shared" si="0"/>
        <v>0.44</v>
      </c>
      <c r="L106" s="67">
        <f t="shared" si="0"/>
        <v>25.96</v>
      </c>
      <c r="M106" s="67">
        <f t="shared" si="0"/>
        <v>19.32</v>
      </c>
      <c r="N106" s="67">
        <f t="shared" si="0"/>
        <v>4.4000000000000004</v>
      </c>
      <c r="O106" s="67">
        <f t="shared" si="0"/>
        <v>0</v>
      </c>
      <c r="P106" s="67">
        <f t="shared" si="0"/>
        <v>0.33</v>
      </c>
      <c r="Q106" s="67">
        <f t="shared" si="0"/>
        <v>28.8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14.86</v>
      </c>
      <c r="C107" s="66">
        <f t="shared" ref="C107:Q107" si="1">MAX(C9:C104)</f>
        <v>59.11</v>
      </c>
      <c r="D107" s="66">
        <f t="shared" si="1"/>
        <v>43.2</v>
      </c>
      <c r="E107" s="66">
        <f t="shared" si="1"/>
        <v>9.4700000000000006</v>
      </c>
      <c r="F107" s="66">
        <f t="shared" si="1"/>
        <v>49.61</v>
      </c>
      <c r="G107" s="66">
        <f t="shared" si="1"/>
        <v>89.13</v>
      </c>
      <c r="H107" s="66">
        <f t="shared" si="1"/>
        <v>38.19</v>
      </c>
      <c r="I107" s="66">
        <f t="shared" si="1"/>
        <v>0.9</v>
      </c>
      <c r="J107" s="66">
        <f t="shared" si="1"/>
        <v>2.19</v>
      </c>
      <c r="K107" s="66">
        <f t="shared" si="1"/>
        <v>347.9</v>
      </c>
      <c r="L107" s="66">
        <f t="shared" si="1"/>
        <v>40.85</v>
      </c>
      <c r="M107" s="66">
        <f t="shared" si="1"/>
        <v>52.03</v>
      </c>
      <c r="N107" s="66">
        <f t="shared" si="1"/>
        <v>866.2</v>
      </c>
      <c r="O107" s="66">
        <f t="shared" si="1"/>
        <v>0</v>
      </c>
      <c r="P107" s="66">
        <f t="shared" si="1"/>
        <v>2.16</v>
      </c>
      <c r="Q107" s="66">
        <f t="shared" si="1"/>
        <v>34.1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3.6124999999999985</v>
      </c>
      <c r="C108" s="67">
        <f t="shared" ref="C108:Q108" si="2">AVERAGE(C9:C104)</f>
        <v>38.727083333333319</v>
      </c>
      <c r="D108" s="67">
        <f t="shared" si="2"/>
        <v>24.915729166666665</v>
      </c>
      <c r="E108" s="67">
        <f t="shared" si="2"/>
        <v>3.3721875000000026</v>
      </c>
      <c r="F108" s="67">
        <f t="shared" si="2"/>
        <v>13.276666666666666</v>
      </c>
      <c r="G108" s="67">
        <f t="shared" si="2"/>
        <v>51.15010989010991</v>
      </c>
      <c r="H108" s="67">
        <f t="shared" si="2"/>
        <v>25.234505494505491</v>
      </c>
      <c r="I108" s="67">
        <f t="shared" si="2"/>
        <v>0.63416666666666666</v>
      </c>
      <c r="J108" s="67">
        <f t="shared" si="2"/>
        <v>0.49749999999999989</v>
      </c>
      <c r="K108" s="67">
        <f t="shared" si="2"/>
        <v>203.61906250000001</v>
      </c>
      <c r="L108" s="67">
        <f t="shared" si="2"/>
        <v>32.009583333333332</v>
      </c>
      <c r="M108" s="67">
        <f t="shared" si="2"/>
        <v>36.034479166666678</v>
      </c>
      <c r="N108" s="67">
        <f t="shared" si="2"/>
        <v>224.10937500000011</v>
      </c>
      <c r="O108" s="67">
        <f t="shared" si="2"/>
        <v>0</v>
      </c>
      <c r="P108" s="67">
        <f t="shared" si="2"/>
        <v>0.84312499999999979</v>
      </c>
      <c r="Q108" s="67">
        <f t="shared" si="2"/>
        <v>31.453229166666659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2.9716796597210813</v>
      </c>
      <c r="C109" s="67">
        <f t="shared" ref="C109:Q109" si="3">STDEV(C9:C104)</f>
        <v>6.5319243423386464</v>
      </c>
      <c r="D109" s="67">
        <f t="shared" si="3"/>
        <v>4.9197789305900033</v>
      </c>
      <c r="E109" s="67">
        <f t="shared" si="3"/>
        <v>1.4996702817444105</v>
      </c>
      <c r="F109" s="67">
        <f t="shared" si="3"/>
        <v>9.5767851617903474</v>
      </c>
      <c r="G109" s="67">
        <f t="shared" si="3"/>
        <v>17.751958608340477</v>
      </c>
      <c r="H109" s="67">
        <f t="shared" si="3"/>
        <v>7.2460256177264206</v>
      </c>
      <c r="I109" s="67">
        <f t="shared" si="3"/>
        <v>8.645858962126407E-2</v>
      </c>
      <c r="J109" s="67">
        <f t="shared" si="3"/>
        <v>0.54334248189477963</v>
      </c>
      <c r="K109" s="67">
        <f t="shared" si="3"/>
        <v>78.532039671087816</v>
      </c>
      <c r="L109" s="67">
        <f t="shared" si="3"/>
        <v>4.6492674955969715</v>
      </c>
      <c r="M109" s="67">
        <f t="shared" si="3"/>
        <v>9.6981608532959918</v>
      </c>
      <c r="N109" s="67">
        <f t="shared" si="3"/>
        <v>305.18968771918139</v>
      </c>
      <c r="O109" s="67">
        <f t="shared" si="3"/>
        <v>0</v>
      </c>
      <c r="P109" s="67">
        <f t="shared" si="3"/>
        <v>0.41919550143227069</v>
      </c>
      <c r="Q109" s="67">
        <f t="shared" si="3"/>
        <v>1.1392633767775855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COUNT(G9:G104)+5</f>
        <v>96</v>
      </c>
      <c r="H110" s="66">
        <f>COUNT(H9:H104)+5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11" sqref="F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2073</v>
      </c>
      <c r="B9" s="64">
        <v>1</v>
      </c>
      <c r="C9" s="64">
        <v>28.11</v>
      </c>
      <c r="D9" s="64">
        <v>16.96</v>
      </c>
      <c r="E9" s="64">
        <v>1.4</v>
      </c>
      <c r="F9" s="64">
        <v>5.89</v>
      </c>
      <c r="G9" s="64">
        <v>27.72</v>
      </c>
      <c r="H9" s="64">
        <v>16.97</v>
      </c>
      <c r="I9" s="64">
        <v>0.56000000000000005</v>
      </c>
      <c r="J9" s="64">
        <v>1.71</v>
      </c>
      <c r="K9" s="64">
        <v>169.71</v>
      </c>
      <c r="L9" s="64">
        <v>26.79</v>
      </c>
      <c r="M9" s="64">
        <v>47.44</v>
      </c>
      <c r="N9" s="64">
        <v>5.0999999999999996</v>
      </c>
      <c r="O9" s="64">
        <v>0</v>
      </c>
      <c r="P9" s="64">
        <v>0.31</v>
      </c>
      <c r="Q9" s="64">
        <v>29.62</v>
      </c>
      <c r="R9" s="198"/>
      <c r="S9" s="198"/>
      <c r="T9" s="198"/>
      <c r="U9" s="198"/>
    </row>
    <row r="10" spans="1:21" s="12" customFormat="1" x14ac:dyDescent="0.25">
      <c r="A10" s="211" t="s">
        <v>2074</v>
      </c>
      <c r="B10" s="64">
        <v>1</v>
      </c>
      <c r="C10" s="64">
        <v>27.33</v>
      </c>
      <c r="D10" s="64">
        <v>16.53</v>
      </c>
      <c r="E10" s="64">
        <v>1.1299999999999999</v>
      </c>
      <c r="F10" s="64">
        <v>6.59</v>
      </c>
      <c r="G10" s="64">
        <v>27.72</v>
      </c>
      <c r="H10" s="64">
        <v>16.97</v>
      </c>
      <c r="I10" s="64">
        <v>0.72</v>
      </c>
      <c r="J10" s="64">
        <v>1.41</v>
      </c>
      <c r="K10" s="64">
        <v>172.52</v>
      </c>
      <c r="L10" s="64">
        <v>26.65</v>
      </c>
      <c r="M10" s="64">
        <v>47.47</v>
      </c>
      <c r="N10" s="64">
        <v>5.3</v>
      </c>
      <c r="O10" s="64">
        <v>0</v>
      </c>
      <c r="P10" s="64">
        <v>0.3</v>
      </c>
      <c r="Q10" s="64">
        <v>29.36</v>
      </c>
      <c r="R10" s="198"/>
      <c r="S10" s="198"/>
      <c r="T10" s="198"/>
      <c r="U10" s="198"/>
    </row>
    <row r="11" spans="1:21" s="12" customFormat="1" x14ac:dyDescent="0.25">
      <c r="A11" s="211" t="s">
        <v>2075</v>
      </c>
      <c r="B11" s="64">
        <v>1</v>
      </c>
      <c r="C11" s="64">
        <v>25.24</v>
      </c>
      <c r="D11" s="64">
        <v>15.38</v>
      </c>
      <c r="E11" s="64">
        <v>1.0900000000000001</v>
      </c>
      <c r="F11" s="64">
        <v>10.81</v>
      </c>
      <c r="G11" s="64">
        <v>27.65</v>
      </c>
      <c r="H11" s="64">
        <v>16.72</v>
      </c>
      <c r="I11" s="64">
        <v>0.59</v>
      </c>
      <c r="J11" s="64">
        <v>0.61</v>
      </c>
      <c r="K11" s="64">
        <v>179.2</v>
      </c>
      <c r="L11" s="64">
        <v>26.46</v>
      </c>
      <c r="M11" s="64">
        <v>48.13</v>
      </c>
      <c r="N11" s="64">
        <v>5.6</v>
      </c>
      <c r="O11" s="64">
        <v>0</v>
      </c>
      <c r="P11" s="64">
        <v>0.27</v>
      </c>
      <c r="Q11" s="64">
        <v>29.69</v>
      </c>
      <c r="R11" s="198"/>
      <c r="S11" s="198"/>
      <c r="T11" s="198"/>
      <c r="U11" s="198"/>
    </row>
    <row r="12" spans="1:21" s="12" customFormat="1" x14ac:dyDescent="0.25">
      <c r="A12" s="211" t="s">
        <v>2076</v>
      </c>
      <c r="B12" s="64">
        <v>1</v>
      </c>
      <c r="C12" s="64">
        <v>25.05</v>
      </c>
      <c r="D12" s="64">
        <v>15.27</v>
      </c>
      <c r="E12" s="64">
        <v>1.1599999999999999</v>
      </c>
      <c r="F12" s="64">
        <v>5.72</v>
      </c>
      <c r="G12" s="64">
        <v>27.09</v>
      </c>
      <c r="H12" s="64">
        <v>15.11</v>
      </c>
      <c r="I12" s="64">
        <v>0.57999999999999996</v>
      </c>
      <c r="J12" s="64">
        <v>1.75</v>
      </c>
      <c r="K12" s="64">
        <v>172.82</v>
      </c>
      <c r="L12" s="64">
        <v>26.01</v>
      </c>
      <c r="M12" s="64">
        <v>50.17</v>
      </c>
      <c r="N12" s="64">
        <v>5.6</v>
      </c>
      <c r="O12" s="64">
        <v>0</v>
      </c>
      <c r="P12" s="64">
        <v>0.28000000000000003</v>
      </c>
      <c r="Q12" s="64">
        <v>30.05</v>
      </c>
      <c r="R12" s="198"/>
      <c r="S12" s="198"/>
      <c r="T12" s="198"/>
      <c r="U12" s="198"/>
    </row>
    <row r="13" spans="1:21" s="12" customFormat="1" x14ac:dyDescent="0.25">
      <c r="A13" s="211" t="s">
        <v>2077</v>
      </c>
      <c r="B13" s="64">
        <v>1.02</v>
      </c>
      <c r="C13" s="64">
        <v>24.14</v>
      </c>
      <c r="D13" s="64">
        <v>14.79</v>
      </c>
      <c r="E13" s="64">
        <v>0.97</v>
      </c>
      <c r="F13" s="64">
        <v>10.119999999999999</v>
      </c>
      <c r="G13" s="64">
        <v>27.09</v>
      </c>
      <c r="H13" s="64">
        <v>15.11</v>
      </c>
      <c r="I13" s="64">
        <v>0.65</v>
      </c>
      <c r="J13" s="64">
        <v>0.46</v>
      </c>
      <c r="K13" s="64">
        <v>186.99</v>
      </c>
      <c r="L13" s="64">
        <v>25.98</v>
      </c>
      <c r="M13" s="64">
        <v>50.62</v>
      </c>
      <c r="N13" s="64">
        <v>5.2</v>
      </c>
      <c r="O13" s="64">
        <v>0</v>
      </c>
      <c r="P13" s="64">
        <v>0.33</v>
      </c>
      <c r="Q13" s="64">
        <v>29.97</v>
      </c>
      <c r="R13" s="198"/>
      <c r="S13" s="198"/>
      <c r="T13" s="198"/>
      <c r="U13" s="198"/>
    </row>
    <row r="14" spans="1:21" s="12" customFormat="1" x14ac:dyDescent="0.25">
      <c r="A14" s="211" t="s">
        <v>2078</v>
      </c>
      <c r="B14" s="64">
        <v>1.17</v>
      </c>
      <c r="C14" s="64">
        <v>23.25</v>
      </c>
      <c r="D14" s="64">
        <v>14.42</v>
      </c>
      <c r="E14" s="64">
        <v>1.1599999999999999</v>
      </c>
      <c r="F14" s="64">
        <v>13.25</v>
      </c>
      <c r="G14" s="64">
        <v>27.09</v>
      </c>
      <c r="H14" s="64">
        <v>15.11</v>
      </c>
      <c r="I14" s="64">
        <v>0.5</v>
      </c>
      <c r="J14" s="64">
        <v>0.65</v>
      </c>
      <c r="K14" s="64">
        <v>227.4</v>
      </c>
      <c r="L14" s="64">
        <v>24.37</v>
      </c>
      <c r="M14" s="64">
        <v>66.319999999999993</v>
      </c>
      <c r="N14" s="64">
        <v>12.7</v>
      </c>
      <c r="O14" s="64">
        <v>2.2000000000000002</v>
      </c>
      <c r="P14" s="64">
        <v>0.35</v>
      </c>
      <c r="Q14" s="64">
        <v>29.9</v>
      </c>
      <c r="R14" s="198"/>
      <c r="S14" s="198"/>
      <c r="T14" s="198"/>
      <c r="U14" s="198"/>
    </row>
    <row r="15" spans="1:21" s="12" customFormat="1" x14ac:dyDescent="0.25">
      <c r="A15" s="211" t="s">
        <v>2079</v>
      </c>
      <c r="B15" s="64">
        <v>1.32</v>
      </c>
      <c r="C15" s="64">
        <v>23.98</v>
      </c>
      <c r="D15" s="64">
        <v>14.94</v>
      </c>
      <c r="E15" s="64">
        <v>0.96</v>
      </c>
      <c r="F15" s="64">
        <v>6.3</v>
      </c>
      <c r="G15" s="64">
        <v>26.88</v>
      </c>
      <c r="H15" s="64">
        <v>15.32</v>
      </c>
      <c r="I15" s="64">
        <v>0.52</v>
      </c>
      <c r="J15" s="64">
        <v>1.1299999999999999</v>
      </c>
      <c r="K15" s="64">
        <v>195.37</v>
      </c>
      <c r="L15" s="64">
        <v>24.29</v>
      </c>
      <c r="M15" s="64">
        <v>56.79</v>
      </c>
      <c r="N15" s="64">
        <v>9.3000000000000007</v>
      </c>
      <c r="O15" s="64">
        <v>0.4</v>
      </c>
      <c r="P15" s="64">
        <v>0.35</v>
      </c>
      <c r="Q15" s="64">
        <v>29.92</v>
      </c>
      <c r="R15" s="198"/>
      <c r="S15" s="198"/>
      <c r="T15" s="198"/>
      <c r="U15" s="198"/>
    </row>
    <row r="16" spans="1:21" s="12" customFormat="1" x14ac:dyDescent="0.25">
      <c r="A16" s="211" t="s">
        <v>2080</v>
      </c>
      <c r="B16" s="64">
        <v>1.28</v>
      </c>
      <c r="C16" s="64">
        <v>25.18</v>
      </c>
      <c r="D16" s="64">
        <v>15.57</v>
      </c>
      <c r="E16" s="64">
        <v>1.1000000000000001</v>
      </c>
      <c r="F16" s="64">
        <v>6.11</v>
      </c>
      <c r="G16" s="64">
        <v>25.07</v>
      </c>
      <c r="H16" s="64">
        <v>16.670000000000002</v>
      </c>
      <c r="I16" s="64">
        <v>0.51</v>
      </c>
      <c r="J16" s="64">
        <v>0.37</v>
      </c>
      <c r="K16" s="64">
        <v>253.84</v>
      </c>
      <c r="L16" s="64">
        <v>23.71</v>
      </c>
      <c r="M16" s="64">
        <v>65.819999999999993</v>
      </c>
      <c r="N16" s="64">
        <v>7.9</v>
      </c>
      <c r="O16" s="64">
        <v>0</v>
      </c>
      <c r="P16" s="64">
        <v>0.35</v>
      </c>
      <c r="Q16" s="64">
        <v>29.7</v>
      </c>
      <c r="R16" s="198"/>
      <c r="S16" s="198"/>
      <c r="T16" s="198"/>
      <c r="U16" s="198"/>
    </row>
    <row r="17" spans="1:21" s="12" customFormat="1" x14ac:dyDescent="0.25">
      <c r="A17" s="211" t="s">
        <v>2081</v>
      </c>
      <c r="B17" s="64">
        <v>1.04</v>
      </c>
      <c r="C17" s="64">
        <v>25.58</v>
      </c>
      <c r="D17" s="64">
        <v>15.6</v>
      </c>
      <c r="E17" s="64">
        <v>1.36</v>
      </c>
      <c r="F17" s="64">
        <v>5.91</v>
      </c>
      <c r="G17" s="64">
        <v>25.07</v>
      </c>
      <c r="H17" s="64">
        <v>16.670000000000002</v>
      </c>
      <c r="I17" s="64">
        <v>0.51</v>
      </c>
      <c r="J17" s="64">
        <v>0.47</v>
      </c>
      <c r="K17" s="64">
        <v>145.59</v>
      </c>
      <c r="L17" s="64">
        <v>23.86</v>
      </c>
      <c r="M17" s="64">
        <v>66.849999999999994</v>
      </c>
      <c r="N17" s="64">
        <v>7.6</v>
      </c>
      <c r="O17" s="64">
        <v>0</v>
      </c>
      <c r="P17" s="64">
        <v>0.35</v>
      </c>
      <c r="Q17" s="64">
        <v>29.69</v>
      </c>
      <c r="R17" s="198"/>
      <c r="S17" s="198"/>
      <c r="T17" s="198"/>
      <c r="U17" s="198"/>
    </row>
    <row r="18" spans="1:21" s="12" customFormat="1" x14ac:dyDescent="0.25">
      <c r="A18" s="211" t="s">
        <v>2082</v>
      </c>
      <c r="B18" s="64">
        <v>1</v>
      </c>
      <c r="C18" s="64">
        <v>26.18</v>
      </c>
      <c r="D18" s="64">
        <v>15.9</v>
      </c>
      <c r="E18" s="64">
        <v>1.1399999999999999</v>
      </c>
      <c r="F18" s="64">
        <v>5.24</v>
      </c>
      <c r="G18" s="64">
        <v>25.07</v>
      </c>
      <c r="H18" s="64">
        <v>16.670000000000002</v>
      </c>
      <c r="I18" s="64">
        <v>0.52</v>
      </c>
      <c r="J18" s="64">
        <v>0.08</v>
      </c>
      <c r="K18" s="64">
        <v>257.31</v>
      </c>
      <c r="L18" s="64">
        <v>23.9</v>
      </c>
      <c r="M18" s="64">
        <v>66.73</v>
      </c>
      <c r="N18" s="64">
        <v>7.1</v>
      </c>
      <c r="O18" s="64">
        <v>0</v>
      </c>
      <c r="P18" s="64">
        <v>0.33</v>
      </c>
      <c r="Q18" s="64">
        <v>29.85</v>
      </c>
      <c r="R18" s="198"/>
      <c r="S18" s="198"/>
      <c r="T18" s="198"/>
      <c r="U18" s="198"/>
    </row>
    <row r="19" spans="1:21" s="12" customFormat="1" x14ac:dyDescent="0.25">
      <c r="A19" s="211" t="s">
        <v>2083</v>
      </c>
      <c r="B19" s="64">
        <v>1.04</v>
      </c>
      <c r="C19" s="64">
        <v>26.87</v>
      </c>
      <c r="D19" s="64">
        <v>16.309999999999999</v>
      </c>
      <c r="E19" s="64">
        <v>0.95</v>
      </c>
      <c r="F19" s="64">
        <v>4.9800000000000004</v>
      </c>
      <c r="G19" s="64">
        <v>24.79</v>
      </c>
      <c r="H19" s="64">
        <v>16.5</v>
      </c>
      <c r="I19" s="64">
        <v>0.48</v>
      </c>
      <c r="J19" s="64">
        <v>0.48</v>
      </c>
      <c r="K19" s="64">
        <v>171.43</v>
      </c>
      <c r="L19" s="64">
        <v>23.92</v>
      </c>
      <c r="M19" s="64">
        <v>66.62</v>
      </c>
      <c r="N19" s="64">
        <v>7.5</v>
      </c>
      <c r="O19" s="64">
        <v>0</v>
      </c>
      <c r="P19" s="64">
        <v>0.33</v>
      </c>
      <c r="Q19" s="64">
        <v>29.71</v>
      </c>
      <c r="R19" s="198"/>
      <c r="S19" s="198"/>
      <c r="T19" s="198"/>
      <c r="U19" s="198"/>
    </row>
    <row r="20" spans="1:21" s="12" customFormat="1" x14ac:dyDescent="0.25">
      <c r="A20" s="211" t="s">
        <v>2084</v>
      </c>
      <c r="B20" s="64">
        <v>1.1200000000000001</v>
      </c>
      <c r="C20" s="64">
        <v>27.24</v>
      </c>
      <c r="D20" s="64">
        <v>16.57</v>
      </c>
      <c r="E20" s="64">
        <v>1.24</v>
      </c>
      <c r="F20" s="64">
        <v>4.7300000000000004</v>
      </c>
      <c r="G20" s="64">
        <v>22.56</v>
      </c>
      <c r="H20" s="64">
        <v>15.4</v>
      </c>
      <c r="I20" s="64">
        <v>0.55000000000000004</v>
      </c>
      <c r="J20" s="64">
        <v>0.46</v>
      </c>
      <c r="K20" s="64">
        <v>195.53</v>
      </c>
      <c r="L20" s="64">
        <v>23.74</v>
      </c>
      <c r="M20" s="64">
        <v>66.52</v>
      </c>
      <c r="N20" s="64">
        <v>7.2</v>
      </c>
      <c r="O20" s="64">
        <v>0</v>
      </c>
      <c r="P20" s="64">
        <v>0.34</v>
      </c>
      <c r="Q20" s="64">
        <v>29.82</v>
      </c>
      <c r="R20" s="198"/>
      <c r="S20" s="198"/>
      <c r="T20" s="198"/>
      <c r="U20" s="198"/>
    </row>
    <row r="21" spans="1:21" s="12" customFormat="1" x14ac:dyDescent="0.25">
      <c r="A21" s="211" t="s">
        <v>2085</v>
      </c>
      <c r="B21" s="64">
        <v>1.1499999999999999</v>
      </c>
      <c r="C21" s="64">
        <v>26.34</v>
      </c>
      <c r="D21" s="64">
        <v>16.100000000000001</v>
      </c>
      <c r="E21" s="64">
        <v>0.93</v>
      </c>
      <c r="F21" s="64">
        <v>4.6399999999999997</v>
      </c>
      <c r="G21" s="64">
        <v>22.56</v>
      </c>
      <c r="H21" s="64">
        <v>15.4</v>
      </c>
      <c r="I21" s="64">
        <v>0.61</v>
      </c>
      <c r="J21" s="64">
        <v>0.4</v>
      </c>
      <c r="K21" s="64">
        <v>220.9</v>
      </c>
      <c r="L21" s="64">
        <v>23.29</v>
      </c>
      <c r="M21" s="64">
        <v>66.13</v>
      </c>
      <c r="N21" s="64">
        <v>5.9</v>
      </c>
      <c r="O21" s="64">
        <v>0</v>
      </c>
      <c r="P21" s="64">
        <v>0.34</v>
      </c>
      <c r="Q21" s="64">
        <v>29.63</v>
      </c>
      <c r="R21" s="198"/>
      <c r="S21" s="198"/>
      <c r="T21" s="198"/>
      <c r="U21" s="198"/>
    </row>
    <row r="22" spans="1:21" s="12" customFormat="1" x14ac:dyDescent="0.25">
      <c r="A22" s="211" t="s">
        <v>2086</v>
      </c>
      <c r="B22" s="64">
        <v>1.1100000000000001</v>
      </c>
      <c r="C22" s="64">
        <v>26.41</v>
      </c>
      <c r="D22" s="64">
        <v>16.12</v>
      </c>
      <c r="E22" s="64">
        <v>1.08</v>
      </c>
      <c r="F22" s="64">
        <v>5.01</v>
      </c>
      <c r="G22" s="64">
        <v>22.56</v>
      </c>
      <c r="H22" s="64">
        <v>15.4</v>
      </c>
      <c r="I22" s="64">
        <v>0.51</v>
      </c>
      <c r="J22" s="64">
        <v>0.59</v>
      </c>
      <c r="K22" s="64">
        <v>197.04</v>
      </c>
      <c r="L22" s="64">
        <v>23.13</v>
      </c>
      <c r="M22" s="64">
        <v>65.89</v>
      </c>
      <c r="N22" s="64">
        <v>4.5999999999999996</v>
      </c>
      <c r="O22" s="64">
        <v>0</v>
      </c>
      <c r="P22" s="64">
        <v>0.33</v>
      </c>
      <c r="Q22" s="64">
        <v>29.54</v>
      </c>
      <c r="R22" s="198"/>
      <c r="S22" s="198"/>
      <c r="T22" s="198"/>
      <c r="U22" s="198"/>
    </row>
    <row r="23" spans="1:21" s="12" customFormat="1" x14ac:dyDescent="0.25">
      <c r="A23" s="211" t="s">
        <v>2087</v>
      </c>
      <c r="B23" s="64">
        <v>1.17</v>
      </c>
      <c r="C23" s="64">
        <v>24.27</v>
      </c>
      <c r="D23" s="64">
        <v>14.98</v>
      </c>
      <c r="E23" s="64">
        <v>0.93</v>
      </c>
      <c r="F23" s="64">
        <v>9.35</v>
      </c>
      <c r="G23" s="64">
        <v>22.51</v>
      </c>
      <c r="H23" s="64">
        <v>15.24</v>
      </c>
      <c r="I23" s="64">
        <v>0.51</v>
      </c>
      <c r="J23" s="64">
        <v>0.46</v>
      </c>
      <c r="K23" s="64">
        <v>208.02</v>
      </c>
      <c r="L23" s="64">
        <v>23.49</v>
      </c>
      <c r="M23" s="64">
        <v>65.58</v>
      </c>
      <c r="N23" s="64">
        <v>4.4000000000000004</v>
      </c>
      <c r="O23" s="64">
        <v>0</v>
      </c>
      <c r="P23" s="64">
        <v>0.32</v>
      </c>
      <c r="Q23" s="64">
        <v>30.06</v>
      </c>
      <c r="R23" s="198"/>
      <c r="S23" s="198"/>
      <c r="T23" s="198"/>
      <c r="U23" s="198"/>
    </row>
    <row r="24" spans="1:21" s="12" customFormat="1" x14ac:dyDescent="0.25">
      <c r="A24" s="211" t="s">
        <v>2088</v>
      </c>
      <c r="B24" s="64">
        <v>1.46</v>
      </c>
      <c r="C24" s="64">
        <v>25.06</v>
      </c>
      <c r="D24" s="64">
        <v>15.65</v>
      </c>
      <c r="E24" s="64">
        <v>0.05</v>
      </c>
      <c r="F24" s="64">
        <v>7.4</v>
      </c>
      <c r="G24" s="64">
        <v>22.11</v>
      </c>
      <c r="H24" s="64">
        <v>14.15</v>
      </c>
      <c r="I24" s="64">
        <v>0.55000000000000004</v>
      </c>
      <c r="J24" s="64">
        <v>0.37</v>
      </c>
      <c r="K24" s="64">
        <v>213.92</v>
      </c>
      <c r="L24" s="64">
        <v>23.03</v>
      </c>
      <c r="M24" s="64">
        <v>65.06</v>
      </c>
      <c r="N24" s="64">
        <v>4.8</v>
      </c>
      <c r="O24" s="64">
        <v>0</v>
      </c>
      <c r="P24" s="64">
        <v>0.33</v>
      </c>
      <c r="Q24" s="64">
        <v>29.99</v>
      </c>
      <c r="R24" s="198"/>
      <c r="S24" s="198"/>
      <c r="T24" s="198"/>
      <c r="U24" s="198"/>
    </row>
    <row r="25" spans="1:21" s="12" customFormat="1" x14ac:dyDescent="0.25">
      <c r="A25" s="211" t="s">
        <v>2089</v>
      </c>
      <c r="B25" s="64">
        <v>1.72</v>
      </c>
      <c r="C25" s="64">
        <v>25.46</v>
      </c>
      <c r="D25" s="64">
        <v>16.079999999999998</v>
      </c>
      <c r="E25" s="64">
        <v>0.24</v>
      </c>
      <c r="F25" s="64">
        <v>8.3699999999999992</v>
      </c>
      <c r="G25" s="64">
        <v>22.11</v>
      </c>
      <c r="H25" s="64">
        <v>14.15</v>
      </c>
      <c r="I25" s="64">
        <v>0.46</v>
      </c>
      <c r="J25" s="64">
        <v>0.4</v>
      </c>
      <c r="K25" s="64">
        <v>223.11</v>
      </c>
      <c r="L25" s="64">
        <v>22.93</v>
      </c>
      <c r="M25" s="64">
        <v>64.33</v>
      </c>
      <c r="N25" s="64">
        <v>4.9000000000000004</v>
      </c>
      <c r="O25" s="64">
        <v>0</v>
      </c>
      <c r="P25" s="64">
        <v>0.32</v>
      </c>
      <c r="Q25" s="64">
        <v>30.07</v>
      </c>
      <c r="R25" s="198"/>
      <c r="S25" s="198"/>
      <c r="T25" s="198"/>
      <c r="U25" s="198"/>
    </row>
    <row r="26" spans="1:21" s="12" customFormat="1" x14ac:dyDescent="0.25">
      <c r="A26" s="211" t="s">
        <v>2090</v>
      </c>
      <c r="B26" s="64">
        <v>1.99</v>
      </c>
      <c r="C26" s="64">
        <v>25.06</v>
      </c>
      <c r="D26" s="64">
        <v>16.07</v>
      </c>
      <c r="E26" s="64">
        <v>0.06</v>
      </c>
      <c r="F26" s="64">
        <v>10.67</v>
      </c>
      <c r="G26" s="64">
        <v>22.11</v>
      </c>
      <c r="H26" s="64">
        <v>14.15</v>
      </c>
      <c r="I26" s="64">
        <v>0.49</v>
      </c>
      <c r="J26" s="64">
        <v>0.44</v>
      </c>
      <c r="K26" s="64">
        <v>199.07</v>
      </c>
      <c r="L26" s="64">
        <v>22.91</v>
      </c>
      <c r="M26" s="64">
        <v>64.180000000000007</v>
      </c>
      <c r="N26" s="64">
        <v>4.7</v>
      </c>
      <c r="O26" s="64">
        <v>0</v>
      </c>
      <c r="P26" s="64">
        <v>0.31</v>
      </c>
      <c r="Q26" s="64">
        <v>30.28</v>
      </c>
      <c r="R26" s="198"/>
      <c r="S26" s="198"/>
      <c r="T26" s="198"/>
      <c r="U26" s="198"/>
    </row>
    <row r="27" spans="1:21" s="12" customFormat="1" x14ac:dyDescent="0.25">
      <c r="A27" s="211" t="s">
        <v>2091</v>
      </c>
      <c r="B27" s="64">
        <v>2.3199999999999998</v>
      </c>
      <c r="C27" s="64">
        <v>24.7</v>
      </c>
      <c r="D27" s="64">
        <v>16.14</v>
      </c>
      <c r="E27" s="64">
        <v>0.28000000000000003</v>
      </c>
      <c r="F27" s="64">
        <v>7.74</v>
      </c>
      <c r="G27" s="64">
        <v>22.07</v>
      </c>
      <c r="H27" s="64">
        <v>13.75</v>
      </c>
      <c r="I27" s="64">
        <v>0.61</v>
      </c>
      <c r="J27" s="64">
        <v>0.34</v>
      </c>
      <c r="K27" s="64">
        <v>200.96</v>
      </c>
      <c r="L27" s="64">
        <v>23.22</v>
      </c>
      <c r="M27" s="64">
        <v>63.75</v>
      </c>
      <c r="N27" s="64">
        <v>5</v>
      </c>
      <c r="O27" s="64">
        <v>0</v>
      </c>
      <c r="P27" s="64">
        <v>0.32</v>
      </c>
      <c r="Q27" s="64">
        <v>30.29</v>
      </c>
      <c r="R27" s="198"/>
      <c r="S27" s="198"/>
      <c r="T27" s="198"/>
      <c r="U27" s="198"/>
    </row>
    <row r="28" spans="1:21" s="12" customFormat="1" x14ac:dyDescent="0.25">
      <c r="A28" s="211" t="s">
        <v>2092</v>
      </c>
      <c r="B28" s="64">
        <v>2.5</v>
      </c>
      <c r="C28" s="64">
        <v>24.98</v>
      </c>
      <c r="D28" s="64">
        <v>16.43</v>
      </c>
      <c r="E28" s="64">
        <v>0.47</v>
      </c>
      <c r="F28" s="64">
        <v>5.05</v>
      </c>
      <c r="G28" s="64">
        <v>21.73</v>
      </c>
      <c r="H28" s="64">
        <v>11.15</v>
      </c>
      <c r="I28" s="64">
        <v>0.49</v>
      </c>
      <c r="J28" s="64">
        <v>0.4</v>
      </c>
      <c r="K28" s="64">
        <v>206.85</v>
      </c>
      <c r="L28" s="64">
        <v>22.77</v>
      </c>
      <c r="M28" s="64">
        <v>64.09</v>
      </c>
      <c r="N28" s="64">
        <v>4.9000000000000004</v>
      </c>
      <c r="O28" s="64">
        <v>0</v>
      </c>
      <c r="P28" s="64">
        <v>0.33</v>
      </c>
      <c r="Q28" s="64">
        <v>29.74</v>
      </c>
      <c r="R28" s="198"/>
      <c r="S28" s="198"/>
      <c r="T28" s="198"/>
      <c r="U28" s="198"/>
    </row>
    <row r="29" spans="1:21" s="12" customFormat="1" x14ac:dyDescent="0.25">
      <c r="A29" s="211" t="s">
        <v>2093</v>
      </c>
      <c r="B29" s="64">
        <v>2.2200000000000002</v>
      </c>
      <c r="C29" s="64">
        <v>26.3</v>
      </c>
      <c r="D29" s="64">
        <v>16.940000000000001</v>
      </c>
      <c r="E29" s="64">
        <v>0.19</v>
      </c>
      <c r="F29" s="64">
        <v>4.66</v>
      </c>
      <c r="G29" s="64">
        <v>21.73</v>
      </c>
      <c r="H29" s="64">
        <v>11.15</v>
      </c>
      <c r="I29" s="64">
        <v>0.63</v>
      </c>
      <c r="J29" s="64">
        <v>0.32</v>
      </c>
      <c r="K29" s="64">
        <v>211.12</v>
      </c>
      <c r="L29" s="64">
        <v>22.68</v>
      </c>
      <c r="M29" s="64">
        <v>64.62</v>
      </c>
      <c r="N29" s="64">
        <v>6.8</v>
      </c>
      <c r="O29" s="64">
        <v>0</v>
      </c>
      <c r="P29" s="64">
        <v>0.32</v>
      </c>
      <c r="Q29" s="64">
        <v>29.75</v>
      </c>
      <c r="R29" s="198"/>
      <c r="S29" s="198"/>
      <c r="T29" s="198"/>
      <c r="U29" s="198"/>
    </row>
    <row r="30" spans="1:21" s="12" customFormat="1" x14ac:dyDescent="0.25">
      <c r="A30" s="211" t="s">
        <v>2094</v>
      </c>
      <c r="B30" s="64">
        <v>2.13</v>
      </c>
      <c r="C30" s="64">
        <v>27.21</v>
      </c>
      <c r="D30" s="64">
        <v>17.37</v>
      </c>
      <c r="E30" s="64">
        <v>0.25</v>
      </c>
      <c r="F30" s="64">
        <v>4.47</v>
      </c>
      <c r="G30" s="64">
        <v>21.73</v>
      </c>
      <c r="H30" s="64">
        <v>11.15</v>
      </c>
      <c r="I30" s="64">
        <v>0.55000000000000004</v>
      </c>
      <c r="J30" s="64">
        <v>0.19</v>
      </c>
      <c r="K30" s="64">
        <v>213.33</v>
      </c>
      <c r="L30" s="64">
        <v>22.6</v>
      </c>
      <c r="M30" s="64">
        <v>65.2</v>
      </c>
      <c r="N30" s="64">
        <v>14.1</v>
      </c>
      <c r="O30" s="64">
        <v>0</v>
      </c>
      <c r="P30" s="64">
        <v>0.33</v>
      </c>
      <c r="Q30" s="64">
        <v>29.91</v>
      </c>
      <c r="R30" s="198"/>
      <c r="S30" s="198"/>
      <c r="T30" s="198"/>
      <c r="U30" s="198"/>
    </row>
    <row r="31" spans="1:21" s="12" customFormat="1" x14ac:dyDescent="0.25">
      <c r="A31" s="211" t="s">
        <v>2095</v>
      </c>
      <c r="B31" s="64">
        <v>2.19</v>
      </c>
      <c r="C31" s="64">
        <v>28.61</v>
      </c>
      <c r="D31" s="64">
        <v>18.190000000000001</v>
      </c>
      <c r="E31" s="64">
        <v>0.34</v>
      </c>
      <c r="F31" s="64">
        <v>4.05</v>
      </c>
      <c r="G31" s="64">
        <v>21.4</v>
      </c>
      <c r="H31" s="64">
        <v>11.29</v>
      </c>
      <c r="I31" s="64">
        <v>0.59</v>
      </c>
      <c r="J31" s="64">
        <v>0.15</v>
      </c>
      <c r="K31" s="64">
        <v>191.63</v>
      </c>
      <c r="L31" s="64">
        <v>22.97</v>
      </c>
      <c r="M31" s="64">
        <v>65.44</v>
      </c>
      <c r="N31" s="64">
        <v>27.9</v>
      </c>
      <c r="O31" s="64">
        <v>0</v>
      </c>
      <c r="P31" s="64">
        <v>0.34</v>
      </c>
      <c r="Q31" s="64">
        <v>29.76</v>
      </c>
      <c r="R31" s="198"/>
      <c r="S31" s="198"/>
      <c r="T31" s="198"/>
      <c r="U31" s="198"/>
    </row>
    <row r="32" spans="1:21" s="12" customFormat="1" x14ac:dyDescent="0.25">
      <c r="A32" s="211" t="s">
        <v>2096</v>
      </c>
      <c r="B32" s="64">
        <v>2.84</v>
      </c>
      <c r="C32" s="64">
        <v>29.94</v>
      </c>
      <c r="D32" s="64">
        <v>19.45</v>
      </c>
      <c r="E32" s="64">
        <v>0.35</v>
      </c>
      <c r="F32" s="64">
        <v>2.94</v>
      </c>
      <c r="G32" s="64">
        <v>18.829999999999998</v>
      </c>
      <c r="H32" s="64">
        <v>12.2</v>
      </c>
      <c r="I32" s="64">
        <v>0.64</v>
      </c>
      <c r="J32" s="64">
        <v>0.13</v>
      </c>
      <c r="K32" s="64">
        <v>344.59</v>
      </c>
      <c r="L32" s="64">
        <v>22.93</v>
      </c>
      <c r="M32" s="64">
        <v>65.88</v>
      </c>
      <c r="N32" s="64">
        <v>49</v>
      </c>
      <c r="O32" s="64">
        <v>0</v>
      </c>
      <c r="P32" s="64">
        <v>0.36</v>
      </c>
      <c r="Q32" s="64">
        <v>29.81</v>
      </c>
      <c r="R32" s="198"/>
      <c r="S32" s="198"/>
      <c r="T32" s="198"/>
      <c r="U32" s="198"/>
    </row>
    <row r="33" spans="1:21" s="12" customFormat="1" x14ac:dyDescent="0.25">
      <c r="A33" s="211" t="s">
        <v>2097</v>
      </c>
      <c r="B33" s="64">
        <v>4.6900000000000004</v>
      </c>
      <c r="C33" s="64">
        <v>31.93</v>
      </c>
      <c r="D33" s="64">
        <v>22.03</v>
      </c>
      <c r="E33" s="64">
        <v>0.18</v>
      </c>
      <c r="F33" s="64">
        <v>3.12</v>
      </c>
      <c r="G33" s="64">
        <v>18.829999999999998</v>
      </c>
      <c r="H33" s="64">
        <v>12.2</v>
      </c>
      <c r="I33" s="64">
        <v>0.89</v>
      </c>
      <c r="J33" s="64">
        <v>0.13</v>
      </c>
      <c r="K33" s="64">
        <v>296.95</v>
      </c>
      <c r="L33" s="64">
        <v>23.79</v>
      </c>
      <c r="M33" s="64">
        <v>64.8</v>
      </c>
      <c r="N33" s="64">
        <v>81.5</v>
      </c>
      <c r="O33" s="64">
        <v>0</v>
      </c>
      <c r="P33" s="64">
        <v>0.39</v>
      </c>
      <c r="Q33" s="64">
        <v>29.76</v>
      </c>
      <c r="R33" s="198"/>
      <c r="S33" s="198"/>
      <c r="T33" s="198"/>
      <c r="U33" s="198"/>
    </row>
    <row r="34" spans="1:21" s="12" customFormat="1" x14ac:dyDescent="0.25">
      <c r="A34" s="211" t="s">
        <v>2098</v>
      </c>
      <c r="B34" s="64">
        <v>10.54</v>
      </c>
      <c r="C34" s="64">
        <v>35.28</v>
      </c>
      <c r="D34" s="64">
        <v>28.57</v>
      </c>
      <c r="E34" s="64">
        <v>0.09</v>
      </c>
      <c r="F34" s="64">
        <v>6.87</v>
      </c>
      <c r="G34" s="64">
        <v>18.829999999999998</v>
      </c>
      <c r="H34" s="64">
        <v>12.2</v>
      </c>
      <c r="I34" s="64">
        <v>0.56000000000000005</v>
      </c>
      <c r="J34" s="64">
        <v>0.11</v>
      </c>
      <c r="K34" s="64">
        <v>221.47</v>
      </c>
      <c r="L34" s="64">
        <v>24.97</v>
      </c>
      <c r="M34" s="64">
        <v>61.35</v>
      </c>
      <c r="N34" s="64">
        <v>117.3</v>
      </c>
      <c r="O34" s="64">
        <v>0</v>
      </c>
      <c r="P34" s="64">
        <v>0.45</v>
      </c>
      <c r="Q34" s="64">
        <v>29.8</v>
      </c>
      <c r="R34" s="198"/>
      <c r="S34" s="198"/>
      <c r="T34" s="198"/>
      <c r="U34" s="198"/>
    </row>
    <row r="35" spans="1:21" s="12" customFormat="1" x14ac:dyDescent="0.25">
      <c r="A35" s="211" t="s">
        <v>2099</v>
      </c>
      <c r="B35" s="64">
        <v>11.59</v>
      </c>
      <c r="C35" s="64">
        <v>32.32</v>
      </c>
      <c r="D35" s="64">
        <v>27.77</v>
      </c>
      <c r="E35" s="64">
        <v>0.3</v>
      </c>
      <c r="F35" s="64">
        <v>14.51</v>
      </c>
      <c r="G35" s="64">
        <v>19.34</v>
      </c>
      <c r="H35" s="64">
        <v>12.63</v>
      </c>
      <c r="I35" s="64">
        <v>0.5</v>
      </c>
      <c r="J35" s="64">
        <v>0.13</v>
      </c>
      <c r="K35" s="64">
        <v>297.67</v>
      </c>
      <c r="L35" s="64">
        <v>26.74</v>
      </c>
      <c r="M35" s="64">
        <v>54.21</v>
      </c>
      <c r="N35" s="64">
        <v>170.3</v>
      </c>
      <c r="O35" s="64">
        <v>0</v>
      </c>
      <c r="P35" s="64">
        <v>0.51</v>
      </c>
      <c r="Q35" s="64">
        <v>29.19</v>
      </c>
      <c r="R35" s="198"/>
      <c r="S35" s="198"/>
      <c r="T35" s="198"/>
      <c r="U35" s="198"/>
    </row>
    <row r="36" spans="1:21" s="12" customFormat="1" x14ac:dyDescent="0.25">
      <c r="A36" s="211" t="s">
        <v>2100</v>
      </c>
      <c r="B36" s="64">
        <v>9.44</v>
      </c>
      <c r="C36" s="64">
        <v>32.33</v>
      </c>
      <c r="D36" s="64">
        <v>26.06</v>
      </c>
      <c r="E36" s="64">
        <v>0.34</v>
      </c>
      <c r="F36" s="64">
        <v>18.12</v>
      </c>
      <c r="G36" s="64">
        <v>23.96</v>
      </c>
      <c r="H36" s="64">
        <v>15.38</v>
      </c>
      <c r="I36" s="64">
        <v>0.49</v>
      </c>
      <c r="J36" s="64">
        <v>0.15</v>
      </c>
      <c r="K36" s="64">
        <v>290.64999999999998</v>
      </c>
      <c r="L36" s="64">
        <v>28.2</v>
      </c>
      <c r="M36" s="64">
        <v>48.41</v>
      </c>
      <c r="N36" s="64">
        <v>229.1</v>
      </c>
      <c r="O36" s="64">
        <v>0</v>
      </c>
      <c r="P36" s="64">
        <v>0.51</v>
      </c>
      <c r="Q36" s="64">
        <v>30.37</v>
      </c>
      <c r="R36" s="198"/>
      <c r="S36" s="198"/>
      <c r="T36" s="198"/>
      <c r="U36" s="198"/>
    </row>
    <row r="37" spans="1:21" s="12" customFormat="1" x14ac:dyDescent="0.25">
      <c r="A37" s="211" t="s">
        <v>2101</v>
      </c>
      <c r="B37" s="64">
        <v>5.81</v>
      </c>
      <c r="C37" s="64">
        <v>30.03</v>
      </c>
      <c r="D37" s="64">
        <v>21.88</v>
      </c>
      <c r="E37" s="64">
        <v>0.56999999999999995</v>
      </c>
      <c r="F37" s="64">
        <v>15.58</v>
      </c>
      <c r="G37" s="64">
        <v>23.96</v>
      </c>
      <c r="H37" s="64">
        <v>15.38</v>
      </c>
      <c r="I37" s="64">
        <v>0.57999999999999996</v>
      </c>
      <c r="J37" s="64">
        <v>0.3</v>
      </c>
      <c r="K37" s="64">
        <v>178.28</v>
      </c>
      <c r="L37" s="64">
        <v>27.13</v>
      </c>
      <c r="M37" s="64">
        <v>50.32</v>
      </c>
      <c r="N37" s="64">
        <v>282.2</v>
      </c>
      <c r="O37" s="64">
        <v>0</v>
      </c>
      <c r="P37" s="64">
        <v>0.42</v>
      </c>
      <c r="Q37" s="64">
        <v>31.34</v>
      </c>
      <c r="R37" s="198"/>
      <c r="S37" s="198"/>
      <c r="T37" s="198"/>
      <c r="U37" s="198"/>
    </row>
    <row r="38" spans="1:21" s="12" customFormat="1" x14ac:dyDescent="0.25">
      <c r="A38" s="211" t="s">
        <v>2102</v>
      </c>
      <c r="B38" s="64">
        <v>6.5</v>
      </c>
      <c r="C38" s="64">
        <v>28.6</v>
      </c>
      <c r="D38" s="64">
        <v>21.64</v>
      </c>
      <c r="E38" s="64">
        <v>0.88</v>
      </c>
      <c r="F38" s="64">
        <v>10.83</v>
      </c>
      <c r="G38" s="64">
        <v>23.96</v>
      </c>
      <c r="H38" s="64">
        <v>15.38</v>
      </c>
      <c r="I38" s="64">
        <v>0.49</v>
      </c>
      <c r="J38" s="64">
        <v>1.24</v>
      </c>
      <c r="K38" s="64">
        <v>164.36</v>
      </c>
      <c r="L38" s="64">
        <v>26.53</v>
      </c>
      <c r="M38" s="64">
        <v>51.42</v>
      </c>
      <c r="N38" s="64">
        <v>340.8</v>
      </c>
      <c r="O38" s="64">
        <v>0</v>
      </c>
      <c r="P38" s="64">
        <v>0.43</v>
      </c>
      <c r="Q38" s="64">
        <v>31.57</v>
      </c>
      <c r="R38" s="198"/>
      <c r="S38" s="198"/>
      <c r="T38" s="198"/>
      <c r="U38" s="198"/>
    </row>
    <row r="39" spans="1:21" s="12" customFormat="1" x14ac:dyDescent="0.25">
      <c r="A39" s="211" t="s">
        <v>2103</v>
      </c>
      <c r="B39" s="64">
        <v>6.89</v>
      </c>
      <c r="C39" s="64">
        <v>27.87</v>
      </c>
      <c r="D39" s="64">
        <v>21.56</v>
      </c>
      <c r="E39" s="64">
        <v>0.64</v>
      </c>
      <c r="F39" s="64">
        <v>6.13</v>
      </c>
      <c r="G39" s="64">
        <v>23.65</v>
      </c>
      <c r="H39" s="64">
        <v>15.29</v>
      </c>
      <c r="I39" s="64">
        <v>0.54</v>
      </c>
      <c r="J39" s="64">
        <v>1.08</v>
      </c>
      <c r="K39" s="64">
        <v>168.87</v>
      </c>
      <c r="L39" s="64">
        <v>26.68</v>
      </c>
      <c r="M39" s="64">
        <v>52.23</v>
      </c>
      <c r="N39" s="64">
        <v>406.2</v>
      </c>
      <c r="O39" s="64">
        <v>0</v>
      </c>
      <c r="P39" s="64">
        <v>0.43</v>
      </c>
      <c r="Q39" s="64">
        <v>31.83</v>
      </c>
      <c r="R39" s="198"/>
      <c r="S39" s="198"/>
      <c r="T39" s="198"/>
      <c r="U39" s="198"/>
    </row>
    <row r="40" spans="1:21" s="12" customFormat="1" x14ac:dyDescent="0.25">
      <c r="A40" s="211" t="s">
        <v>2104</v>
      </c>
      <c r="B40" s="64">
        <v>5.98</v>
      </c>
      <c r="C40" s="64">
        <v>29.35</v>
      </c>
      <c r="D40" s="64">
        <v>21.64</v>
      </c>
      <c r="E40" s="64">
        <v>1.72</v>
      </c>
      <c r="F40" s="64">
        <v>4.0599999999999996</v>
      </c>
      <c r="G40" s="64">
        <v>20.91</v>
      </c>
      <c r="H40" s="64">
        <v>14.66</v>
      </c>
      <c r="I40" s="64">
        <v>0.72</v>
      </c>
      <c r="J40" s="64">
        <v>1.1499999999999999</v>
      </c>
      <c r="K40" s="64">
        <v>163.84</v>
      </c>
      <c r="L40" s="64">
        <v>27.44</v>
      </c>
      <c r="M40" s="64">
        <v>50.77</v>
      </c>
      <c r="N40" s="64">
        <v>462.3</v>
      </c>
      <c r="O40" s="64">
        <v>0</v>
      </c>
      <c r="P40" s="64">
        <v>0.43</v>
      </c>
      <c r="Q40" s="64">
        <v>31.11</v>
      </c>
      <c r="R40" s="198"/>
      <c r="S40" s="198"/>
      <c r="T40" s="198"/>
      <c r="U40" s="198"/>
    </row>
    <row r="41" spans="1:21" s="12" customFormat="1" x14ac:dyDescent="0.25">
      <c r="A41" s="211" t="s">
        <v>2105</v>
      </c>
      <c r="B41" s="64">
        <v>4.2699999999999996</v>
      </c>
      <c r="C41" s="64">
        <v>30.76</v>
      </c>
      <c r="D41" s="64">
        <v>21.05</v>
      </c>
      <c r="E41" s="64">
        <v>2.0299999999999998</v>
      </c>
      <c r="F41" s="64">
        <v>4.18</v>
      </c>
      <c r="G41" s="64">
        <v>20.91</v>
      </c>
      <c r="H41" s="64">
        <v>14.66</v>
      </c>
      <c r="I41" s="64">
        <v>0.6</v>
      </c>
      <c r="J41" s="64">
        <v>0.23</v>
      </c>
      <c r="K41" s="64">
        <v>198.77</v>
      </c>
      <c r="L41" s="64">
        <v>27.74</v>
      </c>
      <c r="M41" s="64">
        <v>51.4</v>
      </c>
      <c r="N41" s="64">
        <v>509.1</v>
      </c>
      <c r="O41" s="64">
        <v>0</v>
      </c>
      <c r="P41" s="64">
        <v>0.42</v>
      </c>
      <c r="Q41" s="64">
        <v>30.86</v>
      </c>
      <c r="R41" s="198"/>
      <c r="S41" s="198"/>
      <c r="T41" s="198"/>
      <c r="U41" s="198"/>
    </row>
    <row r="42" spans="1:21" s="12" customFormat="1" x14ac:dyDescent="0.25">
      <c r="A42" s="211" t="s">
        <v>2106</v>
      </c>
      <c r="B42" s="64">
        <v>2.89</v>
      </c>
      <c r="C42" s="64">
        <v>31.49</v>
      </c>
      <c r="D42" s="64">
        <v>20.34</v>
      </c>
      <c r="E42" s="64">
        <v>2.0499999999999998</v>
      </c>
      <c r="F42" s="64">
        <v>4.75</v>
      </c>
      <c r="G42" s="64">
        <v>20.91</v>
      </c>
      <c r="H42" s="64">
        <v>14.66</v>
      </c>
      <c r="I42" s="64">
        <v>0.57999999999999996</v>
      </c>
      <c r="J42" s="64">
        <v>0.03</v>
      </c>
      <c r="K42" s="64">
        <v>316.19</v>
      </c>
      <c r="L42" s="64">
        <v>29.66</v>
      </c>
      <c r="M42" s="64">
        <v>48.27</v>
      </c>
      <c r="N42" s="64">
        <v>553.5</v>
      </c>
      <c r="O42" s="64">
        <v>0</v>
      </c>
      <c r="P42" s="64">
        <v>0.43</v>
      </c>
      <c r="Q42" s="64">
        <v>30.54</v>
      </c>
      <c r="R42" s="198"/>
      <c r="S42" s="198"/>
      <c r="T42" s="198"/>
      <c r="U42" s="198"/>
    </row>
    <row r="43" spans="1:21" s="12" customFormat="1" x14ac:dyDescent="0.25">
      <c r="A43" s="211" t="s">
        <v>2107</v>
      </c>
      <c r="B43" s="64">
        <v>2.2400000000000002</v>
      </c>
      <c r="C43" s="64">
        <v>32.6</v>
      </c>
      <c r="D43" s="64">
        <v>20.440000000000001</v>
      </c>
      <c r="E43" s="64">
        <v>1.85</v>
      </c>
      <c r="F43" s="64">
        <v>5.22</v>
      </c>
      <c r="G43" s="64">
        <v>21.56</v>
      </c>
      <c r="H43" s="64">
        <v>15.04</v>
      </c>
      <c r="I43" s="64">
        <v>0.68</v>
      </c>
      <c r="J43" s="64">
        <v>0.4</v>
      </c>
      <c r="K43" s="64">
        <v>257.85000000000002</v>
      </c>
      <c r="L43" s="64">
        <v>31.22</v>
      </c>
      <c r="M43" s="64">
        <v>47.04</v>
      </c>
      <c r="N43" s="64">
        <v>607.29999999999995</v>
      </c>
      <c r="O43" s="64">
        <v>0</v>
      </c>
      <c r="P43" s="64">
        <v>0.45</v>
      </c>
      <c r="Q43" s="64">
        <v>30.06</v>
      </c>
      <c r="R43" s="198"/>
      <c r="S43" s="198"/>
      <c r="T43" s="198"/>
      <c r="U43" s="198"/>
    </row>
    <row r="44" spans="1:21" s="12" customFormat="1" x14ac:dyDescent="0.25">
      <c r="A44" s="211" t="s">
        <v>2108</v>
      </c>
      <c r="B44" s="64">
        <v>2.0299999999999998</v>
      </c>
      <c r="C44" s="64">
        <v>33.53</v>
      </c>
      <c r="D44" s="64">
        <v>20.78</v>
      </c>
      <c r="E44" s="64">
        <v>2.19</v>
      </c>
      <c r="F44" s="64">
        <v>5.3</v>
      </c>
      <c r="G44" s="64">
        <v>26.83</v>
      </c>
      <c r="H44" s="64">
        <v>17.440000000000001</v>
      </c>
      <c r="I44" s="64">
        <v>0.57999999999999996</v>
      </c>
      <c r="J44" s="64">
        <v>0.05</v>
      </c>
      <c r="K44" s="64">
        <v>334.57</v>
      </c>
      <c r="L44" s="64">
        <v>31.14</v>
      </c>
      <c r="M44" s="64">
        <v>46.05</v>
      </c>
      <c r="N44" s="64">
        <v>650.9</v>
      </c>
      <c r="O44" s="64">
        <v>0</v>
      </c>
      <c r="P44" s="64">
        <v>0.47</v>
      </c>
      <c r="Q44" s="64">
        <v>29.67</v>
      </c>
      <c r="R44" s="198"/>
      <c r="S44" s="198"/>
      <c r="T44" s="198"/>
      <c r="U44" s="198"/>
    </row>
    <row r="45" spans="1:21" s="12" customFormat="1" x14ac:dyDescent="0.25">
      <c r="A45" s="211" t="s">
        <v>2109</v>
      </c>
      <c r="B45" s="64">
        <v>1.74</v>
      </c>
      <c r="C45" s="64">
        <v>32.99</v>
      </c>
      <c r="D45" s="64">
        <v>20.25</v>
      </c>
      <c r="E45" s="64">
        <v>1.97</v>
      </c>
      <c r="F45" s="64">
        <v>5.58</v>
      </c>
      <c r="G45" s="64">
        <v>26.83</v>
      </c>
      <c r="H45" s="64">
        <v>17.440000000000001</v>
      </c>
      <c r="I45" s="64">
        <v>0.67</v>
      </c>
      <c r="J45" s="64">
        <v>0.06</v>
      </c>
      <c r="K45" s="64">
        <v>336.14</v>
      </c>
      <c r="L45" s="64">
        <v>30.9</v>
      </c>
      <c r="M45" s="64">
        <v>45.04</v>
      </c>
      <c r="N45" s="64">
        <v>699.9</v>
      </c>
      <c r="O45" s="64">
        <v>0</v>
      </c>
      <c r="P45" s="64">
        <v>0.48</v>
      </c>
      <c r="Q45" s="64">
        <v>29.45</v>
      </c>
      <c r="R45" s="198"/>
      <c r="S45" s="198"/>
      <c r="T45" s="198"/>
      <c r="U45" s="198"/>
    </row>
    <row r="46" spans="1:21" s="12" customFormat="1" x14ac:dyDescent="0.25">
      <c r="A46" s="211" t="s">
        <v>2110</v>
      </c>
      <c r="B46" s="64">
        <v>1.67</v>
      </c>
      <c r="C46" s="64">
        <v>35.18</v>
      </c>
      <c r="D46" s="64">
        <v>21.4</v>
      </c>
      <c r="E46" s="64">
        <v>2.0699999999999998</v>
      </c>
      <c r="F46" s="64">
        <v>8.33</v>
      </c>
      <c r="G46" s="64">
        <v>26.83</v>
      </c>
      <c r="H46" s="64">
        <v>17.440000000000001</v>
      </c>
      <c r="I46" s="64">
        <v>0.52</v>
      </c>
      <c r="J46" s="64">
        <v>0.1</v>
      </c>
      <c r="K46" s="64">
        <v>239.72</v>
      </c>
      <c r="L46" s="64">
        <v>31.4</v>
      </c>
      <c r="M46" s="64">
        <v>44.93</v>
      </c>
      <c r="N46" s="64">
        <v>740.7</v>
      </c>
      <c r="O46" s="64">
        <v>0</v>
      </c>
      <c r="P46" s="64">
        <v>0.49</v>
      </c>
      <c r="Q46" s="64">
        <v>29.34</v>
      </c>
      <c r="R46" s="198"/>
      <c r="S46" s="198"/>
      <c r="T46" s="198"/>
      <c r="U46" s="198"/>
    </row>
    <row r="47" spans="1:21" s="12" customFormat="1" x14ac:dyDescent="0.25">
      <c r="A47" s="211" t="s">
        <v>2111</v>
      </c>
      <c r="B47" s="64">
        <v>2.16</v>
      </c>
      <c r="C47" s="64">
        <v>32.33</v>
      </c>
      <c r="D47" s="64">
        <v>20.22</v>
      </c>
      <c r="E47" s="64">
        <v>2.37</v>
      </c>
      <c r="F47" s="64">
        <v>10.14</v>
      </c>
      <c r="G47" s="64">
        <v>27.2</v>
      </c>
      <c r="H47" s="64">
        <v>17.43</v>
      </c>
      <c r="I47" s="64">
        <v>0.5</v>
      </c>
      <c r="J47" s="64">
        <v>0.17</v>
      </c>
      <c r="K47" s="64">
        <v>217.7</v>
      </c>
      <c r="L47" s="64">
        <v>31.49</v>
      </c>
      <c r="M47" s="64">
        <v>44.52</v>
      </c>
      <c r="N47" s="64">
        <v>776.3</v>
      </c>
      <c r="O47" s="64">
        <v>0</v>
      </c>
      <c r="P47" s="64">
        <v>0.51</v>
      </c>
      <c r="Q47" s="64">
        <v>29.84</v>
      </c>
      <c r="R47" s="198"/>
      <c r="S47" s="198"/>
      <c r="T47" s="198"/>
      <c r="U47" s="198"/>
    </row>
    <row r="48" spans="1:21" s="12" customFormat="1" x14ac:dyDescent="0.25">
      <c r="A48" s="211" t="s">
        <v>2112</v>
      </c>
      <c r="B48" s="64">
        <v>1.74</v>
      </c>
      <c r="C48" s="64">
        <v>33.01</v>
      </c>
      <c r="D48" s="64">
        <v>20.260000000000002</v>
      </c>
      <c r="E48" s="64">
        <v>1.95</v>
      </c>
      <c r="F48" s="64">
        <v>10.25</v>
      </c>
      <c r="G48" s="64">
        <v>30.17</v>
      </c>
      <c r="H48" s="64">
        <v>17.309999999999999</v>
      </c>
      <c r="I48" s="64">
        <v>0.56000000000000005</v>
      </c>
      <c r="J48" s="64">
        <v>0.16</v>
      </c>
      <c r="K48" s="64">
        <v>262.64999999999998</v>
      </c>
      <c r="L48" s="64">
        <v>32.56</v>
      </c>
      <c r="M48" s="64">
        <v>43.47</v>
      </c>
      <c r="N48" s="64">
        <v>807.2</v>
      </c>
      <c r="O48" s="64">
        <v>0</v>
      </c>
      <c r="P48" s="64">
        <v>0.53</v>
      </c>
      <c r="Q48" s="64">
        <v>29.06</v>
      </c>
      <c r="R48" s="198"/>
      <c r="S48" s="198"/>
      <c r="T48" s="198"/>
      <c r="U48" s="198"/>
    </row>
    <row r="49" spans="1:21" s="12" customFormat="1" x14ac:dyDescent="0.25">
      <c r="A49" s="211" t="s">
        <v>2113</v>
      </c>
      <c r="B49" s="64">
        <v>1.54</v>
      </c>
      <c r="C49" s="64">
        <v>31.28</v>
      </c>
      <c r="D49" s="64">
        <v>19.149999999999999</v>
      </c>
      <c r="E49" s="64">
        <v>2.3199999999999998</v>
      </c>
      <c r="F49" s="64">
        <v>12.28</v>
      </c>
      <c r="G49" s="64">
        <v>30.17</v>
      </c>
      <c r="H49" s="64">
        <v>17.309999999999999</v>
      </c>
      <c r="I49" s="64">
        <v>0.74</v>
      </c>
      <c r="J49" s="64">
        <v>0.02</v>
      </c>
      <c r="K49" s="64">
        <v>259.45</v>
      </c>
      <c r="L49" s="64">
        <v>33.159999999999997</v>
      </c>
      <c r="M49" s="64">
        <v>41.9</v>
      </c>
      <c r="N49" s="64">
        <v>836.4</v>
      </c>
      <c r="O49" s="64">
        <v>0</v>
      </c>
      <c r="P49" s="64">
        <v>0.55000000000000004</v>
      </c>
      <c r="Q49" s="64">
        <v>29.01</v>
      </c>
      <c r="R49" s="198"/>
      <c r="S49" s="198"/>
      <c r="T49" s="198"/>
      <c r="U49" s="198"/>
    </row>
    <row r="50" spans="1:21" s="12" customFormat="1" x14ac:dyDescent="0.25">
      <c r="A50" s="211" t="s">
        <v>2114</v>
      </c>
      <c r="B50" s="64">
        <v>1.56</v>
      </c>
      <c r="C50" s="64">
        <v>32.15</v>
      </c>
      <c r="D50" s="64">
        <v>19.64</v>
      </c>
      <c r="E50" s="64">
        <v>2.54</v>
      </c>
      <c r="F50" s="64">
        <v>40.020000000000003</v>
      </c>
      <c r="G50" s="64">
        <v>30.17</v>
      </c>
      <c r="H50" s="64">
        <v>17.309999999999999</v>
      </c>
      <c r="I50" s="64">
        <v>0.65</v>
      </c>
      <c r="J50" s="64">
        <v>0.19</v>
      </c>
      <c r="K50" s="64">
        <v>246.62</v>
      </c>
      <c r="L50" s="64">
        <v>32.78</v>
      </c>
      <c r="M50" s="64">
        <v>42.12</v>
      </c>
      <c r="N50" s="64">
        <v>865.5</v>
      </c>
      <c r="O50" s="64">
        <v>0</v>
      </c>
      <c r="P50" s="64">
        <v>0.59</v>
      </c>
      <c r="Q50" s="64">
        <v>29.62</v>
      </c>
      <c r="R50" s="198"/>
      <c r="S50" s="198"/>
      <c r="T50" s="198"/>
      <c r="U50" s="198"/>
    </row>
    <row r="51" spans="1:21" s="12" customFormat="1" x14ac:dyDescent="0.25">
      <c r="A51" s="211" t="s">
        <v>2115</v>
      </c>
      <c r="B51" s="64">
        <v>1.54</v>
      </c>
      <c r="C51" s="64">
        <v>28.43</v>
      </c>
      <c r="D51" s="64">
        <v>17.57</v>
      </c>
      <c r="E51" s="64">
        <v>2.64</v>
      </c>
      <c r="F51" s="64">
        <v>17.829999999999998</v>
      </c>
      <c r="G51" s="64">
        <v>30.19</v>
      </c>
      <c r="H51" s="64">
        <v>17.440000000000001</v>
      </c>
      <c r="I51" s="64">
        <v>0.68</v>
      </c>
      <c r="J51" s="64">
        <v>0.2</v>
      </c>
      <c r="K51" s="64">
        <v>266.58</v>
      </c>
      <c r="L51" s="64">
        <v>35.06</v>
      </c>
      <c r="M51" s="64">
        <v>37.909999999999997</v>
      </c>
      <c r="N51" s="64">
        <v>882.9</v>
      </c>
      <c r="O51" s="64">
        <v>0</v>
      </c>
      <c r="P51" s="64">
        <v>0.56999999999999995</v>
      </c>
      <c r="Q51" s="64">
        <v>29.17</v>
      </c>
      <c r="R51" s="198"/>
      <c r="S51" s="198"/>
      <c r="T51" s="198"/>
      <c r="U51" s="198"/>
    </row>
    <row r="52" spans="1:21" s="12" customFormat="1" x14ac:dyDescent="0.25">
      <c r="A52" s="211" t="s">
        <v>2116</v>
      </c>
      <c r="B52" s="64">
        <v>1</v>
      </c>
      <c r="C52" s="64">
        <v>28.16</v>
      </c>
      <c r="D52" s="64">
        <v>16.989999999999998</v>
      </c>
      <c r="E52" s="64">
        <v>2.58</v>
      </c>
      <c r="F52" s="64">
        <v>11.33</v>
      </c>
      <c r="G52" s="64">
        <v>30.33</v>
      </c>
      <c r="H52" s="64">
        <v>18.27</v>
      </c>
      <c r="I52" s="64">
        <v>0.49</v>
      </c>
      <c r="J52" s="64">
        <v>0.16</v>
      </c>
      <c r="K52" s="64">
        <v>283.99</v>
      </c>
      <c r="L52" s="64">
        <v>35.549999999999997</v>
      </c>
      <c r="M52" s="64">
        <v>36.76</v>
      </c>
      <c r="N52" s="64">
        <v>906.7</v>
      </c>
      <c r="O52" s="64">
        <v>0</v>
      </c>
      <c r="P52" s="64">
        <v>0.62</v>
      </c>
      <c r="Q52" s="64">
        <v>28.61</v>
      </c>
      <c r="R52" s="198"/>
      <c r="S52" s="198"/>
      <c r="T52" s="198"/>
      <c r="U52" s="198"/>
    </row>
    <row r="53" spans="1:21" s="12" customFormat="1" x14ac:dyDescent="0.25">
      <c r="A53" s="211" t="s">
        <v>2117</v>
      </c>
      <c r="B53" s="64">
        <v>1.04</v>
      </c>
      <c r="C53" s="64">
        <v>29.05</v>
      </c>
      <c r="D53" s="64">
        <v>17.52</v>
      </c>
      <c r="E53" s="64">
        <v>1.98</v>
      </c>
      <c r="F53" s="64">
        <v>9.27</v>
      </c>
      <c r="G53" s="64">
        <v>30.33</v>
      </c>
      <c r="H53" s="64">
        <v>18.27</v>
      </c>
      <c r="I53" s="64">
        <v>0.51</v>
      </c>
      <c r="J53" s="64">
        <v>0.2</v>
      </c>
      <c r="K53" s="64">
        <v>269.55</v>
      </c>
      <c r="L53" s="64">
        <v>35.35</v>
      </c>
      <c r="M53" s="64">
        <v>36.520000000000003</v>
      </c>
      <c r="N53" s="64">
        <v>915.1</v>
      </c>
      <c r="O53" s="64">
        <v>0</v>
      </c>
      <c r="P53" s="64">
        <v>0.67</v>
      </c>
      <c r="Q53" s="64">
        <v>28.61</v>
      </c>
      <c r="R53" s="198"/>
      <c r="S53" s="198"/>
      <c r="T53" s="198"/>
      <c r="U53" s="198"/>
    </row>
    <row r="54" spans="1:21" s="12" customFormat="1" x14ac:dyDescent="0.25">
      <c r="A54" s="211" t="s">
        <v>2118</v>
      </c>
      <c r="B54" s="64">
        <v>1.02</v>
      </c>
      <c r="C54" s="64">
        <v>29.98</v>
      </c>
      <c r="D54" s="64">
        <v>18</v>
      </c>
      <c r="E54" s="64">
        <v>2.12</v>
      </c>
      <c r="F54" s="64">
        <v>9.06</v>
      </c>
      <c r="G54" s="64">
        <v>30.33</v>
      </c>
      <c r="H54" s="64">
        <v>18.27</v>
      </c>
      <c r="I54" s="64">
        <v>0.48</v>
      </c>
      <c r="J54" s="64">
        <v>0.35</v>
      </c>
      <c r="K54" s="64">
        <v>263.02</v>
      </c>
      <c r="L54" s="64">
        <v>35.96</v>
      </c>
      <c r="M54" s="64">
        <v>35.090000000000003</v>
      </c>
      <c r="N54" s="64">
        <v>906</v>
      </c>
      <c r="O54" s="64">
        <v>0</v>
      </c>
      <c r="P54" s="64">
        <v>0.74</v>
      </c>
      <c r="Q54" s="64">
        <v>28.38</v>
      </c>
      <c r="R54" s="198"/>
      <c r="S54" s="198"/>
      <c r="T54" s="198"/>
      <c r="U54" s="198"/>
    </row>
    <row r="55" spans="1:21" s="12" customFormat="1" x14ac:dyDescent="0.25">
      <c r="A55" s="211" t="s">
        <v>2119</v>
      </c>
      <c r="B55" s="64">
        <v>1</v>
      </c>
      <c r="C55" s="64">
        <v>30.64</v>
      </c>
      <c r="D55" s="64">
        <v>18.36</v>
      </c>
      <c r="E55" s="64">
        <v>2.29</v>
      </c>
      <c r="F55" s="64">
        <v>11.88</v>
      </c>
      <c r="G55" s="64">
        <v>30.99</v>
      </c>
      <c r="H55" s="64">
        <v>18.59</v>
      </c>
      <c r="I55" s="64">
        <v>0.5</v>
      </c>
      <c r="J55" s="64">
        <v>0.35</v>
      </c>
      <c r="K55" s="64">
        <v>177.61</v>
      </c>
      <c r="L55" s="64">
        <v>35.86</v>
      </c>
      <c r="M55" s="64">
        <v>34.590000000000003</v>
      </c>
      <c r="N55" s="64">
        <v>901</v>
      </c>
      <c r="O55" s="64">
        <v>0</v>
      </c>
      <c r="P55" s="64">
        <v>0.82</v>
      </c>
      <c r="Q55" s="64">
        <v>28.38</v>
      </c>
      <c r="R55" s="198"/>
      <c r="S55" s="198"/>
      <c r="T55" s="198"/>
      <c r="U55" s="198"/>
    </row>
    <row r="56" spans="1:21" s="12" customFormat="1" x14ac:dyDescent="0.25">
      <c r="A56" s="211" t="s">
        <v>2120</v>
      </c>
      <c r="B56" s="64">
        <v>1.03</v>
      </c>
      <c r="C56" s="64">
        <v>31.25</v>
      </c>
      <c r="D56" s="64">
        <v>18.72</v>
      </c>
      <c r="E56" s="64">
        <v>2.1</v>
      </c>
      <c r="F56" s="64">
        <v>12.28</v>
      </c>
      <c r="G56" s="64">
        <v>36.25</v>
      </c>
      <c r="H56" s="64">
        <v>20.66</v>
      </c>
      <c r="I56" s="64">
        <v>0.63</v>
      </c>
      <c r="J56" s="64">
        <v>0.11</v>
      </c>
      <c r="K56" s="64">
        <v>296.04000000000002</v>
      </c>
      <c r="L56" s="64">
        <v>36.590000000000003</v>
      </c>
      <c r="M56" s="64">
        <v>33.42</v>
      </c>
      <c r="N56" s="64">
        <v>894.9</v>
      </c>
      <c r="O56" s="64">
        <v>0</v>
      </c>
      <c r="P56" s="64">
        <v>0.87</v>
      </c>
      <c r="Q56" s="64">
        <v>28.23</v>
      </c>
      <c r="R56" s="198"/>
      <c r="S56" s="198"/>
      <c r="T56" s="198"/>
      <c r="U56" s="198"/>
    </row>
    <row r="57" spans="1:21" s="12" customFormat="1" x14ac:dyDescent="0.25">
      <c r="A57" s="211" t="s">
        <v>2121</v>
      </c>
      <c r="B57" s="64">
        <v>1</v>
      </c>
      <c r="C57" s="64">
        <v>32.89</v>
      </c>
      <c r="D57" s="64">
        <v>19.600000000000001</v>
      </c>
      <c r="E57" s="64">
        <v>2.13</v>
      </c>
      <c r="F57" s="64">
        <v>15.02</v>
      </c>
      <c r="G57" s="64">
        <v>36.25</v>
      </c>
      <c r="H57" s="64">
        <v>20.66</v>
      </c>
      <c r="I57" s="64">
        <v>0.54</v>
      </c>
      <c r="J57" s="64">
        <v>0.39</v>
      </c>
      <c r="K57" s="64">
        <v>224.43</v>
      </c>
      <c r="L57" s="64">
        <v>36.22</v>
      </c>
      <c r="M57" s="64">
        <v>31.4</v>
      </c>
      <c r="N57" s="64">
        <v>906.7</v>
      </c>
      <c r="O57" s="64">
        <v>0</v>
      </c>
      <c r="P57" s="64">
        <v>0.91</v>
      </c>
      <c r="Q57" s="64">
        <v>28.23</v>
      </c>
      <c r="R57" s="198"/>
      <c r="S57" s="198"/>
      <c r="T57" s="198"/>
      <c r="U57" s="198"/>
    </row>
    <row r="58" spans="1:21" s="12" customFormat="1" x14ac:dyDescent="0.25">
      <c r="A58" s="211" t="s">
        <v>2122</v>
      </c>
      <c r="B58" s="64">
        <v>1.03</v>
      </c>
      <c r="C58" s="64">
        <v>36.909999999999997</v>
      </c>
      <c r="D58" s="64">
        <v>21.84</v>
      </c>
      <c r="E58" s="64">
        <v>4.58</v>
      </c>
      <c r="F58" s="64">
        <v>41.29</v>
      </c>
      <c r="G58" s="64">
        <v>36.25</v>
      </c>
      <c r="H58" s="64">
        <v>20.66</v>
      </c>
      <c r="I58" s="64">
        <v>0.57999999999999996</v>
      </c>
      <c r="J58" s="64">
        <v>0.15</v>
      </c>
      <c r="K58" s="64">
        <v>246.56</v>
      </c>
      <c r="L58" s="64">
        <v>36.479999999999997</v>
      </c>
      <c r="M58" s="64">
        <v>30.57</v>
      </c>
      <c r="N58" s="64">
        <v>888.8</v>
      </c>
      <c r="O58" s="64">
        <v>0</v>
      </c>
      <c r="P58" s="64">
        <v>1.1200000000000001</v>
      </c>
      <c r="Q58" s="64">
        <v>29.56</v>
      </c>
      <c r="R58" s="198"/>
      <c r="S58" s="198"/>
      <c r="T58" s="198"/>
      <c r="U58" s="198"/>
    </row>
    <row r="59" spans="1:21" s="12" customFormat="1" x14ac:dyDescent="0.25">
      <c r="A59" s="211" t="s">
        <v>2123</v>
      </c>
      <c r="B59" s="64">
        <v>1.35</v>
      </c>
      <c r="C59" s="64">
        <v>32.75</v>
      </c>
      <c r="D59" s="64">
        <v>19.8</v>
      </c>
      <c r="E59" s="64">
        <v>17.079999999999998</v>
      </c>
      <c r="F59" s="64">
        <v>69.62</v>
      </c>
      <c r="G59" s="64">
        <v>36.630000000000003</v>
      </c>
      <c r="H59" s="64">
        <v>21.1</v>
      </c>
      <c r="I59" s="64">
        <v>0.51</v>
      </c>
      <c r="J59" s="64">
        <v>0.09</v>
      </c>
      <c r="K59" s="64">
        <v>233.77</v>
      </c>
      <c r="L59" s="64">
        <v>37.479999999999997</v>
      </c>
      <c r="M59" s="64">
        <v>28.47</v>
      </c>
      <c r="N59" s="64">
        <v>878.9</v>
      </c>
      <c r="O59" s="64">
        <v>0</v>
      </c>
      <c r="P59" s="64">
        <v>1.17</v>
      </c>
      <c r="Q59" s="64">
        <v>30.57</v>
      </c>
      <c r="R59" s="198"/>
      <c r="S59" s="198"/>
      <c r="T59" s="198"/>
      <c r="U59" s="198"/>
    </row>
    <row r="60" spans="1:21" s="12" customFormat="1" x14ac:dyDescent="0.25">
      <c r="A60" s="211" t="s">
        <v>2124</v>
      </c>
      <c r="B60" s="64">
        <v>2.13</v>
      </c>
      <c r="C60" s="64">
        <v>31.11</v>
      </c>
      <c r="D60" s="64">
        <v>19.52</v>
      </c>
      <c r="E60" s="64">
        <v>26.86</v>
      </c>
      <c r="F60" s="64">
        <v>70.28</v>
      </c>
      <c r="G60" s="64">
        <v>39.72</v>
      </c>
      <c r="H60" s="64">
        <v>23.93</v>
      </c>
      <c r="I60" s="64">
        <v>0.5</v>
      </c>
      <c r="J60" s="64">
        <v>0.17</v>
      </c>
      <c r="K60" s="64">
        <v>247.42</v>
      </c>
      <c r="L60" s="64">
        <v>37.340000000000003</v>
      </c>
      <c r="M60" s="64">
        <v>27.95</v>
      </c>
      <c r="N60" s="64">
        <v>852.6</v>
      </c>
      <c r="O60" s="64">
        <v>0</v>
      </c>
      <c r="P60" s="64">
        <v>1.19</v>
      </c>
      <c r="Q60" s="64">
        <v>30.01</v>
      </c>
      <c r="R60" s="198"/>
      <c r="S60" s="198"/>
      <c r="T60" s="198"/>
      <c r="U60" s="198"/>
    </row>
    <row r="61" spans="1:21" s="12" customFormat="1" x14ac:dyDescent="0.25">
      <c r="A61" s="211" t="s">
        <v>2125</v>
      </c>
      <c r="B61" s="64">
        <v>3.34</v>
      </c>
      <c r="C61" s="64">
        <v>36.340000000000003</v>
      </c>
      <c r="D61" s="64">
        <v>23.38</v>
      </c>
      <c r="E61" s="64">
        <v>17.89</v>
      </c>
      <c r="F61" s="64">
        <v>57.05</v>
      </c>
      <c r="G61" s="64">
        <v>39.72</v>
      </c>
      <c r="H61" s="64">
        <v>23.93</v>
      </c>
      <c r="I61" s="64">
        <v>0.57999999999999996</v>
      </c>
      <c r="J61" s="64">
        <v>0.02</v>
      </c>
      <c r="K61" s="64">
        <v>269.19</v>
      </c>
      <c r="L61" s="64">
        <v>37.729999999999997</v>
      </c>
      <c r="M61" s="64">
        <v>25.52</v>
      </c>
      <c r="N61" s="64">
        <v>809.6</v>
      </c>
      <c r="O61" s="64">
        <v>0</v>
      </c>
      <c r="P61" s="64">
        <v>0.93</v>
      </c>
      <c r="Q61" s="64">
        <v>28.17</v>
      </c>
      <c r="R61" s="198"/>
      <c r="S61" s="198"/>
      <c r="T61" s="198"/>
      <c r="U61" s="198"/>
    </row>
    <row r="62" spans="1:21" s="12" customFormat="1" x14ac:dyDescent="0.25">
      <c r="A62" s="211" t="s">
        <v>2126</v>
      </c>
      <c r="B62" s="64">
        <v>1.58</v>
      </c>
      <c r="C62" s="64">
        <v>26.16</v>
      </c>
      <c r="D62" s="64">
        <v>16.350000000000001</v>
      </c>
      <c r="E62" s="64">
        <v>23.76</v>
      </c>
      <c r="F62" s="64">
        <v>65.489999999999995</v>
      </c>
      <c r="G62" s="64">
        <v>39.72</v>
      </c>
      <c r="H62" s="64">
        <v>23.93</v>
      </c>
      <c r="I62" s="64">
        <v>0.62</v>
      </c>
      <c r="J62" s="64">
        <v>0.59</v>
      </c>
      <c r="K62" s="64">
        <v>181.78</v>
      </c>
      <c r="L62" s="64">
        <v>37.49</v>
      </c>
      <c r="M62" s="64">
        <v>25.41</v>
      </c>
      <c r="N62" s="64">
        <v>738.4</v>
      </c>
      <c r="O62" s="64">
        <v>0</v>
      </c>
      <c r="P62" s="64">
        <v>0.87</v>
      </c>
      <c r="Q62" s="64">
        <v>29.08</v>
      </c>
      <c r="R62" s="198"/>
      <c r="S62" s="198"/>
      <c r="T62" s="198"/>
      <c r="U62" s="198"/>
    </row>
    <row r="63" spans="1:21" s="12" customFormat="1" x14ac:dyDescent="0.25">
      <c r="A63" s="211" t="s">
        <v>2127</v>
      </c>
      <c r="B63" s="64">
        <v>1.17</v>
      </c>
      <c r="C63" s="64">
        <v>31.78</v>
      </c>
      <c r="D63" s="64">
        <v>19.12</v>
      </c>
      <c r="E63" s="64">
        <v>13.07</v>
      </c>
      <c r="F63" s="64">
        <v>40.21</v>
      </c>
      <c r="G63" s="64">
        <v>40.94</v>
      </c>
      <c r="H63" s="64">
        <v>24.62</v>
      </c>
      <c r="I63" s="64">
        <v>0.78</v>
      </c>
      <c r="J63" s="64">
        <v>0.27</v>
      </c>
      <c r="K63" s="64">
        <v>211.06</v>
      </c>
      <c r="L63" s="64">
        <v>37.770000000000003</v>
      </c>
      <c r="M63" s="64">
        <v>25.13</v>
      </c>
      <c r="N63" s="64">
        <v>731.7</v>
      </c>
      <c r="O63" s="64">
        <v>0</v>
      </c>
      <c r="P63" s="64">
        <v>0.9</v>
      </c>
      <c r="Q63" s="64">
        <v>29.22</v>
      </c>
      <c r="R63" s="198"/>
      <c r="S63" s="198"/>
      <c r="T63" s="198"/>
      <c r="U63" s="198"/>
    </row>
    <row r="64" spans="1:21" s="12" customFormat="1" x14ac:dyDescent="0.25">
      <c r="A64" s="211" t="s">
        <v>2128</v>
      </c>
      <c r="B64" s="64">
        <v>1</v>
      </c>
      <c r="C64" s="64">
        <v>30.09</v>
      </c>
      <c r="D64" s="64">
        <v>18.05</v>
      </c>
      <c r="E64" s="64">
        <v>14.4</v>
      </c>
      <c r="F64" s="64">
        <v>42.29</v>
      </c>
      <c r="G64" s="64">
        <v>50.69</v>
      </c>
      <c r="H64" s="64">
        <v>29.11</v>
      </c>
      <c r="I64" s="64">
        <v>0.56999999999999995</v>
      </c>
      <c r="J64" s="64">
        <v>0.5</v>
      </c>
      <c r="K64" s="64">
        <v>133.76</v>
      </c>
      <c r="L64" s="64">
        <v>36.75</v>
      </c>
      <c r="M64" s="64">
        <v>25.02</v>
      </c>
      <c r="N64" s="64">
        <v>745.9</v>
      </c>
      <c r="O64" s="64">
        <v>0</v>
      </c>
      <c r="P64" s="64">
        <v>0.84</v>
      </c>
      <c r="Q64" s="64">
        <v>29.58</v>
      </c>
      <c r="R64" s="198"/>
      <c r="S64" s="198"/>
      <c r="T64" s="198"/>
      <c r="U64" s="198"/>
    </row>
    <row r="65" spans="1:21" s="12" customFormat="1" x14ac:dyDescent="0.25">
      <c r="A65" s="211" t="s">
        <v>2129</v>
      </c>
      <c r="B65" s="64">
        <v>1.34</v>
      </c>
      <c r="C65" s="64">
        <v>33.14</v>
      </c>
      <c r="D65" s="64">
        <v>20.010000000000002</v>
      </c>
      <c r="E65" s="64">
        <v>10.75</v>
      </c>
      <c r="F65" s="64">
        <v>29.73</v>
      </c>
      <c r="G65" s="64">
        <v>50.69</v>
      </c>
      <c r="H65" s="64">
        <v>29.11</v>
      </c>
      <c r="I65" s="64">
        <v>0.57999999999999996</v>
      </c>
      <c r="J65" s="64">
        <v>0.78</v>
      </c>
      <c r="K65" s="64">
        <v>254.66</v>
      </c>
      <c r="L65" s="64">
        <v>37.979999999999997</v>
      </c>
      <c r="M65" s="64">
        <v>23.05</v>
      </c>
      <c r="N65" s="64">
        <v>713.3</v>
      </c>
      <c r="O65" s="64">
        <v>0</v>
      </c>
      <c r="P65" s="64">
        <v>0.85</v>
      </c>
      <c r="Q65" s="64">
        <v>30.07</v>
      </c>
      <c r="R65" s="198"/>
      <c r="S65" s="198"/>
      <c r="T65" s="198"/>
      <c r="U65" s="198"/>
    </row>
    <row r="66" spans="1:21" s="12" customFormat="1" x14ac:dyDescent="0.25">
      <c r="A66" s="211" t="s">
        <v>2130</v>
      </c>
      <c r="B66" s="64">
        <v>1.07</v>
      </c>
      <c r="C66" s="64">
        <v>33.22</v>
      </c>
      <c r="D66" s="64">
        <v>19.84</v>
      </c>
      <c r="E66" s="64">
        <v>9.82</v>
      </c>
      <c r="F66" s="64">
        <v>29.01</v>
      </c>
      <c r="G66" s="64">
        <v>50.69</v>
      </c>
      <c r="H66" s="64">
        <v>29.11</v>
      </c>
      <c r="I66" s="64">
        <v>0.63</v>
      </c>
      <c r="J66" s="64">
        <v>0.42</v>
      </c>
      <c r="K66" s="64">
        <v>150.06</v>
      </c>
      <c r="L66" s="64">
        <v>37.090000000000003</v>
      </c>
      <c r="M66" s="64">
        <v>23.46</v>
      </c>
      <c r="N66" s="64">
        <v>332.7</v>
      </c>
      <c r="O66" s="64">
        <v>0</v>
      </c>
      <c r="P66" s="64">
        <v>0.81</v>
      </c>
      <c r="Q66" s="64">
        <v>30.44</v>
      </c>
      <c r="R66" s="198"/>
      <c r="S66" s="198"/>
      <c r="T66" s="198"/>
      <c r="U66" s="198"/>
    </row>
    <row r="67" spans="1:21" s="12" customFormat="1" x14ac:dyDescent="0.25">
      <c r="A67" s="211" t="s">
        <v>2131</v>
      </c>
      <c r="B67" s="64">
        <v>2.1800000000000002</v>
      </c>
      <c r="C67" s="64">
        <v>37.479999999999997</v>
      </c>
      <c r="D67" s="64">
        <v>23.08</v>
      </c>
      <c r="E67" s="64">
        <v>8.3800000000000008</v>
      </c>
      <c r="F67" s="64">
        <v>29.45</v>
      </c>
      <c r="G67" s="64">
        <v>49.72</v>
      </c>
      <c r="H67" s="64">
        <v>28.79</v>
      </c>
      <c r="I67" s="64">
        <v>0.61</v>
      </c>
      <c r="J67" s="64">
        <v>0.36</v>
      </c>
      <c r="K67" s="64">
        <v>254.18</v>
      </c>
      <c r="L67" s="64">
        <v>35.840000000000003</v>
      </c>
      <c r="M67" s="64">
        <v>26.18</v>
      </c>
      <c r="N67" s="64">
        <v>114.8</v>
      </c>
      <c r="O67" s="64">
        <v>0</v>
      </c>
      <c r="P67" s="64">
        <v>0.84</v>
      </c>
      <c r="Q67" s="64">
        <v>30.52</v>
      </c>
      <c r="R67" s="198"/>
      <c r="S67" s="198"/>
      <c r="T67" s="198"/>
      <c r="U67" s="198"/>
    </row>
    <row r="68" spans="1:21" s="12" customFormat="1" x14ac:dyDescent="0.25">
      <c r="A68" s="211" t="s">
        <v>2132</v>
      </c>
      <c r="B68" s="64">
        <v>2.75</v>
      </c>
      <c r="C68" s="64">
        <v>38.729999999999997</v>
      </c>
      <c r="D68" s="64">
        <v>24.23</v>
      </c>
      <c r="E68" s="64">
        <v>6.36</v>
      </c>
      <c r="F68" s="64">
        <v>12.13</v>
      </c>
      <c r="G68" s="64">
        <v>41.93</v>
      </c>
      <c r="H68" s="64">
        <v>26.72</v>
      </c>
      <c r="I68" s="64">
        <v>0.53</v>
      </c>
      <c r="J68" s="64">
        <v>1.65</v>
      </c>
      <c r="K68" s="64">
        <v>255.88</v>
      </c>
      <c r="L68" s="64">
        <v>34.840000000000003</v>
      </c>
      <c r="M68" s="64">
        <v>28.57</v>
      </c>
      <c r="N68" s="64">
        <v>118.8</v>
      </c>
      <c r="O68" s="64">
        <v>0</v>
      </c>
      <c r="P68" s="64">
        <v>0.84</v>
      </c>
      <c r="Q68" s="64">
        <v>30.31</v>
      </c>
      <c r="R68" s="198"/>
      <c r="S68" s="198"/>
      <c r="T68" s="198"/>
      <c r="U68" s="198"/>
    </row>
    <row r="69" spans="1:21" s="12" customFormat="1" x14ac:dyDescent="0.25">
      <c r="A69" s="211" t="s">
        <v>2133</v>
      </c>
      <c r="B69" s="64">
        <v>1.38</v>
      </c>
      <c r="C69" s="64">
        <v>36.85</v>
      </c>
      <c r="D69" s="64">
        <v>22.09</v>
      </c>
      <c r="E69" s="64">
        <v>4.55</v>
      </c>
      <c r="F69" s="64">
        <v>10.49</v>
      </c>
      <c r="G69" s="64">
        <v>41.93</v>
      </c>
      <c r="H69" s="64">
        <v>26.72</v>
      </c>
      <c r="I69" s="64">
        <v>0.59</v>
      </c>
      <c r="J69" s="64">
        <v>2.36</v>
      </c>
      <c r="K69" s="64">
        <v>256.45999999999998</v>
      </c>
      <c r="L69" s="64">
        <v>33.31</v>
      </c>
      <c r="M69" s="64">
        <v>29.82</v>
      </c>
      <c r="N69" s="64">
        <v>109.2</v>
      </c>
      <c r="O69" s="64">
        <v>0</v>
      </c>
      <c r="P69" s="64">
        <v>0.77</v>
      </c>
      <c r="Q69" s="64">
        <v>29.62</v>
      </c>
      <c r="R69" s="198"/>
      <c r="S69" s="198"/>
      <c r="T69" s="198"/>
      <c r="U69" s="198"/>
    </row>
    <row r="70" spans="1:21" s="12" customFormat="1" x14ac:dyDescent="0.25">
      <c r="A70" s="211" t="s">
        <v>2134</v>
      </c>
      <c r="B70" s="64">
        <v>10.39</v>
      </c>
      <c r="C70" s="64">
        <v>43.93</v>
      </c>
      <c r="D70" s="64">
        <v>33.22</v>
      </c>
      <c r="E70" s="64">
        <v>5.0199999999999996</v>
      </c>
      <c r="F70" s="64">
        <v>38.020000000000003</v>
      </c>
      <c r="G70" s="64">
        <v>41.93</v>
      </c>
      <c r="H70" s="64">
        <v>26.72</v>
      </c>
      <c r="I70" s="64">
        <v>0.56999999999999995</v>
      </c>
      <c r="J70" s="64">
        <v>0.73</v>
      </c>
      <c r="K70" s="64">
        <v>265.29000000000002</v>
      </c>
      <c r="L70" s="64">
        <v>32.4</v>
      </c>
      <c r="M70" s="64">
        <v>33.18</v>
      </c>
      <c r="N70" s="64">
        <v>162.19999999999999</v>
      </c>
      <c r="O70" s="64">
        <v>0</v>
      </c>
      <c r="P70" s="64">
        <v>0.7</v>
      </c>
      <c r="Q70" s="64">
        <v>29.94</v>
      </c>
      <c r="R70" s="198"/>
      <c r="S70" s="198"/>
      <c r="T70" s="198"/>
      <c r="U70" s="198"/>
    </row>
    <row r="71" spans="1:21" s="12" customFormat="1" x14ac:dyDescent="0.25">
      <c r="A71" s="211" t="s">
        <v>2135</v>
      </c>
      <c r="B71" s="64">
        <v>3.03</v>
      </c>
      <c r="C71" s="64">
        <v>29.55</v>
      </c>
      <c r="D71" s="64">
        <v>19.38</v>
      </c>
      <c r="E71" s="64">
        <v>6.14</v>
      </c>
      <c r="F71" s="64">
        <v>56.95</v>
      </c>
      <c r="G71" s="64">
        <v>41.55</v>
      </c>
      <c r="H71" s="64">
        <v>26.76</v>
      </c>
      <c r="I71" s="64">
        <v>0.56000000000000005</v>
      </c>
      <c r="J71" s="64">
        <v>0.21</v>
      </c>
      <c r="K71" s="64">
        <v>166.79</v>
      </c>
      <c r="L71" s="64">
        <v>32.880000000000003</v>
      </c>
      <c r="M71" s="64">
        <v>33.79</v>
      </c>
      <c r="N71" s="64">
        <v>304.2</v>
      </c>
      <c r="O71" s="64">
        <v>0</v>
      </c>
      <c r="P71" s="64">
        <v>0.54</v>
      </c>
      <c r="Q71" s="64">
        <v>29.25</v>
      </c>
      <c r="R71" s="198"/>
      <c r="S71" s="198"/>
      <c r="T71" s="198"/>
      <c r="U71" s="198"/>
    </row>
    <row r="72" spans="1:21" s="12" customFormat="1" x14ac:dyDescent="0.25">
      <c r="A72" s="211" t="s">
        <v>2136</v>
      </c>
      <c r="B72" s="64">
        <v>1.99</v>
      </c>
      <c r="C72" s="64">
        <v>34.840000000000003</v>
      </c>
      <c r="D72" s="64">
        <v>21.47</v>
      </c>
      <c r="E72" s="64">
        <v>2.98</v>
      </c>
      <c r="F72" s="64">
        <v>61.61</v>
      </c>
      <c r="G72" s="64">
        <v>38.58</v>
      </c>
      <c r="H72" s="64">
        <v>26.96</v>
      </c>
      <c r="I72" s="64">
        <v>0.55000000000000004</v>
      </c>
      <c r="J72" s="64">
        <v>0.12</v>
      </c>
      <c r="K72" s="64">
        <v>241.02</v>
      </c>
      <c r="L72" s="64">
        <v>34.54</v>
      </c>
      <c r="M72" s="64">
        <v>27.96</v>
      </c>
      <c r="N72" s="64">
        <v>233.1</v>
      </c>
      <c r="O72" s="64">
        <v>0</v>
      </c>
      <c r="P72" s="64">
        <v>0.6</v>
      </c>
      <c r="Q72" s="64">
        <v>29.39</v>
      </c>
      <c r="R72" s="198"/>
      <c r="S72" s="198"/>
      <c r="T72" s="198"/>
      <c r="U72" s="198"/>
    </row>
    <row r="73" spans="1:21" s="12" customFormat="1" x14ac:dyDescent="0.25">
      <c r="A73" s="211" t="s">
        <v>2137</v>
      </c>
      <c r="B73" s="64">
        <v>1.81</v>
      </c>
      <c r="C73" s="64">
        <v>35.57</v>
      </c>
      <c r="D73" s="64">
        <v>21.73</v>
      </c>
      <c r="E73" s="64">
        <v>5.83</v>
      </c>
      <c r="F73" s="64">
        <v>41.14</v>
      </c>
      <c r="G73" s="64">
        <v>38.58</v>
      </c>
      <c r="H73" s="64">
        <v>26.96</v>
      </c>
      <c r="I73" s="64">
        <v>0.47</v>
      </c>
      <c r="J73" s="64">
        <v>0.11</v>
      </c>
      <c r="K73" s="64">
        <v>230.72</v>
      </c>
      <c r="L73" s="64">
        <v>35.409999999999997</v>
      </c>
      <c r="M73" s="64">
        <v>24.89</v>
      </c>
      <c r="N73" s="64">
        <v>135.19999999999999</v>
      </c>
      <c r="O73" s="64">
        <v>0</v>
      </c>
      <c r="P73" s="64">
        <v>0.63</v>
      </c>
      <c r="Q73" s="64">
        <v>29.31</v>
      </c>
      <c r="R73" s="198"/>
      <c r="S73" s="198"/>
      <c r="T73" s="198"/>
      <c r="U73" s="198"/>
    </row>
    <row r="74" spans="1:21" s="12" customFormat="1" x14ac:dyDescent="0.25">
      <c r="A74" s="211" t="s">
        <v>2138</v>
      </c>
      <c r="B74" s="64">
        <v>1.69</v>
      </c>
      <c r="C74" s="64">
        <v>28.33</v>
      </c>
      <c r="D74" s="64">
        <v>17.63</v>
      </c>
      <c r="E74" s="64">
        <v>5.57</v>
      </c>
      <c r="F74" s="64">
        <v>21.57</v>
      </c>
      <c r="G74" s="64">
        <v>38.58</v>
      </c>
      <c r="H74" s="64">
        <v>26.96</v>
      </c>
      <c r="I74" s="64">
        <v>0.66</v>
      </c>
      <c r="J74" s="64">
        <v>0.13</v>
      </c>
      <c r="K74" s="64">
        <v>237.23</v>
      </c>
      <c r="L74" s="64">
        <v>35.380000000000003</v>
      </c>
      <c r="M74" s="64">
        <v>25.76</v>
      </c>
      <c r="N74" s="64">
        <v>114.8</v>
      </c>
      <c r="O74" s="64">
        <v>0</v>
      </c>
      <c r="P74" s="64">
        <v>0.63</v>
      </c>
      <c r="Q74" s="64">
        <v>29.66</v>
      </c>
      <c r="R74" s="198"/>
      <c r="S74" s="198"/>
      <c r="T74" s="198"/>
      <c r="U74" s="198"/>
    </row>
    <row r="75" spans="1:21" s="12" customFormat="1" x14ac:dyDescent="0.25">
      <c r="A75" s="211" t="s">
        <v>2139</v>
      </c>
      <c r="B75" s="64">
        <v>1.35</v>
      </c>
      <c r="C75" s="64">
        <v>30.76</v>
      </c>
      <c r="D75" s="64">
        <v>18.71</v>
      </c>
      <c r="E75" s="64">
        <v>3.41</v>
      </c>
      <c r="F75" s="64">
        <v>14.11</v>
      </c>
      <c r="G75" s="64">
        <v>38.78</v>
      </c>
      <c r="H75" s="64">
        <v>26.55</v>
      </c>
      <c r="I75" s="64">
        <v>0.56999999999999995</v>
      </c>
      <c r="J75" s="64">
        <v>0.19</v>
      </c>
      <c r="K75" s="64">
        <v>213.33</v>
      </c>
      <c r="L75" s="64">
        <v>34.94</v>
      </c>
      <c r="M75" s="64">
        <v>25.72</v>
      </c>
      <c r="N75" s="64">
        <v>102</v>
      </c>
      <c r="O75" s="64">
        <v>0</v>
      </c>
      <c r="P75" s="64">
        <v>0.62</v>
      </c>
      <c r="Q75" s="64">
        <v>29.26</v>
      </c>
      <c r="R75" s="198"/>
      <c r="S75" s="198"/>
      <c r="T75" s="198"/>
      <c r="U75" s="198"/>
    </row>
    <row r="76" spans="1:21" s="12" customFormat="1" x14ac:dyDescent="0.25">
      <c r="A76" s="211" t="s">
        <v>2140</v>
      </c>
      <c r="B76" s="64">
        <v>1.03</v>
      </c>
      <c r="C76" s="64">
        <v>30.38</v>
      </c>
      <c r="D76" s="64">
        <v>18.239999999999998</v>
      </c>
      <c r="E76" s="64">
        <v>2.96</v>
      </c>
      <c r="F76" s="64">
        <v>19.899999999999999</v>
      </c>
      <c r="G76" s="64">
        <v>40.57</v>
      </c>
      <c r="H76" s="64">
        <v>23.92</v>
      </c>
      <c r="I76" s="64">
        <v>0.6</v>
      </c>
      <c r="J76" s="64">
        <v>0.28999999999999998</v>
      </c>
      <c r="K76" s="64">
        <v>167.14</v>
      </c>
      <c r="L76" s="64">
        <v>34.6</v>
      </c>
      <c r="M76" s="64">
        <v>26.36</v>
      </c>
      <c r="N76" s="64">
        <v>84.6</v>
      </c>
      <c r="O76" s="64">
        <v>0</v>
      </c>
      <c r="P76" s="64">
        <v>0.55000000000000004</v>
      </c>
      <c r="Q76" s="64">
        <v>29.51</v>
      </c>
      <c r="R76" s="198"/>
      <c r="S76" s="198"/>
      <c r="T76" s="198"/>
      <c r="U76" s="198"/>
    </row>
    <row r="77" spans="1:21" s="12" customFormat="1" x14ac:dyDescent="0.25">
      <c r="A77" s="211" t="s">
        <v>2141</v>
      </c>
      <c r="B77" s="64">
        <v>1.03</v>
      </c>
      <c r="C77" s="64">
        <v>29.3</v>
      </c>
      <c r="D77" s="64">
        <v>17.64</v>
      </c>
      <c r="E77" s="64">
        <v>3.99</v>
      </c>
      <c r="F77" s="64">
        <v>33.979999999999997</v>
      </c>
      <c r="G77" s="64">
        <v>40.57</v>
      </c>
      <c r="H77" s="64">
        <v>23.92</v>
      </c>
      <c r="I77" s="64">
        <v>0.56999999999999995</v>
      </c>
      <c r="J77" s="64">
        <v>0.44</v>
      </c>
      <c r="K77" s="64">
        <v>154.46</v>
      </c>
      <c r="L77" s="64">
        <v>34.46</v>
      </c>
      <c r="M77" s="64">
        <v>25.93</v>
      </c>
      <c r="N77" s="64">
        <v>83.3</v>
      </c>
      <c r="O77" s="64">
        <v>0</v>
      </c>
      <c r="P77" s="64">
        <v>0.48</v>
      </c>
      <c r="Q77" s="64">
        <v>29.83</v>
      </c>
      <c r="R77" s="198"/>
      <c r="S77" s="198"/>
      <c r="T77" s="198"/>
      <c r="U77" s="198"/>
    </row>
    <row r="78" spans="1:21" s="12" customFormat="1" x14ac:dyDescent="0.25">
      <c r="A78" s="211" t="s">
        <v>2142</v>
      </c>
      <c r="B78" s="64">
        <v>2.2999999999999998</v>
      </c>
      <c r="C78" s="64">
        <v>38.9</v>
      </c>
      <c r="D78" s="64">
        <v>23.96</v>
      </c>
      <c r="E78" s="64">
        <v>4.7699999999999996</v>
      </c>
      <c r="F78" s="64">
        <v>28.73</v>
      </c>
      <c r="G78" s="64">
        <v>40.57</v>
      </c>
      <c r="H78" s="64">
        <v>23.92</v>
      </c>
      <c r="I78" s="64">
        <v>0.56000000000000005</v>
      </c>
      <c r="J78" s="64">
        <v>0.25</v>
      </c>
      <c r="K78" s="64">
        <v>118.32</v>
      </c>
      <c r="L78" s="64">
        <v>34.56</v>
      </c>
      <c r="M78" s="64">
        <v>25.82</v>
      </c>
      <c r="N78" s="64">
        <v>74.900000000000006</v>
      </c>
      <c r="O78" s="64">
        <v>0</v>
      </c>
      <c r="P78" s="64">
        <v>0.47</v>
      </c>
      <c r="Q78" s="64">
        <v>29.7</v>
      </c>
      <c r="R78" s="198"/>
      <c r="S78" s="198"/>
      <c r="T78" s="198"/>
      <c r="U78" s="198"/>
    </row>
    <row r="79" spans="1:21" s="12" customFormat="1" x14ac:dyDescent="0.25">
      <c r="A79" s="211" t="s">
        <v>2143</v>
      </c>
      <c r="B79" s="64">
        <v>1.18</v>
      </c>
      <c r="C79" s="64">
        <v>35.76</v>
      </c>
      <c r="D79" s="64">
        <v>21.33</v>
      </c>
      <c r="E79" s="64">
        <v>3.08</v>
      </c>
      <c r="F79" s="64">
        <v>24.06</v>
      </c>
      <c r="G79" s="64">
        <v>40.58</v>
      </c>
      <c r="H79" s="64">
        <v>23.81</v>
      </c>
      <c r="I79" s="64">
        <v>0.52</v>
      </c>
      <c r="J79" s="64">
        <v>0.76</v>
      </c>
      <c r="K79" s="64">
        <v>114.64</v>
      </c>
      <c r="L79" s="64">
        <v>34.119999999999997</v>
      </c>
      <c r="M79" s="64">
        <v>27.8</v>
      </c>
      <c r="N79" s="64">
        <v>55.8</v>
      </c>
      <c r="O79" s="64">
        <v>0</v>
      </c>
      <c r="P79" s="64">
        <v>0.47</v>
      </c>
      <c r="Q79" s="64">
        <v>29.68</v>
      </c>
      <c r="R79" s="198"/>
      <c r="S79" s="198"/>
      <c r="T79" s="198"/>
      <c r="U79" s="198"/>
    </row>
    <row r="80" spans="1:21" s="12" customFormat="1" x14ac:dyDescent="0.25">
      <c r="A80" s="211" t="s">
        <v>2144</v>
      </c>
      <c r="B80" s="64">
        <v>1.92</v>
      </c>
      <c r="C80" s="64">
        <v>48.93</v>
      </c>
      <c r="D80" s="64">
        <v>29.19</v>
      </c>
      <c r="E80" s="64">
        <v>3.07</v>
      </c>
      <c r="F80" s="64">
        <v>30.62</v>
      </c>
      <c r="G80" s="64">
        <v>40.700000000000003</v>
      </c>
      <c r="H80" s="64">
        <v>23.06</v>
      </c>
      <c r="I80" s="64">
        <v>0.65</v>
      </c>
      <c r="J80" s="64">
        <v>0.55000000000000004</v>
      </c>
      <c r="K80" s="64">
        <v>122.68</v>
      </c>
      <c r="L80" s="64">
        <v>33.909999999999997</v>
      </c>
      <c r="M80" s="64">
        <v>28.12</v>
      </c>
      <c r="N80" s="64">
        <v>34.4</v>
      </c>
      <c r="O80" s="64">
        <v>0</v>
      </c>
      <c r="P80" s="64">
        <v>0.5</v>
      </c>
      <c r="Q80" s="64">
        <v>29.63</v>
      </c>
      <c r="R80" s="198"/>
      <c r="S80" s="198"/>
      <c r="T80" s="198"/>
      <c r="U80" s="198"/>
    </row>
    <row r="81" spans="1:26" s="12" customFormat="1" x14ac:dyDescent="0.25">
      <c r="A81" s="211" t="s">
        <v>2145</v>
      </c>
      <c r="B81" s="64">
        <v>1.57</v>
      </c>
      <c r="C81" s="64">
        <v>47.58</v>
      </c>
      <c r="D81" s="64">
        <v>28.16</v>
      </c>
      <c r="E81" s="64">
        <v>3.66</v>
      </c>
      <c r="F81" s="64">
        <v>45.02</v>
      </c>
      <c r="G81" s="64">
        <v>40.700000000000003</v>
      </c>
      <c r="H81" s="64">
        <v>23.06</v>
      </c>
      <c r="I81" s="64">
        <v>0.55000000000000004</v>
      </c>
      <c r="J81" s="64">
        <v>1.26</v>
      </c>
      <c r="K81" s="64">
        <v>123.56</v>
      </c>
      <c r="L81" s="64">
        <v>33.229999999999997</v>
      </c>
      <c r="M81" s="64">
        <v>29.61</v>
      </c>
      <c r="N81" s="64">
        <v>20.8</v>
      </c>
      <c r="O81" s="64">
        <v>0</v>
      </c>
      <c r="P81" s="64">
        <v>0.53</v>
      </c>
      <c r="Q81" s="64">
        <v>29.98</v>
      </c>
      <c r="R81" s="198"/>
      <c r="S81" s="198"/>
      <c r="T81" s="198"/>
      <c r="U81" s="198"/>
    </row>
    <row r="82" spans="1:26" s="12" customFormat="1" x14ac:dyDescent="0.25">
      <c r="A82" s="211" t="s">
        <v>2146</v>
      </c>
      <c r="B82" s="64">
        <v>1</v>
      </c>
      <c r="C82" s="64">
        <v>45.38</v>
      </c>
      <c r="D82" s="64">
        <v>26.49</v>
      </c>
      <c r="E82" s="64">
        <v>7.95</v>
      </c>
      <c r="F82" s="217" t="s">
        <v>40</v>
      </c>
      <c r="G82" s="64">
        <v>40.700000000000003</v>
      </c>
      <c r="H82" s="64">
        <v>23.06</v>
      </c>
      <c r="I82" s="64">
        <v>0.53</v>
      </c>
      <c r="J82" s="64">
        <v>0.43</v>
      </c>
      <c r="K82" s="64">
        <v>125.66</v>
      </c>
      <c r="L82" s="64">
        <v>32.799999999999997</v>
      </c>
      <c r="M82" s="64">
        <v>30.14</v>
      </c>
      <c r="N82" s="64">
        <v>10</v>
      </c>
      <c r="O82" s="64">
        <v>0</v>
      </c>
      <c r="P82" s="64">
        <v>0.64</v>
      </c>
      <c r="Q82" s="64">
        <v>32.770000000000003</v>
      </c>
      <c r="R82" s="198"/>
      <c r="S82" s="198"/>
      <c r="T82" s="198"/>
      <c r="U82" s="198"/>
    </row>
    <row r="83" spans="1:26" s="12" customFormat="1" x14ac:dyDescent="0.25">
      <c r="A83" s="211" t="s">
        <v>2147</v>
      </c>
      <c r="B83" s="64">
        <v>1</v>
      </c>
      <c r="C83" s="64">
        <v>54.9</v>
      </c>
      <c r="D83" s="64">
        <v>31.75</v>
      </c>
      <c r="E83" s="64">
        <v>9.51</v>
      </c>
      <c r="F83" s="64">
        <v>43.91</v>
      </c>
      <c r="G83" s="64">
        <v>40.880000000000003</v>
      </c>
      <c r="H83" s="64">
        <v>23.24</v>
      </c>
      <c r="I83" s="64">
        <v>0.53</v>
      </c>
      <c r="J83" s="64">
        <v>0.72</v>
      </c>
      <c r="K83" s="64">
        <v>125.81</v>
      </c>
      <c r="L83" s="64">
        <v>32.299999999999997</v>
      </c>
      <c r="M83" s="64">
        <v>31.31</v>
      </c>
      <c r="N83" s="64">
        <v>5.0999999999999996</v>
      </c>
      <c r="O83" s="64">
        <v>0</v>
      </c>
      <c r="P83" s="64">
        <v>0.69</v>
      </c>
      <c r="Q83" s="64">
        <v>31.43</v>
      </c>
      <c r="R83" s="198"/>
      <c r="S83" s="198"/>
      <c r="T83" s="198"/>
      <c r="U83" s="198"/>
    </row>
    <row r="84" spans="1:26" s="12" customFormat="1" x14ac:dyDescent="0.25">
      <c r="A84" s="211" t="s">
        <v>2148</v>
      </c>
      <c r="B84" s="64">
        <v>1.44</v>
      </c>
      <c r="C84" s="64">
        <v>62.16</v>
      </c>
      <c r="D84" s="64">
        <v>36.1</v>
      </c>
      <c r="E84" s="64">
        <v>7.59</v>
      </c>
      <c r="F84" s="64">
        <v>37.46</v>
      </c>
      <c r="G84" s="64">
        <v>42.3</v>
      </c>
      <c r="H84" s="64">
        <v>24.4</v>
      </c>
      <c r="I84" s="64">
        <v>0.68</v>
      </c>
      <c r="J84" s="64">
        <v>0.6</v>
      </c>
      <c r="K84" s="64">
        <v>113.89</v>
      </c>
      <c r="L84" s="64">
        <v>32.04</v>
      </c>
      <c r="M84" s="64">
        <v>32.54</v>
      </c>
      <c r="N84" s="64">
        <v>4.5</v>
      </c>
      <c r="O84" s="64">
        <v>0</v>
      </c>
      <c r="P84" s="64">
        <v>0.77</v>
      </c>
      <c r="Q84" s="64">
        <v>30.9</v>
      </c>
      <c r="R84" s="198"/>
      <c r="S84" s="198"/>
      <c r="T84" s="198"/>
      <c r="U84" s="198"/>
    </row>
    <row r="85" spans="1:26" s="12" customFormat="1" x14ac:dyDescent="0.25">
      <c r="A85" s="211" t="s">
        <v>2149</v>
      </c>
      <c r="B85" s="64">
        <v>8.3699999999999992</v>
      </c>
      <c r="C85" s="64">
        <v>90.45</v>
      </c>
      <c r="D85" s="64">
        <v>57.27</v>
      </c>
      <c r="E85" s="64">
        <v>7.89</v>
      </c>
      <c r="F85" s="64">
        <v>24.28</v>
      </c>
      <c r="G85" s="64">
        <v>42.3</v>
      </c>
      <c r="H85" s="64">
        <v>24.4</v>
      </c>
      <c r="I85" s="64">
        <v>0.71</v>
      </c>
      <c r="J85" s="64">
        <v>0.09</v>
      </c>
      <c r="K85" s="64">
        <v>219.48</v>
      </c>
      <c r="L85" s="64">
        <v>31.42</v>
      </c>
      <c r="M85" s="64">
        <v>34.299999999999997</v>
      </c>
      <c r="N85" s="64">
        <v>5</v>
      </c>
      <c r="O85" s="64">
        <v>0</v>
      </c>
      <c r="P85" s="64">
        <v>1.1599999999999999</v>
      </c>
      <c r="Q85" s="64">
        <v>29.9</v>
      </c>
      <c r="R85" s="198"/>
      <c r="S85" s="198"/>
      <c r="T85" s="198"/>
      <c r="U85" s="198"/>
    </row>
    <row r="86" spans="1:26" s="12" customFormat="1" x14ac:dyDescent="0.25">
      <c r="A86" s="211" t="s">
        <v>2150</v>
      </c>
      <c r="B86" s="64">
        <v>11.29</v>
      </c>
      <c r="C86" s="64">
        <v>63.93</v>
      </c>
      <c r="D86" s="64">
        <v>44.98</v>
      </c>
      <c r="E86" s="64">
        <v>6.36</v>
      </c>
      <c r="F86" s="64">
        <v>9.15</v>
      </c>
      <c r="G86" s="64">
        <v>42.3</v>
      </c>
      <c r="H86" s="64">
        <v>24.4</v>
      </c>
      <c r="I86" s="64">
        <v>0.7</v>
      </c>
      <c r="J86" s="64">
        <v>0.13</v>
      </c>
      <c r="K86" s="64">
        <v>244.02</v>
      </c>
      <c r="L86" s="64">
        <v>30.51</v>
      </c>
      <c r="M86" s="64">
        <v>38.020000000000003</v>
      </c>
      <c r="N86" s="64">
        <v>5.0999999999999996</v>
      </c>
      <c r="O86" s="64">
        <v>0</v>
      </c>
      <c r="P86" s="64">
        <v>1.02</v>
      </c>
      <c r="Q86" s="64">
        <v>30.71</v>
      </c>
      <c r="R86" s="198"/>
      <c r="S86" s="198"/>
      <c r="T86" s="198"/>
      <c r="U86" s="198"/>
    </row>
    <row r="87" spans="1:26" s="12" customFormat="1" x14ac:dyDescent="0.25">
      <c r="A87" s="211" t="s">
        <v>2151</v>
      </c>
      <c r="B87" s="64">
        <v>5.85</v>
      </c>
      <c r="C87" s="64">
        <v>65.17</v>
      </c>
      <c r="D87" s="64">
        <v>41.3</v>
      </c>
      <c r="E87" s="64">
        <v>4.38</v>
      </c>
      <c r="F87" s="64">
        <v>11.21</v>
      </c>
      <c r="G87" s="64">
        <v>43.44</v>
      </c>
      <c r="H87" s="64">
        <v>24.47</v>
      </c>
      <c r="I87" s="64">
        <v>0.8</v>
      </c>
      <c r="J87" s="64">
        <v>0.22</v>
      </c>
      <c r="K87" s="64">
        <v>212.17</v>
      </c>
      <c r="L87" s="64">
        <v>30.66</v>
      </c>
      <c r="M87" s="64">
        <v>36.26</v>
      </c>
      <c r="N87" s="64">
        <v>4.0999999999999996</v>
      </c>
      <c r="O87" s="64">
        <v>0</v>
      </c>
      <c r="P87" s="64">
        <v>0.94</v>
      </c>
      <c r="Q87" s="64">
        <v>31.41</v>
      </c>
      <c r="R87" s="198"/>
      <c r="S87" s="198"/>
      <c r="T87" s="198"/>
      <c r="U87" s="198"/>
    </row>
    <row r="88" spans="1:26" s="12" customFormat="1" x14ac:dyDescent="0.25">
      <c r="A88" s="211" t="s">
        <v>2152</v>
      </c>
      <c r="B88" s="64">
        <v>6.54</v>
      </c>
      <c r="C88" s="64">
        <v>64.260000000000005</v>
      </c>
      <c r="D88" s="64">
        <v>41.35</v>
      </c>
      <c r="E88" s="64">
        <v>2.3199999999999998</v>
      </c>
      <c r="F88" s="64">
        <v>8.6999999999999993</v>
      </c>
      <c r="G88" s="64">
        <v>52.61</v>
      </c>
      <c r="H88" s="64">
        <v>24.91</v>
      </c>
      <c r="I88" s="64">
        <v>0.73</v>
      </c>
      <c r="J88" s="64">
        <v>0.37</v>
      </c>
      <c r="K88" s="64">
        <v>188.05</v>
      </c>
      <c r="L88" s="64">
        <v>30.31</v>
      </c>
      <c r="M88" s="64">
        <v>38.08</v>
      </c>
      <c r="N88" s="64">
        <v>4</v>
      </c>
      <c r="O88" s="64">
        <v>0</v>
      </c>
      <c r="P88" s="64">
        <v>0.98</v>
      </c>
      <c r="Q88" s="64">
        <v>31.23</v>
      </c>
      <c r="R88" s="198"/>
      <c r="S88" s="198"/>
      <c r="T88" s="198"/>
      <c r="U88" s="198"/>
    </row>
    <row r="89" spans="1:26" s="12" customFormat="1" x14ac:dyDescent="0.25">
      <c r="A89" s="211" t="s">
        <v>2153</v>
      </c>
      <c r="B89" s="64">
        <v>5.77</v>
      </c>
      <c r="C89" s="64">
        <v>60.54</v>
      </c>
      <c r="D89" s="64">
        <v>38.68</v>
      </c>
      <c r="E89" s="64">
        <v>3.64</v>
      </c>
      <c r="F89" s="64">
        <v>6.76</v>
      </c>
      <c r="G89" s="64">
        <v>52.61</v>
      </c>
      <c r="H89" s="64">
        <v>24.91</v>
      </c>
      <c r="I89" s="64">
        <v>0.88</v>
      </c>
      <c r="J89" s="64">
        <v>0.74</v>
      </c>
      <c r="K89" s="64">
        <v>183.45</v>
      </c>
      <c r="L89" s="64">
        <v>30.28</v>
      </c>
      <c r="M89" s="64">
        <v>38.51</v>
      </c>
      <c r="N89" s="64">
        <v>4.0999999999999996</v>
      </c>
      <c r="O89" s="64">
        <v>0</v>
      </c>
      <c r="P89" s="64">
        <v>0.96</v>
      </c>
      <c r="Q89" s="64">
        <v>31.76</v>
      </c>
      <c r="R89" s="198"/>
      <c r="S89" s="198"/>
      <c r="T89" s="198"/>
      <c r="U89" s="198"/>
    </row>
    <row r="90" spans="1:26" s="12" customFormat="1" x14ac:dyDescent="0.25">
      <c r="A90" s="211" t="s">
        <v>2154</v>
      </c>
      <c r="B90" s="64">
        <v>5.21</v>
      </c>
      <c r="C90" s="64">
        <v>55.85</v>
      </c>
      <c r="D90" s="64">
        <v>35.65</v>
      </c>
      <c r="E90" s="64">
        <v>2.69</v>
      </c>
      <c r="F90" s="64">
        <v>6.02</v>
      </c>
      <c r="G90" s="64">
        <v>52.61</v>
      </c>
      <c r="H90" s="64">
        <v>24.91</v>
      </c>
      <c r="I90" s="64">
        <v>0.72</v>
      </c>
      <c r="J90" s="64">
        <v>1.1299999999999999</v>
      </c>
      <c r="K90" s="64">
        <v>173.87</v>
      </c>
      <c r="L90" s="64">
        <v>30.21</v>
      </c>
      <c r="M90" s="64">
        <v>38.020000000000003</v>
      </c>
      <c r="N90" s="64">
        <v>4.5</v>
      </c>
      <c r="O90" s="64">
        <v>0</v>
      </c>
      <c r="P90" s="64">
        <v>0.91</v>
      </c>
      <c r="Q90" s="64">
        <v>31.77</v>
      </c>
      <c r="R90" s="198"/>
      <c r="S90" s="198"/>
      <c r="T90" s="198"/>
      <c r="U90" s="198"/>
    </row>
    <row r="91" spans="1:26" s="12" customFormat="1" x14ac:dyDescent="0.25">
      <c r="A91" s="211" t="s">
        <v>2155</v>
      </c>
      <c r="B91" s="64">
        <v>4.33</v>
      </c>
      <c r="C91" s="64">
        <v>52.89</v>
      </c>
      <c r="D91" s="64">
        <v>33.299999999999997</v>
      </c>
      <c r="E91" s="64">
        <v>2.17</v>
      </c>
      <c r="F91" s="64">
        <v>5.99</v>
      </c>
      <c r="G91" s="64">
        <v>53.7</v>
      </c>
      <c r="H91" s="64">
        <v>25.84</v>
      </c>
      <c r="I91" s="64">
        <v>0.67</v>
      </c>
      <c r="J91" s="64">
        <v>1.1000000000000001</v>
      </c>
      <c r="K91" s="64">
        <v>175.5</v>
      </c>
      <c r="L91" s="64">
        <v>29.95</v>
      </c>
      <c r="M91" s="64">
        <v>38.200000000000003</v>
      </c>
      <c r="N91" s="64">
        <v>4.8</v>
      </c>
      <c r="O91" s="64">
        <v>0</v>
      </c>
      <c r="P91" s="64">
        <v>0.88</v>
      </c>
      <c r="Q91" s="64">
        <v>31.43</v>
      </c>
      <c r="R91" s="198"/>
      <c r="S91" s="198"/>
      <c r="T91" s="198"/>
      <c r="U91" s="198"/>
    </row>
    <row r="92" spans="1:26" s="12" customFormat="1" x14ac:dyDescent="0.25">
      <c r="A92" s="211" t="s">
        <v>2156</v>
      </c>
      <c r="B92" s="64">
        <v>3.92</v>
      </c>
      <c r="C92" s="64">
        <v>51.14</v>
      </c>
      <c r="D92" s="64">
        <v>32.01</v>
      </c>
      <c r="E92" s="64">
        <v>2.2999999999999998</v>
      </c>
      <c r="F92" s="64">
        <v>6.24</v>
      </c>
      <c r="G92" s="64">
        <v>63.52</v>
      </c>
      <c r="H92" s="64">
        <v>31.84</v>
      </c>
      <c r="I92" s="64">
        <v>0.68</v>
      </c>
      <c r="J92" s="64">
        <v>0.91</v>
      </c>
      <c r="K92" s="64">
        <v>176.28</v>
      </c>
      <c r="L92" s="64">
        <v>29.76</v>
      </c>
      <c r="M92" s="64">
        <v>38.15</v>
      </c>
      <c r="N92" s="64">
        <v>4.9000000000000004</v>
      </c>
      <c r="O92" s="64">
        <v>0</v>
      </c>
      <c r="P92" s="64">
        <v>0.84</v>
      </c>
      <c r="Q92" s="64">
        <v>31.06</v>
      </c>
      <c r="R92" s="198"/>
      <c r="S92" s="198"/>
      <c r="T92" s="198"/>
      <c r="U92" s="198"/>
    </row>
    <row r="93" spans="1:26" s="12" customFormat="1" x14ac:dyDescent="0.25">
      <c r="A93" s="211" t="s">
        <v>2157</v>
      </c>
      <c r="B93" s="64">
        <v>5.24</v>
      </c>
      <c r="C93" s="64">
        <v>49.58</v>
      </c>
      <c r="D93" s="64">
        <v>32.21</v>
      </c>
      <c r="E93" s="64">
        <v>2.0099999999999998</v>
      </c>
      <c r="F93" s="64">
        <v>11.19</v>
      </c>
      <c r="G93" s="64">
        <v>63.52</v>
      </c>
      <c r="H93" s="64">
        <v>31.84</v>
      </c>
      <c r="I93" s="64">
        <v>0.74</v>
      </c>
      <c r="J93" s="64">
        <v>1.23</v>
      </c>
      <c r="K93" s="64">
        <v>171.96</v>
      </c>
      <c r="L93" s="64">
        <v>29.47</v>
      </c>
      <c r="M93" s="64">
        <v>38.81</v>
      </c>
      <c r="N93" s="64">
        <v>5</v>
      </c>
      <c r="O93" s="64">
        <v>0</v>
      </c>
      <c r="P93" s="64">
        <v>0.74</v>
      </c>
      <c r="Q93" s="64">
        <v>30.86</v>
      </c>
      <c r="R93" s="198"/>
      <c r="S93" s="198"/>
      <c r="T93" s="198"/>
      <c r="U93" s="198"/>
    </row>
    <row r="94" spans="1:26" s="12" customFormat="1" x14ac:dyDescent="0.25">
      <c r="A94" s="211" t="s">
        <v>2158</v>
      </c>
      <c r="B94" s="64">
        <v>7.14</v>
      </c>
      <c r="C94" s="64">
        <v>49.39</v>
      </c>
      <c r="D94" s="64">
        <v>33.630000000000003</v>
      </c>
      <c r="E94" s="64">
        <v>2.67</v>
      </c>
      <c r="F94" s="64">
        <v>12.27</v>
      </c>
      <c r="G94" s="64">
        <v>63.52</v>
      </c>
      <c r="H94" s="64">
        <v>31.84</v>
      </c>
      <c r="I94" s="64">
        <v>0.82</v>
      </c>
      <c r="J94" s="64">
        <v>0.75</v>
      </c>
      <c r="K94" s="64">
        <v>187.78</v>
      </c>
      <c r="L94" s="64">
        <v>29.16</v>
      </c>
      <c r="M94" s="64">
        <v>39.25</v>
      </c>
      <c r="N94" s="64">
        <v>5.0999999999999996</v>
      </c>
      <c r="O94" s="64">
        <v>0</v>
      </c>
      <c r="P94" s="64">
        <v>0.7</v>
      </c>
      <c r="Q94" s="64">
        <v>30.86</v>
      </c>
      <c r="R94" s="198"/>
      <c r="S94" s="198"/>
      <c r="T94" s="198"/>
      <c r="U94" s="198"/>
    </row>
    <row r="95" spans="1:26" s="12" customFormat="1" x14ac:dyDescent="0.25">
      <c r="A95" s="211" t="s">
        <v>2159</v>
      </c>
      <c r="B95" s="64">
        <v>4.9400000000000004</v>
      </c>
      <c r="C95" s="64">
        <v>44.84</v>
      </c>
      <c r="D95" s="64">
        <v>29.35</v>
      </c>
      <c r="E95" s="64">
        <v>2.06</v>
      </c>
      <c r="F95" s="64">
        <v>14.81</v>
      </c>
      <c r="G95" s="64">
        <v>62.68</v>
      </c>
      <c r="H95" s="64">
        <v>30.81</v>
      </c>
      <c r="I95" s="64">
        <v>0.61</v>
      </c>
      <c r="J95" s="64">
        <v>1.1200000000000001</v>
      </c>
      <c r="K95" s="64">
        <v>174.46</v>
      </c>
      <c r="L95" s="64">
        <v>28.68</v>
      </c>
      <c r="M95" s="64">
        <v>40.49</v>
      </c>
      <c r="N95" s="64">
        <v>5.3</v>
      </c>
      <c r="O95" s="64">
        <v>0</v>
      </c>
      <c r="P95" s="64">
        <v>0.66</v>
      </c>
      <c r="Q95" s="64">
        <v>31.64</v>
      </c>
      <c r="R95" s="198"/>
      <c r="S95" s="198"/>
      <c r="T95" s="198"/>
      <c r="U95" s="198"/>
    </row>
    <row r="96" spans="1:26" s="12" customFormat="1" x14ac:dyDescent="0.25">
      <c r="A96" s="211" t="s">
        <v>2160</v>
      </c>
      <c r="B96" s="64">
        <v>4.2699999999999996</v>
      </c>
      <c r="C96" s="64">
        <v>40.58</v>
      </c>
      <c r="D96" s="64">
        <v>26.46</v>
      </c>
      <c r="E96" s="64">
        <v>2.25</v>
      </c>
      <c r="F96" s="64">
        <v>16.04</v>
      </c>
      <c r="G96" s="64">
        <v>55.99</v>
      </c>
      <c r="H96" s="64">
        <v>24.17</v>
      </c>
      <c r="I96" s="64">
        <v>0.7</v>
      </c>
      <c r="J96" s="64">
        <v>1.1399999999999999</v>
      </c>
      <c r="K96" s="64">
        <v>166.65</v>
      </c>
      <c r="L96" s="64">
        <v>28.36</v>
      </c>
      <c r="M96" s="64">
        <v>41.22</v>
      </c>
      <c r="N96" s="64">
        <v>5</v>
      </c>
      <c r="O96" s="64">
        <v>0</v>
      </c>
      <c r="P96" s="64">
        <v>0.65</v>
      </c>
      <c r="Q96" s="64">
        <v>32.24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2161</v>
      </c>
      <c r="B97" s="64">
        <v>4.4000000000000004</v>
      </c>
      <c r="C97" s="64">
        <v>36.46</v>
      </c>
      <c r="D97" s="64">
        <v>24.3</v>
      </c>
      <c r="E97" s="64">
        <v>2.09</v>
      </c>
      <c r="F97" s="64">
        <v>12.69</v>
      </c>
      <c r="G97" s="64">
        <v>55.99</v>
      </c>
      <c r="H97" s="64">
        <v>24.17</v>
      </c>
      <c r="I97" s="64">
        <v>0.63</v>
      </c>
      <c r="J97" s="64">
        <v>1.1100000000000001</v>
      </c>
      <c r="K97" s="64">
        <v>169.29</v>
      </c>
      <c r="L97" s="64">
        <v>28.18</v>
      </c>
      <c r="M97" s="64">
        <v>41.21</v>
      </c>
      <c r="N97" s="64">
        <v>4.8</v>
      </c>
      <c r="O97" s="64">
        <v>0</v>
      </c>
      <c r="P97" s="64">
        <v>0.65</v>
      </c>
      <c r="Q97" s="64">
        <v>32.700000000000003</v>
      </c>
      <c r="R97" s="198"/>
      <c r="S97" s="198"/>
      <c r="T97" s="198"/>
      <c r="U97" s="198"/>
    </row>
    <row r="98" spans="1:33" s="12" customFormat="1" x14ac:dyDescent="0.25">
      <c r="A98" s="211" t="s">
        <v>2162</v>
      </c>
      <c r="B98" s="64">
        <v>4.7300000000000004</v>
      </c>
      <c r="C98" s="64">
        <v>35.340000000000003</v>
      </c>
      <c r="D98" s="64">
        <v>23.94</v>
      </c>
      <c r="E98" s="64">
        <v>2.35</v>
      </c>
      <c r="F98" s="64">
        <v>5.12</v>
      </c>
      <c r="G98" s="64">
        <v>55.99</v>
      </c>
      <c r="H98" s="64">
        <v>24.17</v>
      </c>
      <c r="I98" s="64">
        <v>0.6</v>
      </c>
      <c r="J98" s="64">
        <v>0.81</v>
      </c>
      <c r="K98" s="64">
        <v>171.38</v>
      </c>
      <c r="L98" s="64">
        <v>28.04</v>
      </c>
      <c r="M98" s="64">
        <v>41.9</v>
      </c>
      <c r="N98" s="64">
        <v>4.9000000000000004</v>
      </c>
      <c r="O98" s="64">
        <v>0</v>
      </c>
      <c r="P98" s="64">
        <v>0.69</v>
      </c>
      <c r="Q98" s="64">
        <v>32.229999999999997</v>
      </c>
      <c r="R98" s="198"/>
      <c r="S98" s="198"/>
      <c r="T98" s="198"/>
      <c r="U98" s="198"/>
    </row>
    <row r="99" spans="1:33" s="12" customFormat="1" x14ac:dyDescent="0.25">
      <c r="A99" s="211" t="s">
        <v>2163</v>
      </c>
      <c r="B99" s="64">
        <v>3.87</v>
      </c>
      <c r="C99" s="64">
        <v>36.19</v>
      </c>
      <c r="D99" s="64">
        <v>23.73</v>
      </c>
      <c r="E99" s="64">
        <v>2.08</v>
      </c>
      <c r="F99" s="64">
        <v>6.43</v>
      </c>
      <c r="G99" s="64">
        <v>55.2</v>
      </c>
      <c r="H99" s="64">
        <v>24.01</v>
      </c>
      <c r="I99" s="64">
        <v>0.73</v>
      </c>
      <c r="J99" s="64">
        <v>1.37</v>
      </c>
      <c r="K99" s="64">
        <v>163.18</v>
      </c>
      <c r="L99" s="64">
        <v>27.76</v>
      </c>
      <c r="M99" s="64">
        <v>43.01</v>
      </c>
      <c r="N99" s="64">
        <v>4.8</v>
      </c>
      <c r="O99" s="64">
        <v>0</v>
      </c>
      <c r="P99" s="64">
        <v>0.65</v>
      </c>
      <c r="Q99" s="64">
        <v>31.49</v>
      </c>
      <c r="R99" s="198"/>
      <c r="S99" s="198"/>
      <c r="T99" s="198"/>
      <c r="U99" s="198"/>
    </row>
    <row r="100" spans="1:33" s="12" customFormat="1" x14ac:dyDescent="0.25">
      <c r="A100" s="211" t="s">
        <v>2164</v>
      </c>
      <c r="B100" s="64">
        <v>3.02</v>
      </c>
      <c r="C100" s="64">
        <v>36.6</v>
      </c>
      <c r="D100" s="64">
        <v>23.27</v>
      </c>
      <c r="E100" s="64">
        <v>2</v>
      </c>
      <c r="F100" s="64">
        <v>7.59</v>
      </c>
      <c r="G100" s="64">
        <v>48.86</v>
      </c>
      <c r="H100" s="64">
        <v>22.95</v>
      </c>
      <c r="I100" s="64">
        <v>0.78</v>
      </c>
      <c r="J100" s="64">
        <v>1.03</v>
      </c>
      <c r="K100" s="64">
        <v>165.39</v>
      </c>
      <c r="L100" s="64">
        <v>27.62</v>
      </c>
      <c r="M100" s="64">
        <v>43.43</v>
      </c>
      <c r="N100" s="64">
        <v>4.7</v>
      </c>
      <c r="O100" s="64">
        <v>0</v>
      </c>
      <c r="P100" s="64">
        <v>0.61</v>
      </c>
      <c r="Q100" s="64">
        <v>31.06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2165</v>
      </c>
      <c r="B101" s="64">
        <v>2.2799999999999998</v>
      </c>
      <c r="C101" s="64">
        <v>35.9</v>
      </c>
      <c r="D101" s="64">
        <v>22.29</v>
      </c>
      <c r="E101" s="64">
        <v>1.63</v>
      </c>
      <c r="F101" s="64">
        <v>6.41</v>
      </c>
      <c r="G101" s="64">
        <v>48.86</v>
      </c>
      <c r="H101" s="64">
        <v>22.95</v>
      </c>
      <c r="I101" s="64">
        <v>0.72</v>
      </c>
      <c r="J101" s="64">
        <v>0.9</v>
      </c>
      <c r="K101" s="64">
        <v>171.12</v>
      </c>
      <c r="L101" s="64">
        <v>27.46</v>
      </c>
      <c r="M101" s="64">
        <v>44.18</v>
      </c>
      <c r="N101" s="64">
        <v>4.7</v>
      </c>
      <c r="O101" s="64">
        <v>0</v>
      </c>
      <c r="P101" s="64">
        <v>0.57999999999999996</v>
      </c>
      <c r="Q101" s="64">
        <v>30.6</v>
      </c>
      <c r="R101" s="198"/>
      <c r="S101" s="198"/>
      <c r="T101" s="198"/>
      <c r="U101" s="198"/>
    </row>
    <row r="102" spans="1:33" s="12" customFormat="1" x14ac:dyDescent="0.25">
      <c r="A102" s="211" t="s">
        <v>2166</v>
      </c>
      <c r="B102" s="64">
        <v>1.81</v>
      </c>
      <c r="C102" s="64">
        <v>35.47</v>
      </c>
      <c r="D102" s="64">
        <v>21.67</v>
      </c>
      <c r="E102" s="64">
        <v>1.21</v>
      </c>
      <c r="F102" s="64">
        <v>5.65</v>
      </c>
      <c r="G102" s="64">
        <v>48.86</v>
      </c>
      <c r="H102" s="64">
        <v>22.95</v>
      </c>
      <c r="I102" s="64">
        <v>0.85</v>
      </c>
      <c r="J102" s="64">
        <v>1.02</v>
      </c>
      <c r="K102" s="64">
        <v>170.74</v>
      </c>
      <c r="L102" s="64">
        <v>27.44</v>
      </c>
      <c r="M102" s="64">
        <v>44.27</v>
      </c>
      <c r="N102" s="64">
        <v>4.5999999999999996</v>
      </c>
      <c r="O102" s="64">
        <v>0</v>
      </c>
      <c r="P102" s="64">
        <v>0.54</v>
      </c>
      <c r="Q102" s="64">
        <v>30.16</v>
      </c>
      <c r="R102" s="198"/>
      <c r="S102" s="198"/>
      <c r="T102" s="198"/>
      <c r="U102" s="198"/>
    </row>
    <row r="103" spans="1:33" s="12" customFormat="1" x14ac:dyDescent="0.25">
      <c r="A103" s="211" t="s">
        <v>2167</v>
      </c>
      <c r="B103" s="64">
        <v>1.51</v>
      </c>
      <c r="C103" s="64">
        <v>34.450000000000003</v>
      </c>
      <c r="D103" s="64">
        <v>20.87</v>
      </c>
      <c r="E103" s="64">
        <v>1.26</v>
      </c>
      <c r="F103" s="64">
        <v>6.11</v>
      </c>
      <c r="G103" s="64">
        <v>47.94</v>
      </c>
      <c r="H103" s="64">
        <v>22.45</v>
      </c>
      <c r="I103" s="64">
        <v>0.68</v>
      </c>
      <c r="J103" s="64">
        <v>1.18</v>
      </c>
      <c r="K103" s="64">
        <v>173.23</v>
      </c>
      <c r="L103" s="64">
        <v>27.34</v>
      </c>
      <c r="M103" s="64">
        <v>44.6</v>
      </c>
      <c r="N103" s="64">
        <v>4.5</v>
      </c>
      <c r="O103" s="64">
        <v>0</v>
      </c>
      <c r="P103" s="64">
        <v>0.51</v>
      </c>
      <c r="Q103" s="64">
        <v>29.88</v>
      </c>
      <c r="R103" s="198"/>
      <c r="S103" s="198"/>
      <c r="T103" s="198"/>
      <c r="U103" s="198"/>
    </row>
    <row r="104" spans="1:33" s="12" customFormat="1" x14ac:dyDescent="0.25">
      <c r="A104" s="211" t="s">
        <v>2168</v>
      </c>
      <c r="B104" s="64">
        <v>1.33</v>
      </c>
      <c r="C104" s="64">
        <v>33.14</v>
      </c>
      <c r="D104" s="64">
        <v>20</v>
      </c>
      <c r="E104" s="64">
        <v>1.1399999999999999</v>
      </c>
      <c r="F104" s="64">
        <v>6.33</v>
      </c>
      <c r="G104" s="64">
        <v>40.61</v>
      </c>
      <c r="H104" s="64">
        <v>19.22</v>
      </c>
      <c r="I104" s="64">
        <v>0.59</v>
      </c>
      <c r="J104" s="64">
        <v>0.99</v>
      </c>
      <c r="K104" s="64">
        <v>173.51</v>
      </c>
      <c r="L104" s="64">
        <v>27.29</v>
      </c>
      <c r="M104" s="64">
        <v>44.94</v>
      </c>
      <c r="N104" s="64">
        <v>4.7</v>
      </c>
      <c r="O104" s="64">
        <v>0</v>
      </c>
      <c r="P104" s="64">
        <v>0.49</v>
      </c>
      <c r="Q104" s="64">
        <v>29.71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23.25</v>
      </c>
      <c r="D106" s="67">
        <f t="shared" ref="D106:Q106" si="0">MIN(D9:D104)</f>
        <v>14.42</v>
      </c>
      <c r="E106" s="67">
        <f t="shared" si="0"/>
        <v>0.05</v>
      </c>
      <c r="F106" s="67">
        <f t="shared" si="0"/>
        <v>2.94</v>
      </c>
      <c r="G106" s="67">
        <f t="shared" si="0"/>
        <v>18.829999999999998</v>
      </c>
      <c r="H106" s="67">
        <f t="shared" si="0"/>
        <v>11.15</v>
      </c>
      <c r="I106" s="67">
        <f t="shared" si="0"/>
        <v>0.46</v>
      </c>
      <c r="J106" s="67">
        <f t="shared" si="0"/>
        <v>0.02</v>
      </c>
      <c r="K106" s="67">
        <f t="shared" si="0"/>
        <v>113.89</v>
      </c>
      <c r="L106" s="67">
        <f t="shared" si="0"/>
        <v>22.6</v>
      </c>
      <c r="M106" s="67">
        <f t="shared" si="0"/>
        <v>23.05</v>
      </c>
      <c r="N106" s="67">
        <f t="shared" si="0"/>
        <v>4</v>
      </c>
      <c r="O106" s="67">
        <f t="shared" si="0"/>
        <v>0</v>
      </c>
      <c r="P106" s="67">
        <f t="shared" si="0"/>
        <v>0.27</v>
      </c>
      <c r="Q106" s="67">
        <f t="shared" si="0"/>
        <v>28.17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11.59</v>
      </c>
      <c r="C107" s="66">
        <f t="shared" ref="C107:Q107" si="1">MAX(C9:C104)</f>
        <v>90.45</v>
      </c>
      <c r="D107" s="66">
        <f t="shared" si="1"/>
        <v>57.27</v>
      </c>
      <c r="E107" s="66">
        <f t="shared" si="1"/>
        <v>26.86</v>
      </c>
      <c r="F107" s="66">
        <f t="shared" si="1"/>
        <v>70.28</v>
      </c>
      <c r="G107" s="66">
        <f t="shared" si="1"/>
        <v>63.52</v>
      </c>
      <c r="H107" s="66">
        <f t="shared" si="1"/>
        <v>31.84</v>
      </c>
      <c r="I107" s="66">
        <f t="shared" si="1"/>
        <v>0.89</v>
      </c>
      <c r="J107" s="66">
        <f t="shared" si="1"/>
        <v>2.36</v>
      </c>
      <c r="K107" s="66">
        <f t="shared" si="1"/>
        <v>344.59</v>
      </c>
      <c r="L107" s="66">
        <f t="shared" si="1"/>
        <v>37.979999999999997</v>
      </c>
      <c r="M107" s="66">
        <f t="shared" si="1"/>
        <v>66.849999999999994</v>
      </c>
      <c r="N107" s="66">
        <f t="shared" si="1"/>
        <v>915.1</v>
      </c>
      <c r="O107" s="66">
        <f t="shared" si="1"/>
        <v>2.2000000000000002</v>
      </c>
      <c r="P107" s="66">
        <f t="shared" si="1"/>
        <v>1.19</v>
      </c>
      <c r="Q107" s="66">
        <f t="shared" si="1"/>
        <v>32.770000000000003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2.8705208333333325</v>
      </c>
      <c r="C108" s="67">
        <f t="shared" ref="C108:Q108" si="2">AVERAGE(C9:C104)</f>
        <v>35.197083333333332</v>
      </c>
      <c r="D108" s="67">
        <f t="shared" si="2"/>
        <v>22.372604166666665</v>
      </c>
      <c r="E108" s="67">
        <f t="shared" si="2"/>
        <v>3.6277083333333326</v>
      </c>
      <c r="F108" s="67">
        <f t="shared" si="2"/>
        <v>17.000526315789472</v>
      </c>
      <c r="G108" s="67">
        <f t="shared" si="2"/>
        <v>35.523437500000007</v>
      </c>
      <c r="H108" s="67">
        <f t="shared" si="2"/>
        <v>20.332916666666673</v>
      </c>
      <c r="I108" s="67">
        <f t="shared" si="2"/>
        <v>0.60416666666666674</v>
      </c>
      <c r="J108" s="67">
        <f t="shared" si="2"/>
        <v>0.5491666666666668</v>
      </c>
      <c r="K108" s="67">
        <f t="shared" si="2"/>
        <v>208.72968749999995</v>
      </c>
      <c r="L108" s="67">
        <f t="shared" si="2"/>
        <v>29.97208333333333</v>
      </c>
      <c r="M108" s="67">
        <f t="shared" si="2"/>
        <v>43.421875</v>
      </c>
      <c r="N108" s="67">
        <f t="shared" si="2"/>
        <v>252.36562499999994</v>
      </c>
      <c r="O108" s="67">
        <f t="shared" si="2"/>
        <v>2.7083333333333334E-2</v>
      </c>
      <c r="P108" s="67">
        <f t="shared" si="2"/>
        <v>0.59</v>
      </c>
      <c r="Q108" s="67">
        <f t="shared" si="2"/>
        <v>30.085729166666653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2.5249176619369993</v>
      </c>
      <c r="C109" s="67">
        <f t="shared" ref="C109:Q109" si="3">STDEV(C9:C104)</f>
        <v>11.410631230905636</v>
      </c>
      <c r="D109" s="67">
        <f t="shared" si="3"/>
        <v>7.4698377696456495</v>
      </c>
      <c r="E109" s="67">
        <f t="shared" si="3"/>
        <v>4.730718089291611</v>
      </c>
      <c r="F109" s="67">
        <f t="shared" si="3"/>
        <v>16.522314914853087</v>
      </c>
      <c r="G109" s="67">
        <f t="shared" si="3"/>
        <v>12.271368973356719</v>
      </c>
      <c r="H109" s="67">
        <f t="shared" si="3"/>
        <v>5.5087879871818632</v>
      </c>
      <c r="I109" s="67">
        <f t="shared" si="3"/>
        <v>9.7188548888680532E-2</v>
      </c>
      <c r="J109" s="67">
        <f t="shared" si="3"/>
        <v>0.47030262746821699</v>
      </c>
      <c r="K109" s="67">
        <f t="shared" si="3"/>
        <v>52.11145645235333</v>
      </c>
      <c r="L109" s="67">
        <f t="shared" si="3"/>
        <v>4.7562742864262804</v>
      </c>
      <c r="M109" s="67">
        <f t="shared" si="3"/>
        <v>13.828462510154029</v>
      </c>
      <c r="N109" s="67">
        <f t="shared" si="3"/>
        <v>337.81301798733364</v>
      </c>
      <c r="O109" s="67">
        <f t="shared" si="3"/>
        <v>0.22779453653938453</v>
      </c>
      <c r="P109" s="67">
        <f t="shared" si="3"/>
        <v>0.2341929029442901</v>
      </c>
      <c r="Q109" s="67">
        <f t="shared" si="3"/>
        <v>0.96714201296687219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>COUNT(F9:F104)+1</f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N111" sqref="N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2169</v>
      </c>
      <c r="B9" s="64">
        <v>1.18</v>
      </c>
      <c r="C9" s="64">
        <v>29.36</v>
      </c>
      <c r="D9" s="64">
        <v>17.79</v>
      </c>
      <c r="E9" s="64">
        <v>1.74</v>
      </c>
      <c r="F9" s="64">
        <v>19.7</v>
      </c>
      <c r="G9" s="64">
        <v>40.61</v>
      </c>
      <c r="H9" s="64">
        <v>19.22</v>
      </c>
      <c r="I9" s="64">
        <v>0.66</v>
      </c>
      <c r="J9" s="64">
        <v>0.55000000000000004</v>
      </c>
      <c r="K9" s="64">
        <v>175.96</v>
      </c>
      <c r="L9" s="64">
        <v>27.02</v>
      </c>
      <c r="M9" s="64">
        <v>46.02</v>
      </c>
      <c r="N9" s="64">
        <v>5.0999999999999996</v>
      </c>
      <c r="O9" s="64">
        <v>0</v>
      </c>
      <c r="P9" s="64">
        <v>0.39</v>
      </c>
      <c r="Q9" s="64">
        <v>30.28</v>
      </c>
      <c r="R9" s="198"/>
      <c r="S9" s="198"/>
      <c r="T9" s="198"/>
      <c r="U9" s="198"/>
    </row>
    <row r="10" spans="1:21" s="12" customFormat="1" x14ac:dyDescent="0.25">
      <c r="A10" s="211" t="s">
        <v>2170</v>
      </c>
      <c r="B10" s="64">
        <v>1.18</v>
      </c>
      <c r="C10" s="64">
        <v>26.6</v>
      </c>
      <c r="D10" s="64">
        <v>16.27</v>
      </c>
      <c r="E10" s="64">
        <v>1.97</v>
      </c>
      <c r="F10" s="64">
        <v>26.12</v>
      </c>
      <c r="G10" s="64">
        <v>40.61</v>
      </c>
      <c r="H10" s="64">
        <v>19.22</v>
      </c>
      <c r="I10" s="64">
        <v>0.56000000000000005</v>
      </c>
      <c r="J10" s="64">
        <v>0.21</v>
      </c>
      <c r="K10" s="64">
        <v>170.11</v>
      </c>
      <c r="L10" s="64">
        <v>26.64</v>
      </c>
      <c r="M10" s="64">
        <v>47.1</v>
      </c>
      <c r="N10" s="64">
        <v>5.3</v>
      </c>
      <c r="O10" s="64">
        <v>0</v>
      </c>
      <c r="P10" s="64">
        <v>0.36</v>
      </c>
      <c r="Q10" s="64">
        <v>30.91</v>
      </c>
      <c r="R10" s="198"/>
      <c r="S10" s="198"/>
      <c r="T10" s="198"/>
      <c r="U10" s="198"/>
    </row>
    <row r="11" spans="1:21" s="12" customFormat="1" x14ac:dyDescent="0.25">
      <c r="A11" s="211" t="s">
        <v>2171</v>
      </c>
      <c r="B11" s="64">
        <v>1.42</v>
      </c>
      <c r="C11" s="64">
        <v>25.26</v>
      </c>
      <c r="D11" s="64">
        <v>15.72</v>
      </c>
      <c r="E11" s="64">
        <v>2.02</v>
      </c>
      <c r="F11" s="64">
        <v>29.79</v>
      </c>
      <c r="G11" s="64">
        <v>40.08</v>
      </c>
      <c r="H11" s="64">
        <v>18.87</v>
      </c>
      <c r="I11" s="64">
        <v>0.52</v>
      </c>
      <c r="J11" s="64">
        <v>0.33</v>
      </c>
      <c r="K11" s="64">
        <v>165.87</v>
      </c>
      <c r="L11" s="64">
        <v>26.14</v>
      </c>
      <c r="M11" s="64">
        <v>49.2</v>
      </c>
      <c r="N11" s="64">
        <v>5.0999999999999996</v>
      </c>
      <c r="O11" s="64">
        <v>0</v>
      </c>
      <c r="P11" s="64">
        <v>0.35</v>
      </c>
      <c r="Q11" s="64">
        <v>31.17</v>
      </c>
      <c r="R11" s="198"/>
      <c r="S11" s="198"/>
      <c r="T11" s="198"/>
      <c r="U11" s="198"/>
    </row>
    <row r="12" spans="1:21" s="12" customFormat="1" x14ac:dyDescent="0.25">
      <c r="A12" s="211" t="s">
        <v>2172</v>
      </c>
      <c r="B12" s="64">
        <v>1.42</v>
      </c>
      <c r="C12" s="64">
        <v>23.46</v>
      </c>
      <c r="D12" s="64">
        <v>14.74</v>
      </c>
      <c r="E12" s="64">
        <v>1.97</v>
      </c>
      <c r="F12" s="64">
        <v>28.74</v>
      </c>
      <c r="G12" s="64">
        <v>35.840000000000003</v>
      </c>
      <c r="H12" s="64">
        <v>16.59</v>
      </c>
      <c r="I12" s="64">
        <v>0.49</v>
      </c>
      <c r="J12" s="64">
        <v>0.1</v>
      </c>
      <c r="K12" s="64">
        <v>243.2</v>
      </c>
      <c r="L12" s="64">
        <v>25.91</v>
      </c>
      <c r="M12" s="64">
        <v>49.86</v>
      </c>
      <c r="N12" s="64">
        <v>5.2</v>
      </c>
      <c r="O12" s="64">
        <v>0</v>
      </c>
      <c r="P12" s="64">
        <v>0.33</v>
      </c>
      <c r="Q12" s="64">
        <v>31.82</v>
      </c>
      <c r="R12" s="198"/>
      <c r="S12" s="198"/>
      <c r="T12" s="198"/>
      <c r="U12" s="198"/>
    </row>
    <row r="13" spans="1:21" s="12" customFormat="1" x14ac:dyDescent="0.25">
      <c r="A13" s="211" t="s">
        <v>2173</v>
      </c>
      <c r="B13" s="64">
        <v>2.29</v>
      </c>
      <c r="C13" s="64">
        <v>27.7</v>
      </c>
      <c r="D13" s="64">
        <v>17.77</v>
      </c>
      <c r="E13" s="64">
        <v>1.95</v>
      </c>
      <c r="F13" s="64">
        <v>14.87</v>
      </c>
      <c r="G13" s="64">
        <v>35.840000000000003</v>
      </c>
      <c r="H13" s="64">
        <v>16.59</v>
      </c>
      <c r="I13" s="64">
        <v>0.54</v>
      </c>
      <c r="J13" s="64">
        <v>0.1</v>
      </c>
      <c r="K13" s="64">
        <v>220.56</v>
      </c>
      <c r="L13" s="64">
        <v>25.85</v>
      </c>
      <c r="M13" s="64">
        <v>50.48</v>
      </c>
      <c r="N13" s="64">
        <v>4.9000000000000004</v>
      </c>
      <c r="O13" s="64">
        <v>0</v>
      </c>
      <c r="P13" s="64">
        <v>0.37</v>
      </c>
      <c r="Q13" s="64">
        <v>32.06</v>
      </c>
      <c r="R13" s="198"/>
      <c r="S13" s="198"/>
      <c r="T13" s="198"/>
      <c r="U13" s="198"/>
    </row>
    <row r="14" spans="1:21" s="12" customFormat="1" x14ac:dyDescent="0.25">
      <c r="A14" s="211" t="s">
        <v>2174</v>
      </c>
      <c r="B14" s="64">
        <v>3.26</v>
      </c>
      <c r="C14" s="64">
        <v>29.61</v>
      </c>
      <c r="D14" s="64">
        <v>19.61</v>
      </c>
      <c r="E14" s="64">
        <v>1.84</v>
      </c>
      <c r="F14" s="64">
        <v>6.64</v>
      </c>
      <c r="G14" s="64">
        <v>35.840000000000003</v>
      </c>
      <c r="H14" s="64">
        <v>16.59</v>
      </c>
      <c r="I14" s="64">
        <v>0.68</v>
      </c>
      <c r="J14" s="64">
        <v>0.09</v>
      </c>
      <c r="K14" s="64">
        <v>224.05</v>
      </c>
      <c r="L14" s="64">
        <v>25.57</v>
      </c>
      <c r="M14" s="64">
        <v>51.48</v>
      </c>
      <c r="N14" s="64">
        <v>4.9000000000000004</v>
      </c>
      <c r="O14" s="64">
        <v>0</v>
      </c>
      <c r="P14" s="64">
        <v>0.42</v>
      </c>
      <c r="Q14" s="64">
        <v>31.56</v>
      </c>
      <c r="R14" s="198"/>
      <c r="S14" s="198"/>
      <c r="T14" s="198"/>
      <c r="U14" s="198"/>
    </row>
    <row r="15" spans="1:21" s="12" customFormat="1" x14ac:dyDescent="0.25">
      <c r="A15" s="211" t="s">
        <v>2175</v>
      </c>
      <c r="B15" s="64">
        <v>2.73</v>
      </c>
      <c r="C15" s="64">
        <v>30.22</v>
      </c>
      <c r="D15" s="64">
        <v>19.510000000000002</v>
      </c>
      <c r="E15" s="64">
        <v>1.39</v>
      </c>
      <c r="F15" s="64">
        <v>7.88</v>
      </c>
      <c r="G15" s="64">
        <v>35.47</v>
      </c>
      <c r="H15" s="64">
        <v>16.420000000000002</v>
      </c>
      <c r="I15" s="64">
        <v>0.6</v>
      </c>
      <c r="J15" s="64">
        <v>0.09</v>
      </c>
      <c r="K15" s="64">
        <v>219.33</v>
      </c>
      <c r="L15" s="64">
        <v>25.5</v>
      </c>
      <c r="M15" s="64">
        <v>51.57</v>
      </c>
      <c r="N15" s="64">
        <v>5</v>
      </c>
      <c r="O15" s="64">
        <v>0</v>
      </c>
      <c r="P15" s="64">
        <v>0.41</v>
      </c>
      <c r="Q15" s="64">
        <v>31.21</v>
      </c>
      <c r="R15" s="198"/>
      <c r="S15" s="198"/>
      <c r="T15" s="198"/>
      <c r="U15" s="198"/>
    </row>
    <row r="16" spans="1:21" s="12" customFormat="1" x14ac:dyDescent="0.25">
      <c r="A16" s="211" t="s">
        <v>2176</v>
      </c>
      <c r="B16" s="64">
        <v>2.14</v>
      </c>
      <c r="C16" s="64">
        <v>30.24</v>
      </c>
      <c r="D16" s="64">
        <v>19.05</v>
      </c>
      <c r="E16" s="64">
        <v>1.45</v>
      </c>
      <c r="F16" s="64">
        <v>7.06</v>
      </c>
      <c r="G16" s="64">
        <v>32.54</v>
      </c>
      <c r="H16" s="64">
        <v>15.37</v>
      </c>
      <c r="I16" s="64">
        <v>0.56000000000000005</v>
      </c>
      <c r="J16" s="64">
        <v>0.09</v>
      </c>
      <c r="K16" s="64">
        <v>239.98</v>
      </c>
      <c r="L16" s="64">
        <v>25.33</v>
      </c>
      <c r="M16" s="64">
        <v>52.42</v>
      </c>
      <c r="N16" s="64">
        <v>4.9000000000000004</v>
      </c>
      <c r="O16" s="64">
        <v>0</v>
      </c>
      <c r="P16" s="64">
        <v>0.4</v>
      </c>
      <c r="Q16" s="64">
        <v>30.9</v>
      </c>
      <c r="R16" s="198"/>
      <c r="S16" s="198"/>
      <c r="T16" s="198"/>
      <c r="U16" s="198"/>
    </row>
    <row r="17" spans="1:21" s="12" customFormat="1" x14ac:dyDescent="0.25">
      <c r="A17" s="211" t="s">
        <v>2177</v>
      </c>
      <c r="B17" s="64">
        <v>1.83</v>
      </c>
      <c r="C17" s="64">
        <v>30.2</v>
      </c>
      <c r="D17" s="64">
        <v>18.78</v>
      </c>
      <c r="E17" s="64">
        <v>1.38</v>
      </c>
      <c r="F17" s="64">
        <v>6.78</v>
      </c>
      <c r="G17" s="64">
        <v>32.54</v>
      </c>
      <c r="H17" s="64">
        <v>15.37</v>
      </c>
      <c r="I17" s="64">
        <v>0.56999999999999995</v>
      </c>
      <c r="J17" s="64">
        <v>0.1</v>
      </c>
      <c r="K17" s="64">
        <v>236.64</v>
      </c>
      <c r="L17" s="64">
        <v>25.04</v>
      </c>
      <c r="M17" s="64">
        <v>53.53</v>
      </c>
      <c r="N17" s="64">
        <v>5</v>
      </c>
      <c r="O17" s="64">
        <v>0</v>
      </c>
      <c r="P17" s="64">
        <v>0.38</v>
      </c>
      <c r="Q17" s="64">
        <v>30.45</v>
      </c>
      <c r="R17" s="198"/>
      <c r="S17" s="198"/>
      <c r="T17" s="198"/>
      <c r="U17" s="198"/>
    </row>
    <row r="18" spans="1:21" s="12" customFormat="1" x14ac:dyDescent="0.25">
      <c r="A18" s="211" t="s">
        <v>2178</v>
      </c>
      <c r="B18" s="64">
        <v>1.74</v>
      </c>
      <c r="C18" s="64">
        <v>30.26</v>
      </c>
      <c r="D18" s="64">
        <v>18.739999999999998</v>
      </c>
      <c r="E18" s="64">
        <v>1.29</v>
      </c>
      <c r="F18" s="64">
        <v>6.3</v>
      </c>
      <c r="G18" s="64">
        <v>32.54</v>
      </c>
      <c r="H18" s="64">
        <v>15.37</v>
      </c>
      <c r="I18" s="64">
        <v>0.55000000000000004</v>
      </c>
      <c r="J18" s="64">
        <v>0.14000000000000001</v>
      </c>
      <c r="K18" s="64">
        <v>211.4</v>
      </c>
      <c r="L18" s="64">
        <v>24.99</v>
      </c>
      <c r="M18" s="64">
        <v>54.11</v>
      </c>
      <c r="N18" s="64">
        <v>4.8</v>
      </c>
      <c r="O18" s="64">
        <v>0</v>
      </c>
      <c r="P18" s="64">
        <v>0.38</v>
      </c>
      <c r="Q18" s="64">
        <v>30.18</v>
      </c>
      <c r="R18" s="198"/>
      <c r="S18" s="198"/>
      <c r="T18" s="198"/>
      <c r="U18" s="198"/>
    </row>
    <row r="19" spans="1:21" s="12" customFormat="1" x14ac:dyDescent="0.25">
      <c r="A19" s="211" t="s">
        <v>2179</v>
      </c>
      <c r="B19" s="64">
        <v>1.64</v>
      </c>
      <c r="C19" s="64">
        <v>30.31</v>
      </c>
      <c r="D19" s="64">
        <v>18.690000000000001</v>
      </c>
      <c r="E19" s="64">
        <v>1.04</v>
      </c>
      <c r="F19" s="64">
        <v>5.66</v>
      </c>
      <c r="G19" s="64">
        <v>32.700000000000003</v>
      </c>
      <c r="H19" s="64">
        <v>15.63</v>
      </c>
      <c r="I19" s="64">
        <v>0.66</v>
      </c>
      <c r="J19" s="64">
        <v>0.09</v>
      </c>
      <c r="K19" s="64">
        <v>258.39999999999998</v>
      </c>
      <c r="L19" s="64">
        <v>25.09</v>
      </c>
      <c r="M19" s="64">
        <v>54.19</v>
      </c>
      <c r="N19" s="64">
        <v>5</v>
      </c>
      <c r="O19" s="64">
        <v>0</v>
      </c>
      <c r="P19" s="64">
        <v>0.37</v>
      </c>
      <c r="Q19" s="64">
        <v>29.92</v>
      </c>
      <c r="R19" s="198"/>
      <c r="S19" s="198"/>
      <c r="T19" s="198"/>
      <c r="U19" s="198"/>
    </row>
    <row r="20" spans="1:21" s="12" customFormat="1" x14ac:dyDescent="0.25">
      <c r="A20" s="211" t="s">
        <v>2180</v>
      </c>
      <c r="B20" s="64">
        <v>1.51</v>
      </c>
      <c r="C20" s="64">
        <v>31.48</v>
      </c>
      <c r="D20" s="64">
        <v>19.239999999999998</v>
      </c>
      <c r="E20" s="64">
        <v>1.54</v>
      </c>
      <c r="F20" s="64">
        <v>10.27</v>
      </c>
      <c r="G20" s="64">
        <v>34.130000000000003</v>
      </c>
      <c r="H20" s="64">
        <v>17.3</v>
      </c>
      <c r="I20" s="64">
        <v>0.61</v>
      </c>
      <c r="J20" s="64">
        <v>0.18</v>
      </c>
      <c r="K20" s="64">
        <v>184.14</v>
      </c>
      <c r="L20" s="64">
        <v>25.08</v>
      </c>
      <c r="M20" s="64">
        <v>53.95</v>
      </c>
      <c r="N20" s="64">
        <v>1.5</v>
      </c>
      <c r="O20" s="64">
        <v>0</v>
      </c>
      <c r="P20" s="64">
        <v>0.36</v>
      </c>
      <c r="Q20" s="64">
        <v>29.96</v>
      </c>
      <c r="R20" s="198"/>
      <c r="S20" s="198"/>
      <c r="T20" s="198"/>
      <c r="U20" s="198"/>
    </row>
    <row r="21" spans="1:21" s="12" customFormat="1" x14ac:dyDescent="0.25">
      <c r="A21" s="211" t="s">
        <v>2181</v>
      </c>
      <c r="B21" s="64">
        <v>1.35</v>
      </c>
      <c r="C21" s="64">
        <v>32.520000000000003</v>
      </c>
      <c r="D21" s="64">
        <v>19.670000000000002</v>
      </c>
      <c r="E21" s="64">
        <v>1.6</v>
      </c>
      <c r="F21" s="64">
        <v>19.260000000000002</v>
      </c>
      <c r="G21" s="64">
        <v>34.130000000000003</v>
      </c>
      <c r="H21" s="64">
        <v>17.3</v>
      </c>
      <c r="I21" s="64">
        <v>0.56999999999999995</v>
      </c>
      <c r="J21" s="64">
        <v>0.5</v>
      </c>
      <c r="K21" s="64">
        <v>165.8</v>
      </c>
      <c r="L21" s="64">
        <v>25.08</v>
      </c>
      <c r="M21" s="64">
        <v>54.51</v>
      </c>
      <c r="N21" s="214" t="s">
        <v>42</v>
      </c>
      <c r="O21" s="64">
        <v>0</v>
      </c>
      <c r="P21" s="64">
        <v>0.34</v>
      </c>
      <c r="Q21" s="64">
        <v>30.81</v>
      </c>
      <c r="R21" s="198"/>
      <c r="S21" s="198"/>
      <c r="T21" s="198"/>
      <c r="U21" s="198"/>
    </row>
    <row r="22" spans="1:21" s="12" customFormat="1" x14ac:dyDescent="0.25">
      <c r="A22" s="211" t="s">
        <v>2182</v>
      </c>
      <c r="B22" s="64">
        <v>1.6</v>
      </c>
      <c r="C22" s="64">
        <v>25.29</v>
      </c>
      <c r="D22" s="64">
        <v>15.88</v>
      </c>
      <c r="E22" s="64">
        <v>1.58</v>
      </c>
      <c r="F22" s="64">
        <v>23.28</v>
      </c>
      <c r="G22" s="64">
        <v>34.130000000000003</v>
      </c>
      <c r="H22" s="64">
        <v>17.3</v>
      </c>
      <c r="I22" s="64">
        <v>0.76</v>
      </c>
      <c r="J22" s="64">
        <v>0.19</v>
      </c>
      <c r="K22" s="64">
        <v>206.02</v>
      </c>
      <c r="L22" s="64">
        <v>25.04</v>
      </c>
      <c r="M22" s="64">
        <v>54.49</v>
      </c>
      <c r="N22" s="214" t="s">
        <v>42</v>
      </c>
      <c r="O22" s="64">
        <v>0</v>
      </c>
      <c r="P22" s="64">
        <v>0.34</v>
      </c>
      <c r="Q22" s="64">
        <v>31.62</v>
      </c>
      <c r="R22" s="198"/>
      <c r="S22" s="198"/>
      <c r="T22" s="198"/>
      <c r="U22" s="198"/>
    </row>
    <row r="23" spans="1:21" s="12" customFormat="1" x14ac:dyDescent="0.25">
      <c r="A23" s="211" t="s">
        <v>2183</v>
      </c>
      <c r="B23" s="64">
        <v>1.72</v>
      </c>
      <c r="C23" s="64">
        <v>25.68</v>
      </c>
      <c r="D23" s="64">
        <v>16.190000000000001</v>
      </c>
      <c r="E23" s="64">
        <v>1.49</v>
      </c>
      <c r="F23" s="64">
        <v>22.34</v>
      </c>
      <c r="G23" s="64">
        <v>33.25</v>
      </c>
      <c r="H23" s="64">
        <v>16.98</v>
      </c>
      <c r="I23" s="64">
        <v>0.51</v>
      </c>
      <c r="J23" s="64">
        <v>0.13</v>
      </c>
      <c r="K23" s="64">
        <v>249.42</v>
      </c>
      <c r="L23" s="64">
        <v>24.72</v>
      </c>
      <c r="M23" s="64">
        <v>56.14</v>
      </c>
      <c r="N23" s="214" t="s">
        <v>42</v>
      </c>
      <c r="O23" s="64">
        <v>0</v>
      </c>
      <c r="P23" s="64">
        <v>0.34</v>
      </c>
      <c r="Q23" s="64">
        <v>32.19</v>
      </c>
      <c r="R23" s="198"/>
      <c r="S23" s="198"/>
      <c r="T23" s="198"/>
      <c r="U23" s="198"/>
    </row>
    <row r="24" spans="1:21" s="12" customFormat="1" x14ac:dyDescent="0.25">
      <c r="A24" s="211" t="s">
        <v>2184</v>
      </c>
      <c r="B24" s="64">
        <v>7.81</v>
      </c>
      <c r="C24" s="64">
        <v>39.380000000000003</v>
      </c>
      <c r="D24" s="64">
        <v>28.64</v>
      </c>
      <c r="E24" s="64">
        <v>1.27</v>
      </c>
      <c r="F24" s="64">
        <v>15.36</v>
      </c>
      <c r="G24" s="64">
        <v>25.33</v>
      </c>
      <c r="H24" s="64">
        <v>14.59</v>
      </c>
      <c r="I24" s="64">
        <v>0.65</v>
      </c>
      <c r="J24" s="64">
        <v>0.14000000000000001</v>
      </c>
      <c r="K24" s="64">
        <v>243.87</v>
      </c>
      <c r="L24" s="64">
        <v>24.61</v>
      </c>
      <c r="M24" s="64">
        <v>56.15</v>
      </c>
      <c r="N24" s="214" t="s">
        <v>42</v>
      </c>
      <c r="O24" s="64">
        <v>0</v>
      </c>
      <c r="P24" s="64">
        <v>0.35</v>
      </c>
      <c r="Q24" s="64">
        <v>32</v>
      </c>
      <c r="R24" s="198"/>
      <c r="S24" s="198"/>
      <c r="T24" s="198"/>
      <c r="U24" s="198"/>
    </row>
    <row r="25" spans="1:21" s="12" customFormat="1" x14ac:dyDescent="0.25">
      <c r="A25" s="211" t="s">
        <v>2185</v>
      </c>
      <c r="B25" s="64">
        <v>4.72</v>
      </c>
      <c r="C25" s="64">
        <v>34.159999999999997</v>
      </c>
      <c r="D25" s="64">
        <v>23.29</v>
      </c>
      <c r="E25" s="64">
        <v>1.21</v>
      </c>
      <c r="F25" s="64">
        <v>6.83</v>
      </c>
      <c r="G25" s="64">
        <v>25.33</v>
      </c>
      <c r="H25" s="64">
        <v>14.59</v>
      </c>
      <c r="I25" s="64">
        <v>0.77</v>
      </c>
      <c r="J25" s="64">
        <v>0.96</v>
      </c>
      <c r="K25" s="64">
        <v>180.31</v>
      </c>
      <c r="L25" s="64">
        <v>24.83</v>
      </c>
      <c r="M25" s="64">
        <v>55</v>
      </c>
      <c r="N25" s="214" t="s">
        <v>42</v>
      </c>
      <c r="O25" s="64">
        <v>0</v>
      </c>
      <c r="P25" s="64">
        <v>0.36</v>
      </c>
      <c r="Q25" s="64">
        <v>32.340000000000003</v>
      </c>
      <c r="R25" s="198"/>
      <c r="S25" s="198"/>
      <c r="T25" s="198"/>
      <c r="U25" s="198"/>
    </row>
    <row r="26" spans="1:21" s="12" customFormat="1" x14ac:dyDescent="0.25">
      <c r="A26" s="211" t="s">
        <v>2186</v>
      </c>
      <c r="B26" s="64">
        <v>4.99</v>
      </c>
      <c r="C26" s="64">
        <v>30.81</v>
      </c>
      <c r="D26" s="64">
        <v>21.65</v>
      </c>
      <c r="E26" s="64">
        <v>1.05</v>
      </c>
      <c r="F26" s="64">
        <v>4.37</v>
      </c>
      <c r="G26" s="64">
        <v>25.33</v>
      </c>
      <c r="H26" s="64">
        <v>14.59</v>
      </c>
      <c r="I26" s="64">
        <v>0.61</v>
      </c>
      <c r="J26" s="64">
        <v>1.1200000000000001</v>
      </c>
      <c r="K26" s="64">
        <v>173.07</v>
      </c>
      <c r="L26" s="64">
        <v>24.8</v>
      </c>
      <c r="M26" s="64">
        <v>54.91</v>
      </c>
      <c r="N26" s="214" t="s">
        <v>42</v>
      </c>
      <c r="O26" s="64">
        <v>0</v>
      </c>
      <c r="P26" s="64">
        <v>0.37</v>
      </c>
      <c r="Q26" s="64">
        <v>32.31</v>
      </c>
      <c r="R26" s="198"/>
      <c r="S26" s="198"/>
      <c r="T26" s="198"/>
      <c r="U26" s="198"/>
    </row>
    <row r="27" spans="1:21" s="12" customFormat="1" x14ac:dyDescent="0.25">
      <c r="A27" s="211" t="s">
        <v>2187</v>
      </c>
      <c r="B27" s="64">
        <v>3.85</v>
      </c>
      <c r="C27" s="64">
        <v>30.36</v>
      </c>
      <c r="D27" s="64">
        <v>20.49</v>
      </c>
      <c r="E27" s="64">
        <v>1.05</v>
      </c>
      <c r="F27" s="64">
        <v>4.92</v>
      </c>
      <c r="G27" s="64">
        <v>25.67</v>
      </c>
      <c r="H27" s="64">
        <v>14.79</v>
      </c>
      <c r="I27" s="64">
        <v>0.66</v>
      </c>
      <c r="J27" s="64">
        <v>0.21</v>
      </c>
      <c r="K27" s="64">
        <v>228.24</v>
      </c>
      <c r="L27" s="64">
        <v>24.63</v>
      </c>
      <c r="M27" s="64">
        <v>55.79</v>
      </c>
      <c r="N27" s="214" t="s">
        <v>42</v>
      </c>
      <c r="O27" s="64">
        <v>0</v>
      </c>
      <c r="P27" s="64">
        <v>0.36</v>
      </c>
      <c r="Q27" s="64">
        <v>31.77</v>
      </c>
      <c r="R27" s="198"/>
      <c r="S27" s="198"/>
      <c r="T27" s="198"/>
      <c r="U27" s="198"/>
    </row>
    <row r="28" spans="1:21" s="12" customFormat="1" x14ac:dyDescent="0.25">
      <c r="A28" s="211" t="s">
        <v>2188</v>
      </c>
      <c r="B28" s="64">
        <v>3.17</v>
      </c>
      <c r="C28" s="64">
        <v>31.29</v>
      </c>
      <c r="D28" s="64">
        <v>20.46</v>
      </c>
      <c r="E28" s="64">
        <v>1.07</v>
      </c>
      <c r="F28" s="64">
        <v>4.8099999999999996</v>
      </c>
      <c r="G28" s="64">
        <v>28.7</v>
      </c>
      <c r="H28" s="64">
        <v>16.07</v>
      </c>
      <c r="I28" s="64">
        <v>0.65</v>
      </c>
      <c r="J28" s="64">
        <v>0.18</v>
      </c>
      <c r="K28" s="64">
        <v>243.11</v>
      </c>
      <c r="L28" s="64">
        <v>24.3</v>
      </c>
      <c r="M28" s="64">
        <v>57.12</v>
      </c>
      <c r="N28" s="214" t="s">
        <v>42</v>
      </c>
      <c r="O28" s="64">
        <v>0</v>
      </c>
      <c r="P28" s="64">
        <v>0.37</v>
      </c>
      <c r="Q28" s="64">
        <v>31.14</v>
      </c>
      <c r="R28" s="198"/>
      <c r="S28" s="198"/>
      <c r="T28" s="198"/>
      <c r="U28" s="198"/>
    </row>
    <row r="29" spans="1:21" s="12" customFormat="1" x14ac:dyDescent="0.25">
      <c r="A29" s="211" t="s">
        <v>2189</v>
      </c>
      <c r="B29" s="64">
        <v>3.18</v>
      </c>
      <c r="C29" s="64">
        <v>32.4</v>
      </c>
      <c r="D29" s="64">
        <v>21.08</v>
      </c>
      <c r="E29" s="64">
        <v>0.47</v>
      </c>
      <c r="F29" s="64">
        <v>4.3899999999999997</v>
      </c>
      <c r="G29" s="64">
        <v>28.7</v>
      </c>
      <c r="H29" s="64">
        <v>16.07</v>
      </c>
      <c r="I29" s="64">
        <v>0.76</v>
      </c>
      <c r="J29" s="64">
        <v>0.17</v>
      </c>
      <c r="K29" s="64">
        <v>242.99</v>
      </c>
      <c r="L29" s="64">
        <v>24.14</v>
      </c>
      <c r="M29" s="64">
        <v>57.97</v>
      </c>
      <c r="N29" s="214" t="s">
        <v>42</v>
      </c>
      <c r="O29" s="64">
        <v>0</v>
      </c>
      <c r="P29" s="64">
        <v>0.38</v>
      </c>
      <c r="Q29" s="64">
        <v>30.68</v>
      </c>
      <c r="R29" s="198"/>
      <c r="S29" s="198"/>
      <c r="T29" s="198"/>
      <c r="U29" s="198"/>
    </row>
    <row r="30" spans="1:21" s="12" customFormat="1" x14ac:dyDescent="0.25">
      <c r="A30" s="211" t="s">
        <v>2190</v>
      </c>
      <c r="B30" s="64">
        <v>4.26</v>
      </c>
      <c r="C30" s="64">
        <v>34.07</v>
      </c>
      <c r="D30" s="64">
        <v>22.87</v>
      </c>
      <c r="E30" s="64">
        <v>0.79</v>
      </c>
      <c r="F30" s="64">
        <v>4.1100000000000003</v>
      </c>
      <c r="G30" s="64">
        <v>28.7</v>
      </c>
      <c r="H30" s="64">
        <v>16.07</v>
      </c>
      <c r="I30" s="64">
        <v>0.67</v>
      </c>
      <c r="J30" s="64">
        <v>7.0000000000000007E-2</v>
      </c>
      <c r="K30" s="64">
        <v>231.67</v>
      </c>
      <c r="L30" s="64">
        <v>23.93</v>
      </c>
      <c r="M30" s="64">
        <v>61.37</v>
      </c>
      <c r="N30" s="214" t="s">
        <v>42</v>
      </c>
      <c r="O30" s="64">
        <v>0</v>
      </c>
      <c r="P30" s="64">
        <v>0.4</v>
      </c>
      <c r="Q30" s="64">
        <v>30.48</v>
      </c>
      <c r="R30" s="198"/>
      <c r="S30" s="198"/>
      <c r="T30" s="198"/>
      <c r="U30" s="198"/>
    </row>
    <row r="31" spans="1:21" s="12" customFormat="1" x14ac:dyDescent="0.25">
      <c r="A31" s="211" t="s">
        <v>2191</v>
      </c>
      <c r="B31" s="64">
        <v>6.07</v>
      </c>
      <c r="C31" s="64">
        <v>35.04</v>
      </c>
      <c r="D31" s="64">
        <v>24.85</v>
      </c>
      <c r="E31" s="64">
        <v>0.86</v>
      </c>
      <c r="F31" s="64">
        <v>3.46</v>
      </c>
      <c r="G31" s="64">
        <v>29.67</v>
      </c>
      <c r="H31" s="64">
        <v>16.350000000000001</v>
      </c>
      <c r="I31" s="64">
        <v>0.59</v>
      </c>
      <c r="J31" s="64">
        <v>0.92</v>
      </c>
      <c r="K31" s="64">
        <v>172.63</v>
      </c>
      <c r="L31" s="64">
        <v>23.94</v>
      </c>
      <c r="M31" s="64">
        <v>60.4</v>
      </c>
      <c r="N31" s="214" t="s">
        <v>42</v>
      </c>
      <c r="O31" s="64">
        <v>0</v>
      </c>
      <c r="P31" s="64">
        <v>0.43</v>
      </c>
      <c r="Q31" s="64">
        <v>30.16</v>
      </c>
      <c r="R31" s="198"/>
      <c r="S31" s="198"/>
      <c r="T31" s="198"/>
      <c r="U31" s="198"/>
    </row>
    <row r="32" spans="1:21" s="12" customFormat="1" x14ac:dyDescent="0.25">
      <c r="A32" s="211" t="s">
        <v>2192</v>
      </c>
      <c r="B32" s="64">
        <v>9.2799999999999994</v>
      </c>
      <c r="C32" s="64">
        <v>38.9</v>
      </c>
      <c r="D32" s="64">
        <v>29.55</v>
      </c>
      <c r="E32" s="64">
        <v>1.29</v>
      </c>
      <c r="F32" s="64">
        <v>6.34</v>
      </c>
      <c r="G32" s="64">
        <v>38.369999999999997</v>
      </c>
      <c r="H32" s="64">
        <v>18.38</v>
      </c>
      <c r="I32" s="64">
        <v>0.54</v>
      </c>
      <c r="J32" s="64">
        <v>0.51</v>
      </c>
      <c r="K32" s="64">
        <v>217.45</v>
      </c>
      <c r="L32" s="64">
        <v>24.81</v>
      </c>
      <c r="M32" s="64">
        <v>57.9</v>
      </c>
      <c r="N32" s="214" t="s">
        <v>42</v>
      </c>
      <c r="O32" s="64">
        <v>0</v>
      </c>
      <c r="P32" s="64">
        <v>0.47</v>
      </c>
      <c r="Q32" s="64">
        <v>30.28</v>
      </c>
      <c r="R32" s="198"/>
      <c r="S32" s="198"/>
      <c r="T32" s="198"/>
      <c r="U32" s="198"/>
    </row>
    <row r="33" spans="1:21" s="12" customFormat="1" x14ac:dyDescent="0.25">
      <c r="A33" s="211" t="s">
        <v>2193</v>
      </c>
      <c r="B33" s="64">
        <v>10.36</v>
      </c>
      <c r="C33" s="64">
        <v>44.75</v>
      </c>
      <c r="D33" s="64">
        <v>33.65</v>
      </c>
      <c r="E33" s="64">
        <v>1.06</v>
      </c>
      <c r="F33" s="64">
        <v>10.23</v>
      </c>
      <c r="G33" s="64">
        <v>38.369999999999997</v>
      </c>
      <c r="H33" s="64">
        <v>18.38</v>
      </c>
      <c r="I33" s="64">
        <v>0.64</v>
      </c>
      <c r="J33" s="64">
        <v>0.09</v>
      </c>
      <c r="K33" s="64">
        <v>265.52999999999997</v>
      </c>
      <c r="L33" s="64">
        <v>25.41</v>
      </c>
      <c r="M33" s="64">
        <v>56.3</v>
      </c>
      <c r="N33" s="214" t="s">
        <v>42</v>
      </c>
      <c r="O33" s="64">
        <v>0</v>
      </c>
      <c r="P33" s="64">
        <v>0.57999999999999996</v>
      </c>
      <c r="Q33" s="64">
        <v>29.73</v>
      </c>
      <c r="R33" s="198"/>
      <c r="S33" s="198"/>
      <c r="T33" s="198"/>
      <c r="U33" s="198"/>
    </row>
    <row r="34" spans="1:21" s="12" customFormat="1" x14ac:dyDescent="0.25">
      <c r="A34" s="211" t="s">
        <v>2194</v>
      </c>
      <c r="B34" s="64">
        <v>13.32</v>
      </c>
      <c r="C34" s="64">
        <v>43.84</v>
      </c>
      <c r="D34" s="64">
        <v>35.520000000000003</v>
      </c>
      <c r="E34" s="64">
        <v>1.24</v>
      </c>
      <c r="F34" s="64">
        <v>13.03</v>
      </c>
      <c r="G34" s="64">
        <v>38.369999999999997</v>
      </c>
      <c r="H34" s="64">
        <v>18.38</v>
      </c>
      <c r="I34" s="64">
        <v>0.57999999999999996</v>
      </c>
      <c r="J34" s="64">
        <v>0.43</v>
      </c>
      <c r="K34" s="64">
        <v>170.28</v>
      </c>
      <c r="L34" s="64">
        <v>26.27</v>
      </c>
      <c r="M34" s="64">
        <v>54.44</v>
      </c>
      <c r="N34" s="214" t="s">
        <v>42</v>
      </c>
      <c r="O34" s="64">
        <v>0</v>
      </c>
      <c r="P34" s="64">
        <v>0.63</v>
      </c>
      <c r="Q34" s="64">
        <v>29.77</v>
      </c>
      <c r="R34" s="198"/>
      <c r="S34" s="198"/>
      <c r="T34" s="198"/>
      <c r="U34" s="198"/>
    </row>
    <row r="35" spans="1:21" s="12" customFormat="1" x14ac:dyDescent="0.25">
      <c r="A35" s="211" t="s">
        <v>2195</v>
      </c>
      <c r="B35" s="64">
        <v>5.61</v>
      </c>
      <c r="C35" s="64">
        <v>36.08</v>
      </c>
      <c r="D35" s="64">
        <v>25.05</v>
      </c>
      <c r="E35" s="64">
        <v>1.49</v>
      </c>
      <c r="F35" s="64">
        <v>19.510000000000002</v>
      </c>
      <c r="G35" s="64">
        <v>38.799999999999997</v>
      </c>
      <c r="H35" s="64">
        <v>18.97</v>
      </c>
      <c r="I35" s="64">
        <v>0.59</v>
      </c>
      <c r="J35" s="64">
        <v>0.25</v>
      </c>
      <c r="K35" s="64">
        <v>184.02</v>
      </c>
      <c r="L35" s="64">
        <v>27.33</v>
      </c>
      <c r="M35" s="64">
        <v>50.98</v>
      </c>
      <c r="N35" s="214" t="s">
        <v>42</v>
      </c>
      <c r="O35" s="64">
        <v>0</v>
      </c>
      <c r="P35" s="64">
        <v>0.5</v>
      </c>
      <c r="Q35" s="64">
        <v>31.48</v>
      </c>
      <c r="R35" s="198"/>
      <c r="S35" s="198"/>
      <c r="T35" s="198"/>
      <c r="U35" s="198"/>
    </row>
    <row r="36" spans="1:21" s="12" customFormat="1" x14ac:dyDescent="0.25">
      <c r="A36" s="211" t="s">
        <v>2196</v>
      </c>
      <c r="B36" s="64">
        <v>6.91</v>
      </c>
      <c r="C36" s="64">
        <v>33.82</v>
      </c>
      <c r="D36" s="64">
        <v>24.85</v>
      </c>
      <c r="E36" s="64">
        <v>1.59</v>
      </c>
      <c r="F36" s="64">
        <v>18.02</v>
      </c>
      <c r="G36" s="64">
        <v>42.63</v>
      </c>
      <c r="H36" s="64">
        <v>22.8</v>
      </c>
      <c r="I36" s="64">
        <v>0.57999999999999996</v>
      </c>
      <c r="J36" s="64">
        <v>0.72</v>
      </c>
      <c r="K36" s="64">
        <v>169.23</v>
      </c>
      <c r="L36" s="64">
        <v>27.45</v>
      </c>
      <c r="M36" s="64">
        <v>50.42</v>
      </c>
      <c r="N36" s="214" t="s">
        <v>42</v>
      </c>
      <c r="O36" s="64">
        <v>0</v>
      </c>
      <c r="P36" s="64">
        <v>0.49</v>
      </c>
      <c r="Q36" s="64">
        <v>32.29</v>
      </c>
      <c r="R36" s="198"/>
      <c r="S36" s="198"/>
      <c r="T36" s="198"/>
      <c r="U36" s="198"/>
    </row>
    <row r="37" spans="1:21" s="12" customFormat="1" x14ac:dyDescent="0.25">
      <c r="A37" s="211" t="s">
        <v>2197</v>
      </c>
      <c r="B37" s="64">
        <v>9.31</v>
      </c>
      <c r="C37" s="64">
        <v>33.69</v>
      </c>
      <c r="D37" s="64">
        <v>26.7</v>
      </c>
      <c r="E37" s="64">
        <v>1.73</v>
      </c>
      <c r="F37" s="64">
        <v>4.59</v>
      </c>
      <c r="G37" s="64">
        <v>42.63</v>
      </c>
      <c r="H37" s="64">
        <v>22.8</v>
      </c>
      <c r="I37" s="64">
        <v>0.62</v>
      </c>
      <c r="J37" s="64">
        <v>0.56000000000000005</v>
      </c>
      <c r="K37" s="64">
        <v>162.36000000000001</v>
      </c>
      <c r="L37" s="64">
        <v>28</v>
      </c>
      <c r="M37" s="64">
        <v>49.46</v>
      </c>
      <c r="N37" s="214" t="s">
        <v>42</v>
      </c>
      <c r="O37" s="64">
        <v>0</v>
      </c>
      <c r="P37" s="64">
        <v>0.52</v>
      </c>
      <c r="Q37" s="64">
        <v>32.090000000000003</v>
      </c>
      <c r="R37" s="198"/>
      <c r="S37" s="198"/>
      <c r="T37" s="198"/>
      <c r="U37" s="198"/>
    </row>
    <row r="38" spans="1:21" s="12" customFormat="1" x14ac:dyDescent="0.25">
      <c r="A38" s="211" t="s">
        <v>2198</v>
      </c>
      <c r="B38" s="64">
        <v>8.34</v>
      </c>
      <c r="C38" s="64">
        <v>34.909999999999997</v>
      </c>
      <c r="D38" s="64">
        <v>26.6</v>
      </c>
      <c r="E38" s="64">
        <v>1.1499999999999999</v>
      </c>
      <c r="F38" s="64">
        <v>6.03</v>
      </c>
      <c r="G38" s="64">
        <v>42.63</v>
      </c>
      <c r="H38" s="64">
        <v>22.8</v>
      </c>
      <c r="I38" s="64">
        <v>0.56999999999999995</v>
      </c>
      <c r="J38" s="64">
        <v>0.33</v>
      </c>
      <c r="K38" s="64">
        <v>181.84</v>
      </c>
      <c r="L38" s="64">
        <v>29.09</v>
      </c>
      <c r="M38" s="64">
        <v>47.25</v>
      </c>
      <c r="N38" s="214" t="s">
        <v>42</v>
      </c>
      <c r="O38" s="64">
        <v>0</v>
      </c>
      <c r="P38" s="64">
        <v>0.56999999999999995</v>
      </c>
      <c r="Q38" s="64">
        <v>31.77</v>
      </c>
      <c r="R38" s="198"/>
      <c r="S38" s="198"/>
      <c r="T38" s="198"/>
      <c r="U38" s="198"/>
    </row>
    <row r="39" spans="1:21" s="12" customFormat="1" x14ac:dyDescent="0.25">
      <c r="A39" s="211" t="s">
        <v>2199</v>
      </c>
      <c r="B39" s="64">
        <v>6.16</v>
      </c>
      <c r="C39" s="64">
        <v>36.5</v>
      </c>
      <c r="D39" s="64">
        <v>25.73</v>
      </c>
      <c r="E39" s="64">
        <v>1.79</v>
      </c>
      <c r="F39" s="64">
        <v>6.31</v>
      </c>
      <c r="G39" s="64">
        <v>42.5</v>
      </c>
      <c r="H39" s="64">
        <v>22.76</v>
      </c>
      <c r="I39" s="64">
        <v>0.71</v>
      </c>
      <c r="J39" s="64">
        <v>0.25</v>
      </c>
      <c r="K39" s="64">
        <v>199.92</v>
      </c>
      <c r="L39" s="64">
        <v>29.72</v>
      </c>
      <c r="M39" s="64">
        <v>47.68</v>
      </c>
      <c r="N39" s="214" t="s">
        <v>42</v>
      </c>
      <c r="O39" s="64">
        <v>0</v>
      </c>
      <c r="P39" s="64">
        <v>0.6</v>
      </c>
      <c r="Q39" s="64">
        <v>31.32</v>
      </c>
      <c r="R39" s="198"/>
      <c r="S39" s="198"/>
      <c r="T39" s="198"/>
      <c r="U39" s="198"/>
    </row>
    <row r="40" spans="1:21" s="12" customFormat="1" x14ac:dyDescent="0.25">
      <c r="A40" s="211" t="s">
        <v>2200</v>
      </c>
      <c r="B40" s="64">
        <v>4.83</v>
      </c>
      <c r="C40" s="64">
        <v>37.81</v>
      </c>
      <c r="D40" s="64">
        <v>25.39</v>
      </c>
      <c r="E40" s="64">
        <v>0.42</v>
      </c>
      <c r="F40" s="64">
        <v>6.27</v>
      </c>
      <c r="G40" s="64">
        <v>41.35</v>
      </c>
      <c r="H40" s="64">
        <v>22.49</v>
      </c>
      <c r="I40" s="64">
        <v>0.6</v>
      </c>
      <c r="J40" s="64">
        <v>0.11</v>
      </c>
      <c r="K40" s="64">
        <v>189.33</v>
      </c>
      <c r="L40" s="64">
        <v>31.31</v>
      </c>
      <c r="M40" s="64">
        <v>44.79</v>
      </c>
      <c r="N40" s="214" t="s">
        <v>42</v>
      </c>
      <c r="O40" s="64">
        <v>0</v>
      </c>
      <c r="P40" s="64">
        <v>0.62</v>
      </c>
      <c r="Q40" s="64">
        <v>30.76</v>
      </c>
      <c r="R40" s="198"/>
      <c r="S40" s="198"/>
      <c r="T40" s="198"/>
      <c r="U40" s="198"/>
    </row>
    <row r="41" spans="1:21" s="12" customFormat="1" x14ac:dyDescent="0.25">
      <c r="A41" s="211" t="s">
        <v>2201</v>
      </c>
      <c r="B41" s="64">
        <v>3.47</v>
      </c>
      <c r="C41" s="64">
        <v>38.07</v>
      </c>
      <c r="D41" s="64">
        <v>24.44</v>
      </c>
      <c r="E41" s="64">
        <v>0.82</v>
      </c>
      <c r="F41" s="64">
        <v>6.59</v>
      </c>
      <c r="G41" s="64">
        <v>41.35</v>
      </c>
      <c r="H41" s="64">
        <v>22.49</v>
      </c>
      <c r="I41" s="64">
        <v>0.85</v>
      </c>
      <c r="J41" s="64">
        <v>0.27</v>
      </c>
      <c r="K41" s="64">
        <v>198.4</v>
      </c>
      <c r="L41" s="64">
        <v>30.68</v>
      </c>
      <c r="M41" s="64">
        <v>47.14</v>
      </c>
      <c r="N41" s="214" t="s">
        <v>42</v>
      </c>
      <c r="O41" s="64">
        <v>0</v>
      </c>
      <c r="P41" s="64">
        <v>0.64</v>
      </c>
      <c r="Q41" s="64">
        <v>30.48</v>
      </c>
      <c r="R41" s="198"/>
      <c r="S41" s="198"/>
      <c r="T41" s="198"/>
      <c r="U41" s="198"/>
    </row>
    <row r="42" spans="1:21" s="12" customFormat="1" x14ac:dyDescent="0.25">
      <c r="A42" s="211" t="s">
        <v>2202</v>
      </c>
      <c r="B42" s="64">
        <v>2.34</v>
      </c>
      <c r="C42" s="64">
        <v>37.159999999999997</v>
      </c>
      <c r="D42" s="64">
        <v>23.03</v>
      </c>
      <c r="E42" s="64">
        <v>1.1599999999999999</v>
      </c>
      <c r="F42" s="64">
        <v>7.29</v>
      </c>
      <c r="G42" s="64">
        <v>41.35</v>
      </c>
      <c r="H42" s="64">
        <v>22.49</v>
      </c>
      <c r="I42" s="64">
        <v>0.62</v>
      </c>
      <c r="J42" s="64">
        <v>0.4</v>
      </c>
      <c r="K42" s="64">
        <v>190.8</v>
      </c>
      <c r="L42" s="64">
        <v>30.77</v>
      </c>
      <c r="M42" s="64">
        <v>47.25</v>
      </c>
      <c r="N42" s="214" t="s">
        <v>42</v>
      </c>
      <c r="O42" s="64">
        <v>0</v>
      </c>
      <c r="P42" s="64">
        <v>0.64</v>
      </c>
      <c r="Q42" s="64">
        <v>30.19</v>
      </c>
      <c r="R42" s="198"/>
      <c r="S42" s="198"/>
      <c r="T42" s="198"/>
      <c r="U42" s="198"/>
    </row>
    <row r="43" spans="1:21" s="12" customFormat="1" x14ac:dyDescent="0.25">
      <c r="A43" s="211" t="s">
        <v>2203</v>
      </c>
      <c r="B43" s="64">
        <v>1.57</v>
      </c>
      <c r="C43" s="64">
        <v>34.79</v>
      </c>
      <c r="D43" s="64">
        <v>21.1</v>
      </c>
      <c r="E43" s="64">
        <v>0.86</v>
      </c>
      <c r="F43" s="64">
        <v>7.61</v>
      </c>
      <c r="G43" s="64">
        <v>41.68</v>
      </c>
      <c r="H43" s="64">
        <v>22.99</v>
      </c>
      <c r="I43" s="64">
        <v>0.56999999999999995</v>
      </c>
      <c r="J43" s="64">
        <v>0.18</v>
      </c>
      <c r="K43" s="64">
        <v>231.62</v>
      </c>
      <c r="L43" s="64">
        <v>31.25</v>
      </c>
      <c r="M43" s="64">
        <v>43.37</v>
      </c>
      <c r="N43" s="214" t="s">
        <v>42</v>
      </c>
      <c r="O43" s="64">
        <v>0</v>
      </c>
      <c r="P43" s="64">
        <v>0.63</v>
      </c>
      <c r="Q43" s="64">
        <v>29.58</v>
      </c>
      <c r="R43" s="198"/>
      <c r="S43" s="198"/>
      <c r="T43" s="198"/>
      <c r="U43" s="198"/>
    </row>
    <row r="44" spans="1:21" s="12" customFormat="1" x14ac:dyDescent="0.25">
      <c r="A44" s="211" t="s">
        <v>2204</v>
      </c>
      <c r="B44" s="64">
        <v>1.39</v>
      </c>
      <c r="C44" s="64">
        <v>34.01</v>
      </c>
      <c r="D44" s="64">
        <v>20.53</v>
      </c>
      <c r="E44" s="64">
        <v>1.01</v>
      </c>
      <c r="F44" s="64">
        <v>13.16</v>
      </c>
      <c r="G44" s="64">
        <v>44.35</v>
      </c>
      <c r="H44" s="64">
        <v>26.19</v>
      </c>
      <c r="I44" s="64">
        <v>0.63</v>
      </c>
      <c r="J44" s="64">
        <v>0.16</v>
      </c>
      <c r="K44" s="64">
        <v>192.16</v>
      </c>
      <c r="L44" s="64">
        <v>32.17</v>
      </c>
      <c r="M44" s="64">
        <v>41.23</v>
      </c>
      <c r="N44" s="214" t="s">
        <v>42</v>
      </c>
      <c r="O44" s="64">
        <v>0</v>
      </c>
      <c r="P44" s="64">
        <v>0.61</v>
      </c>
      <c r="Q44" s="64">
        <v>29.69</v>
      </c>
      <c r="R44" s="198"/>
      <c r="S44" s="198"/>
      <c r="T44" s="198"/>
      <c r="U44" s="198"/>
    </row>
    <row r="45" spans="1:21" s="12" customFormat="1" x14ac:dyDescent="0.25">
      <c r="A45" s="211" t="s">
        <v>2205</v>
      </c>
      <c r="B45" s="64">
        <v>1.4</v>
      </c>
      <c r="C45" s="64">
        <v>29.58</v>
      </c>
      <c r="D45" s="64">
        <v>18.09</v>
      </c>
      <c r="E45" s="64">
        <v>1.31</v>
      </c>
      <c r="F45" s="64">
        <v>9.2799999999999994</v>
      </c>
      <c r="G45" s="64">
        <v>44.35</v>
      </c>
      <c r="H45" s="64">
        <v>26.19</v>
      </c>
      <c r="I45" s="64">
        <v>0.56999999999999995</v>
      </c>
      <c r="J45" s="64">
        <v>0.04</v>
      </c>
      <c r="K45" s="64">
        <v>221.25</v>
      </c>
      <c r="L45" s="64">
        <v>32.47</v>
      </c>
      <c r="M45" s="64">
        <v>39.5</v>
      </c>
      <c r="N45" s="214" t="s">
        <v>42</v>
      </c>
      <c r="O45" s="64">
        <v>0</v>
      </c>
      <c r="P45" s="64">
        <v>0.61</v>
      </c>
      <c r="Q45" s="64">
        <v>30.25</v>
      </c>
      <c r="R45" s="198"/>
      <c r="S45" s="198"/>
      <c r="T45" s="198"/>
      <c r="U45" s="198"/>
    </row>
    <row r="46" spans="1:21" s="12" customFormat="1" x14ac:dyDescent="0.25">
      <c r="A46" s="211" t="s">
        <v>2206</v>
      </c>
      <c r="B46" s="64">
        <v>1.55</v>
      </c>
      <c r="C46" s="64">
        <v>30.19</v>
      </c>
      <c r="D46" s="64">
        <v>18.55</v>
      </c>
      <c r="E46" s="64">
        <v>1.27</v>
      </c>
      <c r="F46" s="64">
        <v>11.59</v>
      </c>
      <c r="G46" s="64">
        <v>44.35</v>
      </c>
      <c r="H46" s="64">
        <v>26.19</v>
      </c>
      <c r="I46" s="64">
        <v>0.55000000000000004</v>
      </c>
      <c r="J46" s="64">
        <v>0.1</v>
      </c>
      <c r="K46" s="64">
        <v>20.309999999999999</v>
      </c>
      <c r="L46" s="64">
        <v>33.17</v>
      </c>
      <c r="M46" s="64">
        <v>38.409999999999997</v>
      </c>
      <c r="N46" s="214" t="s">
        <v>42</v>
      </c>
      <c r="O46" s="64">
        <v>0</v>
      </c>
      <c r="P46" s="64">
        <v>0.62</v>
      </c>
      <c r="Q46" s="64">
        <v>29.4</v>
      </c>
      <c r="R46" s="198"/>
      <c r="S46" s="198"/>
      <c r="T46" s="198"/>
      <c r="U46" s="198"/>
    </row>
    <row r="47" spans="1:21" s="12" customFormat="1" x14ac:dyDescent="0.25">
      <c r="A47" s="211" t="s">
        <v>2207</v>
      </c>
      <c r="B47" s="64">
        <v>1.47</v>
      </c>
      <c r="C47" s="64">
        <v>31.57</v>
      </c>
      <c r="D47" s="64">
        <v>19.25</v>
      </c>
      <c r="E47" s="64">
        <v>0.98</v>
      </c>
      <c r="F47" s="64">
        <v>17.43</v>
      </c>
      <c r="G47" s="64">
        <v>44.76</v>
      </c>
      <c r="H47" s="64">
        <v>25.96</v>
      </c>
      <c r="I47" s="64">
        <v>0.56999999999999995</v>
      </c>
      <c r="J47" s="64">
        <v>0.32</v>
      </c>
      <c r="K47" s="64">
        <v>220.85</v>
      </c>
      <c r="L47" s="64">
        <v>33.770000000000003</v>
      </c>
      <c r="M47" s="64">
        <v>36.9</v>
      </c>
      <c r="N47" s="214" t="s">
        <v>42</v>
      </c>
      <c r="O47" s="64">
        <v>0</v>
      </c>
      <c r="P47" s="64">
        <v>0.62</v>
      </c>
      <c r="Q47" s="64">
        <v>29.57</v>
      </c>
      <c r="R47" s="198"/>
      <c r="S47" s="198"/>
      <c r="T47" s="198"/>
      <c r="U47" s="198"/>
    </row>
    <row r="48" spans="1:21" s="12" customFormat="1" x14ac:dyDescent="0.25">
      <c r="A48" s="211" t="s">
        <v>2208</v>
      </c>
      <c r="B48" s="64">
        <v>2.08</v>
      </c>
      <c r="C48" s="64">
        <v>30.74</v>
      </c>
      <c r="D48" s="64">
        <v>19.28</v>
      </c>
      <c r="E48" s="64">
        <v>1.06</v>
      </c>
      <c r="F48" s="64">
        <v>17.260000000000002</v>
      </c>
      <c r="G48" s="64">
        <v>48.02</v>
      </c>
      <c r="H48" s="64">
        <v>24.41</v>
      </c>
      <c r="I48" s="64">
        <v>0.56999999999999995</v>
      </c>
      <c r="J48" s="64">
        <v>0.28999999999999998</v>
      </c>
      <c r="K48" s="64">
        <v>183.59</v>
      </c>
      <c r="L48" s="64">
        <v>33.9</v>
      </c>
      <c r="M48" s="64">
        <v>35.729999999999997</v>
      </c>
      <c r="N48" s="214" t="s">
        <v>42</v>
      </c>
      <c r="O48" s="64">
        <v>0</v>
      </c>
      <c r="P48" s="64">
        <v>0.6</v>
      </c>
      <c r="Q48" s="64">
        <v>29.85</v>
      </c>
      <c r="R48" s="198"/>
      <c r="S48" s="198"/>
      <c r="T48" s="198"/>
      <c r="U48" s="198"/>
    </row>
    <row r="49" spans="1:21" s="12" customFormat="1" x14ac:dyDescent="0.25">
      <c r="A49" s="211" t="s">
        <v>2209</v>
      </c>
      <c r="B49" s="64">
        <v>1.34</v>
      </c>
      <c r="C49" s="64">
        <v>30.22</v>
      </c>
      <c r="D49" s="64">
        <v>18.39</v>
      </c>
      <c r="E49" s="64">
        <v>1.53</v>
      </c>
      <c r="F49" s="64">
        <v>7.72</v>
      </c>
      <c r="G49" s="64">
        <v>48.02</v>
      </c>
      <c r="H49" s="64">
        <v>24.41</v>
      </c>
      <c r="I49" s="64">
        <v>0.76</v>
      </c>
      <c r="J49" s="64">
        <v>0.01</v>
      </c>
      <c r="K49" s="64">
        <v>63.42</v>
      </c>
      <c r="L49" s="64">
        <v>35.549999999999997</v>
      </c>
      <c r="M49" s="64">
        <v>30.5</v>
      </c>
      <c r="N49" s="214" t="s">
        <v>42</v>
      </c>
      <c r="O49" s="64">
        <v>0</v>
      </c>
      <c r="P49" s="64">
        <v>0.63</v>
      </c>
      <c r="Q49" s="64">
        <v>29.67</v>
      </c>
      <c r="R49" s="198"/>
      <c r="S49" s="198"/>
      <c r="T49" s="198"/>
      <c r="U49" s="198"/>
    </row>
    <row r="50" spans="1:21" s="12" customFormat="1" x14ac:dyDescent="0.25">
      <c r="A50" s="211" t="s">
        <v>2210</v>
      </c>
      <c r="B50" s="64">
        <v>1.05</v>
      </c>
      <c r="C50" s="64">
        <v>32.03</v>
      </c>
      <c r="D50" s="64">
        <v>19.170000000000002</v>
      </c>
      <c r="E50" s="64">
        <v>0.99</v>
      </c>
      <c r="F50" s="64">
        <v>9.5399999999999991</v>
      </c>
      <c r="G50" s="64">
        <v>48.02</v>
      </c>
      <c r="H50" s="64">
        <v>24.41</v>
      </c>
      <c r="I50" s="64">
        <v>0.67</v>
      </c>
      <c r="J50" s="64">
        <v>0.14000000000000001</v>
      </c>
      <c r="K50" s="64">
        <v>50.6</v>
      </c>
      <c r="L50" s="64">
        <v>35.47</v>
      </c>
      <c r="M50" s="64">
        <v>28.52</v>
      </c>
      <c r="N50" s="214" t="s">
        <v>42</v>
      </c>
      <c r="O50" s="64">
        <v>0</v>
      </c>
      <c r="P50" s="64">
        <v>0.61</v>
      </c>
      <c r="Q50" s="64">
        <v>29.23</v>
      </c>
      <c r="R50" s="198"/>
      <c r="S50" s="198"/>
      <c r="T50" s="198"/>
      <c r="U50" s="198"/>
    </row>
    <row r="51" spans="1:21" s="12" customFormat="1" x14ac:dyDescent="0.25">
      <c r="A51" s="211" t="s">
        <v>2211</v>
      </c>
      <c r="B51" s="64">
        <v>1</v>
      </c>
      <c r="C51" s="64">
        <v>33.21</v>
      </c>
      <c r="D51" s="64">
        <v>19.77</v>
      </c>
      <c r="E51" s="64">
        <v>1.31</v>
      </c>
      <c r="F51" s="64">
        <v>10.25</v>
      </c>
      <c r="G51" s="64">
        <v>47.65</v>
      </c>
      <c r="H51" s="64">
        <v>24.21</v>
      </c>
      <c r="I51" s="64">
        <v>0.65</v>
      </c>
      <c r="J51" s="64">
        <v>0.23</v>
      </c>
      <c r="K51" s="64">
        <v>279.77</v>
      </c>
      <c r="L51" s="64">
        <v>36.340000000000003</v>
      </c>
      <c r="M51" s="64">
        <v>28.36</v>
      </c>
      <c r="N51" s="214" t="s">
        <v>42</v>
      </c>
      <c r="O51" s="64">
        <v>0</v>
      </c>
      <c r="P51" s="64">
        <v>0.61</v>
      </c>
      <c r="Q51" s="64">
        <v>28.82</v>
      </c>
      <c r="R51" s="198"/>
      <c r="S51" s="198"/>
      <c r="T51" s="198"/>
      <c r="U51" s="198"/>
    </row>
    <row r="52" spans="1:21" s="12" customFormat="1" x14ac:dyDescent="0.25">
      <c r="A52" s="211" t="s">
        <v>2212</v>
      </c>
      <c r="B52" s="64">
        <v>1.8</v>
      </c>
      <c r="C52" s="64">
        <v>34.33</v>
      </c>
      <c r="D52" s="64">
        <v>21.03</v>
      </c>
      <c r="E52" s="64">
        <v>1.64</v>
      </c>
      <c r="F52" s="64">
        <v>11.79</v>
      </c>
      <c r="G52" s="64">
        <v>44.73</v>
      </c>
      <c r="H52" s="64">
        <v>22.89</v>
      </c>
      <c r="I52" s="64">
        <v>0.65</v>
      </c>
      <c r="J52" s="64">
        <v>0.65</v>
      </c>
      <c r="K52" s="64">
        <v>261.91000000000003</v>
      </c>
      <c r="L52" s="64">
        <v>38.18</v>
      </c>
      <c r="M52" s="64">
        <v>26.74</v>
      </c>
      <c r="N52" s="214" t="s">
        <v>42</v>
      </c>
      <c r="O52" s="64">
        <v>0</v>
      </c>
      <c r="P52" s="64">
        <v>0.66</v>
      </c>
      <c r="Q52" s="64">
        <v>28.38</v>
      </c>
      <c r="R52" s="198"/>
      <c r="S52" s="198"/>
      <c r="T52" s="198"/>
      <c r="U52" s="198"/>
    </row>
    <row r="53" spans="1:21" s="12" customFormat="1" x14ac:dyDescent="0.25">
      <c r="A53" s="211" t="s">
        <v>2213</v>
      </c>
      <c r="B53" s="64">
        <v>2.72</v>
      </c>
      <c r="C53" s="64">
        <v>38.54</v>
      </c>
      <c r="D53" s="64">
        <v>24.09</v>
      </c>
      <c r="E53" s="64">
        <v>1.44</v>
      </c>
      <c r="F53" s="64">
        <v>11.18</v>
      </c>
      <c r="G53" s="64">
        <v>44.73</v>
      </c>
      <c r="H53" s="64">
        <v>22.89</v>
      </c>
      <c r="I53" s="64">
        <v>0.64</v>
      </c>
      <c r="J53" s="64">
        <v>0.1</v>
      </c>
      <c r="K53" s="64">
        <v>301.93</v>
      </c>
      <c r="L53" s="64">
        <v>38.590000000000003</v>
      </c>
      <c r="M53" s="64">
        <v>25.16</v>
      </c>
      <c r="N53" s="214" t="s">
        <v>42</v>
      </c>
      <c r="O53" s="64">
        <v>0</v>
      </c>
      <c r="P53" s="64">
        <v>0.77</v>
      </c>
      <c r="Q53" s="64">
        <v>28.17</v>
      </c>
      <c r="R53" s="198"/>
      <c r="S53" s="198"/>
      <c r="T53" s="198"/>
      <c r="U53" s="198"/>
    </row>
    <row r="54" spans="1:21" s="12" customFormat="1" x14ac:dyDescent="0.25">
      <c r="A54" s="211" t="s">
        <v>2214</v>
      </c>
      <c r="B54" s="64">
        <v>1.4</v>
      </c>
      <c r="C54" s="64">
        <v>41.86</v>
      </c>
      <c r="D54" s="64">
        <v>24.87</v>
      </c>
      <c r="E54" s="64">
        <v>1.18</v>
      </c>
      <c r="F54" s="64">
        <v>12.11</v>
      </c>
      <c r="G54" s="64">
        <v>44.73</v>
      </c>
      <c r="H54" s="64">
        <v>22.89</v>
      </c>
      <c r="I54" s="64">
        <v>0.61</v>
      </c>
      <c r="J54" s="64">
        <v>0.15</v>
      </c>
      <c r="K54" s="64">
        <v>266.52999999999997</v>
      </c>
      <c r="L54" s="64">
        <v>38.17</v>
      </c>
      <c r="M54" s="64">
        <v>25.25</v>
      </c>
      <c r="N54" s="214" t="s">
        <v>42</v>
      </c>
      <c r="O54" s="64">
        <v>0</v>
      </c>
      <c r="P54" s="64">
        <v>0.89</v>
      </c>
      <c r="Q54" s="64">
        <v>28.61</v>
      </c>
      <c r="R54" s="198"/>
      <c r="S54" s="198"/>
      <c r="T54" s="198"/>
      <c r="U54" s="198"/>
    </row>
    <row r="55" spans="1:21" s="12" customFormat="1" x14ac:dyDescent="0.25">
      <c r="A55" s="211" t="s">
        <v>2215</v>
      </c>
      <c r="B55" s="64">
        <v>1.04</v>
      </c>
      <c r="C55" s="64">
        <v>42.47</v>
      </c>
      <c r="D55" s="64">
        <v>24.92</v>
      </c>
      <c r="E55" s="64">
        <v>2.25</v>
      </c>
      <c r="F55" s="64">
        <v>15.84</v>
      </c>
      <c r="G55" s="64">
        <v>44.89</v>
      </c>
      <c r="H55" s="64">
        <v>23.21</v>
      </c>
      <c r="I55" s="64">
        <v>0.64</v>
      </c>
      <c r="J55" s="64">
        <v>0.68</v>
      </c>
      <c r="K55" s="64">
        <v>257.23</v>
      </c>
      <c r="L55" s="64">
        <v>38.479999999999997</v>
      </c>
      <c r="M55" s="64">
        <v>25.21</v>
      </c>
      <c r="N55" s="214" t="s">
        <v>42</v>
      </c>
      <c r="O55" s="64">
        <v>0</v>
      </c>
      <c r="P55" s="64">
        <v>0.99</v>
      </c>
      <c r="Q55" s="64">
        <v>29.03</v>
      </c>
      <c r="R55" s="198"/>
      <c r="S55" s="198"/>
      <c r="T55" s="198"/>
      <c r="U55" s="198"/>
    </row>
    <row r="56" spans="1:21" s="12" customFormat="1" x14ac:dyDescent="0.25">
      <c r="A56" s="211" t="s">
        <v>2216</v>
      </c>
      <c r="B56" s="64">
        <v>2.33</v>
      </c>
      <c r="C56" s="64">
        <v>41.9</v>
      </c>
      <c r="D56" s="64">
        <v>25.64</v>
      </c>
      <c r="E56" s="64">
        <v>3.32</v>
      </c>
      <c r="F56" s="64">
        <v>39.82</v>
      </c>
      <c r="G56" s="64">
        <v>46.21</v>
      </c>
      <c r="H56" s="64">
        <v>25.27</v>
      </c>
      <c r="I56" s="64">
        <v>0.56000000000000005</v>
      </c>
      <c r="J56" s="64">
        <v>0.4</v>
      </c>
      <c r="K56" s="64">
        <v>262.05</v>
      </c>
      <c r="L56" s="64">
        <v>39.76</v>
      </c>
      <c r="M56" s="64">
        <v>23.42</v>
      </c>
      <c r="N56" s="214" t="s">
        <v>42</v>
      </c>
      <c r="O56" s="64">
        <v>0</v>
      </c>
      <c r="P56" s="64">
        <v>1.1100000000000001</v>
      </c>
      <c r="Q56" s="64">
        <v>29.68</v>
      </c>
      <c r="R56" s="198"/>
      <c r="S56" s="198"/>
      <c r="T56" s="198"/>
      <c r="U56" s="198"/>
    </row>
    <row r="57" spans="1:21" s="12" customFormat="1" x14ac:dyDescent="0.25">
      <c r="A57" s="211" t="s">
        <v>2217</v>
      </c>
      <c r="B57" s="64">
        <v>4.79</v>
      </c>
      <c r="C57" s="64">
        <v>43.34</v>
      </c>
      <c r="D57" s="64">
        <v>28.41</v>
      </c>
      <c r="E57" s="64">
        <v>11.29</v>
      </c>
      <c r="F57" s="64">
        <v>39.06</v>
      </c>
      <c r="G57" s="64">
        <v>46.21</v>
      </c>
      <c r="H57" s="64">
        <v>25.27</v>
      </c>
      <c r="I57" s="64">
        <v>0.55000000000000004</v>
      </c>
      <c r="J57" s="64">
        <v>0.8</v>
      </c>
      <c r="K57" s="64">
        <v>261.52</v>
      </c>
      <c r="L57" s="64">
        <v>40.1</v>
      </c>
      <c r="M57" s="64">
        <v>23.12</v>
      </c>
      <c r="N57" s="64">
        <v>9.6</v>
      </c>
      <c r="O57" s="64">
        <v>0</v>
      </c>
      <c r="P57" s="64">
        <v>1.1299999999999999</v>
      </c>
      <c r="Q57" s="64">
        <v>29.34</v>
      </c>
      <c r="R57" s="198"/>
      <c r="S57" s="198"/>
      <c r="T57" s="198"/>
      <c r="U57" s="198"/>
    </row>
    <row r="58" spans="1:21" s="12" customFormat="1" x14ac:dyDescent="0.25">
      <c r="A58" s="211" t="s">
        <v>2218</v>
      </c>
      <c r="B58" s="64">
        <v>1.93</v>
      </c>
      <c r="C58" s="64">
        <v>37.19</v>
      </c>
      <c r="D58" s="64">
        <v>22.71</v>
      </c>
      <c r="E58" s="64">
        <v>23.2</v>
      </c>
      <c r="F58" s="64">
        <v>88.64</v>
      </c>
      <c r="G58" s="64">
        <v>46.21</v>
      </c>
      <c r="H58" s="64">
        <v>25.27</v>
      </c>
      <c r="I58" s="64">
        <v>0.55000000000000004</v>
      </c>
      <c r="J58" s="64">
        <v>0.24</v>
      </c>
      <c r="K58" s="64">
        <v>258.94</v>
      </c>
      <c r="L58" s="64">
        <v>40.21</v>
      </c>
      <c r="M58" s="64">
        <v>21.41</v>
      </c>
      <c r="N58" s="64">
        <v>868.7</v>
      </c>
      <c r="O58" s="64">
        <v>0</v>
      </c>
      <c r="P58" s="64">
        <v>1.06</v>
      </c>
      <c r="Q58" s="64">
        <v>29.42</v>
      </c>
      <c r="R58" s="198"/>
      <c r="S58" s="198"/>
      <c r="T58" s="198"/>
      <c r="U58" s="198"/>
    </row>
    <row r="59" spans="1:21" s="12" customFormat="1" x14ac:dyDescent="0.25">
      <c r="A59" s="211" t="s">
        <v>2219</v>
      </c>
      <c r="B59" s="64">
        <v>1.94</v>
      </c>
      <c r="C59" s="64">
        <v>32.75</v>
      </c>
      <c r="D59" s="64">
        <v>20.28</v>
      </c>
      <c r="E59" s="64">
        <v>16.55</v>
      </c>
      <c r="F59" s="64">
        <v>49.45</v>
      </c>
      <c r="G59" s="64">
        <v>47.04</v>
      </c>
      <c r="H59" s="64">
        <v>25.46</v>
      </c>
      <c r="I59" s="64">
        <v>0.6</v>
      </c>
      <c r="J59" s="64">
        <v>0.28000000000000003</v>
      </c>
      <c r="K59" s="64">
        <v>197.42</v>
      </c>
      <c r="L59" s="64">
        <v>39.21</v>
      </c>
      <c r="M59" s="64">
        <v>20.76</v>
      </c>
      <c r="N59" s="64">
        <v>878.3</v>
      </c>
      <c r="O59" s="64">
        <v>0</v>
      </c>
      <c r="P59" s="64">
        <v>0.95</v>
      </c>
      <c r="Q59" s="64">
        <v>29.47</v>
      </c>
      <c r="R59" s="198"/>
      <c r="S59" s="198"/>
      <c r="T59" s="198"/>
      <c r="U59" s="198"/>
    </row>
    <row r="60" spans="1:21" s="12" customFormat="1" x14ac:dyDescent="0.25">
      <c r="A60" s="211" t="s">
        <v>2220</v>
      </c>
      <c r="B60" s="64">
        <v>3.1</v>
      </c>
      <c r="C60" s="64">
        <v>34.19</v>
      </c>
      <c r="D60" s="64">
        <v>22.01</v>
      </c>
      <c r="E60" s="64">
        <v>12.99</v>
      </c>
      <c r="F60" s="64">
        <v>27.62</v>
      </c>
      <c r="G60" s="64">
        <v>54.52</v>
      </c>
      <c r="H60" s="64">
        <v>26.71</v>
      </c>
      <c r="I60" s="64">
        <v>0.67</v>
      </c>
      <c r="J60" s="64">
        <v>0.31</v>
      </c>
      <c r="K60" s="64">
        <v>187.92</v>
      </c>
      <c r="L60" s="64">
        <v>38.270000000000003</v>
      </c>
      <c r="M60" s="64">
        <v>19.93</v>
      </c>
      <c r="N60" s="64">
        <v>837.5</v>
      </c>
      <c r="O60" s="64">
        <v>0</v>
      </c>
      <c r="P60" s="64">
        <v>0.99</v>
      </c>
      <c r="Q60" s="64">
        <v>29.37</v>
      </c>
      <c r="R60" s="198"/>
      <c r="S60" s="198"/>
      <c r="T60" s="198"/>
      <c r="U60" s="198"/>
    </row>
    <row r="61" spans="1:21" s="12" customFormat="1" x14ac:dyDescent="0.25">
      <c r="A61" s="211" t="s">
        <v>2221</v>
      </c>
      <c r="B61" s="64">
        <v>2</v>
      </c>
      <c r="C61" s="64">
        <v>36.83</v>
      </c>
      <c r="D61" s="64">
        <v>22.58</v>
      </c>
      <c r="E61" s="64">
        <v>6.65</v>
      </c>
      <c r="F61" s="64">
        <v>15.47</v>
      </c>
      <c r="G61" s="64">
        <v>54.52</v>
      </c>
      <c r="H61" s="64">
        <v>26.71</v>
      </c>
      <c r="I61" s="64">
        <v>0.63</v>
      </c>
      <c r="J61" s="64">
        <v>0.89</v>
      </c>
      <c r="K61" s="64">
        <v>262.18</v>
      </c>
      <c r="L61" s="64">
        <v>40.380000000000003</v>
      </c>
      <c r="M61" s="64">
        <v>17.8</v>
      </c>
      <c r="N61" s="64">
        <v>823.8</v>
      </c>
      <c r="O61" s="64">
        <v>0</v>
      </c>
      <c r="P61" s="64">
        <v>0.86</v>
      </c>
      <c r="Q61" s="64">
        <v>29.14</v>
      </c>
      <c r="R61" s="198"/>
      <c r="S61" s="198"/>
      <c r="T61" s="198"/>
      <c r="U61" s="198"/>
    </row>
    <row r="62" spans="1:21" s="12" customFormat="1" x14ac:dyDescent="0.25">
      <c r="A62" s="211" t="s">
        <v>2222</v>
      </c>
      <c r="B62" s="64">
        <v>2.99</v>
      </c>
      <c r="C62" s="64">
        <v>37.909999999999997</v>
      </c>
      <c r="D62" s="64">
        <v>23.97</v>
      </c>
      <c r="E62" s="64">
        <v>6.93</v>
      </c>
      <c r="F62" s="64">
        <v>24.64</v>
      </c>
      <c r="G62" s="64">
        <v>54.52</v>
      </c>
      <c r="H62" s="64">
        <v>26.71</v>
      </c>
      <c r="I62" s="64">
        <v>0.91</v>
      </c>
      <c r="J62" s="64">
        <v>0.52</v>
      </c>
      <c r="K62" s="64">
        <v>270.12</v>
      </c>
      <c r="L62" s="64">
        <v>41.56</v>
      </c>
      <c r="M62" s="64">
        <v>17.34</v>
      </c>
      <c r="N62" s="64">
        <v>796.1</v>
      </c>
      <c r="O62" s="64">
        <v>0</v>
      </c>
      <c r="P62" s="64">
        <v>0.85</v>
      </c>
      <c r="Q62" s="64">
        <v>29.33</v>
      </c>
      <c r="R62" s="198"/>
      <c r="S62" s="198"/>
      <c r="T62" s="198"/>
      <c r="U62" s="198"/>
    </row>
    <row r="63" spans="1:21" s="12" customFormat="1" x14ac:dyDescent="0.25">
      <c r="A63" s="211" t="s">
        <v>2223</v>
      </c>
      <c r="B63" s="64">
        <v>1.7</v>
      </c>
      <c r="C63" s="64">
        <v>40.96</v>
      </c>
      <c r="D63" s="64">
        <v>24.62</v>
      </c>
      <c r="E63" s="64">
        <v>5.92</v>
      </c>
      <c r="F63" s="64">
        <v>28.84</v>
      </c>
      <c r="G63" s="64">
        <v>54.28</v>
      </c>
      <c r="H63" s="64">
        <v>26.78</v>
      </c>
      <c r="I63" s="64">
        <v>0.78</v>
      </c>
      <c r="J63" s="64">
        <v>0.24</v>
      </c>
      <c r="K63" s="64">
        <v>233.15</v>
      </c>
      <c r="L63" s="64">
        <v>41.28</v>
      </c>
      <c r="M63" s="64">
        <v>16.78</v>
      </c>
      <c r="N63" s="64">
        <v>758.9</v>
      </c>
      <c r="O63" s="64">
        <v>0</v>
      </c>
      <c r="P63" s="64">
        <v>0.85</v>
      </c>
      <c r="Q63" s="64">
        <v>29.59</v>
      </c>
      <c r="R63" s="198"/>
      <c r="S63" s="198"/>
      <c r="T63" s="198"/>
      <c r="U63" s="198"/>
    </row>
    <row r="64" spans="1:21" s="12" customFormat="1" x14ac:dyDescent="0.25">
      <c r="A64" s="211" t="s">
        <v>2224</v>
      </c>
      <c r="B64" s="64">
        <v>1.33</v>
      </c>
      <c r="C64" s="64">
        <v>39.14</v>
      </c>
      <c r="D64" s="64">
        <v>23.31</v>
      </c>
      <c r="E64" s="64">
        <v>6.73</v>
      </c>
      <c r="F64" s="64">
        <v>18.010000000000002</v>
      </c>
      <c r="G64" s="64">
        <v>52.35</v>
      </c>
      <c r="H64" s="64">
        <v>27.22</v>
      </c>
      <c r="I64" s="64">
        <v>0.71</v>
      </c>
      <c r="J64" s="64">
        <v>0.62</v>
      </c>
      <c r="K64" s="64">
        <v>250.31</v>
      </c>
      <c r="L64" s="64">
        <v>40.61</v>
      </c>
      <c r="M64" s="64">
        <v>16.66</v>
      </c>
      <c r="N64" s="64">
        <v>774.6</v>
      </c>
      <c r="O64" s="64">
        <v>0</v>
      </c>
      <c r="P64" s="64">
        <v>0.83</v>
      </c>
      <c r="Q64" s="64">
        <v>29.72</v>
      </c>
      <c r="R64" s="198"/>
      <c r="S64" s="198"/>
      <c r="T64" s="198"/>
      <c r="U64" s="198"/>
    </row>
    <row r="65" spans="1:21" s="12" customFormat="1" x14ac:dyDescent="0.25">
      <c r="A65" s="211" t="s">
        <v>2225</v>
      </c>
      <c r="B65" s="64">
        <v>2.21</v>
      </c>
      <c r="C65" s="64">
        <v>36.369999999999997</v>
      </c>
      <c r="D65" s="64">
        <v>22.49</v>
      </c>
      <c r="E65" s="64">
        <v>6.6</v>
      </c>
      <c r="F65" s="64">
        <v>33.44</v>
      </c>
      <c r="G65" s="64">
        <v>52.35</v>
      </c>
      <c r="H65" s="64">
        <v>27.22</v>
      </c>
      <c r="I65" s="64">
        <v>0.67</v>
      </c>
      <c r="J65" s="64">
        <v>0.44</v>
      </c>
      <c r="K65" s="64">
        <v>269.93</v>
      </c>
      <c r="L65" s="64">
        <v>40.67</v>
      </c>
      <c r="M65" s="64">
        <v>16.11</v>
      </c>
      <c r="N65" s="64">
        <v>587.6</v>
      </c>
      <c r="O65" s="64">
        <v>0</v>
      </c>
      <c r="P65" s="64">
        <v>0.78</v>
      </c>
      <c r="Q65" s="64">
        <v>29.66</v>
      </c>
      <c r="R65" s="198"/>
      <c r="S65" s="198"/>
      <c r="T65" s="198"/>
      <c r="U65" s="198"/>
    </row>
    <row r="66" spans="1:21" s="12" customFormat="1" x14ac:dyDescent="0.25">
      <c r="A66" s="211" t="s">
        <v>2226</v>
      </c>
      <c r="B66" s="64">
        <v>1.18</v>
      </c>
      <c r="C66" s="64">
        <v>36.94</v>
      </c>
      <c r="D66" s="64">
        <v>21.98</v>
      </c>
      <c r="E66" s="64">
        <v>4.34</v>
      </c>
      <c r="F66" s="64">
        <v>13.37</v>
      </c>
      <c r="G66" s="64">
        <v>52.35</v>
      </c>
      <c r="H66" s="64">
        <v>27.22</v>
      </c>
      <c r="I66" s="64">
        <v>0.71</v>
      </c>
      <c r="J66" s="64">
        <v>1.19</v>
      </c>
      <c r="K66" s="64">
        <v>258.68</v>
      </c>
      <c r="L66" s="64">
        <v>40.049999999999997</v>
      </c>
      <c r="M66" s="64">
        <v>16.78</v>
      </c>
      <c r="N66" s="64">
        <v>328.1</v>
      </c>
      <c r="O66" s="64">
        <v>0</v>
      </c>
      <c r="P66" s="64">
        <v>0.79</v>
      </c>
      <c r="Q66" s="64">
        <v>29.47</v>
      </c>
      <c r="R66" s="198"/>
      <c r="S66" s="198"/>
      <c r="T66" s="198"/>
      <c r="U66" s="198"/>
    </row>
    <row r="67" spans="1:21" s="12" customFormat="1" x14ac:dyDescent="0.25">
      <c r="A67" s="211" t="s">
        <v>2227</v>
      </c>
      <c r="B67" s="64">
        <v>1.32</v>
      </c>
      <c r="C67" s="64">
        <v>36.32</v>
      </c>
      <c r="D67" s="64">
        <v>21.75</v>
      </c>
      <c r="E67" s="64">
        <v>3.37</v>
      </c>
      <c r="F67" s="64">
        <v>15.17</v>
      </c>
      <c r="G67" s="64">
        <v>51.96</v>
      </c>
      <c r="H67" s="64">
        <v>26.67</v>
      </c>
      <c r="I67" s="64">
        <v>0.7</v>
      </c>
      <c r="J67" s="64">
        <v>1.55</v>
      </c>
      <c r="K67" s="64">
        <v>257.17</v>
      </c>
      <c r="L67" s="64">
        <v>37.229999999999997</v>
      </c>
      <c r="M67" s="64">
        <v>21.27</v>
      </c>
      <c r="N67" s="64">
        <v>199.8</v>
      </c>
      <c r="O67" s="64">
        <v>0</v>
      </c>
      <c r="P67" s="64">
        <v>0.72</v>
      </c>
      <c r="Q67" s="64">
        <v>28.98</v>
      </c>
      <c r="R67" s="198"/>
      <c r="S67" s="198"/>
      <c r="T67" s="198"/>
      <c r="U67" s="198"/>
    </row>
    <row r="68" spans="1:21" s="12" customFormat="1" x14ac:dyDescent="0.25">
      <c r="A68" s="211" t="s">
        <v>2228</v>
      </c>
      <c r="B68" s="64">
        <v>2.2799999999999998</v>
      </c>
      <c r="C68" s="64">
        <v>35.58</v>
      </c>
      <c r="D68" s="64">
        <v>22.11</v>
      </c>
      <c r="E68" s="64">
        <v>3.4</v>
      </c>
      <c r="F68" s="64">
        <v>16.940000000000001</v>
      </c>
      <c r="G68" s="64">
        <v>48.84</v>
      </c>
      <c r="H68" s="64">
        <v>23.12</v>
      </c>
      <c r="I68" s="64">
        <v>0.64</v>
      </c>
      <c r="J68" s="64">
        <v>0.94</v>
      </c>
      <c r="K68" s="64">
        <v>255.92</v>
      </c>
      <c r="L68" s="64">
        <v>36.47</v>
      </c>
      <c r="M68" s="64">
        <v>20.260000000000002</v>
      </c>
      <c r="N68" s="64">
        <v>204.4</v>
      </c>
      <c r="O68" s="64">
        <v>0</v>
      </c>
      <c r="P68" s="64">
        <v>0.67</v>
      </c>
      <c r="Q68" s="64">
        <v>29</v>
      </c>
      <c r="R68" s="198"/>
      <c r="S68" s="198"/>
      <c r="T68" s="198"/>
      <c r="U68" s="198"/>
    </row>
    <row r="69" spans="1:21" s="12" customFormat="1" x14ac:dyDescent="0.25">
      <c r="A69" s="211" t="s">
        <v>2229</v>
      </c>
      <c r="B69" s="64">
        <v>4.2300000000000004</v>
      </c>
      <c r="C69" s="64">
        <v>34.630000000000003</v>
      </c>
      <c r="D69" s="64">
        <v>23.15</v>
      </c>
      <c r="E69" s="64">
        <v>3.56</v>
      </c>
      <c r="F69" s="64">
        <v>24.99</v>
      </c>
      <c r="G69" s="64">
        <v>48.84</v>
      </c>
      <c r="H69" s="64">
        <v>23.12</v>
      </c>
      <c r="I69" s="64">
        <v>0.93</v>
      </c>
      <c r="J69" s="64">
        <v>0.87</v>
      </c>
      <c r="K69" s="64">
        <v>256.3</v>
      </c>
      <c r="L69" s="64">
        <v>36.89</v>
      </c>
      <c r="M69" s="64">
        <v>18.28</v>
      </c>
      <c r="N69" s="64">
        <v>116.8</v>
      </c>
      <c r="O69" s="64">
        <v>0</v>
      </c>
      <c r="P69" s="64">
        <v>0.61</v>
      </c>
      <c r="Q69" s="64">
        <v>27.88</v>
      </c>
      <c r="R69" s="198"/>
      <c r="S69" s="198"/>
      <c r="T69" s="198"/>
      <c r="U69" s="198"/>
    </row>
    <row r="70" spans="1:21" s="12" customFormat="1" x14ac:dyDescent="0.25">
      <c r="A70" s="211" t="s">
        <v>2230</v>
      </c>
      <c r="B70" s="64">
        <v>5.97</v>
      </c>
      <c r="C70" s="64">
        <v>35.479999999999997</v>
      </c>
      <c r="D70" s="64">
        <v>25.02</v>
      </c>
      <c r="E70" s="64">
        <v>4.59</v>
      </c>
      <c r="F70" s="64">
        <v>24.49</v>
      </c>
      <c r="G70" s="64">
        <v>48.84</v>
      </c>
      <c r="H70" s="64">
        <v>23.12</v>
      </c>
      <c r="I70" s="64">
        <v>0.86</v>
      </c>
      <c r="J70" s="64">
        <v>1.29</v>
      </c>
      <c r="K70" s="64">
        <v>256.74</v>
      </c>
      <c r="L70" s="64">
        <v>36.049999999999997</v>
      </c>
      <c r="M70" s="64">
        <v>20.309999999999999</v>
      </c>
      <c r="N70" s="64">
        <v>111.6</v>
      </c>
      <c r="O70" s="64">
        <v>0</v>
      </c>
      <c r="P70" s="64">
        <v>0.63</v>
      </c>
      <c r="Q70" s="64">
        <v>26.07</v>
      </c>
      <c r="R70" s="198"/>
      <c r="S70" s="198"/>
      <c r="T70" s="198"/>
      <c r="U70" s="198"/>
    </row>
    <row r="71" spans="1:21" s="12" customFormat="1" x14ac:dyDescent="0.25">
      <c r="A71" s="211" t="s">
        <v>2231</v>
      </c>
      <c r="B71" s="64">
        <v>2.9</v>
      </c>
      <c r="C71" s="64">
        <v>33.25</v>
      </c>
      <c r="D71" s="64">
        <v>21.32</v>
      </c>
      <c r="E71" s="64">
        <v>3.68</v>
      </c>
      <c r="F71" s="64">
        <v>7.83</v>
      </c>
      <c r="G71" s="64">
        <v>48.99</v>
      </c>
      <c r="H71" s="64">
        <v>22.83</v>
      </c>
      <c r="I71" s="64">
        <v>0.72</v>
      </c>
      <c r="J71" s="64">
        <v>1.61</v>
      </c>
      <c r="K71" s="64">
        <v>255.24</v>
      </c>
      <c r="L71" s="64">
        <v>34.1</v>
      </c>
      <c r="M71" s="64">
        <v>25.99</v>
      </c>
      <c r="N71" s="64">
        <v>96.3</v>
      </c>
      <c r="O71" s="64">
        <v>0</v>
      </c>
      <c r="P71" s="64">
        <v>0.63</v>
      </c>
      <c r="Q71" s="64">
        <v>26.26</v>
      </c>
      <c r="R71" s="198"/>
      <c r="S71" s="198"/>
      <c r="T71" s="198"/>
      <c r="U71" s="198"/>
    </row>
    <row r="72" spans="1:21" s="12" customFormat="1" x14ac:dyDescent="0.25">
      <c r="A72" s="211" t="s">
        <v>2232</v>
      </c>
      <c r="B72" s="64">
        <v>1.69</v>
      </c>
      <c r="C72" s="64">
        <v>33.26</v>
      </c>
      <c r="D72" s="64">
        <v>20.36</v>
      </c>
      <c r="E72" s="64">
        <v>1.99</v>
      </c>
      <c r="F72" s="64">
        <v>9.73</v>
      </c>
      <c r="G72" s="64">
        <v>50.16</v>
      </c>
      <c r="H72" s="64">
        <v>21.01</v>
      </c>
      <c r="I72" s="64">
        <v>0.68</v>
      </c>
      <c r="J72" s="64">
        <v>0.87</v>
      </c>
      <c r="K72" s="64">
        <v>254.69</v>
      </c>
      <c r="L72" s="64">
        <v>32.409999999999997</v>
      </c>
      <c r="M72" s="64">
        <v>28.98</v>
      </c>
      <c r="N72" s="64">
        <v>65.400000000000006</v>
      </c>
      <c r="O72" s="64">
        <v>0</v>
      </c>
      <c r="P72" s="64">
        <v>0.59</v>
      </c>
      <c r="Q72" s="64">
        <v>26.18</v>
      </c>
      <c r="R72" s="198"/>
      <c r="S72" s="198"/>
      <c r="T72" s="198"/>
      <c r="U72" s="198"/>
    </row>
    <row r="73" spans="1:21" s="12" customFormat="1" x14ac:dyDescent="0.25">
      <c r="A73" s="211" t="s">
        <v>2233</v>
      </c>
      <c r="B73" s="64">
        <v>1.3</v>
      </c>
      <c r="C73" s="64">
        <v>33.659999999999997</v>
      </c>
      <c r="D73" s="64">
        <v>20.27</v>
      </c>
      <c r="E73" s="64">
        <v>2.08</v>
      </c>
      <c r="F73" s="64">
        <v>10.99</v>
      </c>
      <c r="G73" s="64">
        <v>50.16</v>
      </c>
      <c r="H73" s="64">
        <v>21.01</v>
      </c>
      <c r="I73" s="64">
        <v>0.64</v>
      </c>
      <c r="J73" s="64">
        <v>0.39</v>
      </c>
      <c r="K73" s="64">
        <v>260.27</v>
      </c>
      <c r="L73" s="64">
        <v>32.24</v>
      </c>
      <c r="M73" s="64">
        <v>26.65</v>
      </c>
      <c r="N73" s="64">
        <v>50.5</v>
      </c>
      <c r="O73" s="64">
        <v>0</v>
      </c>
      <c r="P73" s="64">
        <v>0.55000000000000004</v>
      </c>
      <c r="Q73" s="64">
        <v>25.57</v>
      </c>
      <c r="R73" s="198"/>
      <c r="S73" s="198"/>
      <c r="T73" s="198"/>
      <c r="U73" s="198"/>
    </row>
    <row r="74" spans="1:21" s="12" customFormat="1" x14ac:dyDescent="0.25">
      <c r="A74" s="211" t="s">
        <v>2234</v>
      </c>
      <c r="B74" s="64">
        <v>2.9</v>
      </c>
      <c r="C74" s="64">
        <v>37.74</v>
      </c>
      <c r="D74" s="64">
        <v>23.79</v>
      </c>
      <c r="E74" s="64">
        <v>2.34</v>
      </c>
      <c r="F74" s="64">
        <v>19.55</v>
      </c>
      <c r="G74" s="64">
        <v>50.16</v>
      </c>
      <c r="H74" s="64">
        <v>21.01</v>
      </c>
      <c r="I74" s="64">
        <v>0.73</v>
      </c>
      <c r="J74" s="64">
        <v>0.15</v>
      </c>
      <c r="K74" s="64">
        <v>240.63</v>
      </c>
      <c r="L74" s="64">
        <v>32.049999999999997</v>
      </c>
      <c r="M74" s="64">
        <v>25.86</v>
      </c>
      <c r="N74" s="64">
        <v>40.299999999999997</v>
      </c>
      <c r="O74" s="64">
        <v>0</v>
      </c>
      <c r="P74" s="64">
        <v>0.52</v>
      </c>
      <c r="Q74" s="64">
        <v>24.85</v>
      </c>
      <c r="R74" s="198"/>
      <c r="S74" s="198"/>
      <c r="T74" s="198"/>
      <c r="U74" s="198"/>
    </row>
    <row r="75" spans="1:21" s="12" customFormat="1" x14ac:dyDescent="0.25">
      <c r="A75" s="211" t="s">
        <v>2235</v>
      </c>
      <c r="B75" s="64">
        <v>5.93</v>
      </c>
      <c r="C75" s="64">
        <v>48</v>
      </c>
      <c r="D75" s="64">
        <v>31.89</v>
      </c>
      <c r="E75" s="64">
        <v>3.17</v>
      </c>
      <c r="F75" s="64">
        <v>26</v>
      </c>
      <c r="G75" s="64">
        <v>49.74</v>
      </c>
      <c r="H75" s="64">
        <v>21.08</v>
      </c>
      <c r="I75" s="64">
        <v>0.65</v>
      </c>
      <c r="J75" s="64">
        <v>0.03</v>
      </c>
      <c r="K75" s="64">
        <v>313.69</v>
      </c>
      <c r="L75" s="64">
        <v>31.95</v>
      </c>
      <c r="M75" s="64">
        <v>26.99</v>
      </c>
      <c r="N75" s="64">
        <v>45</v>
      </c>
      <c r="O75" s="64">
        <v>0</v>
      </c>
      <c r="P75" s="64">
        <v>0.63</v>
      </c>
      <c r="Q75" s="64">
        <v>24.29</v>
      </c>
      <c r="R75" s="198"/>
      <c r="S75" s="198"/>
      <c r="T75" s="198"/>
      <c r="U75" s="198"/>
    </row>
    <row r="76" spans="1:21" s="12" customFormat="1" x14ac:dyDescent="0.25">
      <c r="A76" s="211" t="s">
        <v>2236</v>
      </c>
      <c r="B76" s="64">
        <v>6.4</v>
      </c>
      <c r="C76" s="64">
        <v>47.39</v>
      </c>
      <c r="D76" s="64">
        <v>31.93</v>
      </c>
      <c r="E76" s="64">
        <v>3.36</v>
      </c>
      <c r="F76" s="64">
        <v>15.81</v>
      </c>
      <c r="G76" s="64">
        <v>46.45</v>
      </c>
      <c r="H76" s="64">
        <v>21.57</v>
      </c>
      <c r="I76" s="64">
        <v>0.61</v>
      </c>
      <c r="J76" s="64">
        <v>0.84</v>
      </c>
      <c r="K76" s="64">
        <v>256.91000000000003</v>
      </c>
      <c r="L76" s="64">
        <v>32.75</v>
      </c>
      <c r="M76" s="64">
        <v>28.15</v>
      </c>
      <c r="N76" s="64">
        <v>116.5</v>
      </c>
      <c r="O76" s="64">
        <v>0</v>
      </c>
      <c r="P76" s="64">
        <v>0.68</v>
      </c>
      <c r="Q76" s="64">
        <v>24.41</v>
      </c>
      <c r="R76" s="198"/>
      <c r="S76" s="198"/>
      <c r="T76" s="198"/>
      <c r="U76" s="198"/>
    </row>
    <row r="77" spans="1:21" s="12" customFormat="1" x14ac:dyDescent="0.25">
      <c r="A77" s="211" t="s">
        <v>2237</v>
      </c>
      <c r="B77" s="64">
        <v>6.83</v>
      </c>
      <c r="C77" s="64">
        <v>48.78</v>
      </c>
      <c r="D77" s="64">
        <v>33.04</v>
      </c>
      <c r="E77" s="64">
        <v>3.26</v>
      </c>
      <c r="F77" s="64">
        <v>19.53</v>
      </c>
      <c r="G77" s="64">
        <v>46.45</v>
      </c>
      <c r="H77" s="64">
        <v>21.57</v>
      </c>
      <c r="I77" s="64">
        <v>0.55000000000000004</v>
      </c>
      <c r="J77" s="64">
        <v>0.45</v>
      </c>
      <c r="K77" s="64">
        <v>259.92</v>
      </c>
      <c r="L77" s="64">
        <v>34.68</v>
      </c>
      <c r="M77" s="64">
        <v>22.98</v>
      </c>
      <c r="N77" s="64">
        <v>119.5</v>
      </c>
      <c r="O77" s="64">
        <v>0</v>
      </c>
      <c r="P77" s="64">
        <v>0.71</v>
      </c>
      <c r="Q77" s="64">
        <v>25.11</v>
      </c>
      <c r="R77" s="198"/>
      <c r="S77" s="198"/>
      <c r="T77" s="198"/>
      <c r="U77" s="198"/>
    </row>
    <row r="78" spans="1:21" s="12" customFormat="1" x14ac:dyDescent="0.25">
      <c r="A78" s="211" t="s">
        <v>2238</v>
      </c>
      <c r="B78" s="64">
        <v>4.16</v>
      </c>
      <c r="C78" s="64">
        <v>46.79</v>
      </c>
      <c r="D78" s="64">
        <v>29.8</v>
      </c>
      <c r="E78" s="64">
        <v>2.78</v>
      </c>
      <c r="F78" s="64">
        <v>10.66</v>
      </c>
      <c r="G78" s="64">
        <v>46.45</v>
      </c>
      <c r="H78" s="64">
        <v>21.57</v>
      </c>
      <c r="I78" s="64">
        <v>0.63</v>
      </c>
      <c r="J78" s="64">
        <v>0.08</v>
      </c>
      <c r="K78" s="64">
        <v>39.14</v>
      </c>
      <c r="L78" s="64">
        <v>35.18</v>
      </c>
      <c r="M78" s="64">
        <v>17.79</v>
      </c>
      <c r="N78" s="64">
        <v>82.7</v>
      </c>
      <c r="O78" s="64">
        <v>0</v>
      </c>
      <c r="P78" s="64">
        <v>0.69</v>
      </c>
      <c r="Q78" s="64">
        <v>25.84</v>
      </c>
      <c r="R78" s="198"/>
      <c r="S78" s="198"/>
      <c r="T78" s="198"/>
      <c r="U78" s="198"/>
    </row>
    <row r="79" spans="1:21" s="12" customFormat="1" x14ac:dyDescent="0.25">
      <c r="A79" s="211" t="s">
        <v>2239</v>
      </c>
      <c r="B79" s="64">
        <v>8.43</v>
      </c>
      <c r="C79" s="64">
        <v>62.23</v>
      </c>
      <c r="D79" s="64">
        <v>41.75</v>
      </c>
      <c r="E79" s="64">
        <v>3.55</v>
      </c>
      <c r="F79" s="64">
        <v>36.36</v>
      </c>
      <c r="G79" s="64">
        <v>46.77</v>
      </c>
      <c r="H79" s="64">
        <v>21.53</v>
      </c>
      <c r="I79" s="64">
        <v>0.68</v>
      </c>
      <c r="J79" s="64">
        <v>0.01</v>
      </c>
      <c r="K79" s="64">
        <v>295.60000000000002</v>
      </c>
      <c r="L79" s="64">
        <v>34.86</v>
      </c>
      <c r="M79" s="64">
        <v>17.22</v>
      </c>
      <c r="N79" s="64">
        <v>45.3</v>
      </c>
      <c r="O79" s="64">
        <v>0</v>
      </c>
      <c r="P79" s="64">
        <v>0.81</v>
      </c>
      <c r="Q79" s="64">
        <v>25.12</v>
      </c>
      <c r="R79" s="198"/>
      <c r="S79" s="198"/>
      <c r="T79" s="198"/>
      <c r="U79" s="198"/>
    </row>
    <row r="80" spans="1:21" s="12" customFormat="1" x14ac:dyDescent="0.25">
      <c r="A80" s="211" t="s">
        <v>2240</v>
      </c>
      <c r="B80" s="64">
        <v>8.7200000000000006</v>
      </c>
      <c r="C80" s="64">
        <v>55.98</v>
      </c>
      <c r="D80" s="64">
        <v>38.54</v>
      </c>
      <c r="E80" s="64">
        <v>3.95</v>
      </c>
      <c r="F80" s="64">
        <v>42.16</v>
      </c>
      <c r="G80" s="64">
        <v>49.62</v>
      </c>
      <c r="H80" s="64">
        <v>21.26</v>
      </c>
      <c r="I80" s="64">
        <v>0.65</v>
      </c>
      <c r="J80" s="64">
        <v>0.16</v>
      </c>
      <c r="K80" s="64">
        <v>258.62</v>
      </c>
      <c r="L80" s="64">
        <v>34.01</v>
      </c>
      <c r="M80" s="64">
        <v>20.89</v>
      </c>
      <c r="N80" s="64">
        <v>31.2</v>
      </c>
      <c r="O80" s="64">
        <v>0</v>
      </c>
      <c r="P80" s="64">
        <v>0.85</v>
      </c>
      <c r="Q80" s="64">
        <v>25.76</v>
      </c>
      <c r="R80" s="198"/>
      <c r="S80" s="198"/>
      <c r="T80" s="198"/>
      <c r="U80" s="198"/>
    </row>
    <row r="81" spans="1:26" s="12" customFormat="1" x14ac:dyDescent="0.25">
      <c r="A81" s="211" t="s">
        <v>2241</v>
      </c>
      <c r="B81" s="64">
        <v>14.11</v>
      </c>
      <c r="C81" s="64">
        <v>76.64</v>
      </c>
      <c r="D81" s="64">
        <v>54.26</v>
      </c>
      <c r="E81" s="64">
        <v>11.61</v>
      </c>
      <c r="F81" s="64">
        <v>33.58</v>
      </c>
      <c r="G81" s="64">
        <v>49.62</v>
      </c>
      <c r="H81" s="64">
        <v>21.26</v>
      </c>
      <c r="I81" s="64">
        <v>0.7</v>
      </c>
      <c r="J81" s="64">
        <v>0.05</v>
      </c>
      <c r="K81" s="64">
        <v>113.61</v>
      </c>
      <c r="L81" s="64">
        <v>32.79</v>
      </c>
      <c r="M81" s="64">
        <v>22.62</v>
      </c>
      <c r="N81" s="64">
        <v>20</v>
      </c>
      <c r="O81" s="64">
        <v>0</v>
      </c>
      <c r="P81" s="64">
        <v>1.21</v>
      </c>
      <c r="Q81" s="64">
        <v>24.61</v>
      </c>
      <c r="R81" s="198"/>
      <c r="S81" s="198"/>
      <c r="T81" s="198"/>
      <c r="U81" s="198"/>
    </row>
    <row r="82" spans="1:26" s="12" customFormat="1" x14ac:dyDescent="0.25">
      <c r="A82" s="211" t="s">
        <v>2242</v>
      </c>
      <c r="B82" s="64">
        <v>22.37</v>
      </c>
      <c r="C82" s="64">
        <v>96.22</v>
      </c>
      <c r="D82" s="64">
        <v>71.69</v>
      </c>
      <c r="E82" s="64">
        <v>18.059999999999999</v>
      </c>
      <c r="F82" s="64">
        <v>22.45</v>
      </c>
      <c r="G82" s="64">
        <v>49.62</v>
      </c>
      <c r="H82" s="64">
        <v>21.26</v>
      </c>
      <c r="I82" s="64">
        <v>0.64</v>
      </c>
      <c r="J82" s="64">
        <v>0.03</v>
      </c>
      <c r="K82" s="64">
        <v>176.52</v>
      </c>
      <c r="L82" s="64">
        <v>32.21</v>
      </c>
      <c r="M82" s="64">
        <v>24.54</v>
      </c>
      <c r="N82" s="64">
        <v>10.8</v>
      </c>
      <c r="O82" s="64">
        <v>0</v>
      </c>
      <c r="P82" s="64">
        <v>1.5</v>
      </c>
      <c r="Q82" s="64">
        <v>22.79</v>
      </c>
      <c r="R82" s="198"/>
      <c r="S82" s="198"/>
      <c r="T82" s="198"/>
      <c r="U82" s="198"/>
    </row>
    <row r="83" spans="1:26" s="12" customFormat="1" x14ac:dyDescent="0.25">
      <c r="A83" s="211" t="s">
        <v>2243</v>
      </c>
      <c r="B83" s="64">
        <v>52.71</v>
      </c>
      <c r="C83" s="64">
        <v>106.64</v>
      </c>
      <c r="D83" s="64">
        <v>101.76</v>
      </c>
      <c r="E83" s="64">
        <v>15.03</v>
      </c>
      <c r="F83" s="64">
        <v>6.58</v>
      </c>
      <c r="G83" s="64">
        <v>49.99</v>
      </c>
      <c r="H83" s="64">
        <v>21.73</v>
      </c>
      <c r="I83" s="64">
        <v>0.65</v>
      </c>
      <c r="J83" s="64">
        <v>0.03</v>
      </c>
      <c r="K83" s="64">
        <v>274.56</v>
      </c>
      <c r="L83" s="64">
        <v>31.14</v>
      </c>
      <c r="M83" s="64">
        <v>29.04</v>
      </c>
      <c r="N83" s="64">
        <v>6.4</v>
      </c>
      <c r="O83" s="64">
        <v>0</v>
      </c>
      <c r="P83" s="64">
        <v>2.71</v>
      </c>
      <c r="Q83" s="64">
        <v>18.53</v>
      </c>
      <c r="R83" s="198"/>
      <c r="S83" s="198"/>
      <c r="T83" s="198"/>
      <c r="U83" s="198"/>
    </row>
    <row r="84" spans="1:26" s="12" customFormat="1" x14ac:dyDescent="0.25">
      <c r="A84" s="211" t="s">
        <v>2244</v>
      </c>
      <c r="B84" s="64">
        <v>19.29</v>
      </c>
      <c r="C84" s="64">
        <v>78.209999999999994</v>
      </c>
      <c r="D84" s="64">
        <v>59.28</v>
      </c>
      <c r="E84" s="64">
        <v>10.33</v>
      </c>
      <c r="F84" s="64">
        <v>8.4</v>
      </c>
      <c r="G84" s="64">
        <v>53.37</v>
      </c>
      <c r="H84" s="64">
        <v>24.78</v>
      </c>
      <c r="I84" s="64">
        <v>0.75</v>
      </c>
      <c r="J84" s="64">
        <v>0.09</v>
      </c>
      <c r="K84" s="64">
        <v>94.45</v>
      </c>
      <c r="L84" s="64">
        <v>30.45</v>
      </c>
      <c r="M84" s="64">
        <v>29.95</v>
      </c>
      <c r="N84" s="64">
        <v>5.5</v>
      </c>
      <c r="O84" s="64">
        <v>0</v>
      </c>
      <c r="P84" s="64">
        <v>1.06</v>
      </c>
      <c r="Q84" s="64">
        <v>24.82</v>
      </c>
      <c r="R84" s="198"/>
      <c r="S84" s="198"/>
      <c r="T84" s="198"/>
      <c r="U84" s="198"/>
    </row>
    <row r="85" spans="1:26" s="12" customFormat="1" x14ac:dyDescent="0.25">
      <c r="A85" s="211" t="s">
        <v>2245</v>
      </c>
      <c r="B85" s="64">
        <v>63.13</v>
      </c>
      <c r="C85" s="64">
        <v>77.81</v>
      </c>
      <c r="D85" s="64">
        <v>94.22</v>
      </c>
      <c r="E85" s="64">
        <v>8</v>
      </c>
      <c r="F85" s="64">
        <v>4.1500000000000004</v>
      </c>
      <c r="G85" s="64">
        <v>53.37</v>
      </c>
      <c r="H85" s="64">
        <v>24.78</v>
      </c>
      <c r="I85" s="64">
        <v>1.1399999999999999</v>
      </c>
      <c r="J85" s="64">
        <v>0.08</v>
      </c>
      <c r="K85" s="64">
        <v>284.89</v>
      </c>
      <c r="L85" s="64">
        <v>29.77</v>
      </c>
      <c r="M85" s="64">
        <v>39.450000000000003</v>
      </c>
      <c r="N85" s="64">
        <v>5.5</v>
      </c>
      <c r="O85" s="64">
        <v>0</v>
      </c>
      <c r="P85" s="64">
        <v>2.5299999999999998</v>
      </c>
      <c r="Q85" s="64">
        <v>22.91</v>
      </c>
      <c r="R85" s="198"/>
      <c r="S85" s="198"/>
      <c r="T85" s="198"/>
      <c r="U85" s="198"/>
    </row>
    <row r="86" spans="1:26" s="12" customFormat="1" x14ac:dyDescent="0.25">
      <c r="A86" s="211" t="s">
        <v>2246</v>
      </c>
      <c r="B86" s="64">
        <v>84.29</v>
      </c>
      <c r="C86" s="64">
        <v>80.09</v>
      </c>
      <c r="D86" s="64">
        <v>112.44</v>
      </c>
      <c r="E86" s="64">
        <v>6.94</v>
      </c>
      <c r="F86" s="64">
        <v>3.4</v>
      </c>
      <c r="G86" s="64">
        <v>53.37</v>
      </c>
      <c r="H86" s="64">
        <v>24.78</v>
      </c>
      <c r="I86" s="64">
        <v>0.76</v>
      </c>
      <c r="J86" s="64">
        <v>0.13</v>
      </c>
      <c r="K86" s="64">
        <v>253.74</v>
      </c>
      <c r="L86" s="64">
        <v>29.21</v>
      </c>
      <c r="M86" s="64">
        <v>38.1</v>
      </c>
      <c r="N86" s="64">
        <v>5.2</v>
      </c>
      <c r="O86" s="64">
        <v>0</v>
      </c>
      <c r="P86" s="64">
        <v>2.84</v>
      </c>
      <c r="Q86" s="64">
        <v>22.39</v>
      </c>
      <c r="R86" s="198"/>
      <c r="S86" s="198"/>
      <c r="T86" s="198"/>
      <c r="U86" s="198"/>
    </row>
    <row r="87" spans="1:26" s="12" customFormat="1" x14ac:dyDescent="0.25">
      <c r="A87" s="211" t="s">
        <v>2247</v>
      </c>
      <c r="B87" s="64">
        <v>117.11</v>
      </c>
      <c r="C87" s="64">
        <v>98.53</v>
      </c>
      <c r="D87" s="64">
        <v>148.94</v>
      </c>
      <c r="E87" s="64">
        <v>9.76</v>
      </c>
      <c r="F87" s="64">
        <v>3.47</v>
      </c>
      <c r="G87" s="64">
        <v>55.3</v>
      </c>
      <c r="H87" s="64">
        <v>25.81</v>
      </c>
      <c r="I87" s="64">
        <v>1.0900000000000001</v>
      </c>
      <c r="J87" s="64">
        <v>0.03</v>
      </c>
      <c r="K87" s="64">
        <v>215.7</v>
      </c>
      <c r="L87" s="64">
        <v>29.24</v>
      </c>
      <c r="M87" s="64">
        <v>33.64</v>
      </c>
      <c r="N87" s="64">
        <v>5.0999999999999996</v>
      </c>
      <c r="O87" s="64">
        <v>0</v>
      </c>
      <c r="P87" s="64">
        <v>2.4700000000000002</v>
      </c>
      <c r="Q87" s="64">
        <v>22.1</v>
      </c>
      <c r="R87" s="198"/>
      <c r="S87" s="198"/>
      <c r="T87" s="198"/>
      <c r="U87" s="198"/>
    </row>
    <row r="88" spans="1:26" s="12" customFormat="1" x14ac:dyDescent="0.25">
      <c r="A88" s="211" t="s">
        <v>2248</v>
      </c>
      <c r="B88" s="64">
        <v>129</v>
      </c>
      <c r="C88" s="64">
        <v>91.65</v>
      </c>
      <c r="D88" s="64">
        <v>154.68</v>
      </c>
      <c r="E88" s="64">
        <v>6.75</v>
      </c>
      <c r="F88" s="64">
        <v>3.92</v>
      </c>
      <c r="G88" s="64">
        <v>70.760000000000005</v>
      </c>
      <c r="H88" s="64">
        <v>32.46</v>
      </c>
      <c r="I88" s="64">
        <v>1.1100000000000001</v>
      </c>
      <c r="J88" s="64">
        <v>0.16</v>
      </c>
      <c r="K88" s="64">
        <v>238.3</v>
      </c>
      <c r="L88" s="64">
        <v>29.37</v>
      </c>
      <c r="M88" s="64">
        <v>35.31</v>
      </c>
      <c r="N88" s="64">
        <v>4.3</v>
      </c>
      <c r="O88" s="64">
        <v>0</v>
      </c>
      <c r="P88" s="64">
        <v>2.46</v>
      </c>
      <c r="Q88" s="64">
        <v>20.73</v>
      </c>
      <c r="R88" s="198"/>
      <c r="S88" s="198"/>
      <c r="T88" s="198"/>
      <c r="U88" s="198"/>
    </row>
    <row r="89" spans="1:26" s="12" customFormat="1" x14ac:dyDescent="0.25">
      <c r="A89" s="211" t="s">
        <v>2249</v>
      </c>
      <c r="B89" s="64">
        <v>91.91</v>
      </c>
      <c r="C89" s="64">
        <v>85.76</v>
      </c>
      <c r="D89" s="64">
        <v>121.68</v>
      </c>
      <c r="E89" s="64">
        <v>10.24</v>
      </c>
      <c r="F89" s="64">
        <v>3.61</v>
      </c>
      <c r="G89" s="64">
        <v>70.760000000000005</v>
      </c>
      <c r="H89" s="64">
        <v>32.46</v>
      </c>
      <c r="I89" s="64">
        <v>1.01</v>
      </c>
      <c r="J89" s="64">
        <v>0.06</v>
      </c>
      <c r="K89" s="64">
        <v>25.71</v>
      </c>
      <c r="L89" s="64">
        <v>29.72</v>
      </c>
      <c r="M89" s="64">
        <v>32.53</v>
      </c>
      <c r="N89" s="64">
        <v>4.8</v>
      </c>
      <c r="O89" s="64">
        <v>0</v>
      </c>
      <c r="P89" s="64">
        <v>2.7</v>
      </c>
      <c r="Q89" s="64">
        <v>29.17</v>
      </c>
      <c r="R89" s="198"/>
      <c r="S89" s="198"/>
      <c r="T89" s="198"/>
      <c r="U89" s="198"/>
    </row>
    <row r="90" spans="1:26" s="12" customFormat="1" x14ac:dyDescent="0.25">
      <c r="A90" s="211" t="s">
        <v>2250</v>
      </c>
      <c r="B90" s="64">
        <v>90.07</v>
      </c>
      <c r="C90" s="64">
        <v>83.36</v>
      </c>
      <c r="D90" s="64">
        <v>118.88</v>
      </c>
      <c r="E90" s="64">
        <v>11.21</v>
      </c>
      <c r="F90" s="64">
        <v>4.17</v>
      </c>
      <c r="G90" s="64">
        <v>70.760000000000005</v>
      </c>
      <c r="H90" s="64">
        <v>32.46</v>
      </c>
      <c r="I90" s="64">
        <v>1.2</v>
      </c>
      <c r="J90" s="64">
        <v>0.16</v>
      </c>
      <c r="K90" s="64">
        <v>272.82</v>
      </c>
      <c r="L90" s="64">
        <v>29.09</v>
      </c>
      <c r="M90" s="64">
        <v>36.21</v>
      </c>
      <c r="N90" s="64">
        <v>5.2</v>
      </c>
      <c r="O90" s="64">
        <v>0</v>
      </c>
      <c r="P90" s="64">
        <v>2.76</v>
      </c>
      <c r="Q90" s="64">
        <v>31.39</v>
      </c>
      <c r="R90" s="198"/>
      <c r="S90" s="198"/>
      <c r="T90" s="198"/>
      <c r="U90" s="198"/>
    </row>
    <row r="91" spans="1:26" s="12" customFormat="1" x14ac:dyDescent="0.25">
      <c r="A91" s="211" t="s">
        <v>2251</v>
      </c>
      <c r="B91" s="64">
        <v>165.94</v>
      </c>
      <c r="C91" s="64">
        <v>113.14</v>
      </c>
      <c r="D91" s="64">
        <v>196.16</v>
      </c>
      <c r="E91" s="64">
        <v>14.95</v>
      </c>
      <c r="F91" s="64">
        <v>4.58</v>
      </c>
      <c r="G91" s="64">
        <v>82.95</v>
      </c>
      <c r="H91" s="64">
        <v>33.89</v>
      </c>
      <c r="I91" s="64">
        <v>1.22</v>
      </c>
      <c r="J91" s="64">
        <v>0.15</v>
      </c>
      <c r="K91" s="64">
        <v>255.78</v>
      </c>
      <c r="L91" s="64">
        <v>28.23</v>
      </c>
      <c r="M91" s="64">
        <v>40.479999999999997</v>
      </c>
      <c r="N91" s="64">
        <v>5.2</v>
      </c>
      <c r="O91" s="64">
        <v>0</v>
      </c>
      <c r="P91" s="64">
        <v>5.14</v>
      </c>
      <c r="Q91" s="64">
        <v>23.79</v>
      </c>
      <c r="R91" s="198"/>
      <c r="S91" s="198"/>
      <c r="T91" s="198"/>
      <c r="U91" s="198"/>
    </row>
    <row r="92" spans="1:26" s="12" customFormat="1" x14ac:dyDescent="0.25">
      <c r="A92" s="211" t="s">
        <v>2252</v>
      </c>
      <c r="B92" s="64">
        <v>195.82</v>
      </c>
      <c r="C92" s="64">
        <v>120.24</v>
      </c>
      <c r="D92" s="64">
        <v>224.04</v>
      </c>
      <c r="E92" s="64">
        <v>17.190000000000001</v>
      </c>
      <c r="F92" s="64">
        <v>4.8</v>
      </c>
      <c r="G92" s="64">
        <v>180.4</v>
      </c>
      <c r="H92" s="64">
        <v>44.71</v>
      </c>
      <c r="I92" s="64">
        <v>1.19</v>
      </c>
      <c r="J92" s="64">
        <v>0.04</v>
      </c>
      <c r="K92" s="64">
        <v>186.98</v>
      </c>
      <c r="L92" s="64">
        <v>27.74</v>
      </c>
      <c r="M92" s="64">
        <v>40.840000000000003</v>
      </c>
      <c r="N92" s="64">
        <v>5.3</v>
      </c>
      <c r="O92" s="64">
        <v>0</v>
      </c>
      <c r="P92" s="64">
        <v>3.81</v>
      </c>
      <c r="Q92" s="64">
        <v>21.79</v>
      </c>
      <c r="R92" s="198"/>
      <c r="S92" s="198"/>
      <c r="T92" s="198"/>
      <c r="U92" s="198"/>
    </row>
    <row r="93" spans="1:26" s="12" customFormat="1" x14ac:dyDescent="0.25">
      <c r="A93" s="211" t="s">
        <v>2253</v>
      </c>
      <c r="B93" s="64">
        <v>180.39</v>
      </c>
      <c r="C93" s="64">
        <v>113.47</v>
      </c>
      <c r="D93" s="64">
        <v>207.93</v>
      </c>
      <c r="E93" s="64">
        <v>15.11</v>
      </c>
      <c r="F93" s="64">
        <v>4.38</v>
      </c>
      <c r="G93" s="64">
        <v>180.4</v>
      </c>
      <c r="H93" s="64">
        <v>44.71</v>
      </c>
      <c r="I93" s="64">
        <v>1.67</v>
      </c>
      <c r="J93" s="64">
        <v>0.1</v>
      </c>
      <c r="K93" s="64">
        <v>224.06</v>
      </c>
      <c r="L93" s="64">
        <v>27.54</v>
      </c>
      <c r="M93" s="64">
        <v>41.51</v>
      </c>
      <c r="N93" s="64">
        <v>4.9000000000000004</v>
      </c>
      <c r="O93" s="64">
        <v>0</v>
      </c>
      <c r="P93" s="64">
        <v>3.82</v>
      </c>
      <c r="Q93" s="64">
        <v>24.91</v>
      </c>
      <c r="R93" s="198"/>
      <c r="S93" s="198"/>
      <c r="T93" s="198"/>
      <c r="U93" s="198"/>
    </row>
    <row r="94" spans="1:26" s="12" customFormat="1" x14ac:dyDescent="0.25">
      <c r="A94" s="211" t="s">
        <v>2254</v>
      </c>
      <c r="B94" s="64">
        <v>119.44</v>
      </c>
      <c r="C94" s="64">
        <v>76.83</v>
      </c>
      <c r="D94" s="64">
        <v>138.83000000000001</v>
      </c>
      <c r="E94" s="64">
        <v>12.08</v>
      </c>
      <c r="F94" s="64">
        <v>6.04</v>
      </c>
      <c r="G94" s="64">
        <v>180.4</v>
      </c>
      <c r="H94" s="64">
        <v>44.71</v>
      </c>
      <c r="I94" s="64">
        <v>1.43</v>
      </c>
      <c r="J94" s="64">
        <v>0.68</v>
      </c>
      <c r="K94" s="64">
        <v>174.37</v>
      </c>
      <c r="L94" s="64">
        <v>28.25</v>
      </c>
      <c r="M94" s="64">
        <v>38.270000000000003</v>
      </c>
      <c r="N94" s="64">
        <v>2.5</v>
      </c>
      <c r="O94" s="64">
        <v>0</v>
      </c>
      <c r="P94" s="64">
        <v>3.54</v>
      </c>
      <c r="Q94" s="64">
        <v>32.53</v>
      </c>
      <c r="R94" s="198"/>
      <c r="S94" s="198"/>
      <c r="T94" s="198"/>
      <c r="U94" s="198"/>
    </row>
    <row r="95" spans="1:26" s="12" customFormat="1" x14ac:dyDescent="0.25">
      <c r="A95" s="211" t="s">
        <v>2255</v>
      </c>
      <c r="B95" s="64">
        <v>66.260000000000005</v>
      </c>
      <c r="C95" s="64">
        <v>51.33</v>
      </c>
      <c r="D95" s="64">
        <v>82.11</v>
      </c>
      <c r="E95" s="64">
        <v>6.96</v>
      </c>
      <c r="F95" s="64">
        <v>11.48</v>
      </c>
      <c r="G95" s="64">
        <v>175.71</v>
      </c>
      <c r="H95" s="64">
        <v>45.2</v>
      </c>
      <c r="I95" s="64">
        <v>1.54</v>
      </c>
      <c r="J95" s="64">
        <v>0.28999999999999998</v>
      </c>
      <c r="K95" s="64">
        <v>191.65</v>
      </c>
      <c r="L95" s="64">
        <v>28.88</v>
      </c>
      <c r="M95" s="64">
        <v>33.159999999999997</v>
      </c>
      <c r="N95" s="64">
        <v>4.8</v>
      </c>
      <c r="O95" s="64">
        <v>0</v>
      </c>
      <c r="P95" s="64">
        <v>1.99</v>
      </c>
      <c r="Q95" s="64">
        <v>42.22</v>
      </c>
      <c r="R95" s="198"/>
      <c r="S95" s="198"/>
      <c r="T95" s="198"/>
      <c r="U95" s="198"/>
    </row>
    <row r="96" spans="1:26" s="12" customFormat="1" x14ac:dyDescent="0.25">
      <c r="A96" s="211" t="s">
        <v>2256</v>
      </c>
      <c r="B96" s="64">
        <v>83.63</v>
      </c>
      <c r="C96" s="64">
        <v>47.22</v>
      </c>
      <c r="D96" s="64">
        <v>93.77</v>
      </c>
      <c r="E96" s="64">
        <v>4.3499999999999996</v>
      </c>
      <c r="F96" s="64">
        <v>4.93</v>
      </c>
      <c r="G96" s="64">
        <v>138.18</v>
      </c>
      <c r="H96" s="64">
        <v>48.39</v>
      </c>
      <c r="I96" s="64">
        <v>1.38</v>
      </c>
      <c r="J96" s="64">
        <v>0.36</v>
      </c>
      <c r="K96" s="64">
        <v>179.86</v>
      </c>
      <c r="L96" s="64">
        <v>28.43</v>
      </c>
      <c r="M96" s="64">
        <v>33.46</v>
      </c>
      <c r="N96" s="64">
        <v>4.7</v>
      </c>
      <c r="O96" s="64">
        <v>0</v>
      </c>
      <c r="P96" s="64">
        <v>2.4300000000000002</v>
      </c>
      <c r="Q96" s="64">
        <v>37.99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2257</v>
      </c>
      <c r="B97" s="64">
        <v>69.89</v>
      </c>
      <c r="C97" s="64">
        <v>47.56</v>
      </c>
      <c r="D97" s="64">
        <v>82.94</v>
      </c>
      <c r="E97" s="64">
        <v>3.36</v>
      </c>
      <c r="F97" s="64">
        <v>5.91</v>
      </c>
      <c r="G97" s="64">
        <v>138.18</v>
      </c>
      <c r="H97" s="64">
        <v>48.39</v>
      </c>
      <c r="I97" s="64">
        <v>1.08</v>
      </c>
      <c r="J97" s="64">
        <v>0.42</v>
      </c>
      <c r="K97" s="64">
        <v>168.22</v>
      </c>
      <c r="L97" s="64">
        <v>28.21</v>
      </c>
      <c r="M97" s="64">
        <v>34.380000000000003</v>
      </c>
      <c r="N97" s="64">
        <v>4.8</v>
      </c>
      <c r="O97" s="64">
        <v>0</v>
      </c>
      <c r="P97" s="64">
        <v>2.19</v>
      </c>
      <c r="Q97" s="64">
        <v>35.96</v>
      </c>
      <c r="R97" s="198"/>
      <c r="S97" s="198"/>
      <c r="T97" s="198"/>
      <c r="U97" s="198"/>
    </row>
    <row r="98" spans="1:33" s="12" customFormat="1" x14ac:dyDescent="0.25">
      <c r="A98" s="211" t="s">
        <v>2258</v>
      </c>
      <c r="B98" s="64">
        <v>58.39</v>
      </c>
      <c r="C98" s="64">
        <v>47.85</v>
      </c>
      <c r="D98" s="64">
        <v>73.88</v>
      </c>
      <c r="E98" s="64">
        <v>2.82</v>
      </c>
      <c r="F98" s="64">
        <v>6.69</v>
      </c>
      <c r="G98" s="64">
        <v>138.18</v>
      </c>
      <c r="H98" s="64">
        <v>48.39</v>
      </c>
      <c r="I98" s="64">
        <v>1.05</v>
      </c>
      <c r="J98" s="64">
        <v>0.17</v>
      </c>
      <c r="K98" s="64">
        <v>190.26</v>
      </c>
      <c r="L98" s="64">
        <v>27.86</v>
      </c>
      <c r="M98" s="64">
        <v>34.65</v>
      </c>
      <c r="N98" s="64">
        <v>5</v>
      </c>
      <c r="O98" s="64">
        <v>0</v>
      </c>
      <c r="P98" s="64">
        <v>1.95</v>
      </c>
      <c r="Q98" s="64">
        <v>34.520000000000003</v>
      </c>
      <c r="R98" s="198"/>
      <c r="S98" s="198"/>
      <c r="T98" s="198"/>
      <c r="U98" s="198"/>
    </row>
    <row r="99" spans="1:33" s="12" customFormat="1" x14ac:dyDescent="0.25">
      <c r="A99" s="211" t="s">
        <v>2259</v>
      </c>
      <c r="B99" s="64">
        <v>50.27</v>
      </c>
      <c r="C99" s="64">
        <v>46.76</v>
      </c>
      <c r="D99" s="64">
        <v>66.77</v>
      </c>
      <c r="E99" s="64">
        <v>2.66</v>
      </c>
      <c r="F99" s="64">
        <v>5.75</v>
      </c>
      <c r="G99" s="64">
        <v>128.08000000000001</v>
      </c>
      <c r="H99" s="64">
        <v>47.33</v>
      </c>
      <c r="I99" s="64">
        <v>0.98</v>
      </c>
      <c r="J99" s="64">
        <v>0.22</v>
      </c>
      <c r="K99" s="64">
        <v>194.08</v>
      </c>
      <c r="L99" s="64">
        <v>27.64</v>
      </c>
      <c r="M99" s="64">
        <v>35.86</v>
      </c>
      <c r="N99" s="64">
        <v>4.7</v>
      </c>
      <c r="O99" s="64">
        <v>0</v>
      </c>
      <c r="P99" s="64">
        <v>1.82</v>
      </c>
      <c r="Q99" s="64">
        <v>33.03</v>
      </c>
      <c r="R99" s="198"/>
      <c r="S99" s="198"/>
      <c r="T99" s="198"/>
      <c r="U99" s="198"/>
    </row>
    <row r="100" spans="1:33" s="12" customFormat="1" x14ac:dyDescent="0.25">
      <c r="A100" s="211" t="s">
        <v>2260</v>
      </c>
      <c r="B100" s="64">
        <v>42.17</v>
      </c>
      <c r="C100" s="64">
        <v>46.51</v>
      </c>
      <c r="D100" s="64">
        <v>60.13</v>
      </c>
      <c r="E100" s="64">
        <v>2.52</v>
      </c>
      <c r="F100" s="64">
        <v>6.19</v>
      </c>
      <c r="G100" s="64">
        <v>47.28</v>
      </c>
      <c r="H100" s="64">
        <v>40.5</v>
      </c>
      <c r="I100" s="64">
        <v>0.89</v>
      </c>
      <c r="J100" s="64">
        <v>0.16</v>
      </c>
      <c r="K100" s="64">
        <v>220.88</v>
      </c>
      <c r="L100" s="64">
        <v>27.55</v>
      </c>
      <c r="M100" s="64">
        <v>36.909999999999997</v>
      </c>
      <c r="N100" s="64">
        <v>4.7</v>
      </c>
      <c r="O100" s="64">
        <v>0</v>
      </c>
      <c r="P100" s="64">
        <v>1.69</v>
      </c>
      <c r="Q100" s="64">
        <v>31.72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2261</v>
      </c>
      <c r="B101" s="64">
        <v>36.1</v>
      </c>
      <c r="C101" s="64">
        <v>45.74</v>
      </c>
      <c r="D101" s="64">
        <v>54.84</v>
      </c>
      <c r="E101" s="64">
        <v>2.0099999999999998</v>
      </c>
      <c r="F101" s="64">
        <v>6.11</v>
      </c>
      <c r="G101" s="64">
        <v>47.28</v>
      </c>
      <c r="H101" s="64">
        <v>40.5</v>
      </c>
      <c r="I101" s="64">
        <v>0.87</v>
      </c>
      <c r="J101" s="64">
        <v>0.6</v>
      </c>
      <c r="K101" s="64">
        <v>170.86</v>
      </c>
      <c r="L101" s="64">
        <v>27.27</v>
      </c>
      <c r="M101" s="64">
        <v>39.200000000000003</v>
      </c>
      <c r="N101" s="64">
        <v>4.4000000000000004</v>
      </c>
      <c r="O101" s="64">
        <v>0</v>
      </c>
      <c r="P101" s="64">
        <v>1.57</v>
      </c>
      <c r="Q101" s="64">
        <v>30.63</v>
      </c>
      <c r="R101" s="198"/>
      <c r="S101" s="198"/>
      <c r="T101" s="198"/>
      <c r="U101" s="198"/>
    </row>
    <row r="102" spans="1:33" s="12" customFormat="1" x14ac:dyDescent="0.25">
      <c r="A102" s="211" t="s">
        <v>2262</v>
      </c>
      <c r="B102" s="64">
        <v>26.63</v>
      </c>
      <c r="C102" s="64">
        <v>43.22</v>
      </c>
      <c r="D102" s="64">
        <v>45.86</v>
      </c>
      <c r="E102" s="64">
        <v>1.88</v>
      </c>
      <c r="F102" s="64">
        <v>10.220000000000001</v>
      </c>
      <c r="G102" s="64">
        <v>47.28</v>
      </c>
      <c r="H102" s="64">
        <v>40.5</v>
      </c>
      <c r="I102" s="64">
        <v>0.82</v>
      </c>
      <c r="J102" s="64">
        <v>0.96</v>
      </c>
      <c r="K102" s="64">
        <v>162.30000000000001</v>
      </c>
      <c r="L102" s="64">
        <v>27.14</v>
      </c>
      <c r="M102" s="64">
        <v>41.86</v>
      </c>
      <c r="N102" s="64">
        <v>4.4000000000000004</v>
      </c>
      <c r="O102" s="64">
        <v>0</v>
      </c>
      <c r="P102" s="64">
        <v>1.29</v>
      </c>
      <c r="Q102" s="64">
        <v>29.88</v>
      </c>
      <c r="R102" s="198"/>
      <c r="S102" s="198"/>
      <c r="T102" s="198"/>
      <c r="U102" s="198"/>
    </row>
    <row r="103" spans="1:33" s="12" customFormat="1" x14ac:dyDescent="0.25">
      <c r="A103" s="211" t="s">
        <v>2263</v>
      </c>
      <c r="B103" s="64">
        <v>19.18</v>
      </c>
      <c r="C103" s="64">
        <v>37.64</v>
      </c>
      <c r="D103" s="64">
        <v>36.799999999999997</v>
      </c>
      <c r="E103" s="64">
        <v>2.2799999999999998</v>
      </c>
      <c r="F103" s="64">
        <v>16.21</v>
      </c>
      <c r="G103" s="64">
        <v>44.1</v>
      </c>
      <c r="H103" s="64">
        <v>39.26</v>
      </c>
      <c r="I103" s="64">
        <v>0.8</v>
      </c>
      <c r="J103" s="64">
        <v>0.86</v>
      </c>
      <c r="K103" s="64">
        <v>169.4</v>
      </c>
      <c r="L103" s="64">
        <v>27.19</v>
      </c>
      <c r="M103" s="64">
        <v>43.69</v>
      </c>
      <c r="N103" s="64">
        <v>4.4000000000000004</v>
      </c>
      <c r="O103" s="64">
        <v>0</v>
      </c>
      <c r="P103" s="64">
        <v>1.07</v>
      </c>
      <c r="Q103" s="64">
        <v>31.07</v>
      </c>
      <c r="R103" s="198"/>
      <c r="S103" s="198"/>
      <c r="T103" s="198"/>
      <c r="U103" s="198"/>
    </row>
    <row r="104" spans="1:33" s="12" customFormat="1" x14ac:dyDescent="0.25">
      <c r="A104" s="211" t="s">
        <v>2264</v>
      </c>
      <c r="B104" s="64">
        <v>15.53</v>
      </c>
      <c r="C104" s="64">
        <v>33.01</v>
      </c>
      <c r="D104" s="64">
        <v>31.32</v>
      </c>
      <c r="E104" s="64">
        <v>2.29</v>
      </c>
      <c r="F104" s="64">
        <v>21.01</v>
      </c>
      <c r="G104" s="64">
        <v>18.63</v>
      </c>
      <c r="H104" s="64">
        <v>31.3</v>
      </c>
      <c r="I104" s="64">
        <v>0.77</v>
      </c>
      <c r="J104" s="64">
        <v>0.63</v>
      </c>
      <c r="K104" s="64">
        <v>165.83</v>
      </c>
      <c r="L104" s="64">
        <v>27.09</v>
      </c>
      <c r="M104" s="64">
        <v>45.2</v>
      </c>
      <c r="N104" s="64">
        <v>4.7</v>
      </c>
      <c r="O104" s="64">
        <v>0</v>
      </c>
      <c r="P104" s="64">
        <v>0.87</v>
      </c>
      <c r="Q104" s="64">
        <v>31.99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23.46</v>
      </c>
      <c r="D106" s="67">
        <f t="shared" ref="D106:Q106" si="0">MIN(D9:D104)</f>
        <v>14.74</v>
      </c>
      <c r="E106" s="67">
        <f t="shared" si="0"/>
        <v>0.42</v>
      </c>
      <c r="F106" s="67">
        <f t="shared" si="0"/>
        <v>3.4</v>
      </c>
      <c r="G106" s="67">
        <f t="shared" si="0"/>
        <v>18.63</v>
      </c>
      <c r="H106" s="67">
        <f t="shared" si="0"/>
        <v>14.59</v>
      </c>
      <c r="I106" s="67">
        <f t="shared" si="0"/>
        <v>0.49</v>
      </c>
      <c r="J106" s="67">
        <f t="shared" si="0"/>
        <v>0.01</v>
      </c>
      <c r="K106" s="67">
        <f t="shared" si="0"/>
        <v>20.309999999999999</v>
      </c>
      <c r="L106" s="67">
        <f t="shared" si="0"/>
        <v>23.93</v>
      </c>
      <c r="M106" s="67">
        <f t="shared" si="0"/>
        <v>16.11</v>
      </c>
      <c r="N106" s="67">
        <f t="shared" si="0"/>
        <v>1.5</v>
      </c>
      <c r="O106" s="67">
        <f t="shared" si="0"/>
        <v>0</v>
      </c>
      <c r="P106" s="67">
        <f t="shared" si="0"/>
        <v>0.33</v>
      </c>
      <c r="Q106" s="67">
        <f t="shared" si="0"/>
        <v>18.53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195.82</v>
      </c>
      <c r="C107" s="66">
        <f t="shared" ref="C107:Q107" si="1">MAX(C9:C104)</f>
        <v>120.24</v>
      </c>
      <c r="D107" s="66">
        <f t="shared" si="1"/>
        <v>224.04</v>
      </c>
      <c r="E107" s="66">
        <f t="shared" si="1"/>
        <v>23.2</v>
      </c>
      <c r="F107" s="66">
        <f t="shared" si="1"/>
        <v>88.64</v>
      </c>
      <c r="G107" s="66">
        <f t="shared" si="1"/>
        <v>180.4</v>
      </c>
      <c r="H107" s="66">
        <f t="shared" si="1"/>
        <v>48.39</v>
      </c>
      <c r="I107" s="66">
        <f t="shared" si="1"/>
        <v>1.67</v>
      </c>
      <c r="J107" s="66">
        <f t="shared" si="1"/>
        <v>1.61</v>
      </c>
      <c r="K107" s="66">
        <f t="shared" si="1"/>
        <v>313.69</v>
      </c>
      <c r="L107" s="66">
        <f t="shared" si="1"/>
        <v>41.56</v>
      </c>
      <c r="M107" s="66">
        <f t="shared" si="1"/>
        <v>61.37</v>
      </c>
      <c r="N107" s="66">
        <f t="shared" si="1"/>
        <v>878.3</v>
      </c>
      <c r="O107" s="66">
        <f t="shared" si="1"/>
        <v>0</v>
      </c>
      <c r="P107" s="66">
        <f t="shared" si="1"/>
        <v>5.14</v>
      </c>
      <c r="Q107" s="66">
        <f t="shared" si="1"/>
        <v>42.22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21.531145833333337</v>
      </c>
      <c r="C108" s="67">
        <f t="shared" ref="C108:Q108" si="2">AVERAGE(C9:C104)</f>
        <v>44.862604166666664</v>
      </c>
      <c r="D108" s="67">
        <f t="shared" si="2"/>
        <v>42.671458333333334</v>
      </c>
      <c r="E108" s="67">
        <f t="shared" si="2"/>
        <v>4.2768749999999995</v>
      </c>
      <c r="F108" s="67">
        <f t="shared" si="2"/>
        <v>14.671979166666672</v>
      </c>
      <c r="G108" s="67">
        <f t="shared" si="2"/>
        <v>53.690312499999997</v>
      </c>
      <c r="H108" s="67">
        <f t="shared" si="2"/>
        <v>24.861354166666668</v>
      </c>
      <c r="I108" s="67">
        <f t="shared" si="2"/>
        <v>0.7388541666666667</v>
      </c>
      <c r="J108" s="67">
        <f t="shared" si="2"/>
        <v>0.36729166666666674</v>
      </c>
      <c r="K108" s="67">
        <f t="shared" si="2"/>
        <v>211.92697916666677</v>
      </c>
      <c r="L108" s="67">
        <f t="shared" si="2"/>
        <v>30.849062499999992</v>
      </c>
      <c r="M108" s="67">
        <f t="shared" si="2"/>
        <v>37.592083333333335</v>
      </c>
      <c r="N108" s="67">
        <f t="shared" si="2"/>
        <v>136.375</v>
      </c>
      <c r="O108" s="67">
        <f t="shared" si="2"/>
        <v>0</v>
      </c>
      <c r="P108" s="67">
        <f t="shared" si="2"/>
        <v>1.0268750000000002</v>
      </c>
      <c r="Q108" s="67">
        <f t="shared" si="2"/>
        <v>29.242812499999999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40.788589861427809</v>
      </c>
      <c r="C109" s="67">
        <f t="shared" ref="C109:Q109" si="3">STDEV(C9:C104)</f>
        <v>21.754034072100012</v>
      </c>
      <c r="D109" s="67">
        <f t="shared" si="3"/>
        <v>43.368629627250321</v>
      </c>
      <c r="E109" s="67">
        <f t="shared" si="3"/>
        <v>4.7341861552574791</v>
      </c>
      <c r="F109" s="67">
        <f t="shared" si="3"/>
        <v>12.662839260881807</v>
      </c>
      <c r="G109" s="67">
        <f t="shared" si="3"/>
        <v>33.630019185656629</v>
      </c>
      <c r="H109" s="67">
        <f t="shared" si="3"/>
        <v>8.6487065804865164</v>
      </c>
      <c r="I109" s="67">
        <f t="shared" si="3"/>
        <v>0.23230592258198313</v>
      </c>
      <c r="J109" s="67">
        <f t="shared" si="3"/>
        <v>0.35395057391100515</v>
      </c>
      <c r="K109" s="67">
        <f t="shared" si="3"/>
        <v>58.197808696670783</v>
      </c>
      <c r="L109" s="67">
        <f t="shared" si="3"/>
        <v>5.1843633478344104</v>
      </c>
      <c r="M109" s="67">
        <f t="shared" si="3"/>
        <v>13.380652404570185</v>
      </c>
      <c r="N109" s="67">
        <f t="shared" si="3"/>
        <v>267.42734646178803</v>
      </c>
      <c r="O109" s="67">
        <f t="shared" si="3"/>
        <v>0</v>
      </c>
      <c r="P109" s="67">
        <f t="shared" si="3"/>
        <v>0.91830199424349412</v>
      </c>
      <c r="Q109" s="67">
        <f t="shared" si="3"/>
        <v>3.5361738773410503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 t="shared" ref="D110:Q110" si="4">COUNT(D9:D104)</f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COUNT(N9:N104)+36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2265</v>
      </c>
      <c r="B9" s="64">
        <v>15.44</v>
      </c>
      <c r="C9" s="64">
        <v>32.94</v>
      </c>
      <c r="D9" s="64">
        <v>31.2</v>
      </c>
      <c r="E9" s="64">
        <v>3.3</v>
      </c>
      <c r="F9" s="64">
        <v>17.600000000000001</v>
      </c>
      <c r="G9" s="212" t="s">
        <v>43</v>
      </c>
      <c r="H9" s="212" t="s">
        <v>43</v>
      </c>
      <c r="I9" s="64">
        <v>0.9</v>
      </c>
      <c r="J9" s="64">
        <v>0.6</v>
      </c>
      <c r="K9" s="64">
        <v>175.44</v>
      </c>
      <c r="L9" s="64">
        <v>26.87</v>
      </c>
      <c r="M9" s="64">
        <v>47.17</v>
      </c>
      <c r="N9" s="64">
        <v>4.8</v>
      </c>
      <c r="O9" s="64">
        <v>0</v>
      </c>
      <c r="P9" s="64">
        <v>0.95</v>
      </c>
      <c r="Q9" s="64">
        <v>32.15</v>
      </c>
      <c r="R9" s="198"/>
      <c r="S9" s="198"/>
      <c r="T9" s="198"/>
      <c r="U9" s="198"/>
    </row>
    <row r="10" spans="1:21" s="12" customFormat="1" x14ac:dyDescent="0.25">
      <c r="A10" s="211" t="s">
        <v>2266</v>
      </c>
      <c r="B10" s="64">
        <v>10.08</v>
      </c>
      <c r="C10" s="64">
        <v>28.85</v>
      </c>
      <c r="D10" s="64">
        <v>24.65</v>
      </c>
      <c r="E10" s="64">
        <v>3.2</v>
      </c>
      <c r="F10" s="64">
        <v>28.43</v>
      </c>
      <c r="G10" s="212" t="s">
        <v>43</v>
      </c>
      <c r="H10" s="212" t="s">
        <v>43</v>
      </c>
      <c r="I10" s="64">
        <v>0.81</v>
      </c>
      <c r="J10" s="64">
        <v>0.17</v>
      </c>
      <c r="K10" s="64">
        <v>192</v>
      </c>
      <c r="L10" s="64">
        <v>26.56</v>
      </c>
      <c r="M10" s="64">
        <v>49.14</v>
      </c>
      <c r="N10" s="64">
        <v>5.0999999999999996</v>
      </c>
      <c r="O10" s="64">
        <v>0</v>
      </c>
      <c r="P10" s="64">
        <v>0.7</v>
      </c>
      <c r="Q10" s="64">
        <v>32.340000000000003</v>
      </c>
      <c r="R10" s="198"/>
      <c r="S10" s="198"/>
      <c r="T10" s="198"/>
      <c r="U10" s="198"/>
    </row>
    <row r="11" spans="1:21" s="12" customFormat="1" x14ac:dyDescent="0.25">
      <c r="A11" s="211" t="s">
        <v>2267</v>
      </c>
      <c r="B11" s="64">
        <v>16.37</v>
      </c>
      <c r="C11" s="64">
        <v>35.020000000000003</v>
      </c>
      <c r="D11" s="64">
        <v>33.1</v>
      </c>
      <c r="E11" s="64">
        <v>3.16</v>
      </c>
      <c r="F11" s="64">
        <v>10.56</v>
      </c>
      <c r="G11" s="212" t="s">
        <v>43</v>
      </c>
      <c r="H11" s="212" t="s">
        <v>43</v>
      </c>
      <c r="I11" s="64">
        <v>0.73</v>
      </c>
      <c r="J11" s="64">
        <v>0.25</v>
      </c>
      <c r="K11" s="64">
        <v>195.01</v>
      </c>
      <c r="L11" s="64">
        <v>26.37</v>
      </c>
      <c r="M11" s="64">
        <v>50.63</v>
      </c>
      <c r="N11" s="64">
        <v>4.8</v>
      </c>
      <c r="O11" s="64">
        <v>0</v>
      </c>
      <c r="P11" s="64">
        <v>1.05</v>
      </c>
      <c r="Q11" s="64">
        <v>31.58</v>
      </c>
      <c r="R11" s="198"/>
      <c r="S11" s="198"/>
      <c r="T11" s="198"/>
      <c r="U11" s="198"/>
    </row>
    <row r="12" spans="1:21" s="12" customFormat="1" x14ac:dyDescent="0.25">
      <c r="A12" s="211" t="s">
        <v>2268</v>
      </c>
      <c r="B12" s="64">
        <v>14.36</v>
      </c>
      <c r="C12" s="64">
        <v>35.76</v>
      </c>
      <c r="D12" s="64">
        <v>31.9</v>
      </c>
      <c r="E12" s="64">
        <v>2.79</v>
      </c>
      <c r="F12" s="64">
        <v>6.37</v>
      </c>
      <c r="G12" s="64">
        <v>32.869999999999997</v>
      </c>
      <c r="H12" s="64">
        <v>25.53</v>
      </c>
      <c r="I12" s="64">
        <v>0.57999999999999996</v>
      </c>
      <c r="J12" s="64">
        <v>0.24</v>
      </c>
      <c r="K12" s="64">
        <v>183.49</v>
      </c>
      <c r="L12" s="64">
        <v>26.18</v>
      </c>
      <c r="M12" s="64">
        <v>51.5</v>
      </c>
      <c r="N12" s="64">
        <v>4.9000000000000004</v>
      </c>
      <c r="O12" s="64">
        <v>0</v>
      </c>
      <c r="P12" s="64">
        <v>1.03</v>
      </c>
      <c r="Q12" s="64">
        <v>30.04</v>
      </c>
      <c r="R12" s="198"/>
      <c r="S12" s="198"/>
      <c r="T12" s="198"/>
      <c r="U12" s="198"/>
    </row>
    <row r="13" spans="1:21" s="12" customFormat="1" x14ac:dyDescent="0.25">
      <c r="A13" s="211" t="s">
        <v>2269</v>
      </c>
      <c r="B13" s="64">
        <v>11.35</v>
      </c>
      <c r="C13" s="64">
        <v>38.03</v>
      </c>
      <c r="D13" s="64">
        <v>30.73</v>
      </c>
      <c r="E13" s="64">
        <v>2.4</v>
      </c>
      <c r="F13" s="64">
        <v>6.83</v>
      </c>
      <c r="G13" s="64">
        <v>32.869999999999997</v>
      </c>
      <c r="H13" s="64">
        <v>25.53</v>
      </c>
      <c r="I13" s="64">
        <v>0.7</v>
      </c>
      <c r="J13" s="64">
        <v>0.18</v>
      </c>
      <c r="K13" s="64">
        <v>216.07</v>
      </c>
      <c r="L13" s="64">
        <v>26.11</v>
      </c>
      <c r="M13" s="64">
        <v>52.01</v>
      </c>
      <c r="N13" s="64">
        <v>4.8</v>
      </c>
      <c r="O13" s="64">
        <v>0</v>
      </c>
      <c r="P13" s="64">
        <v>0.89</v>
      </c>
      <c r="Q13" s="64">
        <v>29.09</v>
      </c>
      <c r="R13" s="198"/>
      <c r="S13" s="198"/>
      <c r="T13" s="198"/>
      <c r="U13" s="198"/>
    </row>
    <row r="14" spans="1:21" s="12" customFormat="1" x14ac:dyDescent="0.25">
      <c r="A14" s="211" t="s">
        <v>2270</v>
      </c>
      <c r="B14" s="64">
        <v>8.1</v>
      </c>
      <c r="C14" s="64">
        <v>38.700000000000003</v>
      </c>
      <c r="D14" s="64">
        <v>28.5</v>
      </c>
      <c r="E14" s="64">
        <v>2.3199999999999998</v>
      </c>
      <c r="F14" s="64">
        <v>6.23</v>
      </c>
      <c r="G14" s="64">
        <v>32.869999999999997</v>
      </c>
      <c r="H14" s="64">
        <v>25.53</v>
      </c>
      <c r="I14" s="64">
        <v>0.78</v>
      </c>
      <c r="J14" s="64">
        <v>0.19</v>
      </c>
      <c r="K14" s="64">
        <v>228.54</v>
      </c>
      <c r="L14" s="64">
        <v>26.11</v>
      </c>
      <c r="M14" s="64">
        <v>51.89</v>
      </c>
      <c r="N14" s="64">
        <v>4.7</v>
      </c>
      <c r="O14" s="64">
        <v>0</v>
      </c>
      <c r="P14" s="64">
        <v>0.84</v>
      </c>
      <c r="Q14" s="64">
        <v>28.42</v>
      </c>
      <c r="R14" s="198"/>
      <c r="S14" s="198"/>
      <c r="T14" s="198"/>
      <c r="U14" s="198"/>
    </row>
    <row r="15" spans="1:21" s="12" customFormat="1" x14ac:dyDescent="0.25">
      <c r="A15" s="211" t="s">
        <v>2271</v>
      </c>
      <c r="B15" s="64">
        <v>5.32</v>
      </c>
      <c r="C15" s="64">
        <v>38.15</v>
      </c>
      <c r="D15" s="64">
        <v>25.97</v>
      </c>
      <c r="E15" s="64">
        <v>2.16</v>
      </c>
      <c r="F15" s="64">
        <v>6.81</v>
      </c>
      <c r="G15" s="64">
        <v>32.53</v>
      </c>
      <c r="H15" s="64">
        <v>25.04</v>
      </c>
      <c r="I15" s="64">
        <v>0.69</v>
      </c>
      <c r="J15" s="64">
        <v>0.18</v>
      </c>
      <c r="K15" s="64">
        <v>230.41</v>
      </c>
      <c r="L15" s="64">
        <v>26.01</v>
      </c>
      <c r="M15" s="64">
        <v>52.27</v>
      </c>
      <c r="N15" s="64">
        <v>4.8</v>
      </c>
      <c r="O15" s="64">
        <v>0</v>
      </c>
      <c r="P15" s="64">
        <v>0.75</v>
      </c>
      <c r="Q15" s="64">
        <v>27.88</v>
      </c>
      <c r="R15" s="198"/>
      <c r="S15" s="198"/>
      <c r="T15" s="198"/>
      <c r="U15" s="198"/>
    </row>
    <row r="16" spans="1:21" s="12" customFormat="1" x14ac:dyDescent="0.25">
      <c r="A16" s="211" t="s">
        <v>2272</v>
      </c>
      <c r="B16" s="64">
        <v>3.41</v>
      </c>
      <c r="C16" s="64">
        <v>36.9</v>
      </c>
      <c r="D16" s="64">
        <v>23.75</v>
      </c>
      <c r="E16" s="64">
        <v>2.29</v>
      </c>
      <c r="F16" s="64">
        <v>6.89</v>
      </c>
      <c r="G16" s="64">
        <v>29.4</v>
      </c>
      <c r="H16" s="64">
        <v>21.85</v>
      </c>
      <c r="I16" s="64">
        <v>0.71</v>
      </c>
      <c r="J16" s="64">
        <v>0.1</v>
      </c>
      <c r="K16" s="64">
        <v>235.29</v>
      </c>
      <c r="L16" s="64">
        <v>25.87</v>
      </c>
      <c r="M16" s="64">
        <v>52.86</v>
      </c>
      <c r="N16" s="64">
        <v>4.9000000000000004</v>
      </c>
      <c r="O16" s="64">
        <v>0</v>
      </c>
      <c r="P16" s="64">
        <v>0.71</v>
      </c>
      <c r="Q16" s="64">
        <v>27.57</v>
      </c>
      <c r="R16" s="198"/>
      <c r="S16" s="198"/>
      <c r="T16" s="198"/>
      <c r="U16" s="198"/>
    </row>
    <row r="17" spans="1:21" s="12" customFormat="1" x14ac:dyDescent="0.25">
      <c r="A17" s="211" t="s">
        <v>2273</v>
      </c>
      <c r="B17" s="64">
        <v>2.36</v>
      </c>
      <c r="C17" s="64">
        <v>35.28</v>
      </c>
      <c r="D17" s="64">
        <v>22.01</v>
      </c>
      <c r="E17" s="64">
        <v>2.06</v>
      </c>
      <c r="F17" s="64">
        <v>6.29</v>
      </c>
      <c r="G17" s="64">
        <v>29.4</v>
      </c>
      <c r="H17" s="64">
        <v>21.85</v>
      </c>
      <c r="I17" s="64">
        <v>0.83</v>
      </c>
      <c r="J17" s="64">
        <v>0.14000000000000001</v>
      </c>
      <c r="K17" s="64">
        <v>197.94</v>
      </c>
      <c r="L17" s="64">
        <v>25.64</v>
      </c>
      <c r="M17" s="64">
        <v>53.85</v>
      </c>
      <c r="N17" s="64">
        <v>4.8</v>
      </c>
      <c r="O17" s="64">
        <v>0</v>
      </c>
      <c r="P17" s="64">
        <v>0.66</v>
      </c>
      <c r="Q17" s="64">
        <v>27.3</v>
      </c>
      <c r="R17" s="198"/>
      <c r="S17" s="198"/>
      <c r="T17" s="198"/>
      <c r="U17" s="198"/>
    </row>
    <row r="18" spans="1:21" s="12" customFormat="1" x14ac:dyDescent="0.25">
      <c r="A18" s="211" t="s">
        <v>2274</v>
      </c>
      <c r="B18" s="64">
        <v>1.49</v>
      </c>
      <c r="C18" s="64">
        <v>30.11</v>
      </c>
      <c r="D18" s="64">
        <v>18.46</v>
      </c>
      <c r="E18" s="64">
        <v>2.15</v>
      </c>
      <c r="F18" s="64">
        <v>22.34</v>
      </c>
      <c r="G18" s="64">
        <v>29.4</v>
      </c>
      <c r="H18" s="64">
        <v>21.85</v>
      </c>
      <c r="I18" s="64">
        <v>0.67</v>
      </c>
      <c r="J18" s="64">
        <v>0.1</v>
      </c>
      <c r="K18" s="64">
        <v>246.29</v>
      </c>
      <c r="L18" s="64">
        <v>25.44</v>
      </c>
      <c r="M18" s="64">
        <v>54.63</v>
      </c>
      <c r="N18" s="64">
        <v>5</v>
      </c>
      <c r="O18" s="64">
        <v>0</v>
      </c>
      <c r="P18" s="64">
        <v>0.45</v>
      </c>
      <c r="Q18" s="64">
        <v>27.67</v>
      </c>
      <c r="R18" s="198"/>
      <c r="S18" s="198"/>
      <c r="T18" s="198"/>
      <c r="U18" s="198"/>
    </row>
    <row r="19" spans="1:21" s="12" customFormat="1" x14ac:dyDescent="0.25">
      <c r="A19" s="211" t="s">
        <v>2275</v>
      </c>
      <c r="B19" s="64">
        <v>1.02</v>
      </c>
      <c r="C19" s="64">
        <v>23.36</v>
      </c>
      <c r="D19" s="64">
        <v>14.36</v>
      </c>
      <c r="E19" s="64">
        <v>2.34</v>
      </c>
      <c r="F19" s="64">
        <v>27.21</v>
      </c>
      <c r="G19" s="64">
        <v>28.68</v>
      </c>
      <c r="H19" s="64">
        <v>21.73</v>
      </c>
      <c r="I19" s="64">
        <v>0.75</v>
      </c>
      <c r="J19" s="64">
        <v>0.17</v>
      </c>
      <c r="K19" s="64">
        <v>158.72</v>
      </c>
      <c r="L19" s="64">
        <v>25.3</v>
      </c>
      <c r="M19" s="64">
        <v>55.03</v>
      </c>
      <c r="N19" s="64">
        <v>4.5999999999999996</v>
      </c>
      <c r="O19" s="64">
        <v>0</v>
      </c>
      <c r="P19" s="64">
        <v>0.4</v>
      </c>
      <c r="Q19" s="64">
        <v>28.8</v>
      </c>
      <c r="R19" s="198"/>
      <c r="S19" s="198"/>
      <c r="T19" s="198"/>
      <c r="U19" s="198"/>
    </row>
    <row r="20" spans="1:21" s="12" customFormat="1" x14ac:dyDescent="0.25">
      <c r="A20" s="211" t="s">
        <v>2276</v>
      </c>
      <c r="B20" s="64">
        <v>1.08</v>
      </c>
      <c r="C20" s="64">
        <v>21.11</v>
      </c>
      <c r="D20" s="64">
        <v>13.16</v>
      </c>
      <c r="E20" s="64">
        <v>2.77</v>
      </c>
      <c r="F20" s="64">
        <v>27.69</v>
      </c>
      <c r="G20" s="64">
        <v>22.15</v>
      </c>
      <c r="H20" s="64">
        <v>20.87</v>
      </c>
      <c r="I20" s="64">
        <v>0.52</v>
      </c>
      <c r="J20" s="64">
        <v>0.15</v>
      </c>
      <c r="K20" s="64">
        <v>229.41</v>
      </c>
      <c r="L20" s="64">
        <v>25.23</v>
      </c>
      <c r="M20" s="64">
        <v>54.83</v>
      </c>
      <c r="N20" s="64">
        <v>4.7</v>
      </c>
      <c r="O20" s="64">
        <v>0</v>
      </c>
      <c r="P20" s="64">
        <v>0.4</v>
      </c>
      <c r="Q20" s="64">
        <v>29.42</v>
      </c>
      <c r="R20" s="198"/>
      <c r="S20" s="198"/>
      <c r="T20" s="198"/>
      <c r="U20" s="198"/>
    </row>
    <row r="21" spans="1:21" s="12" customFormat="1" x14ac:dyDescent="0.25">
      <c r="A21" s="211" t="s">
        <v>2277</v>
      </c>
      <c r="B21" s="64">
        <v>1.55</v>
      </c>
      <c r="C21" s="64">
        <v>23.25</v>
      </c>
      <c r="D21" s="64">
        <v>14.72</v>
      </c>
      <c r="E21" s="64">
        <v>2.64</v>
      </c>
      <c r="F21" s="64">
        <v>18.170000000000002</v>
      </c>
      <c r="G21" s="64">
        <v>22.15</v>
      </c>
      <c r="H21" s="64">
        <v>20.87</v>
      </c>
      <c r="I21" s="64">
        <v>0.55000000000000004</v>
      </c>
      <c r="J21" s="64">
        <v>0.12</v>
      </c>
      <c r="K21" s="64">
        <v>233.78</v>
      </c>
      <c r="L21" s="64">
        <v>25.62</v>
      </c>
      <c r="M21" s="64">
        <v>52.73</v>
      </c>
      <c r="N21" s="64">
        <v>4.3</v>
      </c>
      <c r="O21" s="64">
        <v>0</v>
      </c>
      <c r="P21" s="64">
        <v>0.46</v>
      </c>
      <c r="Q21" s="64">
        <v>29.75</v>
      </c>
      <c r="R21" s="198"/>
      <c r="S21" s="198"/>
      <c r="T21" s="198"/>
      <c r="U21" s="198"/>
    </row>
    <row r="22" spans="1:21" s="12" customFormat="1" x14ac:dyDescent="0.25">
      <c r="A22" s="211" t="s">
        <v>2278</v>
      </c>
      <c r="B22" s="64">
        <v>1.62</v>
      </c>
      <c r="C22" s="64">
        <v>22.75</v>
      </c>
      <c r="D22" s="64">
        <v>14.5</v>
      </c>
      <c r="E22" s="64">
        <v>2.94</v>
      </c>
      <c r="F22" s="64">
        <v>25.42</v>
      </c>
      <c r="G22" s="64">
        <v>22.15</v>
      </c>
      <c r="H22" s="64">
        <v>20.87</v>
      </c>
      <c r="I22" s="64">
        <v>0.52</v>
      </c>
      <c r="J22" s="64">
        <v>0.22</v>
      </c>
      <c r="K22" s="64">
        <v>186.92</v>
      </c>
      <c r="L22" s="64">
        <v>25.56</v>
      </c>
      <c r="M22" s="64">
        <v>53.52</v>
      </c>
      <c r="N22" s="64">
        <v>4.8</v>
      </c>
      <c r="O22" s="64">
        <v>0</v>
      </c>
      <c r="P22" s="64">
        <v>0.41</v>
      </c>
      <c r="Q22" s="64">
        <v>30</v>
      </c>
      <c r="R22" s="198"/>
      <c r="S22" s="198"/>
      <c r="T22" s="198"/>
      <c r="U22" s="198"/>
    </row>
    <row r="23" spans="1:21" s="12" customFormat="1" x14ac:dyDescent="0.25">
      <c r="A23" s="211" t="s">
        <v>2279</v>
      </c>
      <c r="B23" s="64">
        <v>2.2200000000000002</v>
      </c>
      <c r="C23" s="64">
        <v>26.25</v>
      </c>
      <c r="D23" s="64">
        <v>16.91</v>
      </c>
      <c r="E23" s="64">
        <v>2.9</v>
      </c>
      <c r="F23" s="64">
        <v>5.76</v>
      </c>
      <c r="G23" s="212" t="s">
        <v>43</v>
      </c>
      <c r="H23" s="212" t="s">
        <v>43</v>
      </c>
      <c r="I23" s="64">
        <v>0.7</v>
      </c>
      <c r="J23" s="64">
        <v>0.19</v>
      </c>
      <c r="K23" s="64">
        <v>221.59</v>
      </c>
      <c r="L23" s="64">
        <v>25.19</v>
      </c>
      <c r="M23" s="64">
        <v>55.17</v>
      </c>
      <c r="N23" s="64">
        <v>5</v>
      </c>
      <c r="O23" s="64">
        <v>0</v>
      </c>
      <c r="P23" s="64">
        <v>0.54</v>
      </c>
      <c r="Q23" s="64">
        <v>29.54</v>
      </c>
      <c r="R23" s="198"/>
      <c r="S23" s="198"/>
      <c r="T23" s="198"/>
      <c r="U23" s="198"/>
    </row>
    <row r="24" spans="1:21" s="12" customFormat="1" x14ac:dyDescent="0.25">
      <c r="A24" s="211" t="s">
        <v>2280</v>
      </c>
      <c r="B24" s="64">
        <v>2.25</v>
      </c>
      <c r="C24" s="64">
        <v>28.7</v>
      </c>
      <c r="D24" s="64">
        <v>18.29</v>
      </c>
      <c r="E24" s="64">
        <v>0.57999999999999996</v>
      </c>
      <c r="F24" s="64">
        <v>6.4</v>
      </c>
      <c r="G24" s="212" t="s">
        <v>43</v>
      </c>
      <c r="H24" s="212" t="s">
        <v>43</v>
      </c>
      <c r="I24" s="64">
        <v>0.53</v>
      </c>
      <c r="J24" s="64">
        <v>0.1</v>
      </c>
      <c r="K24" s="64">
        <v>230.7</v>
      </c>
      <c r="L24" s="64">
        <v>24.91</v>
      </c>
      <c r="M24" s="64">
        <v>56.37</v>
      </c>
      <c r="N24" s="64">
        <v>5.0999999999999996</v>
      </c>
      <c r="O24" s="64">
        <v>0</v>
      </c>
      <c r="P24" s="64">
        <v>0.51</v>
      </c>
      <c r="Q24" s="64">
        <v>29.03</v>
      </c>
      <c r="R24" s="198"/>
      <c r="S24" s="198"/>
      <c r="T24" s="198"/>
      <c r="U24" s="198"/>
    </row>
    <row r="25" spans="1:21" s="12" customFormat="1" x14ac:dyDescent="0.25">
      <c r="A25" s="211" t="s">
        <v>2281</v>
      </c>
      <c r="B25" s="64">
        <v>1.97</v>
      </c>
      <c r="C25" s="64">
        <v>29.69</v>
      </c>
      <c r="D25" s="64">
        <v>18.61</v>
      </c>
      <c r="E25" s="64">
        <v>0.74</v>
      </c>
      <c r="F25" s="64">
        <v>5.54</v>
      </c>
      <c r="G25" s="212" t="s">
        <v>43</v>
      </c>
      <c r="H25" s="212" t="s">
        <v>43</v>
      </c>
      <c r="I25" s="64">
        <v>0.89</v>
      </c>
      <c r="J25" s="64">
        <v>0.75</v>
      </c>
      <c r="K25" s="64">
        <v>159.66999999999999</v>
      </c>
      <c r="L25" s="64">
        <v>24.89</v>
      </c>
      <c r="M25" s="64">
        <v>57.25</v>
      </c>
      <c r="N25" s="64">
        <v>4.2</v>
      </c>
      <c r="O25" s="64">
        <v>0</v>
      </c>
      <c r="P25" s="64">
        <v>0.49</v>
      </c>
      <c r="Q25" s="64">
        <v>28.53</v>
      </c>
      <c r="R25" s="198"/>
      <c r="S25" s="198"/>
      <c r="T25" s="198"/>
      <c r="U25" s="198"/>
    </row>
    <row r="26" spans="1:21" s="12" customFormat="1" x14ac:dyDescent="0.25">
      <c r="A26" s="211" t="s">
        <v>2282</v>
      </c>
      <c r="B26" s="64">
        <v>1.73</v>
      </c>
      <c r="C26" s="64">
        <v>30.01</v>
      </c>
      <c r="D26" s="64">
        <v>18.600000000000001</v>
      </c>
      <c r="E26" s="64">
        <v>0.72</v>
      </c>
      <c r="F26" s="64">
        <v>4.99</v>
      </c>
      <c r="G26" s="212" t="s">
        <v>43</v>
      </c>
      <c r="H26" s="212" t="s">
        <v>43</v>
      </c>
      <c r="I26" s="64">
        <v>0.62</v>
      </c>
      <c r="J26" s="64">
        <v>0.48</v>
      </c>
      <c r="K26" s="64">
        <v>170.3</v>
      </c>
      <c r="L26" s="64">
        <v>24.87</v>
      </c>
      <c r="M26" s="64">
        <v>57.22</v>
      </c>
      <c r="N26" s="64">
        <v>4.7</v>
      </c>
      <c r="O26" s="64">
        <v>0</v>
      </c>
      <c r="P26" s="64">
        <v>0.46</v>
      </c>
      <c r="Q26" s="64">
        <v>28.22</v>
      </c>
      <c r="R26" s="198"/>
      <c r="S26" s="198"/>
      <c r="T26" s="198"/>
      <c r="U26" s="198"/>
    </row>
    <row r="27" spans="1:21" s="12" customFormat="1" x14ac:dyDescent="0.25">
      <c r="A27" s="211" t="s">
        <v>2283</v>
      </c>
      <c r="B27" s="64">
        <v>1.53</v>
      </c>
      <c r="C27" s="64">
        <v>29.75</v>
      </c>
      <c r="D27" s="64">
        <v>18.29</v>
      </c>
      <c r="E27" s="64">
        <v>1.07</v>
      </c>
      <c r="F27" s="64">
        <v>5.09</v>
      </c>
      <c r="G27" s="212" t="s">
        <v>43</v>
      </c>
      <c r="H27" s="212" t="s">
        <v>43</v>
      </c>
      <c r="I27" s="64">
        <v>0.69</v>
      </c>
      <c r="J27" s="64">
        <v>0.15</v>
      </c>
      <c r="K27" s="64">
        <v>181.3</v>
      </c>
      <c r="L27" s="64">
        <v>24.63</v>
      </c>
      <c r="M27" s="64">
        <v>57.69</v>
      </c>
      <c r="N27" s="64">
        <v>5.0999999999999996</v>
      </c>
      <c r="O27" s="64">
        <v>0</v>
      </c>
      <c r="P27" s="64">
        <v>0.45</v>
      </c>
      <c r="Q27" s="64">
        <v>27.91</v>
      </c>
      <c r="R27" s="198"/>
      <c r="S27" s="198"/>
      <c r="T27" s="198"/>
      <c r="U27" s="198"/>
    </row>
    <row r="28" spans="1:21" s="12" customFormat="1" x14ac:dyDescent="0.25">
      <c r="A28" s="211" t="s">
        <v>2284</v>
      </c>
      <c r="B28" s="64">
        <v>1.5</v>
      </c>
      <c r="C28" s="64">
        <v>29.61</v>
      </c>
      <c r="D28" s="64">
        <v>18.190000000000001</v>
      </c>
      <c r="E28" s="64">
        <v>0.96</v>
      </c>
      <c r="F28" s="64">
        <v>5.0599999999999996</v>
      </c>
      <c r="G28" s="64">
        <v>28.74</v>
      </c>
      <c r="H28" s="64">
        <v>14.93</v>
      </c>
      <c r="I28" s="64">
        <v>0.73</v>
      </c>
      <c r="J28" s="64">
        <v>0.57999999999999996</v>
      </c>
      <c r="K28" s="64">
        <v>161.01</v>
      </c>
      <c r="L28" s="64">
        <v>24.49</v>
      </c>
      <c r="M28" s="64">
        <v>58.89</v>
      </c>
      <c r="N28" s="64">
        <v>4.8</v>
      </c>
      <c r="O28" s="64">
        <v>0</v>
      </c>
      <c r="P28" s="64">
        <v>0.43</v>
      </c>
      <c r="Q28" s="64">
        <v>27.8</v>
      </c>
      <c r="R28" s="198"/>
      <c r="S28" s="198"/>
      <c r="T28" s="198"/>
      <c r="U28" s="198"/>
    </row>
    <row r="29" spans="1:21" s="12" customFormat="1" x14ac:dyDescent="0.25">
      <c r="A29" s="211" t="s">
        <v>2285</v>
      </c>
      <c r="B29" s="64">
        <v>1.56</v>
      </c>
      <c r="C29" s="64">
        <v>29.87</v>
      </c>
      <c r="D29" s="64">
        <v>18.38</v>
      </c>
      <c r="E29" s="64">
        <v>0.9</v>
      </c>
      <c r="F29" s="64">
        <v>4.6100000000000003</v>
      </c>
      <c r="G29" s="64">
        <v>28.74</v>
      </c>
      <c r="H29" s="64">
        <v>14.93</v>
      </c>
      <c r="I29" s="64">
        <v>0.59</v>
      </c>
      <c r="J29" s="64">
        <v>0.08</v>
      </c>
      <c r="K29" s="64">
        <v>237.89</v>
      </c>
      <c r="L29" s="64">
        <v>24.43</v>
      </c>
      <c r="M29" s="64">
        <v>58.7</v>
      </c>
      <c r="N29" s="64">
        <v>6.2</v>
      </c>
      <c r="O29" s="64">
        <v>0</v>
      </c>
      <c r="P29" s="64">
        <v>0.41</v>
      </c>
      <c r="Q29" s="64">
        <v>27.57</v>
      </c>
      <c r="R29" s="198"/>
      <c r="S29" s="198"/>
      <c r="T29" s="198"/>
      <c r="U29" s="198"/>
    </row>
    <row r="30" spans="1:21" s="12" customFormat="1" x14ac:dyDescent="0.25">
      <c r="A30" s="211" t="s">
        <v>2286</v>
      </c>
      <c r="B30" s="64">
        <v>1.94</v>
      </c>
      <c r="C30" s="64">
        <v>30.68</v>
      </c>
      <c r="D30" s="64">
        <v>19.14</v>
      </c>
      <c r="E30" s="64">
        <v>1.04</v>
      </c>
      <c r="F30" s="64">
        <v>11.36</v>
      </c>
      <c r="G30" s="64">
        <v>28.74</v>
      </c>
      <c r="H30" s="64">
        <v>14.93</v>
      </c>
      <c r="I30" s="64">
        <v>0.56000000000000005</v>
      </c>
      <c r="J30" s="64">
        <v>0.57999999999999996</v>
      </c>
      <c r="K30" s="64">
        <v>162.25</v>
      </c>
      <c r="L30" s="64">
        <v>24.44</v>
      </c>
      <c r="M30" s="64">
        <v>59.35</v>
      </c>
      <c r="N30" s="64">
        <v>11.1</v>
      </c>
      <c r="O30" s="64">
        <v>0</v>
      </c>
      <c r="P30" s="64">
        <v>0.4</v>
      </c>
      <c r="Q30" s="64">
        <v>27.96</v>
      </c>
      <c r="R30" s="198"/>
      <c r="S30" s="198"/>
      <c r="T30" s="198"/>
      <c r="U30" s="198"/>
    </row>
    <row r="31" spans="1:21" s="12" customFormat="1" x14ac:dyDescent="0.25">
      <c r="A31" s="211" t="s">
        <v>2287</v>
      </c>
      <c r="B31" s="64">
        <v>2.29</v>
      </c>
      <c r="C31" s="64">
        <v>31.02</v>
      </c>
      <c r="D31" s="64">
        <v>19.600000000000001</v>
      </c>
      <c r="E31" s="64">
        <v>0.85</v>
      </c>
      <c r="F31" s="64">
        <v>14.2</v>
      </c>
      <c r="G31" s="64">
        <v>29.1</v>
      </c>
      <c r="H31" s="64">
        <v>15.04</v>
      </c>
      <c r="I31" s="64">
        <v>0.65</v>
      </c>
      <c r="J31" s="64">
        <v>0.38</v>
      </c>
      <c r="K31" s="64">
        <v>170.85</v>
      </c>
      <c r="L31" s="64">
        <v>24.68</v>
      </c>
      <c r="M31" s="64">
        <v>58.47</v>
      </c>
      <c r="N31" s="64">
        <v>25.4</v>
      </c>
      <c r="O31" s="64">
        <v>0</v>
      </c>
      <c r="P31" s="64">
        <v>0.39</v>
      </c>
      <c r="Q31" s="64">
        <v>28.58</v>
      </c>
      <c r="R31" s="198"/>
      <c r="S31" s="198"/>
      <c r="T31" s="198"/>
      <c r="U31" s="198"/>
    </row>
    <row r="32" spans="1:21" s="12" customFormat="1" x14ac:dyDescent="0.25">
      <c r="A32" s="211" t="s">
        <v>2288</v>
      </c>
      <c r="B32" s="64">
        <v>2.11</v>
      </c>
      <c r="C32" s="64">
        <v>30.8</v>
      </c>
      <c r="D32" s="64">
        <v>19.34</v>
      </c>
      <c r="E32" s="64">
        <v>1.21</v>
      </c>
      <c r="F32" s="64">
        <v>16.89</v>
      </c>
      <c r="G32" s="64">
        <v>32.35</v>
      </c>
      <c r="H32" s="64">
        <v>15.8</v>
      </c>
      <c r="I32" s="64">
        <v>0.6</v>
      </c>
      <c r="J32" s="64">
        <v>0.18</v>
      </c>
      <c r="K32" s="64">
        <v>189.79</v>
      </c>
      <c r="L32" s="64">
        <v>24.85</v>
      </c>
      <c r="M32" s="64">
        <v>58.1</v>
      </c>
      <c r="N32" s="64">
        <v>49.9</v>
      </c>
      <c r="O32" s="64">
        <v>0</v>
      </c>
      <c r="P32" s="64">
        <v>0.4</v>
      </c>
      <c r="Q32" s="64">
        <v>29.15</v>
      </c>
      <c r="R32" s="198"/>
      <c r="S32" s="198"/>
      <c r="T32" s="198"/>
      <c r="U32" s="198"/>
    </row>
    <row r="33" spans="1:21" s="12" customFormat="1" x14ac:dyDescent="0.25">
      <c r="A33" s="211" t="s">
        <v>2289</v>
      </c>
      <c r="B33" s="64">
        <v>2.77</v>
      </c>
      <c r="C33" s="64">
        <v>32.29</v>
      </c>
      <c r="D33" s="64">
        <v>20.68</v>
      </c>
      <c r="E33" s="64">
        <v>1.26</v>
      </c>
      <c r="F33" s="64">
        <v>14.93</v>
      </c>
      <c r="G33" s="64">
        <v>32.35</v>
      </c>
      <c r="H33" s="64">
        <v>15.8</v>
      </c>
      <c r="I33" s="64">
        <v>0.57999999999999996</v>
      </c>
      <c r="J33" s="64">
        <v>0.47</v>
      </c>
      <c r="K33" s="64">
        <v>174.61</v>
      </c>
      <c r="L33" s="64">
        <v>25.38</v>
      </c>
      <c r="M33" s="64">
        <v>57.43</v>
      </c>
      <c r="N33" s="64">
        <v>83.2</v>
      </c>
      <c r="O33" s="64">
        <v>0</v>
      </c>
      <c r="P33" s="64">
        <v>0.42</v>
      </c>
      <c r="Q33" s="64">
        <v>29.47</v>
      </c>
      <c r="R33" s="198"/>
      <c r="S33" s="198"/>
      <c r="T33" s="198"/>
      <c r="U33" s="198"/>
    </row>
    <row r="34" spans="1:21" s="12" customFormat="1" x14ac:dyDescent="0.25">
      <c r="A34" s="211" t="s">
        <v>2290</v>
      </c>
      <c r="B34" s="64">
        <v>4.3099999999999996</v>
      </c>
      <c r="C34" s="64">
        <v>35.82</v>
      </c>
      <c r="D34" s="64">
        <v>23.87</v>
      </c>
      <c r="E34" s="64">
        <v>1.4</v>
      </c>
      <c r="F34" s="64">
        <v>12.21</v>
      </c>
      <c r="G34" s="64">
        <v>32.35</v>
      </c>
      <c r="H34" s="64">
        <v>15.8</v>
      </c>
      <c r="I34" s="64">
        <v>0.56000000000000005</v>
      </c>
      <c r="J34" s="64">
        <v>0.54</v>
      </c>
      <c r="K34" s="64">
        <v>167.09</v>
      </c>
      <c r="L34" s="64">
        <v>25.95</v>
      </c>
      <c r="M34" s="64">
        <v>55.71</v>
      </c>
      <c r="N34" s="64">
        <v>121.3</v>
      </c>
      <c r="O34" s="64">
        <v>0</v>
      </c>
      <c r="P34" s="64">
        <v>0.43</v>
      </c>
      <c r="Q34" s="64">
        <v>29.38</v>
      </c>
      <c r="R34" s="198"/>
      <c r="S34" s="198"/>
      <c r="T34" s="198"/>
      <c r="U34" s="198"/>
    </row>
    <row r="35" spans="1:21" s="12" customFormat="1" x14ac:dyDescent="0.25">
      <c r="A35" s="211" t="s">
        <v>2291</v>
      </c>
      <c r="B35" s="64">
        <v>3.87</v>
      </c>
      <c r="C35" s="64">
        <v>30.52</v>
      </c>
      <c r="D35" s="64">
        <v>20.6</v>
      </c>
      <c r="E35" s="64">
        <v>1.0900000000000001</v>
      </c>
      <c r="F35" s="64">
        <v>5.46</v>
      </c>
      <c r="G35" s="64">
        <v>32.4</v>
      </c>
      <c r="H35" s="64">
        <v>16.55</v>
      </c>
      <c r="I35" s="64">
        <v>0.61</v>
      </c>
      <c r="J35" s="64">
        <v>0.48</v>
      </c>
      <c r="K35" s="64">
        <v>175.47</v>
      </c>
      <c r="L35" s="64">
        <v>26.31</v>
      </c>
      <c r="M35" s="64">
        <v>55.28</v>
      </c>
      <c r="N35" s="64">
        <v>165.8</v>
      </c>
      <c r="O35" s="64">
        <v>0</v>
      </c>
      <c r="P35" s="64">
        <v>0.43</v>
      </c>
      <c r="Q35" s="64">
        <v>29.21</v>
      </c>
      <c r="R35" s="198"/>
      <c r="S35" s="198"/>
      <c r="T35" s="198"/>
      <c r="U35" s="198"/>
    </row>
    <row r="36" spans="1:21" s="12" customFormat="1" x14ac:dyDescent="0.25">
      <c r="A36" s="211" t="s">
        <v>2292</v>
      </c>
      <c r="B36" s="64">
        <v>3.22</v>
      </c>
      <c r="C36" s="64">
        <v>30.45</v>
      </c>
      <c r="D36" s="64">
        <v>20.03</v>
      </c>
      <c r="E36" s="64">
        <v>0.79</v>
      </c>
      <c r="F36" s="64">
        <v>5.37</v>
      </c>
      <c r="G36" s="64">
        <v>32.79</v>
      </c>
      <c r="H36" s="64">
        <v>21.33</v>
      </c>
      <c r="I36" s="64">
        <v>0.64</v>
      </c>
      <c r="J36" s="64">
        <v>0.39</v>
      </c>
      <c r="K36" s="64">
        <v>173.82</v>
      </c>
      <c r="L36" s="64">
        <v>26.96</v>
      </c>
      <c r="M36" s="64">
        <v>53.87</v>
      </c>
      <c r="N36" s="64">
        <v>215.4</v>
      </c>
      <c r="O36" s="64">
        <v>0</v>
      </c>
      <c r="P36" s="64">
        <v>0.44</v>
      </c>
      <c r="Q36" s="64">
        <v>28.98</v>
      </c>
      <c r="R36" s="198"/>
      <c r="S36" s="198"/>
      <c r="T36" s="198"/>
      <c r="U36" s="198"/>
    </row>
    <row r="37" spans="1:21" s="12" customFormat="1" x14ac:dyDescent="0.25">
      <c r="A37" s="211" t="s">
        <v>2293</v>
      </c>
      <c r="B37" s="64">
        <v>2.62</v>
      </c>
      <c r="C37" s="64">
        <v>31.47</v>
      </c>
      <c r="D37" s="64">
        <v>20.11</v>
      </c>
      <c r="E37" s="64">
        <v>0.98</v>
      </c>
      <c r="F37" s="64">
        <v>4.9000000000000004</v>
      </c>
      <c r="G37" s="64">
        <v>32.79</v>
      </c>
      <c r="H37" s="64">
        <v>21.33</v>
      </c>
      <c r="I37" s="64">
        <v>0.63</v>
      </c>
      <c r="J37" s="64">
        <v>0.56000000000000005</v>
      </c>
      <c r="K37" s="64">
        <v>180.43</v>
      </c>
      <c r="L37" s="64">
        <v>27.34</v>
      </c>
      <c r="M37" s="64">
        <v>53.75</v>
      </c>
      <c r="N37" s="64">
        <v>266</v>
      </c>
      <c r="O37" s="64">
        <v>0</v>
      </c>
      <c r="P37" s="64">
        <v>0.46</v>
      </c>
      <c r="Q37" s="64">
        <v>28.58</v>
      </c>
      <c r="R37" s="198"/>
      <c r="S37" s="198"/>
      <c r="T37" s="198"/>
      <c r="U37" s="198"/>
    </row>
    <row r="38" spans="1:21" s="12" customFormat="1" x14ac:dyDescent="0.25">
      <c r="A38" s="211" t="s">
        <v>2294</v>
      </c>
      <c r="B38" s="64">
        <v>2.29</v>
      </c>
      <c r="C38" s="64">
        <v>31.99</v>
      </c>
      <c r="D38" s="64">
        <v>20.13</v>
      </c>
      <c r="E38" s="64">
        <v>0.82</v>
      </c>
      <c r="F38" s="64">
        <v>5.1100000000000003</v>
      </c>
      <c r="G38" s="64">
        <v>32.79</v>
      </c>
      <c r="H38" s="64">
        <v>21.33</v>
      </c>
      <c r="I38" s="64">
        <v>0.57999999999999996</v>
      </c>
      <c r="J38" s="64">
        <v>0.11</v>
      </c>
      <c r="K38" s="64">
        <v>191.91</v>
      </c>
      <c r="L38" s="64">
        <v>28.17</v>
      </c>
      <c r="M38" s="64">
        <v>52.28</v>
      </c>
      <c r="N38" s="64">
        <v>307.10000000000002</v>
      </c>
      <c r="O38" s="64">
        <v>0</v>
      </c>
      <c r="P38" s="64">
        <v>0.51</v>
      </c>
      <c r="Q38" s="64">
        <v>28.16</v>
      </c>
      <c r="R38" s="198"/>
      <c r="S38" s="198"/>
      <c r="T38" s="198"/>
      <c r="U38" s="198"/>
    </row>
    <row r="39" spans="1:21" s="12" customFormat="1" x14ac:dyDescent="0.25">
      <c r="A39" s="211" t="s">
        <v>2295</v>
      </c>
      <c r="B39" s="64">
        <v>1.9</v>
      </c>
      <c r="C39" s="64">
        <v>31.78</v>
      </c>
      <c r="D39" s="64">
        <v>19.7</v>
      </c>
      <c r="E39" s="64">
        <v>0.76</v>
      </c>
      <c r="F39" s="64">
        <v>6.02</v>
      </c>
      <c r="G39" s="64">
        <v>32.29</v>
      </c>
      <c r="H39" s="64">
        <v>21.19</v>
      </c>
      <c r="I39" s="64">
        <v>0.66</v>
      </c>
      <c r="J39" s="64">
        <v>0.03</v>
      </c>
      <c r="K39" s="64">
        <v>229.3</v>
      </c>
      <c r="L39" s="64">
        <v>28.98</v>
      </c>
      <c r="M39" s="64">
        <v>50.79</v>
      </c>
      <c r="N39" s="64">
        <v>355.9</v>
      </c>
      <c r="O39" s="64">
        <v>0</v>
      </c>
      <c r="P39" s="64">
        <v>0.52</v>
      </c>
      <c r="Q39" s="64">
        <v>27.88</v>
      </c>
      <c r="R39" s="198"/>
      <c r="S39" s="198"/>
      <c r="T39" s="198"/>
      <c r="U39" s="198"/>
    </row>
    <row r="40" spans="1:21" s="12" customFormat="1" x14ac:dyDescent="0.25">
      <c r="A40" s="211" t="s">
        <v>2296</v>
      </c>
      <c r="B40" s="64">
        <v>1.54</v>
      </c>
      <c r="C40" s="64">
        <v>32.47</v>
      </c>
      <c r="D40" s="64">
        <v>19.8</v>
      </c>
      <c r="E40" s="64">
        <v>1.21</v>
      </c>
      <c r="F40" s="64">
        <v>6.74</v>
      </c>
      <c r="G40" s="64">
        <v>27.81</v>
      </c>
      <c r="H40" s="64">
        <v>20.23</v>
      </c>
      <c r="I40" s="64">
        <v>0.6</v>
      </c>
      <c r="J40" s="64">
        <v>0.05</v>
      </c>
      <c r="K40" s="64">
        <v>247.9</v>
      </c>
      <c r="L40" s="64">
        <v>30.09</v>
      </c>
      <c r="M40" s="64">
        <v>47.38</v>
      </c>
      <c r="N40" s="64">
        <v>399.8</v>
      </c>
      <c r="O40" s="64">
        <v>0</v>
      </c>
      <c r="P40" s="64">
        <v>0.54</v>
      </c>
      <c r="Q40" s="64">
        <v>27.56</v>
      </c>
      <c r="R40" s="198"/>
      <c r="S40" s="198"/>
      <c r="T40" s="198"/>
      <c r="U40" s="198"/>
    </row>
    <row r="41" spans="1:21" s="12" customFormat="1" x14ac:dyDescent="0.25">
      <c r="A41" s="211" t="s">
        <v>2297</v>
      </c>
      <c r="B41" s="64">
        <v>1.1599999999999999</v>
      </c>
      <c r="C41" s="64">
        <v>32.299999999999997</v>
      </c>
      <c r="D41" s="64">
        <v>19.41</v>
      </c>
      <c r="E41" s="64">
        <v>1.69</v>
      </c>
      <c r="F41" s="64">
        <v>8.61</v>
      </c>
      <c r="G41" s="64">
        <v>27.81</v>
      </c>
      <c r="H41" s="64">
        <v>20.23</v>
      </c>
      <c r="I41" s="64">
        <v>0.62</v>
      </c>
      <c r="J41" s="64">
        <v>0.06</v>
      </c>
      <c r="K41" s="64">
        <v>344.79</v>
      </c>
      <c r="L41" s="64">
        <v>31.24</v>
      </c>
      <c r="M41" s="64">
        <v>45</v>
      </c>
      <c r="N41" s="64">
        <v>470.8</v>
      </c>
      <c r="O41" s="64">
        <v>0</v>
      </c>
      <c r="P41" s="64">
        <v>0.54</v>
      </c>
      <c r="Q41" s="64">
        <v>27.2</v>
      </c>
      <c r="R41" s="198"/>
      <c r="S41" s="198"/>
      <c r="T41" s="198"/>
      <c r="U41" s="198"/>
    </row>
    <row r="42" spans="1:21" s="12" customFormat="1" x14ac:dyDescent="0.25">
      <c r="A42" s="211" t="s">
        <v>2298</v>
      </c>
      <c r="B42" s="64">
        <v>1.05</v>
      </c>
      <c r="C42" s="64">
        <v>31.78</v>
      </c>
      <c r="D42" s="64">
        <v>19.02</v>
      </c>
      <c r="E42" s="64">
        <v>1.95</v>
      </c>
      <c r="F42" s="64">
        <v>10.08</v>
      </c>
      <c r="G42" s="64">
        <v>27.81</v>
      </c>
      <c r="H42" s="64">
        <v>20.23</v>
      </c>
      <c r="I42" s="64">
        <v>0.55000000000000004</v>
      </c>
      <c r="J42" s="64">
        <v>0.13</v>
      </c>
      <c r="K42" s="64">
        <v>16.07</v>
      </c>
      <c r="L42" s="64">
        <v>31.28</v>
      </c>
      <c r="M42" s="64">
        <v>44.64</v>
      </c>
      <c r="N42" s="64">
        <v>504.5</v>
      </c>
      <c r="O42" s="64">
        <v>0</v>
      </c>
      <c r="P42" s="64">
        <v>0.55000000000000004</v>
      </c>
      <c r="Q42" s="64">
        <v>27.71</v>
      </c>
      <c r="R42" s="198"/>
      <c r="S42" s="198"/>
      <c r="T42" s="198"/>
      <c r="U42" s="198"/>
    </row>
    <row r="43" spans="1:21" s="12" customFormat="1" x14ac:dyDescent="0.25">
      <c r="A43" s="211" t="s">
        <v>2299</v>
      </c>
      <c r="B43" s="64">
        <v>1.01</v>
      </c>
      <c r="C43" s="64">
        <v>30.4</v>
      </c>
      <c r="D43" s="64">
        <v>18.23</v>
      </c>
      <c r="E43" s="64">
        <v>1.64</v>
      </c>
      <c r="F43" s="64">
        <v>11.25</v>
      </c>
      <c r="G43" s="64">
        <v>31.16</v>
      </c>
      <c r="H43" s="64">
        <v>20.37</v>
      </c>
      <c r="I43" s="64">
        <v>0.53</v>
      </c>
      <c r="J43" s="64">
        <v>0.27</v>
      </c>
      <c r="K43" s="64">
        <v>36.42</v>
      </c>
      <c r="L43" s="64">
        <v>31.98</v>
      </c>
      <c r="M43" s="64">
        <v>42.83</v>
      </c>
      <c r="N43" s="64">
        <v>539.5</v>
      </c>
      <c r="O43" s="64">
        <v>0</v>
      </c>
      <c r="P43" s="64">
        <v>0.54</v>
      </c>
      <c r="Q43" s="64">
        <v>27.28</v>
      </c>
      <c r="R43" s="198"/>
      <c r="S43" s="198"/>
      <c r="T43" s="198"/>
      <c r="U43" s="198"/>
    </row>
    <row r="44" spans="1:21" s="12" customFormat="1" x14ac:dyDescent="0.25">
      <c r="A44" s="211" t="s">
        <v>2300</v>
      </c>
      <c r="B44" s="64">
        <v>1</v>
      </c>
      <c r="C44" s="64">
        <v>31.08</v>
      </c>
      <c r="D44" s="64">
        <v>18.600000000000001</v>
      </c>
      <c r="E44" s="64">
        <v>1.36</v>
      </c>
      <c r="F44" s="64">
        <v>11.38</v>
      </c>
      <c r="G44" s="64">
        <v>57.91</v>
      </c>
      <c r="H44" s="64">
        <v>21.31</v>
      </c>
      <c r="I44" s="64">
        <v>0.52</v>
      </c>
      <c r="J44" s="64">
        <v>0.21</v>
      </c>
      <c r="K44" s="64">
        <v>31.33</v>
      </c>
      <c r="L44" s="64">
        <v>32.97</v>
      </c>
      <c r="M44" s="64">
        <v>40.409999999999997</v>
      </c>
      <c r="N44" s="64">
        <v>610.1</v>
      </c>
      <c r="O44" s="64">
        <v>0</v>
      </c>
      <c r="P44" s="64">
        <v>0.53</v>
      </c>
      <c r="Q44" s="64">
        <v>26.93</v>
      </c>
      <c r="R44" s="198"/>
      <c r="S44" s="198"/>
      <c r="T44" s="198"/>
      <c r="U44" s="198"/>
    </row>
    <row r="45" spans="1:21" s="12" customFormat="1" x14ac:dyDescent="0.25">
      <c r="A45" s="211" t="s">
        <v>2301</v>
      </c>
      <c r="B45" s="64">
        <v>1.01</v>
      </c>
      <c r="C45" s="64">
        <v>31.74</v>
      </c>
      <c r="D45" s="64">
        <v>18.97</v>
      </c>
      <c r="E45" s="64">
        <v>1.35</v>
      </c>
      <c r="F45" s="64">
        <v>10.94</v>
      </c>
      <c r="G45" s="64">
        <v>57.91</v>
      </c>
      <c r="H45" s="64">
        <v>21.31</v>
      </c>
      <c r="I45" s="64">
        <v>0.55000000000000004</v>
      </c>
      <c r="J45" s="64">
        <v>0.13</v>
      </c>
      <c r="K45" s="64">
        <v>9.58</v>
      </c>
      <c r="L45" s="64">
        <v>33.11</v>
      </c>
      <c r="M45" s="64">
        <v>40.43</v>
      </c>
      <c r="N45" s="64">
        <v>654.29999999999995</v>
      </c>
      <c r="O45" s="64">
        <v>0</v>
      </c>
      <c r="P45" s="64">
        <v>0.53</v>
      </c>
      <c r="Q45" s="64">
        <v>26.74</v>
      </c>
      <c r="R45" s="198"/>
      <c r="S45" s="198"/>
      <c r="T45" s="198"/>
      <c r="U45" s="198"/>
    </row>
    <row r="46" spans="1:21" s="12" customFormat="1" x14ac:dyDescent="0.25">
      <c r="A46" s="211" t="s">
        <v>2302</v>
      </c>
      <c r="B46" s="64">
        <v>1</v>
      </c>
      <c r="C46" s="64">
        <v>32.03</v>
      </c>
      <c r="D46" s="64">
        <v>19.12</v>
      </c>
      <c r="E46" s="64">
        <v>1.62</v>
      </c>
      <c r="F46" s="64">
        <v>10.16</v>
      </c>
      <c r="G46" s="64">
        <v>57.91</v>
      </c>
      <c r="H46" s="64">
        <v>21.31</v>
      </c>
      <c r="I46" s="64">
        <v>0.53</v>
      </c>
      <c r="J46" s="64">
        <v>0.24</v>
      </c>
      <c r="K46" s="64">
        <v>289.41000000000003</v>
      </c>
      <c r="L46" s="64">
        <v>33.99</v>
      </c>
      <c r="M46" s="64">
        <v>38.69</v>
      </c>
      <c r="N46" s="64">
        <v>697.5</v>
      </c>
      <c r="O46" s="64">
        <v>0</v>
      </c>
      <c r="P46" s="64">
        <v>0.54</v>
      </c>
      <c r="Q46" s="64">
        <v>26.51</v>
      </c>
      <c r="R46" s="198"/>
      <c r="S46" s="198"/>
      <c r="T46" s="198"/>
      <c r="U46" s="198"/>
    </row>
    <row r="47" spans="1:21" s="12" customFormat="1" x14ac:dyDescent="0.25">
      <c r="A47" s="211" t="s">
        <v>2303</v>
      </c>
      <c r="B47" s="64">
        <v>1</v>
      </c>
      <c r="C47" s="64">
        <v>30.08</v>
      </c>
      <c r="D47" s="64">
        <v>18.05</v>
      </c>
      <c r="E47" s="64">
        <v>1.78</v>
      </c>
      <c r="F47" s="64">
        <v>11.26</v>
      </c>
      <c r="G47" s="64">
        <v>57.41</v>
      </c>
      <c r="H47" s="64">
        <v>21.56</v>
      </c>
      <c r="I47" s="64">
        <v>0.69</v>
      </c>
      <c r="J47" s="64">
        <v>7.0000000000000007E-2</v>
      </c>
      <c r="K47" s="64">
        <v>342.81</v>
      </c>
      <c r="L47" s="64">
        <v>33.99</v>
      </c>
      <c r="M47" s="64">
        <v>39.159999999999997</v>
      </c>
      <c r="N47" s="64">
        <v>707.3</v>
      </c>
      <c r="O47" s="64">
        <v>0</v>
      </c>
      <c r="P47" s="64">
        <v>0.57999999999999996</v>
      </c>
      <c r="Q47" s="64">
        <v>25.95</v>
      </c>
      <c r="R47" s="198"/>
      <c r="S47" s="198"/>
      <c r="T47" s="198"/>
      <c r="U47" s="198"/>
    </row>
    <row r="48" spans="1:21" s="12" customFormat="1" x14ac:dyDescent="0.25">
      <c r="A48" s="211" t="s">
        <v>2304</v>
      </c>
      <c r="B48" s="64">
        <v>1</v>
      </c>
      <c r="C48" s="64">
        <v>33.479999999999997</v>
      </c>
      <c r="D48" s="64">
        <v>19.920000000000002</v>
      </c>
      <c r="E48" s="64">
        <v>2.21</v>
      </c>
      <c r="F48" s="64">
        <v>12.19</v>
      </c>
      <c r="G48" s="64">
        <v>52.92</v>
      </c>
      <c r="H48" s="64">
        <v>23.14</v>
      </c>
      <c r="I48" s="64">
        <v>0.53</v>
      </c>
      <c r="J48" s="64">
        <v>0.2</v>
      </c>
      <c r="K48" s="64">
        <v>29.21</v>
      </c>
      <c r="L48" s="64">
        <v>33.61</v>
      </c>
      <c r="M48" s="64">
        <v>39.340000000000003</v>
      </c>
      <c r="N48" s="64">
        <v>722.5</v>
      </c>
      <c r="O48" s="64">
        <v>0</v>
      </c>
      <c r="P48" s="64">
        <v>0.65</v>
      </c>
      <c r="Q48" s="64">
        <v>25.78</v>
      </c>
      <c r="R48" s="198"/>
      <c r="S48" s="198"/>
      <c r="T48" s="198"/>
      <c r="U48" s="198"/>
    </row>
    <row r="49" spans="1:21" s="12" customFormat="1" x14ac:dyDescent="0.25">
      <c r="A49" s="211" t="s">
        <v>2305</v>
      </c>
      <c r="B49" s="64">
        <v>1</v>
      </c>
      <c r="C49" s="64">
        <v>33.65</v>
      </c>
      <c r="D49" s="64">
        <v>20.02</v>
      </c>
      <c r="E49" s="64">
        <v>1.51</v>
      </c>
      <c r="F49" s="64">
        <v>12.62</v>
      </c>
      <c r="G49" s="64">
        <v>52.92</v>
      </c>
      <c r="H49" s="64">
        <v>23.14</v>
      </c>
      <c r="I49" s="64">
        <v>0.83</v>
      </c>
      <c r="J49" s="64">
        <v>0.1</v>
      </c>
      <c r="K49" s="64">
        <v>332.75</v>
      </c>
      <c r="L49" s="64">
        <v>34.659999999999997</v>
      </c>
      <c r="M49" s="64">
        <v>36.65</v>
      </c>
      <c r="N49" s="64">
        <v>685.3</v>
      </c>
      <c r="O49" s="64">
        <v>0</v>
      </c>
      <c r="P49" s="64">
        <v>0.74</v>
      </c>
      <c r="Q49" s="64">
        <v>25.74</v>
      </c>
      <c r="R49" s="198"/>
      <c r="S49" s="198"/>
      <c r="T49" s="198"/>
      <c r="U49" s="198"/>
    </row>
    <row r="50" spans="1:21" s="12" customFormat="1" x14ac:dyDescent="0.25">
      <c r="A50" s="211" t="s">
        <v>2306</v>
      </c>
      <c r="B50" s="64">
        <v>1.01</v>
      </c>
      <c r="C50" s="64">
        <v>36.840000000000003</v>
      </c>
      <c r="D50" s="64">
        <v>21.79</v>
      </c>
      <c r="E50" s="64">
        <v>1.65</v>
      </c>
      <c r="F50" s="64">
        <v>12.2</v>
      </c>
      <c r="G50" s="64">
        <v>52.92</v>
      </c>
      <c r="H50" s="64">
        <v>23.14</v>
      </c>
      <c r="I50" s="64">
        <v>0.5</v>
      </c>
      <c r="J50" s="64">
        <v>0.62</v>
      </c>
      <c r="K50" s="64">
        <v>260.20999999999998</v>
      </c>
      <c r="L50" s="64">
        <v>35.46</v>
      </c>
      <c r="M50" s="64">
        <v>34.450000000000003</v>
      </c>
      <c r="N50" s="64">
        <v>788.1</v>
      </c>
      <c r="O50" s="64">
        <v>0</v>
      </c>
      <c r="P50" s="64">
        <v>0.82</v>
      </c>
      <c r="Q50" s="64">
        <v>25.33</v>
      </c>
      <c r="R50" s="198"/>
      <c r="S50" s="198"/>
      <c r="T50" s="198"/>
      <c r="U50" s="198"/>
    </row>
    <row r="51" spans="1:21" s="12" customFormat="1" x14ac:dyDescent="0.25">
      <c r="A51" s="211" t="s">
        <v>2307</v>
      </c>
      <c r="B51" s="64">
        <v>1.01</v>
      </c>
      <c r="C51" s="64">
        <v>36.630000000000003</v>
      </c>
      <c r="D51" s="64">
        <v>21.67</v>
      </c>
      <c r="E51" s="64">
        <v>1.74</v>
      </c>
      <c r="F51" s="64">
        <v>11.81</v>
      </c>
      <c r="G51" s="64">
        <v>53.65</v>
      </c>
      <c r="H51" s="64">
        <v>23.25</v>
      </c>
      <c r="I51" s="64">
        <v>0.51</v>
      </c>
      <c r="J51" s="64">
        <v>0.71</v>
      </c>
      <c r="K51" s="64">
        <v>259.74</v>
      </c>
      <c r="L51" s="64">
        <v>36.26</v>
      </c>
      <c r="M51" s="64">
        <v>32.200000000000003</v>
      </c>
      <c r="N51" s="64">
        <v>847.9</v>
      </c>
      <c r="O51" s="64">
        <v>0</v>
      </c>
      <c r="P51" s="64">
        <v>0.82</v>
      </c>
      <c r="Q51" s="64">
        <v>25.86</v>
      </c>
      <c r="R51" s="198"/>
      <c r="S51" s="198"/>
      <c r="T51" s="198"/>
      <c r="U51" s="198"/>
    </row>
    <row r="52" spans="1:21" s="12" customFormat="1" x14ac:dyDescent="0.25">
      <c r="A52" s="211" t="s">
        <v>2308</v>
      </c>
      <c r="B52" s="64">
        <v>1</v>
      </c>
      <c r="C52" s="64">
        <v>35.92</v>
      </c>
      <c r="D52" s="64">
        <v>21.27</v>
      </c>
      <c r="E52" s="64">
        <v>1.97</v>
      </c>
      <c r="F52" s="64">
        <v>12.53</v>
      </c>
      <c r="G52" s="64">
        <v>59.5</v>
      </c>
      <c r="H52" s="64">
        <v>23.95</v>
      </c>
      <c r="I52" s="64">
        <v>0.5</v>
      </c>
      <c r="J52" s="64">
        <v>0.16</v>
      </c>
      <c r="K52" s="64">
        <v>292.27999999999997</v>
      </c>
      <c r="L52" s="64">
        <v>36.33</v>
      </c>
      <c r="M52" s="64">
        <v>32.22</v>
      </c>
      <c r="N52" s="64">
        <v>855.5</v>
      </c>
      <c r="O52" s="64">
        <v>0</v>
      </c>
      <c r="P52" s="64">
        <v>0.82</v>
      </c>
      <c r="Q52" s="64">
        <v>25.12</v>
      </c>
      <c r="R52" s="198"/>
      <c r="S52" s="198"/>
      <c r="T52" s="198"/>
      <c r="U52" s="198"/>
    </row>
    <row r="53" spans="1:21" s="12" customFormat="1" x14ac:dyDescent="0.25">
      <c r="A53" s="211" t="s">
        <v>2309</v>
      </c>
      <c r="B53" s="64">
        <v>1</v>
      </c>
      <c r="C53" s="64">
        <v>38.35</v>
      </c>
      <c r="D53" s="64">
        <v>22.62</v>
      </c>
      <c r="E53" s="64">
        <v>1.58</v>
      </c>
      <c r="F53" s="64">
        <v>13.34</v>
      </c>
      <c r="G53" s="64">
        <v>59.5</v>
      </c>
      <c r="H53" s="64">
        <v>23.95</v>
      </c>
      <c r="I53" s="64">
        <v>0.63</v>
      </c>
      <c r="J53" s="64">
        <v>0.11</v>
      </c>
      <c r="K53" s="64">
        <v>355.67</v>
      </c>
      <c r="L53" s="64">
        <v>35.85</v>
      </c>
      <c r="M53" s="64">
        <v>32.479999999999997</v>
      </c>
      <c r="N53" s="64">
        <v>863.6</v>
      </c>
      <c r="O53" s="64">
        <v>0</v>
      </c>
      <c r="P53" s="64">
        <v>0.8</v>
      </c>
      <c r="Q53" s="64">
        <v>25.35</v>
      </c>
      <c r="R53" s="198"/>
      <c r="S53" s="198"/>
      <c r="T53" s="198"/>
      <c r="U53" s="198"/>
    </row>
    <row r="54" spans="1:21" s="12" customFormat="1" x14ac:dyDescent="0.25">
      <c r="A54" s="211" t="s">
        <v>2310</v>
      </c>
      <c r="B54" s="64">
        <v>1</v>
      </c>
      <c r="C54" s="64">
        <v>36.590000000000003</v>
      </c>
      <c r="D54" s="64">
        <v>21.64</v>
      </c>
      <c r="E54" s="64">
        <v>1.57</v>
      </c>
      <c r="F54" s="64">
        <v>14.69</v>
      </c>
      <c r="G54" s="64">
        <v>59.5</v>
      </c>
      <c r="H54" s="64">
        <v>23.95</v>
      </c>
      <c r="I54" s="64">
        <v>0.52</v>
      </c>
      <c r="J54" s="64">
        <v>0.25</v>
      </c>
      <c r="K54" s="64">
        <v>278.17</v>
      </c>
      <c r="L54" s="64">
        <v>36.409999999999997</v>
      </c>
      <c r="M54" s="64">
        <v>30.51</v>
      </c>
      <c r="N54" s="64">
        <v>883</v>
      </c>
      <c r="O54" s="64">
        <v>0</v>
      </c>
      <c r="P54" s="64">
        <v>0.78</v>
      </c>
      <c r="Q54" s="64">
        <v>26.59</v>
      </c>
      <c r="R54" s="198"/>
      <c r="S54" s="198"/>
      <c r="T54" s="198"/>
      <c r="U54" s="198"/>
    </row>
    <row r="55" spans="1:21" s="12" customFormat="1" x14ac:dyDescent="0.25">
      <c r="A55" s="211" t="s">
        <v>2311</v>
      </c>
      <c r="B55" s="64">
        <v>1.94</v>
      </c>
      <c r="C55" s="64">
        <v>36.15</v>
      </c>
      <c r="D55" s="64">
        <v>22.15</v>
      </c>
      <c r="E55" s="64">
        <v>2.3199999999999998</v>
      </c>
      <c r="F55" s="64">
        <v>13.82</v>
      </c>
      <c r="G55" s="64">
        <v>56.83</v>
      </c>
      <c r="H55" s="64">
        <v>23.67</v>
      </c>
      <c r="I55" s="64">
        <v>0.54</v>
      </c>
      <c r="J55" s="64">
        <v>0.54</v>
      </c>
      <c r="K55" s="64">
        <v>259.48</v>
      </c>
      <c r="L55" s="64">
        <v>37.9</v>
      </c>
      <c r="M55" s="64">
        <v>26.43</v>
      </c>
      <c r="N55" s="64">
        <v>893</v>
      </c>
      <c r="O55" s="64">
        <v>0</v>
      </c>
      <c r="P55" s="64">
        <v>0.76</v>
      </c>
      <c r="Q55" s="64">
        <v>26.62</v>
      </c>
      <c r="R55" s="198"/>
      <c r="S55" s="198"/>
      <c r="T55" s="198"/>
      <c r="U55" s="198"/>
    </row>
    <row r="56" spans="1:21" s="12" customFormat="1" x14ac:dyDescent="0.25">
      <c r="A56" s="211" t="s">
        <v>2312</v>
      </c>
      <c r="B56" s="64">
        <v>1.63</v>
      </c>
      <c r="C56" s="64">
        <v>38.880000000000003</v>
      </c>
      <c r="D56" s="64">
        <v>23.41</v>
      </c>
      <c r="E56" s="64">
        <v>0.96</v>
      </c>
      <c r="F56" s="64">
        <v>13.14</v>
      </c>
      <c r="G56" s="64">
        <v>35.44</v>
      </c>
      <c r="H56" s="64">
        <v>21.86</v>
      </c>
      <c r="I56" s="64">
        <v>0.59</v>
      </c>
      <c r="J56" s="64">
        <v>0.2</v>
      </c>
      <c r="K56" s="64">
        <v>300.25</v>
      </c>
      <c r="L56" s="64">
        <v>36.89</v>
      </c>
      <c r="M56" s="64">
        <v>26.51</v>
      </c>
      <c r="N56" s="64">
        <v>904.6</v>
      </c>
      <c r="O56" s="64">
        <v>0</v>
      </c>
      <c r="P56" s="64">
        <v>0.72</v>
      </c>
      <c r="Q56" s="64">
        <v>26.04</v>
      </c>
      <c r="R56" s="198"/>
      <c r="S56" s="198"/>
      <c r="T56" s="198"/>
      <c r="U56" s="198"/>
    </row>
    <row r="57" spans="1:21" s="12" customFormat="1" x14ac:dyDescent="0.25">
      <c r="A57" s="211" t="s">
        <v>2313</v>
      </c>
      <c r="B57" s="64">
        <v>1.99</v>
      </c>
      <c r="C57" s="64">
        <v>41.21</v>
      </c>
      <c r="D57" s="64">
        <v>24.99</v>
      </c>
      <c r="E57" s="64">
        <v>1.74</v>
      </c>
      <c r="F57" s="64">
        <v>13.5</v>
      </c>
      <c r="G57" s="64">
        <v>35.44</v>
      </c>
      <c r="H57" s="64">
        <v>21.86</v>
      </c>
      <c r="I57" s="64">
        <v>0.53</v>
      </c>
      <c r="J57" s="64">
        <v>0.19</v>
      </c>
      <c r="K57" s="64">
        <v>263.27</v>
      </c>
      <c r="L57" s="64">
        <v>37.25</v>
      </c>
      <c r="M57" s="64">
        <v>24.45</v>
      </c>
      <c r="N57" s="64">
        <v>891.8</v>
      </c>
      <c r="O57" s="64">
        <v>0</v>
      </c>
      <c r="P57" s="64">
        <v>0.7</v>
      </c>
      <c r="Q57" s="64">
        <v>26.29</v>
      </c>
      <c r="R57" s="198"/>
      <c r="S57" s="198"/>
      <c r="T57" s="198"/>
      <c r="U57" s="198"/>
    </row>
    <row r="58" spans="1:21" s="12" customFormat="1" x14ac:dyDescent="0.25">
      <c r="A58" s="211" t="s">
        <v>2314</v>
      </c>
      <c r="B58" s="64">
        <v>1.46</v>
      </c>
      <c r="C58" s="64">
        <v>39.49</v>
      </c>
      <c r="D58" s="64">
        <v>23.61</v>
      </c>
      <c r="E58" s="64">
        <v>1.43</v>
      </c>
      <c r="F58" s="64">
        <v>11.98</v>
      </c>
      <c r="G58" s="64">
        <v>35.44</v>
      </c>
      <c r="H58" s="64">
        <v>21.86</v>
      </c>
      <c r="I58" s="64">
        <v>0.56999999999999995</v>
      </c>
      <c r="J58" s="64">
        <v>0.56000000000000005</v>
      </c>
      <c r="K58" s="64">
        <v>259.72000000000003</v>
      </c>
      <c r="L58" s="64">
        <v>38.119999999999997</v>
      </c>
      <c r="M58" s="64">
        <v>25.06</v>
      </c>
      <c r="N58" s="64">
        <v>874.5</v>
      </c>
      <c r="O58" s="64">
        <v>0</v>
      </c>
      <c r="P58" s="64">
        <v>0.68</v>
      </c>
      <c r="Q58" s="64">
        <v>25.82</v>
      </c>
      <c r="R58" s="198"/>
      <c r="S58" s="198"/>
      <c r="T58" s="198"/>
      <c r="U58" s="198"/>
    </row>
    <row r="59" spans="1:21" s="12" customFormat="1" x14ac:dyDescent="0.25">
      <c r="A59" s="211" t="s">
        <v>2315</v>
      </c>
      <c r="B59" s="64">
        <v>1.2</v>
      </c>
      <c r="C59" s="64">
        <v>38.92</v>
      </c>
      <c r="D59" s="64">
        <v>23.09</v>
      </c>
      <c r="E59" s="64">
        <v>1.92</v>
      </c>
      <c r="F59" s="64">
        <v>13.04</v>
      </c>
      <c r="G59" s="64">
        <v>36.44</v>
      </c>
      <c r="H59" s="64">
        <v>21.96</v>
      </c>
      <c r="I59" s="64">
        <v>0.55000000000000004</v>
      </c>
      <c r="J59" s="64">
        <v>0.35</v>
      </c>
      <c r="K59" s="64">
        <v>267.70999999999998</v>
      </c>
      <c r="L59" s="64">
        <v>38.979999999999997</v>
      </c>
      <c r="M59" s="64">
        <v>23.7</v>
      </c>
      <c r="N59" s="64">
        <v>870.7</v>
      </c>
      <c r="O59" s="64">
        <v>0</v>
      </c>
      <c r="P59" s="64">
        <v>0.66</v>
      </c>
      <c r="Q59" s="64">
        <v>25.53</v>
      </c>
      <c r="R59" s="198"/>
      <c r="S59" s="198"/>
      <c r="T59" s="198"/>
      <c r="U59" s="198"/>
    </row>
    <row r="60" spans="1:21" s="12" customFormat="1" x14ac:dyDescent="0.25">
      <c r="A60" s="211" t="s">
        <v>2316</v>
      </c>
      <c r="B60" s="64">
        <v>1.01</v>
      </c>
      <c r="C60" s="64">
        <v>38.729999999999997</v>
      </c>
      <c r="D60" s="64">
        <v>22.83</v>
      </c>
      <c r="E60" s="64">
        <v>1.82</v>
      </c>
      <c r="F60" s="64">
        <v>13.97</v>
      </c>
      <c r="G60" s="64">
        <v>44.47</v>
      </c>
      <c r="H60" s="64">
        <v>22.59</v>
      </c>
      <c r="I60" s="64">
        <v>0.63</v>
      </c>
      <c r="J60" s="64">
        <v>0.38</v>
      </c>
      <c r="K60" s="64">
        <v>260.92</v>
      </c>
      <c r="L60" s="64">
        <v>38.67</v>
      </c>
      <c r="M60" s="64">
        <v>23.15</v>
      </c>
      <c r="N60" s="64">
        <v>853.7</v>
      </c>
      <c r="O60" s="64">
        <v>0</v>
      </c>
      <c r="P60" s="64">
        <v>0.64</v>
      </c>
      <c r="Q60" s="64">
        <v>25.42</v>
      </c>
      <c r="R60" s="198"/>
      <c r="S60" s="198"/>
      <c r="T60" s="198"/>
      <c r="U60" s="198"/>
    </row>
    <row r="61" spans="1:21" s="12" customFormat="1" x14ac:dyDescent="0.25">
      <c r="A61" s="211" t="s">
        <v>2317</v>
      </c>
      <c r="B61" s="64">
        <v>1</v>
      </c>
      <c r="C61" s="64">
        <v>38.54</v>
      </c>
      <c r="D61" s="64">
        <v>22.72</v>
      </c>
      <c r="E61" s="64">
        <v>1.92</v>
      </c>
      <c r="F61" s="64">
        <v>14.22</v>
      </c>
      <c r="G61" s="64">
        <v>44.47</v>
      </c>
      <c r="H61" s="64">
        <v>22.59</v>
      </c>
      <c r="I61" s="64">
        <v>0.54</v>
      </c>
      <c r="J61" s="64">
        <v>0.31</v>
      </c>
      <c r="K61" s="64">
        <v>265.25</v>
      </c>
      <c r="L61" s="64">
        <v>38.06</v>
      </c>
      <c r="M61" s="64">
        <v>22.19</v>
      </c>
      <c r="N61" s="64">
        <v>833.2</v>
      </c>
      <c r="O61" s="64">
        <v>0</v>
      </c>
      <c r="P61" s="64">
        <v>0.51</v>
      </c>
      <c r="Q61" s="64">
        <v>25.3</v>
      </c>
      <c r="R61" s="198"/>
      <c r="S61" s="198"/>
      <c r="T61" s="198"/>
      <c r="U61" s="198"/>
    </row>
    <row r="62" spans="1:21" s="12" customFormat="1" x14ac:dyDescent="0.25">
      <c r="A62" s="211" t="s">
        <v>2318</v>
      </c>
      <c r="B62" s="64">
        <v>1</v>
      </c>
      <c r="C62" s="64">
        <v>37.76</v>
      </c>
      <c r="D62" s="64">
        <v>22.29</v>
      </c>
      <c r="E62" s="64">
        <v>1.44</v>
      </c>
      <c r="F62" s="64">
        <v>13.96</v>
      </c>
      <c r="G62" s="64">
        <v>44.47</v>
      </c>
      <c r="H62" s="64">
        <v>22.59</v>
      </c>
      <c r="I62" s="64">
        <v>0.51</v>
      </c>
      <c r="J62" s="64">
        <v>1.05</v>
      </c>
      <c r="K62" s="64">
        <v>257.32</v>
      </c>
      <c r="L62" s="64">
        <v>38.54</v>
      </c>
      <c r="M62" s="64">
        <v>19.45</v>
      </c>
      <c r="N62" s="64">
        <v>819.6</v>
      </c>
      <c r="O62" s="64">
        <v>0</v>
      </c>
      <c r="P62" s="64">
        <v>0.52</v>
      </c>
      <c r="Q62" s="64">
        <v>25.2</v>
      </c>
      <c r="R62" s="198"/>
      <c r="S62" s="198"/>
      <c r="T62" s="198"/>
      <c r="U62" s="198"/>
    </row>
    <row r="63" spans="1:21" s="12" customFormat="1" x14ac:dyDescent="0.25">
      <c r="A63" s="211" t="s">
        <v>2319</v>
      </c>
      <c r="B63" s="64">
        <v>1.05</v>
      </c>
      <c r="C63" s="64">
        <v>37.799999999999997</v>
      </c>
      <c r="D63" s="64">
        <v>22.35</v>
      </c>
      <c r="E63" s="64">
        <v>1.86</v>
      </c>
      <c r="F63" s="64">
        <v>13.1</v>
      </c>
      <c r="G63" s="64">
        <v>43.63</v>
      </c>
      <c r="H63" s="64">
        <v>22.8</v>
      </c>
      <c r="I63" s="64">
        <v>0.51</v>
      </c>
      <c r="J63" s="64">
        <v>0.47</v>
      </c>
      <c r="K63" s="64">
        <v>256.67</v>
      </c>
      <c r="L63" s="64">
        <v>39.6</v>
      </c>
      <c r="M63" s="64">
        <v>17.91</v>
      </c>
      <c r="N63" s="64">
        <v>777.2</v>
      </c>
      <c r="O63" s="64">
        <v>0</v>
      </c>
      <c r="P63" s="64">
        <v>0.5</v>
      </c>
      <c r="Q63" s="64">
        <v>25.15</v>
      </c>
      <c r="R63" s="198"/>
      <c r="S63" s="198"/>
      <c r="T63" s="198"/>
      <c r="U63" s="198"/>
    </row>
    <row r="64" spans="1:21" s="12" customFormat="1" x14ac:dyDescent="0.25">
      <c r="A64" s="211" t="s">
        <v>2320</v>
      </c>
      <c r="B64" s="64">
        <v>1</v>
      </c>
      <c r="C64" s="64">
        <v>37.28</v>
      </c>
      <c r="D64" s="64">
        <v>22.02</v>
      </c>
      <c r="E64" s="64">
        <v>1.49</v>
      </c>
      <c r="F64" s="64">
        <v>13.16</v>
      </c>
      <c r="G64" s="64">
        <v>36.93</v>
      </c>
      <c r="H64" s="64">
        <v>24.13</v>
      </c>
      <c r="I64" s="64">
        <v>0.56999999999999995</v>
      </c>
      <c r="J64" s="64">
        <v>0.31</v>
      </c>
      <c r="K64" s="64">
        <v>268.07</v>
      </c>
      <c r="L64" s="64">
        <v>38.799999999999997</v>
      </c>
      <c r="M64" s="64">
        <v>18.59</v>
      </c>
      <c r="N64" s="64">
        <v>741.6</v>
      </c>
      <c r="O64" s="64">
        <v>0</v>
      </c>
      <c r="P64" s="64">
        <v>0.48</v>
      </c>
      <c r="Q64" s="64">
        <v>25.12</v>
      </c>
      <c r="R64" s="198"/>
      <c r="S64" s="198"/>
      <c r="T64" s="198"/>
      <c r="U64" s="198"/>
    </row>
    <row r="65" spans="1:21" s="12" customFormat="1" x14ac:dyDescent="0.25">
      <c r="A65" s="211" t="s">
        <v>2321</v>
      </c>
      <c r="B65" s="64">
        <v>1.02</v>
      </c>
      <c r="C65" s="64">
        <v>35.75</v>
      </c>
      <c r="D65" s="64">
        <v>21.19</v>
      </c>
      <c r="E65" s="64">
        <v>1.73</v>
      </c>
      <c r="F65" s="64">
        <v>15.06</v>
      </c>
      <c r="G65" s="64">
        <v>36.93</v>
      </c>
      <c r="H65" s="64">
        <v>24.13</v>
      </c>
      <c r="I65" s="64">
        <v>0.52</v>
      </c>
      <c r="J65" s="64">
        <v>0.78</v>
      </c>
      <c r="K65" s="64">
        <v>260.20999999999998</v>
      </c>
      <c r="L65" s="64">
        <v>39.17</v>
      </c>
      <c r="M65" s="64">
        <v>18.2</v>
      </c>
      <c r="N65" s="64">
        <v>709.2</v>
      </c>
      <c r="O65" s="64">
        <v>0</v>
      </c>
      <c r="P65" s="64">
        <v>0.47</v>
      </c>
      <c r="Q65" s="64">
        <v>25.17</v>
      </c>
      <c r="R65" s="198"/>
      <c r="S65" s="198"/>
      <c r="T65" s="198"/>
      <c r="U65" s="198"/>
    </row>
    <row r="66" spans="1:21" s="12" customFormat="1" x14ac:dyDescent="0.25">
      <c r="A66" s="211" t="s">
        <v>2322</v>
      </c>
      <c r="B66" s="64">
        <v>1.18</v>
      </c>
      <c r="C66" s="64">
        <v>34.18</v>
      </c>
      <c r="D66" s="64">
        <v>20.45</v>
      </c>
      <c r="E66" s="64">
        <v>1.74</v>
      </c>
      <c r="F66" s="64">
        <v>10.66</v>
      </c>
      <c r="G66" s="64">
        <v>36.93</v>
      </c>
      <c r="H66" s="64">
        <v>24.13</v>
      </c>
      <c r="I66" s="64">
        <v>0.56999999999999995</v>
      </c>
      <c r="J66" s="64">
        <v>1.25</v>
      </c>
      <c r="K66" s="64">
        <v>257.27999999999997</v>
      </c>
      <c r="L66" s="64">
        <v>38.76</v>
      </c>
      <c r="M66" s="64">
        <v>18.7</v>
      </c>
      <c r="N66" s="64">
        <v>648.5</v>
      </c>
      <c r="O66" s="64">
        <v>0</v>
      </c>
      <c r="P66" s="64">
        <v>0.45</v>
      </c>
      <c r="Q66" s="64">
        <v>25.49</v>
      </c>
      <c r="R66" s="198"/>
      <c r="S66" s="198"/>
      <c r="T66" s="198"/>
      <c r="U66" s="198"/>
    </row>
    <row r="67" spans="1:21" s="12" customFormat="1" x14ac:dyDescent="0.25">
      <c r="A67" s="211" t="s">
        <v>2323</v>
      </c>
      <c r="B67" s="64">
        <v>1.62</v>
      </c>
      <c r="C67" s="64">
        <v>34.729999999999997</v>
      </c>
      <c r="D67" s="64">
        <v>21.11</v>
      </c>
      <c r="E67" s="64">
        <v>1.02</v>
      </c>
      <c r="F67" s="64">
        <v>12.36</v>
      </c>
      <c r="G67" s="64">
        <v>36.5</v>
      </c>
      <c r="H67" s="64">
        <v>24.16</v>
      </c>
      <c r="I67" s="64">
        <v>0.52</v>
      </c>
      <c r="J67" s="64">
        <v>0.31</v>
      </c>
      <c r="K67" s="64">
        <v>274.74</v>
      </c>
      <c r="L67" s="64">
        <v>37.92</v>
      </c>
      <c r="M67" s="64">
        <v>18.760000000000002</v>
      </c>
      <c r="N67" s="64">
        <v>620.29999999999995</v>
      </c>
      <c r="O67" s="64">
        <v>0</v>
      </c>
      <c r="P67" s="64">
        <v>0.44</v>
      </c>
      <c r="Q67" s="64">
        <v>24.96</v>
      </c>
      <c r="R67" s="198"/>
      <c r="S67" s="198"/>
      <c r="T67" s="198"/>
      <c r="U67" s="198"/>
    </row>
    <row r="68" spans="1:21" s="12" customFormat="1" x14ac:dyDescent="0.25">
      <c r="A68" s="211" t="s">
        <v>2324</v>
      </c>
      <c r="B68" s="64">
        <v>1.1200000000000001</v>
      </c>
      <c r="C68" s="64">
        <v>32.979999999999997</v>
      </c>
      <c r="D68" s="64">
        <v>19.75</v>
      </c>
      <c r="E68" s="64">
        <v>1.58</v>
      </c>
      <c r="F68" s="64">
        <v>12.9</v>
      </c>
      <c r="G68" s="64">
        <v>33.090000000000003</v>
      </c>
      <c r="H68" s="64">
        <v>24.33</v>
      </c>
      <c r="I68" s="64">
        <v>0.56000000000000005</v>
      </c>
      <c r="J68" s="64">
        <v>0.4</v>
      </c>
      <c r="K68" s="64">
        <v>266.62</v>
      </c>
      <c r="L68" s="64">
        <v>37.19</v>
      </c>
      <c r="M68" s="64">
        <v>19.88</v>
      </c>
      <c r="N68" s="64">
        <v>363.3</v>
      </c>
      <c r="O68" s="64">
        <v>0</v>
      </c>
      <c r="P68" s="64">
        <v>0.42</v>
      </c>
      <c r="Q68" s="64">
        <v>24.55</v>
      </c>
      <c r="R68" s="198"/>
      <c r="S68" s="198"/>
      <c r="T68" s="198"/>
      <c r="U68" s="198"/>
    </row>
    <row r="69" spans="1:21" s="12" customFormat="1" x14ac:dyDescent="0.25">
      <c r="A69" s="211" t="s">
        <v>2325</v>
      </c>
      <c r="B69" s="64">
        <v>1.1000000000000001</v>
      </c>
      <c r="C69" s="64">
        <v>32.049999999999997</v>
      </c>
      <c r="D69" s="64">
        <v>19.22</v>
      </c>
      <c r="E69" s="64">
        <v>1.0900000000000001</v>
      </c>
      <c r="F69" s="64">
        <v>13.91</v>
      </c>
      <c r="G69" s="64">
        <v>33.090000000000003</v>
      </c>
      <c r="H69" s="64">
        <v>24.33</v>
      </c>
      <c r="I69" s="64">
        <v>0.69</v>
      </c>
      <c r="J69" s="64">
        <v>0.21</v>
      </c>
      <c r="K69" s="64">
        <v>277.52999999999997</v>
      </c>
      <c r="L69" s="64">
        <v>37.479999999999997</v>
      </c>
      <c r="M69" s="64">
        <v>20.18</v>
      </c>
      <c r="N69" s="64">
        <v>172.3</v>
      </c>
      <c r="O69" s="64">
        <v>0</v>
      </c>
      <c r="P69" s="64">
        <v>0.4</v>
      </c>
      <c r="Q69" s="64">
        <v>24.39</v>
      </c>
      <c r="R69" s="198"/>
      <c r="S69" s="198"/>
      <c r="T69" s="198"/>
      <c r="U69" s="198"/>
    </row>
    <row r="70" spans="1:21" s="12" customFormat="1" x14ac:dyDescent="0.25">
      <c r="A70" s="211" t="s">
        <v>2326</v>
      </c>
      <c r="B70" s="64">
        <v>1.03</v>
      </c>
      <c r="C70" s="64">
        <v>31.73</v>
      </c>
      <c r="D70" s="64">
        <v>18.98</v>
      </c>
      <c r="E70" s="64">
        <v>1.06</v>
      </c>
      <c r="F70" s="64">
        <v>11.15</v>
      </c>
      <c r="G70" s="64">
        <v>33.090000000000003</v>
      </c>
      <c r="H70" s="64">
        <v>24.33</v>
      </c>
      <c r="I70" s="64">
        <v>0.7</v>
      </c>
      <c r="J70" s="64">
        <v>0.68</v>
      </c>
      <c r="K70" s="64">
        <v>260.37</v>
      </c>
      <c r="L70" s="64">
        <v>37.35</v>
      </c>
      <c r="M70" s="64">
        <v>19.45</v>
      </c>
      <c r="N70" s="64">
        <v>260.2</v>
      </c>
      <c r="O70" s="64">
        <v>0</v>
      </c>
      <c r="P70" s="64">
        <v>0.4</v>
      </c>
      <c r="Q70" s="64">
        <v>23.93</v>
      </c>
      <c r="R70" s="198"/>
      <c r="S70" s="198"/>
      <c r="T70" s="198"/>
      <c r="U70" s="198"/>
    </row>
    <row r="71" spans="1:21" s="12" customFormat="1" x14ac:dyDescent="0.25">
      <c r="A71" s="211" t="s">
        <v>2327</v>
      </c>
      <c r="B71" s="64">
        <v>1</v>
      </c>
      <c r="C71" s="64">
        <v>31.72</v>
      </c>
      <c r="D71" s="64">
        <v>18.95</v>
      </c>
      <c r="E71" s="64">
        <v>0.84</v>
      </c>
      <c r="F71" s="64">
        <v>12.13</v>
      </c>
      <c r="G71" s="64">
        <v>32.26</v>
      </c>
      <c r="H71" s="64">
        <v>23.8</v>
      </c>
      <c r="I71" s="64">
        <v>0.66</v>
      </c>
      <c r="J71" s="64">
        <v>0.41</v>
      </c>
      <c r="K71" s="64">
        <v>261.72000000000003</v>
      </c>
      <c r="L71" s="64">
        <v>36.869999999999997</v>
      </c>
      <c r="M71" s="64">
        <v>19.27</v>
      </c>
      <c r="N71" s="64">
        <v>282.60000000000002</v>
      </c>
      <c r="O71" s="64">
        <v>0</v>
      </c>
      <c r="P71" s="64">
        <v>0.38</v>
      </c>
      <c r="Q71" s="64">
        <v>23.73</v>
      </c>
      <c r="R71" s="198"/>
      <c r="S71" s="198"/>
      <c r="T71" s="198"/>
      <c r="U71" s="198"/>
    </row>
    <row r="72" spans="1:21" s="12" customFormat="1" x14ac:dyDescent="0.25">
      <c r="A72" s="211" t="s">
        <v>2328</v>
      </c>
      <c r="B72" s="64">
        <v>1</v>
      </c>
      <c r="C72" s="64">
        <v>31.39</v>
      </c>
      <c r="D72" s="64">
        <v>18.77</v>
      </c>
      <c r="E72" s="64">
        <v>0.49</v>
      </c>
      <c r="F72" s="64">
        <v>12.94</v>
      </c>
      <c r="G72" s="64">
        <v>24.76</v>
      </c>
      <c r="H72" s="64">
        <v>20.399999999999999</v>
      </c>
      <c r="I72" s="64">
        <v>0.53</v>
      </c>
      <c r="J72" s="64">
        <v>0.51</v>
      </c>
      <c r="K72" s="64">
        <v>262.02999999999997</v>
      </c>
      <c r="L72" s="64">
        <v>36.71</v>
      </c>
      <c r="M72" s="64">
        <v>19.29</v>
      </c>
      <c r="N72" s="64">
        <v>153.30000000000001</v>
      </c>
      <c r="O72" s="64">
        <v>0</v>
      </c>
      <c r="P72" s="64">
        <v>0.38</v>
      </c>
      <c r="Q72" s="64">
        <v>23.48</v>
      </c>
      <c r="R72" s="198"/>
      <c r="S72" s="198"/>
      <c r="T72" s="198"/>
      <c r="U72" s="198"/>
    </row>
    <row r="73" spans="1:21" s="12" customFormat="1" x14ac:dyDescent="0.25">
      <c r="A73" s="211" t="s">
        <v>2329</v>
      </c>
      <c r="B73" s="64">
        <v>1</v>
      </c>
      <c r="C73" s="64">
        <v>30.68</v>
      </c>
      <c r="D73" s="64">
        <v>18.38</v>
      </c>
      <c r="E73" s="64">
        <v>1.21</v>
      </c>
      <c r="F73" s="64">
        <v>15.09</v>
      </c>
      <c r="G73" s="64">
        <v>24.76</v>
      </c>
      <c r="H73" s="64">
        <v>20.399999999999999</v>
      </c>
      <c r="I73" s="64">
        <v>0.52</v>
      </c>
      <c r="J73" s="64">
        <v>0.32</v>
      </c>
      <c r="K73" s="64">
        <v>264.87</v>
      </c>
      <c r="L73" s="64">
        <v>36.46</v>
      </c>
      <c r="M73" s="64">
        <v>19.37</v>
      </c>
      <c r="N73" s="64">
        <v>92.2</v>
      </c>
      <c r="O73" s="64">
        <v>0</v>
      </c>
      <c r="P73" s="64">
        <v>0.38</v>
      </c>
      <c r="Q73" s="64">
        <v>23.22</v>
      </c>
      <c r="R73" s="198"/>
      <c r="S73" s="198"/>
      <c r="T73" s="198"/>
      <c r="U73" s="198"/>
    </row>
    <row r="74" spans="1:21" s="12" customFormat="1" x14ac:dyDescent="0.25">
      <c r="A74" s="211" t="s">
        <v>2330</v>
      </c>
      <c r="B74" s="64">
        <v>1.01</v>
      </c>
      <c r="C74" s="64">
        <v>31.37</v>
      </c>
      <c r="D74" s="64">
        <v>18.77</v>
      </c>
      <c r="E74" s="64">
        <v>0.87</v>
      </c>
      <c r="F74" s="64">
        <v>14.13</v>
      </c>
      <c r="G74" s="64">
        <v>24.76</v>
      </c>
      <c r="H74" s="64">
        <v>20.399999999999999</v>
      </c>
      <c r="I74" s="64">
        <v>0.65</v>
      </c>
      <c r="J74" s="64">
        <v>0.2</v>
      </c>
      <c r="K74" s="64">
        <v>267.52999999999997</v>
      </c>
      <c r="L74" s="64">
        <v>36.4</v>
      </c>
      <c r="M74" s="64">
        <v>19.09</v>
      </c>
      <c r="N74" s="64">
        <v>83.4</v>
      </c>
      <c r="O74" s="64">
        <v>0</v>
      </c>
      <c r="P74" s="64">
        <v>0.38</v>
      </c>
      <c r="Q74" s="64">
        <v>23.17</v>
      </c>
      <c r="R74" s="198"/>
      <c r="S74" s="198"/>
      <c r="T74" s="198"/>
      <c r="U74" s="198"/>
    </row>
    <row r="75" spans="1:21" s="12" customFormat="1" x14ac:dyDescent="0.25">
      <c r="A75" s="211" t="s">
        <v>2331</v>
      </c>
      <c r="B75" s="64">
        <v>1.01</v>
      </c>
      <c r="C75" s="64">
        <v>32.44</v>
      </c>
      <c r="D75" s="64">
        <v>19.36</v>
      </c>
      <c r="E75" s="64">
        <v>1.02</v>
      </c>
      <c r="F75" s="64">
        <v>12.21</v>
      </c>
      <c r="G75" s="64">
        <v>25.27</v>
      </c>
      <c r="H75" s="64">
        <v>20.38</v>
      </c>
      <c r="I75" s="64">
        <v>0.75</v>
      </c>
      <c r="J75" s="64">
        <v>0.16</v>
      </c>
      <c r="K75" s="64">
        <v>272.37</v>
      </c>
      <c r="L75" s="64">
        <v>36.25</v>
      </c>
      <c r="M75" s="64">
        <v>19.760000000000002</v>
      </c>
      <c r="N75" s="64">
        <v>75.5</v>
      </c>
      <c r="O75" s="64">
        <v>0</v>
      </c>
      <c r="P75" s="64">
        <v>0.38</v>
      </c>
      <c r="Q75" s="64">
        <v>23.03</v>
      </c>
      <c r="R75" s="198"/>
      <c r="S75" s="198"/>
      <c r="T75" s="198"/>
      <c r="U75" s="198"/>
    </row>
    <row r="76" spans="1:21" s="12" customFormat="1" x14ac:dyDescent="0.25">
      <c r="A76" s="211" t="s">
        <v>2332</v>
      </c>
      <c r="B76" s="64">
        <v>1</v>
      </c>
      <c r="C76" s="64">
        <v>32.71</v>
      </c>
      <c r="D76" s="64">
        <v>19.5</v>
      </c>
      <c r="E76" s="64">
        <v>0.78</v>
      </c>
      <c r="F76" s="64">
        <v>13.02</v>
      </c>
      <c r="G76" s="64">
        <v>29.31</v>
      </c>
      <c r="H76" s="64">
        <v>20.2</v>
      </c>
      <c r="I76" s="64">
        <v>0.55000000000000004</v>
      </c>
      <c r="J76" s="64">
        <v>0.15</v>
      </c>
      <c r="K76" s="64">
        <v>281.18</v>
      </c>
      <c r="L76" s="64">
        <v>36.020000000000003</v>
      </c>
      <c r="M76" s="64">
        <v>20.29</v>
      </c>
      <c r="N76" s="64">
        <v>68.099999999999994</v>
      </c>
      <c r="O76" s="64">
        <v>0</v>
      </c>
      <c r="P76" s="64">
        <v>0.37</v>
      </c>
      <c r="Q76" s="64">
        <v>22.82</v>
      </c>
      <c r="R76" s="198"/>
      <c r="S76" s="198"/>
      <c r="T76" s="198"/>
      <c r="U76" s="198"/>
    </row>
    <row r="77" spans="1:21" s="12" customFormat="1" x14ac:dyDescent="0.25">
      <c r="A77" s="211" t="s">
        <v>2333</v>
      </c>
      <c r="B77" s="64">
        <v>1.1100000000000001</v>
      </c>
      <c r="C77" s="64">
        <v>33.57</v>
      </c>
      <c r="D77" s="64">
        <v>20.059999999999999</v>
      </c>
      <c r="E77" s="64">
        <v>1.0900000000000001</v>
      </c>
      <c r="F77" s="64">
        <v>18.8</v>
      </c>
      <c r="G77" s="64">
        <v>29.31</v>
      </c>
      <c r="H77" s="64">
        <v>20.2</v>
      </c>
      <c r="I77" s="64">
        <v>0.62</v>
      </c>
      <c r="J77" s="64">
        <v>0.31</v>
      </c>
      <c r="K77" s="64">
        <v>265.64</v>
      </c>
      <c r="L77" s="64">
        <v>35.89</v>
      </c>
      <c r="M77" s="64">
        <v>20.82</v>
      </c>
      <c r="N77" s="64">
        <v>60.7</v>
      </c>
      <c r="O77" s="64">
        <v>0</v>
      </c>
      <c r="P77" s="64">
        <v>0.4</v>
      </c>
      <c r="Q77" s="64">
        <v>23.56</v>
      </c>
      <c r="R77" s="198"/>
      <c r="S77" s="198"/>
      <c r="T77" s="198"/>
      <c r="U77" s="198"/>
    </row>
    <row r="78" spans="1:21" s="12" customFormat="1" x14ac:dyDescent="0.25">
      <c r="A78" s="211" t="s">
        <v>2334</v>
      </c>
      <c r="B78" s="64">
        <v>2.75</v>
      </c>
      <c r="C78" s="64">
        <v>35.35</v>
      </c>
      <c r="D78" s="64">
        <v>22.36</v>
      </c>
      <c r="E78" s="64">
        <v>3.61</v>
      </c>
      <c r="F78" s="64">
        <v>37.9</v>
      </c>
      <c r="G78" s="64">
        <v>29.31</v>
      </c>
      <c r="H78" s="64">
        <v>20.2</v>
      </c>
      <c r="I78" s="64">
        <v>0.65</v>
      </c>
      <c r="J78" s="64">
        <v>0.11</v>
      </c>
      <c r="K78" s="64">
        <v>272.54000000000002</v>
      </c>
      <c r="L78" s="64">
        <v>35.72</v>
      </c>
      <c r="M78" s="64">
        <v>21.1</v>
      </c>
      <c r="N78" s="64">
        <v>51.8</v>
      </c>
      <c r="O78" s="64">
        <v>0</v>
      </c>
      <c r="P78" s="64">
        <v>0.45</v>
      </c>
      <c r="Q78" s="64">
        <v>23.65</v>
      </c>
      <c r="R78" s="198"/>
      <c r="S78" s="198"/>
      <c r="T78" s="198"/>
      <c r="U78" s="198"/>
    </row>
    <row r="79" spans="1:21" s="12" customFormat="1" x14ac:dyDescent="0.25">
      <c r="A79" s="211" t="s">
        <v>2335</v>
      </c>
      <c r="B79" s="64">
        <v>2.78</v>
      </c>
      <c r="C79" s="64">
        <v>46.76</v>
      </c>
      <c r="D79" s="64">
        <v>28.68</v>
      </c>
      <c r="E79" s="64">
        <v>4.3600000000000003</v>
      </c>
      <c r="F79" s="64">
        <v>28.38</v>
      </c>
      <c r="G79" s="64">
        <v>29.22</v>
      </c>
      <c r="H79" s="64">
        <v>20.3</v>
      </c>
      <c r="I79" s="64">
        <v>0.48</v>
      </c>
      <c r="J79" s="64">
        <v>0.04</v>
      </c>
      <c r="K79" s="64">
        <v>36.49</v>
      </c>
      <c r="L79" s="64">
        <v>35.409999999999997</v>
      </c>
      <c r="M79" s="64">
        <v>21.17</v>
      </c>
      <c r="N79" s="64">
        <v>41.8</v>
      </c>
      <c r="O79" s="64">
        <v>0</v>
      </c>
      <c r="P79" s="64">
        <v>0.56999999999999995</v>
      </c>
      <c r="Q79" s="64">
        <v>22.78</v>
      </c>
      <c r="R79" s="198"/>
      <c r="S79" s="198"/>
      <c r="T79" s="198"/>
      <c r="U79" s="198"/>
    </row>
    <row r="80" spans="1:21" s="12" customFormat="1" x14ac:dyDescent="0.25">
      <c r="A80" s="211" t="s">
        <v>2336</v>
      </c>
      <c r="B80" s="64">
        <v>2.5299999999999998</v>
      </c>
      <c r="C80" s="64">
        <v>48.52</v>
      </c>
      <c r="D80" s="64">
        <v>29.45</v>
      </c>
      <c r="E80" s="64">
        <v>7.01</v>
      </c>
      <c r="F80" s="64">
        <v>35.68</v>
      </c>
      <c r="G80" s="64">
        <v>28.54</v>
      </c>
      <c r="H80" s="64">
        <v>20.9</v>
      </c>
      <c r="I80" s="64">
        <v>0.52</v>
      </c>
      <c r="J80" s="64">
        <v>0.04</v>
      </c>
      <c r="K80" s="64">
        <v>11.97</v>
      </c>
      <c r="L80" s="64">
        <v>35.020000000000003</v>
      </c>
      <c r="M80" s="64">
        <v>21.6</v>
      </c>
      <c r="N80" s="64">
        <v>31</v>
      </c>
      <c r="O80" s="64">
        <v>0</v>
      </c>
      <c r="P80" s="64">
        <v>1.21</v>
      </c>
      <c r="Q80" s="64">
        <v>22.4</v>
      </c>
      <c r="R80" s="198"/>
      <c r="S80" s="198"/>
      <c r="T80" s="198"/>
      <c r="U80" s="198"/>
    </row>
    <row r="81" spans="1:26" s="12" customFormat="1" x14ac:dyDescent="0.25">
      <c r="A81" s="211" t="s">
        <v>2337</v>
      </c>
      <c r="B81" s="64">
        <v>2.8</v>
      </c>
      <c r="C81" s="64">
        <v>39.9</v>
      </c>
      <c r="D81" s="64">
        <v>24.91</v>
      </c>
      <c r="E81" s="64">
        <v>7.82</v>
      </c>
      <c r="F81" s="64">
        <v>22.09</v>
      </c>
      <c r="G81" s="64">
        <v>28.54</v>
      </c>
      <c r="H81" s="64">
        <v>20.9</v>
      </c>
      <c r="I81" s="64">
        <v>0.61</v>
      </c>
      <c r="J81" s="64">
        <v>0.03</v>
      </c>
      <c r="K81" s="64">
        <v>358.03</v>
      </c>
      <c r="L81" s="64">
        <v>34.270000000000003</v>
      </c>
      <c r="M81" s="64">
        <v>21.41</v>
      </c>
      <c r="N81" s="64">
        <v>19.899999999999999</v>
      </c>
      <c r="O81" s="64">
        <v>0</v>
      </c>
      <c r="P81" s="64">
        <v>0.84</v>
      </c>
      <c r="Q81" s="64">
        <v>22.75</v>
      </c>
      <c r="R81" s="198"/>
      <c r="S81" s="198"/>
      <c r="T81" s="198"/>
      <c r="U81" s="198"/>
    </row>
    <row r="82" spans="1:26" s="12" customFormat="1" x14ac:dyDescent="0.25">
      <c r="A82" s="211" t="s">
        <v>2338</v>
      </c>
      <c r="B82" s="64">
        <v>1.89</v>
      </c>
      <c r="C82" s="64">
        <v>40.39</v>
      </c>
      <c r="D82" s="64">
        <v>24.45</v>
      </c>
      <c r="E82" s="64">
        <v>3.49</v>
      </c>
      <c r="F82" s="64">
        <v>13.08</v>
      </c>
      <c r="G82" s="64">
        <v>28.54</v>
      </c>
      <c r="H82" s="64">
        <v>20.9</v>
      </c>
      <c r="I82" s="64">
        <v>0.55000000000000004</v>
      </c>
      <c r="J82" s="214" t="s">
        <v>42</v>
      </c>
      <c r="K82" s="64">
        <v>325.63</v>
      </c>
      <c r="L82" s="64">
        <v>33.840000000000003</v>
      </c>
      <c r="M82" s="64">
        <v>21.73</v>
      </c>
      <c r="N82" s="64">
        <v>10.199999999999999</v>
      </c>
      <c r="O82" s="64">
        <v>0</v>
      </c>
      <c r="P82" s="64">
        <v>0.67</v>
      </c>
      <c r="Q82" s="64">
        <v>22.9</v>
      </c>
      <c r="R82" s="198"/>
      <c r="S82" s="198"/>
      <c r="T82" s="198"/>
      <c r="U82" s="198"/>
    </row>
    <row r="83" spans="1:26" s="12" customFormat="1" x14ac:dyDescent="0.25">
      <c r="A83" s="211" t="s">
        <v>2339</v>
      </c>
      <c r="B83" s="64">
        <v>1.41</v>
      </c>
      <c r="C83" s="64">
        <v>46.52</v>
      </c>
      <c r="D83" s="64">
        <v>27.45</v>
      </c>
      <c r="E83" s="64">
        <v>7.2</v>
      </c>
      <c r="F83" s="64">
        <v>19.36</v>
      </c>
      <c r="G83" s="64">
        <v>30.88</v>
      </c>
      <c r="H83" s="64">
        <v>21.36</v>
      </c>
      <c r="I83" s="64">
        <v>0.57999999999999996</v>
      </c>
      <c r="J83" s="64">
        <v>0.05</v>
      </c>
      <c r="K83" s="64">
        <v>245.18</v>
      </c>
      <c r="L83" s="64">
        <v>33.65</v>
      </c>
      <c r="M83" s="64">
        <v>22.47</v>
      </c>
      <c r="N83" s="64">
        <v>6.1</v>
      </c>
      <c r="O83" s="64">
        <v>0</v>
      </c>
      <c r="P83" s="64">
        <v>0.82</v>
      </c>
      <c r="Q83" s="64">
        <v>22.64</v>
      </c>
      <c r="R83" s="198"/>
      <c r="S83" s="198"/>
      <c r="T83" s="198"/>
      <c r="U83" s="198"/>
    </row>
    <row r="84" spans="1:26" s="12" customFormat="1" x14ac:dyDescent="0.25">
      <c r="A84" s="211" t="s">
        <v>2340</v>
      </c>
      <c r="B84" s="64">
        <v>1.27</v>
      </c>
      <c r="C84" s="64">
        <v>49.38</v>
      </c>
      <c r="D84" s="64">
        <v>28.92</v>
      </c>
      <c r="E84" s="64">
        <v>7.86</v>
      </c>
      <c r="F84" s="64">
        <v>17.739999999999998</v>
      </c>
      <c r="G84" s="64">
        <v>49.57</v>
      </c>
      <c r="H84" s="64">
        <v>24.33</v>
      </c>
      <c r="I84" s="64">
        <v>0.56000000000000005</v>
      </c>
      <c r="J84" s="64">
        <v>0.28000000000000003</v>
      </c>
      <c r="K84" s="64">
        <v>177.2</v>
      </c>
      <c r="L84" s="64">
        <v>32.53</v>
      </c>
      <c r="M84" s="64">
        <v>24.45</v>
      </c>
      <c r="N84" s="64">
        <v>5</v>
      </c>
      <c r="O84" s="64">
        <v>0</v>
      </c>
      <c r="P84" s="64">
        <v>0.81</v>
      </c>
      <c r="Q84" s="64">
        <v>22.59</v>
      </c>
      <c r="R84" s="198"/>
      <c r="S84" s="198"/>
      <c r="T84" s="198"/>
      <c r="U84" s="198"/>
    </row>
    <row r="85" spans="1:26" s="12" customFormat="1" x14ac:dyDescent="0.25">
      <c r="A85" s="211" t="s">
        <v>2341</v>
      </c>
      <c r="B85" s="64">
        <v>1.74</v>
      </c>
      <c r="C85" s="64">
        <v>44.99</v>
      </c>
      <c r="D85" s="64">
        <v>26.87</v>
      </c>
      <c r="E85" s="64">
        <v>3.05</v>
      </c>
      <c r="F85" s="64">
        <v>8.0399999999999991</v>
      </c>
      <c r="G85" s="64">
        <v>49.57</v>
      </c>
      <c r="H85" s="64">
        <v>24.33</v>
      </c>
      <c r="I85" s="64">
        <v>0.74</v>
      </c>
      <c r="J85" s="64">
        <v>1.88</v>
      </c>
      <c r="K85" s="64">
        <v>165.81</v>
      </c>
      <c r="L85" s="64">
        <v>31.4</v>
      </c>
      <c r="M85" s="64">
        <v>29.06</v>
      </c>
      <c r="N85" s="64">
        <v>6</v>
      </c>
      <c r="O85" s="64">
        <v>0</v>
      </c>
      <c r="P85" s="64">
        <v>0.71</v>
      </c>
      <c r="Q85" s="64">
        <v>23</v>
      </c>
      <c r="R85" s="198"/>
      <c r="S85" s="198"/>
      <c r="T85" s="198"/>
      <c r="U85" s="198"/>
    </row>
    <row r="86" spans="1:26" s="12" customFormat="1" x14ac:dyDescent="0.25">
      <c r="A86" s="211" t="s">
        <v>2342</v>
      </c>
      <c r="B86" s="64">
        <v>1.73</v>
      </c>
      <c r="C86" s="64">
        <v>41.39</v>
      </c>
      <c r="D86" s="64">
        <v>24.88</v>
      </c>
      <c r="E86" s="64">
        <v>1.59</v>
      </c>
      <c r="F86" s="64">
        <v>7.73</v>
      </c>
      <c r="G86" s="64">
        <v>49.57</v>
      </c>
      <c r="H86" s="64">
        <v>24.33</v>
      </c>
      <c r="I86" s="64">
        <v>0.7</v>
      </c>
      <c r="J86" s="64">
        <v>2.69</v>
      </c>
      <c r="K86" s="64">
        <v>164.15</v>
      </c>
      <c r="L86" s="64">
        <v>29.26</v>
      </c>
      <c r="M86" s="64">
        <v>36.909999999999997</v>
      </c>
      <c r="N86" s="64">
        <v>7.6</v>
      </c>
      <c r="O86" s="64">
        <v>0</v>
      </c>
      <c r="P86" s="64">
        <v>0.69</v>
      </c>
      <c r="Q86" s="64">
        <v>23.13</v>
      </c>
      <c r="R86" s="198"/>
      <c r="S86" s="198"/>
      <c r="T86" s="198"/>
      <c r="U86" s="198"/>
    </row>
    <row r="87" spans="1:26" s="12" customFormat="1" x14ac:dyDescent="0.25">
      <c r="A87" s="211" t="s">
        <v>2343</v>
      </c>
      <c r="B87" s="64">
        <v>1.1299999999999999</v>
      </c>
      <c r="C87" s="64">
        <v>38.159999999999997</v>
      </c>
      <c r="D87" s="64">
        <v>22.61</v>
      </c>
      <c r="E87" s="64">
        <v>2.31</v>
      </c>
      <c r="F87" s="64">
        <v>11.06</v>
      </c>
      <c r="G87" s="64">
        <v>50.1</v>
      </c>
      <c r="H87" s="64">
        <v>24.79</v>
      </c>
      <c r="I87" s="64">
        <v>0.56000000000000005</v>
      </c>
      <c r="J87" s="64">
        <v>2.73</v>
      </c>
      <c r="K87" s="64">
        <v>159.07</v>
      </c>
      <c r="L87" s="64">
        <v>28.84</v>
      </c>
      <c r="M87" s="64">
        <v>38.24</v>
      </c>
      <c r="N87" s="64">
        <v>5.8</v>
      </c>
      <c r="O87" s="64">
        <v>0</v>
      </c>
      <c r="P87" s="64">
        <v>0.63</v>
      </c>
      <c r="Q87" s="64">
        <v>23.1</v>
      </c>
      <c r="R87" s="198"/>
      <c r="S87" s="198"/>
      <c r="T87" s="198"/>
      <c r="U87" s="198"/>
    </row>
    <row r="88" spans="1:26" s="12" customFormat="1" x14ac:dyDescent="0.25">
      <c r="A88" s="211" t="s">
        <v>2344</v>
      </c>
      <c r="B88" s="64">
        <v>1</v>
      </c>
      <c r="C88" s="64">
        <v>35.32</v>
      </c>
      <c r="D88" s="64">
        <v>20.94</v>
      </c>
      <c r="E88" s="64">
        <v>1.17</v>
      </c>
      <c r="F88" s="64">
        <v>11.53</v>
      </c>
      <c r="G88" s="64">
        <v>54.87</v>
      </c>
      <c r="H88" s="64">
        <v>27.72</v>
      </c>
      <c r="I88" s="64">
        <v>0.57999999999999996</v>
      </c>
      <c r="J88" s="64">
        <v>1.53</v>
      </c>
      <c r="K88" s="64">
        <v>179.49</v>
      </c>
      <c r="L88" s="64">
        <v>28.24</v>
      </c>
      <c r="M88" s="64">
        <v>36.979999999999997</v>
      </c>
      <c r="N88" s="64">
        <v>5</v>
      </c>
      <c r="O88" s="64">
        <v>0</v>
      </c>
      <c r="P88" s="64">
        <v>0.56999999999999995</v>
      </c>
      <c r="Q88" s="64">
        <v>22.9</v>
      </c>
      <c r="R88" s="198"/>
      <c r="S88" s="198"/>
      <c r="T88" s="198"/>
      <c r="U88" s="198"/>
    </row>
    <row r="89" spans="1:26" s="12" customFormat="1" x14ac:dyDescent="0.25">
      <c r="A89" s="211" t="s">
        <v>2345</v>
      </c>
      <c r="B89" s="64">
        <v>1</v>
      </c>
      <c r="C89" s="64">
        <v>32.76</v>
      </c>
      <c r="D89" s="64">
        <v>19.53</v>
      </c>
      <c r="E89" s="64">
        <v>0.99</v>
      </c>
      <c r="F89" s="64">
        <v>9.15</v>
      </c>
      <c r="G89" s="64">
        <v>54.87</v>
      </c>
      <c r="H89" s="64">
        <v>27.72</v>
      </c>
      <c r="I89" s="64">
        <v>0.56999999999999995</v>
      </c>
      <c r="J89" s="64">
        <v>2.0299999999999998</v>
      </c>
      <c r="K89" s="64">
        <v>176.68</v>
      </c>
      <c r="L89" s="64">
        <v>27.94</v>
      </c>
      <c r="M89" s="64">
        <v>35.82</v>
      </c>
      <c r="N89" s="64">
        <v>5</v>
      </c>
      <c r="O89" s="64">
        <v>0</v>
      </c>
      <c r="P89" s="64">
        <v>0.53</v>
      </c>
      <c r="Q89" s="64">
        <v>23.47</v>
      </c>
      <c r="R89" s="198"/>
      <c r="S89" s="198"/>
      <c r="T89" s="198"/>
      <c r="U89" s="198"/>
    </row>
    <row r="90" spans="1:26" s="12" customFormat="1" x14ac:dyDescent="0.25">
      <c r="A90" s="211" t="s">
        <v>2346</v>
      </c>
      <c r="B90" s="64">
        <v>1</v>
      </c>
      <c r="C90" s="64">
        <v>30.88</v>
      </c>
      <c r="D90" s="64">
        <v>18.489999999999998</v>
      </c>
      <c r="E90" s="64">
        <v>1.29</v>
      </c>
      <c r="F90" s="64">
        <v>10.81</v>
      </c>
      <c r="G90" s="64">
        <v>54.87</v>
      </c>
      <c r="H90" s="64">
        <v>27.72</v>
      </c>
      <c r="I90" s="64">
        <v>0.73</v>
      </c>
      <c r="J90" s="64">
        <v>2.2400000000000002</v>
      </c>
      <c r="K90" s="64">
        <v>171.88</v>
      </c>
      <c r="L90" s="64">
        <v>27.54</v>
      </c>
      <c r="M90" s="64">
        <v>35.96</v>
      </c>
      <c r="N90" s="64">
        <v>5.3</v>
      </c>
      <c r="O90" s="64">
        <v>0</v>
      </c>
      <c r="P90" s="64">
        <v>0.49</v>
      </c>
      <c r="Q90" s="64">
        <v>23.83</v>
      </c>
      <c r="R90" s="198"/>
      <c r="S90" s="198"/>
      <c r="T90" s="198"/>
      <c r="U90" s="198"/>
    </row>
    <row r="91" spans="1:26" s="12" customFormat="1" x14ac:dyDescent="0.25">
      <c r="A91" s="211" t="s">
        <v>2347</v>
      </c>
      <c r="B91" s="64">
        <v>1.02</v>
      </c>
      <c r="C91" s="64">
        <v>29.69</v>
      </c>
      <c r="D91" s="64">
        <v>17.850000000000001</v>
      </c>
      <c r="E91" s="64">
        <v>0.99</v>
      </c>
      <c r="F91" s="64">
        <v>12.22</v>
      </c>
      <c r="G91" s="64">
        <v>55.25</v>
      </c>
      <c r="H91" s="64">
        <v>27.55</v>
      </c>
      <c r="I91" s="64">
        <v>0.61</v>
      </c>
      <c r="J91" s="64">
        <v>1.64</v>
      </c>
      <c r="K91" s="64">
        <v>176.47</v>
      </c>
      <c r="L91" s="64">
        <v>27.29</v>
      </c>
      <c r="M91" s="64">
        <v>37.26</v>
      </c>
      <c r="N91" s="64">
        <v>5.4</v>
      </c>
      <c r="O91" s="64">
        <v>0</v>
      </c>
      <c r="P91" s="64">
        <v>0.45</v>
      </c>
      <c r="Q91" s="64">
        <v>23.69</v>
      </c>
      <c r="R91" s="198"/>
      <c r="S91" s="198"/>
      <c r="T91" s="198"/>
      <c r="U91" s="198"/>
    </row>
    <row r="92" spans="1:26" s="12" customFormat="1" x14ac:dyDescent="0.25">
      <c r="A92" s="211" t="s">
        <v>2348</v>
      </c>
      <c r="B92" s="64">
        <v>1.05</v>
      </c>
      <c r="C92" s="64">
        <v>28.76</v>
      </c>
      <c r="D92" s="64">
        <v>17.36</v>
      </c>
      <c r="E92" s="64">
        <v>0.97</v>
      </c>
      <c r="F92" s="64">
        <v>15.83</v>
      </c>
      <c r="G92" s="64">
        <v>58.28</v>
      </c>
      <c r="H92" s="64">
        <v>26.43</v>
      </c>
      <c r="I92" s="64">
        <v>0.52</v>
      </c>
      <c r="J92" s="64">
        <v>0.96</v>
      </c>
      <c r="K92" s="64">
        <v>179.82</v>
      </c>
      <c r="L92" s="64">
        <v>26.99</v>
      </c>
      <c r="M92" s="64">
        <v>38.9</v>
      </c>
      <c r="N92" s="64">
        <v>5.2</v>
      </c>
      <c r="O92" s="64">
        <v>0</v>
      </c>
      <c r="P92" s="64">
        <v>0.42</v>
      </c>
      <c r="Q92" s="64">
        <v>23.7</v>
      </c>
      <c r="R92" s="198"/>
      <c r="S92" s="198"/>
      <c r="T92" s="198"/>
      <c r="U92" s="198"/>
    </row>
    <row r="93" spans="1:26" s="12" customFormat="1" x14ac:dyDescent="0.25">
      <c r="A93" s="211" t="s">
        <v>2349</v>
      </c>
      <c r="B93" s="64">
        <v>1.1200000000000001</v>
      </c>
      <c r="C93" s="64">
        <v>28.2</v>
      </c>
      <c r="D93" s="64">
        <v>17.11</v>
      </c>
      <c r="E93" s="64">
        <v>0.88</v>
      </c>
      <c r="F93" s="64">
        <v>10.45</v>
      </c>
      <c r="G93" s="64">
        <v>58.28</v>
      </c>
      <c r="H93" s="64">
        <v>26.43</v>
      </c>
      <c r="I93" s="64">
        <v>0.57999999999999996</v>
      </c>
      <c r="J93" s="64">
        <v>0.56000000000000005</v>
      </c>
      <c r="K93" s="64">
        <v>205.79</v>
      </c>
      <c r="L93" s="64">
        <v>26.45</v>
      </c>
      <c r="M93" s="64">
        <v>39.880000000000003</v>
      </c>
      <c r="N93" s="64">
        <v>5</v>
      </c>
      <c r="O93" s="64">
        <v>0</v>
      </c>
      <c r="P93" s="64">
        <v>0.42</v>
      </c>
      <c r="Q93" s="64">
        <v>23.42</v>
      </c>
      <c r="R93" s="198"/>
      <c r="S93" s="198"/>
      <c r="T93" s="198"/>
      <c r="U93" s="198"/>
    </row>
    <row r="94" spans="1:26" s="12" customFormat="1" x14ac:dyDescent="0.25">
      <c r="A94" s="211" t="s">
        <v>2350</v>
      </c>
      <c r="B94" s="64">
        <v>1.02</v>
      </c>
      <c r="C94" s="64">
        <v>28.61</v>
      </c>
      <c r="D94" s="64">
        <v>17.25</v>
      </c>
      <c r="E94" s="64">
        <v>0.75</v>
      </c>
      <c r="F94" s="64">
        <v>10.44</v>
      </c>
      <c r="G94" s="64">
        <v>58.28</v>
      </c>
      <c r="H94" s="64">
        <v>26.43</v>
      </c>
      <c r="I94" s="64">
        <v>0.53</v>
      </c>
      <c r="J94" s="64">
        <v>0.72</v>
      </c>
      <c r="K94" s="64">
        <v>190.27</v>
      </c>
      <c r="L94" s="64">
        <v>26.18</v>
      </c>
      <c r="M94" s="64">
        <v>40.29</v>
      </c>
      <c r="N94" s="64">
        <v>4.8</v>
      </c>
      <c r="O94" s="64">
        <v>0</v>
      </c>
      <c r="P94" s="64">
        <v>0.41</v>
      </c>
      <c r="Q94" s="64">
        <v>23.01</v>
      </c>
      <c r="R94" s="198"/>
      <c r="S94" s="198"/>
      <c r="T94" s="198"/>
      <c r="U94" s="198"/>
    </row>
    <row r="95" spans="1:26" s="12" customFormat="1" x14ac:dyDescent="0.25">
      <c r="A95" s="211" t="s">
        <v>2351</v>
      </c>
      <c r="B95" s="64">
        <v>1</v>
      </c>
      <c r="C95" s="64">
        <v>28.49</v>
      </c>
      <c r="D95" s="64">
        <v>17.170000000000002</v>
      </c>
      <c r="E95" s="64">
        <v>0.69</v>
      </c>
      <c r="F95" s="64">
        <v>11.06</v>
      </c>
      <c r="G95" s="64">
        <v>55.71</v>
      </c>
      <c r="H95" s="64">
        <v>26</v>
      </c>
      <c r="I95" s="64">
        <v>0.63</v>
      </c>
      <c r="J95" s="64">
        <v>0.85</v>
      </c>
      <c r="K95" s="64">
        <v>180.61</v>
      </c>
      <c r="L95" s="64">
        <v>26.05</v>
      </c>
      <c r="M95" s="64">
        <v>40.520000000000003</v>
      </c>
      <c r="N95" s="64">
        <v>4.8</v>
      </c>
      <c r="O95" s="64">
        <v>0</v>
      </c>
      <c r="P95" s="64">
        <v>0.38</v>
      </c>
      <c r="Q95" s="64">
        <v>22.85</v>
      </c>
      <c r="R95" s="198"/>
      <c r="S95" s="198"/>
      <c r="T95" s="198"/>
      <c r="U95" s="198"/>
    </row>
    <row r="96" spans="1:26" s="12" customFormat="1" x14ac:dyDescent="0.25">
      <c r="A96" s="211" t="s">
        <v>2352</v>
      </c>
      <c r="B96" s="64">
        <v>1</v>
      </c>
      <c r="C96" s="64">
        <v>27.94</v>
      </c>
      <c r="D96" s="64">
        <v>16.87</v>
      </c>
      <c r="E96" s="64">
        <v>0.93</v>
      </c>
      <c r="F96" s="64">
        <v>10.68</v>
      </c>
      <c r="G96" s="64">
        <v>35.14</v>
      </c>
      <c r="H96" s="64">
        <v>23.25</v>
      </c>
      <c r="I96" s="64">
        <v>0.57999999999999996</v>
      </c>
      <c r="J96" s="64">
        <v>0.65</v>
      </c>
      <c r="K96" s="64">
        <v>191.24</v>
      </c>
      <c r="L96" s="64">
        <v>26.21</v>
      </c>
      <c r="M96" s="64">
        <v>41.04</v>
      </c>
      <c r="N96" s="64">
        <v>4.7</v>
      </c>
      <c r="O96" s="64">
        <v>0</v>
      </c>
      <c r="P96" s="64">
        <v>0.37</v>
      </c>
      <c r="Q96" s="64">
        <v>22.61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2353</v>
      </c>
      <c r="B97" s="64">
        <v>1</v>
      </c>
      <c r="C97" s="64">
        <v>27.16</v>
      </c>
      <c r="D97" s="64">
        <v>16.440000000000001</v>
      </c>
      <c r="E97" s="64">
        <v>0.65</v>
      </c>
      <c r="F97" s="64">
        <v>10.42</v>
      </c>
      <c r="G97" s="64">
        <v>35.14</v>
      </c>
      <c r="H97" s="64">
        <v>23.25</v>
      </c>
      <c r="I97" s="64">
        <v>0.63</v>
      </c>
      <c r="J97" s="64">
        <v>0.69</v>
      </c>
      <c r="K97" s="64">
        <v>194.34</v>
      </c>
      <c r="L97" s="64">
        <v>26.07</v>
      </c>
      <c r="M97" s="64">
        <v>41.83</v>
      </c>
      <c r="N97" s="64">
        <v>4.7</v>
      </c>
      <c r="O97" s="64">
        <v>0</v>
      </c>
      <c r="P97" s="64">
        <v>0.36</v>
      </c>
      <c r="Q97" s="64">
        <v>22.03</v>
      </c>
      <c r="R97" s="198"/>
      <c r="S97" s="198"/>
      <c r="T97" s="198"/>
      <c r="U97" s="198"/>
    </row>
    <row r="98" spans="1:33" s="12" customFormat="1" x14ac:dyDescent="0.25">
      <c r="A98" s="211" t="s">
        <v>2354</v>
      </c>
      <c r="B98" s="64">
        <v>1</v>
      </c>
      <c r="C98" s="64">
        <v>26.01</v>
      </c>
      <c r="D98" s="64">
        <v>15.8</v>
      </c>
      <c r="E98" s="64">
        <v>0.82</v>
      </c>
      <c r="F98" s="64">
        <v>12.33</v>
      </c>
      <c r="G98" s="64">
        <v>35.14</v>
      </c>
      <c r="H98" s="64">
        <v>23.25</v>
      </c>
      <c r="I98" s="64">
        <v>0.61</v>
      </c>
      <c r="J98" s="64">
        <v>0.36</v>
      </c>
      <c r="K98" s="64">
        <v>218.06</v>
      </c>
      <c r="L98" s="64">
        <v>25.37</v>
      </c>
      <c r="M98" s="64">
        <v>42.74</v>
      </c>
      <c r="N98" s="64">
        <v>5.0999999999999996</v>
      </c>
      <c r="O98" s="64">
        <v>0</v>
      </c>
      <c r="P98" s="64">
        <v>0.33</v>
      </c>
      <c r="Q98" s="64">
        <v>21.54</v>
      </c>
      <c r="R98" s="198"/>
      <c r="S98" s="198"/>
      <c r="T98" s="198"/>
      <c r="U98" s="198"/>
    </row>
    <row r="99" spans="1:33" s="12" customFormat="1" x14ac:dyDescent="0.25">
      <c r="A99" s="211" t="s">
        <v>2355</v>
      </c>
      <c r="B99" s="64">
        <v>1</v>
      </c>
      <c r="C99" s="64">
        <v>25.71</v>
      </c>
      <c r="D99" s="64">
        <v>15.64</v>
      </c>
      <c r="E99" s="64">
        <v>0.43</v>
      </c>
      <c r="F99" s="64">
        <v>10.33</v>
      </c>
      <c r="G99" s="64">
        <v>34.61</v>
      </c>
      <c r="H99" s="64">
        <v>24.77</v>
      </c>
      <c r="I99" s="64">
        <v>0.52</v>
      </c>
      <c r="J99" s="64">
        <v>0.62</v>
      </c>
      <c r="K99" s="64">
        <v>185.2</v>
      </c>
      <c r="L99" s="64">
        <v>25.11</v>
      </c>
      <c r="M99" s="64">
        <v>43.86</v>
      </c>
      <c r="N99" s="64">
        <v>4.7</v>
      </c>
      <c r="O99" s="64">
        <v>0</v>
      </c>
      <c r="P99" s="64">
        <v>0.32</v>
      </c>
      <c r="Q99" s="64">
        <v>21.28</v>
      </c>
      <c r="R99" s="198"/>
      <c r="S99" s="198"/>
      <c r="T99" s="198"/>
      <c r="U99" s="198"/>
    </row>
    <row r="100" spans="1:33" s="12" customFormat="1" x14ac:dyDescent="0.25">
      <c r="A100" s="211" t="s">
        <v>2356</v>
      </c>
      <c r="B100" s="64">
        <v>1</v>
      </c>
      <c r="C100" s="64">
        <v>25.31</v>
      </c>
      <c r="D100" s="64">
        <v>15.42</v>
      </c>
      <c r="E100" s="64">
        <v>0.78</v>
      </c>
      <c r="F100" s="64">
        <v>15.56</v>
      </c>
      <c r="G100" s="64">
        <v>30.4</v>
      </c>
      <c r="H100" s="64">
        <v>34.630000000000003</v>
      </c>
      <c r="I100" s="64">
        <v>0.56000000000000005</v>
      </c>
      <c r="J100" s="64">
        <v>0.64</v>
      </c>
      <c r="K100" s="64">
        <v>194.13</v>
      </c>
      <c r="L100" s="64">
        <v>25.4</v>
      </c>
      <c r="M100" s="64">
        <v>44.04</v>
      </c>
      <c r="N100" s="64">
        <v>4.5999999999999996</v>
      </c>
      <c r="O100" s="64">
        <v>0</v>
      </c>
      <c r="P100" s="64">
        <v>0.3</v>
      </c>
      <c r="Q100" s="64">
        <v>21.68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2357</v>
      </c>
      <c r="B101" s="64">
        <v>1</v>
      </c>
      <c r="C101" s="64">
        <v>24.2</v>
      </c>
      <c r="D101" s="64">
        <v>14.8</v>
      </c>
      <c r="E101" s="64">
        <v>0.74</v>
      </c>
      <c r="F101" s="64">
        <v>14.47</v>
      </c>
      <c r="G101" s="64">
        <v>30.4</v>
      </c>
      <c r="H101" s="64">
        <v>34.630000000000003</v>
      </c>
      <c r="I101" s="64">
        <v>0.55000000000000004</v>
      </c>
      <c r="J101" s="64">
        <v>0.62</v>
      </c>
      <c r="K101" s="64">
        <v>198.12</v>
      </c>
      <c r="L101" s="64">
        <v>24.93</v>
      </c>
      <c r="M101" s="64">
        <v>44.5</v>
      </c>
      <c r="N101" s="64">
        <v>4.5999999999999996</v>
      </c>
      <c r="O101" s="64">
        <v>0</v>
      </c>
      <c r="P101" s="64">
        <v>0.28000000000000003</v>
      </c>
      <c r="Q101" s="64">
        <v>22.61</v>
      </c>
      <c r="R101" s="198"/>
      <c r="S101" s="198"/>
      <c r="T101" s="198"/>
      <c r="U101" s="198"/>
    </row>
    <row r="102" spans="1:33" s="12" customFormat="1" x14ac:dyDescent="0.25">
      <c r="A102" s="211" t="s">
        <v>2358</v>
      </c>
      <c r="B102" s="64">
        <v>1</v>
      </c>
      <c r="C102" s="64">
        <v>23.87</v>
      </c>
      <c r="D102" s="64">
        <v>14.62</v>
      </c>
      <c r="E102" s="64">
        <v>1.19</v>
      </c>
      <c r="F102" s="64">
        <v>16.399999999999999</v>
      </c>
      <c r="G102" s="64">
        <v>30.4</v>
      </c>
      <c r="H102" s="64">
        <v>34.630000000000003</v>
      </c>
      <c r="I102" s="64">
        <v>0.51</v>
      </c>
      <c r="J102" s="64">
        <v>0.61</v>
      </c>
      <c r="K102" s="64">
        <v>199.96</v>
      </c>
      <c r="L102" s="64">
        <v>24.83</v>
      </c>
      <c r="M102" s="64">
        <v>45.25</v>
      </c>
      <c r="N102" s="64">
        <v>4.5999999999999996</v>
      </c>
      <c r="O102" s="64">
        <v>0</v>
      </c>
      <c r="P102" s="64">
        <v>0.28000000000000003</v>
      </c>
      <c r="Q102" s="64">
        <v>23.22</v>
      </c>
      <c r="R102" s="198"/>
      <c r="S102" s="198"/>
      <c r="T102" s="198"/>
      <c r="U102" s="198"/>
    </row>
    <row r="103" spans="1:33" s="12" customFormat="1" x14ac:dyDescent="0.25">
      <c r="A103" s="211" t="s">
        <v>2359</v>
      </c>
      <c r="B103" s="64">
        <v>1.01</v>
      </c>
      <c r="C103" s="64">
        <v>23.44</v>
      </c>
      <c r="D103" s="64">
        <v>14.39</v>
      </c>
      <c r="E103" s="64">
        <v>2.2200000000000002</v>
      </c>
      <c r="F103" s="64">
        <v>17.399999999999999</v>
      </c>
      <c r="G103" s="64">
        <v>29.16</v>
      </c>
      <c r="H103" s="64">
        <v>33.17</v>
      </c>
      <c r="I103" s="64">
        <v>0.64</v>
      </c>
      <c r="J103" s="64">
        <v>0.56999999999999995</v>
      </c>
      <c r="K103" s="64">
        <v>197.97</v>
      </c>
      <c r="L103" s="64">
        <v>24.69</v>
      </c>
      <c r="M103" s="64">
        <v>45.64</v>
      </c>
      <c r="N103" s="64">
        <v>4.7</v>
      </c>
      <c r="O103" s="64">
        <v>0</v>
      </c>
      <c r="P103" s="64">
        <v>0.27</v>
      </c>
      <c r="Q103" s="64">
        <v>23.72</v>
      </c>
      <c r="R103" s="198"/>
      <c r="S103" s="198"/>
      <c r="T103" s="198"/>
      <c r="U103" s="198"/>
    </row>
    <row r="104" spans="1:33" s="12" customFormat="1" x14ac:dyDescent="0.25">
      <c r="A104" s="211" t="s">
        <v>2360</v>
      </c>
      <c r="B104" s="64">
        <v>1.1100000000000001</v>
      </c>
      <c r="C104" s="64">
        <v>23.04</v>
      </c>
      <c r="D104" s="64">
        <v>14.25</v>
      </c>
      <c r="E104" s="64">
        <v>1.0900000000000001</v>
      </c>
      <c r="F104" s="64">
        <v>17.18</v>
      </c>
      <c r="G104" s="64">
        <v>19.25</v>
      </c>
      <c r="H104" s="64">
        <v>23.79</v>
      </c>
      <c r="I104" s="64">
        <v>0.53</v>
      </c>
      <c r="J104" s="64">
        <v>0.62</v>
      </c>
      <c r="K104" s="64">
        <v>184.8</v>
      </c>
      <c r="L104" s="64">
        <v>24.83</v>
      </c>
      <c r="M104" s="64">
        <v>46.51</v>
      </c>
      <c r="N104" s="64">
        <v>4.7</v>
      </c>
      <c r="O104" s="64">
        <v>0</v>
      </c>
      <c r="P104" s="64">
        <v>0.27</v>
      </c>
      <c r="Q104" s="64">
        <v>24.11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21.11</v>
      </c>
      <c r="D106" s="67">
        <f t="shared" ref="D106:Q106" si="0">MIN(D9:D104)</f>
        <v>13.16</v>
      </c>
      <c r="E106" s="67">
        <f t="shared" si="0"/>
        <v>0.43</v>
      </c>
      <c r="F106" s="67">
        <f t="shared" si="0"/>
        <v>4.6100000000000003</v>
      </c>
      <c r="G106" s="67">
        <f t="shared" si="0"/>
        <v>19.25</v>
      </c>
      <c r="H106" s="67">
        <f t="shared" si="0"/>
        <v>14.93</v>
      </c>
      <c r="I106" s="67">
        <f t="shared" si="0"/>
        <v>0.48</v>
      </c>
      <c r="J106" s="67">
        <f t="shared" si="0"/>
        <v>0.03</v>
      </c>
      <c r="K106" s="67">
        <f t="shared" si="0"/>
        <v>9.58</v>
      </c>
      <c r="L106" s="67">
        <f t="shared" si="0"/>
        <v>24.43</v>
      </c>
      <c r="M106" s="67">
        <f t="shared" si="0"/>
        <v>17.91</v>
      </c>
      <c r="N106" s="67">
        <f t="shared" si="0"/>
        <v>4.2</v>
      </c>
      <c r="O106" s="67">
        <f t="shared" si="0"/>
        <v>0</v>
      </c>
      <c r="P106" s="67">
        <f t="shared" si="0"/>
        <v>0.27</v>
      </c>
      <c r="Q106" s="67">
        <f t="shared" si="0"/>
        <v>21.28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16.37</v>
      </c>
      <c r="C107" s="66">
        <f t="shared" ref="C107:Q107" si="1">MAX(C9:C104)</f>
        <v>49.38</v>
      </c>
      <c r="D107" s="66">
        <f t="shared" si="1"/>
        <v>33.1</v>
      </c>
      <c r="E107" s="66">
        <f t="shared" si="1"/>
        <v>7.86</v>
      </c>
      <c r="F107" s="66">
        <f t="shared" si="1"/>
        <v>37.9</v>
      </c>
      <c r="G107" s="66">
        <f t="shared" si="1"/>
        <v>59.5</v>
      </c>
      <c r="H107" s="66">
        <f t="shared" si="1"/>
        <v>34.630000000000003</v>
      </c>
      <c r="I107" s="66">
        <f t="shared" si="1"/>
        <v>0.9</v>
      </c>
      <c r="J107" s="66">
        <f t="shared" si="1"/>
        <v>2.73</v>
      </c>
      <c r="K107" s="66">
        <f t="shared" si="1"/>
        <v>358.03</v>
      </c>
      <c r="L107" s="66">
        <f t="shared" si="1"/>
        <v>39.6</v>
      </c>
      <c r="M107" s="66">
        <f t="shared" si="1"/>
        <v>59.35</v>
      </c>
      <c r="N107" s="66">
        <f t="shared" si="1"/>
        <v>904.6</v>
      </c>
      <c r="O107" s="66">
        <f t="shared" si="1"/>
        <v>0</v>
      </c>
      <c r="P107" s="66">
        <f t="shared" si="1"/>
        <v>1.21</v>
      </c>
      <c r="Q107" s="66">
        <f t="shared" si="1"/>
        <v>32.340000000000003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2.2318750000000001</v>
      </c>
      <c r="C108" s="67">
        <f t="shared" ref="C108:Q108" si="2">AVERAGE(C9:C104)</f>
        <v>33.073541666666664</v>
      </c>
      <c r="D108" s="67">
        <f t="shared" si="2"/>
        <v>20.688229166666662</v>
      </c>
      <c r="E108" s="67">
        <f t="shared" si="2"/>
        <v>1.8304166666666666</v>
      </c>
      <c r="F108" s="67">
        <f t="shared" si="2"/>
        <v>12.980312500000002</v>
      </c>
      <c r="G108" s="67">
        <f t="shared" si="2"/>
        <v>38.000568181818203</v>
      </c>
      <c r="H108" s="67">
        <f t="shared" si="2"/>
        <v>22.75409090909092</v>
      </c>
      <c r="I108" s="67">
        <f t="shared" si="2"/>
        <v>0.60812500000000003</v>
      </c>
      <c r="J108" s="67">
        <f t="shared" si="2"/>
        <v>0.48399999999999999</v>
      </c>
      <c r="K108" s="67">
        <f t="shared" si="2"/>
        <v>213.38833333333346</v>
      </c>
      <c r="L108" s="67">
        <f t="shared" si="2"/>
        <v>30.686562499999997</v>
      </c>
      <c r="M108" s="67">
        <f t="shared" si="2"/>
        <v>38.587812499999991</v>
      </c>
      <c r="N108" s="67">
        <f t="shared" si="2"/>
        <v>252.60937499999991</v>
      </c>
      <c r="O108" s="67">
        <f t="shared" si="2"/>
        <v>0</v>
      </c>
      <c r="P108" s="67">
        <f t="shared" si="2"/>
        <v>0.54625000000000035</v>
      </c>
      <c r="Q108" s="67">
        <f t="shared" si="2"/>
        <v>25.835520833333334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2.9083456366300862</v>
      </c>
      <c r="C109" s="67">
        <f t="shared" ref="C109:Q109" si="3">STDEV(C9:C104)</f>
        <v>5.6956413583069043</v>
      </c>
      <c r="D109" s="67">
        <f t="shared" si="3"/>
        <v>4.1539051999399339</v>
      </c>
      <c r="E109" s="67">
        <f t="shared" si="3"/>
        <v>1.4255871674260481</v>
      </c>
      <c r="F109" s="67">
        <f t="shared" si="3"/>
        <v>6.3060069028831958</v>
      </c>
      <c r="G109" s="67">
        <f t="shared" si="3"/>
        <v>11.653110418771339</v>
      </c>
      <c r="H109" s="67">
        <f t="shared" si="3"/>
        <v>3.8545386403006852</v>
      </c>
      <c r="I109" s="67">
        <f t="shared" si="3"/>
        <v>9.1171469452374046E-2</v>
      </c>
      <c r="J109" s="67">
        <f t="shared" si="3"/>
        <v>0.53665908985444777</v>
      </c>
      <c r="K109" s="67">
        <f t="shared" si="3"/>
        <v>72.524302753108174</v>
      </c>
      <c r="L109" s="67">
        <f t="shared" si="3"/>
        <v>5.2303035693572726</v>
      </c>
      <c r="M109" s="67">
        <f t="shared" si="3"/>
        <v>13.833225996862204</v>
      </c>
      <c r="N109" s="67">
        <f t="shared" si="3"/>
        <v>331.31391508995944</v>
      </c>
      <c r="O109" s="67">
        <f t="shared" si="3"/>
        <v>0</v>
      </c>
      <c r="P109" s="67">
        <f t="shared" si="3"/>
        <v>0.18920470674016368</v>
      </c>
      <c r="Q109" s="67">
        <f t="shared" si="3"/>
        <v>2.6522609500065943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88</v>
      </c>
      <c r="H110" s="66">
        <f t="shared" si="4"/>
        <v>88</v>
      </c>
      <c r="I110" s="66">
        <f t="shared" si="4"/>
        <v>96</v>
      </c>
      <c r="J110" s="66">
        <f>COUNT(J9:J104)+1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1" sqref="J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2361</v>
      </c>
      <c r="B9" s="64">
        <v>1.18</v>
      </c>
      <c r="C9" s="64">
        <v>23.44</v>
      </c>
      <c r="D9" s="64">
        <v>14.53</v>
      </c>
      <c r="E9" s="64">
        <v>0.56000000000000005</v>
      </c>
      <c r="F9" s="64">
        <v>7.22</v>
      </c>
      <c r="G9" s="214" t="s">
        <v>42</v>
      </c>
      <c r="H9" s="214" t="s">
        <v>42</v>
      </c>
      <c r="I9" s="64">
        <v>0.51</v>
      </c>
      <c r="J9" s="64">
        <v>0.26</v>
      </c>
      <c r="K9" s="64">
        <v>221.63</v>
      </c>
      <c r="L9" s="64">
        <v>24.49</v>
      </c>
      <c r="M9" s="64">
        <v>46.68</v>
      </c>
      <c r="N9" s="64">
        <v>4.8</v>
      </c>
      <c r="O9" s="64">
        <v>0</v>
      </c>
      <c r="P9" s="64">
        <v>0.28000000000000003</v>
      </c>
      <c r="Q9" s="64">
        <v>24</v>
      </c>
      <c r="S9" s="198"/>
      <c r="T9" s="198"/>
      <c r="U9" s="198"/>
    </row>
    <row r="10" spans="1:21" s="12" customFormat="1" x14ac:dyDescent="0.25">
      <c r="A10" s="211" t="s">
        <v>2362</v>
      </c>
      <c r="B10" s="64">
        <v>1.05</v>
      </c>
      <c r="C10" s="64">
        <v>24.47</v>
      </c>
      <c r="D10" s="64">
        <v>14.99</v>
      </c>
      <c r="E10" s="64">
        <v>1.08</v>
      </c>
      <c r="F10" s="64">
        <v>7.54</v>
      </c>
      <c r="G10" s="214" t="s">
        <v>42</v>
      </c>
      <c r="H10" s="214" t="s">
        <v>42</v>
      </c>
      <c r="I10" s="64">
        <v>0.54</v>
      </c>
      <c r="J10" s="64">
        <v>0.56000000000000005</v>
      </c>
      <c r="K10" s="64">
        <v>188.5</v>
      </c>
      <c r="L10" s="64">
        <v>24.24</v>
      </c>
      <c r="M10" s="64">
        <v>47.71</v>
      </c>
      <c r="N10" s="64">
        <v>4.8</v>
      </c>
      <c r="O10" s="64">
        <v>0</v>
      </c>
      <c r="P10" s="64">
        <v>0.27</v>
      </c>
      <c r="Q10" s="64">
        <v>23.33</v>
      </c>
      <c r="S10" s="198"/>
      <c r="T10" s="198"/>
      <c r="U10" s="198"/>
    </row>
    <row r="11" spans="1:21" s="12" customFormat="1" x14ac:dyDescent="0.25">
      <c r="A11" s="211" t="s">
        <v>2363</v>
      </c>
      <c r="B11" s="64">
        <v>1</v>
      </c>
      <c r="C11" s="64">
        <v>24.38</v>
      </c>
      <c r="D11" s="64">
        <v>14.9</v>
      </c>
      <c r="E11" s="64">
        <v>0.94</v>
      </c>
      <c r="F11" s="64">
        <v>8.33</v>
      </c>
      <c r="G11" s="214" t="s">
        <v>42</v>
      </c>
      <c r="H11" s="214" t="s">
        <v>42</v>
      </c>
      <c r="I11" s="64">
        <v>0.65</v>
      </c>
      <c r="J11" s="64">
        <v>0.9</v>
      </c>
      <c r="K11" s="64">
        <v>170.82</v>
      </c>
      <c r="L11" s="64">
        <v>24.18</v>
      </c>
      <c r="M11" s="64">
        <v>48.02</v>
      </c>
      <c r="N11" s="64">
        <v>4.7</v>
      </c>
      <c r="O11" s="64">
        <v>0</v>
      </c>
      <c r="P11" s="64">
        <v>0.26</v>
      </c>
      <c r="Q11" s="64">
        <v>22.88</v>
      </c>
      <c r="S11" s="198"/>
      <c r="T11" s="198"/>
      <c r="U11" s="198"/>
    </row>
    <row r="12" spans="1:21" s="12" customFormat="1" x14ac:dyDescent="0.25">
      <c r="A12" s="211" t="s">
        <v>2364</v>
      </c>
      <c r="B12" s="64">
        <v>1</v>
      </c>
      <c r="C12" s="64">
        <v>24.16</v>
      </c>
      <c r="D12" s="64">
        <v>14.78</v>
      </c>
      <c r="E12" s="64">
        <v>0.84</v>
      </c>
      <c r="F12" s="64">
        <v>7.45</v>
      </c>
      <c r="G12" s="214" t="s">
        <v>42</v>
      </c>
      <c r="H12" s="214" t="s">
        <v>42</v>
      </c>
      <c r="I12" s="64">
        <v>0.59</v>
      </c>
      <c r="J12" s="64">
        <v>0.51</v>
      </c>
      <c r="K12" s="64">
        <v>166.54</v>
      </c>
      <c r="L12" s="64">
        <v>24.36</v>
      </c>
      <c r="M12" s="64">
        <v>48.09</v>
      </c>
      <c r="N12" s="64">
        <v>4.8</v>
      </c>
      <c r="O12" s="64">
        <v>0</v>
      </c>
      <c r="P12" s="64">
        <v>0.25</v>
      </c>
      <c r="Q12" s="64">
        <v>22.71</v>
      </c>
      <c r="S12" s="198"/>
      <c r="T12" s="198"/>
      <c r="U12" s="198"/>
    </row>
    <row r="13" spans="1:21" s="12" customFormat="1" x14ac:dyDescent="0.25">
      <c r="A13" s="211" t="s">
        <v>2365</v>
      </c>
      <c r="B13" s="64">
        <v>1</v>
      </c>
      <c r="C13" s="64">
        <v>23.83</v>
      </c>
      <c r="D13" s="64">
        <v>14.6</v>
      </c>
      <c r="E13" s="64">
        <v>0.7</v>
      </c>
      <c r="F13" s="64">
        <v>7.8</v>
      </c>
      <c r="G13" s="214" t="s">
        <v>42</v>
      </c>
      <c r="H13" s="214" t="s">
        <v>42</v>
      </c>
      <c r="I13" s="64">
        <v>0.65</v>
      </c>
      <c r="J13" s="64">
        <v>0.2</v>
      </c>
      <c r="K13" s="64">
        <v>226.71</v>
      </c>
      <c r="L13" s="64">
        <v>24.36</v>
      </c>
      <c r="M13" s="64">
        <v>48.37</v>
      </c>
      <c r="N13" s="64">
        <v>4.9000000000000004</v>
      </c>
      <c r="O13" s="64">
        <v>0</v>
      </c>
      <c r="P13" s="64">
        <v>0.22</v>
      </c>
      <c r="Q13" s="64">
        <v>22.19</v>
      </c>
      <c r="S13" s="198"/>
      <c r="T13" s="198"/>
      <c r="U13" s="198"/>
    </row>
    <row r="14" spans="1:21" s="12" customFormat="1" x14ac:dyDescent="0.25">
      <c r="A14" s="211" t="s">
        <v>2366</v>
      </c>
      <c r="B14" s="64">
        <v>1</v>
      </c>
      <c r="C14" s="64">
        <v>23.62</v>
      </c>
      <c r="D14" s="64">
        <v>14.48</v>
      </c>
      <c r="E14" s="64">
        <v>1.23</v>
      </c>
      <c r="F14" s="64">
        <v>7.43</v>
      </c>
      <c r="G14" s="214" t="s">
        <v>42</v>
      </c>
      <c r="H14" s="214" t="s">
        <v>42</v>
      </c>
      <c r="I14" s="64">
        <v>0.56000000000000005</v>
      </c>
      <c r="J14" s="64">
        <v>0.24</v>
      </c>
      <c r="K14" s="64">
        <v>215.53</v>
      </c>
      <c r="L14" s="64">
        <v>24.1</v>
      </c>
      <c r="M14" s="64">
        <v>49.26</v>
      </c>
      <c r="N14" s="64">
        <v>4.7</v>
      </c>
      <c r="O14" s="64">
        <v>0</v>
      </c>
      <c r="P14" s="64">
        <v>0.24</v>
      </c>
      <c r="Q14" s="64">
        <v>21.83</v>
      </c>
      <c r="S14" s="198"/>
      <c r="T14" s="198"/>
      <c r="U14" s="198"/>
    </row>
    <row r="15" spans="1:21" s="12" customFormat="1" x14ac:dyDescent="0.25">
      <c r="A15" s="211" t="s">
        <v>2367</v>
      </c>
      <c r="B15" s="64">
        <v>1</v>
      </c>
      <c r="C15" s="64">
        <v>23.39</v>
      </c>
      <c r="D15" s="64">
        <v>14.36</v>
      </c>
      <c r="E15" s="64">
        <v>1.03</v>
      </c>
      <c r="F15" s="64">
        <v>7.22</v>
      </c>
      <c r="G15" s="214" t="s">
        <v>42</v>
      </c>
      <c r="H15" s="214" t="s">
        <v>42</v>
      </c>
      <c r="I15" s="64">
        <v>0.5</v>
      </c>
      <c r="J15" s="64">
        <v>0.13</v>
      </c>
      <c r="K15" s="64">
        <v>222.26</v>
      </c>
      <c r="L15" s="64">
        <v>23.97</v>
      </c>
      <c r="M15" s="64">
        <v>49.94</v>
      </c>
      <c r="N15" s="64">
        <v>4.9000000000000004</v>
      </c>
      <c r="O15" s="64">
        <v>0</v>
      </c>
      <c r="P15" s="64">
        <v>0.24</v>
      </c>
      <c r="Q15" s="64">
        <v>21.57</v>
      </c>
      <c r="S15" s="198"/>
      <c r="T15" s="198"/>
      <c r="U15" s="198"/>
    </row>
    <row r="16" spans="1:21" s="12" customFormat="1" x14ac:dyDescent="0.25">
      <c r="A16" s="211" t="s">
        <v>2368</v>
      </c>
      <c r="B16" s="64">
        <v>1</v>
      </c>
      <c r="C16" s="64">
        <v>20.79</v>
      </c>
      <c r="D16" s="64">
        <v>12.92</v>
      </c>
      <c r="E16" s="64">
        <v>1.06</v>
      </c>
      <c r="F16" s="64">
        <v>22.53</v>
      </c>
      <c r="G16" s="64">
        <v>17.53</v>
      </c>
      <c r="H16" s="64">
        <v>14.29</v>
      </c>
      <c r="I16" s="64">
        <v>0.52</v>
      </c>
      <c r="J16" s="64">
        <v>0.19</v>
      </c>
      <c r="K16" s="64">
        <v>202.18</v>
      </c>
      <c r="L16" s="64">
        <v>23.73</v>
      </c>
      <c r="M16" s="64">
        <v>51.24</v>
      </c>
      <c r="N16" s="64">
        <v>4.7</v>
      </c>
      <c r="O16" s="64">
        <v>0</v>
      </c>
      <c r="P16" s="64">
        <v>0.22</v>
      </c>
      <c r="Q16" s="64">
        <v>22.13</v>
      </c>
      <c r="S16" s="198"/>
      <c r="T16" s="198"/>
      <c r="U16" s="198"/>
    </row>
    <row r="17" spans="1:21" s="12" customFormat="1" x14ac:dyDescent="0.25">
      <c r="A17" s="211" t="s">
        <v>2369</v>
      </c>
      <c r="B17" s="64">
        <v>1</v>
      </c>
      <c r="C17" s="64">
        <v>19.12</v>
      </c>
      <c r="D17" s="64">
        <v>12</v>
      </c>
      <c r="E17" s="64">
        <v>1.02</v>
      </c>
      <c r="F17" s="64">
        <v>27.75</v>
      </c>
      <c r="G17" s="64">
        <v>17.53</v>
      </c>
      <c r="H17" s="64">
        <v>14.29</v>
      </c>
      <c r="I17" s="64">
        <v>0.56999999999999995</v>
      </c>
      <c r="J17" s="64">
        <v>0.12</v>
      </c>
      <c r="K17" s="64">
        <v>228.2</v>
      </c>
      <c r="L17" s="64">
        <v>23.71</v>
      </c>
      <c r="M17" s="64">
        <v>51.08</v>
      </c>
      <c r="N17" s="64">
        <v>4.7</v>
      </c>
      <c r="O17" s="64">
        <v>0</v>
      </c>
      <c r="P17" s="64">
        <v>0.21</v>
      </c>
      <c r="Q17" s="64">
        <v>23.4</v>
      </c>
      <c r="S17" s="198"/>
      <c r="T17" s="198"/>
      <c r="U17" s="198"/>
    </row>
    <row r="18" spans="1:21" s="12" customFormat="1" x14ac:dyDescent="0.25">
      <c r="A18" s="211" t="s">
        <v>2370</v>
      </c>
      <c r="B18" s="64">
        <v>1</v>
      </c>
      <c r="C18" s="64">
        <v>18.21</v>
      </c>
      <c r="D18" s="64">
        <v>11.5</v>
      </c>
      <c r="E18" s="64">
        <v>1.3</v>
      </c>
      <c r="F18" s="64">
        <v>34.369999999999997</v>
      </c>
      <c r="G18" s="64">
        <v>17.53</v>
      </c>
      <c r="H18" s="64">
        <v>14.29</v>
      </c>
      <c r="I18" s="64">
        <v>0.47</v>
      </c>
      <c r="J18" s="64">
        <v>0.18</v>
      </c>
      <c r="K18" s="64">
        <v>208.6</v>
      </c>
      <c r="L18" s="64">
        <v>23.67</v>
      </c>
      <c r="M18" s="64">
        <v>51.33</v>
      </c>
      <c r="N18" s="64">
        <v>4.5999999999999996</v>
      </c>
      <c r="O18" s="64">
        <v>0</v>
      </c>
      <c r="P18" s="64">
        <v>0.21</v>
      </c>
      <c r="Q18" s="64">
        <v>24.39</v>
      </c>
      <c r="S18" s="198"/>
      <c r="T18" s="198"/>
      <c r="U18" s="198"/>
    </row>
    <row r="19" spans="1:21" s="12" customFormat="1" x14ac:dyDescent="0.25">
      <c r="A19" s="211" t="s">
        <v>2371</v>
      </c>
      <c r="B19" s="64">
        <v>1</v>
      </c>
      <c r="C19" s="64">
        <v>17.420000000000002</v>
      </c>
      <c r="D19" s="64">
        <v>11.06</v>
      </c>
      <c r="E19" s="64">
        <v>1.44</v>
      </c>
      <c r="F19" s="64">
        <v>35.33</v>
      </c>
      <c r="G19" s="64">
        <v>17.53</v>
      </c>
      <c r="H19" s="64">
        <v>14.28</v>
      </c>
      <c r="I19" s="64">
        <v>0.6</v>
      </c>
      <c r="J19" s="64">
        <v>0.13</v>
      </c>
      <c r="K19" s="64">
        <v>221.37</v>
      </c>
      <c r="L19" s="64">
        <v>23.5</v>
      </c>
      <c r="M19" s="64">
        <v>52.05</v>
      </c>
      <c r="N19" s="64">
        <v>5</v>
      </c>
      <c r="O19" s="64">
        <v>0</v>
      </c>
      <c r="P19" s="64">
        <v>0.21</v>
      </c>
      <c r="Q19" s="64">
        <v>24.91</v>
      </c>
      <c r="S19" s="198"/>
      <c r="T19" s="198"/>
      <c r="U19" s="198"/>
    </row>
    <row r="20" spans="1:21" s="12" customFormat="1" x14ac:dyDescent="0.25">
      <c r="A20" s="211" t="s">
        <v>2372</v>
      </c>
      <c r="B20" s="64">
        <v>1.18</v>
      </c>
      <c r="C20" s="64">
        <v>20.05</v>
      </c>
      <c r="D20" s="64">
        <v>12.65</v>
      </c>
      <c r="E20" s="64">
        <v>1.6</v>
      </c>
      <c r="F20" s="64">
        <v>23.25</v>
      </c>
      <c r="G20" s="64">
        <v>17.510000000000002</v>
      </c>
      <c r="H20" s="64">
        <v>14.19</v>
      </c>
      <c r="I20" s="64">
        <v>0.81</v>
      </c>
      <c r="J20" s="64">
        <v>0.03</v>
      </c>
      <c r="K20" s="64">
        <v>359.94</v>
      </c>
      <c r="L20" s="64">
        <v>23.12</v>
      </c>
      <c r="M20" s="64">
        <v>54.23</v>
      </c>
      <c r="N20" s="64">
        <v>5.2</v>
      </c>
      <c r="O20" s="64">
        <v>0</v>
      </c>
      <c r="P20" s="64">
        <v>0.22</v>
      </c>
      <c r="Q20" s="64">
        <v>25.35</v>
      </c>
      <c r="S20" s="198"/>
      <c r="T20" s="198"/>
      <c r="U20" s="198"/>
    </row>
    <row r="21" spans="1:21" s="12" customFormat="1" x14ac:dyDescent="0.25">
      <c r="A21" s="211" t="s">
        <v>2373</v>
      </c>
      <c r="B21" s="64">
        <v>1.64</v>
      </c>
      <c r="C21" s="64">
        <v>23.8</v>
      </c>
      <c r="D21" s="64">
        <v>15.1</v>
      </c>
      <c r="E21" s="64">
        <v>1.43</v>
      </c>
      <c r="F21" s="64">
        <v>5.2</v>
      </c>
      <c r="G21" s="64">
        <v>17.510000000000002</v>
      </c>
      <c r="H21" s="64">
        <v>14.19</v>
      </c>
      <c r="I21" s="64">
        <v>0.55000000000000004</v>
      </c>
      <c r="J21" s="64">
        <v>0.26</v>
      </c>
      <c r="K21" s="64">
        <v>96.52</v>
      </c>
      <c r="L21" s="64">
        <v>23.13</v>
      </c>
      <c r="M21" s="64">
        <v>53.84</v>
      </c>
      <c r="N21" s="64">
        <v>4.8</v>
      </c>
      <c r="O21" s="64">
        <v>0</v>
      </c>
      <c r="P21" s="64">
        <v>0.23</v>
      </c>
      <c r="Q21" s="64">
        <v>25.08</v>
      </c>
      <c r="S21" s="198"/>
      <c r="T21" s="198"/>
      <c r="U21" s="198"/>
    </row>
    <row r="22" spans="1:21" s="12" customFormat="1" x14ac:dyDescent="0.25">
      <c r="A22" s="211" t="s">
        <v>2374</v>
      </c>
      <c r="B22" s="64">
        <v>1.46</v>
      </c>
      <c r="C22" s="64">
        <v>24.71</v>
      </c>
      <c r="D22" s="64">
        <v>15.46</v>
      </c>
      <c r="E22" s="64">
        <v>1.33</v>
      </c>
      <c r="F22" s="64">
        <v>6.56</v>
      </c>
      <c r="G22" s="64">
        <v>17.510000000000002</v>
      </c>
      <c r="H22" s="64">
        <v>14.19</v>
      </c>
      <c r="I22" s="64">
        <v>0.5</v>
      </c>
      <c r="J22" s="64">
        <v>0.26</v>
      </c>
      <c r="K22" s="64">
        <v>55.91</v>
      </c>
      <c r="L22" s="64">
        <v>23.55</v>
      </c>
      <c r="M22" s="64">
        <v>51.3</v>
      </c>
      <c r="N22" s="64">
        <v>4.5999999999999996</v>
      </c>
      <c r="O22" s="64">
        <v>0</v>
      </c>
      <c r="P22" s="64">
        <v>0.23</v>
      </c>
      <c r="Q22" s="64">
        <v>24.86</v>
      </c>
      <c r="S22" s="198"/>
      <c r="T22" s="198"/>
      <c r="U22" s="198"/>
    </row>
    <row r="23" spans="1:21" s="12" customFormat="1" x14ac:dyDescent="0.25">
      <c r="A23" s="211" t="s">
        <v>2375</v>
      </c>
      <c r="B23" s="64">
        <v>1.2</v>
      </c>
      <c r="C23" s="64">
        <v>25.13</v>
      </c>
      <c r="D23" s="64">
        <v>15.48</v>
      </c>
      <c r="E23" s="64">
        <v>1.81</v>
      </c>
      <c r="F23" s="64">
        <v>7.3</v>
      </c>
      <c r="G23" s="64">
        <v>16.899999999999999</v>
      </c>
      <c r="H23" s="64">
        <v>14.16</v>
      </c>
      <c r="I23" s="64">
        <v>0.54</v>
      </c>
      <c r="J23" s="64">
        <v>0.17</v>
      </c>
      <c r="K23" s="64">
        <v>128.96</v>
      </c>
      <c r="L23" s="64">
        <v>23.46</v>
      </c>
      <c r="M23" s="64">
        <v>53.26</v>
      </c>
      <c r="N23" s="64">
        <v>5</v>
      </c>
      <c r="O23" s="64">
        <v>0</v>
      </c>
      <c r="P23" s="64">
        <v>0.24</v>
      </c>
      <c r="Q23" s="64">
        <v>24.33</v>
      </c>
      <c r="S23" s="198"/>
      <c r="T23" s="198"/>
      <c r="U23" s="198"/>
    </row>
    <row r="24" spans="1:21" s="12" customFormat="1" x14ac:dyDescent="0.25">
      <c r="A24" s="211" t="s">
        <v>2376</v>
      </c>
      <c r="B24" s="64">
        <v>1.08</v>
      </c>
      <c r="C24" s="64">
        <v>25.29</v>
      </c>
      <c r="D24" s="64">
        <v>15.46</v>
      </c>
      <c r="E24" s="64">
        <v>0.52</v>
      </c>
      <c r="F24" s="64">
        <v>7.17</v>
      </c>
      <c r="G24" s="214" t="s">
        <v>42</v>
      </c>
      <c r="H24" s="214" t="s">
        <v>42</v>
      </c>
      <c r="I24" s="64">
        <v>0.53</v>
      </c>
      <c r="J24" s="64">
        <v>1.1100000000000001</v>
      </c>
      <c r="K24" s="64">
        <v>105.6</v>
      </c>
      <c r="L24" s="64">
        <v>24.36</v>
      </c>
      <c r="M24" s="64">
        <v>49.14</v>
      </c>
      <c r="N24" s="64">
        <v>2.7</v>
      </c>
      <c r="O24" s="64">
        <v>0</v>
      </c>
      <c r="P24" s="64">
        <v>0.23</v>
      </c>
      <c r="Q24" s="64">
        <v>24.16</v>
      </c>
      <c r="S24" s="198"/>
      <c r="T24" s="198"/>
      <c r="U24" s="198"/>
    </row>
    <row r="25" spans="1:21" s="12" customFormat="1" x14ac:dyDescent="0.25">
      <c r="A25" s="211" t="s">
        <v>2377</v>
      </c>
      <c r="B25" s="64">
        <v>1</v>
      </c>
      <c r="C25" s="64">
        <v>24.85</v>
      </c>
      <c r="D25" s="64">
        <v>15.17</v>
      </c>
      <c r="E25" s="64">
        <v>0.56000000000000005</v>
      </c>
      <c r="F25" s="64">
        <v>8.17</v>
      </c>
      <c r="G25" s="214" t="s">
        <v>42</v>
      </c>
      <c r="H25" s="214" t="s">
        <v>42</v>
      </c>
      <c r="I25" s="64">
        <v>0.64</v>
      </c>
      <c r="J25" s="64">
        <v>1.1100000000000001</v>
      </c>
      <c r="K25" s="64">
        <v>99.2</v>
      </c>
      <c r="L25" s="64">
        <v>24.72</v>
      </c>
      <c r="M25" s="64">
        <v>48.19</v>
      </c>
      <c r="N25" s="64">
        <v>4.0999999999999996</v>
      </c>
      <c r="O25" s="64">
        <v>0</v>
      </c>
      <c r="P25" s="64">
        <v>0.23</v>
      </c>
      <c r="Q25" s="64">
        <v>24.11</v>
      </c>
      <c r="S25" s="198"/>
      <c r="T25" s="198"/>
      <c r="U25" s="198"/>
    </row>
    <row r="26" spans="1:21" s="12" customFormat="1" x14ac:dyDescent="0.25">
      <c r="A26" s="211" t="s">
        <v>2378</v>
      </c>
      <c r="B26" s="64">
        <v>1</v>
      </c>
      <c r="C26" s="64">
        <v>25.22</v>
      </c>
      <c r="D26" s="64">
        <v>15.37</v>
      </c>
      <c r="E26" s="64">
        <v>0.45</v>
      </c>
      <c r="F26" s="64">
        <v>6.91</v>
      </c>
      <c r="G26" s="214" t="s">
        <v>42</v>
      </c>
      <c r="H26" s="214" t="s">
        <v>42</v>
      </c>
      <c r="I26" s="64">
        <v>0.63</v>
      </c>
      <c r="J26" s="64">
        <v>1.55</v>
      </c>
      <c r="K26" s="64">
        <v>109.34</v>
      </c>
      <c r="L26" s="64">
        <v>24.33</v>
      </c>
      <c r="M26" s="64">
        <v>49.45</v>
      </c>
      <c r="N26" s="64">
        <v>4.8</v>
      </c>
      <c r="O26" s="64">
        <v>0</v>
      </c>
      <c r="P26" s="64">
        <v>0.23</v>
      </c>
      <c r="Q26" s="64">
        <v>24.22</v>
      </c>
      <c r="S26" s="198"/>
      <c r="T26" s="198"/>
      <c r="U26" s="198"/>
    </row>
    <row r="27" spans="1:21" s="12" customFormat="1" x14ac:dyDescent="0.25">
      <c r="A27" s="211" t="s">
        <v>2379</v>
      </c>
      <c r="B27" s="64">
        <v>1</v>
      </c>
      <c r="C27" s="64">
        <v>25.84</v>
      </c>
      <c r="D27" s="64">
        <v>15.71</v>
      </c>
      <c r="E27" s="64">
        <v>0.45</v>
      </c>
      <c r="F27" s="64">
        <v>7.11</v>
      </c>
      <c r="G27" s="214" t="s">
        <v>42</v>
      </c>
      <c r="H27" s="214" t="s">
        <v>42</v>
      </c>
      <c r="I27" s="64">
        <v>0.61</v>
      </c>
      <c r="J27" s="64">
        <v>0.78</v>
      </c>
      <c r="K27" s="64">
        <v>106.35</v>
      </c>
      <c r="L27" s="64">
        <v>24.35</v>
      </c>
      <c r="M27" s="64">
        <v>48.87</v>
      </c>
      <c r="N27" s="64">
        <v>4.9000000000000004</v>
      </c>
      <c r="O27" s="64">
        <v>0</v>
      </c>
      <c r="P27" s="64">
        <v>0.24</v>
      </c>
      <c r="Q27" s="64">
        <v>24.68</v>
      </c>
      <c r="S27" s="198"/>
      <c r="T27" s="198"/>
      <c r="U27" s="198"/>
    </row>
    <row r="28" spans="1:21" s="12" customFormat="1" x14ac:dyDescent="0.25">
      <c r="A28" s="211" t="s">
        <v>2380</v>
      </c>
      <c r="B28" s="64">
        <v>1.05</v>
      </c>
      <c r="C28" s="64">
        <v>27.73</v>
      </c>
      <c r="D28" s="64">
        <v>16.79</v>
      </c>
      <c r="E28" s="64">
        <v>0.89</v>
      </c>
      <c r="F28" s="64">
        <v>15.09</v>
      </c>
      <c r="G28" s="64">
        <v>13.08</v>
      </c>
      <c r="H28" s="64">
        <v>11.25</v>
      </c>
      <c r="I28" s="64">
        <v>0.54</v>
      </c>
      <c r="J28" s="64">
        <v>0.92</v>
      </c>
      <c r="K28" s="64">
        <v>97.62</v>
      </c>
      <c r="L28" s="64">
        <v>24.18</v>
      </c>
      <c r="M28" s="64">
        <v>49.3</v>
      </c>
      <c r="N28" s="64">
        <v>4.7</v>
      </c>
      <c r="O28" s="64">
        <v>0</v>
      </c>
      <c r="P28" s="64">
        <v>0.23</v>
      </c>
      <c r="Q28" s="64">
        <v>25.33</v>
      </c>
      <c r="S28" s="198"/>
      <c r="T28" s="198"/>
      <c r="U28" s="198"/>
    </row>
    <row r="29" spans="1:21" s="12" customFormat="1" x14ac:dyDescent="0.25">
      <c r="A29" s="211" t="s">
        <v>2381</v>
      </c>
      <c r="B29" s="64">
        <v>1.28</v>
      </c>
      <c r="C29" s="64">
        <v>28.96</v>
      </c>
      <c r="D29" s="64">
        <v>17.66</v>
      </c>
      <c r="E29" s="64">
        <v>0.77</v>
      </c>
      <c r="F29" s="64">
        <v>17.05</v>
      </c>
      <c r="G29" s="64">
        <v>13.08</v>
      </c>
      <c r="H29" s="64">
        <v>11.25</v>
      </c>
      <c r="I29" s="64">
        <v>0.52</v>
      </c>
      <c r="J29" s="64">
        <v>0.1</v>
      </c>
      <c r="K29" s="64">
        <v>208.94</v>
      </c>
      <c r="L29" s="64">
        <v>23.79</v>
      </c>
      <c r="M29" s="64">
        <v>50.84</v>
      </c>
      <c r="N29" s="64">
        <v>6.8</v>
      </c>
      <c r="O29" s="64">
        <v>0</v>
      </c>
      <c r="P29" s="64">
        <v>0.24</v>
      </c>
      <c r="Q29" s="64">
        <v>26.18</v>
      </c>
      <c r="S29" s="198"/>
      <c r="T29" s="198"/>
      <c r="U29" s="198"/>
    </row>
    <row r="30" spans="1:21" s="12" customFormat="1" x14ac:dyDescent="0.25">
      <c r="A30" s="211" t="s">
        <v>2382</v>
      </c>
      <c r="B30" s="64">
        <v>3.55</v>
      </c>
      <c r="C30" s="64">
        <v>37.78</v>
      </c>
      <c r="D30" s="64">
        <v>24.34</v>
      </c>
      <c r="E30" s="64">
        <v>0.84</v>
      </c>
      <c r="F30" s="64">
        <v>13.36</v>
      </c>
      <c r="G30" s="64">
        <v>13.08</v>
      </c>
      <c r="H30" s="64">
        <v>11.25</v>
      </c>
      <c r="I30" s="64">
        <v>0.56000000000000005</v>
      </c>
      <c r="J30" s="64">
        <v>0.21</v>
      </c>
      <c r="K30" s="64">
        <v>237.36</v>
      </c>
      <c r="L30" s="64">
        <v>23.48</v>
      </c>
      <c r="M30" s="64">
        <v>52.18</v>
      </c>
      <c r="N30" s="64">
        <v>13.2</v>
      </c>
      <c r="O30" s="64">
        <v>0</v>
      </c>
      <c r="P30" s="64">
        <v>0.28000000000000003</v>
      </c>
      <c r="Q30" s="64">
        <v>26.07</v>
      </c>
      <c r="S30" s="198"/>
      <c r="T30" s="198"/>
      <c r="U30" s="198"/>
    </row>
    <row r="31" spans="1:21" s="12" customFormat="1" x14ac:dyDescent="0.25">
      <c r="A31" s="211" t="s">
        <v>2383</v>
      </c>
      <c r="B31" s="64">
        <v>8.51</v>
      </c>
      <c r="C31" s="64">
        <v>41.29</v>
      </c>
      <c r="D31" s="64">
        <v>30.26</v>
      </c>
      <c r="E31" s="64">
        <v>1.03</v>
      </c>
      <c r="F31" s="64">
        <v>11.39</v>
      </c>
      <c r="G31" s="64">
        <v>14.03</v>
      </c>
      <c r="H31" s="64">
        <v>11.33</v>
      </c>
      <c r="I31" s="64">
        <v>0.6</v>
      </c>
      <c r="J31" s="64">
        <v>0.14000000000000001</v>
      </c>
      <c r="K31" s="64">
        <v>253.43</v>
      </c>
      <c r="L31" s="64">
        <v>23.54</v>
      </c>
      <c r="M31" s="64">
        <v>52.82</v>
      </c>
      <c r="N31" s="64">
        <v>28.4</v>
      </c>
      <c r="O31" s="64">
        <v>0</v>
      </c>
      <c r="P31" s="64">
        <v>0.35</v>
      </c>
      <c r="Q31" s="64">
        <v>25.55</v>
      </c>
      <c r="S31" s="198"/>
      <c r="T31" s="198"/>
      <c r="U31" s="198"/>
    </row>
    <row r="32" spans="1:21" s="12" customFormat="1" x14ac:dyDescent="0.25">
      <c r="A32" s="211" t="s">
        <v>2384</v>
      </c>
      <c r="B32" s="64">
        <v>7.54</v>
      </c>
      <c r="C32" s="64">
        <v>39.19</v>
      </c>
      <c r="D32" s="64">
        <v>28.33</v>
      </c>
      <c r="E32" s="64">
        <v>0.83</v>
      </c>
      <c r="F32" s="64">
        <v>6.87</v>
      </c>
      <c r="G32" s="64">
        <v>22.53</v>
      </c>
      <c r="H32" s="64">
        <v>11.86</v>
      </c>
      <c r="I32" s="64">
        <v>0.69</v>
      </c>
      <c r="J32" s="64">
        <v>0.4</v>
      </c>
      <c r="K32" s="64">
        <v>103.03</v>
      </c>
      <c r="L32" s="64">
        <v>23.92</v>
      </c>
      <c r="M32" s="64">
        <v>51.84</v>
      </c>
      <c r="N32" s="64">
        <v>55.8</v>
      </c>
      <c r="O32" s="64">
        <v>0</v>
      </c>
      <c r="P32" s="64">
        <v>0.37</v>
      </c>
      <c r="Q32" s="64">
        <v>25.37</v>
      </c>
      <c r="S32" s="198"/>
      <c r="T32" s="198"/>
      <c r="U32" s="198"/>
    </row>
    <row r="33" spans="1:21" s="12" customFormat="1" x14ac:dyDescent="0.25">
      <c r="A33" s="211" t="s">
        <v>2385</v>
      </c>
      <c r="B33" s="64">
        <v>4.51</v>
      </c>
      <c r="C33" s="64">
        <v>32.42</v>
      </c>
      <c r="D33" s="64">
        <v>22.15</v>
      </c>
      <c r="E33" s="64">
        <v>0.62</v>
      </c>
      <c r="F33" s="64">
        <v>4.29</v>
      </c>
      <c r="G33" s="64">
        <v>22.53</v>
      </c>
      <c r="H33" s="64">
        <v>11.86</v>
      </c>
      <c r="I33" s="64">
        <v>0.63</v>
      </c>
      <c r="J33" s="64">
        <v>0.28999999999999998</v>
      </c>
      <c r="K33" s="64">
        <v>201.98</v>
      </c>
      <c r="L33" s="64">
        <v>24.61</v>
      </c>
      <c r="M33" s="64">
        <v>49.18</v>
      </c>
      <c r="N33" s="64">
        <v>93.1</v>
      </c>
      <c r="O33" s="64">
        <v>0</v>
      </c>
      <c r="P33" s="64">
        <v>0.3</v>
      </c>
      <c r="Q33" s="64">
        <v>26.73</v>
      </c>
      <c r="S33" s="198"/>
      <c r="T33" s="198"/>
      <c r="U33" s="198"/>
    </row>
    <row r="34" spans="1:21" s="12" customFormat="1" x14ac:dyDescent="0.25">
      <c r="A34" s="211" t="s">
        <v>2386</v>
      </c>
      <c r="B34" s="64">
        <v>4.5999999999999996</v>
      </c>
      <c r="C34" s="64">
        <v>33.880000000000003</v>
      </c>
      <c r="D34" s="64">
        <v>23.03</v>
      </c>
      <c r="E34" s="64">
        <v>0.66</v>
      </c>
      <c r="F34" s="64">
        <v>3.97</v>
      </c>
      <c r="G34" s="64">
        <v>22.53</v>
      </c>
      <c r="H34" s="64">
        <v>11.86</v>
      </c>
      <c r="I34" s="64">
        <v>0.8</v>
      </c>
      <c r="J34" s="64">
        <v>0.16</v>
      </c>
      <c r="K34" s="64">
        <v>270.68</v>
      </c>
      <c r="L34" s="64">
        <v>25.98</v>
      </c>
      <c r="M34" s="64">
        <v>47.32</v>
      </c>
      <c r="N34" s="64">
        <v>137</v>
      </c>
      <c r="O34" s="64">
        <v>0</v>
      </c>
      <c r="P34" s="64">
        <v>0.35</v>
      </c>
      <c r="Q34" s="64">
        <v>26.64</v>
      </c>
      <c r="S34" s="198"/>
      <c r="T34" s="198"/>
      <c r="U34" s="198"/>
    </row>
    <row r="35" spans="1:21" s="12" customFormat="1" x14ac:dyDescent="0.25">
      <c r="A35" s="211" t="s">
        <v>2387</v>
      </c>
      <c r="B35" s="64">
        <v>6.18</v>
      </c>
      <c r="C35" s="64">
        <v>36.840000000000003</v>
      </c>
      <c r="D35" s="64">
        <v>25.93</v>
      </c>
      <c r="E35" s="64">
        <v>0.56999999999999995</v>
      </c>
      <c r="F35" s="64">
        <v>4.4000000000000004</v>
      </c>
      <c r="G35" s="64">
        <v>24.51</v>
      </c>
      <c r="H35" s="64">
        <v>13.06</v>
      </c>
      <c r="I35" s="64">
        <v>0.65</v>
      </c>
      <c r="J35" s="64">
        <v>0.14000000000000001</v>
      </c>
      <c r="K35" s="64">
        <v>181.82</v>
      </c>
      <c r="L35" s="64">
        <v>27.46</v>
      </c>
      <c r="M35" s="64">
        <v>42.43</v>
      </c>
      <c r="N35" s="64">
        <v>182.2</v>
      </c>
      <c r="O35" s="64">
        <v>0</v>
      </c>
      <c r="P35" s="64">
        <v>0.4</v>
      </c>
      <c r="Q35" s="64">
        <v>26.45</v>
      </c>
      <c r="S35" s="198"/>
      <c r="T35" s="198"/>
      <c r="U35" s="198"/>
    </row>
    <row r="36" spans="1:21" s="12" customFormat="1" x14ac:dyDescent="0.25">
      <c r="A36" s="211" t="s">
        <v>2388</v>
      </c>
      <c r="B36" s="64">
        <v>6.09</v>
      </c>
      <c r="C36" s="64">
        <v>38.96</v>
      </c>
      <c r="D36" s="64">
        <v>27.03</v>
      </c>
      <c r="E36" s="64">
        <v>0.53</v>
      </c>
      <c r="F36" s="64">
        <v>5.41</v>
      </c>
      <c r="G36" s="64">
        <v>42.37</v>
      </c>
      <c r="H36" s="64">
        <v>20.78</v>
      </c>
      <c r="I36" s="64">
        <v>0.6</v>
      </c>
      <c r="J36" s="64">
        <v>0.52</v>
      </c>
      <c r="K36" s="64">
        <v>163.08000000000001</v>
      </c>
      <c r="L36" s="64">
        <v>27.4</v>
      </c>
      <c r="M36" s="64">
        <v>41.71</v>
      </c>
      <c r="N36" s="64">
        <v>235.9</v>
      </c>
      <c r="O36" s="64">
        <v>0</v>
      </c>
      <c r="P36" s="64">
        <v>0.42</v>
      </c>
      <c r="Q36" s="64">
        <v>26.26</v>
      </c>
      <c r="S36" s="198"/>
      <c r="T36" s="198"/>
      <c r="U36" s="198"/>
    </row>
    <row r="37" spans="1:21" s="12" customFormat="1" x14ac:dyDescent="0.25">
      <c r="A37" s="211" t="s">
        <v>2389</v>
      </c>
      <c r="B37" s="64">
        <v>4.7699999999999996</v>
      </c>
      <c r="C37" s="64">
        <v>39.94</v>
      </c>
      <c r="D37" s="64">
        <v>26.51</v>
      </c>
      <c r="E37" s="64">
        <v>0.32</v>
      </c>
      <c r="F37" s="64">
        <v>5.74</v>
      </c>
      <c r="G37" s="64">
        <v>42.37</v>
      </c>
      <c r="H37" s="64">
        <v>20.78</v>
      </c>
      <c r="I37" s="64">
        <v>0.77</v>
      </c>
      <c r="J37" s="64">
        <v>0.09</v>
      </c>
      <c r="K37" s="64">
        <v>163.86</v>
      </c>
      <c r="L37" s="64">
        <v>28.24</v>
      </c>
      <c r="M37" s="64">
        <v>40.49</v>
      </c>
      <c r="N37" s="64">
        <v>285.5</v>
      </c>
      <c r="O37" s="64">
        <v>0</v>
      </c>
      <c r="P37" s="64">
        <v>0.45</v>
      </c>
      <c r="Q37" s="64">
        <v>25.78</v>
      </c>
      <c r="S37" s="198"/>
      <c r="T37" s="198"/>
      <c r="U37" s="198"/>
    </row>
    <row r="38" spans="1:21" s="12" customFormat="1" x14ac:dyDescent="0.25">
      <c r="A38" s="211" t="s">
        <v>2390</v>
      </c>
      <c r="B38" s="64">
        <v>3.35</v>
      </c>
      <c r="C38" s="64">
        <v>40.06</v>
      </c>
      <c r="D38" s="64">
        <v>25.45</v>
      </c>
      <c r="E38" s="64">
        <v>0.92</v>
      </c>
      <c r="F38" s="64">
        <v>5.38</v>
      </c>
      <c r="G38" s="64">
        <v>42.37</v>
      </c>
      <c r="H38" s="64">
        <v>20.78</v>
      </c>
      <c r="I38" s="64">
        <v>0.69</v>
      </c>
      <c r="J38" s="64">
        <v>0.03</v>
      </c>
      <c r="K38" s="64">
        <v>322.73</v>
      </c>
      <c r="L38" s="64">
        <v>29.69</v>
      </c>
      <c r="M38" s="64">
        <v>38.369999999999997</v>
      </c>
      <c r="N38" s="64">
        <v>338.2</v>
      </c>
      <c r="O38" s="64">
        <v>0</v>
      </c>
      <c r="P38" s="64">
        <v>0.49</v>
      </c>
      <c r="Q38" s="64">
        <v>25.26</v>
      </c>
      <c r="S38" s="198"/>
      <c r="T38" s="198"/>
      <c r="U38" s="198"/>
    </row>
    <row r="39" spans="1:21" s="12" customFormat="1" x14ac:dyDescent="0.25">
      <c r="A39" s="211" t="s">
        <v>2391</v>
      </c>
      <c r="B39" s="64">
        <v>3.61</v>
      </c>
      <c r="C39" s="64">
        <v>41.57</v>
      </c>
      <c r="D39" s="64">
        <v>26.48</v>
      </c>
      <c r="E39" s="64">
        <v>0.38</v>
      </c>
      <c r="F39" s="64">
        <v>11.71</v>
      </c>
      <c r="G39" s="64">
        <v>43.76</v>
      </c>
      <c r="H39" s="64">
        <v>21.55</v>
      </c>
      <c r="I39" s="64">
        <v>0.72</v>
      </c>
      <c r="J39" s="64">
        <v>0.05</v>
      </c>
      <c r="K39" s="64">
        <v>248.38</v>
      </c>
      <c r="L39" s="64">
        <v>29.39</v>
      </c>
      <c r="M39" s="64">
        <v>39.229999999999997</v>
      </c>
      <c r="N39" s="64">
        <v>386.1</v>
      </c>
      <c r="O39" s="64">
        <v>0</v>
      </c>
      <c r="P39" s="64">
        <v>0.55000000000000004</v>
      </c>
      <c r="Q39" s="64">
        <v>24.89</v>
      </c>
      <c r="S39" s="198"/>
      <c r="T39" s="198"/>
      <c r="U39" s="198"/>
    </row>
    <row r="40" spans="1:21" s="12" customFormat="1" x14ac:dyDescent="0.25">
      <c r="A40" s="211" t="s">
        <v>2392</v>
      </c>
      <c r="B40" s="64">
        <v>4.93</v>
      </c>
      <c r="C40" s="64">
        <v>38.31</v>
      </c>
      <c r="D40" s="64">
        <v>25.74</v>
      </c>
      <c r="E40" s="64">
        <v>1.17</v>
      </c>
      <c r="F40" s="64">
        <v>21.32</v>
      </c>
      <c r="G40" s="64">
        <v>56.25</v>
      </c>
      <c r="H40" s="64">
        <v>26.47</v>
      </c>
      <c r="I40" s="64">
        <v>0.68</v>
      </c>
      <c r="J40" s="64">
        <v>0.19</v>
      </c>
      <c r="K40" s="64">
        <v>249.7</v>
      </c>
      <c r="L40" s="64">
        <v>30.21</v>
      </c>
      <c r="M40" s="64">
        <v>38</v>
      </c>
      <c r="N40" s="64">
        <v>430.7</v>
      </c>
      <c r="O40" s="64">
        <v>0</v>
      </c>
      <c r="P40" s="64">
        <v>0.55000000000000004</v>
      </c>
      <c r="Q40" s="64">
        <v>25.44</v>
      </c>
      <c r="S40" s="198"/>
      <c r="T40" s="198"/>
      <c r="U40" s="198"/>
    </row>
    <row r="41" spans="1:21" s="12" customFormat="1" x14ac:dyDescent="0.25">
      <c r="A41" s="211" t="s">
        <v>2393</v>
      </c>
      <c r="B41" s="64">
        <v>4.53</v>
      </c>
      <c r="C41" s="64">
        <v>35.42</v>
      </c>
      <c r="D41" s="64">
        <v>23.83</v>
      </c>
      <c r="E41" s="64">
        <v>3.29</v>
      </c>
      <c r="F41" s="64">
        <v>16.32</v>
      </c>
      <c r="G41" s="64">
        <v>56.25</v>
      </c>
      <c r="H41" s="64">
        <v>26.47</v>
      </c>
      <c r="I41" s="64">
        <v>0.62</v>
      </c>
      <c r="J41" s="64">
        <v>0.54</v>
      </c>
      <c r="K41" s="64">
        <v>257.68</v>
      </c>
      <c r="L41" s="64">
        <v>32.67</v>
      </c>
      <c r="M41" s="64">
        <v>34.5</v>
      </c>
      <c r="N41" s="64">
        <v>491.5</v>
      </c>
      <c r="O41" s="64">
        <v>0</v>
      </c>
      <c r="P41" s="64">
        <v>0.59</v>
      </c>
      <c r="Q41" s="64">
        <v>24.56</v>
      </c>
      <c r="S41" s="198"/>
      <c r="T41" s="198"/>
      <c r="U41" s="198"/>
    </row>
    <row r="42" spans="1:21" s="12" customFormat="1" x14ac:dyDescent="0.25">
      <c r="A42" s="211" t="s">
        <v>2394</v>
      </c>
      <c r="B42" s="64">
        <v>4.5199999999999996</v>
      </c>
      <c r="C42" s="64">
        <v>36.520000000000003</v>
      </c>
      <c r="D42" s="64">
        <v>24.43</v>
      </c>
      <c r="E42" s="64">
        <v>4.7699999999999996</v>
      </c>
      <c r="F42" s="64">
        <v>19.03</v>
      </c>
      <c r="G42" s="64">
        <v>56.25</v>
      </c>
      <c r="H42" s="64">
        <v>26.47</v>
      </c>
      <c r="I42" s="64">
        <v>0.55000000000000004</v>
      </c>
      <c r="J42" s="64">
        <v>0.2</v>
      </c>
      <c r="K42" s="64">
        <v>259.31</v>
      </c>
      <c r="L42" s="64">
        <v>33.44</v>
      </c>
      <c r="M42" s="64">
        <v>33.32</v>
      </c>
      <c r="N42" s="64">
        <v>539.29999999999995</v>
      </c>
      <c r="O42" s="64">
        <v>0</v>
      </c>
      <c r="P42" s="64">
        <v>0.77</v>
      </c>
      <c r="Q42" s="64">
        <v>25.67</v>
      </c>
      <c r="S42" s="198"/>
      <c r="T42" s="198"/>
      <c r="U42" s="198"/>
    </row>
    <row r="43" spans="1:21" s="12" customFormat="1" x14ac:dyDescent="0.25">
      <c r="A43" s="211" t="s">
        <v>2395</v>
      </c>
      <c r="B43" s="64">
        <v>4.1399999999999997</v>
      </c>
      <c r="C43" s="64">
        <v>38.799999999999997</v>
      </c>
      <c r="D43" s="64">
        <v>25.38</v>
      </c>
      <c r="E43" s="64">
        <v>5.23</v>
      </c>
      <c r="F43" s="64">
        <v>10.45</v>
      </c>
      <c r="G43" s="64">
        <v>56.36</v>
      </c>
      <c r="H43" s="64">
        <v>26.27</v>
      </c>
      <c r="I43" s="64">
        <v>0.54</v>
      </c>
      <c r="J43" s="64">
        <v>0.17</v>
      </c>
      <c r="K43" s="64">
        <v>270.06</v>
      </c>
      <c r="L43" s="64">
        <v>32.99</v>
      </c>
      <c r="M43" s="64">
        <v>33.64</v>
      </c>
      <c r="N43" s="64">
        <v>582.1</v>
      </c>
      <c r="O43" s="64">
        <v>0</v>
      </c>
      <c r="P43" s="64">
        <v>0.79</v>
      </c>
      <c r="Q43" s="64">
        <v>25.69</v>
      </c>
      <c r="S43" s="198"/>
      <c r="T43" s="198"/>
      <c r="U43" s="198"/>
    </row>
    <row r="44" spans="1:21" s="12" customFormat="1" x14ac:dyDescent="0.25">
      <c r="A44" s="211" t="s">
        <v>2396</v>
      </c>
      <c r="B44" s="64">
        <v>3.25</v>
      </c>
      <c r="C44" s="64">
        <v>37.04</v>
      </c>
      <c r="D44" s="64">
        <v>23.69</v>
      </c>
      <c r="E44" s="64">
        <v>4.43</v>
      </c>
      <c r="F44" s="64">
        <v>8.19</v>
      </c>
      <c r="G44" s="64">
        <v>57.25</v>
      </c>
      <c r="H44" s="64">
        <v>24.96</v>
      </c>
      <c r="I44" s="64">
        <v>0.62</v>
      </c>
      <c r="J44" s="64">
        <v>0.28000000000000003</v>
      </c>
      <c r="K44" s="64">
        <v>265.02999999999997</v>
      </c>
      <c r="L44" s="64">
        <v>33.74</v>
      </c>
      <c r="M44" s="64">
        <v>32.54</v>
      </c>
      <c r="N44" s="64">
        <v>622.79999999999995</v>
      </c>
      <c r="O44" s="64">
        <v>0</v>
      </c>
      <c r="P44" s="64">
        <v>0.78</v>
      </c>
      <c r="Q44" s="64">
        <v>25.7</v>
      </c>
      <c r="S44" s="198"/>
      <c r="T44" s="198"/>
      <c r="U44" s="198"/>
    </row>
    <row r="45" spans="1:21" s="12" customFormat="1" x14ac:dyDescent="0.25">
      <c r="A45" s="211" t="s">
        <v>2397</v>
      </c>
      <c r="B45" s="64">
        <v>2.39</v>
      </c>
      <c r="C45" s="64">
        <v>37.729999999999997</v>
      </c>
      <c r="D45" s="64">
        <v>23.39</v>
      </c>
      <c r="E45" s="64">
        <v>3.65</v>
      </c>
      <c r="F45" s="64">
        <v>7.3</v>
      </c>
      <c r="G45" s="64">
        <v>57.25</v>
      </c>
      <c r="H45" s="64">
        <v>24.96</v>
      </c>
      <c r="I45" s="64">
        <v>0.59</v>
      </c>
      <c r="J45" s="64">
        <v>7.0000000000000007E-2</v>
      </c>
      <c r="K45" s="64">
        <v>354.98</v>
      </c>
      <c r="L45" s="64">
        <v>32.979999999999997</v>
      </c>
      <c r="M45" s="64">
        <v>33.44</v>
      </c>
      <c r="N45" s="64">
        <v>666.7</v>
      </c>
      <c r="O45" s="64">
        <v>0</v>
      </c>
      <c r="P45" s="64">
        <v>0.82</v>
      </c>
      <c r="Q45" s="64">
        <v>25.36</v>
      </c>
      <c r="S45" s="198"/>
      <c r="T45" s="198"/>
      <c r="U45" s="198"/>
    </row>
    <row r="46" spans="1:21" s="12" customFormat="1" x14ac:dyDescent="0.25">
      <c r="A46" s="211" t="s">
        <v>2398</v>
      </c>
      <c r="B46" s="64">
        <v>1.75</v>
      </c>
      <c r="C46" s="64">
        <v>39.24</v>
      </c>
      <c r="D46" s="64">
        <v>23.71</v>
      </c>
      <c r="E46" s="64">
        <v>3.15</v>
      </c>
      <c r="F46" s="64">
        <v>8.59</v>
      </c>
      <c r="G46" s="64">
        <v>57.25</v>
      </c>
      <c r="H46" s="64">
        <v>24.96</v>
      </c>
      <c r="I46" s="64">
        <v>0.57999999999999996</v>
      </c>
      <c r="J46" s="64">
        <v>0.22</v>
      </c>
      <c r="K46" s="64">
        <v>268.58</v>
      </c>
      <c r="L46" s="64">
        <v>34.14</v>
      </c>
      <c r="M46" s="64">
        <v>33.049999999999997</v>
      </c>
      <c r="N46" s="64">
        <v>640</v>
      </c>
      <c r="O46" s="64">
        <v>0</v>
      </c>
      <c r="P46" s="64">
        <v>0.87</v>
      </c>
      <c r="Q46" s="64">
        <v>24.67</v>
      </c>
      <c r="S46" s="198"/>
      <c r="T46" s="198"/>
      <c r="U46" s="198"/>
    </row>
    <row r="47" spans="1:21" s="12" customFormat="1" x14ac:dyDescent="0.25">
      <c r="A47" s="211" t="s">
        <v>2399</v>
      </c>
      <c r="B47" s="64">
        <v>1.43</v>
      </c>
      <c r="C47" s="64">
        <v>40.700000000000003</v>
      </c>
      <c r="D47" s="64">
        <v>24.26</v>
      </c>
      <c r="E47" s="64">
        <v>2.2999999999999998</v>
      </c>
      <c r="F47" s="64">
        <v>10.5</v>
      </c>
      <c r="G47" s="64">
        <v>57.66</v>
      </c>
      <c r="H47" s="64">
        <v>25.28</v>
      </c>
      <c r="I47" s="64">
        <v>0.56999999999999995</v>
      </c>
      <c r="J47" s="64">
        <v>0.15</v>
      </c>
      <c r="K47" s="64">
        <v>28.67</v>
      </c>
      <c r="L47" s="64">
        <v>32.950000000000003</v>
      </c>
      <c r="M47" s="64">
        <v>34.659999999999997</v>
      </c>
      <c r="N47" s="64">
        <v>669.1</v>
      </c>
      <c r="O47" s="64">
        <v>0</v>
      </c>
      <c r="P47" s="64">
        <v>0.94</v>
      </c>
      <c r="Q47" s="64">
        <v>23.98</v>
      </c>
      <c r="S47" s="198"/>
      <c r="T47" s="198"/>
      <c r="U47" s="198"/>
    </row>
    <row r="48" spans="1:21" s="12" customFormat="1" x14ac:dyDescent="0.25">
      <c r="A48" s="211" t="s">
        <v>2400</v>
      </c>
      <c r="B48" s="64">
        <v>1.22</v>
      </c>
      <c r="C48" s="64">
        <v>42.14</v>
      </c>
      <c r="D48" s="64">
        <v>24.88</v>
      </c>
      <c r="E48" s="64">
        <v>3.02</v>
      </c>
      <c r="F48" s="64">
        <v>11.27</v>
      </c>
      <c r="G48" s="64">
        <v>61.33</v>
      </c>
      <c r="H48" s="64">
        <v>27.31</v>
      </c>
      <c r="I48" s="64">
        <v>0.56999999999999995</v>
      </c>
      <c r="J48" s="64">
        <v>0.04</v>
      </c>
      <c r="K48" s="64">
        <v>263.04000000000002</v>
      </c>
      <c r="L48" s="64">
        <v>32.979999999999997</v>
      </c>
      <c r="M48" s="64">
        <v>35.01</v>
      </c>
      <c r="N48" s="64">
        <v>687.9</v>
      </c>
      <c r="O48" s="64">
        <v>0</v>
      </c>
      <c r="P48" s="64">
        <v>1</v>
      </c>
      <c r="Q48" s="64">
        <v>23.75</v>
      </c>
      <c r="S48" s="198"/>
      <c r="T48" s="198"/>
      <c r="U48" s="198"/>
    </row>
    <row r="49" spans="1:21" s="12" customFormat="1" x14ac:dyDescent="0.25">
      <c r="A49" s="211" t="s">
        <v>2401</v>
      </c>
      <c r="B49" s="64">
        <v>1.04</v>
      </c>
      <c r="C49" s="64">
        <v>41.99</v>
      </c>
      <c r="D49" s="64">
        <v>24.66</v>
      </c>
      <c r="E49" s="64">
        <v>2.58</v>
      </c>
      <c r="F49" s="64">
        <v>12.4</v>
      </c>
      <c r="G49" s="64">
        <v>61.33</v>
      </c>
      <c r="H49" s="64">
        <v>27.31</v>
      </c>
      <c r="I49" s="64">
        <v>0.55000000000000004</v>
      </c>
      <c r="J49" s="64">
        <v>0.16</v>
      </c>
      <c r="K49" s="64">
        <v>39.26</v>
      </c>
      <c r="L49" s="64">
        <v>32.76</v>
      </c>
      <c r="M49" s="64">
        <v>35.36</v>
      </c>
      <c r="N49" s="64">
        <v>804.3</v>
      </c>
      <c r="O49" s="64">
        <v>0</v>
      </c>
      <c r="P49" s="64">
        <v>1</v>
      </c>
      <c r="Q49" s="64">
        <v>23.7</v>
      </c>
      <c r="S49" s="198"/>
      <c r="T49" s="198"/>
      <c r="U49" s="198"/>
    </row>
    <row r="50" spans="1:21" s="12" customFormat="1" x14ac:dyDescent="0.25">
      <c r="A50" s="211" t="s">
        <v>2402</v>
      </c>
      <c r="B50" s="64">
        <v>1</v>
      </c>
      <c r="C50" s="64">
        <v>40.82</v>
      </c>
      <c r="D50" s="64">
        <v>23.98</v>
      </c>
      <c r="E50" s="64">
        <v>2.7</v>
      </c>
      <c r="F50" s="64">
        <v>14.06</v>
      </c>
      <c r="G50" s="64">
        <v>61.33</v>
      </c>
      <c r="H50" s="64">
        <v>27.31</v>
      </c>
      <c r="I50" s="64">
        <v>0.69</v>
      </c>
      <c r="J50" s="64">
        <v>0.16</v>
      </c>
      <c r="K50" s="64">
        <v>25.29</v>
      </c>
      <c r="L50" s="64">
        <v>32.950000000000003</v>
      </c>
      <c r="M50" s="64">
        <v>34.94</v>
      </c>
      <c r="N50" s="64">
        <v>835.2</v>
      </c>
      <c r="O50" s="64">
        <v>0</v>
      </c>
      <c r="P50" s="64">
        <v>0.96</v>
      </c>
      <c r="Q50" s="64">
        <v>23.4</v>
      </c>
      <c r="S50" s="198"/>
      <c r="T50" s="198"/>
      <c r="U50" s="198"/>
    </row>
    <row r="51" spans="1:21" s="12" customFormat="1" x14ac:dyDescent="0.25">
      <c r="A51" s="211" t="s">
        <v>2403</v>
      </c>
      <c r="B51" s="64">
        <v>1</v>
      </c>
      <c r="C51" s="64">
        <v>36.93</v>
      </c>
      <c r="D51" s="64">
        <v>21.83</v>
      </c>
      <c r="E51" s="64">
        <v>4.42</v>
      </c>
      <c r="F51" s="64">
        <v>49.19</v>
      </c>
      <c r="G51" s="64">
        <v>60.58</v>
      </c>
      <c r="H51" s="64">
        <v>26.94</v>
      </c>
      <c r="I51" s="64">
        <v>0.61</v>
      </c>
      <c r="J51" s="64">
        <v>0.12</v>
      </c>
      <c r="K51" s="64">
        <v>334.35</v>
      </c>
      <c r="L51" s="64">
        <v>33.549999999999997</v>
      </c>
      <c r="M51" s="64">
        <v>33.75</v>
      </c>
      <c r="N51" s="64">
        <v>871.3</v>
      </c>
      <c r="O51" s="64">
        <v>0</v>
      </c>
      <c r="P51" s="64">
        <v>0.77</v>
      </c>
      <c r="Q51" s="64">
        <v>23.51</v>
      </c>
      <c r="S51" s="198"/>
      <c r="T51" s="198"/>
      <c r="U51" s="198"/>
    </row>
    <row r="52" spans="1:21" s="12" customFormat="1" x14ac:dyDescent="0.25">
      <c r="A52" s="211" t="s">
        <v>2404</v>
      </c>
      <c r="B52" s="64">
        <v>1.08</v>
      </c>
      <c r="C52" s="64">
        <v>31.3</v>
      </c>
      <c r="D52" s="64">
        <v>20.55</v>
      </c>
      <c r="E52" s="64">
        <v>5.58</v>
      </c>
      <c r="F52" s="64">
        <v>69.28</v>
      </c>
      <c r="G52" s="64">
        <v>54.58</v>
      </c>
      <c r="H52" s="64">
        <v>24.6</v>
      </c>
      <c r="I52" s="64">
        <v>0.56999999999999995</v>
      </c>
      <c r="J52" s="64">
        <v>7.0000000000000007E-2</v>
      </c>
      <c r="K52" s="64">
        <v>343.75</v>
      </c>
      <c r="L52" s="64">
        <v>35.01</v>
      </c>
      <c r="M52" s="64">
        <v>32.21</v>
      </c>
      <c r="N52" s="64">
        <v>896.6</v>
      </c>
      <c r="O52" s="64">
        <v>0</v>
      </c>
      <c r="P52" s="64">
        <v>0.64</v>
      </c>
      <c r="Q52" s="64">
        <v>0</v>
      </c>
      <c r="S52" s="198"/>
      <c r="T52" s="198"/>
      <c r="U52" s="198"/>
    </row>
    <row r="53" spans="1:21" s="12" customFormat="1" x14ac:dyDescent="0.25">
      <c r="A53" s="211" t="s">
        <v>2405</v>
      </c>
      <c r="B53" s="64">
        <v>1.05</v>
      </c>
      <c r="C53" s="64">
        <v>31.44</v>
      </c>
      <c r="D53" s="64">
        <v>18.829999999999998</v>
      </c>
      <c r="E53" s="64">
        <v>3.99</v>
      </c>
      <c r="F53" s="64">
        <v>25.2</v>
      </c>
      <c r="G53" s="64">
        <v>54.58</v>
      </c>
      <c r="H53" s="64">
        <v>24.6</v>
      </c>
      <c r="I53" s="64">
        <v>0.61</v>
      </c>
      <c r="J53" s="64">
        <v>0.13</v>
      </c>
      <c r="K53" s="64">
        <v>294</v>
      </c>
      <c r="L53" s="64">
        <v>35.33</v>
      </c>
      <c r="M53" s="64">
        <v>31.34</v>
      </c>
      <c r="N53" s="64">
        <v>828.4</v>
      </c>
      <c r="O53" s="64">
        <v>0</v>
      </c>
      <c r="P53" s="64">
        <v>0.65</v>
      </c>
      <c r="Q53" s="64">
        <v>25.86</v>
      </c>
      <c r="S53" s="198"/>
      <c r="T53" s="198"/>
      <c r="U53" s="198"/>
    </row>
    <row r="54" spans="1:21" s="12" customFormat="1" x14ac:dyDescent="0.25">
      <c r="A54" s="211" t="s">
        <v>2406</v>
      </c>
      <c r="B54" s="64">
        <v>1.01</v>
      </c>
      <c r="C54" s="64">
        <v>27.7</v>
      </c>
      <c r="D54" s="64">
        <v>16.739999999999998</v>
      </c>
      <c r="E54" s="64">
        <v>3.47</v>
      </c>
      <c r="F54" s="64">
        <v>13.59</v>
      </c>
      <c r="G54" s="64">
        <v>54.58</v>
      </c>
      <c r="H54" s="64">
        <v>24.6</v>
      </c>
      <c r="I54" s="64">
        <v>0.57999999999999996</v>
      </c>
      <c r="J54" s="64">
        <v>0.09</v>
      </c>
      <c r="K54" s="64">
        <v>350.63</v>
      </c>
      <c r="L54" s="64">
        <v>36.14</v>
      </c>
      <c r="M54" s="64">
        <v>29.61</v>
      </c>
      <c r="N54" s="64">
        <v>874</v>
      </c>
      <c r="O54" s="64">
        <v>0</v>
      </c>
      <c r="P54" s="64">
        <v>0.7</v>
      </c>
      <c r="Q54" s="64">
        <v>24.75</v>
      </c>
      <c r="S54" s="198"/>
      <c r="T54" s="198"/>
      <c r="U54" s="198"/>
    </row>
    <row r="55" spans="1:21" s="12" customFormat="1" x14ac:dyDescent="0.25">
      <c r="A55" s="211" t="s">
        <v>2407</v>
      </c>
      <c r="B55" s="64">
        <v>1.3</v>
      </c>
      <c r="C55" s="64">
        <v>28.88</v>
      </c>
      <c r="D55" s="64">
        <v>17.62</v>
      </c>
      <c r="E55" s="64">
        <v>3.47</v>
      </c>
      <c r="F55" s="64">
        <v>20.69</v>
      </c>
      <c r="G55" s="64">
        <v>54.79</v>
      </c>
      <c r="H55" s="64">
        <v>25.19</v>
      </c>
      <c r="I55" s="64">
        <v>0.71</v>
      </c>
      <c r="J55" s="64">
        <v>7.0000000000000007E-2</v>
      </c>
      <c r="K55" s="64">
        <v>307.64999999999998</v>
      </c>
      <c r="L55" s="64">
        <v>35.42</v>
      </c>
      <c r="M55" s="64">
        <v>29.69</v>
      </c>
      <c r="N55" s="64">
        <v>894.4</v>
      </c>
      <c r="O55" s="64">
        <v>0</v>
      </c>
      <c r="P55" s="64">
        <v>0.8</v>
      </c>
      <c r="Q55" s="64">
        <v>23.77</v>
      </c>
      <c r="S55" s="198"/>
      <c r="T55" s="198"/>
      <c r="U55" s="198"/>
    </row>
    <row r="56" spans="1:21" s="12" customFormat="1" x14ac:dyDescent="0.25">
      <c r="A56" s="211" t="s">
        <v>2408</v>
      </c>
      <c r="B56" s="64">
        <v>1.1499999999999999</v>
      </c>
      <c r="C56" s="64">
        <v>31.14</v>
      </c>
      <c r="D56" s="64">
        <v>18.75</v>
      </c>
      <c r="E56" s="64">
        <v>1.5</v>
      </c>
      <c r="F56" s="64">
        <v>15.25</v>
      </c>
      <c r="G56" s="64">
        <v>56.68</v>
      </c>
      <c r="H56" s="64">
        <v>28.97</v>
      </c>
      <c r="I56" s="64">
        <v>0.62</v>
      </c>
      <c r="J56" s="64">
        <v>0.04</v>
      </c>
      <c r="K56" s="64">
        <v>344.25</v>
      </c>
      <c r="L56" s="64">
        <v>35.19</v>
      </c>
      <c r="M56" s="64">
        <v>28.7</v>
      </c>
      <c r="N56" s="64">
        <v>883.1</v>
      </c>
      <c r="O56" s="64">
        <v>0</v>
      </c>
      <c r="P56" s="64">
        <v>0.83</v>
      </c>
      <c r="Q56" s="64">
        <v>22.95</v>
      </c>
      <c r="S56" s="198"/>
      <c r="T56" s="198"/>
      <c r="U56" s="198"/>
    </row>
    <row r="57" spans="1:21" s="12" customFormat="1" x14ac:dyDescent="0.25">
      <c r="A57" s="211" t="s">
        <v>2409</v>
      </c>
      <c r="B57" s="64">
        <v>1</v>
      </c>
      <c r="C57" s="64">
        <v>32.43</v>
      </c>
      <c r="D57" s="64">
        <v>19.350000000000001</v>
      </c>
      <c r="E57" s="64">
        <v>2.02</v>
      </c>
      <c r="F57" s="64">
        <v>14.04</v>
      </c>
      <c r="G57" s="64">
        <v>56.68</v>
      </c>
      <c r="H57" s="64">
        <v>28.97</v>
      </c>
      <c r="I57" s="64">
        <v>0.63</v>
      </c>
      <c r="J57" s="64">
        <v>0.25</v>
      </c>
      <c r="K57" s="64">
        <v>254.76</v>
      </c>
      <c r="L57" s="64">
        <v>36.909999999999997</v>
      </c>
      <c r="M57" s="64">
        <v>26.36</v>
      </c>
      <c r="N57" s="64">
        <v>880.2</v>
      </c>
      <c r="O57" s="64">
        <v>0</v>
      </c>
      <c r="P57" s="64">
        <v>0.82</v>
      </c>
      <c r="Q57" s="64">
        <v>23.65</v>
      </c>
      <c r="S57" s="198"/>
      <c r="T57" s="198"/>
      <c r="U57" s="198"/>
    </row>
    <row r="58" spans="1:21" s="12" customFormat="1" x14ac:dyDescent="0.25">
      <c r="A58" s="211" t="s">
        <v>2410</v>
      </c>
      <c r="B58" s="64">
        <v>1</v>
      </c>
      <c r="C58" s="64">
        <v>33.17</v>
      </c>
      <c r="D58" s="64">
        <v>19.75</v>
      </c>
      <c r="E58" s="64">
        <v>1.9</v>
      </c>
      <c r="F58" s="64">
        <v>12.11</v>
      </c>
      <c r="G58" s="64">
        <v>56.68</v>
      </c>
      <c r="H58" s="64">
        <v>28.97</v>
      </c>
      <c r="I58" s="64">
        <v>0.56999999999999995</v>
      </c>
      <c r="J58" s="64">
        <v>0.15</v>
      </c>
      <c r="K58" s="64">
        <v>249.66</v>
      </c>
      <c r="L58" s="64">
        <v>36.549999999999997</v>
      </c>
      <c r="M58" s="64">
        <v>25.19</v>
      </c>
      <c r="N58" s="64">
        <v>883.6</v>
      </c>
      <c r="O58" s="64">
        <v>0</v>
      </c>
      <c r="P58" s="64">
        <v>0.85</v>
      </c>
      <c r="Q58" s="64">
        <v>24.65</v>
      </c>
      <c r="S58" s="198"/>
      <c r="T58" s="198"/>
      <c r="U58" s="198"/>
    </row>
    <row r="59" spans="1:21" s="12" customFormat="1" x14ac:dyDescent="0.25">
      <c r="A59" s="211" t="s">
        <v>2411</v>
      </c>
      <c r="B59" s="64">
        <v>1</v>
      </c>
      <c r="C59" s="64">
        <v>32.49</v>
      </c>
      <c r="D59" s="64">
        <v>19.38</v>
      </c>
      <c r="E59" s="64">
        <v>1.44</v>
      </c>
      <c r="F59" s="64">
        <v>14.12</v>
      </c>
      <c r="G59" s="64">
        <v>56.08</v>
      </c>
      <c r="H59" s="64">
        <v>28.87</v>
      </c>
      <c r="I59" s="64">
        <v>0.61</v>
      </c>
      <c r="J59" s="64">
        <v>0.08</v>
      </c>
      <c r="K59" s="64">
        <v>250.75</v>
      </c>
      <c r="L59" s="64">
        <v>36.479999999999997</v>
      </c>
      <c r="M59" s="64">
        <v>24.56</v>
      </c>
      <c r="N59" s="64">
        <v>872.2</v>
      </c>
      <c r="O59" s="64">
        <v>0</v>
      </c>
      <c r="P59" s="64">
        <v>0.89</v>
      </c>
      <c r="Q59" s="64">
        <v>24.7</v>
      </c>
      <c r="S59" s="198"/>
      <c r="T59" s="198"/>
      <c r="U59" s="198"/>
    </row>
    <row r="60" spans="1:21" s="12" customFormat="1" x14ac:dyDescent="0.25">
      <c r="A60" s="211" t="s">
        <v>2412</v>
      </c>
      <c r="B60" s="64">
        <v>1.31</v>
      </c>
      <c r="C60" s="64">
        <v>44.67</v>
      </c>
      <c r="D60" s="64">
        <v>26.35</v>
      </c>
      <c r="E60" s="64">
        <v>2.2200000000000002</v>
      </c>
      <c r="F60" s="64">
        <v>27.32</v>
      </c>
      <c r="G60" s="64">
        <v>50.67</v>
      </c>
      <c r="H60" s="64">
        <v>28.19</v>
      </c>
      <c r="I60" s="64">
        <v>0.52</v>
      </c>
      <c r="J60" s="64">
        <v>0.28000000000000003</v>
      </c>
      <c r="K60" s="64">
        <v>268.29000000000002</v>
      </c>
      <c r="L60" s="64">
        <v>38.19</v>
      </c>
      <c r="M60" s="64">
        <v>23.44</v>
      </c>
      <c r="N60" s="64">
        <v>846.7</v>
      </c>
      <c r="O60" s="64">
        <v>0</v>
      </c>
      <c r="P60" s="64">
        <v>0.89</v>
      </c>
      <c r="Q60" s="64">
        <v>24.7</v>
      </c>
      <c r="S60" s="198"/>
      <c r="T60" s="198"/>
      <c r="U60" s="198"/>
    </row>
    <row r="61" spans="1:21" s="12" customFormat="1" x14ac:dyDescent="0.25">
      <c r="A61" s="211" t="s">
        <v>2413</v>
      </c>
      <c r="B61" s="64">
        <v>1.17</v>
      </c>
      <c r="C61" s="64">
        <v>51.84</v>
      </c>
      <c r="D61" s="64">
        <v>30.19</v>
      </c>
      <c r="E61" s="64">
        <v>2.39</v>
      </c>
      <c r="F61" s="64">
        <v>25.22</v>
      </c>
      <c r="G61" s="64">
        <v>50.67</v>
      </c>
      <c r="H61" s="64">
        <v>28.19</v>
      </c>
      <c r="I61" s="64">
        <v>0.53</v>
      </c>
      <c r="J61" s="64">
        <v>0.54</v>
      </c>
      <c r="K61" s="64">
        <v>250.19</v>
      </c>
      <c r="L61" s="64">
        <v>38.03</v>
      </c>
      <c r="M61" s="64">
        <v>23.04</v>
      </c>
      <c r="N61" s="64">
        <v>836.4</v>
      </c>
      <c r="O61" s="64">
        <v>0</v>
      </c>
      <c r="P61" s="64">
        <v>0.74</v>
      </c>
      <c r="Q61" s="64">
        <v>24.9</v>
      </c>
      <c r="S61" s="198"/>
      <c r="T61" s="198"/>
      <c r="U61" s="198"/>
    </row>
    <row r="62" spans="1:21" s="12" customFormat="1" x14ac:dyDescent="0.25">
      <c r="A62" s="211" t="s">
        <v>2414</v>
      </c>
      <c r="B62" s="64">
        <v>1</v>
      </c>
      <c r="C62" s="64">
        <v>45.97</v>
      </c>
      <c r="D62" s="64">
        <v>26.82</v>
      </c>
      <c r="E62" s="64">
        <v>1.78</v>
      </c>
      <c r="F62" s="64">
        <v>14.6</v>
      </c>
      <c r="G62" s="64">
        <v>50.67</v>
      </c>
      <c r="H62" s="64">
        <v>28.19</v>
      </c>
      <c r="I62" s="64">
        <v>0.53</v>
      </c>
      <c r="J62" s="64">
        <v>0.46</v>
      </c>
      <c r="K62" s="64">
        <v>258.67</v>
      </c>
      <c r="L62" s="64">
        <v>39.01</v>
      </c>
      <c r="M62" s="64">
        <v>21.48</v>
      </c>
      <c r="N62" s="64">
        <v>822</v>
      </c>
      <c r="O62" s="64">
        <v>0</v>
      </c>
      <c r="P62" s="64">
        <v>0.74</v>
      </c>
      <c r="Q62" s="64">
        <v>24.77</v>
      </c>
      <c r="S62" s="198"/>
      <c r="T62" s="198"/>
      <c r="U62" s="198"/>
    </row>
    <row r="63" spans="1:21" s="12" customFormat="1" x14ac:dyDescent="0.25">
      <c r="A63" s="211" t="s">
        <v>2415</v>
      </c>
      <c r="B63" s="64">
        <v>1.47</v>
      </c>
      <c r="C63" s="64">
        <v>33.97</v>
      </c>
      <c r="D63" s="64">
        <v>20.57</v>
      </c>
      <c r="E63" s="64">
        <v>3.73</v>
      </c>
      <c r="F63" s="64">
        <v>31.3</v>
      </c>
      <c r="G63" s="64">
        <v>50.4</v>
      </c>
      <c r="H63" s="64">
        <v>27.34</v>
      </c>
      <c r="I63" s="64">
        <v>0.54</v>
      </c>
      <c r="J63" s="64">
        <v>0.47</v>
      </c>
      <c r="K63" s="64">
        <v>247.4</v>
      </c>
      <c r="L63" s="64">
        <v>38.630000000000003</v>
      </c>
      <c r="M63" s="64">
        <v>21.65</v>
      </c>
      <c r="N63" s="64">
        <v>760.3</v>
      </c>
      <c r="O63" s="64">
        <v>0</v>
      </c>
      <c r="P63" s="64">
        <v>0.63</v>
      </c>
      <c r="Q63" s="64">
        <v>25.12</v>
      </c>
      <c r="S63" s="198"/>
      <c r="T63" s="198"/>
      <c r="U63" s="198"/>
    </row>
    <row r="64" spans="1:21" s="12" customFormat="1" x14ac:dyDescent="0.25">
      <c r="A64" s="211" t="s">
        <v>2416</v>
      </c>
      <c r="B64" s="64">
        <v>2.73</v>
      </c>
      <c r="C64" s="64">
        <v>34.869999999999997</v>
      </c>
      <c r="D64" s="64">
        <v>22.07</v>
      </c>
      <c r="E64" s="64">
        <v>3.33</v>
      </c>
      <c r="F64" s="64">
        <v>26.76</v>
      </c>
      <c r="G64" s="64">
        <v>48.23</v>
      </c>
      <c r="H64" s="64">
        <v>21.85</v>
      </c>
      <c r="I64" s="64">
        <v>0.54</v>
      </c>
      <c r="J64" s="64">
        <v>0.28000000000000003</v>
      </c>
      <c r="K64" s="64">
        <v>278.01</v>
      </c>
      <c r="L64" s="64">
        <v>38.270000000000003</v>
      </c>
      <c r="M64" s="64">
        <v>21.9</v>
      </c>
      <c r="N64" s="64">
        <v>719.5</v>
      </c>
      <c r="O64" s="64">
        <v>0</v>
      </c>
      <c r="P64" s="64">
        <v>0.66</v>
      </c>
      <c r="Q64" s="64">
        <v>26.02</v>
      </c>
      <c r="S64" s="198"/>
      <c r="T64" s="198"/>
      <c r="U64" s="198"/>
    </row>
    <row r="65" spans="1:21" s="12" customFormat="1" x14ac:dyDescent="0.25">
      <c r="A65" s="211" t="s">
        <v>2417</v>
      </c>
      <c r="B65" s="64">
        <v>3.14</v>
      </c>
      <c r="C65" s="64">
        <v>36.65</v>
      </c>
      <c r="D65" s="64">
        <v>23.39</v>
      </c>
      <c r="E65" s="64">
        <v>3</v>
      </c>
      <c r="F65" s="64">
        <v>28.42</v>
      </c>
      <c r="G65" s="64">
        <v>48.23</v>
      </c>
      <c r="H65" s="64">
        <v>21.85</v>
      </c>
      <c r="I65" s="64">
        <v>0.5</v>
      </c>
      <c r="J65" s="64">
        <v>0.32</v>
      </c>
      <c r="K65" s="64">
        <v>261.20999999999998</v>
      </c>
      <c r="L65" s="64">
        <v>38.630000000000003</v>
      </c>
      <c r="M65" s="64">
        <v>21.08</v>
      </c>
      <c r="N65" s="64">
        <v>670.4</v>
      </c>
      <c r="O65" s="64">
        <v>0</v>
      </c>
      <c r="P65" s="64">
        <v>0.67</v>
      </c>
      <c r="Q65" s="64">
        <v>25.93</v>
      </c>
      <c r="S65" s="198"/>
      <c r="T65" s="198"/>
      <c r="U65" s="198"/>
    </row>
    <row r="66" spans="1:21" s="12" customFormat="1" x14ac:dyDescent="0.25">
      <c r="A66" s="211" t="s">
        <v>2418</v>
      </c>
      <c r="B66" s="64">
        <v>2.06</v>
      </c>
      <c r="C66" s="64">
        <v>34.15</v>
      </c>
      <c r="D66" s="64">
        <v>21.14</v>
      </c>
      <c r="E66" s="64">
        <v>6.64</v>
      </c>
      <c r="F66" s="64">
        <v>38.04</v>
      </c>
      <c r="G66" s="64">
        <v>48.23</v>
      </c>
      <c r="H66" s="64">
        <v>21.85</v>
      </c>
      <c r="I66" s="64">
        <v>0.65</v>
      </c>
      <c r="J66" s="64">
        <v>0.14000000000000001</v>
      </c>
      <c r="K66" s="64">
        <v>254.42</v>
      </c>
      <c r="L66" s="64">
        <v>38.24</v>
      </c>
      <c r="M66" s="64">
        <v>20.96</v>
      </c>
      <c r="N66" s="64">
        <v>649</v>
      </c>
      <c r="O66" s="64">
        <v>0</v>
      </c>
      <c r="P66" s="64">
        <v>0.63</v>
      </c>
      <c r="Q66" s="64">
        <v>25.56</v>
      </c>
      <c r="S66" s="198"/>
      <c r="T66" s="198"/>
      <c r="U66" s="198"/>
    </row>
    <row r="67" spans="1:21" s="12" customFormat="1" x14ac:dyDescent="0.25">
      <c r="A67" s="211" t="s">
        <v>2419</v>
      </c>
      <c r="B67" s="64">
        <v>1.25</v>
      </c>
      <c r="C67" s="64">
        <v>31.12</v>
      </c>
      <c r="D67" s="64">
        <v>18.82</v>
      </c>
      <c r="E67" s="64">
        <v>6.75</v>
      </c>
      <c r="F67" s="64">
        <v>40.67</v>
      </c>
      <c r="G67" s="64">
        <v>47.97</v>
      </c>
      <c r="H67" s="64">
        <v>22.53</v>
      </c>
      <c r="I67" s="64">
        <v>0.56000000000000005</v>
      </c>
      <c r="J67" s="64">
        <v>0.33</v>
      </c>
      <c r="K67" s="64">
        <v>180.31</v>
      </c>
      <c r="L67" s="64">
        <v>37.31</v>
      </c>
      <c r="M67" s="64">
        <v>20.58</v>
      </c>
      <c r="N67" s="64">
        <v>426</v>
      </c>
      <c r="O67" s="64">
        <v>0</v>
      </c>
      <c r="P67" s="64">
        <v>0.56000000000000005</v>
      </c>
      <c r="Q67" s="64">
        <v>25.33</v>
      </c>
      <c r="S67" s="198"/>
      <c r="T67" s="198"/>
      <c r="U67" s="198"/>
    </row>
    <row r="68" spans="1:21" s="12" customFormat="1" x14ac:dyDescent="0.25">
      <c r="A68" s="211" t="s">
        <v>2420</v>
      </c>
      <c r="B68" s="64">
        <v>1</v>
      </c>
      <c r="C68" s="64">
        <v>30.9</v>
      </c>
      <c r="D68" s="64">
        <v>18.5</v>
      </c>
      <c r="E68" s="64">
        <v>4.71</v>
      </c>
      <c r="F68" s="64">
        <v>21.74</v>
      </c>
      <c r="G68" s="64">
        <v>45.6</v>
      </c>
      <c r="H68" s="64">
        <v>26.88</v>
      </c>
      <c r="I68" s="64">
        <v>0.6</v>
      </c>
      <c r="J68" s="64">
        <v>0.03</v>
      </c>
      <c r="K68" s="64">
        <v>295.64999999999998</v>
      </c>
      <c r="L68" s="64">
        <v>36.94</v>
      </c>
      <c r="M68" s="64">
        <v>20.81</v>
      </c>
      <c r="N68" s="64">
        <v>400.7</v>
      </c>
      <c r="O68" s="64">
        <v>0</v>
      </c>
      <c r="P68" s="64">
        <v>0.55000000000000004</v>
      </c>
      <c r="Q68" s="64">
        <v>24.71</v>
      </c>
      <c r="S68" s="198"/>
      <c r="T68" s="198"/>
      <c r="U68" s="198"/>
    </row>
    <row r="69" spans="1:21" s="12" customFormat="1" x14ac:dyDescent="0.25">
      <c r="A69" s="211" t="s">
        <v>2421</v>
      </c>
      <c r="B69" s="64">
        <v>1</v>
      </c>
      <c r="C69" s="64">
        <v>33.32</v>
      </c>
      <c r="D69" s="64">
        <v>19.84</v>
      </c>
      <c r="E69" s="64">
        <v>3.6</v>
      </c>
      <c r="F69" s="64">
        <v>21.41</v>
      </c>
      <c r="G69" s="64">
        <v>45.6</v>
      </c>
      <c r="H69" s="64">
        <v>26.88</v>
      </c>
      <c r="I69" s="64">
        <v>0.51</v>
      </c>
      <c r="J69" s="64">
        <v>0.08</v>
      </c>
      <c r="K69" s="64">
        <v>287.39</v>
      </c>
      <c r="L69" s="64">
        <v>37.369999999999997</v>
      </c>
      <c r="M69" s="64">
        <v>20.83</v>
      </c>
      <c r="N69" s="64">
        <v>171.8</v>
      </c>
      <c r="O69" s="64">
        <v>0</v>
      </c>
      <c r="P69" s="64">
        <v>0.56999999999999995</v>
      </c>
      <c r="Q69" s="64">
        <v>24.46</v>
      </c>
      <c r="S69" s="198"/>
      <c r="T69" s="198"/>
      <c r="U69" s="198"/>
    </row>
    <row r="70" spans="1:21" s="12" customFormat="1" x14ac:dyDescent="0.25">
      <c r="A70" s="211" t="s">
        <v>2422</v>
      </c>
      <c r="B70" s="64">
        <v>1</v>
      </c>
      <c r="C70" s="64">
        <v>32.93</v>
      </c>
      <c r="D70" s="64">
        <v>19.62</v>
      </c>
      <c r="E70" s="64">
        <v>3.78</v>
      </c>
      <c r="F70" s="64">
        <v>24.68</v>
      </c>
      <c r="G70" s="64">
        <v>45.6</v>
      </c>
      <c r="H70" s="64">
        <v>26.88</v>
      </c>
      <c r="I70" s="64">
        <v>0.6</v>
      </c>
      <c r="J70" s="64">
        <v>0.14000000000000001</v>
      </c>
      <c r="K70" s="64">
        <v>232.6</v>
      </c>
      <c r="L70" s="64">
        <v>37.590000000000003</v>
      </c>
      <c r="M70" s="64">
        <v>19.95</v>
      </c>
      <c r="N70" s="64">
        <v>271.60000000000002</v>
      </c>
      <c r="O70" s="64">
        <v>0</v>
      </c>
      <c r="P70" s="64">
        <v>0.55000000000000004</v>
      </c>
      <c r="Q70" s="64">
        <v>24.59</v>
      </c>
      <c r="S70" s="198"/>
      <c r="T70" s="198"/>
      <c r="U70" s="198"/>
    </row>
    <row r="71" spans="1:21" s="12" customFormat="1" x14ac:dyDescent="0.25">
      <c r="A71" s="211" t="s">
        <v>2423</v>
      </c>
      <c r="B71" s="64">
        <v>1.04</v>
      </c>
      <c r="C71" s="64">
        <v>33.49</v>
      </c>
      <c r="D71" s="64">
        <v>19.96</v>
      </c>
      <c r="E71" s="64">
        <v>3.2</v>
      </c>
      <c r="F71" s="64">
        <v>17.45</v>
      </c>
      <c r="G71" s="64">
        <v>44.65</v>
      </c>
      <c r="H71" s="64">
        <v>26.79</v>
      </c>
      <c r="I71" s="64">
        <v>0.68</v>
      </c>
      <c r="J71" s="64">
        <v>0.17</v>
      </c>
      <c r="K71" s="64">
        <v>249.46</v>
      </c>
      <c r="L71" s="64">
        <v>37.25</v>
      </c>
      <c r="M71" s="64">
        <v>20.47</v>
      </c>
      <c r="N71" s="64">
        <v>304.39999999999998</v>
      </c>
      <c r="O71" s="64">
        <v>0</v>
      </c>
      <c r="P71" s="64">
        <v>0.55000000000000004</v>
      </c>
      <c r="Q71" s="64">
        <v>25.13</v>
      </c>
      <c r="S71" s="198"/>
      <c r="T71" s="198"/>
      <c r="U71" s="198"/>
    </row>
    <row r="72" spans="1:21" s="12" customFormat="1" x14ac:dyDescent="0.25">
      <c r="A72" s="211" t="s">
        <v>2424</v>
      </c>
      <c r="B72" s="64">
        <v>1.01</v>
      </c>
      <c r="C72" s="64">
        <v>35.42</v>
      </c>
      <c r="D72" s="64">
        <v>21</v>
      </c>
      <c r="E72" s="64">
        <v>2.98</v>
      </c>
      <c r="F72" s="64">
        <v>16.22</v>
      </c>
      <c r="G72" s="64">
        <v>36.130000000000003</v>
      </c>
      <c r="H72" s="64">
        <v>26.19</v>
      </c>
      <c r="I72" s="64">
        <v>0.53</v>
      </c>
      <c r="J72" s="64">
        <v>0.14000000000000001</v>
      </c>
      <c r="K72" s="64">
        <v>249.3</v>
      </c>
      <c r="L72" s="64">
        <v>36.72</v>
      </c>
      <c r="M72" s="64">
        <v>20.57</v>
      </c>
      <c r="N72" s="64">
        <v>181.4</v>
      </c>
      <c r="O72" s="64">
        <v>0</v>
      </c>
      <c r="P72" s="64">
        <v>0.55000000000000004</v>
      </c>
      <c r="Q72" s="64">
        <v>25.29</v>
      </c>
      <c r="S72" s="198"/>
      <c r="T72" s="198"/>
      <c r="U72" s="198"/>
    </row>
    <row r="73" spans="1:21" s="12" customFormat="1" x14ac:dyDescent="0.25">
      <c r="A73" s="211" t="s">
        <v>2425</v>
      </c>
      <c r="B73" s="64">
        <v>1.04</v>
      </c>
      <c r="C73" s="64">
        <v>34.770000000000003</v>
      </c>
      <c r="D73" s="64">
        <v>20.67</v>
      </c>
      <c r="E73" s="64">
        <v>2.56</v>
      </c>
      <c r="F73" s="64">
        <v>13.27</v>
      </c>
      <c r="G73" s="64">
        <v>36.130000000000003</v>
      </c>
      <c r="H73" s="64">
        <v>26.19</v>
      </c>
      <c r="I73" s="64">
        <v>0.51</v>
      </c>
      <c r="J73" s="64">
        <v>0.05</v>
      </c>
      <c r="K73" s="64">
        <v>34.85</v>
      </c>
      <c r="L73" s="64">
        <v>36.869999999999997</v>
      </c>
      <c r="M73" s="64">
        <v>20.22</v>
      </c>
      <c r="N73" s="64">
        <v>102</v>
      </c>
      <c r="O73" s="64">
        <v>0</v>
      </c>
      <c r="P73" s="64">
        <v>0.55000000000000004</v>
      </c>
      <c r="Q73" s="64">
        <v>24.97</v>
      </c>
      <c r="S73" s="198"/>
      <c r="T73" s="198"/>
      <c r="U73" s="198"/>
    </row>
    <row r="74" spans="1:21" s="12" customFormat="1" x14ac:dyDescent="0.25">
      <c r="A74" s="211" t="s">
        <v>2426</v>
      </c>
      <c r="B74" s="64">
        <v>1.07</v>
      </c>
      <c r="C74" s="64">
        <v>34.119999999999997</v>
      </c>
      <c r="D74" s="64">
        <v>20.329999999999998</v>
      </c>
      <c r="E74" s="64">
        <v>2.71</v>
      </c>
      <c r="F74" s="64">
        <v>13.92</v>
      </c>
      <c r="G74" s="64">
        <v>36.130000000000003</v>
      </c>
      <c r="H74" s="64">
        <v>26.19</v>
      </c>
      <c r="I74" s="64">
        <v>0.56999999999999995</v>
      </c>
      <c r="J74" s="64">
        <v>7.0000000000000007E-2</v>
      </c>
      <c r="K74" s="64">
        <v>18.440000000000001</v>
      </c>
      <c r="L74" s="64">
        <v>36.56</v>
      </c>
      <c r="M74" s="64">
        <v>20.37</v>
      </c>
      <c r="N74" s="64">
        <v>90</v>
      </c>
      <c r="O74" s="64">
        <v>0</v>
      </c>
      <c r="P74" s="64">
        <v>0.55000000000000004</v>
      </c>
      <c r="Q74" s="64">
        <v>25.07</v>
      </c>
      <c r="S74" s="198"/>
      <c r="T74" s="198"/>
      <c r="U74" s="198"/>
    </row>
    <row r="75" spans="1:21" s="12" customFormat="1" x14ac:dyDescent="0.25">
      <c r="A75" s="211" t="s">
        <v>2427</v>
      </c>
      <c r="B75" s="64">
        <v>1.33</v>
      </c>
      <c r="C75" s="64">
        <v>33.43</v>
      </c>
      <c r="D75" s="64">
        <v>20.16</v>
      </c>
      <c r="E75" s="64">
        <v>4.95</v>
      </c>
      <c r="F75" s="64">
        <v>27.18</v>
      </c>
      <c r="G75" s="64">
        <v>36.549999999999997</v>
      </c>
      <c r="H75" s="64">
        <v>26.03</v>
      </c>
      <c r="I75" s="64">
        <v>0.62</v>
      </c>
      <c r="J75" s="64">
        <v>0.05</v>
      </c>
      <c r="K75" s="64">
        <v>59.75</v>
      </c>
      <c r="L75" s="64">
        <v>35.94</v>
      </c>
      <c r="M75" s="64">
        <v>20.69</v>
      </c>
      <c r="N75" s="64">
        <v>80.400000000000006</v>
      </c>
      <c r="O75" s="64">
        <v>0</v>
      </c>
      <c r="P75" s="64">
        <v>0.56999999999999995</v>
      </c>
      <c r="Q75" s="64">
        <v>26.56</v>
      </c>
      <c r="S75" s="198"/>
      <c r="T75" s="198"/>
      <c r="U75" s="198"/>
    </row>
    <row r="76" spans="1:21" s="12" customFormat="1" x14ac:dyDescent="0.25">
      <c r="A76" s="211" t="s">
        <v>2428</v>
      </c>
      <c r="B76" s="64">
        <v>2.5299999999999998</v>
      </c>
      <c r="C76" s="64">
        <v>35.729999999999997</v>
      </c>
      <c r="D76" s="64">
        <v>22.39</v>
      </c>
      <c r="E76" s="64">
        <v>5.67</v>
      </c>
      <c r="F76" s="64">
        <v>41.22</v>
      </c>
      <c r="G76" s="64">
        <v>39.93</v>
      </c>
      <c r="H76" s="64">
        <v>25.01</v>
      </c>
      <c r="I76" s="64">
        <v>0.53</v>
      </c>
      <c r="J76" s="64">
        <v>0.06</v>
      </c>
      <c r="K76" s="64">
        <v>3.26</v>
      </c>
      <c r="L76" s="64">
        <v>35.799999999999997</v>
      </c>
      <c r="M76" s="64">
        <v>20.63</v>
      </c>
      <c r="N76" s="64">
        <v>71.400000000000006</v>
      </c>
      <c r="O76" s="64">
        <v>0</v>
      </c>
      <c r="P76" s="64">
        <v>0.55000000000000004</v>
      </c>
      <c r="Q76" s="64">
        <v>26.46</v>
      </c>
      <c r="S76" s="198"/>
      <c r="T76" s="198"/>
      <c r="U76" s="198"/>
    </row>
    <row r="77" spans="1:21" s="12" customFormat="1" x14ac:dyDescent="0.25">
      <c r="A77" s="211" t="s">
        <v>2429</v>
      </c>
      <c r="B77" s="64">
        <v>2.6</v>
      </c>
      <c r="C77" s="64">
        <v>35.85</v>
      </c>
      <c r="D77" s="64">
        <v>22.52</v>
      </c>
      <c r="E77" s="64">
        <v>5.57</v>
      </c>
      <c r="F77" s="64">
        <v>37.590000000000003</v>
      </c>
      <c r="G77" s="64">
        <v>39.93</v>
      </c>
      <c r="H77" s="64">
        <v>25.01</v>
      </c>
      <c r="I77" s="64">
        <v>0.51</v>
      </c>
      <c r="J77" s="64">
        <v>0.05</v>
      </c>
      <c r="K77" s="64">
        <v>355.59</v>
      </c>
      <c r="L77" s="64">
        <v>35.93</v>
      </c>
      <c r="M77" s="64">
        <v>20.3</v>
      </c>
      <c r="N77" s="64">
        <v>62.3</v>
      </c>
      <c r="O77" s="64">
        <v>0</v>
      </c>
      <c r="P77" s="64">
        <v>0.56000000000000005</v>
      </c>
      <c r="Q77" s="64">
        <v>25.41</v>
      </c>
      <c r="S77" s="198"/>
      <c r="T77" s="198"/>
      <c r="U77" s="198"/>
    </row>
    <row r="78" spans="1:21" s="12" customFormat="1" x14ac:dyDescent="0.25">
      <c r="A78" s="211" t="s">
        <v>2430</v>
      </c>
      <c r="B78" s="64">
        <v>2.98</v>
      </c>
      <c r="C78" s="64">
        <v>39.14</v>
      </c>
      <c r="D78" s="64">
        <v>24.63</v>
      </c>
      <c r="E78" s="64">
        <v>8.3800000000000008</v>
      </c>
      <c r="F78" s="64">
        <v>41.13</v>
      </c>
      <c r="G78" s="64">
        <v>39.93</v>
      </c>
      <c r="H78" s="64">
        <v>25.01</v>
      </c>
      <c r="I78" s="64">
        <v>0.5</v>
      </c>
      <c r="J78" s="64">
        <v>0.03</v>
      </c>
      <c r="K78" s="64">
        <v>331.75</v>
      </c>
      <c r="L78" s="64">
        <v>35.72</v>
      </c>
      <c r="M78" s="64">
        <v>20.92</v>
      </c>
      <c r="N78" s="64">
        <v>52.7</v>
      </c>
      <c r="O78" s="64">
        <v>0</v>
      </c>
      <c r="P78" s="64">
        <v>0.64</v>
      </c>
      <c r="Q78" s="64">
        <v>23.59</v>
      </c>
      <c r="S78" s="198"/>
      <c r="T78" s="198"/>
      <c r="U78" s="198"/>
    </row>
    <row r="79" spans="1:21" s="12" customFormat="1" x14ac:dyDescent="0.25">
      <c r="A79" s="211" t="s">
        <v>2431</v>
      </c>
      <c r="B79" s="64">
        <v>2.12</v>
      </c>
      <c r="C79" s="64">
        <v>36.06</v>
      </c>
      <c r="D79" s="64">
        <v>22.25</v>
      </c>
      <c r="E79" s="64">
        <v>7.04</v>
      </c>
      <c r="F79" s="64">
        <v>19.2</v>
      </c>
      <c r="G79" s="64">
        <v>40.04</v>
      </c>
      <c r="H79" s="64">
        <v>24.88</v>
      </c>
      <c r="I79" s="64">
        <v>0.52</v>
      </c>
      <c r="J79" s="64">
        <v>0.02</v>
      </c>
      <c r="K79" s="64">
        <v>347.53</v>
      </c>
      <c r="L79" s="64">
        <v>35.049999999999997</v>
      </c>
      <c r="M79" s="64">
        <v>21.41</v>
      </c>
      <c r="N79" s="64">
        <v>41.8</v>
      </c>
      <c r="O79" s="64">
        <v>0</v>
      </c>
      <c r="P79" s="64">
        <v>0.6</v>
      </c>
      <c r="Q79" s="64">
        <v>23.03</v>
      </c>
      <c r="S79" s="198"/>
      <c r="T79" s="198"/>
      <c r="U79" s="198"/>
    </row>
    <row r="80" spans="1:21" s="12" customFormat="1" x14ac:dyDescent="0.25">
      <c r="A80" s="211" t="s">
        <v>2432</v>
      </c>
      <c r="B80" s="64">
        <v>1.33</v>
      </c>
      <c r="C80" s="64">
        <v>34.6</v>
      </c>
      <c r="D80" s="64">
        <v>20.81</v>
      </c>
      <c r="E80" s="64">
        <v>4.07</v>
      </c>
      <c r="F80" s="64">
        <v>14.73</v>
      </c>
      <c r="G80" s="64">
        <v>41.02</v>
      </c>
      <c r="H80" s="64">
        <v>24.08</v>
      </c>
      <c r="I80" s="64">
        <v>0.5</v>
      </c>
      <c r="J80" s="64">
        <v>0.02</v>
      </c>
      <c r="K80" s="64">
        <v>31.95</v>
      </c>
      <c r="L80" s="64">
        <v>34.79</v>
      </c>
      <c r="M80" s="64">
        <v>21.88</v>
      </c>
      <c r="N80" s="64">
        <v>30.8</v>
      </c>
      <c r="O80" s="64">
        <v>0</v>
      </c>
      <c r="P80" s="64">
        <v>0.61</v>
      </c>
      <c r="Q80" s="64">
        <v>23.13</v>
      </c>
      <c r="S80" s="198"/>
      <c r="T80" s="198"/>
      <c r="U80" s="198"/>
    </row>
    <row r="81" spans="1:26" s="12" customFormat="1" x14ac:dyDescent="0.25">
      <c r="A81" s="211" t="s">
        <v>2433</v>
      </c>
      <c r="B81" s="64">
        <v>1.1599999999999999</v>
      </c>
      <c r="C81" s="64">
        <v>36.61</v>
      </c>
      <c r="D81" s="64">
        <v>21.78</v>
      </c>
      <c r="E81" s="64">
        <v>4.74</v>
      </c>
      <c r="F81" s="64">
        <v>19.87</v>
      </c>
      <c r="G81" s="64">
        <v>41.02</v>
      </c>
      <c r="H81" s="64">
        <v>24.08</v>
      </c>
      <c r="I81" s="64">
        <v>0.54</v>
      </c>
      <c r="J81" s="64">
        <v>0.02</v>
      </c>
      <c r="K81" s="64">
        <v>319</v>
      </c>
      <c r="L81" s="64">
        <v>34.340000000000003</v>
      </c>
      <c r="M81" s="64">
        <v>22.88</v>
      </c>
      <c r="N81" s="64">
        <v>19.8</v>
      </c>
      <c r="O81" s="64">
        <v>0</v>
      </c>
      <c r="P81" s="64">
        <v>0.65</v>
      </c>
      <c r="Q81" s="64">
        <v>23.46</v>
      </c>
      <c r="S81" s="198"/>
      <c r="T81" s="198"/>
      <c r="U81" s="198"/>
    </row>
    <row r="82" spans="1:26" s="12" customFormat="1" x14ac:dyDescent="0.25">
      <c r="A82" s="211" t="s">
        <v>2434</v>
      </c>
      <c r="B82" s="64">
        <v>1.21</v>
      </c>
      <c r="C82" s="64">
        <v>38.15</v>
      </c>
      <c r="D82" s="64">
        <v>22.67</v>
      </c>
      <c r="E82" s="64">
        <v>3.82</v>
      </c>
      <c r="F82" s="64">
        <v>17.62</v>
      </c>
      <c r="G82" s="64">
        <v>41.02</v>
      </c>
      <c r="H82" s="64">
        <v>24.08</v>
      </c>
      <c r="I82" s="64">
        <v>0.53</v>
      </c>
      <c r="J82" s="64">
        <v>0.01</v>
      </c>
      <c r="K82" s="64">
        <v>265.10000000000002</v>
      </c>
      <c r="L82" s="64">
        <v>34.35</v>
      </c>
      <c r="M82" s="64">
        <v>23.21</v>
      </c>
      <c r="N82" s="64">
        <v>10.4</v>
      </c>
      <c r="O82" s="64">
        <v>0</v>
      </c>
      <c r="P82" s="64">
        <v>0.67</v>
      </c>
      <c r="Q82" s="64">
        <v>23.96</v>
      </c>
      <c r="S82" s="198"/>
      <c r="T82" s="198"/>
      <c r="U82" s="198"/>
    </row>
    <row r="83" spans="1:26" s="12" customFormat="1" x14ac:dyDescent="0.25">
      <c r="A83" s="211" t="s">
        <v>2435</v>
      </c>
      <c r="B83" s="64">
        <v>3.2</v>
      </c>
      <c r="C83" s="64">
        <v>41.73</v>
      </c>
      <c r="D83" s="64">
        <v>26.24</v>
      </c>
      <c r="E83" s="64">
        <v>4.7300000000000004</v>
      </c>
      <c r="F83" s="64">
        <v>23.16</v>
      </c>
      <c r="G83" s="64">
        <v>41.22</v>
      </c>
      <c r="H83" s="64">
        <v>24.22</v>
      </c>
      <c r="I83" s="64">
        <v>0.56999999999999995</v>
      </c>
      <c r="J83" s="64">
        <v>7.0000000000000007E-2</v>
      </c>
      <c r="K83" s="64">
        <v>232.96</v>
      </c>
      <c r="L83" s="64">
        <v>33.82</v>
      </c>
      <c r="M83" s="64">
        <v>23.71</v>
      </c>
      <c r="N83" s="64">
        <v>5.5</v>
      </c>
      <c r="O83" s="64">
        <v>0</v>
      </c>
      <c r="P83" s="64">
        <v>0.71</v>
      </c>
      <c r="Q83" s="64">
        <v>24.27</v>
      </c>
      <c r="S83" s="198"/>
      <c r="T83" s="198"/>
      <c r="U83" s="198"/>
    </row>
    <row r="84" spans="1:26" s="12" customFormat="1" x14ac:dyDescent="0.25">
      <c r="A84" s="211" t="s">
        <v>2436</v>
      </c>
      <c r="B84" s="64">
        <v>2.34</v>
      </c>
      <c r="C84" s="64">
        <v>44.73</v>
      </c>
      <c r="D84" s="64">
        <v>27.21</v>
      </c>
      <c r="E84" s="64">
        <v>6.17</v>
      </c>
      <c r="F84" s="64">
        <v>25.95</v>
      </c>
      <c r="G84" s="64">
        <v>42.76</v>
      </c>
      <c r="H84" s="64">
        <v>25.14</v>
      </c>
      <c r="I84" s="64">
        <v>0.66</v>
      </c>
      <c r="J84" s="64">
        <v>0.09</v>
      </c>
      <c r="K84" s="64">
        <v>207.25</v>
      </c>
      <c r="L84" s="64">
        <v>33.07</v>
      </c>
      <c r="M84" s="64">
        <v>24.96</v>
      </c>
      <c r="N84" s="64">
        <v>4.7</v>
      </c>
      <c r="O84" s="64">
        <v>0</v>
      </c>
      <c r="P84" s="64">
        <v>0.7</v>
      </c>
      <c r="Q84" s="64">
        <v>24.52</v>
      </c>
      <c r="S84" s="198"/>
      <c r="T84" s="198"/>
      <c r="U84" s="198"/>
    </row>
    <row r="85" spans="1:26" s="12" customFormat="1" x14ac:dyDescent="0.25">
      <c r="A85" s="211" t="s">
        <v>2437</v>
      </c>
      <c r="B85" s="64">
        <v>1.44</v>
      </c>
      <c r="C85" s="64">
        <v>42.1</v>
      </c>
      <c r="D85" s="64">
        <v>25.03</v>
      </c>
      <c r="E85" s="64">
        <v>5.25</v>
      </c>
      <c r="F85" s="64">
        <v>22.13</v>
      </c>
      <c r="G85" s="64">
        <v>42.76</v>
      </c>
      <c r="H85" s="64">
        <v>25.14</v>
      </c>
      <c r="I85" s="64">
        <v>0.56999999999999995</v>
      </c>
      <c r="J85" s="64">
        <v>0.1</v>
      </c>
      <c r="K85" s="64">
        <v>228.71</v>
      </c>
      <c r="L85" s="64">
        <v>32.82</v>
      </c>
      <c r="M85" s="64">
        <v>25.07</v>
      </c>
      <c r="N85" s="64">
        <v>4.5</v>
      </c>
      <c r="O85" s="64">
        <v>0</v>
      </c>
      <c r="P85" s="64">
        <v>0.62</v>
      </c>
      <c r="Q85" s="64">
        <v>24.8</v>
      </c>
      <c r="S85" s="198"/>
      <c r="T85" s="198"/>
      <c r="U85" s="198"/>
    </row>
    <row r="86" spans="1:26" s="12" customFormat="1" x14ac:dyDescent="0.25">
      <c r="A86" s="211" t="s">
        <v>2438</v>
      </c>
      <c r="B86" s="64">
        <v>1.1100000000000001</v>
      </c>
      <c r="C86" s="64">
        <v>42.01</v>
      </c>
      <c r="D86" s="64">
        <v>24.72</v>
      </c>
      <c r="E86" s="64">
        <v>6.68</v>
      </c>
      <c r="F86" s="64">
        <v>34.49</v>
      </c>
      <c r="G86" s="64">
        <v>42.76</v>
      </c>
      <c r="H86" s="64">
        <v>25.14</v>
      </c>
      <c r="I86" s="64">
        <v>0.63</v>
      </c>
      <c r="J86" s="64">
        <v>0.21</v>
      </c>
      <c r="K86" s="64">
        <v>199.03</v>
      </c>
      <c r="L86" s="64">
        <v>32.299999999999997</v>
      </c>
      <c r="M86" s="64">
        <v>26.77</v>
      </c>
      <c r="N86" s="64">
        <v>5</v>
      </c>
      <c r="O86" s="64">
        <v>0</v>
      </c>
      <c r="P86" s="64">
        <v>0.7</v>
      </c>
      <c r="Q86" s="64">
        <v>24.89</v>
      </c>
      <c r="S86" s="198"/>
      <c r="T86" s="198"/>
      <c r="U86" s="198"/>
    </row>
    <row r="87" spans="1:26" s="12" customFormat="1" x14ac:dyDescent="0.25">
      <c r="A87" s="211" t="s">
        <v>2439</v>
      </c>
      <c r="B87" s="64">
        <v>1.58</v>
      </c>
      <c r="C87" s="64">
        <v>60.16</v>
      </c>
      <c r="D87" s="64">
        <v>35.11</v>
      </c>
      <c r="E87" s="64">
        <v>10.85</v>
      </c>
      <c r="F87" s="64">
        <v>42.07</v>
      </c>
      <c r="G87" s="64">
        <v>43.23</v>
      </c>
      <c r="H87" s="64">
        <v>25.21</v>
      </c>
      <c r="I87" s="64">
        <v>0.72</v>
      </c>
      <c r="J87" s="64">
        <v>0.21</v>
      </c>
      <c r="K87" s="64">
        <v>210.59</v>
      </c>
      <c r="L87" s="64">
        <v>32.17</v>
      </c>
      <c r="M87" s="64">
        <v>28.14</v>
      </c>
      <c r="N87" s="64">
        <v>5</v>
      </c>
      <c r="O87" s="64">
        <v>0</v>
      </c>
      <c r="P87" s="64">
        <v>0.84</v>
      </c>
      <c r="Q87" s="64">
        <v>24.78</v>
      </c>
      <c r="S87" s="198"/>
      <c r="T87" s="198"/>
      <c r="U87" s="198"/>
    </row>
    <row r="88" spans="1:26" s="12" customFormat="1" x14ac:dyDescent="0.25">
      <c r="A88" s="211" t="s">
        <v>2440</v>
      </c>
      <c r="B88" s="64">
        <v>1.78</v>
      </c>
      <c r="C88" s="64">
        <v>55.79</v>
      </c>
      <c r="D88" s="64">
        <v>32.86</v>
      </c>
      <c r="E88" s="64">
        <v>5.18</v>
      </c>
      <c r="F88" s="64">
        <v>44.11</v>
      </c>
      <c r="G88" s="64">
        <v>47.46</v>
      </c>
      <c r="H88" s="64">
        <v>25.68</v>
      </c>
      <c r="I88" s="64">
        <v>0.57999999999999996</v>
      </c>
      <c r="J88" s="64">
        <v>0.23</v>
      </c>
      <c r="K88" s="64">
        <v>206.62</v>
      </c>
      <c r="L88" s="64">
        <v>31.63</v>
      </c>
      <c r="M88" s="64">
        <v>29.2</v>
      </c>
      <c r="N88" s="64">
        <v>4.9000000000000004</v>
      </c>
      <c r="O88" s="64">
        <v>0</v>
      </c>
      <c r="P88" s="64">
        <v>0.75</v>
      </c>
      <c r="Q88" s="64">
        <v>23.77</v>
      </c>
      <c r="S88" s="198"/>
      <c r="T88" s="198"/>
      <c r="U88" s="198"/>
    </row>
    <row r="89" spans="1:26" s="12" customFormat="1" x14ac:dyDescent="0.25">
      <c r="A89" s="211" t="s">
        <v>2441</v>
      </c>
      <c r="B89" s="64">
        <v>1.49</v>
      </c>
      <c r="C89" s="64">
        <v>53.77</v>
      </c>
      <c r="D89" s="64">
        <v>31.51</v>
      </c>
      <c r="E89" s="64">
        <v>9.85</v>
      </c>
      <c r="F89" s="64">
        <v>41.32</v>
      </c>
      <c r="G89" s="64">
        <v>47.46</v>
      </c>
      <c r="H89" s="64">
        <v>25.68</v>
      </c>
      <c r="I89" s="64">
        <v>0.71</v>
      </c>
      <c r="J89" s="64">
        <v>0.19</v>
      </c>
      <c r="K89" s="64">
        <v>203.59</v>
      </c>
      <c r="L89" s="64">
        <v>31.35</v>
      </c>
      <c r="M89" s="64">
        <v>30.95</v>
      </c>
      <c r="N89" s="64">
        <v>5.2</v>
      </c>
      <c r="O89" s="64">
        <v>0</v>
      </c>
      <c r="P89" s="64">
        <v>0.75</v>
      </c>
      <c r="Q89" s="64">
        <v>23.56</v>
      </c>
      <c r="S89" s="198"/>
      <c r="T89" s="198"/>
      <c r="U89" s="198"/>
    </row>
    <row r="90" spans="1:26" s="12" customFormat="1" x14ac:dyDescent="0.25">
      <c r="A90" s="211" t="s">
        <v>2442</v>
      </c>
      <c r="B90" s="64">
        <v>4.53</v>
      </c>
      <c r="C90" s="64">
        <v>72.63</v>
      </c>
      <c r="D90" s="64">
        <v>44.36</v>
      </c>
      <c r="E90" s="64">
        <v>10.119999999999999</v>
      </c>
      <c r="F90" s="64">
        <v>32.03</v>
      </c>
      <c r="G90" s="64">
        <v>47.46</v>
      </c>
      <c r="H90" s="64">
        <v>25.68</v>
      </c>
      <c r="I90" s="64">
        <v>0.65</v>
      </c>
      <c r="J90" s="64">
        <v>0.14000000000000001</v>
      </c>
      <c r="K90" s="64">
        <v>201.87</v>
      </c>
      <c r="L90" s="64">
        <v>30.86</v>
      </c>
      <c r="M90" s="64">
        <v>32.56</v>
      </c>
      <c r="N90" s="64">
        <v>5.2</v>
      </c>
      <c r="O90" s="64">
        <v>0</v>
      </c>
      <c r="P90" s="64">
        <v>0.84</v>
      </c>
      <c r="Q90" s="64">
        <v>22.87</v>
      </c>
      <c r="S90" s="198"/>
      <c r="T90" s="198"/>
      <c r="U90" s="198"/>
    </row>
    <row r="91" spans="1:26" s="12" customFormat="1" x14ac:dyDescent="0.25">
      <c r="A91" s="211" t="s">
        <v>2443</v>
      </c>
      <c r="B91" s="64">
        <v>2.4700000000000002</v>
      </c>
      <c r="C91" s="64">
        <v>45.16</v>
      </c>
      <c r="D91" s="64">
        <v>27.56</v>
      </c>
      <c r="E91" s="64">
        <v>7.88</v>
      </c>
      <c r="F91" s="64">
        <v>19.72</v>
      </c>
      <c r="G91" s="64">
        <v>47.93</v>
      </c>
      <c r="H91" s="64">
        <v>26.24</v>
      </c>
      <c r="I91" s="64">
        <v>0.71</v>
      </c>
      <c r="J91" s="64">
        <v>0.18</v>
      </c>
      <c r="K91" s="64">
        <v>218.6</v>
      </c>
      <c r="L91" s="64">
        <v>30.68</v>
      </c>
      <c r="M91" s="64">
        <v>33.4</v>
      </c>
      <c r="N91" s="64">
        <v>4.9000000000000004</v>
      </c>
      <c r="O91" s="64">
        <v>0</v>
      </c>
      <c r="P91" s="64">
        <v>0.79</v>
      </c>
      <c r="Q91" s="64">
        <v>23.44</v>
      </c>
      <c r="S91" s="198"/>
      <c r="T91" s="198"/>
      <c r="U91" s="198"/>
    </row>
    <row r="92" spans="1:26" s="12" customFormat="1" x14ac:dyDescent="0.25">
      <c r="A92" s="211" t="s">
        <v>2444</v>
      </c>
      <c r="B92" s="64">
        <v>2.13</v>
      </c>
      <c r="C92" s="64">
        <v>41.68</v>
      </c>
      <c r="D92" s="64">
        <v>25.35</v>
      </c>
      <c r="E92" s="64">
        <v>5.44</v>
      </c>
      <c r="F92" s="64">
        <v>23.73</v>
      </c>
      <c r="G92" s="64">
        <v>51.63</v>
      </c>
      <c r="H92" s="64">
        <v>29.87</v>
      </c>
      <c r="I92" s="64">
        <v>0.66</v>
      </c>
      <c r="J92" s="64">
        <v>0.13</v>
      </c>
      <c r="K92" s="64">
        <v>206.46</v>
      </c>
      <c r="L92" s="64">
        <v>30.54</v>
      </c>
      <c r="M92" s="64">
        <v>33.729999999999997</v>
      </c>
      <c r="N92" s="64">
        <v>4.8</v>
      </c>
      <c r="O92" s="64">
        <v>0</v>
      </c>
      <c r="P92" s="64">
        <v>0.76</v>
      </c>
      <c r="Q92" s="64">
        <v>24.57</v>
      </c>
      <c r="S92" s="198"/>
      <c r="T92" s="198"/>
      <c r="U92" s="198"/>
    </row>
    <row r="93" spans="1:26" s="12" customFormat="1" x14ac:dyDescent="0.25">
      <c r="A93" s="211" t="s">
        <v>2445</v>
      </c>
      <c r="B93" s="64">
        <v>1.8</v>
      </c>
      <c r="C93" s="64">
        <v>42.53</v>
      </c>
      <c r="D93" s="64">
        <v>25.56</v>
      </c>
      <c r="E93" s="64">
        <v>4.57</v>
      </c>
      <c r="F93" s="64">
        <v>17.559999999999999</v>
      </c>
      <c r="G93" s="64">
        <v>51.63</v>
      </c>
      <c r="H93" s="64">
        <v>29.87</v>
      </c>
      <c r="I93" s="64">
        <v>0.72</v>
      </c>
      <c r="J93" s="64">
        <v>0.16</v>
      </c>
      <c r="K93" s="64">
        <v>214.2</v>
      </c>
      <c r="L93" s="64">
        <v>30.35</v>
      </c>
      <c r="M93" s="64">
        <v>34.29</v>
      </c>
      <c r="N93" s="64">
        <v>4.7</v>
      </c>
      <c r="O93" s="64">
        <v>0</v>
      </c>
      <c r="P93" s="64">
        <v>0.75</v>
      </c>
      <c r="Q93" s="64">
        <v>25.07</v>
      </c>
      <c r="S93" s="198"/>
      <c r="T93" s="198"/>
      <c r="U93" s="198"/>
    </row>
    <row r="94" spans="1:26" s="12" customFormat="1" x14ac:dyDescent="0.25">
      <c r="A94" s="211" t="s">
        <v>2446</v>
      </c>
      <c r="B94" s="64">
        <v>1.96</v>
      </c>
      <c r="C94" s="64">
        <v>43.34</v>
      </c>
      <c r="D94" s="64">
        <v>26.14</v>
      </c>
      <c r="E94" s="64">
        <v>3.99</v>
      </c>
      <c r="F94" s="64">
        <v>15.9</v>
      </c>
      <c r="G94" s="64">
        <v>51.63</v>
      </c>
      <c r="H94" s="64">
        <v>29.87</v>
      </c>
      <c r="I94" s="64">
        <v>0.62</v>
      </c>
      <c r="J94" s="64">
        <v>0.1</v>
      </c>
      <c r="K94" s="64">
        <v>234.62</v>
      </c>
      <c r="L94" s="64">
        <v>30.29</v>
      </c>
      <c r="M94" s="64">
        <v>34.229999999999997</v>
      </c>
      <c r="N94" s="64">
        <v>4.7</v>
      </c>
      <c r="O94" s="64">
        <v>0</v>
      </c>
      <c r="P94" s="64">
        <v>0.75</v>
      </c>
      <c r="Q94" s="64">
        <v>25.35</v>
      </c>
      <c r="S94" s="198"/>
      <c r="T94" s="198"/>
      <c r="U94" s="198"/>
    </row>
    <row r="95" spans="1:26" s="12" customFormat="1" x14ac:dyDescent="0.25">
      <c r="A95" s="211" t="s">
        <v>2447</v>
      </c>
      <c r="B95" s="64">
        <v>1.68</v>
      </c>
      <c r="C95" s="64">
        <v>41.32</v>
      </c>
      <c r="D95" s="64">
        <v>24.8</v>
      </c>
      <c r="E95" s="64">
        <v>4.16</v>
      </c>
      <c r="F95" s="64">
        <v>20.8</v>
      </c>
      <c r="G95" s="64">
        <v>51.86</v>
      </c>
      <c r="H95" s="64">
        <v>29.67</v>
      </c>
      <c r="I95" s="64">
        <v>0.61</v>
      </c>
      <c r="J95" s="64">
        <v>0.11</v>
      </c>
      <c r="K95" s="64">
        <v>226.74</v>
      </c>
      <c r="L95" s="64">
        <v>29.92</v>
      </c>
      <c r="M95" s="64">
        <v>35.18</v>
      </c>
      <c r="N95" s="64">
        <v>4.9000000000000004</v>
      </c>
      <c r="O95" s="64">
        <v>0</v>
      </c>
      <c r="P95" s="64">
        <v>0.76</v>
      </c>
      <c r="Q95" s="64">
        <v>25.4</v>
      </c>
      <c r="S95" s="198"/>
      <c r="T95" s="198"/>
      <c r="U95" s="198"/>
    </row>
    <row r="96" spans="1:26" s="12" customFormat="1" x14ac:dyDescent="0.25">
      <c r="A96" s="211" t="s">
        <v>2448</v>
      </c>
      <c r="B96" s="64">
        <v>1.44</v>
      </c>
      <c r="C96" s="64">
        <v>37.909999999999997</v>
      </c>
      <c r="D96" s="64">
        <v>22.72</v>
      </c>
      <c r="E96" s="64">
        <v>4.0199999999999996</v>
      </c>
      <c r="F96" s="64">
        <v>19.41</v>
      </c>
      <c r="G96" s="64">
        <v>53.75</v>
      </c>
      <c r="H96" s="64">
        <v>28.42</v>
      </c>
      <c r="I96" s="64">
        <v>0.67</v>
      </c>
      <c r="J96" s="64">
        <v>0.1</v>
      </c>
      <c r="K96" s="64">
        <v>227.41</v>
      </c>
      <c r="L96" s="64">
        <v>29.76</v>
      </c>
      <c r="M96" s="64">
        <v>35.56</v>
      </c>
      <c r="N96" s="64">
        <v>4.9000000000000004</v>
      </c>
      <c r="O96" s="64">
        <v>0</v>
      </c>
      <c r="P96" s="64">
        <v>0.75</v>
      </c>
      <c r="Q96" s="64">
        <v>25.54</v>
      </c>
      <c r="S96" s="198"/>
      <c r="T96" s="198"/>
      <c r="U96" s="198"/>
      <c r="Z96" s="109"/>
    </row>
    <row r="97" spans="1:33" s="12" customFormat="1" x14ac:dyDescent="0.25">
      <c r="A97" s="211" t="s">
        <v>2449</v>
      </c>
      <c r="B97" s="64">
        <v>1.26</v>
      </c>
      <c r="C97" s="64">
        <v>34.92</v>
      </c>
      <c r="D97" s="64">
        <v>20.93</v>
      </c>
      <c r="E97" s="64">
        <v>3.79</v>
      </c>
      <c r="F97" s="64">
        <v>20.3</v>
      </c>
      <c r="G97" s="64">
        <v>53.75</v>
      </c>
      <c r="H97" s="64">
        <v>28.42</v>
      </c>
      <c r="I97" s="64">
        <v>0.83</v>
      </c>
      <c r="J97" s="64">
        <v>0.06</v>
      </c>
      <c r="K97" s="64">
        <v>206.59</v>
      </c>
      <c r="L97" s="64">
        <v>29.28</v>
      </c>
      <c r="M97" s="64">
        <v>37.479999999999997</v>
      </c>
      <c r="N97" s="64">
        <v>5.0999999999999996</v>
      </c>
      <c r="O97" s="64">
        <v>0</v>
      </c>
      <c r="P97" s="64">
        <v>0.7</v>
      </c>
      <c r="Q97" s="64">
        <v>25.42</v>
      </c>
      <c r="S97" s="198"/>
      <c r="T97" s="198"/>
      <c r="U97" s="198"/>
    </row>
    <row r="98" spans="1:33" s="12" customFormat="1" x14ac:dyDescent="0.25">
      <c r="A98" s="211" t="s">
        <v>2450</v>
      </c>
      <c r="B98" s="64">
        <v>1.06</v>
      </c>
      <c r="C98" s="64">
        <v>35.799999999999997</v>
      </c>
      <c r="D98" s="64">
        <v>21.25</v>
      </c>
      <c r="E98" s="64">
        <v>4.95</v>
      </c>
      <c r="F98" s="64">
        <v>34.25</v>
      </c>
      <c r="G98" s="64">
        <v>53.75</v>
      </c>
      <c r="H98" s="64">
        <v>28.42</v>
      </c>
      <c r="I98" s="64">
        <v>0.74</v>
      </c>
      <c r="J98" s="64">
        <v>0.13</v>
      </c>
      <c r="K98" s="64">
        <v>204.91</v>
      </c>
      <c r="L98" s="64">
        <v>29.11</v>
      </c>
      <c r="M98" s="64">
        <v>38.270000000000003</v>
      </c>
      <c r="N98" s="64">
        <v>4.7</v>
      </c>
      <c r="O98" s="64">
        <v>0</v>
      </c>
      <c r="P98" s="64">
        <v>0.65</v>
      </c>
      <c r="Q98" s="64">
        <v>25.51</v>
      </c>
      <c r="S98" s="198"/>
      <c r="T98" s="198"/>
      <c r="U98" s="198"/>
    </row>
    <row r="99" spans="1:33" s="12" customFormat="1" x14ac:dyDescent="0.25">
      <c r="A99" s="211" t="s">
        <v>2451</v>
      </c>
      <c r="B99" s="64">
        <v>1</v>
      </c>
      <c r="C99" s="64">
        <v>35.39</v>
      </c>
      <c r="D99" s="64">
        <v>20.98</v>
      </c>
      <c r="E99" s="64">
        <v>6.41</v>
      </c>
      <c r="F99" s="64">
        <v>39.44</v>
      </c>
      <c r="G99" s="64">
        <v>54.04</v>
      </c>
      <c r="H99" s="64">
        <v>28.35</v>
      </c>
      <c r="I99" s="64">
        <v>0.6</v>
      </c>
      <c r="J99" s="64">
        <v>0.17</v>
      </c>
      <c r="K99" s="64">
        <v>185.31</v>
      </c>
      <c r="L99" s="64">
        <v>29.09</v>
      </c>
      <c r="M99" s="64">
        <v>38.22</v>
      </c>
      <c r="N99" s="64">
        <v>4.5999999999999996</v>
      </c>
      <c r="O99" s="64">
        <v>0</v>
      </c>
      <c r="P99" s="64">
        <v>0.65</v>
      </c>
      <c r="Q99" s="64">
        <v>25.94</v>
      </c>
      <c r="S99" s="198"/>
      <c r="T99" s="198"/>
      <c r="U99" s="198"/>
    </row>
    <row r="100" spans="1:33" s="12" customFormat="1" x14ac:dyDescent="0.25">
      <c r="A100" s="211" t="s">
        <v>2452</v>
      </c>
      <c r="B100" s="64">
        <v>1</v>
      </c>
      <c r="C100" s="64">
        <v>35.17</v>
      </c>
      <c r="D100" s="64">
        <v>20.86</v>
      </c>
      <c r="E100" s="64">
        <v>6.72</v>
      </c>
      <c r="F100" s="64">
        <v>39.69</v>
      </c>
      <c r="G100" s="64">
        <v>56.37</v>
      </c>
      <c r="H100" s="64">
        <v>27.89</v>
      </c>
      <c r="I100" s="64">
        <v>0.65</v>
      </c>
      <c r="J100" s="64">
        <v>0.12</v>
      </c>
      <c r="K100" s="64">
        <v>162.91999999999999</v>
      </c>
      <c r="L100" s="64">
        <v>28.78</v>
      </c>
      <c r="M100" s="64">
        <v>39.299999999999997</v>
      </c>
      <c r="N100" s="64">
        <v>5</v>
      </c>
      <c r="O100" s="64">
        <v>0</v>
      </c>
      <c r="P100" s="64">
        <v>0.61</v>
      </c>
      <c r="Q100" s="64">
        <v>25.81</v>
      </c>
      <c r="S100" s="198"/>
      <c r="T100" s="198"/>
      <c r="U100" s="198"/>
      <c r="AB100" s="110"/>
      <c r="AG100" s="109"/>
    </row>
    <row r="101" spans="1:33" s="12" customFormat="1" x14ac:dyDescent="0.25">
      <c r="A101" s="211" t="s">
        <v>2453</v>
      </c>
      <c r="B101" s="64">
        <v>1</v>
      </c>
      <c r="C101" s="64">
        <v>33.49</v>
      </c>
      <c r="D101" s="64">
        <v>19.93</v>
      </c>
      <c r="E101" s="64">
        <v>6.92</v>
      </c>
      <c r="F101" s="64">
        <v>44.21</v>
      </c>
      <c r="G101" s="64">
        <v>56.37</v>
      </c>
      <c r="H101" s="64">
        <v>27.89</v>
      </c>
      <c r="I101" s="64">
        <v>0.72</v>
      </c>
      <c r="J101" s="64">
        <v>0.16</v>
      </c>
      <c r="K101" s="64">
        <v>205.97</v>
      </c>
      <c r="L101" s="64">
        <v>28.67</v>
      </c>
      <c r="M101" s="64">
        <v>39.32</v>
      </c>
      <c r="N101" s="64">
        <v>4.7</v>
      </c>
      <c r="O101" s="64">
        <v>0</v>
      </c>
      <c r="P101" s="64">
        <v>0.6</v>
      </c>
      <c r="Q101" s="64">
        <v>26.29</v>
      </c>
      <c r="S101" s="198"/>
      <c r="T101" s="198"/>
      <c r="U101" s="198"/>
    </row>
    <row r="102" spans="1:33" s="12" customFormat="1" x14ac:dyDescent="0.25">
      <c r="A102" s="211" t="s">
        <v>2454</v>
      </c>
      <c r="B102" s="64">
        <v>1.1299999999999999</v>
      </c>
      <c r="C102" s="64">
        <v>28.64</v>
      </c>
      <c r="D102" s="64">
        <v>17.36</v>
      </c>
      <c r="E102" s="64">
        <v>6.79</v>
      </c>
      <c r="F102" s="64">
        <v>36.93</v>
      </c>
      <c r="G102" s="64">
        <v>56.37</v>
      </c>
      <c r="H102" s="64">
        <v>27.89</v>
      </c>
      <c r="I102" s="64">
        <v>0.7</v>
      </c>
      <c r="J102" s="64">
        <v>0.08</v>
      </c>
      <c r="K102" s="64">
        <v>227.56</v>
      </c>
      <c r="L102" s="64">
        <v>28.68</v>
      </c>
      <c r="M102" s="64">
        <v>39.07</v>
      </c>
      <c r="N102" s="64">
        <v>5</v>
      </c>
      <c r="O102" s="64">
        <v>0</v>
      </c>
      <c r="P102" s="64">
        <v>0.61</v>
      </c>
      <c r="Q102" s="64">
        <v>26.9</v>
      </c>
      <c r="S102" s="198"/>
      <c r="T102" s="198"/>
      <c r="U102" s="198"/>
    </row>
    <row r="103" spans="1:33" s="12" customFormat="1" x14ac:dyDescent="0.25">
      <c r="A103" s="211" t="s">
        <v>2455</v>
      </c>
      <c r="B103" s="64">
        <v>1.92</v>
      </c>
      <c r="C103" s="64">
        <v>30.19</v>
      </c>
      <c r="D103" s="64">
        <v>18.84</v>
      </c>
      <c r="E103" s="64">
        <v>4.7300000000000004</v>
      </c>
      <c r="F103" s="64">
        <v>17.07</v>
      </c>
      <c r="G103" s="64">
        <v>55.81</v>
      </c>
      <c r="H103" s="64">
        <v>27.51</v>
      </c>
      <c r="I103" s="64">
        <v>0.53</v>
      </c>
      <c r="J103" s="64">
        <v>0.08</v>
      </c>
      <c r="K103" s="64">
        <v>238.97</v>
      </c>
      <c r="L103" s="64">
        <v>28.41</v>
      </c>
      <c r="M103" s="64">
        <v>40.43</v>
      </c>
      <c r="N103" s="64">
        <v>5</v>
      </c>
      <c r="O103" s="64">
        <v>0</v>
      </c>
      <c r="P103" s="64">
        <v>0.75</v>
      </c>
      <c r="Q103" s="64">
        <v>26.85</v>
      </c>
      <c r="S103" s="198"/>
      <c r="T103" s="198"/>
      <c r="U103" s="198"/>
    </row>
    <row r="104" spans="1:33" s="12" customFormat="1" x14ac:dyDescent="0.25">
      <c r="A104" s="211" t="s">
        <v>2456</v>
      </c>
      <c r="B104" s="64">
        <v>2.5</v>
      </c>
      <c r="C104" s="64">
        <v>32.81</v>
      </c>
      <c r="D104" s="64">
        <v>20.76</v>
      </c>
      <c r="E104" s="64">
        <v>2.0299999999999998</v>
      </c>
      <c r="F104" s="64">
        <v>15.91</v>
      </c>
      <c r="G104" s="64">
        <v>51.3</v>
      </c>
      <c r="H104" s="64">
        <v>25.07</v>
      </c>
      <c r="I104" s="64">
        <v>0.54</v>
      </c>
      <c r="J104" s="64">
        <v>0.08</v>
      </c>
      <c r="K104" s="64">
        <v>222.15</v>
      </c>
      <c r="L104" s="64">
        <v>28.73</v>
      </c>
      <c r="M104" s="64">
        <v>39.26</v>
      </c>
      <c r="N104" s="64">
        <v>4.5</v>
      </c>
      <c r="O104" s="64">
        <v>0</v>
      </c>
      <c r="P104" s="64">
        <v>0.67</v>
      </c>
      <c r="Q104" s="64">
        <v>27.05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17.420000000000002</v>
      </c>
      <c r="D106" s="67">
        <f t="shared" ref="D106:Q106" si="0">MIN(D9:D104)</f>
        <v>11.06</v>
      </c>
      <c r="E106" s="67">
        <f t="shared" si="0"/>
        <v>0.32</v>
      </c>
      <c r="F106" s="67">
        <f t="shared" si="0"/>
        <v>3.97</v>
      </c>
      <c r="G106" s="67">
        <f t="shared" si="0"/>
        <v>13.08</v>
      </c>
      <c r="H106" s="67">
        <f t="shared" si="0"/>
        <v>11.25</v>
      </c>
      <c r="I106" s="67">
        <f t="shared" si="0"/>
        <v>0.47</v>
      </c>
      <c r="J106" s="67">
        <f t="shared" si="0"/>
        <v>0.01</v>
      </c>
      <c r="K106" s="67">
        <f t="shared" si="0"/>
        <v>3.26</v>
      </c>
      <c r="L106" s="67">
        <f t="shared" si="0"/>
        <v>23.12</v>
      </c>
      <c r="M106" s="67">
        <f t="shared" si="0"/>
        <v>19.95</v>
      </c>
      <c r="N106" s="67">
        <f t="shared" si="0"/>
        <v>2.7</v>
      </c>
      <c r="O106" s="67">
        <f t="shared" si="0"/>
        <v>0</v>
      </c>
      <c r="P106" s="67">
        <f t="shared" si="0"/>
        <v>0.21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8.51</v>
      </c>
      <c r="C107" s="66">
        <f t="shared" ref="C107:Q107" si="1">MAX(C9:C104)</f>
        <v>72.63</v>
      </c>
      <c r="D107" s="66">
        <f t="shared" si="1"/>
        <v>44.36</v>
      </c>
      <c r="E107" s="66">
        <f t="shared" si="1"/>
        <v>10.85</v>
      </c>
      <c r="F107" s="66">
        <f t="shared" si="1"/>
        <v>69.28</v>
      </c>
      <c r="G107" s="66">
        <f t="shared" si="1"/>
        <v>61.33</v>
      </c>
      <c r="H107" s="66">
        <f t="shared" si="1"/>
        <v>29.87</v>
      </c>
      <c r="I107" s="66">
        <f t="shared" si="1"/>
        <v>0.83</v>
      </c>
      <c r="J107" s="66">
        <f t="shared" si="1"/>
        <v>1.55</v>
      </c>
      <c r="K107" s="66">
        <f t="shared" si="1"/>
        <v>359.94</v>
      </c>
      <c r="L107" s="66">
        <f t="shared" si="1"/>
        <v>39.01</v>
      </c>
      <c r="M107" s="66">
        <f t="shared" si="1"/>
        <v>54.23</v>
      </c>
      <c r="N107" s="66">
        <f t="shared" si="1"/>
        <v>896.6</v>
      </c>
      <c r="O107" s="66">
        <f t="shared" si="1"/>
        <v>0</v>
      </c>
      <c r="P107" s="66">
        <f t="shared" si="1"/>
        <v>1</v>
      </c>
      <c r="Q107" s="66">
        <f t="shared" si="1"/>
        <v>27.05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1.9998958333333334</v>
      </c>
      <c r="C108" s="67">
        <f t="shared" ref="C108:Q108" si="2">AVERAGE(C9:C104)</f>
        <v>34.995416666666664</v>
      </c>
      <c r="D108" s="67">
        <f t="shared" si="2"/>
        <v>21.581145833333334</v>
      </c>
      <c r="E108" s="67">
        <f t="shared" si="2"/>
        <v>3.3400000000000003</v>
      </c>
      <c r="F108" s="67">
        <f t="shared" si="2"/>
        <v>20.124375000000004</v>
      </c>
      <c r="G108" s="67">
        <f t="shared" si="2"/>
        <v>43.590352941176477</v>
      </c>
      <c r="H108" s="67">
        <f t="shared" si="2"/>
        <v>23.557764705882366</v>
      </c>
      <c r="I108" s="67">
        <f t="shared" si="2"/>
        <v>0.60229166666666656</v>
      </c>
      <c r="J108" s="67">
        <f t="shared" si="2"/>
        <v>0.22479166666666675</v>
      </c>
      <c r="K108" s="67">
        <f t="shared" si="2"/>
        <v>214.079375</v>
      </c>
      <c r="L108" s="67">
        <f t="shared" si="2"/>
        <v>30.908750000000012</v>
      </c>
      <c r="M108" s="67">
        <f t="shared" si="2"/>
        <v>35.166666666666664</v>
      </c>
      <c r="N108" s="67">
        <f t="shared" si="2"/>
        <v>254.56562500000015</v>
      </c>
      <c r="O108" s="67">
        <f t="shared" si="2"/>
        <v>0</v>
      </c>
      <c r="P108" s="67">
        <f t="shared" si="2"/>
        <v>0.57145833333333329</v>
      </c>
      <c r="Q108" s="67">
        <f t="shared" si="2"/>
        <v>24.491145833333338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1.5285021872419773</v>
      </c>
      <c r="C109" s="67">
        <f t="shared" ref="C109:Q109" si="3">STDEV(C9:C104)</f>
        <v>8.9053497719856001</v>
      </c>
      <c r="D109" s="67">
        <f t="shared" si="3"/>
        <v>5.436570100966156</v>
      </c>
      <c r="E109" s="67">
        <f t="shared" si="3"/>
        <v>2.4268476412177593</v>
      </c>
      <c r="F109" s="67">
        <f t="shared" si="3"/>
        <v>12.663489068765236</v>
      </c>
      <c r="G109" s="67">
        <f t="shared" si="3"/>
        <v>14.083729589837422</v>
      </c>
      <c r="H109" s="67">
        <f t="shared" si="3"/>
        <v>5.551453343917367</v>
      </c>
      <c r="I109" s="67">
        <f t="shared" si="3"/>
        <v>7.7438996930578319E-2</v>
      </c>
      <c r="J109" s="67">
        <f t="shared" si="3"/>
        <v>0.25818385601886873</v>
      </c>
      <c r="K109" s="67">
        <f t="shared" si="3"/>
        <v>83.908252737737243</v>
      </c>
      <c r="L109" s="67">
        <f t="shared" si="3"/>
        <v>5.0772960582535926</v>
      </c>
      <c r="M109" s="67">
        <f t="shared" si="3"/>
        <v>11.097201701962319</v>
      </c>
      <c r="N109" s="67">
        <f t="shared" si="3"/>
        <v>330.67467995571673</v>
      </c>
      <c r="O109" s="67">
        <f t="shared" si="3"/>
        <v>0</v>
      </c>
      <c r="P109" s="67">
        <f t="shared" si="3"/>
        <v>0.22670629813491103</v>
      </c>
      <c r="Q109" s="67">
        <f t="shared" si="3"/>
        <v>2.7870629210473132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COUNT(G9:G104)+11</f>
        <v>96</v>
      </c>
      <c r="H110" s="66">
        <f>COUNT(H9:H104)+11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1" sqref="J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2457</v>
      </c>
      <c r="B9" s="64">
        <v>1.48</v>
      </c>
      <c r="C9" s="64">
        <v>29.56</v>
      </c>
      <c r="D9" s="64">
        <v>18.149999999999999</v>
      </c>
      <c r="E9" s="64">
        <v>2.5499999999999998</v>
      </c>
      <c r="F9" s="64">
        <v>17.850000000000001</v>
      </c>
      <c r="G9" s="64">
        <v>51.3</v>
      </c>
      <c r="H9" s="64">
        <v>25.07</v>
      </c>
      <c r="I9" s="64">
        <v>0.8</v>
      </c>
      <c r="J9" s="64">
        <v>0.17</v>
      </c>
      <c r="K9" s="64">
        <v>163.35</v>
      </c>
      <c r="L9" s="64">
        <v>28.35</v>
      </c>
      <c r="M9" s="64">
        <v>41.46</v>
      </c>
      <c r="N9" s="64">
        <v>4.8</v>
      </c>
      <c r="O9" s="64">
        <v>0</v>
      </c>
      <c r="P9" s="64">
        <v>0.63</v>
      </c>
      <c r="Q9" s="64">
        <v>27.26</v>
      </c>
      <c r="R9" s="198"/>
      <c r="S9" s="198"/>
      <c r="T9" s="198"/>
      <c r="U9" s="198"/>
    </row>
    <row r="10" spans="1:21" s="12" customFormat="1" x14ac:dyDescent="0.25">
      <c r="A10" s="211" t="s">
        <v>2458</v>
      </c>
      <c r="B10" s="64">
        <v>1.1599999999999999</v>
      </c>
      <c r="C10" s="64">
        <v>28.56</v>
      </c>
      <c r="D10" s="64">
        <v>17.34</v>
      </c>
      <c r="E10" s="64">
        <v>2.62</v>
      </c>
      <c r="F10" s="64">
        <v>17.48</v>
      </c>
      <c r="G10" s="64">
        <v>51.3</v>
      </c>
      <c r="H10" s="64">
        <v>25.07</v>
      </c>
      <c r="I10" s="64">
        <v>0.72</v>
      </c>
      <c r="J10" s="64">
        <v>0.21</v>
      </c>
      <c r="K10" s="64">
        <v>173.38</v>
      </c>
      <c r="L10" s="64">
        <v>27.92</v>
      </c>
      <c r="M10" s="64">
        <v>42.44</v>
      </c>
      <c r="N10" s="64">
        <v>4.9000000000000004</v>
      </c>
      <c r="O10" s="64">
        <v>0</v>
      </c>
      <c r="P10" s="64">
        <v>0.61</v>
      </c>
      <c r="Q10" s="64">
        <v>26.97</v>
      </c>
      <c r="R10" s="198"/>
      <c r="S10" s="198"/>
      <c r="T10" s="198"/>
      <c r="U10" s="198"/>
    </row>
    <row r="11" spans="1:21" s="12" customFormat="1" x14ac:dyDescent="0.25">
      <c r="A11" s="211" t="s">
        <v>2459</v>
      </c>
      <c r="B11" s="64">
        <v>1.1499999999999999</v>
      </c>
      <c r="C11" s="64">
        <v>28.29</v>
      </c>
      <c r="D11" s="64">
        <v>17.18</v>
      </c>
      <c r="E11" s="64">
        <v>2.95</v>
      </c>
      <c r="F11" s="64">
        <v>12.62</v>
      </c>
      <c r="G11" s="64">
        <v>51.1</v>
      </c>
      <c r="H11" s="64">
        <v>25.06</v>
      </c>
      <c r="I11" s="64">
        <v>0.59</v>
      </c>
      <c r="J11" s="64">
        <v>0.14000000000000001</v>
      </c>
      <c r="K11" s="64">
        <v>231.38</v>
      </c>
      <c r="L11" s="64">
        <v>28.05</v>
      </c>
      <c r="M11" s="64">
        <v>41.68</v>
      </c>
      <c r="N11" s="64">
        <v>4.5</v>
      </c>
      <c r="O11" s="64">
        <v>0</v>
      </c>
      <c r="P11" s="64">
        <v>0.61</v>
      </c>
      <c r="Q11" s="64">
        <v>26.77</v>
      </c>
      <c r="R11" s="198"/>
      <c r="S11" s="198"/>
      <c r="T11" s="198"/>
      <c r="U11" s="198"/>
    </row>
    <row r="12" spans="1:21" s="12" customFormat="1" x14ac:dyDescent="0.25">
      <c r="A12" s="211" t="s">
        <v>2460</v>
      </c>
      <c r="B12" s="64">
        <v>1.1200000000000001</v>
      </c>
      <c r="C12" s="64">
        <v>27.41</v>
      </c>
      <c r="D12" s="64">
        <v>16.670000000000002</v>
      </c>
      <c r="E12" s="64">
        <v>1.82</v>
      </c>
      <c r="F12" s="64">
        <v>10.27</v>
      </c>
      <c r="G12" s="64">
        <v>49.44</v>
      </c>
      <c r="H12" s="64">
        <v>24.99</v>
      </c>
      <c r="I12" s="64">
        <v>0.56000000000000005</v>
      </c>
      <c r="J12" s="64">
        <v>0.04</v>
      </c>
      <c r="K12" s="64">
        <v>329.03</v>
      </c>
      <c r="L12" s="64">
        <v>28.38</v>
      </c>
      <c r="M12" s="64">
        <v>40.72</v>
      </c>
      <c r="N12" s="64">
        <v>4.7</v>
      </c>
      <c r="O12" s="64">
        <v>0</v>
      </c>
      <c r="P12" s="64">
        <v>0.6</v>
      </c>
      <c r="Q12" s="64">
        <v>26.53</v>
      </c>
      <c r="R12" s="198"/>
      <c r="S12" s="198"/>
      <c r="T12" s="198"/>
      <c r="U12" s="198"/>
    </row>
    <row r="13" spans="1:21" s="12" customFormat="1" x14ac:dyDescent="0.25">
      <c r="A13" s="211" t="s">
        <v>2461</v>
      </c>
      <c r="B13" s="64">
        <v>1.06</v>
      </c>
      <c r="C13" s="64">
        <v>26.8</v>
      </c>
      <c r="D13" s="64">
        <v>16.29</v>
      </c>
      <c r="E13" s="64">
        <v>1.61</v>
      </c>
      <c r="F13" s="64">
        <v>12.28</v>
      </c>
      <c r="G13" s="64">
        <v>49.44</v>
      </c>
      <c r="H13" s="64">
        <v>24.99</v>
      </c>
      <c r="I13" s="64">
        <v>0.72</v>
      </c>
      <c r="J13" s="64">
        <v>0.05</v>
      </c>
      <c r="K13" s="64">
        <v>346.76</v>
      </c>
      <c r="L13" s="64">
        <v>28.34</v>
      </c>
      <c r="M13" s="64">
        <v>40.9</v>
      </c>
      <c r="N13" s="64">
        <v>4.7</v>
      </c>
      <c r="O13" s="64">
        <v>0</v>
      </c>
      <c r="P13" s="64">
        <v>0.56000000000000005</v>
      </c>
      <c r="Q13" s="64">
        <v>26.23</v>
      </c>
      <c r="R13" s="198"/>
      <c r="S13" s="198"/>
      <c r="T13" s="198"/>
      <c r="U13" s="198"/>
    </row>
    <row r="14" spans="1:21" s="12" customFormat="1" x14ac:dyDescent="0.25">
      <c r="A14" s="211" t="s">
        <v>2462</v>
      </c>
      <c r="B14" s="64">
        <v>1.28</v>
      </c>
      <c r="C14" s="64">
        <v>23.01</v>
      </c>
      <c r="D14" s="64">
        <v>14.37</v>
      </c>
      <c r="E14" s="64">
        <v>2.37</v>
      </c>
      <c r="F14" s="64">
        <v>37.33</v>
      </c>
      <c r="G14" s="64">
        <v>49.44</v>
      </c>
      <c r="H14" s="64">
        <v>24.99</v>
      </c>
      <c r="I14" s="64">
        <v>0.59</v>
      </c>
      <c r="J14" s="64">
        <v>0.04</v>
      </c>
      <c r="K14" s="64">
        <v>43.98</v>
      </c>
      <c r="L14" s="64">
        <v>28.54</v>
      </c>
      <c r="M14" s="64">
        <v>40.549999999999997</v>
      </c>
      <c r="N14" s="64">
        <v>4.5</v>
      </c>
      <c r="O14" s="64">
        <v>0</v>
      </c>
      <c r="P14" s="64">
        <v>0.48</v>
      </c>
      <c r="Q14" s="64">
        <v>26.74</v>
      </c>
      <c r="R14" s="198"/>
      <c r="S14" s="198"/>
      <c r="T14" s="198"/>
      <c r="U14" s="198"/>
    </row>
    <row r="15" spans="1:21" s="12" customFormat="1" x14ac:dyDescent="0.25">
      <c r="A15" s="211" t="s">
        <v>2463</v>
      </c>
      <c r="B15" s="64">
        <v>1.68</v>
      </c>
      <c r="C15" s="64">
        <v>25.49</v>
      </c>
      <c r="D15" s="64">
        <v>16.059999999999999</v>
      </c>
      <c r="E15" s="64">
        <v>3.05</v>
      </c>
      <c r="F15" s="64">
        <v>30.84</v>
      </c>
      <c r="G15" s="64">
        <v>49.04</v>
      </c>
      <c r="H15" s="64">
        <v>25.12</v>
      </c>
      <c r="I15" s="64">
        <v>0.63</v>
      </c>
      <c r="J15" s="64">
        <v>0.03</v>
      </c>
      <c r="K15" s="64">
        <v>14.18</v>
      </c>
      <c r="L15" s="64">
        <v>28.43</v>
      </c>
      <c r="M15" s="64">
        <v>41.67</v>
      </c>
      <c r="N15" s="64">
        <v>4.8</v>
      </c>
      <c r="O15" s="64">
        <v>0</v>
      </c>
      <c r="P15" s="64">
        <v>0.47</v>
      </c>
      <c r="Q15" s="64">
        <v>26.41</v>
      </c>
      <c r="R15" s="198"/>
      <c r="S15" s="198"/>
      <c r="T15" s="198"/>
      <c r="U15" s="198"/>
    </row>
    <row r="16" spans="1:21" s="12" customFormat="1" x14ac:dyDescent="0.25">
      <c r="A16" s="211" t="s">
        <v>2464</v>
      </c>
      <c r="B16" s="64">
        <v>1.28</v>
      </c>
      <c r="C16" s="64">
        <v>22.1</v>
      </c>
      <c r="D16" s="64">
        <v>13.87</v>
      </c>
      <c r="E16" s="64">
        <v>2.99</v>
      </c>
      <c r="F16" s="64">
        <v>31.8</v>
      </c>
      <c r="G16" s="64">
        <v>45.47</v>
      </c>
      <c r="H16" s="64">
        <v>25.92</v>
      </c>
      <c r="I16" s="64">
        <v>0.59</v>
      </c>
      <c r="J16" s="64">
        <v>0.02</v>
      </c>
      <c r="K16" s="64">
        <v>41.91</v>
      </c>
      <c r="L16" s="64">
        <v>28.27</v>
      </c>
      <c r="M16" s="64">
        <v>42.13</v>
      </c>
      <c r="N16" s="64">
        <v>4.8</v>
      </c>
      <c r="O16" s="64">
        <v>0</v>
      </c>
      <c r="P16" s="64">
        <v>0.48</v>
      </c>
      <c r="Q16" s="64">
        <v>26.24</v>
      </c>
      <c r="R16" s="198"/>
      <c r="S16" s="198"/>
      <c r="T16" s="198"/>
      <c r="U16" s="198"/>
    </row>
    <row r="17" spans="1:21" s="12" customFormat="1" x14ac:dyDescent="0.25">
      <c r="A17" s="211" t="s">
        <v>2465</v>
      </c>
      <c r="B17" s="64">
        <v>1.26</v>
      </c>
      <c r="C17" s="64">
        <v>20</v>
      </c>
      <c r="D17" s="64">
        <v>12.69</v>
      </c>
      <c r="E17" s="64">
        <v>2.94</v>
      </c>
      <c r="F17" s="64">
        <v>28.83</v>
      </c>
      <c r="G17" s="64">
        <v>45.47</v>
      </c>
      <c r="H17" s="64">
        <v>25.92</v>
      </c>
      <c r="I17" s="64">
        <v>0.7</v>
      </c>
      <c r="J17" s="64">
        <v>0.02</v>
      </c>
      <c r="K17" s="64">
        <v>31.48</v>
      </c>
      <c r="L17" s="64">
        <v>28.3</v>
      </c>
      <c r="M17" s="64">
        <v>41.67</v>
      </c>
      <c r="N17" s="64">
        <v>4.7</v>
      </c>
      <c r="O17" s="64">
        <v>0</v>
      </c>
      <c r="P17" s="64">
        <v>0.49</v>
      </c>
      <c r="Q17" s="64">
        <v>26.46</v>
      </c>
      <c r="R17" s="198"/>
      <c r="S17" s="198"/>
      <c r="T17" s="198"/>
      <c r="U17" s="198"/>
    </row>
    <row r="18" spans="1:21" s="12" customFormat="1" x14ac:dyDescent="0.25">
      <c r="A18" s="211" t="s">
        <v>2466</v>
      </c>
      <c r="B18" s="64">
        <v>1.29</v>
      </c>
      <c r="C18" s="64">
        <v>19.79</v>
      </c>
      <c r="D18" s="64">
        <v>12.61</v>
      </c>
      <c r="E18" s="64">
        <v>2.99</v>
      </c>
      <c r="F18" s="64">
        <v>20.96</v>
      </c>
      <c r="G18" s="64">
        <v>45.47</v>
      </c>
      <c r="H18" s="64">
        <v>25.92</v>
      </c>
      <c r="I18" s="64">
        <v>0.5</v>
      </c>
      <c r="J18" s="64">
        <v>0.03</v>
      </c>
      <c r="K18" s="64">
        <v>1.03</v>
      </c>
      <c r="L18" s="64">
        <v>28.23</v>
      </c>
      <c r="M18" s="64">
        <v>41.87</v>
      </c>
      <c r="N18" s="64">
        <v>4.9000000000000004</v>
      </c>
      <c r="O18" s="64">
        <v>0</v>
      </c>
      <c r="P18" s="64">
        <v>0.49</v>
      </c>
      <c r="Q18" s="64">
        <v>26.47</v>
      </c>
      <c r="R18" s="198"/>
      <c r="S18" s="198"/>
      <c r="T18" s="198"/>
      <c r="U18" s="198"/>
    </row>
    <row r="19" spans="1:21" s="12" customFormat="1" x14ac:dyDescent="0.25">
      <c r="A19" s="211" t="s">
        <v>2467</v>
      </c>
      <c r="B19" s="64">
        <v>1.39</v>
      </c>
      <c r="C19" s="64">
        <v>22.31</v>
      </c>
      <c r="D19" s="64">
        <v>14.07</v>
      </c>
      <c r="E19" s="64">
        <v>1.99</v>
      </c>
      <c r="F19" s="64">
        <v>9.92</v>
      </c>
      <c r="G19" s="64">
        <v>45.27</v>
      </c>
      <c r="H19" s="64">
        <v>25.57</v>
      </c>
      <c r="I19" s="64">
        <v>0.53</v>
      </c>
      <c r="J19" s="64">
        <v>0.01</v>
      </c>
      <c r="K19" s="64">
        <v>268.26</v>
      </c>
      <c r="L19" s="64">
        <v>28.01</v>
      </c>
      <c r="M19" s="64">
        <v>42.65</v>
      </c>
      <c r="N19" s="64">
        <v>4.9000000000000004</v>
      </c>
      <c r="O19" s="64">
        <v>0</v>
      </c>
      <c r="P19" s="64">
        <v>0.52</v>
      </c>
      <c r="Q19" s="64">
        <v>25.86</v>
      </c>
      <c r="R19" s="198"/>
      <c r="S19" s="198"/>
      <c r="T19" s="198"/>
      <c r="U19" s="198"/>
    </row>
    <row r="20" spans="1:21" s="12" customFormat="1" x14ac:dyDescent="0.25">
      <c r="A20" s="211" t="s">
        <v>2468</v>
      </c>
      <c r="B20" s="64">
        <v>1.2</v>
      </c>
      <c r="C20" s="64">
        <v>22.85</v>
      </c>
      <c r="D20" s="64">
        <v>14.21</v>
      </c>
      <c r="E20" s="64">
        <v>1.86</v>
      </c>
      <c r="F20" s="64">
        <v>10.62</v>
      </c>
      <c r="G20" s="64">
        <v>43.54</v>
      </c>
      <c r="H20" s="64">
        <v>23.28</v>
      </c>
      <c r="I20" s="64">
        <v>0.76</v>
      </c>
      <c r="J20" s="64">
        <v>0.08</v>
      </c>
      <c r="K20" s="64">
        <v>245.32</v>
      </c>
      <c r="L20" s="64">
        <v>27.8</v>
      </c>
      <c r="M20" s="64">
        <v>43.48</v>
      </c>
      <c r="N20" s="64">
        <v>4.9000000000000004</v>
      </c>
      <c r="O20" s="64">
        <v>0</v>
      </c>
      <c r="P20" s="64">
        <v>0.5</v>
      </c>
      <c r="Q20" s="64">
        <v>26.06</v>
      </c>
      <c r="R20" s="198"/>
      <c r="S20" s="198"/>
      <c r="T20" s="198"/>
      <c r="U20" s="198"/>
    </row>
    <row r="21" spans="1:21" s="12" customFormat="1" x14ac:dyDescent="0.25">
      <c r="A21" s="211" t="s">
        <v>2469</v>
      </c>
      <c r="B21" s="64">
        <v>1.03</v>
      </c>
      <c r="C21" s="64">
        <v>23.25</v>
      </c>
      <c r="D21" s="64">
        <v>14.31</v>
      </c>
      <c r="E21" s="64">
        <v>2.04</v>
      </c>
      <c r="F21" s="64">
        <v>8.39</v>
      </c>
      <c r="G21" s="64">
        <v>43.54</v>
      </c>
      <c r="H21" s="64">
        <v>23.28</v>
      </c>
      <c r="I21" s="64">
        <v>0.78</v>
      </c>
      <c r="J21" s="64">
        <v>0.04</v>
      </c>
      <c r="K21" s="64">
        <v>285.69</v>
      </c>
      <c r="L21" s="64">
        <v>27.74</v>
      </c>
      <c r="M21" s="64">
        <v>43.68</v>
      </c>
      <c r="N21" s="64">
        <v>4.7</v>
      </c>
      <c r="O21" s="64">
        <v>0</v>
      </c>
      <c r="P21" s="64">
        <v>0.49</v>
      </c>
      <c r="Q21" s="64">
        <v>26.27</v>
      </c>
      <c r="R21" s="198"/>
      <c r="S21" s="198"/>
      <c r="T21" s="198"/>
      <c r="U21" s="198"/>
    </row>
    <row r="22" spans="1:21" s="12" customFormat="1" x14ac:dyDescent="0.25">
      <c r="A22" s="211" t="s">
        <v>2470</v>
      </c>
      <c r="B22" s="64">
        <v>1</v>
      </c>
      <c r="C22" s="64">
        <v>23.18</v>
      </c>
      <c r="D22" s="64">
        <v>14.24</v>
      </c>
      <c r="E22" s="64">
        <v>1.73</v>
      </c>
      <c r="F22" s="64">
        <v>8.52</v>
      </c>
      <c r="G22" s="64">
        <v>43.54</v>
      </c>
      <c r="H22" s="64">
        <v>23.28</v>
      </c>
      <c r="I22" s="64">
        <v>0.56999999999999995</v>
      </c>
      <c r="J22" s="64">
        <v>0.02</v>
      </c>
      <c r="K22" s="64">
        <v>311.63</v>
      </c>
      <c r="L22" s="64">
        <v>27.6</v>
      </c>
      <c r="M22" s="64">
        <v>44.64</v>
      </c>
      <c r="N22" s="64">
        <v>5</v>
      </c>
      <c r="O22" s="64">
        <v>0</v>
      </c>
      <c r="P22" s="64">
        <v>0.47</v>
      </c>
      <c r="Q22" s="64">
        <v>26.22</v>
      </c>
      <c r="R22" s="198"/>
      <c r="S22" s="198"/>
      <c r="T22" s="198"/>
      <c r="U22" s="198"/>
    </row>
    <row r="23" spans="1:21" s="12" customFormat="1" x14ac:dyDescent="0.25">
      <c r="A23" s="211" t="s">
        <v>2471</v>
      </c>
      <c r="B23" s="64">
        <v>1</v>
      </c>
      <c r="C23" s="64">
        <v>22.93</v>
      </c>
      <c r="D23" s="64">
        <v>14.11</v>
      </c>
      <c r="E23" s="64">
        <v>1.54</v>
      </c>
      <c r="F23" s="64">
        <v>9.6999999999999993</v>
      </c>
      <c r="G23" s="64">
        <v>43.16</v>
      </c>
      <c r="H23" s="64">
        <v>23.24</v>
      </c>
      <c r="I23" s="64">
        <v>0.65</v>
      </c>
      <c r="J23" s="64">
        <v>0.05</v>
      </c>
      <c r="K23" s="64">
        <v>246.49</v>
      </c>
      <c r="L23" s="64">
        <v>27.45</v>
      </c>
      <c r="M23" s="64">
        <v>45.32</v>
      </c>
      <c r="N23" s="64">
        <v>4.9000000000000004</v>
      </c>
      <c r="O23" s="64">
        <v>0</v>
      </c>
      <c r="P23" s="64">
        <v>0.46</v>
      </c>
      <c r="Q23" s="64">
        <v>26.04</v>
      </c>
      <c r="R23" s="198"/>
      <c r="S23" s="198"/>
      <c r="T23" s="198"/>
      <c r="U23" s="198"/>
    </row>
    <row r="24" spans="1:21" s="12" customFormat="1" x14ac:dyDescent="0.25">
      <c r="A24" s="211" t="s">
        <v>2472</v>
      </c>
      <c r="B24" s="64">
        <v>1</v>
      </c>
      <c r="C24" s="64">
        <v>22.9</v>
      </c>
      <c r="D24" s="64">
        <v>14.09</v>
      </c>
      <c r="E24" s="64">
        <v>0.9</v>
      </c>
      <c r="F24" s="64">
        <v>8.7200000000000006</v>
      </c>
      <c r="G24" s="64">
        <v>39.75</v>
      </c>
      <c r="H24" s="64">
        <v>23.03</v>
      </c>
      <c r="I24" s="64">
        <v>0.9</v>
      </c>
      <c r="J24" s="64">
        <v>0.05</v>
      </c>
      <c r="K24" s="64">
        <v>273.82</v>
      </c>
      <c r="L24" s="64">
        <v>27.31</v>
      </c>
      <c r="M24" s="64">
        <v>46.14</v>
      </c>
      <c r="N24" s="64">
        <v>4.9000000000000004</v>
      </c>
      <c r="O24" s="64">
        <v>0</v>
      </c>
      <c r="P24" s="64">
        <v>0.46</v>
      </c>
      <c r="Q24" s="64">
        <v>25.84</v>
      </c>
      <c r="R24" s="198"/>
      <c r="S24" s="198"/>
      <c r="T24" s="198"/>
      <c r="U24" s="198"/>
    </row>
    <row r="25" spans="1:21" s="12" customFormat="1" x14ac:dyDescent="0.25">
      <c r="A25" s="211" t="s">
        <v>2473</v>
      </c>
      <c r="B25" s="64">
        <v>1</v>
      </c>
      <c r="C25" s="64">
        <v>22.91</v>
      </c>
      <c r="D25" s="64">
        <v>14.09</v>
      </c>
      <c r="E25" s="64">
        <v>1.65</v>
      </c>
      <c r="F25" s="64">
        <v>19.190000000000001</v>
      </c>
      <c r="G25" s="64">
        <v>39.75</v>
      </c>
      <c r="H25" s="64">
        <v>23.03</v>
      </c>
      <c r="I25" s="64">
        <v>0.53</v>
      </c>
      <c r="J25" s="64">
        <v>0.02</v>
      </c>
      <c r="K25" s="64">
        <v>127.34</v>
      </c>
      <c r="L25" s="64">
        <v>27.28</v>
      </c>
      <c r="M25" s="64">
        <v>46.39</v>
      </c>
      <c r="N25" s="64">
        <v>4.9000000000000004</v>
      </c>
      <c r="O25" s="64">
        <v>0</v>
      </c>
      <c r="P25" s="64">
        <v>0.44</v>
      </c>
      <c r="Q25" s="64">
        <v>25.8</v>
      </c>
      <c r="R25" s="198"/>
      <c r="S25" s="198"/>
      <c r="T25" s="198"/>
      <c r="U25" s="198"/>
    </row>
    <row r="26" spans="1:21" s="12" customFormat="1" x14ac:dyDescent="0.25">
      <c r="A26" s="211" t="s">
        <v>2474</v>
      </c>
      <c r="B26" s="64">
        <v>1</v>
      </c>
      <c r="C26" s="64">
        <v>19.71</v>
      </c>
      <c r="D26" s="64">
        <v>12.33</v>
      </c>
      <c r="E26" s="64">
        <v>2.79</v>
      </c>
      <c r="F26" s="64">
        <v>39.090000000000003</v>
      </c>
      <c r="G26" s="64">
        <v>39.75</v>
      </c>
      <c r="H26" s="64">
        <v>23.03</v>
      </c>
      <c r="I26" s="64">
        <v>0.53</v>
      </c>
      <c r="J26" s="64">
        <v>0.79</v>
      </c>
      <c r="K26" s="64">
        <v>153.55000000000001</v>
      </c>
      <c r="L26" s="64">
        <v>26.99</v>
      </c>
      <c r="M26" s="64">
        <v>47.69</v>
      </c>
      <c r="N26" s="64">
        <v>4.4000000000000004</v>
      </c>
      <c r="O26" s="64">
        <v>0</v>
      </c>
      <c r="P26" s="64">
        <v>0.4</v>
      </c>
      <c r="Q26" s="64">
        <v>26.69</v>
      </c>
      <c r="R26" s="198"/>
      <c r="S26" s="198"/>
      <c r="T26" s="198"/>
      <c r="U26" s="198"/>
    </row>
    <row r="27" spans="1:21" s="12" customFormat="1" x14ac:dyDescent="0.25">
      <c r="A27" s="211" t="s">
        <v>2475</v>
      </c>
      <c r="B27" s="64">
        <v>1.23</v>
      </c>
      <c r="C27" s="64">
        <v>22.28</v>
      </c>
      <c r="D27" s="64">
        <v>13.93</v>
      </c>
      <c r="E27" s="64">
        <v>2.56</v>
      </c>
      <c r="F27" s="64">
        <v>12.66</v>
      </c>
      <c r="G27" s="64">
        <v>40.020000000000003</v>
      </c>
      <c r="H27" s="64">
        <v>23.02</v>
      </c>
      <c r="I27" s="64">
        <v>0.56000000000000005</v>
      </c>
      <c r="J27" s="64">
        <v>1.86</v>
      </c>
      <c r="K27" s="64">
        <v>107.23</v>
      </c>
      <c r="L27" s="64">
        <v>27.07</v>
      </c>
      <c r="M27" s="64">
        <v>48.21</v>
      </c>
      <c r="N27" s="64">
        <v>4.4000000000000004</v>
      </c>
      <c r="O27" s="64">
        <v>0</v>
      </c>
      <c r="P27" s="64">
        <v>0.44</v>
      </c>
      <c r="Q27" s="64">
        <v>26.42</v>
      </c>
      <c r="R27" s="198"/>
      <c r="S27" s="198"/>
      <c r="T27" s="198"/>
      <c r="U27" s="198"/>
    </row>
    <row r="28" spans="1:21" s="12" customFormat="1" x14ac:dyDescent="0.25">
      <c r="A28" s="211" t="s">
        <v>2476</v>
      </c>
      <c r="B28" s="64">
        <v>1.56</v>
      </c>
      <c r="C28" s="64">
        <v>22.12</v>
      </c>
      <c r="D28" s="64">
        <v>14.11</v>
      </c>
      <c r="E28" s="64">
        <v>1.87</v>
      </c>
      <c r="F28" s="64">
        <v>15.28</v>
      </c>
      <c r="G28" s="64">
        <v>42.45</v>
      </c>
      <c r="H28" s="64">
        <v>22.97</v>
      </c>
      <c r="I28" s="64">
        <v>0.62</v>
      </c>
      <c r="J28" s="64">
        <v>1.59</v>
      </c>
      <c r="K28" s="64">
        <v>114.1</v>
      </c>
      <c r="L28" s="64">
        <v>26.88</v>
      </c>
      <c r="M28" s="64">
        <v>49.33</v>
      </c>
      <c r="N28" s="64">
        <v>5</v>
      </c>
      <c r="O28" s="64">
        <v>0</v>
      </c>
      <c r="P28" s="64">
        <v>0.44</v>
      </c>
      <c r="Q28" s="64">
        <v>27.41</v>
      </c>
      <c r="R28" s="198"/>
      <c r="S28" s="198"/>
      <c r="T28" s="198"/>
      <c r="U28" s="198"/>
    </row>
    <row r="29" spans="1:21" s="12" customFormat="1" x14ac:dyDescent="0.25">
      <c r="A29" s="211" t="s">
        <v>2477</v>
      </c>
      <c r="B29" s="64">
        <v>2.0099999999999998</v>
      </c>
      <c r="C29" s="64">
        <v>25.4</v>
      </c>
      <c r="D29" s="64">
        <v>16.27</v>
      </c>
      <c r="E29" s="64">
        <v>2.27</v>
      </c>
      <c r="F29" s="64">
        <v>28.91</v>
      </c>
      <c r="G29" s="64">
        <v>42.45</v>
      </c>
      <c r="H29" s="64">
        <v>22.97</v>
      </c>
      <c r="I29" s="64">
        <v>1.01</v>
      </c>
      <c r="J29" s="64">
        <v>0.31</v>
      </c>
      <c r="K29" s="64">
        <v>176.25</v>
      </c>
      <c r="L29" s="64">
        <v>26.92</v>
      </c>
      <c r="M29" s="64">
        <v>49.18</v>
      </c>
      <c r="N29" s="64">
        <v>6.3</v>
      </c>
      <c r="O29" s="64">
        <v>0</v>
      </c>
      <c r="P29" s="64">
        <v>0.45</v>
      </c>
      <c r="Q29" s="64">
        <v>28.5</v>
      </c>
      <c r="R29" s="198"/>
      <c r="S29" s="198"/>
      <c r="T29" s="198"/>
      <c r="U29" s="198"/>
    </row>
    <row r="30" spans="1:21" s="12" customFormat="1" x14ac:dyDescent="0.25">
      <c r="A30" s="211" t="s">
        <v>2478</v>
      </c>
      <c r="B30" s="64">
        <v>8.59</v>
      </c>
      <c r="C30" s="64">
        <v>32.01</v>
      </c>
      <c r="D30" s="64">
        <v>25.2</v>
      </c>
      <c r="E30" s="64">
        <v>2.8</v>
      </c>
      <c r="F30" s="64">
        <v>8.17</v>
      </c>
      <c r="G30" s="64">
        <v>42.45</v>
      </c>
      <c r="H30" s="64">
        <v>22.97</v>
      </c>
      <c r="I30" s="64">
        <v>0.72</v>
      </c>
      <c r="J30" s="64">
        <v>0.11</v>
      </c>
      <c r="K30" s="64">
        <v>261.18</v>
      </c>
      <c r="L30" s="64">
        <v>26.81</v>
      </c>
      <c r="M30" s="64">
        <v>50.18</v>
      </c>
      <c r="N30" s="64">
        <v>12.5</v>
      </c>
      <c r="O30" s="64">
        <v>0</v>
      </c>
      <c r="P30" s="64">
        <v>0.49</v>
      </c>
      <c r="Q30" s="64">
        <v>26.02</v>
      </c>
      <c r="R30" s="198"/>
      <c r="S30" s="198"/>
      <c r="T30" s="198"/>
      <c r="U30" s="198"/>
    </row>
    <row r="31" spans="1:21" s="12" customFormat="1" x14ac:dyDescent="0.25">
      <c r="A31" s="211" t="s">
        <v>2479</v>
      </c>
      <c r="B31" s="64">
        <v>2.65</v>
      </c>
      <c r="C31" s="64">
        <v>27.33</v>
      </c>
      <c r="D31" s="64">
        <v>17.850000000000001</v>
      </c>
      <c r="E31" s="64">
        <v>2.3199999999999998</v>
      </c>
      <c r="F31" s="64">
        <v>11.57</v>
      </c>
      <c r="G31" s="64">
        <v>42.83</v>
      </c>
      <c r="H31" s="64">
        <v>23.13</v>
      </c>
      <c r="I31" s="64">
        <v>0.6</v>
      </c>
      <c r="J31" s="64">
        <v>0.32</v>
      </c>
      <c r="K31" s="64">
        <v>156.07</v>
      </c>
      <c r="L31" s="64">
        <v>26.78</v>
      </c>
      <c r="M31" s="64">
        <v>50.06</v>
      </c>
      <c r="N31" s="64">
        <v>26.7</v>
      </c>
      <c r="O31" s="64">
        <v>0</v>
      </c>
      <c r="P31" s="64">
        <v>0.47</v>
      </c>
      <c r="Q31" s="64">
        <v>27.71</v>
      </c>
      <c r="R31" s="198"/>
      <c r="S31" s="198"/>
      <c r="T31" s="198"/>
      <c r="U31" s="198"/>
    </row>
    <row r="32" spans="1:21" s="12" customFormat="1" x14ac:dyDescent="0.25">
      <c r="A32" s="211" t="s">
        <v>2480</v>
      </c>
      <c r="B32" s="64">
        <v>2.08</v>
      </c>
      <c r="C32" s="64">
        <v>28.56</v>
      </c>
      <c r="D32" s="64">
        <v>18.079999999999998</v>
      </c>
      <c r="E32" s="64">
        <v>2.02</v>
      </c>
      <c r="F32" s="64">
        <v>9.4499999999999993</v>
      </c>
      <c r="G32" s="64">
        <v>46.29</v>
      </c>
      <c r="H32" s="64">
        <v>24.28</v>
      </c>
      <c r="I32" s="64">
        <v>0.84</v>
      </c>
      <c r="J32" s="64">
        <v>0.46</v>
      </c>
      <c r="K32" s="64">
        <v>172.46</v>
      </c>
      <c r="L32" s="64">
        <v>27.08</v>
      </c>
      <c r="M32" s="64">
        <v>49.85</v>
      </c>
      <c r="N32" s="64">
        <v>52.7</v>
      </c>
      <c r="O32" s="64">
        <v>0</v>
      </c>
      <c r="P32" s="64">
        <v>0.47</v>
      </c>
      <c r="Q32" s="64">
        <v>28.43</v>
      </c>
      <c r="R32" s="198"/>
      <c r="S32" s="198"/>
      <c r="T32" s="198"/>
      <c r="U32" s="198"/>
    </row>
    <row r="33" spans="1:21" s="12" customFormat="1" x14ac:dyDescent="0.25">
      <c r="A33" s="211" t="s">
        <v>2481</v>
      </c>
      <c r="B33" s="64">
        <v>2.15</v>
      </c>
      <c r="C33" s="64">
        <v>31.49</v>
      </c>
      <c r="D33" s="64">
        <v>19.739999999999998</v>
      </c>
      <c r="E33" s="64">
        <v>1.83</v>
      </c>
      <c r="F33" s="64">
        <v>7.16</v>
      </c>
      <c r="G33" s="64">
        <v>46.29</v>
      </c>
      <c r="H33" s="64">
        <v>24.28</v>
      </c>
      <c r="I33" s="64">
        <v>0.6</v>
      </c>
      <c r="J33" s="64">
        <v>0.15</v>
      </c>
      <c r="K33" s="64">
        <v>192.39</v>
      </c>
      <c r="L33" s="64">
        <v>27.53</v>
      </c>
      <c r="M33" s="64">
        <v>49.84</v>
      </c>
      <c r="N33" s="64">
        <v>88.4</v>
      </c>
      <c r="O33" s="64">
        <v>0</v>
      </c>
      <c r="P33" s="64">
        <v>0.49</v>
      </c>
      <c r="Q33" s="64">
        <v>28.53</v>
      </c>
      <c r="R33" s="198"/>
      <c r="S33" s="198"/>
      <c r="T33" s="198"/>
      <c r="U33" s="198"/>
    </row>
    <row r="34" spans="1:21" s="12" customFormat="1" x14ac:dyDescent="0.25">
      <c r="A34" s="211" t="s">
        <v>2482</v>
      </c>
      <c r="B34" s="64">
        <v>1.88</v>
      </c>
      <c r="C34" s="64">
        <v>30.95</v>
      </c>
      <c r="D34" s="64">
        <v>19.23</v>
      </c>
      <c r="E34" s="64">
        <v>1.58</v>
      </c>
      <c r="F34" s="64">
        <v>6.64</v>
      </c>
      <c r="G34" s="64">
        <v>46.29</v>
      </c>
      <c r="H34" s="64">
        <v>24.28</v>
      </c>
      <c r="I34" s="64">
        <v>0.54</v>
      </c>
      <c r="J34" s="64">
        <v>7.0000000000000007E-2</v>
      </c>
      <c r="K34" s="64">
        <v>201.46</v>
      </c>
      <c r="L34" s="64">
        <v>28.04</v>
      </c>
      <c r="M34" s="64">
        <v>48.45</v>
      </c>
      <c r="N34" s="64">
        <v>130.19999999999999</v>
      </c>
      <c r="O34" s="64">
        <v>0</v>
      </c>
      <c r="P34" s="64">
        <v>0.49</v>
      </c>
      <c r="Q34" s="64">
        <v>28.42</v>
      </c>
      <c r="R34" s="198"/>
      <c r="S34" s="198"/>
      <c r="T34" s="198"/>
      <c r="U34" s="198"/>
    </row>
    <row r="35" spans="1:21" s="12" customFormat="1" x14ac:dyDescent="0.25">
      <c r="A35" s="211" t="s">
        <v>2483</v>
      </c>
      <c r="B35" s="64">
        <v>1.62</v>
      </c>
      <c r="C35" s="64">
        <v>30.17</v>
      </c>
      <c r="D35" s="64">
        <v>18.59</v>
      </c>
      <c r="E35" s="64">
        <v>1.77</v>
      </c>
      <c r="F35" s="64">
        <v>7.94</v>
      </c>
      <c r="G35" s="64">
        <v>46.5</v>
      </c>
      <c r="H35" s="64">
        <v>24.2</v>
      </c>
      <c r="I35" s="64">
        <v>0.56000000000000005</v>
      </c>
      <c r="J35" s="64">
        <v>0.13</v>
      </c>
      <c r="K35" s="64">
        <v>230.83</v>
      </c>
      <c r="L35" s="64">
        <v>28.42</v>
      </c>
      <c r="M35" s="64">
        <v>47.18</v>
      </c>
      <c r="N35" s="64">
        <v>179.3</v>
      </c>
      <c r="O35" s="64">
        <v>0</v>
      </c>
      <c r="P35" s="64">
        <v>0.51</v>
      </c>
      <c r="Q35" s="64">
        <v>27.95</v>
      </c>
      <c r="R35" s="198"/>
      <c r="S35" s="198"/>
      <c r="T35" s="198"/>
      <c r="U35" s="198"/>
    </row>
    <row r="36" spans="1:21" s="12" customFormat="1" x14ac:dyDescent="0.25">
      <c r="A36" s="211" t="s">
        <v>2484</v>
      </c>
      <c r="B36" s="64">
        <v>1.37</v>
      </c>
      <c r="C36" s="64">
        <v>29.58</v>
      </c>
      <c r="D36" s="64">
        <v>18.07</v>
      </c>
      <c r="E36" s="64">
        <v>1.48</v>
      </c>
      <c r="F36" s="64">
        <v>7.84</v>
      </c>
      <c r="G36" s="64">
        <v>48.33</v>
      </c>
      <c r="H36" s="64">
        <v>23.75</v>
      </c>
      <c r="I36" s="64">
        <v>0.8</v>
      </c>
      <c r="J36" s="64">
        <v>0.02</v>
      </c>
      <c r="K36" s="64">
        <v>239.87</v>
      </c>
      <c r="L36" s="64">
        <v>29.16</v>
      </c>
      <c r="M36" s="64">
        <v>46.15</v>
      </c>
      <c r="N36" s="64">
        <v>230.2</v>
      </c>
      <c r="O36" s="64">
        <v>0</v>
      </c>
      <c r="P36" s="64">
        <v>0.52</v>
      </c>
      <c r="Q36" s="64">
        <v>27.52</v>
      </c>
      <c r="R36" s="198"/>
      <c r="S36" s="198"/>
      <c r="T36" s="198"/>
      <c r="U36" s="198"/>
    </row>
    <row r="37" spans="1:21" s="12" customFormat="1" x14ac:dyDescent="0.25">
      <c r="A37" s="211" t="s">
        <v>2485</v>
      </c>
      <c r="B37" s="64">
        <v>1.74</v>
      </c>
      <c r="C37" s="64">
        <v>30.75</v>
      </c>
      <c r="D37" s="64">
        <v>19.010000000000002</v>
      </c>
      <c r="E37" s="64">
        <v>1.7</v>
      </c>
      <c r="F37" s="64">
        <v>11.61</v>
      </c>
      <c r="G37" s="64">
        <v>48.33</v>
      </c>
      <c r="H37" s="64">
        <v>23.75</v>
      </c>
      <c r="I37" s="64">
        <v>0.61</v>
      </c>
      <c r="J37" s="64">
        <v>0.02</v>
      </c>
      <c r="K37" s="64">
        <v>204.65</v>
      </c>
      <c r="L37" s="64">
        <v>29.38</v>
      </c>
      <c r="M37" s="64">
        <v>45.92</v>
      </c>
      <c r="N37" s="64">
        <v>287</v>
      </c>
      <c r="O37" s="64">
        <v>0</v>
      </c>
      <c r="P37" s="64">
        <v>0.55000000000000004</v>
      </c>
      <c r="Q37" s="64">
        <v>27.49</v>
      </c>
      <c r="R37" s="198"/>
      <c r="S37" s="198"/>
      <c r="T37" s="198"/>
      <c r="U37" s="198"/>
    </row>
    <row r="38" spans="1:21" s="12" customFormat="1" x14ac:dyDescent="0.25">
      <c r="A38" s="211" t="s">
        <v>2486</v>
      </c>
      <c r="B38" s="64">
        <v>2.83</v>
      </c>
      <c r="C38" s="64">
        <v>32.659999999999997</v>
      </c>
      <c r="D38" s="64">
        <v>20.94</v>
      </c>
      <c r="E38" s="64">
        <v>2.0699999999999998</v>
      </c>
      <c r="F38" s="64">
        <v>19.29</v>
      </c>
      <c r="G38" s="64">
        <v>48.33</v>
      </c>
      <c r="H38" s="64">
        <v>23.75</v>
      </c>
      <c r="I38" s="64">
        <v>0.82</v>
      </c>
      <c r="J38" s="64">
        <v>0.04</v>
      </c>
      <c r="K38" s="64">
        <v>353.57</v>
      </c>
      <c r="L38" s="64">
        <v>30.32</v>
      </c>
      <c r="M38" s="64">
        <v>44.15</v>
      </c>
      <c r="N38" s="64">
        <v>338</v>
      </c>
      <c r="O38" s="64">
        <v>0</v>
      </c>
      <c r="P38" s="64">
        <v>0.64</v>
      </c>
      <c r="Q38" s="64">
        <v>27.64</v>
      </c>
      <c r="R38" s="198"/>
      <c r="S38" s="198"/>
      <c r="T38" s="198"/>
      <c r="U38" s="198"/>
    </row>
    <row r="39" spans="1:21" s="12" customFormat="1" x14ac:dyDescent="0.25">
      <c r="A39" s="211" t="s">
        <v>2487</v>
      </c>
      <c r="B39" s="64">
        <v>2.76</v>
      </c>
      <c r="C39" s="64">
        <v>31.46</v>
      </c>
      <c r="D39" s="64">
        <v>20.22</v>
      </c>
      <c r="E39" s="64">
        <v>1.99</v>
      </c>
      <c r="F39" s="64">
        <v>19.03</v>
      </c>
      <c r="G39" s="64">
        <v>49.51</v>
      </c>
      <c r="H39" s="64">
        <v>24.17</v>
      </c>
      <c r="I39" s="64">
        <v>0.54</v>
      </c>
      <c r="J39" s="64">
        <v>0.06</v>
      </c>
      <c r="K39" s="64">
        <v>240.72</v>
      </c>
      <c r="L39" s="64">
        <v>31.03</v>
      </c>
      <c r="M39" s="64">
        <v>41.41</v>
      </c>
      <c r="N39" s="64">
        <v>395</v>
      </c>
      <c r="O39" s="64">
        <v>0</v>
      </c>
      <c r="P39" s="64">
        <v>0.57999999999999996</v>
      </c>
      <c r="Q39" s="64">
        <v>26.72</v>
      </c>
      <c r="R39" s="198"/>
      <c r="S39" s="198"/>
      <c r="T39" s="198"/>
      <c r="U39" s="198"/>
    </row>
    <row r="40" spans="1:21" s="12" customFormat="1" x14ac:dyDescent="0.25">
      <c r="A40" s="211" t="s">
        <v>2488</v>
      </c>
      <c r="B40" s="64">
        <v>2.89</v>
      </c>
      <c r="C40" s="64">
        <v>31.52</v>
      </c>
      <c r="D40" s="64">
        <v>20.36</v>
      </c>
      <c r="E40" s="64">
        <v>1.1100000000000001</v>
      </c>
      <c r="F40" s="64">
        <v>15.52</v>
      </c>
      <c r="G40" s="64">
        <v>58.96</v>
      </c>
      <c r="H40" s="64">
        <v>26.88</v>
      </c>
      <c r="I40" s="64">
        <v>0.68</v>
      </c>
      <c r="J40" s="64">
        <v>0.04</v>
      </c>
      <c r="K40" s="64">
        <v>156.62</v>
      </c>
      <c r="L40" s="64">
        <v>31.91</v>
      </c>
      <c r="M40" s="64">
        <v>39.44</v>
      </c>
      <c r="N40" s="64">
        <v>443.5</v>
      </c>
      <c r="O40" s="64">
        <v>0</v>
      </c>
      <c r="P40" s="64">
        <v>0.59</v>
      </c>
      <c r="Q40" s="64">
        <v>26.32</v>
      </c>
      <c r="R40" s="198"/>
      <c r="S40" s="198"/>
      <c r="T40" s="198"/>
      <c r="U40" s="198"/>
    </row>
    <row r="41" spans="1:21" s="12" customFormat="1" x14ac:dyDescent="0.25">
      <c r="A41" s="211" t="s">
        <v>2489</v>
      </c>
      <c r="B41" s="64">
        <v>2.2599999999999998</v>
      </c>
      <c r="C41" s="64">
        <v>28.17</v>
      </c>
      <c r="D41" s="64">
        <v>18</v>
      </c>
      <c r="E41" s="64">
        <v>1.72</v>
      </c>
      <c r="F41" s="64">
        <v>19.63</v>
      </c>
      <c r="G41" s="64">
        <v>58.96</v>
      </c>
      <c r="H41" s="64">
        <v>26.88</v>
      </c>
      <c r="I41" s="64">
        <v>0.54</v>
      </c>
      <c r="J41" s="64">
        <v>0.03</v>
      </c>
      <c r="K41" s="64">
        <v>53.52</v>
      </c>
      <c r="L41" s="64">
        <v>32.08</v>
      </c>
      <c r="M41" s="64">
        <v>38.729999999999997</v>
      </c>
      <c r="N41" s="64">
        <v>497.4</v>
      </c>
      <c r="O41" s="64">
        <v>0</v>
      </c>
      <c r="P41" s="64">
        <v>0.56999999999999995</v>
      </c>
      <c r="Q41" s="64">
        <v>26.52</v>
      </c>
      <c r="R41" s="198"/>
      <c r="S41" s="198"/>
      <c r="T41" s="198"/>
      <c r="U41" s="198"/>
    </row>
    <row r="42" spans="1:21" s="12" customFormat="1" x14ac:dyDescent="0.25">
      <c r="A42" s="211" t="s">
        <v>2490</v>
      </c>
      <c r="B42" s="64">
        <v>2.0099999999999998</v>
      </c>
      <c r="C42" s="64">
        <v>27.53</v>
      </c>
      <c r="D42" s="64">
        <v>17.45</v>
      </c>
      <c r="E42" s="64">
        <v>1.58</v>
      </c>
      <c r="F42" s="64">
        <v>7.18</v>
      </c>
      <c r="G42" s="64">
        <v>58.96</v>
      </c>
      <c r="H42" s="64">
        <v>26.88</v>
      </c>
      <c r="I42" s="64">
        <v>0.67</v>
      </c>
      <c r="J42" s="64">
        <v>0.12</v>
      </c>
      <c r="K42" s="64">
        <v>25.15</v>
      </c>
      <c r="L42" s="64">
        <v>32.93</v>
      </c>
      <c r="M42" s="64">
        <v>36.229999999999997</v>
      </c>
      <c r="N42" s="64">
        <v>545.6</v>
      </c>
      <c r="O42" s="64">
        <v>0</v>
      </c>
      <c r="P42" s="64">
        <v>0.57999999999999996</v>
      </c>
      <c r="Q42" s="64">
        <v>25.79</v>
      </c>
      <c r="R42" s="198"/>
      <c r="S42" s="198"/>
      <c r="T42" s="198"/>
      <c r="U42" s="198"/>
    </row>
    <row r="43" spans="1:21" s="12" customFormat="1" x14ac:dyDescent="0.25">
      <c r="A43" s="211" t="s">
        <v>2491</v>
      </c>
      <c r="B43" s="64">
        <v>1.66</v>
      </c>
      <c r="C43" s="64">
        <v>29.18</v>
      </c>
      <c r="D43" s="64">
        <v>18.079999999999998</v>
      </c>
      <c r="E43" s="64">
        <v>1.49</v>
      </c>
      <c r="F43" s="64">
        <v>8.41</v>
      </c>
      <c r="G43" s="64">
        <v>60.48</v>
      </c>
      <c r="H43" s="64">
        <v>27.46</v>
      </c>
      <c r="I43" s="64">
        <v>0.57999999999999996</v>
      </c>
      <c r="J43" s="64">
        <v>0.17</v>
      </c>
      <c r="K43" s="64">
        <v>32.58</v>
      </c>
      <c r="L43" s="64">
        <v>33.14</v>
      </c>
      <c r="M43" s="64">
        <v>35.200000000000003</v>
      </c>
      <c r="N43" s="64">
        <v>597.9</v>
      </c>
      <c r="O43" s="64">
        <v>0</v>
      </c>
      <c r="P43" s="64">
        <v>0.57999999999999996</v>
      </c>
      <c r="Q43" s="64">
        <v>25.81</v>
      </c>
      <c r="R43" s="198"/>
      <c r="S43" s="198"/>
      <c r="T43" s="198"/>
      <c r="U43" s="198"/>
    </row>
    <row r="44" spans="1:21" s="12" customFormat="1" x14ac:dyDescent="0.25">
      <c r="A44" s="211" t="s">
        <v>2492</v>
      </c>
      <c r="B44" s="64">
        <v>1.29</v>
      </c>
      <c r="C44" s="64">
        <v>30.73</v>
      </c>
      <c r="D44" s="64">
        <v>18.64</v>
      </c>
      <c r="E44" s="64">
        <v>1.45</v>
      </c>
      <c r="F44" s="64">
        <v>9.56</v>
      </c>
      <c r="G44" s="64">
        <v>72.59</v>
      </c>
      <c r="H44" s="64">
        <v>31.22</v>
      </c>
      <c r="I44" s="64">
        <v>0.56000000000000005</v>
      </c>
      <c r="J44" s="64">
        <v>7.0000000000000007E-2</v>
      </c>
      <c r="K44" s="64">
        <v>3.47</v>
      </c>
      <c r="L44" s="64">
        <v>33.43</v>
      </c>
      <c r="M44" s="64">
        <v>34.369999999999997</v>
      </c>
      <c r="N44" s="64">
        <v>640.9</v>
      </c>
      <c r="O44" s="64">
        <v>0</v>
      </c>
      <c r="P44" s="64">
        <v>0.57999999999999996</v>
      </c>
      <c r="Q44" s="64">
        <v>26.12</v>
      </c>
      <c r="R44" s="198"/>
      <c r="S44" s="198"/>
      <c r="T44" s="198"/>
      <c r="U44" s="198"/>
    </row>
    <row r="45" spans="1:21" s="12" customFormat="1" x14ac:dyDescent="0.25">
      <c r="A45" s="211" t="s">
        <v>2493</v>
      </c>
      <c r="B45" s="64">
        <v>1.1499999999999999</v>
      </c>
      <c r="C45" s="64">
        <v>31.2</v>
      </c>
      <c r="D45" s="64">
        <v>18.79</v>
      </c>
      <c r="E45" s="64">
        <v>1.33</v>
      </c>
      <c r="F45" s="64">
        <v>11.1</v>
      </c>
      <c r="G45" s="64">
        <v>72.59</v>
      </c>
      <c r="H45" s="64">
        <v>31.22</v>
      </c>
      <c r="I45" s="64">
        <v>0.56000000000000005</v>
      </c>
      <c r="J45" s="64">
        <v>0.04</v>
      </c>
      <c r="K45" s="64">
        <v>46.82</v>
      </c>
      <c r="L45" s="64">
        <v>34.94</v>
      </c>
      <c r="M45" s="64">
        <v>32.6</v>
      </c>
      <c r="N45" s="64">
        <v>678.7</v>
      </c>
      <c r="O45" s="64">
        <v>0</v>
      </c>
      <c r="P45" s="64">
        <v>0.57999999999999996</v>
      </c>
      <c r="Q45" s="64">
        <v>26.07</v>
      </c>
      <c r="R45" s="198"/>
      <c r="S45" s="198"/>
      <c r="T45" s="198"/>
      <c r="U45" s="198"/>
    </row>
    <row r="46" spans="1:21" s="12" customFormat="1" x14ac:dyDescent="0.25">
      <c r="A46" s="211" t="s">
        <v>2494</v>
      </c>
      <c r="B46" s="64">
        <v>1.1299999999999999</v>
      </c>
      <c r="C46" s="64">
        <v>32.17</v>
      </c>
      <c r="D46" s="64">
        <v>19.309999999999999</v>
      </c>
      <c r="E46" s="64">
        <v>1.55</v>
      </c>
      <c r="F46" s="64">
        <v>10.66</v>
      </c>
      <c r="G46" s="64">
        <v>72.59</v>
      </c>
      <c r="H46" s="64">
        <v>31.22</v>
      </c>
      <c r="I46" s="64">
        <v>0.81</v>
      </c>
      <c r="J46" s="64">
        <v>0.1</v>
      </c>
      <c r="K46" s="64">
        <v>333.64</v>
      </c>
      <c r="L46" s="64">
        <v>35.380000000000003</v>
      </c>
      <c r="M46" s="64">
        <v>30.7</v>
      </c>
      <c r="N46" s="64">
        <v>718.3</v>
      </c>
      <c r="O46" s="64">
        <v>0</v>
      </c>
      <c r="P46" s="64">
        <v>0.6</v>
      </c>
      <c r="Q46" s="64">
        <v>25.77</v>
      </c>
      <c r="R46" s="198"/>
      <c r="S46" s="198"/>
      <c r="T46" s="198"/>
      <c r="U46" s="198"/>
    </row>
    <row r="47" spans="1:21" s="12" customFormat="1" x14ac:dyDescent="0.25">
      <c r="A47" s="211" t="s">
        <v>2495</v>
      </c>
      <c r="B47" s="64">
        <v>1.19</v>
      </c>
      <c r="C47" s="64">
        <v>33.590000000000003</v>
      </c>
      <c r="D47" s="64">
        <v>20.14</v>
      </c>
      <c r="E47" s="64">
        <v>1.1499999999999999</v>
      </c>
      <c r="F47" s="64">
        <v>11.06</v>
      </c>
      <c r="G47" s="64">
        <v>72.69</v>
      </c>
      <c r="H47" s="64">
        <v>31.65</v>
      </c>
      <c r="I47" s="64">
        <v>0.53</v>
      </c>
      <c r="J47" s="64">
        <v>0.28999999999999998</v>
      </c>
      <c r="K47" s="64">
        <v>253.86</v>
      </c>
      <c r="L47" s="64">
        <v>36.49</v>
      </c>
      <c r="M47" s="64">
        <v>28.74</v>
      </c>
      <c r="N47" s="64">
        <v>755.8</v>
      </c>
      <c r="O47" s="64">
        <v>0</v>
      </c>
      <c r="P47" s="64">
        <v>0.63</v>
      </c>
      <c r="Q47" s="64">
        <v>25.83</v>
      </c>
      <c r="R47" s="198"/>
      <c r="S47" s="198"/>
      <c r="T47" s="198"/>
      <c r="U47" s="198"/>
    </row>
    <row r="48" spans="1:21" s="12" customFormat="1" x14ac:dyDescent="0.25">
      <c r="A48" s="211" t="s">
        <v>2496</v>
      </c>
      <c r="B48" s="64">
        <v>1.1599999999999999</v>
      </c>
      <c r="C48" s="64">
        <v>34.619999999999997</v>
      </c>
      <c r="D48" s="64">
        <v>20.68</v>
      </c>
      <c r="E48" s="64">
        <v>1.43</v>
      </c>
      <c r="F48" s="64">
        <v>11.92</v>
      </c>
      <c r="G48" s="64">
        <v>73.459999999999994</v>
      </c>
      <c r="H48" s="64">
        <v>34.82</v>
      </c>
      <c r="I48" s="64">
        <v>0.54</v>
      </c>
      <c r="J48" s="64">
        <v>0.32</v>
      </c>
      <c r="K48" s="64">
        <v>265.33999999999997</v>
      </c>
      <c r="L48" s="64">
        <v>36.700000000000003</v>
      </c>
      <c r="M48" s="64">
        <v>26.37</v>
      </c>
      <c r="N48" s="64">
        <v>776.7</v>
      </c>
      <c r="O48" s="64">
        <v>0</v>
      </c>
      <c r="P48" s="64">
        <v>0.68</v>
      </c>
      <c r="Q48" s="64">
        <v>25.71</v>
      </c>
      <c r="R48" s="198"/>
      <c r="S48" s="198"/>
      <c r="T48" s="198"/>
      <c r="U48" s="198"/>
    </row>
    <row r="49" spans="1:21" s="12" customFormat="1" x14ac:dyDescent="0.25">
      <c r="A49" s="211" t="s">
        <v>2497</v>
      </c>
      <c r="B49" s="64">
        <v>1.84</v>
      </c>
      <c r="C49" s="64">
        <v>37.590000000000003</v>
      </c>
      <c r="D49" s="64">
        <v>22.86</v>
      </c>
      <c r="E49" s="64">
        <v>1.79</v>
      </c>
      <c r="F49" s="64">
        <v>13.14</v>
      </c>
      <c r="G49" s="64">
        <v>73.459999999999994</v>
      </c>
      <c r="H49" s="64">
        <v>34.82</v>
      </c>
      <c r="I49" s="64">
        <v>0.71</v>
      </c>
      <c r="J49" s="64">
        <v>0.93</v>
      </c>
      <c r="K49" s="64">
        <v>257.5</v>
      </c>
      <c r="L49" s="64">
        <v>38.57</v>
      </c>
      <c r="M49" s="64">
        <v>23.73</v>
      </c>
      <c r="N49" s="64">
        <v>805</v>
      </c>
      <c r="O49" s="64">
        <v>0</v>
      </c>
      <c r="P49" s="64">
        <v>0.73</v>
      </c>
      <c r="Q49" s="64">
        <v>26.16</v>
      </c>
      <c r="R49" s="198"/>
      <c r="S49" s="198"/>
      <c r="T49" s="198"/>
      <c r="U49" s="198"/>
    </row>
    <row r="50" spans="1:21" s="12" customFormat="1" x14ac:dyDescent="0.25">
      <c r="A50" s="211" t="s">
        <v>2498</v>
      </c>
      <c r="B50" s="64">
        <v>3.62</v>
      </c>
      <c r="C50" s="64">
        <v>41.39</v>
      </c>
      <c r="D50" s="64">
        <v>26.39</v>
      </c>
      <c r="E50" s="64">
        <v>2.41</v>
      </c>
      <c r="F50" s="64">
        <v>43.12</v>
      </c>
      <c r="G50" s="64">
        <v>73.459999999999994</v>
      </c>
      <c r="H50" s="64">
        <v>34.82</v>
      </c>
      <c r="I50" s="64">
        <v>0.64</v>
      </c>
      <c r="J50" s="64">
        <v>0.76</v>
      </c>
      <c r="K50" s="64">
        <v>258.95999999999998</v>
      </c>
      <c r="L50" s="64">
        <v>39.36</v>
      </c>
      <c r="M50" s="64">
        <v>23.5</v>
      </c>
      <c r="N50" s="64">
        <v>830.5</v>
      </c>
      <c r="O50" s="64">
        <v>0</v>
      </c>
      <c r="P50" s="64">
        <v>0.83</v>
      </c>
      <c r="Q50" s="64">
        <v>24.79</v>
      </c>
      <c r="R50" s="198"/>
      <c r="S50" s="198"/>
      <c r="T50" s="198"/>
      <c r="U50" s="198"/>
    </row>
    <row r="51" spans="1:21" s="12" customFormat="1" x14ac:dyDescent="0.25">
      <c r="A51" s="211" t="s">
        <v>2499</v>
      </c>
      <c r="B51" s="64">
        <v>2.4900000000000002</v>
      </c>
      <c r="C51" s="64">
        <v>41.82</v>
      </c>
      <c r="D51" s="64">
        <v>25.72</v>
      </c>
      <c r="E51" s="64">
        <v>3.49</v>
      </c>
      <c r="F51" s="64">
        <v>33.92</v>
      </c>
      <c r="G51" s="64">
        <v>73.5</v>
      </c>
      <c r="H51" s="64">
        <v>33.82</v>
      </c>
      <c r="I51" s="64">
        <v>0.57999999999999996</v>
      </c>
      <c r="J51" s="64">
        <v>0.4</v>
      </c>
      <c r="K51" s="64">
        <v>260.57</v>
      </c>
      <c r="L51" s="64">
        <v>39.619999999999997</v>
      </c>
      <c r="M51" s="64">
        <v>23.05</v>
      </c>
      <c r="N51" s="64">
        <v>850</v>
      </c>
      <c r="O51" s="64">
        <v>0</v>
      </c>
      <c r="P51" s="64">
        <v>0.81</v>
      </c>
      <c r="Q51" s="64">
        <v>24.2</v>
      </c>
      <c r="R51" s="198"/>
      <c r="S51" s="198"/>
      <c r="T51" s="198"/>
      <c r="U51" s="198"/>
    </row>
    <row r="52" spans="1:21" s="12" customFormat="1" x14ac:dyDescent="0.25">
      <c r="A52" s="211" t="s">
        <v>2500</v>
      </c>
      <c r="B52" s="64">
        <v>2.99</v>
      </c>
      <c r="C52" s="64">
        <v>40</v>
      </c>
      <c r="D52" s="64">
        <v>25.12</v>
      </c>
      <c r="E52" s="64">
        <v>3.06</v>
      </c>
      <c r="F52" s="64">
        <v>18.350000000000001</v>
      </c>
      <c r="G52" s="64">
        <v>73.819999999999993</v>
      </c>
      <c r="H52" s="64">
        <v>27.43</v>
      </c>
      <c r="I52" s="64">
        <v>0.52</v>
      </c>
      <c r="J52" s="64">
        <v>0.84</v>
      </c>
      <c r="K52" s="64">
        <v>256.74</v>
      </c>
      <c r="L52" s="64">
        <v>39.979999999999997</v>
      </c>
      <c r="M52" s="64">
        <v>21.45</v>
      </c>
      <c r="N52" s="64">
        <v>854</v>
      </c>
      <c r="O52" s="64">
        <v>0</v>
      </c>
      <c r="P52" s="64">
        <v>0.81</v>
      </c>
      <c r="Q52" s="64">
        <v>24.71</v>
      </c>
      <c r="R52" s="198"/>
      <c r="S52" s="198"/>
      <c r="T52" s="198"/>
      <c r="U52" s="198"/>
    </row>
    <row r="53" spans="1:21" s="12" customFormat="1" x14ac:dyDescent="0.25">
      <c r="A53" s="211" t="s">
        <v>2501</v>
      </c>
      <c r="B53" s="64">
        <v>4.7699999999999996</v>
      </c>
      <c r="C53" s="64">
        <v>39.840000000000003</v>
      </c>
      <c r="D53" s="64">
        <v>26.45</v>
      </c>
      <c r="E53" s="64">
        <v>2.91</v>
      </c>
      <c r="F53" s="64">
        <v>28.12</v>
      </c>
      <c r="G53" s="64">
        <v>73.819999999999993</v>
      </c>
      <c r="H53" s="64">
        <v>27.43</v>
      </c>
      <c r="I53" s="64">
        <v>0.63</v>
      </c>
      <c r="J53" s="64">
        <v>0.68</v>
      </c>
      <c r="K53" s="64">
        <v>255.16</v>
      </c>
      <c r="L53" s="64">
        <v>40.69</v>
      </c>
      <c r="M53" s="64">
        <v>20.74</v>
      </c>
      <c r="N53" s="64">
        <v>871.6</v>
      </c>
      <c r="O53" s="64">
        <v>0</v>
      </c>
      <c r="P53" s="64">
        <v>0.8</v>
      </c>
      <c r="Q53" s="64">
        <v>24.48</v>
      </c>
      <c r="R53" s="198"/>
      <c r="S53" s="198"/>
      <c r="T53" s="198"/>
      <c r="U53" s="198"/>
    </row>
    <row r="54" spans="1:21" s="12" customFormat="1" x14ac:dyDescent="0.25">
      <c r="A54" s="211" t="s">
        <v>2502</v>
      </c>
      <c r="B54" s="64">
        <v>2.98</v>
      </c>
      <c r="C54" s="64">
        <v>40.020000000000003</v>
      </c>
      <c r="D54" s="64">
        <v>25.13</v>
      </c>
      <c r="E54" s="64">
        <v>1.82</v>
      </c>
      <c r="F54" s="64">
        <v>11.89</v>
      </c>
      <c r="G54" s="64">
        <v>73.819999999999993</v>
      </c>
      <c r="H54" s="64">
        <v>27.43</v>
      </c>
      <c r="I54" s="64">
        <v>0.61</v>
      </c>
      <c r="J54" s="64">
        <v>0.56000000000000005</v>
      </c>
      <c r="K54" s="64">
        <v>258.8</v>
      </c>
      <c r="L54" s="64">
        <v>40.99</v>
      </c>
      <c r="M54" s="64">
        <v>20.6</v>
      </c>
      <c r="N54" s="64">
        <v>731.3</v>
      </c>
      <c r="O54" s="64">
        <v>0</v>
      </c>
      <c r="P54" s="64">
        <v>0.79</v>
      </c>
      <c r="Q54" s="64">
        <v>24.14</v>
      </c>
      <c r="R54" s="198"/>
      <c r="S54" s="198"/>
      <c r="T54" s="198"/>
      <c r="U54" s="198"/>
    </row>
    <row r="55" spans="1:21" s="12" customFormat="1" x14ac:dyDescent="0.25">
      <c r="A55" s="211" t="s">
        <v>2503</v>
      </c>
      <c r="B55" s="64">
        <v>2.21</v>
      </c>
      <c r="C55" s="64">
        <v>38.08</v>
      </c>
      <c r="D55" s="64">
        <v>23.44</v>
      </c>
      <c r="E55" s="64">
        <v>1.91</v>
      </c>
      <c r="F55" s="64">
        <v>14.28</v>
      </c>
      <c r="G55" s="64">
        <v>74.36</v>
      </c>
      <c r="H55" s="64">
        <v>28.61</v>
      </c>
      <c r="I55" s="64">
        <v>0.56999999999999995</v>
      </c>
      <c r="J55" s="64">
        <v>0.99</v>
      </c>
      <c r="K55" s="64">
        <v>256.39</v>
      </c>
      <c r="L55" s="64">
        <v>40.75</v>
      </c>
      <c r="M55" s="64">
        <v>20.45</v>
      </c>
      <c r="N55" s="64">
        <v>863.8</v>
      </c>
      <c r="O55" s="64">
        <v>0</v>
      </c>
      <c r="P55" s="64">
        <v>0.76</v>
      </c>
      <c r="Q55" s="64">
        <v>24.81</v>
      </c>
      <c r="R55" s="198"/>
      <c r="S55" s="198"/>
      <c r="T55" s="198"/>
      <c r="U55" s="198"/>
    </row>
    <row r="56" spans="1:21" s="12" customFormat="1" x14ac:dyDescent="0.25">
      <c r="A56" s="211" t="s">
        <v>2504</v>
      </c>
      <c r="B56" s="64">
        <v>1.68</v>
      </c>
      <c r="C56" s="64">
        <v>36.54</v>
      </c>
      <c r="D56" s="64">
        <v>22.16</v>
      </c>
      <c r="E56" s="64">
        <v>2.02</v>
      </c>
      <c r="F56" s="64">
        <v>21.08</v>
      </c>
      <c r="G56" s="64">
        <v>78.680000000000007</v>
      </c>
      <c r="H56" s="64">
        <v>36.22</v>
      </c>
      <c r="I56" s="64">
        <v>0.82</v>
      </c>
      <c r="J56" s="64">
        <v>1.08</v>
      </c>
      <c r="K56" s="64">
        <v>255.03</v>
      </c>
      <c r="L56" s="64">
        <v>40.590000000000003</v>
      </c>
      <c r="M56" s="64">
        <v>20.04</v>
      </c>
      <c r="N56" s="64">
        <v>851.3</v>
      </c>
      <c r="O56" s="64">
        <v>0</v>
      </c>
      <c r="P56" s="64">
        <v>0.68</v>
      </c>
      <c r="Q56" s="64">
        <v>24.98</v>
      </c>
      <c r="R56" s="198"/>
      <c r="S56" s="198"/>
      <c r="T56" s="198"/>
      <c r="U56" s="198"/>
    </row>
    <row r="57" spans="1:21" s="12" customFormat="1" x14ac:dyDescent="0.25">
      <c r="A57" s="211" t="s">
        <v>2505</v>
      </c>
      <c r="B57" s="64">
        <v>1.44</v>
      </c>
      <c r="C57" s="64">
        <v>36.92</v>
      </c>
      <c r="D57" s="64">
        <v>22.18</v>
      </c>
      <c r="E57" s="64">
        <v>2.91</v>
      </c>
      <c r="F57" s="64">
        <v>13.27</v>
      </c>
      <c r="G57" s="64">
        <v>78.680000000000007</v>
      </c>
      <c r="H57" s="64">
        <v>36.22</v>
      </c>
      <c r="I57" s="64">
        <v>0.57999999999999996</v>
      </c>
      <c r="J57" s="64">
        <v>0.26</v>
      </c>
      <c r="K57" s="64">
        <v>161.34</v>
      </c>
      <c r="L57" s="64">
        <v>39.01</v>
      </c>
      <c r="M57" s="64">
        <v>19.809999999999999</v>
      </c>
      <c r="N57" s="64">
        <v>798.9</v>
      </c>
      <c r="O57" s="64">
        <v>0</v>
      </c>
      <c r="P57" s="64">
        <v>0.66</v>
      </c>
      <c r="Q57" s="64">
        <v>24.73</v>
      </c>
      <c r="R57" s="198"/>
      <c r="S57" s="198"/>
      <c r="T57" s="198"/>
      <c r="U57" s="198"/>
    </row>
    <row r="58" spans="1:21" s="12" customFormat="1" x14ac:dyDescent="0.25">
      <c r="A58" s="211" t="s">
        <v>2506</v>
      </c>
      <c r="B58" s="64">
        <v>1.58</v>
      </c>
      <c r="C58" s="64">
        <v>35.93</v>
      </c>
      <c r="D58" s="64">
        <v>21.74</v>
      </c>
      <c r="E58" s="64">
        <v>2.8</v>
      </c>
      <c r="F58" s="64">
        <v>16.16</v>
      </c>
      <c r="G58" s="64">
        <v>78.680000000000007</v>
      </c>
      <c r="H58" s="64">
        <v>36.22</v>
      </c>
      <c r="I58" s="64">
        <v>0.62</v>
      </c>
      <c r="J58" s="64">
        <v>0.23</v>
      </c>
      <c r="K58" s="64">
        <v>253.39</v>
      </c>
      <c r="L58" s="64">
        <v>39.479999999999997</v>
      </c>
      <c r="M58" s="64">
        <v>20.329999999999998</v>
      </c>
      <c r="N58" s="64">
        <v>849.4</v>
      </c>
      <c r="O58" s="64">
        <v>0</v>
      </c>
      <c r="P58" s="64">
        <v>0.62</v>
      </c>
      <c r="Q58" s="64">
        <v>25.18</v>
      </c>
      <c r="R58" s="198"/>
      <c r="S58" s="198"/>
      <c r="T58" s="198"/>
      <c r="U58" s="198"/>
    </row>
    <row r="59" spans="1:21" s="12" customFormat="1" x14ac:dyDescent="0.25">
      <c r="A59" s="211" t="s">
        <v>2507</v>
      </c>
      <c r="B59" s="64">
        <v>1.81</v>
      </c>
      <c r="C59" s="64">
        <v>36.479999999999997</v>
      </c>
      <c r="D59" s="64">
        <v>22.23</v>
      </c>
      <c r="E59" s="64">
        <v>2.98</v>
      </c>
      <c r="F59" s="64">
        <v>12.09</v>
      </c>
      <c r="G59" s="64">
        <v>79.34</v>
      </c>
      <c r="H59" s="64">
        <v>36.26</v>
      </c>
      <c r="I59" s="64">
        <v>0.56000000000000005</v>
      </c>
      <c r="J59" s="64">
        <v>0.61</v>
      </c>
      <c r="K59" s="64">
        <v>258.44</v>
      </c>
      <c r="L59" s="64">
        <v>41</v>
      </c>
      <c r="M59" s="64">
        <v>16.899999999999999</v>
      </c>
      <c r="N59" s="64">
        <v>857</v>
      </c>
      <c r="O59" s="64">
        <v>0</v>
      </c>
      <c r="P59" s="64">
        <v>0.62</v>
      </c>
      <c r="Q59" s="64">
        <v>25.37</v>
      </c>
      <c r="R59" s="198"/>
      <c r="S59" s="198"/>
      <c r="T59" s="198"/>
      <c r="U59" s="198"/>
    </row>
    <row r="60" spans="1:21" s="12" customFormat="1" x14ac:dyDescent="0.25">
      <c r="A60" s="211" t="s">
        <v>2508</v>
      </c>
      <c r="B60" s="64">
        <v>1.26</v>
      </c>
      <c r="C60" s="64">
        <v>31.27</v>
      </c>
      <c r="D60" s="64">
        <v>18.920000000000002</v>
      </c>
      <c r="E60" s="64">
        <v>2.8</v>
      </c>
      <c r="F60" s="64">
        <v>28.5</v>
      </c>
      <c r="G60" s="64">
        <v>84.56</v>
      </c>
      <c r="H60" s="64">
        <v>36.5</v>
      </c>
      <c r="I60" s="64">
        <v>0.55000000000000004</v>
      </c>
      <c r="J60" s="64">
        <v>0.41</v>
      </c>
      <c r="K60" s="64">
        <v>253.54</v>
      </c>
      <c r="L60" s="64">
        <v>40.98</v>
      </c>
      <c r="M60" s="64">
        <v>16.11</v>
      </c>
      <c r="N60" s="64">
        <v>806.5</v>
      </c>
      <c r="O60" s="64">
        <v>0</v>
      </c>
      <c r="P60" s="64">
        <v>0.49</v>
      </c>
      <c r="Q60" s="64">
        <v>25.3</v>
      </c>
      <c r="R60" s="198"/>
      <c r="S60" s="198"/>
      <c r="T60" s="198"/>
      <c r="U60" s="198"/>
    </row>
    <row r="61" spans="1:21" s="12" customFormat="1" x14ac:dyDescent="0.25">
      <c r="A61" s="211" t="s">
        <v>2509</v>
      </c>
      <c r="B61" s="64">
        <v>4.57</v>
      </c>
      <c r="C61" s="64">
        <v>31.87</v>
      </c>
      <c r="D61" s="64">
        <v>21.9</v>
      </c>
      <c r="E61" s="64">
        <v>4.55</v>
      </c>
      <c r="F61" s="64">
        <v>41.58</v>
      </c>
      <c r="G61" s="64">
        <v>84.56</v>
      </c>
      <c r="H61" s="64">
        <v>36.5</v>
      </c>
      <c r="I61" s="64">
        <v>0.56000000000000005</v>
      </c>
      <c r="J61" s="64">
        <v>0.45</v>
      </c>
      <c r="K61" s="64">
        <v>267.87</v>
      </c>
      <c r="L61" s="64">
        <v>40.74</v>
      </c>
      <c r="M61" s="64">
        <v>16.47</v>
      </c>
      <c r="N61" s="64">
        <v>844.5</v>
      </c>
      <c r="O61" s="64">
        <v>0</v>
      </c>
      <c r="P61" s="64">
        <v>0.43</v>
      </c>
      <c r="Q61" s="64">
        <v>25.51</v>
      </c>
      <c r="R61" s="198"/>
      <c r="S61" s="198"/>
      <c r="T61" s="198"/>
      <c r="U61" s="198"/>
    </row>
    <row r="62" spans="1:21" s="12" customFormat="1" x14ac:dyDescent="0.25">
      <c r="A62" s="211" t="s">
        <v>2510</v>
      </c>
      <c r="B62" s="64">
        <v>2.36</v>
      </c>
      <c r="C62" s="64">
        <v>34.54</v>
      </c>
      <c r="D62" s="64">
        <v>21.61</v>
      </c>
      <c r="E62" s="64">
        <v>3.17</v>
      </c>
      <c r="F62" s="64">
        <v>37.64</v>
      </c>
      <c r="G62" s="64">
        <v>84.56</v>
      </c>
      <c r="H62" s="64">
        <v>36.5</v>
      </c>
      <c r="I62" s="64">
        <v>0.51</v>
      </c>
      <c r="J62" s="64">
        <v>0.21</v>
      </c>
      <c r="K62" s="64">
        <v>240.5</v>
      </c>
      <c r="L62" s="64">
        <v>40.24</v>
      </c>
      <c r="M62" s="64">
        <v>16.59</v>
      </c>
      <c r="N62" s="64">
        <v>775.4</v>
      </c>
      <c r="O62" s="64">
        <v>0</v>
      </c>
      <c r="P62" s="64">
        <v>0.45</v>
      </c>
      <c r="Q62" s="64">
        <v>26.27</v>
      </c>
      <c r="R62" s="198"/>
      <c r="S62" s="198"/>
      <c r="T62" s="198"/>
      <c r="U62" s="198"/>
    </row>
    <row r="63" spans="1:21" s="12" customFormat="1" x14ac:dyDescent="0.25">
      <c r="A63" s="211" t="s">
        <v>2511</v>
      </c>
      <c r="B63" s="64">
        <v>3.41</v>
      </c>
      <c r="C63" s="64">
        <v>25.56</v>
      </c>
      <c r="D63" s="64">
        <v>17.489999999999998</v>
      </c>
      <c r="E63" s="64">
        <v>4.55</v>
      </c>
      <c r="F63" s="64">
        <v>54.33</v>
      </c>
      <c r="G63" s="64">
        <v>84.2</v>
      </c>
      <c r="H63" s="64">
        <v>35.86</v>
      </c>
      <c r="I63" s="64">
        <v>0.61</v>
      </c>
      <c r="J63" s="64">
        <v>0.77</v>
      </c>
      <c r="K63" s="64">
        <v>255.23</v>
      </c>
      <c r="L63" s="64">
        <v>39.99</v>
      </c>
      <c r="M63" s="64">
        <v>16.809999999999999</v>
      </c>
      <c r="N63" s="64">
        <v>641</v>
      </c>
      <c r="O63" s="64">
        <v>0</v>
      </c>
      <c r="P63" s="64">
        <v>0.37</v>
      </c>
      <c r="Q63" s="64">
        <v>26.6</v>
      </c>
      <c r="R63" s="198"/>
      <c r="S63" s="198"/>
      <c r="T63" s="198"/>
      <c r="U63" s="198"/>
    </row>
    <row r="64" spans="1:21" s="12" customFormat="1" x14ac:dyDescent="0.25">
      <c r="A64" s="211" t="s">
        <v>2512</v>
      </c>
      <c r="B64" s="64">
        <v>5.66</v>
      </c>
      <c r="C64" s="64">
        <v>28.42</v>
      </c>
      <c r="D64" s="64">
        <v>20.87</v>
      </c>
      <c r="E64" s="64">
        <v>4.3099999999999996</v>
      </c>
      <c r="F64" s="64">
        <v>51.18</v>
      </c>
      <c r="G64" s="64">
        <v>80.88</v>
      </c>
      <c r="H64" s="64">
        <v>31.7</v>
      </c>
      <c r="I64" s="64">
        <v>0.65</v>
      </c>
      <c r="J64" s="64">
        <v>0.77</v>
      </c>
      <c r="K64" s="64">
        <v>260.10000000000002</v>
      </c>
      <c r="L64" s="64">
        <v>41.19</v>
      </c>
      <c r="M64" s="64">
        <v>16.03</v>
      </c>
      <c r="N64" s="64">
        <v>659.1</v>
      </c>
      <c r="O64" s="64">
        <v>0</v>
      </c>
      <c r="P64" s="64">
        <v>0.5</v>
      </c>
      <c r="Q64" s="64">
        <v>25.76</v>
      </c>
      <c r="R64" s="198"/>
      <c r="S64" s="198"/>
      <c r="T64" s="198"/>
      <c r="U64" s="198"/>
    </row>
    <row r="65" spans="1:21" s="12" customFormat="1" x14ac:dyDescent="0.25">
      <c r="A65" s="211" t="s">
        <v>2513</v>
      </c>
      <c r="B65" s="64">
        <v>4.18</v>
      </c>
      <c r="C65" s="64">
        <v>31.13</v>
      </c>
      <c r="D65" s="64">
        <v>21.18</v>
      </c>
      <c r="E65" s="64">
        <v>2.73</v>
      </c>
      <c r="F65" s="64">
        <v>19.260000000000002</v>
      </c>
      <c r="G65" s="64">
        <v>80.88</v>
      </c>
      <c r="H65" s="64">
        <v>31.7</v>
      </c>
      <c r="I65" s="64">
        <v>0.53</v>
      </c>
      <c r="J65" s="64">
        <v>1.22</v>
      </c>
      <c r="K65" s="64">
        <v>257.13</v>
      </c>
      <c r="L65" s="64">
        <v>40.86</v>
      </c>
      <c r="M65" s="64">
        <v>15.7</v>
      </c>
      <c r="N65" s="64">
        <v>546.4</v>
      </c>
      <c r="O65" s="64">
        <v>0</v>
      </c>
      <c r="P65" s="64">
        <v>0.49</v>
      </c>
      <c r="Q65" s="64">
        <v>26.52</v>
      </c>
      <c r="R65" s="198"/>
      <c r="S65" s="198"/>
      <c r="T65" s="198"/>
      <c r="U65" s="198"/>
    </row>
    <row r="66" spans="1:21" s="12" customFormat="1" x14ac:dyDescent="0.25">
      <c r="A66" s="211" t="s">
        <v>2514</v>
      </c>
      <c r="B66" s="64">
        <v>3.24</v>
      </c>
      <c r="C66" s="64">
        <v>34.729999999999997</v>
      </c>
      <c r="D66" s="64">
        <v>22.41</v>
      </c>
      <c r="E66" s="64">
        <v>1.92</v>
      </c>
      <c r="F66" s="64">
        <v>9.59</v>
      </c>
      <c r="G66" s="64">
        <v>80.88</v>
      </c>
      <c r="H66" s="64">
        <v>31.7</v>
      </c>
      <c r="I66" s="64">
        <v>0.69</v>
      </c>
      <c r="J66" s="64">
        <v>0.38</v>
      </c>
      <c r="K66" s="64">
        <v>259.58999999999997</v>
      </c>
      <c r="L66" s="64">
        <v>40.92</v>
      </c>
      <c r="M66" s="64">
        <v>15.37</v>
      </c>
      <c r="N66" s="64">
        <v>355</v>
      </c>
      <c r="O66" s="64">
        <v>0</v>
      </c>
      <c r="P66" s="64">
        <v>0.5</v>
      </c>
      <c r="Q66" s="64">
        <v>26.62</v>
      </c>
      <c r="R66" s="198"/>
      <c r="S66" s="198"/>
      <c r="T66" s="198"/>
      <c r="U66" s="198"/>
    </row>
    <row r="67" spans="1:21" s="12" customFormat="1" x14ac:dyDescent="0.25">
      <c r="A67" s="211" t="s">
        <v>2515</v>
      </c>
      <c r="B67" s="64">
        <v>3</v>
      </c>
      <c r="C67" s="64">
        <v>34.26</v>
      </c>
      <c r="D67" s="64">
        <v>21.96</v>
      </c>
      <c r="E67" s="64">
        <v>1.84</v>
      </c>
      <c r="F67" s="64">
        <v>9.9700000000000006</v>
      </c>
      <c r="G67" s="64">
        <v>81.44</v>
      </c>
      <c r="H67" s="64">
        <v>31.98</v>
      </c>
      <c r="I67" s="64">
        <v>0.65</v>
      </c>
      <c r="J67" s="64">
        <v>0.64</v>
      </c>
      <c r="K67" s="64">
        <v>259.29000000000002</v>
      </c>
      <c r="L67" s="64">
        <v>39.11</v>
      </c>
      <c r="M67" s="64">
        <v>16.57</v>
      </c>
      <c r="N67" s="64">
        <v>314.60000000000002</v>
      </c>
      <c r="O67" s="64">
        <v>0</v>
      </c>
      <c r="P67" s="64">
        <v>0.48</v>
      </c>
      <c r="Q67" s="64">
        <v>26.36</v>
      </c>
      <c r="R67" s="198"/>
      <c r="S67" s="198"/>
      <c r="T67" s="198"/>
      <c r="U67" s="198"/>
    </row>
    <row r="68" spans="1:21" s="12" customFormat="1" x14ac:dyDescent="0.25">
      <c r="A68" s="211" t="s">
        <v>2516</v>
      </c>
      <c r="B68" s="64">
        <v>3.6</v>
      </c>
      <c r="C68" s="64">
        <v>35.71</v>
      </c>
      <c r="D68" s="64">
        <v>23.24</v>
      </c>
      <c r="E68" s="64">
        <v>1.79</v>
      </c>
      <c r="F68" s="64">
        <v>10.95</v>
      </c>
      <c r="G68" s="64">
        <v>86.42</v>
      </c>
      <c r="H68" s="64">
        <v>33.770000000000003</v>
      </c>
      <c r="I68" s="64">
        <v>0.72</v>
      </c>
      <c r="J68" s="64">
        <v>0.66</v>
      </c>
      <c r="K68" s="64">
        <v>257.04000000000002</v>
      </c>
      <c r="L68" s="64">
        <v>39.119999999999997</v>
      </c>
      <c r="M68" s="64">
        <v>17.45</v>
      </c>
      <c r="N68" s="64">
        <v>250.5</v>
      </c>
      <c r="O68" s="64">
        <v>0</v>
      </c>
      <c r="P68" s="64">
        <v>0.49</v>
      </c>
      <c r="Q68" s="64">
        <v>26.24</v>
      </c>
      <c r="R68" s="198"/>
      <c r="S68" s="198"/>
      <c r="T68" s="198"/>
      <c r="U68" s="198"/>
    </row>
    <row r="69" spans="1:21" s="12" customFormat="1" x14ac:dyDescent="0.25">
      <c r="A69" s="211" t="s">
        <v>2517</v>
      </c>
      <c r="B69" s="64">
        <v>2.93</v>
      </c>
      <c r="C69" s="64">
        <v>36.340000000000003</v>
      </c>
      <c r="D69" s="64">
        <v>23.05</v>
      </c>
      <c r="E69" s="64">
        <v>1.68</v>
      </c>
      <c r="F69" s="64">
        <v>13.46</v>
      </c>
      <c r="G69" s="64">
        <v>86.42</v>
      </c>
      <c r="H69" s="64">
        <v>33.770000000000003</v>
      </c>
      <c r="I69" s="64">
        <v>0.75</v>
      </c>
      <c r="J69" s="64">
        <v>0.56999999999999995</v>
      </c>
      <c r="K69" s="64">
        <v>256.89999999999998</v>
      </c>
      <c r="L69" s="64">
        <v>38.020000000000003</v>
      </c>
      <c r="M69" s="64">
        <v>18.399999999999999</v>
      </c>
      <c r="N69" s="64">
        <v>166.2</v>
      </c>
      <c r="O69" s="64">
        <v>0</v>
      </c>
      <c r="P69" s="64">
        <v>0.47</v>
      </c>
      <c r="Q69" s="64">
        <v>26.54</v>
      </c>
      <c r="R69" s="198"/>
      <c r="S69" s="198"/>
      <c r="T69" s="198"/>
      <c r="U69" s="198"/>
    </row>
    <row r="70" spans="1:21" s="12" customFormat="1" x14ac:dyDescent="0.25">
      <c r="A70" s="211" t="s">
        <v>2518</v>
      </c>
      <c r="B70" s="64">
        <v>1.56</v>
      </c>
      <c r="C70" s="64">
        <v>36.11</v>
      </c>
      <c r="D70" s="64">
        <v>21.82</v>
      </c>
      <c r="E70" s="64">
        <v>1.77</v>
      </c>
      <c r="F70" s="64">
        <v>12.46</v>
      </c>
      <c r="G70" s="64">
        <v>86.42</v>
      </c>
      <c r="H70" s="64">
        <v>33.770000000000003</v>
      </c>
      <c r="I70" s="64">
        <v>0.64</v>
      </c>
      <c r="J70" s="64">
        <v>0.26</v>
      </c>
      <c r="K70" s="64">
        <v>270.06</v>
      </c>
      <c r="L70" s="64">
        <v>37.409999999999997</v>
      </c>
      <c r="M70" s="64">
        <v>19.14</v>
      </c>
      <c r="N70" s="64">
        <v>126.5</v>
      </c>
      <c r="O70" s="64">
        <v>0</v>
      </c>
      <c r="P70" s="64">
        <v>0.45</v>
      </c>
      <c r="Q70" s="64">
        <v>26.55</v>
      </c>
      <c r="R70" s="198"/>
      <c r="S70" s="198"/>
      <c r="T70" s="198"/>
      <c r="U70" s="198"/>
    </row>
    <row r="71" spans="1:21" s="12" customFormat="1" x14ac:dyDescent="0.25">
      <c r="A71" s="211" t="s">
        <v>2519</v>
      </c>
      <c r="B71" s="64">
        <v>1.19</v>
      </c>
      <c r="C71" s="64">
        <v>34.25</v>
      </c>
      <c r="D71" s="64">
        <v>20.5</v>
      </c>
      <c r="E71" s="64">
        <v>1.33</v>
      </c>
      <c r="F71" s="64">
        <v>10.34</v>
      </c>
      <c r="G71" s="64">
        <v>85.3</v>
      </c>
      <c r="H71" s="64">
        <v>32.770000000000003</v>
      </c>
      <c r="I71" s="64">
        <v>0.6</v>
      </c>
      <c r="J71" s="64">
        <v>1.1399999999999999</v>
      </c>
      <c r="K71" s="64">
        <v>255.51</v>
      </c>
      <c r="L71" s="64">
        <v>36.770000000000003</v>
      </c>
      <c r="M71" s="64">
        <v>20.14</v>
      </c>
      <c r="N71" s="64">
        <v>120</v>
      </c>
      <c r="O71" s="64">
        <v>0</v>
      </c>
      <c r="P71" s="64">
        <v>0.44</v>
      </c>
      <c r="Q71" s="64">
        <v>26.28</v>
      </c>
      <c r="R71" s="198"/>
      <c r="S71" s="198"/>
      <c r="T71" s="198"/>
      <c r="U71" s="198"/>
    </row>
    <row r="72" spans="1:21" s="12" customFormat="1" x14ac:dyDescent="0.25">
      <c r="A72" s="211" t="s">
        <v>2520</v>
      </c>
      <c r="B72" s="64">
        <v>1.44</v>
      </c>
      <c r="C72" s="64">
        <v>33.19</v>
      </c>
      <c r="D72" s="64">
        <v>20.12</v>
      </c>
      <c r="E72" s="64">
        <v>0.47</v>
      </c>
      <c r="F72" s="64">
        <v>10.08</v>
      </c>
      <c r="G72" s="64">
        <v>75.16</v>
      </c>
      <c r="H72" s="64">
        <v>26.33</v>
      </c>
      <c r="I72" s="64">
        <v>0.56999999999999995</v>
      </c>
      <c r="J72" s="64">
        <v>0.78</v>
      </c>
      <c r="K72" s="64">
        <v>256.3</v>
      </c>
      <c r="L72" s="64">
        <v>35.94</v>
      </c>
      <c r="M72" s="64">
        <v>20.72</v>
      </c>
      <c r="N72" s="64">
        <v>95.8</v>
      </c>
      <c r="O72" s="64">
        <v>0</v>
      </c>
      <c r="P72" s="64">
        <v>0.43</v>
      </c>
      <c r="Q72" s="64">
        <v>26.21</v>
      </c>
      <c r="R72" s="198"/>
      <c r="S72" s="198"/>
      <c r="T72" s="198"/>
      <c r="U72" s="198"/>
    </row>
    <row r="73" spans="1:21" s="12" customFormat="1" x14ac:dyDescent="0.25">
      <c r="A73" s="211" t="s">
        <v>2521</v>
      </c>
      <c r="B73" s="64">
        <v>2.61</v>
      </c>
      <c r="C73" s="64">
        <v>30.49</v>
      </c>
      <c r="D73" s="64">
        <v>19.57</v>
      </c>
      <c r="E73" s="64">
        <v>1.08</v>
      </c>
      <c r="F73" s="64">
        <v>13.17</v>
      </c>
      <c r="G73" s="64">
        <v>75.16</v>
      </c>
      <c r="H73" s="64">
        <v>26.33</v>
      </c>
      <c r="I73" s="64">
        <v>0.55000000000000004</v>
      </c>
      <c r="J73" s="64">
        <v>1.76</v>
      </c>
      <c r="K73" s="64">
        <v>256.44</v>
      </c>
      <c r="L73" s="64">
        <v>35.29</v>
      </c>
      <c r="M73" s="64">
        <v>19.71</v>
      </c>
      <c r="N73" s="64">
        <v>115.3</v>
      </c>
      <c r="O73" s="64">
        <v>0</v>
      </c>
      <c r="P73" s="64">
        <v>0.41</v>
      </c>
      <c r="Q73" s="64">
        <v>26.69</v>
      </c>
      <c r="R73" s="198"/>
      <c r="S73" s="198"/>
      <c r="T73" s="198"/>
      <c r="U73" s="198"/>
    </row>
    <row r="74" spans="1:21" s="12" customFormat="1" x14ac:dyDescent="0.25">
      <c r="A74" s="211" t="s">
        <v>2522</v>
      </c>
      <c r="B74" s="64">
        <v>8.0500000000000007</v>
      </c>
      <c r="C74" s="64">
        <v>36.08</v>
      </c>
      <c r="D74" s="64">
        <v>27.02</v>
      </c>
      <c r="E74" s="64">
        <v>1.8</v>
      </c>
      <c r="F74" s="64">
        <v>21.28</v>
      </c>
      <c r="G74" s="64">
        <v>75.16</v>
      </c>
      <c r="H74" s="64">
        <v>26.33</v>
      </c>
      <c r="I74" s="64">
        <v>0.61</v>
      </c>
      <c r="J74" s="64">
        <v>1.49</v>
      </c>
      <c r="K74" s="64">
        <v>258.61</v>
      </c>
      <c r="L74" s="64">
        <v>34.229999999999997</v>
      </c>
      <c r="M74" s="64">
        <v>24.82</v>
      </c>
      <c r="N74" s="64">
        <v>109</v>
      </c>
      <c r="O74" s="64">
        <v>0.2</v>
      </c>
      <c r="P74" s="64">
        <v>0.43</v>
      </c>
      <c r="Q74" s="64">
        <v>25.24</v>
      </c>
      <c r="R74" s="198"/>
      <c r="S74" s="198"/>
      <c r="T74" s="198"/>
      <c r="U74" s="198"/>
    </row>
    <row r="75" spans="1:21" s="12" customFormat="1" x14ac:dyDescent="0.25">
      <c r="A75" s="211" t="s">
        <v>2523</v>
      </c>
      <c r="B75" s="64">
        <v>13.72</v>
      </c>
      <c r="C75" s="64">
        <v>44.56</v>
      </c>
      <c r="D75" s="64">
        <v>36.24</v>
      </c>
      <c r="E75" s="64">
        <v>1.98</v>
      </c>
      <c r="F75" s="64">
        <v>41.26</v>
      </c>
      <c r="G75" s="64">
        <v>77.61</v>
      </c>
      <c r="H75" s="64">
        <v>27.72</v>
      </c>
      <c r="I75" s="64">
        <v>0.51</v>
      </c>
      <c r="J75" s="64">
        <v>0.25</v>
      </c>
      <c r="K75" s="64">
        <v>79.09</v>
      </c>
      <c r="L75" s="64">
        <v>31.24</v>
      </c>
      <c r="M75" s="64">
        <v>37.19</v>
      </c>
      <c r="N75" s="64">
        <v>146.1</v>
      </c>
      <c r="O75" s="64">
        <v>0</v>
      </c>
      <c r="P75" s="64">
        <v>0.54</v>
      </c>
      <c r="Q75" s="64">
        <v>23.54</v>
      </c>
      <c r="R75" s="198"/>
      <c r="S75" s="198"/>
      <c r="T75" s="198"/>
      <c r="U75" s="198"/>
    </row>
    <row r="76" spans="1:21" s="12" customFormat="1" x14ac:dyDescent="0.25">
      <c r="A76" s="211" t="s">
        <v>2524</v>
      </c>
      <c r="B76" s="64">
        <v>14.94</v>
      </c>
      <c r="C76" s="64">
        <v>60.7</v>
      </c>
      <c r="D76" s="64">
        <v>46.12</v>
      </c>
      <c r="E76" s="64">
        <v>2.44</v>
      </c>
      <c r="F76" s="64">
        <v>30.68</v>
      </c>
      <c r="G76" s="64">
        <v>99.66</v>
      </c>
      <c r="H76" s="64">
        <v>37.79</v>
      </c>
      <c r="I76" s="64">
        <v>0.66</v>
      </c>
      <c r="J76" s="64">
        <v>0.11</v>
      </c>
      <c r="K76" s="64">
        <v>240.35</v>
      </c>
      <c r="L76" s="64">
        <v>32.22</v>
      </c>
      <c r="M76" s="64">
        <v>38.32</v>
      </c>
      <c r="N76" s="64">
        <v>92.7</v>
      </c>
      <c r="O76" s="64">
        <v>0</v>
      </c>
      <c r="P76" s="64">
        <v>0.73</v>
      </c>
      <c r="Q76" s="64">
        <v>20.420000000000002</v>
      </c>
      <c r="R76" s="198"/>
      <c r="S76" s="198"/>
      <c r="T76" s="198"/>
      <c r="U76" s="198"/>
    </row>
    <row r="77" spans="1:21" s="12" customFormat="1" x14ac:dyDescent="0.25">
      <c r="A77" s="211" t="s">
        <v>2525</v>
      </c>
      <c r="B77" s="64">
        <v>11.27</v>
      </c>
      <c r="C77" s="64">
        <v>57.6</v>
      </c>
      <c r="D77" s="64">
        <v>41.47</v>
      </c>
      <c r="E77" s="64">
        <v>2.4900000000000002</v>
      </c>
      <c r="F77" s="64">
        <v>16.36</v>
      </c>
      <c r="G77" s="64">
        <v>99.66</v>
      </c>
      <c r="H77" s="64">
        <v>37.79</v>
      </c>
      <c r="I77" s="64">
        <v>0.53</v>
      </c>
      <c r="J77" s="64">
        <v>0.04</v>
      </c>
      <c r="K77" s="64">
        <v>168.58</v>
      </c>
      <c r="L77" s="64">
        <v>32.44</v>
      </c>
      <c r="M77" s="64">
        <v>37.53</v>
      </c>
      <c r="N77" s="64">
        <v>64.599999999999994</v>
      </c>
      <c r="O77" s="64">
        <v>0</v>
      </c>
      <c r="P77" s="64">
        <v>0.87</v>
      </c>
      <c r="Q77" s="64">
        <v>23.44</v>
      </c>
      <c r="R77" s="198"/>
      <c r="S77" s="198"/>
      <c r="T77" s="198"/>
      <c r="U77" s="198"/>
    </row>
    <row r="78" spans="1:21" s="12" customFormat="1" x14ac:dyDescent="0.25">
      <c r="A78" s="211" t="s">
        <v>2526</v>
      </c>
      <c r="B78" s="64">
        <v>7.93</v>
      </c>
      <c r="C78" s="64">
        <v>46.87</v>
      </c>
      <c r="D78" s="64">
        <v>32.869999999999997</v>
      </c>
      <c r="E78" s="64">
        <v>2.8</v>
      </c>
      <c r="F78" s="64">
        <v>25.05</v>
      </c>
      <c r="G78" s="64">
        <v>99.66</v>
      </c>
      <c r="H78" s="64">
        <v>37.79</v>
      </c>
      <c r="I78" s="64">
        <v>0.59</v>
      </c>
      <c r="J78" s="64">
        <v>0.1</v>
      </c>
      <c r="K78" s="64">
        <v>232.25</v>
      </c>
      <c r="L78" s="64">
        <v>32.65</v>
      </c>
      <c r="M78" s="64">
        <v>31.78</v>
      </c>
      <c r="N78" s="64">
        <v>55.6</v>
      </c>
      <c r="O78" s="64">
        <v>0</v>
      </c>
      <c r="P78" s="64">
        <v>0.65</v>
      </c>
      <c r="Q78" s="64">
        <v>25.54</v>
      </c>
      <c r="R78" s="198"/>
      <c r="S78" s="198"/>
      <c r="T78" s="198"/>
      <c r="U78" s="198"/>
    </row>
    <row r="79" spans="1:21" s="12" customFormat="1" x14ac:dyDescent="0.25">
      <c r="A79" s="211" t="s">
        <v>2527</v>
      </c>
      <c r="B79" s="64">
        <v>21.53</v>
      </c>
      <c r="C79" s="64">
        <v>72.17</v>
      </c>
      <c r="D79" s="64">
        <v>57.74</v>
      </c>
      <c r="E79" s="64">
        <v>2.41</v>
      </c>
      <c r="F79" s="64">
        <v>10.78</v>
      </c>
      <c r="G79" s="64">
        <v>109.51</v>
      </c>
      <c r="H79" s="64">
        <v>39.67</v>
      </c>
      <c r="I79" s="64">
        <v>0.64</v>
      </c>
      <c r="J79" s="64">
        <v>0.09</v>
      </c>
      <c r="K79" s="64">
        <v>261.07</v>
      </c>
      <c r="L79" s="64">
        <v>32.97</v>
      </c>
      <c r="M79" s="64">
        <v>36.33</v>
      </c>
      <c r="N79" s="64">
        <v>45.7</v>
      </c>
      <c r="O79" s="64">
        <v>0</v>
      </c>
      <c r="P79" s="64">
        <v>1.32</v>
      </c>
      <c r="Q79" s="64">
        <v>24.03</v>
      </c>
      <c r="R79" s="198"/>
      <c r="S79" s="198"/>
      <c r="T79" s="198"/>
      <c r="U79" s="198"/>
    </row>
    <row r="80" spans="1:21" s="12" customFormat="1" x14ac:dyDescent="0.25">
      <c r="A80" s="211" t="s">
        <v>2528</v>
      </c>
      <c r="B80" s="64">
        <v>23.41</v>
      </c>
      <c r="C80" s="64">
        <v>78.680000000000007</v>
      </c>
      <c r="D80" s="64">
        <v>62.84</v>
      </c>
      <c r="E80" s="64">
        <v>3.01</v>
      </c>
      <c r="F80" s="64">
        <v>9.16</v>
      </c>
      <c r="G80" s="64">
        <v>188.3</v>
      </c>
      <c r="H80" s="64">
        <v>51.75</v>
      </c>
      <c r="I80" s="64">
        <v>0.61</v>
      </c>
      <c r="J80" s="64">
        <v>0.01</v>
      </c>
      <c r="K80" s="64">
        <v>55.46</v>
      </c>
      <c r="L80" s="64">
        <v>32.79</v>
      </c>
      <c r="M80" s="64">
        <v>36.5</v>
      </c>
      <c r="N80" s="64">
        <v>32.799999999999997</v>
      </c>
      <c r="O80" s="64">
        <v>0</v>
      </c>
      <c r="P80" s="64">
        <v>1.87</v>
      </c>
      <c r="Q80" s="64">
        <v>24.69</v>
      </c>
      <c r="R80" s="198"/>
      <c r="S80" s="198"/>
      <c r="T80" s="198"/>
      <c r="U80" s="198"/>
    </row>
    <row r="81" spans="1:26" s="12" customFormat="1" x14ac:dyDescent="0.25">
      <c r="A81" s="211" t="s">
        <v>2529</v>
      </c>
      <c r="B81" s="64">
        <v>32.26</v>
      </c>
      <c r="C81" s="64">
        <v>91.16</v>
      </c>
      <c r="D81" s="64">
        <v>76.83</v>
      </c>
      <c r="E81" s="64">
        <v>3.82</v>
      </c>
      <c r="F81" s="64">
        <v>6.4</v>
      </c>
      <c r="G81" s="64">
        <v>188.3</v>
      </c>
      <c r="H81" s="64">
        <v>51.75</v>
      </c>
      <c r="I81" s="64">
        <v>0.78</v>
      </c>
      <c r="J81" s="64">
        <v>0.1</v>
      </c>
      <c r="K81" s="64">
        <v>236.61</v>
      </c>
      <c r="L81" s="64">
        <v>32.39</v>
      </c>
      <c r="M81" s="64">
        <v>36.74</v>
      </c>
      <c r="N81" s="64">
        <v>19.7</v>
      </c>
      <c r="O81" s="64">
        <v>0</v>
      </c>
      <c r="P81" s="64">
        <v>1.94</v>
      </c>
      <c r="Q81" s="64">
        <v>26.1</v>
      </c>
      <c r="R81" s="198"/>
      <c r="S81" s="198"/>
      <c r="T81" s="198"/>
      <c r="U81" s="198"/>
    </row>
    <row r="82" spans="1:26" s="12" customFormat="1" x14ac:dyDescent="0.25">
      <c r="A82" s="211" t="s">
        <v>2530</v>
      </c>
      <c r="B82" s="64">
        <v>32.6</v>
      </c>
      <c r="C82" s="64">
        <v>84.7</v>
      </c>
      <c r="D82" s="64">
        <v>73.53</v>
      </c>
      <c r="E82" s="64">
        <v>5.22</v>
      </c>
      <c r="F82" s="64">
        <v>7.28</v>
      </c>
      <c r="G82" s="64">
        <v>188.3</v>
      </c>
      <c r="H82" s="64">
        <v>51.75</v>
      </c>
      <c r="I82" s="64">
        <v>0.77</v>
      </c>
      <c r="J82" s="64">
        <v>0.16</v>
      </c>
      <c r="K82" s="64">
        <v>251.41</v>
      </c>
      <c r="L82" s="64">
        <v>32.619999999999997</v>
      </c>
      <c r="M82" s="64">
        <v>30.55</v>
      </c>
      <c r="N82" s="64">
        <v>10.1</v>
      </c>
      <c r="O82" s="64">
        <v>0</v>
      </c>
      <c r="P82" s="64">
        <v>2.02</v>
      </c>
      <c r="Q82" s="64">
        <v>25.27</v>
      </c>
      <c r="R82" s="198"/>
      <c r="S82" s="198"/>
      <c r="T82" s="198"/>
      <c r="U82" s="198"/>
    </row>
    <row r="83" spans="1:26" s="12" customFormat="1" x14ac:dyDescent="0.25">
      <c r="A83" s="211" t="s">
        <v>2531</v>
      </c>
      <c r="B83" s="64">
        <v>34.07</v>
      </c>
      <c r="C83" s="64">
        <v>81.569999999999993</v>
      </c>
      <c r="D83" s="64">
        <v>72.989999999999995</v>
      </c>
      <c r="E83" s="64">
        <v>6.74</v>
      </c>
      <c r="F83" s="64">
        <v>6.87</v>
      </c>
      <c r="G83" s="64">
        <v>188.3</v>
      </c>
      <c r="H83" s="64">
        <v>56.03</v>
      </c>
      <c r="I83" s="64">
        <v>0.84</v>
      </c>
      <c r="J83" s="64">
        <v>0.04</v>
      </c>
      <c r="K83" s="64">
        <v>293.68</v>
      </c>
      <c r="L83" s="64">
        <v>33.19</v>
      </c>
      <c r="M83" s="64">
        <v>25.45</v>
      </c>
      <c r="N83" s="64">
        <v>5.8</v>
      </c>
      <c r="O83" s="64">
        <v>0</v>
      </c>
      <c r="P83" s="64">
        <v>1.95</v>
      </c>
      <c r="Q83" s="64">
        <v>27.96</v>
      </c>
      <c r="R83" s="198"/>
      <c r="S83" s="198"/>
      <c r="T83" s="198"/>
      <c r="U83" s="198"/>
    </row>
    <row r="84" spans="1:26" s="12" customFormat="1" x14ac:dyDescent="0.25">
      <c r="A84" s="211" t="s">
        <v>2532</v>
      </c>
      <c r="B84" s="64">
        <v>31.37</v>
      </c>
      <c r="C84" s="64">
        <v>89.55</v>
      </c>
      <c r="D84" s="64">
        <v>75.22</v>
      </c>
      <c r="E84" s="64">
        <v>8.32</v>
      </c>
      <c r="F84" s="64">
        <v>11.09</v>
      </c>
      <c r="G84" s="64">
        <v>378.22</v>
      </c>
      <c r="H84" s="64">
        <v>83.66</v>
      </c>
      <c r="I84" s="64">
        <v>0.92</v>
      </c>
      <c r="J84" s="64">
        <v>0.05</v>
      </c>
      <c r="K84" s="64">
        <v>259.36</v>
      </c>
      <c r="L84" s="64">
        <v>32.86</v>
      </c>
      <c r="M84" s="64">
        <v>27.06</v>
      </c>
      <c r="N84" s="64">
        <v>5.2</v>
      </c>
      <c r="O84" s="64">
        <v>0</v>
      </c>
      <c r="P84" s="64">
        <v>2.0299999999999998</v>
      </c>
      <c r="Q84" s="64">
        <v>29.06</v>
      </c>
      <c r="R84" s="198"/>
      <c r="S84" s="198"/>
      <c r="T84" s="198"/>
      <c r="U84" s="198"/>
    </row>
    <row r="85" spans="1:26" s="12" customFormat="1" x14ac:dyDescent="0.25">
      <c r="A85" s="211" t="s">
        <v>2533</v>
      </c>
      <c r="B85" s="64">
        <v>18.46</v>
      </c>
      <c r="C85" s="64">
        <v>73.900000000000006</v>
      </c>
      <c r="D85" s="64">
        <v>56.24</v>
      </c>
      <c r="E85" s="64">
        <v>9.4499999999999993</v>
      </c>
      <c r="F85" s="64">
        <v>22.79</v>
      </c>
      <c r="G85" s="64">
        <v>378.22</v>
      </c>
      <c r="H85" s="64">
        <v>83.66</v>
      </c>
      <c r="I85" s="64">
        <v>0.86</v>
      </c>
      <c r="J85" s="64">
        <v>0.03</v>
      </c>
      <c r="K85" s="64">
        <v>315.87</v>
      </c>
      <c r="L85" s="64">
        <v>32.78</v>
      </c>
      <c r="M85" s="64">
        <v>27.03</v>
      </c>
      <c r="N85" s="64">
        <v>5</v>
      </c>
      <c r="O85" s="64">
        <v>0</v>
      </c>
      <c r="P85" s="64">
        <v>1.47</v>
      </c>
      <c r="Q85" s="64">
        <v>30.58</v>
      </c>
      <c r="R85" s="198"/>
      <c r="S85" s="198"/>
      <c r="T85" s="198"/>
      <c r="U85" s="198"/>
    </row>
    <row r="86" spans="1:26" s="12" customFormat="1" x14ac:dyDescent="0.25">
      <c r="A86" s="211" t="s">
        <v>2534</v>
      </c>
      <c r="B86" s="64">
        <v>46.32</v>
      </c>
      <c r="C86" s="64">
        <v>88.71</v>
      </c>
      <c r="D86" s="64">
        <v>86.75</v>
      </c>
      <c r="E86" s="64">
        <v>11.02</v>
      </c>
      <c r="F86" s="64">
        <v>15.8</v>
      </c>
      <c r="G86" s="64">
        <v>378.22</v>
      </c>
      <c r="H86" s="64">
        <v>83.66</v>
      </c>
      <c r="I86" s="64">
        <v>0.84</v>
      </c>
      <c r="J86" s="64">
        <v>0.06</v>
      </c>
      <c r="K86" s="64">
        <v>252.52</v>
      </c>
      <c r="L86" s="64">
        <v>32.520000000000003</v>
      </c>
      <c r="M86" s="64">
        <v>27.87</v>
      </c>
      <c r="N86" s="64">
        <v>5.3</v>
      </c>
      <c r="O86" s="64">
        <v>0</v>
      </c>
      <c r="P86" s="64">
        <v>2.17</v>
      </c>
      <c r="Q86" s="64">
        <v>28.08</v>
      </c>
      <c r="R86" s="198"/>
      <c r="S86" s="198"/>
      <c r="T86" s="198"/>
      <c r="U86" s="198"/>
    </row>
    <row r="87" spans="1:26" s="12" customFormat="1" x14ac:dyDescent="0.25">
      <c r="A87" s="211" t="s">
        <v>2535</v>
      </c>
      <c r="B87" s="64">
        <v>37.36</v>
      </c>
      <c r="C87" s="64">
        <v>82.36</v>
      </c>
      <c r="D87" s="64">
        <v>76.06</v>
      </c>
      <c r="E87" s="64">
        <v>11.1</v>
      </c>
      <c r="F87" s="64">
        <v>18.68</v>
      </c>
      <c r="G87" s="64">
        <v>369.16</v>
      </c>
      <c r="H87" s="64">
        <v>85.6</v>
      </c>
      <c r="I87" s="64">
        <v>0.8</v>
      </c>
      <c r="J87" s="64">
        <v>0.05</v>
      </c>
      <c r="K87" s="64">
        <v>267.14999999999998</v>
      </c>
      <c r="L87" s="64">
        <v>32.14</v>
      </c>
      <c r="M87" s="64">
        <v>28.25</v>
      </c>
      <c r="N87" s="64">
        <v>5.2</v>
      </c>
      <c r="O87" s="64">
        <v>0</v>
      </c>
      <c r="P87" s="64">
        <v>1.81</v>
      </c>
      <c r="Q87" s="64">
        <v>26.33</v>
      </c>
      <c r="R87" s="198"/>
      <c r="S87" s="198"/>
      <c r="T87" s="198"/>
      <c r="U87" s="198"/>
    </row>
    <row r="88" spans="1:26" s="12" customFormat="1" x14ac:dyDescent="0.25">
      <c r="A88" s="211" t="s">
        <v>2536</v>
      </c>
      <c r="B88" s="64">
        <v>25.45</v>
      </c>
      <c r="C88" s="64">
        <v>80.77</v>
      </c>
      <c r="D88" s="64">
        <v>65.63</v>
      </c>
      <c r="E88" s="64">
        <v>7.92</v>
      </c>
      <c r="F88" s="64">
        <v>15.5</v>
      </c>
      <c r="G88" s="64">
        <v>296.7</v>
      </c>
      <c r="H88" s="64">
        <v>98.14</v>
      </c>
      <c r="I88" s="64">
        <v>1.08</v>
      </c>
      <c r="J88" s="64">
        <v>0.06</v>
      </c>
      <c r="K88" s="64">
        <v>253.82</v>
      </c>
      <c r="L88" s="64">
        <v>32.229999999999997</v>
      </c>
      <c r="M88" s="64">
        <v>27.8</v>
      </c>
      <c r="N88" s="64">
        <v>4.9000000000000004</v>
      </c>
      <c r="O88" s="64">
        <v>0</v>
      </c>
      <c r="P88" s="64">
        <v>1.72</v>
      </c>
      <c r="Q88" s="64">
        <v>28.37</v>
      </c>
      <c r="R88" s="198"/>
      <c r="S88" s="198"/>
      <c r="T88" s="198"/>
      <c r="U88" s="198"/>
    </row>
    <row r="89" spans="1:26" s="12" customFormat="1" x14ac:dyDescent="0.25">
      <c r="A89" s="211" t="s">
        <v>2537</v>
      </c>
      <c r="B89" s="64">
        <v>31.28</v>
      </c>
      <c r="C89" s="64">
        <v>65.92</v>
      </c>
      <c r="D89" s="64">
        <v>62.11</v>
      </c>
      <c r="E89" s="64">
        <v>8.16</v>
      </c>
      <c r="F89" s="64">
        <v>7.15</v>
      </c>
      <c r="G89" s="64">
        <v>296.7</v>
      </c>
      <c r="H89" s="64">
        <v>98.14</v>
      </c>
      <c r="I89" s="64">
        <v>0.78</v>
      </c>
      <c r="J89" s="64">
        <v>7.0000000000000007E-2</v>
      </c>
      <c r="K89" s="64">
        <v>255.55</v>
      </c>
      <c r="L89" s="64">
        <v>31.97</v>
      </c>
      <c r="M89" s="64">
        <v>29.65</v>
      </c>
      <c r="N89" s="64">
        <v>5.3</v>
      </c>
      <c r="O89" s="64">
        <v>0</v>
      </c>
      <c r="P89" s="64">
        <v>1.77</v>
      </c>
      <c r="Q89" s="64">
        <v>28.69</v>
      </c>
      <c r="R89" s="198"/>
      <c r="S89" s="198"/>
      <c r="T89" s="198"/>
      <c r="U89" s="198"/>
    </row>
    <row r="90" spans="1:26" s="12" customFormat="1" x14ac:dyDescent="0.25">
      <c r="A90" s="211" t="s">
        <v>2538</v>
      </c>
      <c r="B90" s="64">
        <v>35.01</v>
      </c>
      <c r="C90" s="64">
        <v>70.819999999999993</v>
      </c>
      <c r="D90" s="64">
        <v>67.8</v>
      </c>
      <c r="E90" s="64">
        <v>8.3699999999999992</v>
      </c>
      <c r="F90" s="64">
        <v>6.9</v>
      </c>
      <c r="G90" s="64">
        <v>296.7</v>
      </c>
      <c r="H90" s="64">
        <v>98.14</v>
      </c>
      <c r="I90" s="64">
        <v>0.81</v>
      </c>
      <c r="J90" s="64">
        <v>0.1</v>
      </c>
      <c r="K90" s="64">
        <v>259.33</v>
      </c>
      <c r="L90" s="64">
        <v>31.66</v>
      </c>
      <c r="M90" s="64">
        <v>29.44</v>
      </c>
      <c r="N90" s="64">
        <v>5.0999999999999996</v>
      </c>
      <c r="O90" s="64">
        <v>0</v>
      </c>
      <c r="P90" s="64">
        <v>1.86</v>
      </c>
      <c r="Q90" s="64">
        <v>30.55</v>
      </c>
      <c r="R90" s="198"/>
      <c r="S90" s="198"/>
      <c r="T90" s="198"/>
      <c r="U90" s="198"/>
    </row>
    <row r="91" spans="1:26" s="12" customFormat="1" x14ac:dyDescent="0.25">
      <c r="A91" s="211" t="s">
        <v>2539</v>
      </c>
      <c r="B91" s="64">
        <v>35.86</v>
      </c>
      <c r="C91" s="64">
        <v>74.650000000000006</v>
      </c>
      <c r="D91" s="64">
        <v>70.599999999999994</v>
      </c>
      <c r="E91" s="64">
        <v>10.6</v>
      </c>
      <c r="F91" s="64">
        <v>6.18</v>
      </c>
      <c r="G91" s="64">
        <v>291.58</v>
      </c>
      <c r="H91" s="64">
        <v>97.12</v>
      </c>
      <c r="I91" s="64">
        <v>1</v>
      </c>
      <c r="J91" s="64">
        <v>0.14000000000000001</v>
      </c>
      <c r="K91" s="64">
        <v>233.38</v>
      </c>
      <c r="L91" s="64">
        <v>31.38</v>
      </c>
      <c r="M91" s="64">
        <v>30.36</v>
      </c>
      <c r="N91" s="64">
        <v>5</v>
      </c>
      <c r="O91" s="64">
        <v>0</v>
      </c>
      <c r="P91" s="64">
        <v>2.13</v>
      </c>
      <c r="Q91" s="64">
        <v>28.98</v>
      </c>
      <c r="R91" s="198"/>
      <c r="S91" s="198"/>
      <c r="T91" s="198"/>
      <c r="U91" s="198"/>
    </row>
    <row r="92" spans="1:26" s="12" customFormat="1" x14ac:dyDescent="0.25">
      <c r="A92" s="211" t="s">
        <v>2540</v>
      </c>
      <c r="B92" s="64">
        <v>22.06</v>
      </c>
      <c r="C92" s="64">
        <v>68.19</v>
      </c>
      <c r="D92" s="64">
        <v>55.97</v>
      </c>
      <c r="E92" s="64">
        <v>10.050000000000001</v>
      </c>
      <c r="F92" s="64">
        <v>8.0399999999999991</v>
      </c>
      <c r="G92" s="64">
        <v>250.67</v>
      </c>
      <c r="H92" s="64">
        <v>90.52</v>
      </c>
      <c r="I92" s="64">
        <v>0.82</v>
      </c>
      <c r="J92" s="64">
        <v>0.25</v>
      </c>
      <c r="K92" s="64">
        <v>187.56</v>
      </c>
      <c r="L92" s="64">
        <v>31.24</v>
      </c>
      <c r="M92" s="64">
        <v>30.81</v>
      </c>
      <c r="N92" s="64">
        <v>4.7</v>
      </c>
      <c r="O92" s="64">
        <v>0</v>
      </c>
      <c r="P92" s="64">
        <v>1.54</v>
      </c>
      <c r="Q92" s="64">
        <v>31.33</v>
      </c>
      <c r="R92" s="198"/>
      <c r="S92" s="198"/>
      <c r="T92" s="198"/>
      <c r="U92" s="198"/>
    </row>
    <row r="93" spans="1:26" s="12" customFormat="1" x14ac:dyDescent="0.25">
      <c r="A93" s="211" t="s">
        <v>2541</v>
      </c>
      <c r="B93" s="64">
        <v>17.41</v>
      </c>
      <c r="C93" s="64">
        <v>62.96</v>
      </c>
      <c r="D93" s="64">
        <v>49.35</v>
      </c>
      <c r="E93" s="64">
        <v>8.7799999999999994</v>
      </c>
      <c r="F93" s="64">
        <v>11.5</v>
      </c>
      <c r="G93" s="64">
        <v>250.67</v>
      </c>
      <c r="H93" s="64">
        <v>90.52</v>
      </c>
      <c r="I93" s="64">
        <v>0.95</v>
      </c>
      <c r="J93" s="64">
        <v>0.18</v>
      </c>
      <c r="K93" s="64">
        <v>204.26</v>
      </c>
      <c r="L93" s="64">
        <v>30.8</v>
      </c>
      <c r="M93" s="64">
        <v>32.049999999999997</v>
      </c>
      <c r="N93" s="64">
        <v>5</v>
      </c>
      <c r="O93" s="64">
        <v>0</v>
      </c>
      <c r="P93" s="64">
        <v>1.4</v>
      </c>
      <c r="Q93" s="64">
        <v>31.69</v>
      </c>
      <c r="R93" s="198"/>
      <c r="S93" s="198"/>
      <c r="T93" s="198"/>
      <c r="U93" s="198"/>
    </row>
    <row r="94" spans="1:26" s="12" customFormat="1" x14ac:dyDescent="0.25">
      <c r="A94" s="211" t="s">
        <v>2542</v>
      </c>
      <c r="B94" s="64">
        <v>17.13</v>
      </c>
      <c r="C94" s="64">
        <v>63.67</v>
      </c>
      <c r="D94" s="64">
        <v>49.52</v>
      </c>
      <c r="E94" s="64">
        <v>7.35</v>
      </c>
      <c r="F94" s="64">
        <v>9.1999999999999993</v>
      </c>
      <c r="G94" s="64">
        <v>250.67</v>
      </c>
      <c r="H94" s="64">
        <v>90.52</v>
      </c>
      <c r="I94" s="64">
        <v>0.77</v>
      </c>
      <c r="J94" s="64">
        <v>0.09</v>
      </c>
      <c r="K94" s="64">
        <v>194.47</v>
      </c>
      <c r="L94" s="64">
        <v>30.59</v>
      </c>
      <c r="M94" s="64">
        <v>32.01</v>
      </c>
      <c r="N94" s="64">
        <v>5.3</v>
      </c>
      <c r="O94" s="64">
        <v>0</v>
      </c>
      <c r="P94" s="64">
        <v>1.34</v>
      </c>
      <c r="Q94" s="64">
        <v>31.14</v>
      </c>
      <c r="R94" s="198"/>
      <c r="S94" s="198"/>
      <c r="T94" s="198"/>
      <c r="U94" s="198"/>
    </row>
    <row r="95" spans="1:26" s="12" customFormat="1" x14ac:dyDescent="0.25">
      <c r="A95" s="211" t="s">
        <v>2543</v>
      </c>
      <c r="B95" s="64">
        <v>13.34</v>
      </c>
      <c r="C95" s="64">
        <v>56.27</v>
      </c>
      <c r="D95" s="64">
        <v>42.4</v>
      </c>
      <c r="E95" s="64">
        <v>6.23</v>
      </c>
      <c r="F95" s="64">
        <v>13.85</v>
      </c>
      <c r="G95" s="64">
        <v>69.61</v>
      </c>
      <c r="H95" s="64">
        <v>86.25</v>
      </c>
      <c r="I95" s="64">
        <v>0.78</v>
      </c>
      <c r="J95" s="64">
        <v>0.19</v>
      </c>
      <c r="K95" s="64">
        <v>203.8</v>
      </c>
      <c r="L95" s="64">
        <v>30.71</v>
      </c>
      <c r="M95" s="64">
        <v>31.81</v>
      </c>
      <c r="N95" s="64">
        <v>4.8</v>
      </c>
      <c r="O95" s="64">
        <v>0</v>
      </c>
      <c r="P95" s="64">
        <v>1.24</v>
      </c>
      <c r="Q95" s="64">
        <v>30.94</v>
      </c>
      <c r="R95" s="198"/>
      <c r="S95" s="198"/>
      <c r="T95" s="198"/>
      <c r="U95" s="198"/>
    </row>
    <row r="96" spans="1:26" s="12" customFormat="1" x14ac:dyDescent="0.25">
      <c r="A96" s="211" t="s">
        <v>2544</v>
      </c>
      <c r="B96" s="64">
        <v>6.8</v>
      </c>
      <c r="C96" s="64">
        <v>63.84</v>
      </c>
      <c r="D96" s="64">
        <v>41.33</v>
      </c>
      <c r="E96" s="64">
        <v>7.78</v>
      </c>
      <c r="F96" s="64">
        <v>20.76</v>
      </c>
      <c r="G96" s="64">
        <v>69.61</v>
      </c>
      <c r="H96" s="64">
        <v>58.73</v>
      </c>
      <c r="I96" s="64">
        <v>0.79</v>
      </c>
      <c r="J96" s="64">
        <v>0.13</v>
      </c>
      <c r="K96" s="64">
        <v>170.33</v>
      </c>
      <c r="L96" s="64">
        <v>30.5</v>
      </c>
      <c r="M96" s="64">
        <v>32.75</v>
      </c>
      <c r="N96" s="64">
        <v>5.0999999999999996</v>
      </c>
      <c r="O96" s="64">
        <v>0</v>
      </c>
      <c r="P96" s="64">
        <v>0.76</v>
      </c>
      <c r="Q96" s="64">
        <v>30.86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2545</v>
      </c>
      <c r="B97" s="64">
        <v>3.52</v>
      </c>
      <c r="C97" s="64">
        <v>58.42</v>
      </c>
      <c r="D97" s="64">
        <v>35.71</v>
      </c>
      <c r="E97" s="64">
        <v>8.16</v>
      </c>
      <c r="F97" s="64">
        <v>25.45</v>
      </c>
      <c r="G97" s="64">
        <v>69.61</v>
      </c>
      <c r="H97" s="64">
        <v>58.73</v>
      </c>
      <c r="I97" s="64">
        <v>0.72</v>
      </c>
      <c r="J97" s="64">
        <v>7.0000000000000007E-2</v>
      </c>
      <c r="K97" s="64">
        <v>178.28</v>
      </c>
      <c r="L97" s="64">
        <v>30.07</v>
      </c>
      <c r="M97" s="64">
        <v>34.26</v>
      </c>
      <c r="N97" s="64">
        <v>5.4</v>
      </c>
      <c r="O97" s="64">
        <v>0</v>
      </c>
      <c r="P97" s="64">
        <v>0.72</v>
      </c>
      <c r="Q97" s="64">
        <v>31.33</v>
      </c>
      <c r="R97" s="198"/>
      <c r="S97" s="198"/>
      <c r="T97" s="198"/>
      <c r="U97" s="198"/>
    </row>
    <row r="98" spans="1:33" s="12" customFormat="1" x14ac:dyDescent="0.25">
      <c r="A98" s="211" t="s">
        <v>2546</v>
      </c>
      <c r="B98" s="64">
        <v>4.74</v>
      </c>
      <c r="C98" s="64">
        <v>53.75</v>
      </c>
      <c r="D98" s="64">
        <v>34.11</v>
      </c>
      <c r="E98" s="64">
        <v>7.97</v>
      </c>
      <c r="F98" s="64">
        <v>22.87</v>
      </c>
      <c r="G98" s="64">
        <v>69.61</v>
      </c>
      <c r="H98" s="64">
        <v>58.73</v>
      </c>
      <c r="I98" s="64">
        <v>0.59</v>
      </c>
      <c r="J98" s="64">
        <v>0.09</v>
      </c>
      <c r="K98" s="64">
        <v>187.51</v>
      </c>
      <c r="L98" s="64">
        <v>29.93</v>
      </c>
      <c r="M98" s="64">
        <v>34.369999999999997</v>
      </c>
      <c r="N98" s="64">
        <v>5.2</v>
      </c>
      <c r="O98" s="64">
        <v>0</v>
      </c>
      <c r="P98" s="64">
        <v>0.79</v>
      </c>
      <c r="Q98" s="64">
        <v>31.21</v>
      </c>
      <c r="R98" s="198"/>
      <c r="S98" s="198"/>
      <c r="T98" s="198"/>
      <c r="U98" s="198"/>
    </row>
    <row r="99" spans="1:33" s="12" customFormat="1" x14ac:dyDescent="0.25">
      <c r="A99" s="211" t="s">
        <v>2547</v>
      </c>
      <c r="B99" s="64">
        <v>3.87</v>
      </c>
      <c r="C99" s="64">
        <v>52.98</v>
      </c>
      <c r="D99" s="64">
        <v>32.99</v>
      </c>
      <c r="E99" s="64">
        <v>7.37</v>
      </c>
      <c r="F99" s="64">
        <v>27.81</v>
      </c>
      <c r="G99" s="64">
        <v>68.489999999999995</v>
      </c>
      <c r="H99" s="64">
        <v>56.67</v>
      </c>
      <c r="I99" s="64">
        <v>0.57999999999999996</v>
      </c>
      <c r="J99" s="64">
        <v>0.13</v>
      </c>
      <c r="K99" s="64">
        <v>212.69</v>
      </c>
      <c r="L99" s="64">
        <v>29.92</v>
      </c>
      <c r="M99" s="64">
        <v>34.619999999999997</v>
      </c>
      <c r="N99" s="64">
        <v>5.0999999999999996</v>
      </c>
      <c r="O99" s="64">
        <v>0</v>
      </c>
      <c r="P99" s="64">
        <v>0.67</v>
      </c>
      <c r="Q99" s="64">
        <v>31.57</v>
      </c>
      <c r="R99" s="198"/>
      <c r="S99" s="198"/>
      <c r="T99" s="198"/>
      <c r="U99" s="198"/>
    </row>
    <row r="100" spans="1:33" s="12" customFormat="1" x14ac:dyDescent="0.25">
      <c r="A100" s="211" t="s">
        <v>2548</v>
      </c>
      <c r="B100" s="64">
        <v>5.8</v>
      </c>
      <c r="C100" s="64">
        <v>46.63</v>
      </c>
      <c r="D100" s="64">
        <v>31.03</v>
      </c>
      <c r="E100" s="64">
        <v>5.98</v>
      </c>
      <c r="F100" s="64">
        <v>19.95</v>
      </c>
      <c r="G100" s="64">
        <v>59.55</v>
      </c>
      <c r="H100" s="64">
        <v>43.38</v>
      </c>
      <c r="I100" s="64">
        <v>0.61</v>
      </c>
      <c r="J100" s="64">
        <v>0.31</v>
      </c>
      <c r="K100" s="64">
        <v>174.63</v>
      </c>
      <c r="L100" s="64">
        <v>29.8</v>
      </c>
      <c r="M100" s="64">
        <v>35.31</v>
      </c>
      <c r="N100" s="64">
        <v>5.0999999999999996</v>
      </c>
      <c r="O100" s="64">
        <v>0</v>
      </c>
      <c r="P100" s="64">
        <v>0.84</v>
      </c>
      <c r="Q100" s="64">
        <v>32.049999999999997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2549</v>
      </c>
      <c r="B101" s="64">
        <v>9.59</v>
      </c>
      <c r="C101" s="64">
        <v>41.82</v>
      </c>
      <c r="D101" s="64">
        <v>31.42</v>
      </c>
      <c r="E101" s="64">
        <v>4.2</v>
      </c>
      <c r="F101" s="64">
        <v>14.34</v>
      </c>
      <c r="G101" s="64">
        <v>59.55</v>
      </c>
      <c r="H101" s="64">
        <v>43.38</v>
      </c>
      <c r="I101" s="64">
        <v>0.57999999999999996</v>
      </c>
      <c r="J101" s="64">
        <v>0.13</v>
      </c>
      <c r="K101" s="64">
        <v>208.8</v>
      </c>
      <c r="L101" s="64">
        <v>29.58</v>
      </c>
      <c r="M101" s="64">
        <v>35.799999999999997</v>
      </c>
      <c r="N101" s="64">
        <v>5.5</v>
      </c>
      <c r="O101" s="64">
        <v>0</v>
      </c>
      <c r="P101" s="64">
        <v>0.98</v>
      </c>
      <c r="Q101" s="64">
        <v>31.81</v>
      </c>
      <c r="R101" s="198"/>
      <c r="S101" s="198"/>
      <c r="T101" s="198"/>
      <c r="U101" s="198"/>
    </row>
    <row r="102" spans="1:33" s="12" customFormat="1" x14ac:dyDescent="0.25">
      <c r="A102" s="211" t="s">
        <v>2550</v>
      </c>
      <c r="B102" s="64">
        <v>7</v>
      </c>
      <c r="C102" s="64">
        <v>37.909999999999997</v>
      </c>
      <c r="D102" s="64">
        <v>27.18</v>
      </c>
      <c r="E102" s="64">
        <v>3.54</v>
      </c>
      <c r="F102" s="64">
        <v>16.23</v>
      </c>
      <c r="G102" s="64">
        <v>59.55</v>
      </c>
      <c r="H102" s="64">
        <v>43.38</v>
      </c>
      <c r="I102" s="64">
        <v>0.79</v>
      </c>
      <c r="J102" s="64">
        <v>0.1</v>
      </c>
      <c r="K102" s="64">
        <v>206.93</v>
      </c>
      <c r="L102" s="64">
        <v>29.18</v>
      </c>
      <c r="M102" s="64">
        <v>36.340000000000003</v>
      </c>
      <c r="N102" s="64">
        <v>5.2</v>
      </c>
      <c r="O102" s="64">
        <v>0</v>
      </c>
      <c r="P102" s="64">
        <v>0.93</v>
      </c>
      <c r="Q102" s="64">
        <v>31.74</v>
      </c>
      <c r="R102" s="198"/>
      <c r="S102" s="198"/>
      <c r="T102" s="198"/>
      <c r="U102" s="198"/>
    </row>
    <row r="103" spans="1:33" s="12" customFormat="1" x14ac:dyDescent="0.25">
      <c r="A103" s="211" t="s">
        <v>2551</v>
      </c>
      <c r="B103" s="64">
        <v>5.72</v>
      </c>
      <c r="C103" s="64">
        <v>38.659999999999997</v>
      </c>
      <c r="D103" s="64">
        <v>26.57</v>
      </c>
      <c r="E103" s="64">
        <v>3.79</v>
      </c>
      <c r="F103" s="64">
        <v>14.4</v>
      </c>
      <c r="G103" s="64">
        <v>58.28</v>
      </c>
      <c r="H103" s="64">
        <v>42.57</v>
      </c>
      <c r="I103" s="64">
        <v>0.67</v>
      </c>
      <c r="J103" s="64">
        <v>0.14000000000000001</v>
      </c>
      <c r="K103" s="64">
        <v>186.2</v>
      </c>
      <c r="L103" s="64">
        <v>28.87</v>
      </c>
      <c r="M103" s="64">
        <v>37.43</v>
      </c>
      <c r="N103" s="64">
        <v>5</v>
      </c>
      <c r="O103" s="64">
        <v>0</v>
      </c>
      <c r="P103" s="64">
        <v>0.85</v>
      </c>
      <c r="Q103" s="64">
        <v>31.07</v>
      </c>
      <c r="R103" s="198"/>
      <c r="S103" s="198"/>
      <c r="T103" s="198"/>
      <c r="U103" s="198"/>
    </row>
    <row r="104" spans="1:33" s="12" customFormat="1" x14ac:dyDescent="0.25">
      <c r="A104" s="211" t="s">
        <v>2552</v>
      </c>
      <c r="B104" s="64">
        <v>4.33</v>
      </c>
      <c r="C104" s="64">
        <v>41.74</v>
      </c>
      <c r="D104" s="64">
        <v>27.16</v>
      </c>
      <c r="E104" s="64">
        <v>1.82</v>
      </c>
      <c r="F104" s="64">
        <v>12.38</v>
      </c>
      <c r="G104" s="64">
        <v>48.07</v>
      </c>
      <c r="H104" s="64">
        <v>37.369999999999997</v>
      </c>
      <c r="I104" s="64">
        <v>0.65</v>
      </c>
      <c r="J104" s="64">
        <v>0.14000000000000001</v>
      </c>
      <c r="K104" s="64">
        <v>244.47</v>
      </c>
      <c r="L104" s="64">
        <v>28.71</v>
      </c>
      <c r="M104" s="64">
        <v>38.619999999999997</v>
      </c>
      <c r="N104" s="64">
        <v>5.4</v>
      </c>
      <c r="O104" s="64">
        <v>0</v>
      </c>
      <c r="P104" s="64">
        <v>0.83</v>
      </c>
      <c r="Q104" s="64">
        <v>30.34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19.71</v>
      </c>
      <c r="D106" s="67">
        <f t="shared" ref="D106:Q106" si="0">MIN(D9:D104)</f>
        <v>12.33</v>
      </c>
      <c r="E106" s="67">
        <f t="shared" si="0"/>
        <v>0.47</v>
      </c>
      <c r="F106" s="67">
        <f t="shared" si="0"/>
        <v>6.18</v>
      </c>
      <c r="G106" s="67">
        <f t="shared" si="0"/>
        <v>39.75</v>
      </c>
      <c r="H106" s="67">
        <f t="shared" si="0"/>
        <v>22.97</v>
      </c>
      <c r="I106" s="67">
        <f t="shared" si="0"/>
        <v>0.5</v>
      </c>
      <c r="J106" s="67">
        <f t="shared" si="0"/>
        <v>0.01</v>
      </c>
      <c r="K106" s="67">
        <f t="shared" si="0"/>
        <v>1.03</v>
      </c>
      <c r="L106" s="67">
        <f t="shared" si="0"/>
        <v>26.78</v>
      </c>
      <c r="M106" s="67">
        <f t="shared" si="0"/>
        <v>15.37</v>
      </c>
      <c r="N106" s="67">
        <f t="shared" si="0"/>
        <v>4.4000000000000004</v>
      </c>
      <c r="O106" s="67">
        <f t="shared" si="0"/>
        <v>0</v>
      </c>
      <c r="P106" s="67">
        <f t="shared" si="0"/>
        <v>0.37</v>
      </c>
      <c r="Q106" s="67">
        <f t="shared" si="0"/>
        <v>20.420000000000002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46.32</v>
      </c>
      <c r="C107" s="66">
        <f t="shared" ref="C107:Q107" si="1">MAX(C9:C104)</f>
        <v>91.16</v>
      </c>
      <c r="D107" s="66">
        <f t="shared" si="1"/>
        <v>86.75</v>
      </c>
      <c r="E107" s="66">
        <f t="shared" si="1"/>
        <v>11.1</v>
      </c>
      <c r="F107" s="66">
        <f t="shared" si="1"/>
        <v>54.33</v>
      </c>
      <c r="G107" s="66">
        <f t="shared" si="1"/>
        <v>378.22</v>
      </c>
      <c r="H107" s="66">
        <f t="shared" si="1"/>
        <v>98.14</v>
      </c>
      <c r="I107" s="66">
        <f t="shared" si="1"/>
        <v>1.08</v>
      </c>
      <c r="J107" s="66">
        <f t="shared" si="1"/>
        <v>1.86</v>
      </c>
      <c r="K107" s="66">
        <f t="shared" si="1"/>
        <v>353.57</v>
      </c>
      <c r="L107" s="66">
        <f t="shared" si="1"/>
        <v>41.19</v>
      </c>
      <c r="M107" s="66">
        <f t="shared" si="1"/>
        <v>50.18</v>
      </c>
      <c r="N107" s="66">
        <f t="shared" si="1"/>
        <v>871.6</v>
      </c>
      <c r="O107" s="66">
        <f t="shared" si="1"/>
        <v>0.2</v>
      </c>
      <c r="P107" s="66">
        <f t="shared" si="1"/>
        <v>2.17</v>
      </c>
      <c r="Q107" s="66">
        <f t="shared" si="1"/>
        <v>32.049999999999997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7.4917708333333328</v>
      </c>
      <c r="C108" s="67">
        <f t="shared" ref="C108:Q108" si="2">AVERAGE(C9:C104)</f>
        <v>40.985520833333332</v>
      </c>
      <c r="D108" s="67">
        <f t="shared" si="2"/>
        <v>29.273229166666663</v>
      </c>
      <c r="E108" s="67">
        <f t="shared" si="2"/>
        <v>3.4606250000000003</v>
      </c>
      <c r="F108" s="67">
        <f t="shared" si="2"/>
        <v>17.17625</v>
      </c>
      <c r="G108" s="67">
        <f t="shared" si="2"/>
        <v>97.807083333333324</v>
      </c>
      <c r="H108" s="67">
        <f t="shared" si="2"/>
        <v>39.398333333333326</v>
      </c>
      <c r="I108" s="67">
        <f t="shared" si="2"/>
        <v>0.66968749999999988</v>
      </c>
      <c r="J108" s="67">
        <f t="shared" si="2"/>
        <v>0.31656250000000008</v>
      </c>
      <c r="K108" s="67">
        <f t="shared" si="2"/>
        <v>210.23125000000005</v>
      </c>
      <c r="L108" s="67">
        <f t="shared" si="2"/>
        <v>32.668854166666655</v>
      </c>
      <c r="M108" s="67">
        <f t="shared" si="2"/>
        <v>33.146145833333343</v>
      </c>
      <c r="N108" s="67">
        <f t="shared" si="2"/>
        <v>241.31145833333323</v>
      </c>
      <c r="O108" s="67">
        <f t="shared" si="2"/>
        <v>2.0833333333333333E-3</v>
      </c>
      <c r="P108" s="67">
        <f t="shared" si="2"/>
        <v>0.78927083333333348</v>
      </c>
      <c r="Q108" s="67">
        <f t="shared" si="2"/>
        <v>27.005312500000002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10.533421495890485</v>
      </c>
      <c r="C109" s="67">
        <f t="shared" ref="C109:Q109" si="3">STDEV(C9:C104)</f>
        <v>18.809990563236212</v>
      </c>
      <c r="D109" s="67">
        <f t="shared" si="3"/>
        <v>18.388301744360927</v>
      </c>
      <c r="E109" s="67">
        <f t="shared" si="3"/>
        <v>2.6056500603193253</v>
      </c>
      <c r="F109" s="67">
        <f t="shared" si="3"/>
        <v>10.439715387328388</v>
      </c>
      <c r="G109" s="67">
        <f t="shared" si="3"/>
        <v>84.89839839685358</v>
      </c>
      <c r="H109" s="67">
        <f t="shared" si="3"/>
        <v>21.475827619205425</v>
      </c>
      <c r="I109" s="67">
        <f t="shared" si="3"/>
        <v>0.12758859151276308</v>
      </c>
      <c r="J109" s="67">
        <f t="shared" si="3"/>
        <v>0.40749253302813321</v>
      </c>
      <c r="K109" s="67">
        <f t="shared" si="3"/>
        <v>81.066762171357041</v>
      </c>
      <c r="L109" s="67">
        <f t="shared" si="3"/>
        <v>4.6743222125705346</v>
      </c>
      <c r="M109" s="67">
        <f t="shared" si="3"/>
        <v>10.501552102807569</v>
      </c>
      <c r="N109" s="67">
        <f t="shared" si="3"/>
        <v>319.81845734228381</v>
      </c>
      <c r="O109" s="67">
        <f t="shared" si="3"/>
        <v>2.0412414523193152E-2</v>
      </c>
      <c r="P109" s="67">
        <f t="shared" si="3"/>
        <v>0.47785980060587602</v>
      </c>
      <c r="Q109" s="67">
        <f t="shared" si="3"/>
        <v>2.2288542976747396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N111" sqref="N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2553</v>
      </c>
      <c r="B9" s="64">
        <v>3.85</v>
      </c>
      <c r="C9" s="64">
        <v>40.049999999999997</v>
      </c>
      <c r="D9" s="64">
        <v>25.84</v>
      </c>
      <c r="E9" s="64">
        <v>2.69</v>
      </c>
      <c r="F9" s="64">
        <v>11.88</v>
      </c>
      <c r="G9" s="64">
        <v>48.07</v>
      </c>
      <c r="H9" s="64">
        <v>37.369999999999997</v>
      </c>
      <c r="I9" s="64">
        <v>0.62</v>
      </c>
      <c r="J9" s="64">
        <v>0.32</v>
      </c>
      <c r="K9" s="64">
        <v>192.35</v>
      </c>
      <c r="L9" s="64">
        <v>28.6</v>
      </c>
      <c r="M9" s="64">
        <v>38.799999999999997</v>
      </c>
      <c r="N9" s="64">
        <v>4.5999999999999996</v>
      </c>
      <c r="O9" s="64">
        <v>0</v>
      </c>
      <c r="P9" s="64">
        <v>0.79</v>
      </c>
      <c r="Q9" s="64">
        <v>29.82</v>
      </c>
      <c r="R9" s="198"/>
      <c r="S9" s="198"/>
      <c r="T9" s="198"/>
      <c r="U9" s="198"/>
    </row>
    <row r="10" spans="1:21" s="12" customFormat="1" x14ac:dyDescent="0.25">
      <c r="A10" s="211" t="s">
        <v>2554</v>
      </c>
      <c r="B10" s="64">
        <v>3.68</v>
      </c>
      <c r="C10" s="64">
        <v>37.75</v>
      </c>
      <c r="D10" s="64">
        <v>24.43</v>
      </c>
      <c r="E10" s="64">
        <v>2.2400000000000002</v>
      </c>
      <c r="F10" s="64">
        <v>7.4</v>
      </c>
      <c r="G10" s="64">
        <v>48.07</v>
      </c>
      <c r="H10" s="64">
        <v>37.369999999999997</v>
      </c>
      <c r="I10" s="64">
        <v>0.63</v>
      </c>
      <c r="J10" s="64">
        <v>1.17</v>
      </c>
      <c r="K10" s="64">
        <v>176.14</v>
      </c>
      <c r="L10" s="64">
        <v>28.87</v>
      </c>
      <c r="M10" s="64">
        <v>37.78</v>
      </c>
      <c r="N10" s="64">
        <v>4.2</v>
      </c>
      <c r="O10" s="64">
        <v>0</v>
      </c>
      <c r="P10" s="64">
        <v>0.84</v>
      </c>
      <c r="Q10" s="64">
        <v>29.24</v>
      </c>
      <c r="R10" s="198"/>
      <c r="S10" s="198"/>
      <c r="T10" s="198"/>
      <c r="U10" s="198"/>
    </row>
    <row r="11" spans="1:21" s="12" customFormat="1" x14ac:dyDescent="0.25">
      <c r="A11" s="211" t="s">
        <v>2555</v>
      </c>
      <c r="B11" s="64">
        <v>2.93</v>
      </c>
      <c r="C11" s="64">
        <v>36.1</v>
      </c>
      <c r="D11" s="64">
        <v>22.92</v>
      </c>
      <c r="E11" s="64">
        <v>1.68</v>
      </c>
      <c r="F11" s="64">
        <v>7.79</v>
      </c>
      <c r="G11" s="64">
        <v>46.24</v>
      </c>
      <c r="H11" s="64">
        <v>36.619999999999997</v>
      </c>
      <c r="I11" s="64">
        <v>0.64</v>
      </c>
      <c r="J11" s="64">
        <v>1.29</v>
      </c>
      <c r="K11" s="64">
        <v>174.14</v>
      </c>
      <c r="L11" s="64">
        <v>28.72</v>
      </c>
      <c r="M11" s="64">
        <v>38.26</v>
      </c>
      <c r="N11" s="64">
        <v>5.0999999999999996</v>
      </c>
      <c r="O11" s="64">
        <v>0</v>
      </c>
      <c r="P11" s="64">
        <v>0.77</v>
      </c>
      <c r="Q11" s="64">
        <v>28.86</v>
      </c>
      <c r="R11" s="198"/>
      <c r="S11" s="198"/>
      <c r="T11" s="198"/>
      <c r="U11" s="198"/>
    </row>
    <row r="12" spans="1:21" s="12" customFormat="1" x14ac:dyDescent="0.25">
      <c r="A12" s="211" t="s">
        <v>2556</v>
      </c>
      <c r="B12" s="64">
        <v>1.76</v>
      </c>
      <c r="C12" s="64">
        <v>27.22</v>
      </c>
      <c r="D12" s="64">
        <v>17.079999999999998</v>
      </c>
      <c r="E12" s="64">
        <v>2.63</v>
      </c>
      <c r="F12" s="64">
        <v>29.3</v>
      </c>
      <c r="G12" s="214" t="s">
        <v>42</v>
      </c>
      <c r="H12" s="214" t="s">
        <v>42</v>
      </c>
      <c r="I12" s="64">
        <v>0.79</v>
      </c>
      <c r="J12" s="64">
        <v>0.53</v>
      </c>
      <c r="K12" s="64">
        <v>176.97</v>
      </c>
      <c r="L12" s="64">
        <v>28.46</v>
      </c>
      <c r="M12" s="64">
        <v>39.89</v>
      </c>
      <c r="N12" s="64">
        <v>5.5</v>
      </c>
      <c r="O12" s="64">
        <v>0</v>
      </c>
      <c r="P12" s="64">
        <v>0.55000000000000004</v>
      </c>
      <c r="Q12" s="64">
        <v>29.6</v>
      </c>
      <c r="R12" s="198"/>
      <c r="S12" s="198"/>
      <c r="T12" s="198"/>
      <c r="U12" s="198"/>
    </row>
    <row r="13" spans="1:21" s="12" customFormat="1" x14ac:dyDescent="0.25">
      <c r="A13" s="211" t="s">
        <v>2557</v>
      </c>
      <c r="B13" s="64">
        <v>1.79</v>
      </c>
      <c r="C13" s="64">
        <v>25.04</v>
      </c>
      <c r="D13" s="64">
        <v>15.9</v>
      </c>
      <c r="E13" s="64">
        <v>3.67</v>
      </c>
      <c r="F13" s="64">
        <v>32.9</v>
      </c>
      <c r="G13" s="214" t="s">
        <v>42</v>
      </c>
      <c r="H13" s="214" t="s">
        <v>42</v>
      </c>
      <c r="I13" s="64">
        <v>0.73</v>
      </c>
      <c r="J13" s="64">
        <v>0.09</v>
      </c>
      <c r="K13" s="64">
        <v>229.8</v>
      </c>
      <c r="L13" s="64">
        <v>28.28</v>
      </c>
      <c r="M13" s="64">
        <v>40.5</v>
      </c>
      <c r="N13" s="64">
        <v>5.4</v>
      </c>
      <c r="O13" s="64">
        <v>0</v>
      </c>
      <c r="P13" s="64">
        <v>0.53</v>
      </c>
      <c r="Q13" s="64">
        <v>29.68</v>
      </c>
      <c r="R13" s="198"/>
      <c r="S13" s="198"/>
      <c r="T13" s="198"/>
      <c r="U13" s="198"/>
    </row>
    <row r="14" spans="1:21" s="12" customFormat="1" x14ac:dyDescent="0.25">
      <c r="A14" s="211" t="s">
        <v>2558</v>
      </c>
      <c r="B14" s="64">
        <v>1.49</v>
      </c>
      <c r="C14" s="64">
        <v>22.94</v>
      </c>
      <c r="D14" s="64">
        <v>14.5</v>
      </c>
      <c r="E14" s="64">
        <v>3.83</v>
      </c>
      <c r="F14" s="64">
        <v>32.020000000000003</v>
      </c>
      <c r="G14" s="214" t="s">
        <v>42</v>
      </c>
      <c r="H14" s="214" t="s">
        <v>42</v>
      </c>
      <c r="I14" s="64">
        <v>0.59</v>
      </c>
      <c r="J14" s="64">
        <v>0.11</v>
      </c>
      <c r="K14" s="64">
        <v>231.36</v>
      </c>
      <c r="L14" s="64">
        <v>28.17</v>
      </c>
      <c r="M14" s="64">
        <v>41.2</v>
      </c>
      <c r="N14" s="64">
        <v>5.2</v>
      </c>
      <c r="O14" s="64">
        <v>0</v>
      </c>
      <c r="P14" s="64">
        <v>0.56000000000000005</v>
      </c>
      <c r="Q14" s="64">
        <v>29.68</v>
      </c>
      <c r="R14" s="198"/>
      <c r="S14" s="198"/>
      <c r="T14" s="198"/>
      <c r="U14" s="198"/>
    </row>
    <row r="15" spans="1:21" s="12" customFormat="1" x14ac:dyDescent="0.25">
      <c r="A15" s="211" t="s">
        <v>2559</v>
      </c>
      <c r="B15" s="64">
        <v>1.37</v>
      </c>
      <c r="C15" s="64">
        <v>20.32</v>
      </c>
      <c r="D15" s="64">
        <v>12.96</v>
      </c>
      <c r="E15" s="64">
        <v>3.84</v>
      </c>
      <c r="F15" s="64">
        <v>34.89</v>
      </c>
      <c r="G15" s="214" t="s">
        <v>42</v>
      </c>
      <c r="H15" s="214" t="s">
        <v>42</v>
      </c>
      <c r="I15" s="64">
        <v>0.74</v>
      </c>
      <c r="J15" s="64">
        <v>0.15</v>
      </c>
      <c r="K15" s="64">
        <v>210.66</v>
      </c>
      <c r="L15" s="64">
        <v>28.01</v>
      </c>
      <c r="M15" s="64">
        <v>42.79</v>
      </c>
      <c r="N15" s="64">
        <v>5.2</v>
      </c>
      <c r="O15" s="64">
        <v>0</v>
      </c>
      <c r="P15" s="64">
        <v>0.52</v>
      </c>
      <c r="Q15" s="64">
        <v>30</v>
      </c>
      <c r="R15" s="198"/>
      <c r="S15" s="198"/>
      <c r="T15" s="198"/>
      <c r="U15" s="198"/>
    </row>
    <row r="16" spans="1:21" s="12" customFormat="1" x14ac:dyDescent="0.25">
      <c r="A16" s="211" t="s">
        <v>2560</v>
      </c>
      <c r="B16" s="64">
        <v>1.76</v>
      </c>
      <c r="C16" s="64">
        <v>21.09</v>
      </c>
      <c r="D16" s="64">
        <v>13.7</v>
      </c>
      <c r="E16" s="64">
        <v>3.58</v>
      </c>
      <c r="F16" s="64">
        <v>16.3</v>
      </c>
      <c r="G16" s="64">
        <v>58.85</v>
      </c>
      <c r="H16" s="64">
        <v>34.32</v>
      </c>
      <c r="I16" s="64">
        <v>0.54</v>
      </c>
      <c r="J16" s="64">
        <v>0.14000000000000001</v>
      </c>
      <c r="K16" s="64">
        <v>219.93</v>
      </c>
      <c r="L16" s="64">
        <v>27.72</v>
      </c>
      <c r="M16" s="64">
        <v>44.22</v>
      </c>
      <c r="N16" s="64">
        <v>5.3</v>
      </c>
      <c r="O16" s="64">
        <v>0</v>
      </c>
      <c r="P16" s="64">
        <v>0.71</v>
      </c>
      <c r="Q16" s="64">
        <v>30.18</v>
      </c>
      <c r="R16" s="198"/>
      <c r="S16" s="198"/>
      <c r="T16" s="198"/>
      <c r="U16" s="198"/>
    </row>
    <row r="17" spans="1:21" s="12" customFormat="1" x14ac:dyDescent="0.25">
      <c r="A17" s="211" t="s">
        <v>2561</v>
      </c>
      <c r="B17" s="64">
        <v>2.1</v>
      </c>
      <c r="C17" s="64">
        <v>24.82</v>
      </c>
      <c r="D17" s="64">
        <v>16.03</v>
      </c>
      <c r="E17" s="64">
        <v>2.73</v>
      </c>
      <c r="F17" s="64">
        <v>9.73</v>
      </c>
      <c r="G17" s="64">
        <v>58.85</v>
      </c>
      <c r="H17" s="64">
        <v>34.32</v>
      </c>
      <c r="I17" s="64">
        <v>0.51</v>
      </c>
      <c r="J17" s="64">
        <v>0.21</v>
      </c>
      <c r="K17" s="64">
        <v>191.12</v>
      </c>
      <c r="L17" s="64">
        <v>27.52</v>
      </c>
      <c r="M17" s="64">
        <v>45.43</v>
      </c>
      <c r="N17" s="64">
        <v>5.3</v>
      </c>
      <c r="O17" s="64">
        <v>0</v>
      </c>
      <c r="P17" s="64">
        <v>0.7</v>
      </c>
      <c r="Q17" s="64">
        <v>29.7</v>
      </c>
      <c r="R17" s="198"/>
      <c r="S17" s="198"/>
      <c r="T17" s="198"/>
      <c r="U17" s="198"/>
    </row>
    <row r="18" spans="1:21" s="12" customFormat="1" x14ac:dyDescent="0.25">
      <c r="A18" s="211" t="s">
        <v>2562</v>
      </c>
      <c r="B18" s="64">
        <v>1.8</v>
      </c>
      <c r="C18" s="64">
        <v>25.92</v>
      </c>
      <c r="D18" s="64">
        <v>16.39</v>
      </c>
      <c r="E18" s="64">
        <v>2.6</v>
      </c>
      <c r="F18" s="64">
        <v>9.1199999999999992</v>
      </c>
      <c r="G18" s="64">
        <v>58.85</v>
      </c>
      <c r="H18" s="64">
        <v>34.32</v>
      </c>
      <c r="I18" s="64">
        <v>0.59</v>
      </c>
      <c r="J18" s="64">
        <v>0.32</v>
      </c>
      <c r="K18" s="64">
        <v>201.86</v>
      </c>
      <c r="L18" s="64">
        <v>27.39</v>
      </c>
      <c r="M18" s="64">
        <v>45.84</v>
      </c>
      <c r="N18" s="64">
        <v>4.9000000000000004</v>
      </c>
      <c r="O18" s="64">
        <v>0</v>
      </c>
      <c r="P18" s="64">
        <v>0.69</v>
      </c>
      <c r="Q18" s="64">
        <v>29.64</v>
      </c>
      <c r="R18" s="198"/>
      <c r="S18" s="198"/>
      <c r="T18" s="198"/>
      <c r="U18" s="198"/>
    </row>
    <row r="19" spans="1:21" s="12" customFormat="1" x14ac:dyDescent="0.25">
      <c r="A19" s="211" t="s">
        <v>2563</v>
      </c>
      <c r="B19" s="64">
        <v>1.54</v>
      </c>
      <c r="C19" s="64">
        <v>25.89</v>
      </c>
      <c r="D19" s="64">
        <v>16.170000000000002</v>
      </c>
      <c r="E19" s="64">
        <v>1.95</v>
      </c>
      <c r="F19" s="64">
        <v>9.65</v>
      </c>
      <c r="G19" s="64">
        <v>56.37</v>
      </c>
      <c r="H19" s="64">
        <v>33.119999999999997</v>
      </c>
      <c r="I19" s="64">
        <v>0.7</v>
      </c>
      <c r="J19" s="64">
        <v>0.26</v>
      </c>
      <c r="K19" s="64">
        <v>216.3</v>
      </c>
      <c r="L19" s="64">
        <v>27.59</v>
      </c>
      <c r="M19" s="64">
        <v>44.54</v>
      </c>
      <c r="N19" s="64">
        <v>4.9000000000000004</v>
      </c>
      <c r="O19" s="64">
        <v>0</v>
      </c>
      <c r="P19" s="64">
        <v>0.66</v>
      </c>
      <c r="Q19" s="64">
        <v>29.59</v>
      </c>
      <c r="R19" s="198"/>
      <c r="S19" s="198"/>
      <c r="T19" s="198"/>
      <c r="U19" s="198"/>
    </row>
    <row r="20" spans="1:21" s="12" customFormat="1" x14ac:dyDescent="0.25">
      <c r="A20" s="211" t="s">
        <v>2564</v>
      </c>
      <c r="B20" s="64">
        <v>1.37</v>
      </c>
      <c r="C20" s="64">
        <v>25.05</v>
      </c>
      <c r="D20" s="64">
        <v>15.57</v>
      </c>
      <c r="E20" s="64">
        <v>1.88</v>
      </c>
      <c r="F20" s="64">
        <v>10.84</v>
      </c>
      <c r="G20" s="64">
        <v>33.99</v>
      </c>
      <c r="H20" s="64">
        <v>25.41</v>
      </c>
      <c r="I20" s="64">
        <v>0.65</v>
      </c>
      <c r="J20" s="64">
        <v>7.0000000000000007E-2</v>
      </c>
      <c r="K20" s="64">
        <v>232.02</v>
      </c>
      <c r="L20" s="64">
        <v>27.61</v>
      </c>
      <c r="M20" s="64">
        <v>44.81</v>
      </c>
      <c r="N20" s="64">
        <v>5.2</v>
      </c>
      <c r="O20" s="64">
        <v>0</v>
      </c>
      <c r="P20" s="64">
        <v>0.62</v>
      </c>
      <c r="Q20" s="64">
        <v>29.44</v>
      </c>
      <c r="R20" s="198"/>
      <c r="S20" s="198"/>
      <c r="T20" s="198"/>
      <c r="U20" s="198"/>
    </row>
    <row r="21" spans="1:21" s="12" customFormat="1" x14ac:dyDescent="0.25">
      <c r="A21" s="211" t="s">
        <v>2565</v>
      </c>
      <c r="B21" s="64">
        <v>1.31</v>
      </c>
      <c r="C21" s="64">
        <v>24.55</v>
      </c>
      <c r="D21" s="64">
        <v>15.25</v>
      </c>
      <c r="E21" s="64">
        <v>2.08</v>
      </c>
      <c r="F21" s="64">
        <v>10.52</v>
      </c>
      <c r="G21" s="64">
        <v>33.99</v>
      </c>
      <c r="H21" s="64">
        <v>25.41</v>
      </c>
      <c r="I21" s="64">
        <v>0.64</v>
      </c>
      <c r="J21" s="64">
        <v>0.06</v>
      </c>
      <c r="K21" s="64">
        <v>215.2</v>
      </c>
      <c r="L21" s="64">
        <v>27.46</v>
      </c>
      <c r="M21" s="64">
        <v>44.97</v>
      </c>
      <c r="N21" s="64">
        <v>5.0999999999999996</v>
      </c>
      <c r="O21" s="64">
        <v>0</v>
      </c>
      <c r="P21" s="64">
        <v>0.6</v>
      </c>
      <c r="Q21" s="64">
        <v>29.19</v>
      </c>
      <c r="R21" s="198"/>
      <c r="S21" s="198"/>
      <c r="T21" s="198"/>
      <c r="U21" s="198"/>
    </row>
    <row r="22" spans="1:21" s="12" customFormat="1" x14ac:dyDescent="0.25">
      <c r="A22" s="211" t="s">
        <v>2566</v>
      </c>
      <c r="B22" s="64">
        <v>1.28</v>
      </c>
      <c r="C22" s="64">
        <v>24.01</v>
      </c>
      <c r="D22" s="64">
        <v>14.92</v>
      </c>
      <c r="E22" s="64">
        <v>1.98</v>
      </c>
      <c r="F22" s="64">
        <v>12.12</v>
      </c>
      <c r="G22" s="64">
        <v>33.99</v>
      </c>
      <c r="H22" s="64">
        <v>25.41</v>
      </c>
      <c r="I22" s="64">
        <v>0.56999999999999995</v>
      </c>
      <c r="J22" s="64">
        <v>0.1</v>
      </c>
      <c r="K22" s="64">
        <v>230.75</v>
      </c>
      <c r="L22" s="64">
        <v>27.28</v>
      </c>
      <c r="M22" s="64">
        <v>45.7</v>
      </c>
      <c r="N22" s="64">
        <v>5</v>
      </c>
      <c r="O22" s="64">
        <v>0</v>
      </c>
      <c r="P22" s="64">
        <v>0.57999999999999996</v>
      </c>
      <c r="Q22" s="64">
        <v>28.99</v>
      </c>
      <c r="R22" s="198"/>
      <c r="S22" s="198"/>
      <c r="T22" s="198"/>
      <c r="U22" s="198"/>
    </row>
    <row r="23" spans="1:21" s="12" customFormat="1" x14ac:dyDescent="0.25">
      <c r="A23" s="211" t="s">
        <v>2567</v>
      </c>
      <c r="B23" s="64">
        <v>2.62</v>
      </c>
      <c r="C23" s="64">
        <v>26.12</v>
      </c>
      <c r="D23" s="64">
        <v>17.16</v>
      </c>
      <c r="E23" s="64">
        <v>2.0299999999999998</v>
      </c>
      <c r="F23" s="64">
        <v>20.5</v>
      </c>
      <c r="G23" s="64">
        <v>32.04</v>
      </c>
      <c r="H23" s="64">
        <v>24.94</v>
      </c>
      <c r="I23" s="64">
        <v>0.56000000000000005</v>
      </c>
      <c r="J23" s="64">
        <v>0.13</v>
      </c>
      <c r="K23" s="64">
        <v>250.05</v>
      </c>
      <c r="L23" s="64">
        <v>27.26</v>
      </c>
      <c r="M23" s="64">
        <v>45.49</v>
      </c>
      <c r="N23" s="64">
        <v>4.9000000000000004</v>
      </c>
      <c r="O23" s="64">
        <v>0</v>
      </c>
      <c r="P23" s="64">
        <v>0.54</v>
      </c>
      <c r="Q23" s="64">
        <v>28.92</v>
      </c>
      <c r="R23" s="198"/>
      <c r="S23" s="198"/>
      <c r="T23" s="198"/>
      <c r="U23" s="198"/>
    </row>
    <row r="24" spans="1:21" s="12" customFormat="1" x14ac:dyDescent="0.25">
      <c r="A24" s="211" t="s">
        <v>2568</v>
      </c>
      <c r="B24" s="64">
        <v>1.87</v>
      </c>
      <c r="C24" s="64">
        <v>24.35</v>
      </c>
      <c r="D24" s="64">
        <v>15.58</v>
      </c>
      <c r="E24" s="64">
        <v>2.11</v>
      </c>
      <c r="F24" s="64">
        <v>30.1</v>
      </c>
      <c r="G24" s="214" t="s">
        <v>42</v>
      </c>
      <c r="H24" s="214" t="s">
        <v>42</v>
      </c>
      <c r="I24" s="64">
        <v>0.63</v>
      </c>
      <c r="J24" s="64">
        <v>0.16</v>
      </c>
      <c r="K24" s="64">
        <v>178.75</v>
      </c>
      <c r="L24" s="64">
        <v>27.4</v>
      </c>
      <c r="M24" s="64">
        <v>44.55</v>
      </c>
      <c r="N24" s="64">
        <v>4.5999999999999996</v>
      </c>
      <c r="O24" s="64">
        <v>0</v>
      </c>
      <c r="P24" s="64">
        <v>0.52</v>
      </c>
      <c r="Q24" s="64">
        <v>29.54</v>
      </c>
      <c r="R24" s="198"/>
      <c r="S24" s="198"/>
      <c r="T24" s="198"/>
      <c r="U24" s="198"/>
    </row>
    <row r="25" spans="1:21" s="12" customFormat="1" x14ac:dyDescent="0.25">
      <c r="A25" s="211" t="s">
        <v>2569</v>
      </c>
      <c r="B25" s="64">
        <v>1.57</v>
      </c>
      <c r="C25" s="64">
        <v>22.06</v>
      </c>
      <c r="D25" s="64">
        <v>14.08</v>
      </c>
      <c r="E25" s="64">
        <v>3.88</v>
      </c>
      <c r="F25" s="64">
        <v>31.86</v>
      </c>
      <c r="G25" s="214" t="s">
        <v>42</v>
      </c>
      <c r="H25" s="214" t="s">
        <v>42</v>
      </c>
      <c r="I25" s="64">
        <v>0.51</v>
      </c>
      <c r="J25" s="64">
        <v>0.19</v>
      </c>
      <c r="K25" s="64">
        <v>218.93</v>
      </c>
      <c r="L25" s="64">
        <v>27.77</v>
      </c>
      <c r="M25" s="64">
        <v>42.62</v>
      </c>
      <c r="N25" s="64">
        <v>4.7</v>
      </c>
      <c r="O25" s="64">
        <v>0</v>
      </c>
      <c r="P25" s="64">
        <v>0.48</v>
      </c>
      <c r="Q25" s="64">
        <v>29.54</v>
      </c>
      <c r="R25" s="198"/>
      <c r="S25" s="198"/>
      <c r="T25" s="198"/>
      <c r="U25" s="198"/>
    </row>
    <row r="26" spans="1:21" s="12" customFormat="1" x14ac:dyDescent="0.25">
      <c r="A26" s="211" t="s">
        <v>2570</v>
      </c>
      <c r="B26" s="64">
        <v>1.56</v>
      </c>
      <c r="C26" s="64">
        <v>20.73</v>
      </c>
      <c r="D26" s="64">
        <v>13.34</v>
      </c>
      <c r="E26" s="64">
        <v>4.0999999999999996</v>
      </c>
      <c r="F26" s="64">
        <v>31.78</v>
      </c>
      <c r="G26" s="214" t="s">
        <v>42</v>
      </c>
      <c r="H26" s="214" t="s">
        <v>42</v>
      </c>
      <c r="I26" s="64">
        <v>0.63</v>
      </c>
      <c r="J26" s="64">
        <v>0.12</v>
      </c>
      <c r="K26" s="64">
        <v>235.27</v>
      </c>
      <c r="L26" s="64">
        <v>27.51</v>
      </c>
      <c r="M26" s="64">
        <v>43.94</v>
      </c>
      <c r="N26" s="64">
        <v>5.0999999999999996</v>
      </c>
      <c r="O26" s="64">
        <v>0</v>
      </c>
      <c r="P26" s="64">
        <v>0.46</v>
      </c>
      <c r="Q26" s="64">
        <v>29.77</v>
      </c>
      <c r="R26" s="198"/>
      <c r="S26" s="198"/>
      <c r="T26" s="198"/>
      <c r="U26" s="198"/>
    </row>
    <row r="27" spans="1:21" s="12" customFormat="1" x14ac:dyDescent="0.25">
      <c r="A27" s="211" t="s">
        <v>2571</v>
      </c>
      <c r="B27" s="64">
        <v>1.71</v>
      </c>
      <c r="C27" s="64">
        <v>22.59</v>
      </c>
      <c r="D27" s="64">
        <v>14.49</v>
      </c>
      <c r="E27" s="64">
        <v>4.9400000000000004</v>
      </c>
      <c r="F27" s="64">
        <v>37.01</v>
      </c>
      <c r="G27" s="214" t="s">
        <v>42</v>
      </c>
      <c r="H27" s="214" t="s">
        <v>42</v>
      </c>
      <c r="I27" s="64">
        <v>0.51</v>
      </c>
      <c r="J27" s="64">
        <v>0.05</v>
      </c>
      <c r="K27" s="64">
        <v>194.8</v>
      </c>
      <c r="L27" s="64">
        <v>27.41</v>
      </c>
      <c r="M27" s="64">
        <v>44.54</v>
      </c>
      <c r="N27" s="64">
        <v>5.2</v>
      </c>
      <c r="O27" s="64">
        <v>0</v>
      </c>
      <c r="P27" s="64">
        <v>0.42</v>
      </c>
      <c r="Q27" s="64">
        <v>30.09</v>
      </c>
      <c r="R27" s="198"/>
      <c r="S27" s="198"/>
      <c r="T27" s="198"/>
      <c r="U27" s="198"/>
    </row>
    <row r="28" spans="1:21" s="12" customFormat="1" x14ac:dyDescent="0.25">
      <c r="A28" s="211" t="s">
        <v>2572</v>
      </c>
      <c r="B28" s="64">
        <v>1.77</v>
      </c>
      <c r="C28" s="64">
        <v>23.56</v>
      </c>
      <c r="D28" s="64">
        <v>15.07</v>
      </c>
      <c r="E28" s="64">
        <v>4.1100000000000003</v>
      </c>
      <c r="F28" s="64">
        <v>12.6</v>
      </c>
      <c r="G28" s="64">
        <v>29.62</v>
      </c>
      <c r="H28" s="64">
        <v>21.67</v>
      </c>
      <c r="I28" s="64">
        <v>0.51</v>
      </c>
      <c r="J28" s="64">
        <v>0.1</v>
      </c>
      <c r="K28" s="64">
        <v>197.46</v>
      </c>
      <c r="L28" s="64">
        <v>27.13</v>
      </c>
      <c r="M28" s="64">
        <v>45.73</v>
      </c>
      <c r="N28" s="64">
        <v>5.2</v>
      </c>
      <c r="O28" s="64">
        <v>0</v>
      </c>
      <c r="P28" s="64">
        <v>0.51</v>
      </c>
      <c r="Q28" s="64">
        <v>30.28</v>
      </c>
      <c r="R28" s="198"/>
      <c r="S28" s="198"/>
      <c r="T28" s="198"/>
      <c r="U28" s="198"/>
    </row>
    <row r="29" spans="1:21" s="12" customFormat="1" x14ac:dyDescent="0.25">
      <c r="A29" s="211" t="s">
        <v>2573</v>
      </c>
      <c r="B29" s="64">
        <v>1.83</v>
      </c>
      <c r="C29" s="64">
        <v>25.24</v>
      </c>
      <c r="D29" s="64">
        <v>16.04</v>
      </c>
      <c r="E29" s="64">
        <v>3.72</v>
      </c>
      <c r="F29" s="64">
        <v>11.15</v>
      </c>
      <c r="G29" s="64">
        <v>29.62</v>
      </c>
      <c r="H29" s="64">
        <v>21.67</v>
      </c>
      <c r="I29" s="64">
        <v>0.48</v>
      </c>
      <c r="J29" s="64">
        <v>0.09</v>
      </c>
      <c r="K29" s="64">
        <v>230.35</v>
      </c>
      <c r="L29" s="64">
        <v>27.21</v>
      </c>
      <c r="M29" s="64">
        <v>45.59</v>
      </c>
      <c r="N29" s="64">
        <v>5.9</v>
      </c>
      <c r="O29" s="64">
        <v>0</v>
      </c>
      <c r="P29" s="64">
        <v>0.53</v>
      </c>
      <c r="Q29" s="64">
        <v>30.22</v>
      </c>
      <c r="R29" s="198"/>
      <c r="S29" s="198"/>
      <c r="T29" s="198"/>
      <c r="U29" s="198"/>
    </row>
    <row r="30" spans="1:21" s="12" customFormat="1" x14ac:dyDescent="0.25">
      <c r="A30" s="211" t="s">
        <v>2574</v>
      </c>
      <c r="B30" s="64">
        <v>1.62</v>
      </c>
      <c r="C30" s="64">
        <v>26.31</v>
      </c>
      <c r="D30" s="64">
        <v>16.47</v>
      </c>
      <c r="E30" s="64">
        <v>2.86</v>
      </c>
      <c r="F30" s="64">
        <v>7.6</v>
      </c>
      <c r="G30" s="64">
        <v>29.62</v>
      </c>
      <c r="H30" s="64">
        <v>21.67</v>
      </c>
      <c r="I30" s="64">
        <v>0.62</v>
      </c>
      <c r="J30" s="64">
        <v>0.16</v>
      </c>
      <c r="K30" s="64">
        <v>215.2</v>
      </c>
      <c r="L30" s="64">
        <v>27.43</v>
      </c>
      <c r="M30" s="64">
        <v>45.66</v>
      </c>
      <c r="N30" s="64">
        <v>10.8</v>
      </c>
      <c r="O30" s="64">
        <v>0</v>
      </c>
      <c r="P30" s="64">
        <v>0.52</v>
      </c>
      <c r="Q30" s="64">
        <v>30.24</v>
      </c>
      <c r="R30" s="198"/>
      <c r="S30" s="198"/>
      <c r="T30" s="198"/>
      <c r="U30" s="198"/>
    </row>
    <row r="31" spans="1:21" s="12" customFormat="1" x14ac:dyDescent="0.25">
      <c r="A31" s="211" t="s">
        <v>2575</v>
      </c>
      <c r="B31" s="64">
        <v>1.48</v>
      </c>
      <c r="C31" s="64">
        <v>27.35</v>
      </c>
      <c r="D31" s="64">
        <v>16.920000000000002</v>
      </c>
      <c r="E31" s="64">
        <v>3.03</v>
      </c>
      <c r="F31" s="64">
        <v>10.6</v>
      </c>
      <c r="G31" s="64">
        <v>30.67</v>
      </c>
      <c r="H31" s="64">
        <v>21.53</v>
      </c>
      <c r="I31" s="64">
        <v>0.63</v>
      </c>
      <c r="J31" s="64">
        <v>0.13</v>
      </c>
      <c r="K31" s="64">
        <v>213.6</v>
      </c>
      <c r="L31" s="64">
        <v>27.3</v>
      </c>
      <c r="M31" s="64">
        <v>47.13</v>
      </c>
      <c r="N31" s="64">
        <v>25.1</v>
      </c>
      <c r="O31" s="64">
        <v>0</v>
      </c>
      <c r="P31" s="64">
        <v>0.5</v>
      </c>
      <c r="Q31" s="64">
        <v>29.87</v>
      </c>
      <c r="R31" s="198"/>
      <c r="S31" s="198"/>
      <c r="T31" s="198"/>
      <c r="U31" s="198"/>
    </row>
    <row r="32" spans="1:21" s="12" customFormat="1" x14ac:dyDescent="0.25">
      <c r="A32" s="211" t="s">
        <v>2576</v>
      </c>
      <c r="B32" s="64">
        <v>1.53</v>
      </c>
      <c r="C32" s="64">
        <v>28.81</v>
      </c>
      <c r="D32" s="64">
        <v>17.77</v>
      </c>
      <c r="E32" s="64">
        <v>3.32</v>
      </c>
      <c r="F32" s="64">
        <v>8.6999999999999993</v>
      </c>
      <c r="G32" s="64">
        <v>40.17</v>
      </c>
      <c r="H32" s="64">
        <v>20.61</v>
      </c>
      <c r="I32" s="64">
        <v>0.7</v>
      </c>
      <c r="J32" s="64">
        <v>0.08</v>
      </c>
      <c r="K32" s="64">
        <v>224.01</v>
      </c>
      <c r="L32" s="64">
        <v>27.54</v>
      </c>
      <c r="M32" s="64">
        <v>46.74</v>
      </c>
      <c r="N32" s="64">
        <v>53.6</v>
      </c>
      <c r="O32" s="64">
        <v>0</v>
      </c>
      <c r="P32" s="64">
        <v>0.5</v>
      </c>
      <c r="Q32" s="64">
        <v>29.63</v>
      </c>
      <c r="R32" s="198"/>
      <c r="S32" s="198"/>
      <c r="T32" s="198"/>
      <c r="U32" s="198"/>
    </row>
    <row r="33" spans="1:21" s="12" customFormat="1" x14ac:dyDescent="0.25">
      <c r="A33" s="211" t="s">
        <v>2577</v>
      </c>
      <c r="B33" s="64">
        <v>2.39</v>
      </c>
      <c r="C33" s="64">
        <v>32.36</v>
      </c>
      <c r="D33" s="64">
        <v>20.420000000000002</v>
      </c>
      <c r="E33" s="64">
        <v>3.06</v>
      </c>
      <c r="F33" s="64">
        <v>9.8699999999999992</v>
      </c>
      <c r="G33" s="64">
        <v>40.17</v>
      </c>
      <c r="H33" s="64">
        <v>20.61</v>
      </c>
      <c r="I33" s="64">
        <v>0.68</v>
      </c>
      <c r="J33" s="64">
        <v>0.13</v>
      </c>
      <c r="K33" s="64">
        <v>219.59</v>
      </c>
      <c r="L33" s="64">
        <v>28.33</v>
      </c>
      <c r="M33" s="64">
        <v>45.2</v>
      </c>
      <c r="N33" s="64">
        <v>101.5</v>
      </c>
      <c r="O33" s="64">
        <v>0</v>
      </c>
      <c r="P33" s="64">
        <v>0.53</v>
      </c>
      <c r="Q33" s="64">
        <v>29.34</v>
      </c>
      <c r="R33" s="198"/>
      <c r="S33" s="198"/>
      <c r="T33" s="198"/>
      <c r="U33" s="198"/>
    </row>
    <row r="34" spans="1:21" s="12" customFormat="1" x14ac:dyDescent="0.25">
      <c r="A34" s="211" t="s">
        <v>2578</v>
      </c>
      <c r="B34" s="64">
        <v>1.72</v>
      </c>
      <c r="C34" s="64">
        <v>30.25</v>
      </c>
      <c r="D34" s="64">
        <v>18.72</v>
      </c>
      <c r="E34" s="64">
        <v>2.89</v>
      </c>
      <c r="F34" s="64">
        <v>8.64</v>
      </c>
      <c r="G34" s="64">
        <v>40.17</v>
      </c>
      <c r="H34" s="64">
        <v>20.61</v>
      </c>
      <c r="I34" s="64">
        <v>0.76</v>
      </c>
      <c r="J34" s="64">
        <v>0.04</v>
      </c>
      <c r="K34" s="64">
        <v>234.99</v>
      </c>
      <c r="L34" s="64">
        <v>28.99</v>
      </c>
      <c r="M34" s="64">
        <v>44.96</v>
      </c>
      <c r="N34" s="64">
        <v>78.3</v>
      </c>
      <c r="O34" s="64">
        <v>0</v>
      </c>
      <c r="P34" s="64">
        <v>0.52</v>
      </c>
      <c r="Q34" s="64">
        <v>29.22</v>
      </c>
      <c r="R34" s="198"/>
      <c r="S34" s="198"/>
      <c r="T34" s="198"/>
      <c r="U34" s="198"/>
    </row>
    <row r="35" spans="1:21" s="12" customFormat="1" x14ac:dyDescent="0.25">
      <c r="A35" s="211" t="s">
        <v>2579</v>
      </c>
      <c r="B35" s="64">
        <v>1.66</v>
      </c>
      <c r="C35" s="64">
        <v>29.52</v>
      </c>
      <c r="D35" s="64">
        <v>18.27</v>
      </c>
      <c r="E35" s="64">
        <v>3.05</v>
      </c>
      <c r="F35" s="64">
        <v>22.38</v>
      </c>
      <c r="G35" s="64">
        <v>41.91</v>
      </c>
      <c r="H35" s="64">
        <v>21.14</v>
      </c>
      <c r="I35" s="64">
        <v>0.56999999999999995</v>
      </c>
      <c r="J35" s="64">
        <v>0.04</v>
      </c>
      <c r="K35" s="64">
        <v>225.98</v>
      </c>
      <c r="L35" s="64">
        <v>28.76</v>
      </c>
      <c r="M35" s="64">
        <v>45.95</v>
      </c>
      <c r="N35" s="64">
        <v>52.4</v>
      </c>
      <c r="O35" s="64">
        <v>0</v>
      </c>
      <c r="P35" s="64">
        <v>0.55000000000000004</v>
      </c>
      <c r="Q35" s="64">
        <v>29.32</v>
      </c>
      <c r="R35" s="198"/>
      <c r="S35" s="198"/>
      <c r="T35" s="198"/>
      <c r="U35" s="198"/>
    </row>
    <row r="36" spans="1:21" s="12" customFormat="1" x14ac:dyDescent="0.25">
      <c r="A36" s="211" t="s">
        <v>2580</v>
      </c>
      <c r="B36" s="64">
        <v>1.89</v>
      </c>
      <c r="C36" s="64">
        <v>28.19</v>
      </c>
      <c r="D36" s="64">
        <v>17.72</v>
      </c>
      <c r="E36" s="64">
        <v>3.24</v>
      </c>
      <c r="F36" s="64">
        <v>26.5</v>
      </c>
      <c r="G36" s="64">
        <v>55.87</v>
      </c>
      <c r="H36" s="64">
        <v>24.57</v>
      </c>
      <c r="I36" s="64">
        <v>0.59</v>
      </c>
      <c r="J36" s="64">
        <v>0.1</v>
      </c>
      <c r="K36" s="64">
        <v>224.29</v>
      </c>
      <c r="L36" s="64">
        <v>28.83</v>
      </c>
      <c r="M36" s="64">
        <v>46.27</v>
      </c>
      <c r="N36" s="64">
        <v>77.900000000000006</v>
      </c>
      <c r="O36" s="64">
        <v>0</v>
      </c>
      <c r="P36" s="64">
        <v>0.54</v>
      </c>
      <c r="Q36" s="64">
        <v>29.58</v>
      </c>
      <c r="R36" s="198"/>
      <c r="S36" s="198"/>
      <c r="T36" s="198"/>
      <c r="U36" s="198"/>
    </row>
    <row r="37" spans="1:21" s="12" customFormat="1" x14ac:dyDescent="0.25">
      <c r="A37" s="211" t="s">
        <v>2581</v>
      </c>
      <c r="B37" s="64">
        <v>2.0099999999999998</v>
      </c>
      <c r="C37" s="64">
        <v>27.76</v>
      </c>
      <c r="D37" s="64">
        <v>17.579999999999998</v>
      </c>
      <c r="E37" s="64">
        <v>3.77</v>
      </c>
      <c r="F37" s="64">
        <v>22.01</v>
      </c>
      <c r="G37" s="64">
        <v>55.87</v>
      </c>
      <c r="H37" s="64">
        <v>24.57</v>
      </c>
      <c r="I37" s="64">
        <v>0.62</v>
      </c>
      <c r="J37" s="64">
        <v>0.14000000000000001</v>
      </c>
      <c r="K37" s="64">
        <v>239.27</v>
      </c>
      <c r="L37" s="64">
        <v>29.2</v>
      </c>
      <c r="M37" s="64">
        <v>45.47</v>
      </c>
      <c r="N37" s="64">
        <v>113.4</v>
      </c>
      <c r="O37" s="64">
        <v>0</v>
      </c>
      <c r="P37" s="64">
        <v>0.5</v>
      </c>
      <c r="Q37" s="64">
        <v>29.36</v>
      </c>
      <c r="R37" s="198"/>
      <c r="S37" s="198"/>
      <c r="T37" s="198"/>
      <c r="U37" s="198"/>
    </row>
    <row r="38" spans="1:21" s="12" customFormat="1" x14ac:dyDescent="0.25">
      <c r="A38" s="211" t="s">
        <v>2582</v>
      </c>
      <c r="B38" s="64">
        <v>2.86</v>
      </c>
      <c r="C38" s="64">
        <v>30.54</v>
      </c>
      <c r="D38" s="64">
        <v>19.79</v>
      </c>
      <c r="E38" s="64">
        <v>4.2</v>
      </c>
      <c r="F38" s="64">
        <v>17.39</v>
      </c>
      <c r="G38" s="64">
        <v>55.87</v>
      </c>
      <c r="H38" s="64">
        <v>24.57</v>
      </c>
      <c r="I38" s="64">
        <v>0.57999999999999996</v>
      </c>
      <c r="J38" s="64">
        <v>0.04</v>
      </c>
      <c r="K38" s="64">
        <v>308.66000000000003</v>
      </c>
      <c r="L38" s="64">
        <v>29.79</v>
      </c>
      <c r="M38" s="64">
        <v>42.96</v>
      </c>
      <c r="N38" s="64">
        <v>143.6</v>
      </c>
      <c r="O38" s="64">
        <v>0</v>
      </c>
      <c r="P38" s="64">
        <v>0.59</v>
      </c>
      <c r="Q38" s="64">
        <v>29.07</v>
      </c>
      <c r="R38" s="198"/>
      <c r="S38" s="198"/>
      <c r="T38" s="198"/>
      <c r="U38" s="198"/>
    </row>
    <row r="39" spans="1:21" s="12" customFormat="1" x14ac:dyDescent="0.25">
      <c r="A39" s="211" t="s">
        <v>2583</v>
      </c>
      <c r="B39" s="64">
        <v>3.07</v>
      </c>
      <c r="C39" s="64">
        <v>31.57</v>
      </c>
      <c r="D39" s="64">
        <v>20.54</v>
      </c>
      <c r="E39" s="64">
        <v>3.9</v>
      </c>
      <c r="F39" s="64">
        <v>13.93</v>
      </c>
      <c r="G39" s="64">
        <v>56.34</v>
      </c>
      <c r="H39" s="64">
        <v>24.79</v>
      </c>
      <c r="I39" s="64">
        <v>0.55000000000000004</v>
      </c>
      <c r="J39" s="64">
        <v>0.08</v>
      </c>
      <c r="K39" s="64">
        <v>43.19</v>
      </c>
      <c r="L39" s="64">
        <v>30.28</v>
      </c>
      <c r="M39" s="64">
        <v>40.270000000000003</v>
      </c>
      <c r="N39" s="64">
        <v>206</v>
      </c>
      <c r="O39" s="64">
        <v>0</v>
      </c>
      <c r="P39" s="64">
        <v>0.57999999999999996</v>
      </c>
      <c r="Q39" s="64">
        <v>28.95</v>
      </c>
      <c r="R39" s="198"/>
      <c r="S39" s="198"/>
      <c r="T39" s="198"/>
      <c r="U39" s="198"/>
    </row>
    <row r="40" spans="1:21" s="12" customFormat="1" x14ac:dyDescent="0.25">
      <c r="A40" s="211" t="s">
        <v>2584</v>
      </c>
      <c r="B40" s="64">
        <v>2.33</v>
      </c>
      <c r="C40" s="64">
        <v>29.46</v>
      </c>
      <c r="D40" s="64">
        <v>18.77</v>
      </c>
      <c r="E40" s="64">
        <v>2.0499999999999998</v>
      </c>
      <c r="F40" s="64">
        <v>6.97</v>
      </c>
      <c r="G40" s="64">
        <v>60.48</v>
      </c>
      <c r="H40" s="64">
        <v>26.21</v>
      </c>
      <c r="I40" s="64">
        <v>0.66</v>
      </c>
      <c r="J40" s="64">
        <v>0.15</v>
      </c>
      <c r="K40" s="64">
        <v>22.57</v>
      </c>
      <c r="L40" s="64">
        <v>30.81</v>
      </c>
      <c r="M40" s="64">
        <v>36.06</v>
      </c>
      <c r="N40" s="64">
        <v>257.8</v>
      </c>
      <c r="O40" s="64">
        <v>0</v>
      </c>
      <c r="P40" s="64">
        <v>0.55000000000000004</v>
      </c>
      <c r="Q40" s="64">
        <v>28.73</v>
      </c>
      <c r="R40" s="198"/>
      <c r="S40" s="198"/>
      <c r="T40" s="198"/>
      <c r="U40" s="198"/>
    </row>
    <row r="41" spans="1:21" s="12" customFormat="1" x14ac:dyDescent="0.25">
      <c r="A41" s="211" t="s">
        <v>2585</v>
      </c>
      <c r="B41" s="64">
        <v>1.68</v>
      </c>
      <c r="C41" s="64">
        <v>29.82</v>
      </c>
      <c r="D41" s="64">
        <v>18.45</v>
      </c>
      <c r="E41" s="64">
        <v>2.67</v>
      </c>
      <c r="F41" s="64">
        <v>7.99</v>
      </c>
      <c r="G41" s="64">
        <v>60.48</v>
      </c>
      <c r="H41" s="64">
        <v>26.21</v>
      </c>
      <c r="I41" s="64">
        <v>0.56000000000000005</v>
      </c>
      <c r="J41" s="64">
        <v>0.17</v>
      </c>
      <c r="K41" s="64">
        <v>31.73</v>
      </c>
      <c r="L41" s="64">
        <v>31.07</v>
      </c>
      <c r="M41" s="64">
        <v>34.61</v>
      </c>
      <c r="N41" s="64">
        <v>226.8</v>
      </c>
      <c r="O41" s="64">
        <v>0</v>
      </c>
      <c r="P41" s="64">
        <v>0.53</v>
      </c>
      <c r="Q41" s="64">
        <v>28.68</v>
      </c>
      <c r="R41" s="198"/>
      <c r="S41" s="198"/>
      <c r="T41" s="198"/>
      <c r="U41" s="198"/>
    </row>
    <row r="42" spans="1:21" s="12" customFormat="1" x14ac:dyDescent="0.25">
      <c r="A42" s="211" t="s">
        <v>2586</v>
      </c>
      <c r="B42" s="64">
        <v>1.33</v>
      </c>
      <c r="C42" s="64">
        <v>30.54</v>
      </c>
      <c r="D42" s="64">
        <v>18.57</v>
      </c>
      <c r="E42" s="64">
        <v>2.34</v>
      </c>
      <c r="F42" s="64">
        <v>8.5299999999999994</v>
      </c>
      <c r="G42" s="64">
        <v>60.48</v>
      </c>
      <c r="H42" s="64">
        <v>26.21</v>
      </c>
      <c r="I42" s="64">
        <v>0.67</v>
      </c>
      <c r="J42" s="64">
        <v>0.12</v>
      </c>
      <c r="K42" s="64">
        <v>15.01</v>
      </c>
      <c r="L42" s="64">
        <v>31.02</v>
      </c>
      <c r="M42" s="64">
        <v>35.15</v>
      </c>
      <c r="N42" s="64">
        <v>181.3</v>
      </c>
      <c r="O42" s="64">
        <v>0</v>
      </c>
      <c r="P42" s="64">
        <v>0.52</v>
      </c>
      <c r="Q42" s="64">
        <v>28.29</v>
      </c>
      <c r="R42" s="198"/>
      <c r="S42" s="198"/>
      <c r="T42" s="198"/>
      <c r="U42" s="198"/>
    </row>
    <row r="43" spans="1:21" s="12" customFormat="1" x14ac:dyDescent="0.25">
      <c r="A43" s="211" t="s">
        <v>2587</v>
      </c>
      <c r="B43" s="64">
        <v>1.54</v>
      </c>
      <c r="C43" s="64">
        <v>31.69</v>
      </c>
      <c r="D43" s="64">
        <v>19.37</v>
      </c>
      <c r="E43" s="64">
        <v>2.2400000000000002</v>
      </c>
      <c r="F43" s="64">
        <v>8.0399999999999991</v>
      </c>
      <c r="G43" s="64">
        <v>62.37</v>
      </c>
      <c r="H43" s="64">
        <v>26.52</v>
      </c>
      <c r="I43" s="64">
        <v>0.55000000000000004</v>
      </c>
      <c r="J43" s="64">
        <v>0.08</v>
      </c>
      <c r="K43" s="64">
        <v>1.1499999999999999</v>
      </c>
      <c r="L43" s="64">
        <v>31.1</v>
      </c>
      <c r="M43" s="64">
        <v>35.19</v>
      </c>
      <c r="N43" s="64">
        <v>304.39999999999998</v>
      </c>
      <c r="O43" s="64">
        <v>0</v>
      </c>
      <c r="P43" s="64">
        <v>0.53</v>
      </c>
      <c r="Q43" s="64">
        <v>27.91</v>
      </c>
      <c r="R43" s="198"/>
      <c r="S43" s="198"/>
      <c r="T43" s="198"/>
      <c r="U43" s="198"/>
    </row>
    <row r="44" spans="1:21" s="12" customFormat="1" x14ac:dyDescent="0.25">
      <c r="A44" s="211" t="s">
        <v>2588</v>
      </c>
      <c r="B44" s="64">
        <v>1.62</v>
      </c>
      <c r="C44" s="64">
        <v>32.979999999999997</v>
      </c>
      <c r="D44" s="64">
        <v>20.149999999999999</v>
      </c>
      <c r="E44" s="64">
        <v>2.5099999999999998</v>
      </c>
      <c r="F44" s="64">
        <v>7.7</v>
      </c>
      <c r="G44" s="64">
        <v>77.45</v>
      </c>
      <c r="H44" s="64">
        <v>28.49</v>
      </c>
      <c r="I44" s="64">
        <v>0.53</v>
      </c>
      <c r="J44" s="64">
        <v>0.1</v>
      </c>
      <c r="K44" s="64">
        <v>25.03</v>
      </c>
      <c r="L44" s="64">
        <v>31</v>
      </c>
      <c r="M44" s="64">
        <v>36.799999999999997</v>
      </c>
      <c r="N44" s="64">
        <v>149.69999999999999</v>
      </c>
      <c r="O44" s="64">
        <v>0.2</v>
      </c>
      <c r="P44" s="64">
        <v>0.56999999999999995</v>
      </c>
      <c r="Q44" s="64">
        <v>27.67</v>
      </c>
      <c r="R44" s="198"/>
      <c r="S44" s="198"/>
      <c r="T44" s="198"/>
      <c r="U44" s="198"/>
    </row>
    <row r="45" spans="1:21" s="12" customFormat="1" x14ac:dyDescent="0.25">
      <c r="A45" s="211" t="s">
        <v>2589</v>
      </c>
      <c r="B45" s="64">
        <v>1.66</v>
      </c>
      <c r="C45" s="64">
        <v>34.49</v>
      </c>
      <c r="D45" s="64">
        <v>21.01</v>
      </c>
      <c r="E45" s="64">
        <v>1.98</v>
      </c>
      <c r="F45" s="64">
        <v>6.91</v>
      </c>
      <c r="G45" s="64">
        <v>77.45</v>
      </c>
      <c r="H45" s="64">
        <v>28.49</v>
      </c>
      <c r="I45" s="64">
        <v>0.56000000000000005</v>
      </c>
      <c r="J45" s="64">
        <v>0.1</v>
      </c>
      <c r="K45" s="64">
        <v>263.12</v>
      </c>
      <c r="L45" s="64">
        <v>26.1</v>
      </c>
      <c r="M45" s="64">
        <v>64.599999999999994</v>
      </c>
      <c r="N45" s="64">
        <v>75.3</v>
      </c>
      <c r="O45" s="64">
        <v>0.6</v>
      </c>
      <c r="P45" s="64">
        <v>0.59</v>
      </c>
      <c r="Q45" s="64">
        <v>27.41</v>
      </c>
      <c r="R45" s="198"/>
      <c r="S45" s="198"/>
      <c r="T45" s="198"/>
      <c r="U45" s="198"/>
    </row>
    <row r="46" spans="1:21" s="12" customFormat="1" x14ac:dyDescent="0.25">
      <c r="A46" s="211" t="s">
        <v>2590</v>
      </c>
      <c r="B46" s="64">
        <v>1.57</v>
      </c>
      <c r="C46" s="64">
        <v>34.99</v>
      </c>
      <c r="D46" s="64">
        <v>21.22</v>
      </c>
      <c r="E46" s="64">
        <v>2.17</v>
      </c>
      <c r="F46" s="64">
        <v>5.97</v>
      </c>
      <c r="G46" s="64">
        <v>77.45</v>
      </c>
      <c r="H46" s="64">
        <v>28.49</v>
      </c>
      <c r="I46" s="64">
        <v>0.5</v>
      </c>
      <c r="J46" s="64">
        <v>0.11</v>
      </c>
      <c r="K46" s="64">
        <v>251.4</v>
      </c>
      <c r="L46" s="64">
        <v>25.17</v>
      </c>
      <c r="M46" s="64">
        <v>67.319999999999993</v>
      </c>
      <c r="N46" s="64">
        <v>134.4</v>
      </c>
      <c r="O46" s="64">
        <v>0.2</v>
      </c>
      <c r="P46" s="64">
        <v>0.61</v>
      </c>
      <c r="Q46" s="64">
        <v>27.47</v>
      </c>
      <c r="R46" s="198"/>
      <c r="S46" s="198"/>
      <c r="T46" s="198"/>
      <c r="U46" s="198"/>
    </row>
    <row r="47" spans="1:21" s="12" customFormat="1" x14ac:dyDescent="0.25">
      <c r="A47" s="211" t="s">
        <v>2591</v>
      </c>
      <c r="B47" s="64">
        <v>2.92</v>
      </c>
      <c r="C47" s="64">
        <v>37.700000000000003</v>
      </c>
      <c r="D47" s="64">
        <v>23.79</v>
      </c>
      <c r="E47" s="64">
        <v>2.4</v>
      </c>
      <c r="F47" s="64">
        <v>23.31</v>
      </c>
      <c r="G47" s="64">
        <v>76.099999999999994</v>
      </c>
      <c r="H47" s="64">
        <v>28.74</v>
      </c>
      <c r="I47" s="64">
        <v>0.51</v>
      </c>
      <c r="J47" s="64">
        <v>0.11</v>
      </c>
      <c r="K47" s="64">
        <v>211.95</v>
      </c>
      <c r="L47" s="64">
        <v>25.81</v>
      </c>
      <c r="M47" s="64">
        <v>66.13</v>
      </c>
      <c r="N47" s="64">
        <v>254.8</v>
      </c>
      <c r="O47" s="64">
        <v>0</v>
      </c>
      <c r="P47" s="64">
        <v>0.76</v>
      </c>
      <c r="Q47" s="64">
        <v>28.03</v>
      </c>
      <c r="R47" s="198"/>
      <c r="S47" s="198"/>
      <c r="T47" s="198"/>
      <c r="U47" s="198"/>
    </row>
    <row r="48" spans="1:21" s="12" customFormat="1" x14ac:dyDescent="0.25">
      <c r="A48" s="211" t="s">
        <v>2592</v>
      </c>
      <c r="B48" s="64">
        <v>4.05</v>
      </c>
      <c r="C48" s="64">
        <v>39.47</v>
      </c>
      <c r="D48" s="64">
        <v>25.68</v>
      </c>
      <c r="E48" s="64">
        <v>2.84</v>
      </c>
      <c r="F48" s="64">
        <v>20.47</v>
      </c>
      <c r="G48" s="64">
        <v>63.94</v>
      </c>
      <c r="H48" s="64">
        <v>30.32</v>
      </c>
      <c r="I48" s="64">
        <v>0.53</v>
      </c>
      <c r="J48" s="64">
        <v>0.19</v>
      </c>
      <c r="K48" s="64">
        <v>210.1</v>
      </c>
      <c r="L48" s="64">
        <v>27.53</v>
      </c>
      <c r="M48" s="64">
        <v>59.02</v>
      </c>
      <c r="N48" s="64">
        <v>407.1</v>
      </c>
      <c r="O48" s="64">
        <v>0</v>
      </c>
      <c r="P48" s="64">
        <v>0.88</v>
      </c>
      <c r="Q48" s="64">
        <v>27.09</v>
      </c>
      <c r="R48" s="198"/>
      <c r="S48" s="198"/>
      <c r="T48" s="198"/>
      <c r="U48" s="198"/>
    </row>
    <row r="49" spans="1:21" s="12" customFormat="1" x14ac:dyDescent="0.25">
      <c r="A49" s="211" t="s">
        <v>2593</v>
      </c>
      <c r="B49" s="64">
        <v>3.25</v>
      </c>
      <c r="C49" s="64">
        <v>34.06</v>
      </c>
      <c r="D49" s="64">
        <v>22.05</v>
      </c>
      <c r="E49" s="64">
        <v>3.33</v>
      </c>
      <c r="F49" s="64">
        <v>23.13</v>
      </c>
      <c r="G49" s="64">
        <v>63.94</v>
      </c>
      <c r="H49" s="64">
        <v>30.32</v>
      </c>
      <c r="I49" s="64">
        <v>0.73</v>
      </c>
      <c r="J49" s="64">
        <v>0.18</v>
      </c>
      <c r="K49" s="64">
        <v>188.23</v>
      </c>
      <c r="L49" s="64">
        <v>29.33</v>
      </c>
      <c r="M49" s="64">
        <v>53.11</v>
      </c>
      <c r="N49" s="64">
        <v>684.2</v>
      </c>
      <c r="O49" s="64">
        <v>0</v>
      </c>
      <c r="P49" s="64">
        <v>0.74</v>
      </c>
      <c r="Q49" s="64">
        <v>27.64</v>
      </c>
      <c r="R49" s="198"/>
      <c r="S49" s="198"/>
      <c r="T49" s="198"/>
      <c r="U49" s="198"/>
    </row>
    <row r="50" spans="1:21" s="12" customFormat="1" x14ac:dyDescent="0.25">
      <c r="A50" s="211" t="s">
        <v>2594</v>
      </c>
      <c r="B50" s="64">
        <v>4.17</v>
      </c>
      <c r="C50" s="64">
        <v>31.14</v>
      </c>
      <c r="D50" s="64">
        <v>21.18</v>
      </c>
      <c r="E50" s="64">
        <v>3.69</v>
      </c>
      <c r="F50" s="64">
        <v>28.61</v>
      </c>
      <c r="G50" s="64">
        <v>63.94</v>
      </c>
      <c r="H50" s="64">
        <v>30.32</v>
      </c>
      <c r="I50" s="64">
        <v>0.63</v>
      </c>
      <c r="J50" s="64">
        <v>0.17</v>
      </c>
      <c r="K50" s="64">
        <v>217.23</v>
      </c>
      <c r="L50" s="64">
        <v>32.15</v>
      </c>
      <c r="M50" s="64">
        <v>45.59</v>
      </c>
      <c r="N50" s="64">
        <v>858.8</v>
      </c>
      <c r="O50" s="64">
        <v>0</v>
      </c>
      <c r="P50" s="64">
        <v>0.75</v>
      </c>
      <c r="Q50" s="64">
        <v>28.03</v>
      </c>
      <c r="R50" s="198"/>
      <c r="S50" s="198"/>
      <c r="T50" s="198"/>
      <c r="U50" s="198"/>
    </row>
    <row r="51" spans="1:21" s="12" customFormat="1" x14ac:dyDescent="0.25">
      <c r="A51" s="211" t="s">
        <v>2595</v>
      </c>
      <c r="B51" s="64">
        <v>1.89</v>
      </c>
      <c r="C51" s="64">
        <v>34.28</v>
      </c>
      <c r="D51" s="64">
        <v>21.08</v>
      </c>
      <c r="E51" s="64">
        <v>0.16</v>
      </c>
      <c r="F51" s="64">
        <v>39.340000000000003</v>
      </c>
      <c r="G51" s="64">
        <v>64.260000000000005</v>
      </c>
      <c r="H51" s="64">
        <v>29.83</v>
      </c>
      <c r="I51" s="64">
        <v>0.54</v>
      </c>
      <c r="J51" s="64">
        <v>0.03</v>
      </c>
      <c r="K51" s="64">
        <v>132.30000000000001</v>
      </c>
      <c r="L51" s="64">
        <v>34.159999999999997</v>
      </c>
      <c r="M51" s="64">
        <v>34.53</v>
      </c>
      <c r="N51" s="64">
        <v>866.4</v>
      </c>
      <c r="O51" s="64">
        <v>0</v>
      </c>
      <c r="P51" s="64">
        <v>0.75</v>
      </c>
      <c r="Q51" s="64">
        <v>27.57</v>
      </c>
      <c r="R51" s="198"/>
      <c r="S51" s="198"/>
      <c r="T51" s="198"/>
      <c r="U51" s="198"/>
    </row>
    <row r="52" spans="1:21" s="12" customFormat="1" x14ac:dyDescent="0.25">
      <c r="A52" s="211" t="s">
        <v>2596</v>
      </c>
      <c r="B52" s="64">
        <v>1.1299999999999999</v>
      </c>
      <c r="C52" s="64">
        <v>36.950000000000003</v>
      </c>
      <c r="D52" s="64">
        <v>21.95</v>
      </c>
      <c r="E52" s="64">
        <v>5.65</v>
      </c>
      <c r="F52" s="64">
        <v>17.47</v>
      </c>
      <c r="G52" s="64">
        <v>66.790000000000006</v>
      </c>
      <c r="H52" s="64">
        <v>26.68</v>
      </c>
      <c r="I52" s="64">
        <v>0.6</v>
      </c>
      <c r="J52" s="64">
        <v>0.12</v>
      </c>
      <c r="K52" s="64">
        <v>293.64</v>
      </c>
      <c r="L52" s="64">
        <v>35.47</v>
      </c>
      <c r="M52" s="64">
        <v>28.58</v>
      </c>
      <c r="N52" s="64">
        <v>886.1</v>
      </c>
      <c r="O52" s="64">
        <v>0</v>
      </c>
      <c r="P52" s="64">
        <v>0.77</v>
      </c>
      <c r="Q52" s="64">
        <v>26.81</v>
      </c>
      <c r="R52" s="198"/>
      <c r="S52" s="198"/>
      <c r="T52" s="198"/>
      <c r="U52" s="198"/>
    </row>
    <row r="53" spans="1:21" s="12" customFormat="1" x14ac:dyDescent="0.25">
      <c r="A53" s="211" t="s">
        <v>2597</v>
      </c>
      <c r="B53" s="64">
        <v>2.38</v>
      </c>
      <c r="C53" s="64">
        <v>38.659999999999997</v>
      </c>
      <c r="D53" s="64">
        <v>23.89</v>
      </c>
      <c r="E53" s="64">
        <v>2.2999999999999998</v>
      </c>
      <c r="F53" s="64">
        <v>12.33</v>
      </c>
      <c r="G53" s="64">
        <v>66.790000000000006</v>
      </c>
      <c r="H53" s="64">
        <v>26.68</v>
      </c>
      <c r="I53" s="64">
        <v>0.74</v>
      </c>
      <c r="J53" s="64">
        <v>0.56000000000000005</v>
      </c>
      <c r="K53" s="64">
        <v>259.25</v>
      </c>
      <c r="L53" s="64">
        <v>36.270000000000003</v>
      </c>
      <c r="M53" s="64">
        <v>27.21</v>
      </c>
      <c r="N53" s="64">
        <v>882.1</v>
      </c>
      <c r="O53" s="64">
        <v>0</v>
      </c>
      <c r="P53" s="64">
        <v>0.78</v>
      </c>
      <c r="Q53" s="64">
        <v>26.38</v>
      </c>
      <c r="R53" s="198"/>
      <c r="S53" s="198"/>
      <c r="T53" s="198"/>
      <c r="U53" s="198"/>
    </row>
    <row r="54" spans="1:21" s="12" customFormat="1" x14ac:dyDescent="0.25">
      <c r="A54" s="211" t="s">
        <v>2598</v>
      </c>
      <c r="B54" s="64">
        <v>1.7</v>
      </c>
      <c r="C54" s="64">
        <v>38.82</v>
      </c>
      <c r="D54" s="64">
        <v>23.43</v>
      </c>
      <c r="E54" s="64">
        <v>1.79</v>
      </c>
      <c r="F54" s="64">
        <v>11.2</v>
      </c>
      <c r="G54" s="64">
        <v>66.790000000000006</v>
      </c>
      <c r="H54" s="64">
        <v>26.68</v>
      </c>
      <c r="I54" s="64">
        <v>0.61</v>
      </c>
      <c r="J54" s="64">
        <v>0.06</v>
      </c>
      <c r="K54" s="64">
        <v>7.04</v>
      </c>
      <c r="L54" s="64">
        <v>36.46</v>
      </c>
      <c r="M54" s="64">
        <v>26.56</v>
      </c>
      <c r="N54" s="64">
        <v>882.4</v>
      </c>
      <c r="O54" s="64">
        <v>0</v>
      </c>
      <c r="P54" s="64">
        <v>0.78</v>
      </c>
      <c r="Q54" s="64">
        <v>25.93</v>
      </c>
      <c r="R54" s="198"/>
      <c r="S54" s="198"/>
      <c r="T54" s="198"/>
      <c r="U54" s="198"/>
    </row>
    <row r="55" spans="1:21" s="12" customFormat="1" x14ac:dyDescent="0.25">
      <c r="A55" s="211" t="s">
        <v>2599</v>
      </c>
      <c r="B55" s="64">
        <v>1.48</v>
      </c>
      <c r="C55" s="64">
        <v>40.200000000000003</v>
      </c>
      <c r="D55" s="64">
        <v>24.02</v>
      </c>
      <c r="E55" s="64">
        <v>0.91</v>
      </c>
      <c r="F55" s="64">
        <v>10.67</v>
      </c>
      <c r="G55" s="64">
        <v>67.97</v>
      </c>
      <c r="H55" s="64">
        <v>27.47</v>
      </c>
      <c r="I55" s="64">
        <v>0.54</v>
      </c>
      <c r="J55" s="64">
        <v>0.42</v>
      </c>
      <c r="K55" s="64">
        <v>263.94</v>
      </c>
      <c r="L55" s="64">
        <v>36.99</v>
      </c>
      <c r="M55" s="64">
        <v>25.46</v>
      </c>
      <c r="N55" s="64">
        <v>885.1</v>
      </c>
      <c r="O55" s="64">
        <v>0</v>
      </c>
      <c r="P55" s="64">
        <v>0.78</v>
      </c>
      <c r="Q55" s="64">
        <v>26.47</v>
      </c>
      <c r="R55" s="198"/>
      <c r="S55" s="198"/>
      <c r="T55" s="198"/>
      <c r="U55" s="198"/>
    </row>
    <row r="56" spans="1:21" s="12" customFormat="1" x14ac:dyDescent="0.25">
      <c r="A56" s="211" t="s">
        <v>2600</v>
      </c>
      <c r="B56" s="64">
        <v>1.17</v>
      </c>
      <c r="C56" s="64">
        <v>38.590000000000003</v>
      </c>
      <c r="D56" s="64">
        <v>22.88</v>
      </c>
      <c r="E56" s="64">
        <v>1.99</v>
      </c>
      <c r="F56" s="64">
        <v>10.97</v>
      </c>
      <c r="G56" s="64">
        <v>78.66</v>
      </c>
      <c r="H56" s="64">
        <v>34.53</v>
      </c>
      <c r="I56" s="64">
        <v>0.61</v>
      </c>
      <c r="J56" s="64">
        <v>0.12</v>
      </c>
      <c r="K56" s="64">
        <v>35.15</v>
      </c>
      <c r="L56" s="64">
        <v>36.43</v>
      </c>
      <c r="M56" s="64">
        <v>24.24</v>
      </c>
      <c r="N56" s="64">
        <v>809.8</v>
      </c>
      <c r="O56" s="64">
        <v>0</v>
      </c>
      <c r="P56" s="64">
        <v>0.76</v>
      </c>
      <c r="Q56" s="64">
        <v>26.71</v>
      </c>
      <c r="R56" s="198"/>
      <c r="S56" s="198"/>
      <c r="T56" s="198"/>
      <c r="U56" s="198"/>
    </row>
    <row r="57" spans="1:21" s="12" customFormat="1" x14ac:dyDescent="0.25">
      <c r="A57" s="211" t="s">
        <v>2601</v>
      </c>
      <c r="B57" s="64">
        <v>1.2</v>
      </c>
      <c r="C57" s="64">
        <v>38.979999999999997</v>
      </c>
      <c r="D57" s="64">
        <v>23.13</v>
      </c>
      <c r="E57" s="64">
        <v>2.66</v>
      </c>
      <c r="F57" s="64">
        <v>10.42</v>
      </c>
      <c r="G57" s="64">
        <v>78.66</v>
      </c>
      <c r="H57" s="64">
        <v>34.53</v>
      </c>
      <c r="I57" s="64">
        <v>0.62</v>
      </c>
      <c r="J57" s="64">
        <v>0.06</v>
      </c>
      <c r="K57" s="64">
        <v>327.63</v>
      </c>
      <c r="L57" s="64">
        <v>36.04</v>
      </c>
      <c r="M57" s="64">
        <v>23.75</v>
      </c>
      <c r="N57" s="64">
        <v>823.7</v>
      </c>
      <c r="O57" s="64">
        <v>0</v>
      </c>
      <c r="P57" s="64">
        <v>0.74</v>
      </c>
      <c r="Q57" s="64">
        <v>26.69</v>
      </c>
      <c r="R57" s="198"/>
      <c r="S57" s="198"/>
      <c r="T57" s="198"/>
      <c r="U57" s="198"/>
    </row>
    <row r="58" spans="1:21" s="12" customFormat="1" x14ac:dyDescent="0.25">
      <c r="A58" s="211" t="s">
        <v>2602</v>
      </c>
      <c r="B58" s="64">
        <v>1.1000000000000001</v>
      </c>
      <c r="C58" s="64">
        <v>38.58</v>
      </c>
      <c r="D58" s="64">
        <v>22.82</v>
      </c>
      <c r="E58" s="64">
        <v>2.91</v>
      </c>
      <c r="F58" s="64">
        <v>23.36</v>
      </c>
      <c r="G58" s="64">
        <v>78.66</v>
      </c>
      <c r="H58" s="64">
        <v>34.53</v>
      </c>
      <c r="I58" s="64">
        <v>0.56999999999999995</v>
      </c>
      <c r="J58" s="64">
        <v>0.06</v>
      </c>
      <c r="K58" s="64">
        <v>263.83</v>
      </c>
      <c r="L58" s="64">
        <v>36.840000000000003</v>
      </c>
      <c r="M58" s="64">
        <v>23.16</v>
      </c>
      <c r="N58" s="64">
        <v>846.5</v>
      </c>
      <c r="O58" s="64">
        <v>0</v>
      </c>
      <c r="P58" s="64">
        <v>0.68</v>
      </c>
      <c r="Q58" s="64">
        <v>26.84</v>
      </c>
      <c r="R58" s="198"/>
      <c r="S58" s="198"/>
      <c r="T58" s="198"/>
      <c r="U58" s="198"/>
    </row>
    <row r="59" spans="1:21" s="12" customFormat="1" x14ac:dyDescent="0.25">
      <c r="A59" s="211" t="s">
        <v>2603</v>
      </c>
      <c r="B59" s="64">
        <v>1.27</v>
      </c>
      <c r="C59" s="64">
        <v>34</v>
      </c>
      <c r="D59" s="64">
        <v>20.43</v>
      </c>
      <c r="E59" s="64">
        <v>3.08</v>
      </c>
      <c r="F59" s="64">
        <v>23.13</v>
      </c>
      <c r="G59" s="64">
        <v>76.790000000000006</v>
      </c>
      <c r="H59" s="64">
        <v>33.49</v>
      </c>
      <c r="I59" s="64">
        <v>0.52</v>
      </c>
      <c r="J59" s="64">
        <v>0.1</v>
      </c>
      <c r="K59" s="64">
        <v>341.83</v>
      </c>
      <c r="L59" s="64">
        <v>37.07</v>
      </c>
      <c r="M59" s="64">
        <v>22.42</v>
      </c>
      <c r="N59" s="64">
        <v>866.6</v>
      </c>
      <c r="O59" s="64">
        <v>0</v>
      </c>
      <c r="P59" s="64">
        <v>0.64</v>
      </c>
      <c r="Q59" s="64">
        <v>27.51</v>
      </c>
      <c r="R59" s="198"/>
      <c r="S59" s="198"/>
      <c r="T59" s="198"/>
      <c r="U59" s="198"/>
    </row>
    <row r="60" spans="1:21" s="12" customFormat="1" x14ac:dyDescent="0.25">
      <c r="A60" s="211" t="s">
        <v>2604</v>
      </c>
      <c r="B60" s="64">
        <v>3.66</v>
      </c>
      <c r="C60" s="64">
        <v>39.08</v>
      </c>
      <c r="D60" s="64">
        <v>25.15</v>
      </c>
      <c r="E60" s="64">
        <v>3.06</v>
      </c>
      <c r="F60" s="64">
        <v>22.46</v>
      </c>
      <c r="G60" s="64">
        <v>61.77</v>
      </c>
      <c r="H60" s="64">
        <v>26.78</v>
      </c>
      <c r="I60" s="64">
        <v>0.52</v>
      </c>
      <c r="J60" s="64">
        <v>0.28000000000000003</v>
      </c>
      <c r="K60" s="64">
        <v>273.55</v>
      </c>
      <c r="L60" s="64">
        <v>37.75</v>
      </c>
      <c r="M60" s="64">
        <v>22.57</v>
      </c>
      <c r="N60" s="64">
        <v>837.7</v>
      </c>
      <c r="O60" s="64">
        <v>0</v>
      </c>
      <c r="P60" s="64">
        <v>0.67</v>
      </c>
      <c r="Q60" s="64">
        <v>26.71</v>
      </c>
      <c r="R60" s="198"/>
      <c r="S60" s="198"/>
      <c r="T60" s="198"/>
      <c r="U60" s="198"/>
    </row>
    <row r="61" spans="1:21" s="12" customFormat="1" x14ac:dyDescent="0.25">
      <c r="A61" s="211" t="s">
        <v>2605</v>
      </c>
      <c r="B61" s="64">
        <v>2.71</v>
      </c>
      <c r="C61" s="64">
        <v>39.65</v>
      </c>
      <c r="D61" s="64">
        <v>24.7</v>
      </c>
      <c r="E61" s="64">
        <v>2.72</v>
      </c>
      <c r="F61" s="64">
        <v>11.64</v>
      </c>
      <c r="G61" s="64">
        <v>61.77</v>
      </c>
      <c r="H61" s="64">
        <v>26.78</v>
      </c>
      <c r="I61" s="64">
        <v>0.52</v>
      </c>
      <c r="J61" s="64">
        <v>0.2</v>
      </c>
      <c r="K61" s="64">
        <v>277.33999999999997</v>
      </c>
      <c r="L61" s="64">
        <v>38.18</v>
      </c>
      <c r="M61" s="64">
        <v>20.9</v>
      </c>
      <c r="N61" s="64">
        <v>804.4</v>
      </c>
      <c r="O61" s="64">
        <v>0</v>
      </c>
      <c r="P61" s="64">
        <v>0.61</v>
      </c>
      <c r="Q61" s="64">
        <v>26.39</v>
      </c>
      <c r="R61" s="198"/>
      <c r="S61" s="198"/>
      <c r="T61" s="198"/>
      <c r="U61" s="198"/>
    </row>
    <row r="62" spans="1:21" s="12" customFormat="1" x14ac:dyDescent="0.25">
      <c r="A62" s="211" t="s">
        <v>2606</v>
      </c>
      <c r="B62" s="64">
        <v>1.86</v>
      </c>
      <c r="C62" s="64">
        <v>35.56</v>
      </c>
      <c r="D62" s="64">
        <v>21.76</v>
      </c>
      <c r="E62" s="64">
        <v>2.48</v>
      </c>
      <c r="F62" s="64">
        <v>13.08</v>
      </c>
      <c r="G62" s="64">
        <v>61.77</v>
      </c>
      <c r="H62" s="64">
        <v>26.78</v>
      </c>
      <c r="I62" s="64">
        <v>0.52</v>
      </c>
      <c r="J62" s="64">
        <v>0.11</v>
      </c>
      <c r="K62" s="64">
        <v>17.88</v>
      </c>
      <c r="L62" s="64">
        <v>37.65</v>
      </c>
      <c r="M62" s="64">
        <v>20.49</v>
      </c>
      <c r="N62" s="214" t="s">
        <v>42</v>
      </c>
      <c r="O62" s="64">
        <v>0</v>
      </c>
      <c r="P62" s="64">
        <v>0.61</v>
      </c>
      <c r="Q62" s="64">
        <v>26.37</v>
      </c>
      <c r="R62" s="198"/>
      <c r="S62" s="198"/>
      <c r="T62" s="198"/>
      <c r="U62" s="198"/>
    </row>
    <row r="63" spans="1:21" s="12" customFormat="1" x14ac:dyDescent="0.25">
      <c r="A63" s="211" t="s">
        <v>2607</v>
      </c>
      <c r="B63" s="64">
        <v>1.4</v>
      </c>
      <c r="C63" s="64">
        <v>34.78</v>
      </c>
      <c r="D63" s="64">
        <v>20.96</v>
      </c>
      <c r="E63" s="64">
        <v>2.33</v>
      </c>
      <c r="F63" s="64">
        <v>11.68</v>
      </c>
      <c r="G63" s="64">
        <v>61.78</v>
      </c>
      <c r="H63" s="64">
        <v>27.23</v>
      </c>
      <c r="I63" s="64">
        <v>0.52</v>
      </c>
      <c r="J63" s="64">
        <v>0.05</v>
      </c>
      <c r="K63" s="64">
        <v>342.67</v>
      </c>
      <c r="L63" s="64">
        <v>37.97</v>
      </c>
      <c r="M63" s="64">
        <v>19.739999999999998</v>
      </c>
      <c r="N63" s="214" t="s">
        <v>42</v>
      </c>
      <c r="O63" s="64">
        <v>0</v>
      </c>
      <c r="P63" s="64">
        <v>0.59</v>
      </c>
      <c r="Q63" s="64">
        <v>25.87</v>
      </c>
      <c r="R63" s="198"/>
      <c r="S63" s="198"/>
      <c r="T63" s="198"/>
      <c r="U63" s="198"/>
    </row>
    <row r="64" spans="1:21" s="12" customFormat="1" x14ac:dyDescent="0.25">
      <c r="A64" s="211" t="s">
        <v>2608</v>
      </c>
      <c r="B64" s="64">
        <v>1.19</v>
      </c>
      <c r="C64" s="64">
        <v>33.92</v>
      </c>
      <c r="D64" s="64">
        <v>20.32</v>
      </c>
      <c r="E64" s="64">
        <v>2.21</v>
      </c>
      <c r="F64" s="64">
        <v>15.13</v>
      </c>
      <c r="G64" s="64">
        <v>61.8</v>
      </c>
      <c r="H64" s="64">
        <v>30.16</v>
      </c>
      <c r="I64" s="64">
        <v>0.61</v>
      </c>
      <c r="J64" s="64">
        <v>0.1</v>
      </c>
      <c r="K64" s="64">
        <v>306.23</v>
      </c>
      <c r="L64" s="64">
        <v>38.25</v>
      </c>
      <c r="M64" s="64">
        <v>19.32</v>
      </c>
      <c r="N64" s="214" t="s">
        <v>42</v>
      </c>
      <c r="O64" s="64">
        <v>0</v>
      </c>
      <c r="P64" s="64">
        <v>0.57999999999999996</v>
      </c>
      <c r="Q64" s="64">
        <v>25.28</v>
      </c>
      <c r="R64" s="198"/>
      <c r="S64" s="198"/>
      <c r="T64" s="198"/>
      <c r="U64" s="198"/>
    </row>
    <row r="65" spans="1:21" s="12" customFormat="1" x14ac:dyDescent="0.25">
      <c r="A65" s="211" t="s">
        <v>2609</v>
      </c>
      <c r="B65" s="64">
        <v>1.1499999999999999</v>
      </c>
      <c r="C65" s="64">
        <v>34.49</v>
      </c>
      <c r="D65" s="64">
        <v>20.6</v>
      </c>
      <c r="E65" s="64">
        <v>1.97</v>
      </c>
      <c r="F65" s="64">
        <v>13.13</v>
      </c>
      <c r="G65" s="64">
        <v>61.8</v>
      </c>
      <c r="H65" s="64">
        <v>30.16</v>
      </c>
      <c r="I65" s="64">
        <v>0.68</v>
      </c>
      <c r="J65" s="64">
        <v>0.09</v>
      </c>
      <c r="K65" s="64">
        <v>351.77</v>
      </c>
      <c r="L65" s="64">
        <v>38.159999999999997</v>
      </c>
      <c r="M65" s="64">
        <v>19.16</v>
      </c>
      <c r="N65" s="214" t="s">
        <v>42</v>
      </c>
      <c r="O65" s="64">
        <v>0</v>
      </c>
      <c r="P65" s="64">
        <v>0.56999999999999995</v>
      </c>
      <c r="Q65" s="64">
        <v>25.27</v>
      </c>
      <c r="R65" s="198"/>
      <c r="S65" s="198"/>
      <c r="T65" s="198"/>
      <c r="U65" s="198"/>
    </row>
    <row r="66" spans="1:21" s="12" customFormat="1" x14ac:dyDescent="0.25">
      <c r="A66" s="211" t="s">
        <v>2610</v>
      </c>
      <c r="B66" s="64">
        <v>1.1599999999999999</v>
      </c>
      <c r="C66" s="64">
        <v>34.4</v>
      </c>
      <c r="D66" s="64">
        <v>20.57</v>
      </c>
      <c r="E66" s="64">
        <v>0.86</v>
      </c>
      <c r="F66" s="64">
        <v>11.39</v>
      </c>
      <c r="G66" s="64">
        <v>61.8</v>
      </c>
      <c r="H66" s="64">
        <v>30.16</v>
      </c>
      <c r="I66" s="64">
        <v>0.6</v>
      </c>
      <c r="J66" s="64">
        <v>0.26</v>
      </c>
      <c r="K66" s="64">
        <v>272.14999999999998</v>
      </c>
      <c r="L66" s="64">
        <v>38.22</v>
      </c>
      <c r="M66" s="64">
        <v>18.79</v>
      </c>
      <c r="N66" s="214" t="s">
        <v>42</v>
      </c>
      <c r="O66" s="64">
        <v>0</v>
      </c>
      <c r="P66" s="64">
        <v>0.55000000000000004</v>
      </c>
      <c r="Q66" s="64">
        <v>25.55</v>
      </c>
      <c r="R66" s="198"/>
      <c r="S66" s="198"/>
      <c r="T66" s="198"/>
      <c r="U66" s="198"/>
    </row>
    <row r="67" spans="1:21" s="12" customFormat="1" x14ac:dyDescent="0.25">
      <c r="A67" s="211" t="s">
        <v>2611</v>
      </c>
      <c r="B67" s="64">
        <v>1.21</v>
      </c>
      <c r="C67" s="64">
        <v>34.44</v>
      </c>
      <c r="D67" s="64">
        <v>20.63</v>
      </c>
      <c r="E67" s="64">
        <v>2.0499999999999998</v>
      </c>
      <c r="F67" s="64">
        <v>11.01</v>
      </c>
      <c r="G67" s="64">
        <v>60.11</v>
      </c>
      <c r="H67" s="64">
        <v>29.85</v>
      </c>
      <c r="I67" s="64">
        <v>0.62</v>
      </c>
      <c r="J67" s="64">
        <v>0.3</v>
      </c>
      <c r="K67" s="64">
        <v>269.63</v>
      </c>
      <c r="L67" s="64">
        <v>37.83</v>
      </c>
      <c r="M67" s="64">
        <v>18.28</v>
      </c>
      <c r="N67" s="214" t="s">
        <v>42</v>
      </c>
      <c r="O67" s="64">
        <v>0</v>
      </c>
      <c r="P67" s="64">
        <v>0.54</v>
      </c>
      <c r="Q67" s="64">
        <v>25.83</v>
      </c>
      <c r="R67" s="198"/>
      <c r="S67" s="198"/>
      <c r="T67" s="198"/>
      <c r="U67" s="198"/>
    </row>
    <row r="68" spans="1:21" s="12" customFormat="1" x14ac:dyDescent="0.25">
      <c r="A68" s="211" t="s">
        <v>2612</v>
      </c>
      <c r="B68" s="64">
        <v>1.04</v>
      </c>
      <c r="C68" s="64">
        <v>33.950000000000003</v>
      </c>
      <c r="D68" s="64">
        <v>20.21</v>
      </c>
      <c r="E68" s="64">
        <v>2.4900000000000002</v>
      </c>
      <c r="F68" s="64">
        <v>12.69</v>
      </c>
      <c r="G68" s="64">
        <v>44.97</v>
      </c>
      <c r="H68" s="64">
        <v>27.41</v>
      </c>
      <c r="I68" s="64">
        <v>0.59</v>
      </c>
      <c r="J68" s="64">
        <v>0.14000000000000001</v>
      </c>
      <c r="K68" s="64">
        <v>23.29</v>
      </c>
      <c r="L68" s="64">
        <v>37.31</v>
      </c>
      <c r="M68" s="64">
        <v>17.98</v>
      </c>
      <c r="N68" s="214" t="s">
        <v>42</v>
      </c>
      <c r="O68" s="64">
        <v>0</v>
      </c>
      <c r="P68" s="64">
        <v>0.5</v>
      </c>
      <c r="Q68" s="64">
        <v>25.68</v>
      </c>
      <c r="R68" s="198"/>
      <c r="S68" s="198"/>
      <c r="T68" s="198"/>
      <c r="U68" s="198"/>
    </row>
    <row r="69" spans="1:21" s="12" customFormat="1" x14ac:dyDescent="0.25">
      <c r="A69" s="211" t="s">
        <v>2613</v>
      </c>
      <c r="B69" s="64">
        <v>1.02</v>
      </c>
      <c r="C69" s="64">
        <v>33.07</v>
      </c>
      <c r="D69" s="64">
        <v>19.72</v>
      </c>
      <c r="E69" s="64">
        <v>2.0099999999999998</v>
      </c>
      <c r="F69" s="64">
        <v>12</v>
      </c>
      <c r="G69" s="64">
        <v>44.97</v>
      </c>
      <c r="H69" s="64">
        <v>27.41</v>
      </c>
      <c r="I69" s="64">
        <v>0.54</v>
      </c>
      <c r="J69" s="64">
        <v>0.21</v>
      </c>
      <c r="K69" s="64">
        <v>290.08999999999997</v>
      </c>
      <c r="L69" s="64">
        <v>37.58</v>
      </c>
      <c r="M69" s="64">
        <v>17.34</v>
      </c>
      <c r="N69" s="214" t="s">
        <v>42</v>
      </c>
      <c r="O69" s="64">
        <v>0</v>
      </c>
      <c r="P69" s="64">
        <v>0.46</v>
      </c>
      <c r="Q69" s="64">
        <v>25.08</v>
      </c>
      <c r="R69" s="198"/>
      <c r="S69" s="198"/>
      <c r="T69" s="198"/>
      <c r="U69" s="198"/>
    </row>
    <row r="70" spans="1:21" s="12" customFormat="1" x14ac:dyDescent="0.25">
      <c r="A70" s="211" t="s">
        <v>2614</v>
      </c>
      <c r="B70" s="64">
        <v>1.92</v>
      </c>
      <c r="C70" s="64">
        <v>31.31</v>
      </c>
      <c r="D70" s="64">
        <v>19.46</v>
      </c>
      <c r="E70" s="64">
        <v>1.57</v>
      </c>
      <c r="F70" s="64">
        <v>12.21</v>
      </c>
      <c r="G70" s="64">
        <v>44.97</v>
      </c>
      <c r="H70" s="64">
        <v>27.41</v>
      </c>
      <c r="I70" s="64">
        <v>0.53</v>
      </c>
      <c r="J70" s="64">
        <v>0.09</v>
      </c>
      <c r="K70" s="64">
        <v>16</v>
      </c>
      <c r="L70" s="64">
        <v>37.06</v>
      </c>
      <c r="M70" s="64">
        <v>17.23</v>
      </c>
      <c r="N70" s="214" t="s">
        <v>42</v>
      </c>
      <c r="O70" s="64">
        <v>0</v>
      </c>
      <c r="P70" s="64">
        <v>0.44</v>
      </c>
      <c r="Q70" s="64">
        <v>25.7</v>
      </c>
      <c r="R70" s="198"/>
      <c r="S70" s="198"/>
      <c r="T70" s="198"/>
      <c r="U70" s="198"/>
    </row>
    <row r="71" spans="1:21" s="12" customFormat="1" x14ac:dyDescent="0.25">
      <c r="A71" s="211" t="s">
        <v>2615</v>
      </c>
      <c r="B71" s="64">
        <v>2.8</v>
      </c>
      <c r="C71" s="64">
        <v>29.38</v>
      </c>
      <c r="D71" s="64">
        <v>19.11</v>
      </c>
      <c r="E71" s="64">
        <v>1.27</v>
      </c>
      <c r="F71" s="64">
        <v>13.2</v>
      </c>
      <c r="G71" s="64">
        <v>45.99</v>
      </c>
      <c r="H71" s="64">
        <v>26.67</v>
      </c>
      <c r="I71" s="64">
        <v>0.57999999999999996</v>
      </c>
      <c r="J71" s="64">
        <v>0.17</v>
      </c>
      <c r="K71" s="64">
        <v>286.83</v>
      </c>
      <c r="L71" s="64">
        <v>37.01</v>
      </c>
      <c r="M71" s="64">
        <v>18.34</v>
      </c>
      <c r="N71" s="214" t="s">
        <v>42</v>
      </c>
      <c r="O71" s="64">
        <v>0</v>
      </c>
      <c r="P71" s="64">
        <v>0.41</v>
      </c>
      <c r="Q71" s="64">
        <v>26.13</v>
      </c>
      <c r="R71" s="198"/>
      <c r="S71" s="198"/>
      <c r="T71" s="198"/>
      <c r="U71" s="198"/>
    </row>
    <row r="72" spans="1:21" s="12" customFormat="1" x14ac:dyDescent="0.25">
      <c r="A72" s="211" t="s">
        <v>2616</v>
      </c>
      <c r="B72" s="64">
        <v>1.88</v>
      </c>
      <c r="C72" s="64">
        <v>30.76</v>
      </c>
      <c r="D72" s="64">
        <v>19.13</v>
      </c>
      <c r="E72" s="64">
        <v>0.98</v>
      </c>
      <c r="F72" s="64">
        <v>15.8</v>
      </c>
      <c r="G72" s="64">
        <v>54.12</v>
      </c>
      <c r="H72" s="64">
        <v>21.91</v>
      </c>
      <c r="I72" s="64">
        <v>0.5</v>
      </c>
      <c r="J72" s="64">
        <v>0.14000000000000001</v>
      </c>
      <c r="K72" s="64">
        <v>296.45999999999998</v>
      </c>
      <c r="L72" s="64">
        <v>36.700000000000003</v>
      </c>
      <c r="M72" s="64">
        <v>18.72</v>
      </c>
      <c r="N72" s="214" t="s">
        <v>42</v>
      </c>
      <c r="O72" s="64">
        <v>0</v>
      </c>
      <c r="P72" s="64">
        <v>0.39</v>
      </c>
      <c r="Q72" s="64">
        <v>25.16</v>
      </c>
      <c r="R72" s="198"/>
      <c r="S72" s="198"/>
      <c r="T72" s="198"/>
      <c r="U72" s="198"/>
    </row>
    <row r="73" spans="1:21" s="12" customFormat="1" x14ac:dyDescent="0.25">
      <c r="A73" s="211" t="s">
        <v>2617</v>
      </c>
      <c r="B73" s="64">
        <v>1.77</v>
      </c>
      <c r="C73" s="64">
        <v>30.87</v>
      </c>
      <c r="D73" s="64">
        <v>19.100000000000001</v>
      </c>
      <c r="E73" s="64">
        <v>1.81</v>
      </c>
      <c r="F73" s="64">
        <v>25.14</v>
      </c>
      <c r="G73" s="64">
        <v>54.12</v>
      </c>
      <c r="H73" s="64">
        <v>21.91</v>
      </c>
      <c r="I73" s="64">
        <v>0.51</v>
      </c>
      <c r="J73" s="64">
        <v>0.28000000000000003</v>
      </c>
      <c r="K73" s="64">
        <v>264.54000000000002</v>
      </c>
      <c r="L73" s="64">
        <v>36.5</v>
      </c>
      <c r="M73" s="64">
        <v>19.62</v>
      </c>
      <c r="N73" s="214" t="s">
        <v>42</v>
      </c>
      <c r="O73" s="64">
        <v>0</v>
      </c>
      <c r="P73" s="64">
        <v>0.36</v>
      </c>
      <c r="Q73" s="64">
        <v>24.4</v>
      </c>
      <c r="R73" s="198"/>
      <c r="S73" s="198"/>
      <c r="T73" s="198"/>
      <c r="U73" s="198"/>
    </row>
    <row r="74" spans="1:21" s="12" customFormat="1" x14ac:dyDescent="0.25">
      <c r="A74" s="211" t="s">
        <v>2618</v>
      </c>
      <c r="B74" s="64">
        <v>1.72</v>
      </c>
      <c r="C74" s="64">
        <v>31.38</v>
      </c>
      <c r="D74" s="64">
        <v>19.34</v>
      </c>
      <c r="E74" s="64">
        <v>1.58</v>
      </c>
      <c r="F74" s="64">
        <v>25.37</v>
      </c>
      <c r="G74" s="64">
        <v>54.12</v>
      </c>
      <c r="H74" s="64">
        <v>21.91</v>
      </c>
      <c r="I74" s="64">
        <v>0.52</v>
      </c>
      <c r="J74" s="64">
        <v>0.11</v>
      </c>
      <c r="K74" s="64">
        <v>42.19</v>
      </c>
      <c r="L74" s="64">
        <v>36.22</v>
      </c>
      <c r="M74" s="64">
        <v>20.65</v>
      </c>
      <c r="N74" s="214" t="s">
        <v>42</v>
      </c>
      <c r="O74" s="64">
        <v>0</v>
      </c>
      <c r="P74" s="64">
        <v>0.38</v>
      </c>
      <c r="Q74" s="64">
        <v>23.98</v>
      </c>
      <c r="R74" s="198"/>
      <c r="S74" s="198"/>
      <c r="T74" s="198"/>
      <c r="U74" s="198"/>
    </row>
    <row r="75" spans="1:21" s="12" customFormat="1" x14ac:dyDescent="0.25">
      <c r="A75" s="211" t="s">
        <v>2619</v>
      </c>
      <c r="B75" s="64">
        <v>1.3</v>
      </c>
      <c r="C75" s="64">
        <v>32.74</v>
      </c>
      <c r="D75" s="64">
        <v>19.75</v>
      </c>
      <c r="E75" s="64">
        <v>1.63</v>
      </c>
      <c r="F75" s="64">
        <v>20.29</v>
      </c>
      <c r="G75" s="64">
        <v>53.2</v>
      </c>
      <c r="H75" s="64">
        <v>21.82</v>
      </c>
      <c r="I75" s="64">
        <v>0.87</v>
      </c>
      <c r="J75" s="64">
        <v>0.52</v>
      </c>
      <c r="K75" s="64">
        <v>257.95</v>
      </c>
      <c r="L75" s="64">
        <v>35.92</v>
      </c>
      <c r="M75" s="64">
        <v>21.75</v>
      </c>
      <c r="N75" s="214" t="s">
        <v>42</v>
      </c>
      <c r="O75" s="64">
        <v>0</v>
      </c>
      <c r="P75" s="64">
        <v>0.42</v>
      </c>
      <c r="Q75" s="64">
        <v>23.04</v>
      </c>
      <c r="R75" s="198"/>
      <c r="S75" s="198"/>
      <c r="T75" s="198"/>
      <c r="U75" s="198"/>
    </row>
    <row r="76" spans="1:21" s="12" customFormat="1" x14ac:dyDescent="0.25">
      <c r="A76" s="211" t="s">
        <v>2620</v>
      </c>
      <c r="B76" s="64">
        <v>1.07</v>
      </c>
      <c r="C76" s="64">
        <v>32.93</v>
      </c>
      <c r="D76" s="64">
        <v>19.68</v>
      </c>
      <c r="E76" s="64">
        <v>1.65</v>
      </c>
      <c r="F76" s="64">
        <v>16.59</v>
      </c>
      <c r="G76" s="64">
        <v>44.89</v>
      </c>
      <c r="H76" s="64">
        <v>21.25</v>
      </c>
      <c r="I76" s="64">
        <v>0.48</v>
      </c>
      <c r="J76" s="64">
        <v>1.0900000000000001</v>
      </c>
      <c r="K76" s="64">
        <v>257.3</v>
      </c>
      <c r="L76" s="64">
        <v>35.770000000000003</v>
      </c>
      <c r="M76" s="64">
        <v>21.65</v>
      </c>
      <c r="N76" s="214" t="s">
        <v>42</v>
      </c>
      <c r="O76" s="64">
        <v>0</v>
      </c>
      <c r="P76" s="64">
        <v>0.41</v>
      </c>
      <c r="Q76" s="64">
        <v>23.57</v>
      </c>
      <c r="R76" s="198"/>
      <c r="S76" s="198"/>
      <c r="T76" s="198"/>
      <c r="U76" s="198"/>
    </row>
    <row r="77" spans="1:21" s="12" customFormat="1" x14ac:dyDescent="0.25">
      <c r="A77" s="211" t="s">
        <v>2621</v>
      </c>
      <c r="B77" s="64">
        <v>1</v>
      </c>
      <c r="C77" s="64">
        <v>32.07</v>
      </c>
      <c r="D77" s="64">
        <v>19.149999999999999</v>
      </c>
      <c r="E77" s="64">
        <v>1.31</v>
      </c>
      <c r="F77" s="64">
        <v>15.22</v>
      </c>
      <c r="G77" s="64">
        <v>44.89</v>
      </c>
      <c r="H77" s="64">
        <v>21.25</v>
      </c>
      <c r="I77" s="64">
        <v>0.48</v>
      </c>
      <c r="J77" s="64">
        <v>0.24</v>
      </c>
      <c r="K77" s="64">
        <v>266.52999999999997</v>
      </c>
      <c r="L77" s="64">
        <v>35.61</v>
      </c>
      <c r="M77" s="64">
        <v>21.97</v>
      </c>
      <c r="N77" s="214" t="s">
        <v>42</v>
      </c>
      <c r="O77" s="64">
        <v>0</v>
      </c>
      <c r="P77" s="64">
        <v>0.4</v>
      </c>
      <c r="Q77" s="64">
        <v>24.08</v>
      </c>
      <c r="R77" s="198"/>
      <c r="S77" s="198"/>
      <c r="T77" s="198"/>
      <c r="U77" s="198"/>
    </row>
    <row r="78" spans="1:21" s="12" customFormat="1" x14ac:dyDescent="0.25">
      <c r="A78" s="211" t="s">
        <v>2622</v>
      </c>
      <c r="B78" s="64">
        <v>1.24</v>
      </c>
      <c r="C78" s="64">
        <v>32.46</v>
      </c>
      <c r="D78" s="64">
        <v>19.559999999999999</v>
      </c>
      <c r="E78" s="64">
        <v>1.67</v>
      </c>
      <c r="F78" s="64">
        <v>13.98</v>
      </c>
      <c r="G78" s="64">
        <v>44.89</v>
      </c>
      <c r="H78" s="64">
        <v>21.25</v>
      </c>
      <c r="I78" s="64">
        <v>0.63</v>
      </c>
      <c r="J78" s="64">
        <v>0.24</v>
      </c>
      <c r="K78" s="64">
        <v>275.17</v>
      </c>
      <c r="L78" s="64">
        <v>35.479999999999997</v>
      </c>
      <c r="M78" s="64">
        <v>22.29</v>
      </c>
      <c r="N78" s="214" t="s">
        <v>42</v>
      </c>
      <c r="O78" s="64">
        <v>0</v>
      </c>
      <c r="P78" s="64">
        <v>0.41</v>
      </c>
      <c r="Q78" s="64">
        <v>24.42</v>
      </c>
      <c r="R78" s="198"/>
      <c r="S78" s="198"/>
      <c r="T78" s="198"/>
      <c r="U78" s="198"/>
    </row>
    <row r="79" spans="1:21" s="12" customFormat="1" x14ac:dyDescent="0.25">
      <c r="A79" s="211" t="s">
        <v>2623</v>
      </c>
      <c r="B79" s="64">
        <v>2.3199999999999998</v>
      </c>
      <c r="C79" s="64">
        <v>35.25</v>
      </c>
      <c r="D79" s="64">
        <v>21.96</v>
      </c>
      <c r="E79" s="64">
        <v>1.36</v>
      </c>
      <c r="F79" s="64">
        <v>12.69</v>
      </c>
      <c r="G79" s="64">
        <v>45.47</v>
      </c>
      <c r="H79" s="64">
        <v>21.52</v>
      </c>
      <c r="I79" s="64">
        <v>0.52</v>
      </c>
      <c r="J79" s="64">
        <v>0.23</v>
      </c>
      <c r="K79" s="64">
        <v>262.83</v>
      </c>
      <c r="L79" s="64">
        <v>35.31</v>
      </c>
      <c r="M79" s="64">
        <v>21.42</v>
      </c>
      <c r="N79" s="64">
        <v>12.5</v>
      </c>
      <c r="O79" s="64">
        <v>0</v>
      </c>
      <c r="P79" s="64">
        <v>0.44</v>
      </c>
      <c r="Q79" s="64">
        <v>24.67</v>
      </c>
      <c r="R79" s="198"/>
      <c r="S79" s="198"/>
      <c r="T79" s="198"/>
      <c r="U79" s="198"/>
    </row>
    <row r="80" spans="1:21" s="12" customFormat="1" x14ac:dyDescent="0.25">
      <c r="A80" s="211" t="s">
        <v>2624</v>
      </c>
      <c r="B80" s="64">
        <v>1.64</v>
      </c>
      <c r="C80" s="64">
        <v>34.4</v>
      </c>
      <c r="D80" s="64">
        <v>20.94</v>
      </c>
      <c r="E80" s="64">
        <v>1.5</v>
      </c>
      <c r="F80" s="64">
        <v>10.25</v>
      </c>
      <c r="G80" s="64">
        <v>50.08</v>
      </c>
      <c r="H80" s="64">
        <v>23.25</v>
      </c>
      <c r="I80" s="64">
        <v>0.49</v>
      </c>
      <c r="J80" s="64">
        <v>0.54</v>
      </c>
      <c r="K80" s="64">
        <v>258.39999999999998</v>
      </c>
      <c r="L80" s="64">
        <v>34.81</v>
      </c>
      <c r="M80" s="64">
        <v>22.09</v>
      </c>
      <c r="N80" s="64">
        <v>3.5</v>
      </c>
      <c r="O80" s="64">
        <v>0</v>
      </c>
      <c r="P80" s="64">
        <v>0.45</v>
      </c>
      <c r="Q80" s="64">
        <v>24.77</v>
      </c>
      <c r="R80" s="198"/>
      <c r="S80" s="198"/>
      <c r="T80" s="198"/>
      <c r="U80" s="198"/>
    </row>
    <row r="81" spans="1:26" s="12" customFormat="1" x14ac:dyDescent="0.25">
      <c r="A81" s="211" t="s">
        <v>2625</v>
      </c>
      <c r="B81" s="64">
        <v>1.56</v>
      </c>
      <c r="C81" s="64">
        <v>34.57</v>
      </c>
      <c r="D81" s="64">
        <v>20.98</v>
      </c>
      <c r="E81" s="64">
        <v>1.28</v>
      </c>
      <c r="F81" s="64">
        <v>10.74</v>
      </c>
      <c r="G81" s="64">
        <v>50.08</v>
      </c>
      <c r="H81" s="64">
        <v>23.25</v>
      </c>
      <c r="I81" s="64">
        <v>0.5</v>
      </c>
      <c r="J81" s="64">
        <v>0.39</v>
      </c>
      <c r="K81" s="64">
        <v>266.02</v>
      </c>
      <c r="L81" s="64">
        <v>34.68</v>
      </c>
      <c r="M81" s="64">
        <v>20.23</v>
      </c>
      <c r="N81" s="214" t="s">
        <v>42</v>
      </c>
      <c r="O81" s="64">
        <v>0</v>
      </c>
      <c r="P81" s="64">
        <v>0.46</v>
      </c>
      <c r="Q81" s="64">
        <v>24.61</v>
      </c>
      <c r="R81" s="198"/>
      <c r="S81" s="198"/>
      <c r="T81" s="198"/>
      <c r="U81" s="198"/>
    </row>
    <row r="82" spans="1:26" s="12" customFormat="1" x14ac:dyDescent="0.25">
      <c r="A82" s="211" t="s">
        <v>2626</v>
      </c>
      <c r="B82" s="64">
        <v>1.7</v>
      </c>
      <c r="C82" s="64">
        <v>33.700000000000003</v>
      </c>
      <c r="D82" s="64">
        <v>20.6</v>
      </c>
      <c r="E82" s="64">
        <v>1.31</v>
      </c>
      <c r="F82" s="64">
        <v>14.69</v>
      </c>
      <c r="G82" s="64">
        <v>50.08</v>
      </c>
      <c r="H82" s="64">
        <v>23.25</v>
      </c>
      <c r="I82" s="64">
        <v>0.52</v>
      </c>
      <c r="J82" s="64">
        <v>0.11</v>
      </c>
      <c r="K82" s="64">
        <v>283.49</v>
      </c>
      <c r="L82" s="64">
        <v>34.43</v>
      </c>
      <c r="M82" s="64">
        <v>20.14</v>
      </c>
      <c r="N82" s="214" t="s">
        <v>42</v>
      </c>
      <c r="O82" s="64">
        <v>0</v>
      </c>
      <c r="P82" s="64">
        <v>0.47</v>
      </c>
      <c r="Q82" s="64">
        <v>24.71</v>
      </c>
      <c r="R82" s="198"/>
      <c r="S82" s="198"/>
      <c r="T82" s="198"/>
      <c r="U82" s="198"/>
    </row>
    <row r="83" spans="1:26" s="12" customFormat="1" x14ac:dyDescent="0.25">
      <c r="A83" s="211" t="s">
        <v>2627</v>
      </c>
      <c r="B83" s="64">
        <v>3.61</v>
      </c>
      <c r="C83" s="64">
        <v>33.630000000000003</v>
      </c>
      <c r="D83" s="64">
        <v>22.1</v>
      </c>
      <c r="E83" s="64">
        <v>2.46</v>
      </c>
      <c r="F83" s="64">
        <v>21.21</v>
      </c>
      <c r="G83" s="64">
        <v>50.14</v>
      </c>
      <c r="H83" s="64">
        <v>22.84</v>
      </c>
      <c r="I83" s="64">
        <v>0.56000000000000005</v>
      </c>
      <c r="J83" s="64">
        <v>0.12</v>
      </c>
      <c r="K83" s="64">
        <v>284.23</v>
      </c>
      <c r="L83" s="64">
        <v>34.1</v>
      </c>
      <c r="M83" s="64">
        <v>20.49</v>
      </c>
      <c r="N83" s="214" t="s">
        <v>42</v>
      </c>
      <c r="O83" s="64">
        <v>0</v>
      </c>
      <c r="P83" s="64">
        <v>0.48</v>
      </c>
      <c r="Q83" s="64">
        <v>24.27</v>
      </c>
      <c r="R83" s="198"/>
      <c r="S83" s="198"/>
      <c r="T83" s="198"/>
      <c r="U83" s="198"/>
    </row>
    <row r="84" spans="1:26" s="12" customFormat="1" x14ac:dyDescent="0.25">
      <c r="A84" s="211" t="s">
        <v>2628</v>
      </c>
      <c r="B84" s="64">
        <v>10.75</v>
      </c>
      <c r="C84" s="64">
        <v>41.04</v>
      </c>
      <c r="D84" s="64">
        <v>31.86</v>
      </c>
      <c r="E84" s="64">
        <v>3.74</v>
      </c>
      <c r="F84" s="64">
        <v>25.48</v>
      </c>
      <c r="G84" s="64">
        <v>50.66</v>
      </c>
      <c r="H84" s="64">
        <v>20.14</v>
      </c>
      <c r="I84" s="64">
        <v>0.67</v>
      </c>
      <c r="J84" s="64">
        <v>0.04</v>
      </c>
      <c r="K84" s="64">
        <v>316.16000000000003</v>
      </c>
      <c r="L84" s="64">
        <v>33.68</v>
      </c>
      <c r="M84" s="64">
        <v>21.49</v>
      </c>
      <c r="N84" s="214" t="s">
        <v>42</v>
      </c>
      <c r="O84" s="64">
        <v>0</v>
      </c>
      <c r="P84" s="64">
        <v>0.5</v>
      </c>
      <c r="Q84" s="64">
        <v>22.6</v>
      </c>
      <c r="R84" s="198"/>
      <c r="S84" s="198"/>
      <c r="T84" s="198"/>
      <c r="U84" s="198"/>
    </row>
    <row r="85" spans="1:26" s="12" customFormat="1" x14ac:dyDescent="0.25">
      <c r="A85" s="211" t="s">
        <v>2629</v>
      </c>
      <c r="B85" s="64">
        <v>9.92</v>
      </c>
      <c r="C85" s="64">
        <v>51.17</v>
      </c>
      <c r="D85" s="64">
        <v>36.840000000000003</v>
      </c>
      <c r="E85" s="64">
        <v>7.05</v>
      </c>
      <c r="F85" s="64">
        <v>22.92</v>
      </c>
      <c r="G85" s="64">
        <v>50.66</v>
      </c>
      <c r="H85" s="64">
        <v>20.14</v>
      </c>
      <c r="I85" s="64">
        <v>0.56999999999999995</v>
      </c>
      <c r="J85" s="64">
        <v>0.05</v>
      </c>
      <c r="K85" s="64">
        <v>337.36</v>
      </c>
      <c r="L85" s="64">
        <v>33.409999999999997</v>
      </c>
      <c r="M85" s="64">
        <v>22.28</v>
      </c>
      <c r="N85" s="214" t="s">
        <v>42</v>
      </c>
      <c r="O85" s="64">
        <v>0</v>
      </c>
      <c r="P85" s="64">
        <v>0.47</v>
      </c>
      <c r="Q85" s="64">
        <v>20.239999999999998</v>
      </c>
      <c r="R85" s="198"/>
      <c r="S85" s="198"/>
      <c r="T85" s="198"/>
      <c r="U85" s="198"/>
    </row>
    <row r="86" spans="1:26" s="12" customFormat="1" x14ac:dyDescent="0.25">
      <c r="A86" s="211" t="s">
        <v>2630</v>
      </c>
      <c r="B86" s="64">
        <v>19.559999999999999</v>
      </c>
      <c r="C86" s="64">
        <v>59.83</v>
      </c>
      <c r="D86" s="64">
        <v>49.35</v>
      </c>
      <c r="E86" s="64">
        <v>12.97</v>
      </c>
      <c r="F86" s="64">
        <v>19.899999999999999</v>
      </c>
      <c r="G86" s="64">
        <v>50.66</v>
      </c>
      <c r="H86" s="64">
        <v>20.14</v>
      </c>
      <c r="I86" s="64">
        <v>0.55000000000000004</v>
      </c>
      <c r="J86" s="64">
        <v>0.08</v>
      </c>
      <c r="K86" s="64">
        <v>261.5</v>
      </c>
      <c r="L86" s="64">
        <v>32.86</v>
      </c>
      <c r="M86" s="64">
        <v>23.6</v>
      </c>
      <c r="N86" s="214" t="s">
        <v>42</v>
      </c>
      <c r="O86" s="64">
        <v>0</v>
      </c>
      <c r="P86" s="64">
        <v>0.55000000000000004</v>
      </c>
      <c r="Q86" s="64">
        <v>19.690000000000001</v>
      </c>
      <c r="R86" s="198"/>
      <c r="S86" s="198"/>
      <c r="T86" s="198"/>
      <c r="U86" s="198"/>
    </row>
    <row r="87" spans="1:26" s="12" customFormat="1" x14ac:dyDescent="0.25">
      <c r="A87" s="211" t="s">
        <v>2631</v>
      </c>
      <c r="B87" s="64">
        <v>20.3</v>
      </c>
      <c r="C87" s="64">
        <v>57.92</v>
      </c>
      <c r="D87" s="64">
        <v>48.88</v>
      </c>
      <c r="E87" s="64">
        <v>11.13</v>
      </c>
      <c r="F87" s="64">
        <v>9.06</v>
      </c>
      <c r="G87" s="64">
        <v>53.23</v>
      </c>
      <c r="H87" s="64">
        <v>21.01</v>
      </c>
      <c r="I87" s="64">
        <v>0.59</v>
      </c>
      <c r="J87" s="64">
        <v>7.0000000000000007E-2</v>
      </c>
      <c r="K87" s="64">
        <v>254.71</v>
      </c>
      <c r="L87" s="64">
        <v>32.31</v>
      </c>
      <c r="M87" s="64">
        <v>24.63</v>
      </c>
      <c r="N87" s="214" t="s">
        <v>42</v>
      </c>
      <c r="O87" s="64">
        <v>0</v>
      </c>
      <c r="P87" s="64">
        <v>0.67</v>
      </c>
      <c r="Q87" s="64">
        <v>19.57</v>
      </c>
      <c r="R87" s="198"/>
      <c r="S87" s="198"/>
      <c r="T87" s="198"/>
      <c r="U87" s="198"/>
    </row>
    <row r="88" spans="1:26" s="12" customFormat="1" x14ac:dyDescent="0.25">
      <c r="A88" s="211" t="s">
        <v>2632</v>
      </c>
      <c r="B88" s="64">
        <v>15.32</v>
      </c>
      <c r="C88" s="64">
        <v>58.93</v>
      </c>
      <c r="D88" s="64">
        <v>45.46</v>
      </c>
      <c r="E88" s="64">
        <v>5.71</v>
      </c>
      <c r="F88" s="64">
        <v>10.93</v>
      </c>
      <c r="G88" s="64">
        <v>73.739999999999995</v>
      </c>
      <c r="H88" s="64">
        <v>26.6</v>
      </c>
      <c r="I88" s="64">
        <v>0.62</v>
      </c>
      <c r="J88" s="64">
        <v>0.04</v>
      </c>
      <c r="K88" s="64">
        <v>275.82</v>
      </c>
      <c r="L88" s="64">
        <v>32.1</v>
      </c>
      <c r="M88" s="64">
        <v>25.08</v>
      </c>
      <c r="N88" s="214" t="s">
        <v>42</v>
      </c>
      <c r="O88" s="64">
        <v>0</v>
      </c>
      <c r="P88" s="64">
        <v>0.81</v>
      </c>
      <c r="Q88" s="64">
        <v>21.54</v>
      </c>
      <c r="R88" s="198"/>
      <c r="S88" s="198"/>
      <c r="T88" s="198"/>
      <c r="U88" s="198"/>
    </row>
    <row r="89" spans="1:26" s="12" customFormat="1" x14ac:dyDescent="0.25">
      <c r="A89" s="211" t="s">
        <v>2633</v>
      </c>
      <c r="B89" s="64">
        <v>9.44</v>
      </c>
      <c r="C89" s="64">
        <v>62.87</v>
      </c>
      <c r="D89" s="64">
        <v>42.92</v>
      </c>
      <c r="E89" s="64">
        <v>10.65</v>
      </c>
      <c r="F89" s="64">
        <v>11.85</v>
      </c>
      <c r="G89" s="64">
        <v>73.739999999999995</v>
      </c>
      <c r="H89" s="64">
        <v>26.6</v>
      </c>
      <c r="I89" s="64">
        <v>0.7</v>
      </c>
      <c r="J89" s="64">
        <v>0.09</v>
      </c>
      <c r="K89" s="64">
        <v>243.88</v>
      </c>
      <c r="L89" s="64">
        <v>31.48</v>
      </c>
      <c r="M89" s="64">
        <v>25.83</v>
      </c>
      <c r="N89" s="214" t="s">
        <v>42</v>
      </c>
      <c r="O89" s="64">
        <v>0</v>
      </c>
      <c r="P89" s="64">
        <v>0.95</v>
      </c>
      <c r="Q89" s="64">
        <v>23.11</v>
      </c>
      <c r="R89" s="198"/>
      <c r="S89" s="198"/>
      <c r="T89" s="198"/>
      <c r="U89" s="198"/>
    </row>
    <row r="90" spans="1:26" s="12" customFormat="1" x14ac:dyDescent="0.25">
      <c r="A90" s="211" t="s">
        <v>2634</v>
      </c>
      <c r="B90" s="64">
        <v>14.54</v>
      </c>
      <c r="C90" s="64">
        <v>71.44</v>
      </c>
      <c r="D90" s="64">
        <v>51.73</v>
      </c>
      <c r="E90" s="64">
        <v>9.11</v>
      </c>
      <c r="F90" s="64">
        <v>10.039999999999999</v>
      </c>
      <c r="G90" s="64">
        <v>73.739999999999995</v>
      </c>
      <c r="H90" s="64">
        <v>26.6</v>
      </c>
      <c r="I90" s="64">
        <v>0.79</v>
      </c>
      <c r="J90" s="64">
        <v>0.2</v>
      </c>
      <c r="K90" s="64">
        <v>222.65</v>
      </c>
      <c r="L90" s="64">
        <v>31.44</v>
      </c>
      <c r="M90" s="64">
        <v>27.33</v>
      </c>
      <c r="N90" s="214" t="s">
        <v>42</v>
      </c>
      <c r="O90" s="64">
        <v>0</v>
      </c>
      <c r="P90" s="64">
        <v>1.01</v>
      </c>
      <c r="Q90" s="64">
        <v>23.48</v>
      </c>
      <c r="R90" s="198"/>
      <c r="S90" s="198"/>
      <c r="T90" s="198"/>
      <c r="U90" s="198"/>
    </row>
    <row r="91" spans="1:26" s="12" customFormat="1" x14ac:dyDescent="0.25">
      <c r="A91" s="211" t="s">
        <v>2635</v>
      </c>
      <c r="B91" s="64">
        <v>19.22</v>
      </c>
      <c r="C91" s="64">
        <v>71.12</v>
      </c>
      <c r="D91" s="64">
        <v>55.31</v>
      </c>
      <c r="E91" s="64">
        <v>9.2200000000000006</v>
      </c>
      <c r="F91" s="64">
        <v>5.74</v>
      </c>
      <c r="G91" s="64">
        <v>74.650000000000006</v>
      </c>
      <c r="H91" s="64">
        <v>27.18</v>
      </c>
      <c r="I91" s="64">
        <v>0.74</v>
      </c>
      <c r="J91" s="64">
        <v>0.16</v>
      </c>
      <c r="K91" s="64">
        <v>200.39</v>
      </c>
      <c r="L91" s="64">
        <v>30.99</v>
      </c>
      <c r="M91" s="64">
        <v>29.05</v>
      </c>
      <c r="N91" s="214" t="s">
        <v>42</v>
      </c>
      <c r="O91" s="64">
        <v>0</v>
      </c>
      <c r="P91" s="64">
        <v>1.08</v>
      </c>
      <c r="Q91" s="64">
        <v>22.71</v>
      </c>
      <c r="R91" s="198"/>
      <c r="S91" s="198"/>
      <c r="T91" s="198"/>
      <c r="U91" s="198"/>
    </row>
    <row r="92" spans="1:26" s="12" customFormat="1" x14ac:dyDescent="0.25">
      <c r="A92" s="211" t="s">
        <v>2636</v>
      </c>
      <c r="B92" s="64">
        <v>17.61</v>
      </c>
      <c r="C92" s="64">
        <v>65.16</v>
      </c>
      <c r="D92" s="64">
        <v>50.72</v>
      </c>
      <c r="E92" s="64">
        <v>11.62</v>
      </c>
      <c r="F92" s="64">
        <v>7</v>
      </c>
      <c r="G92" s="64">
        <v>81.96</v>
      </c>
      <c r="H92" s="64">
        <v>30.92</v>
      </c>
      <c r="I92" s="64">
        <v>0.87</v>
      </c>
      <c r="J92" s="64">
        <v>0.12</v>
      </c>
      <c r="K92" s="64">
        <v>214.93</v>
      </c>
      <c r="L92" s="64">
        <v>30.85</v>
      </c>
      <c r="M92" s="64">
        <v>28.94</v>
      </c>
      <c r="N92" s="214" t="s">
        <v>42</v>
      </c>
      <c r="O92" s="64">
        <v>0</v>
      </c>
      <c r="P92" s="64">
        <v>1.17</v>
      </c>
      <c r="Q92" s="64">
        <v>23.71</v>
      </c>
      <c r="R92" s="198"/>
      <c r="S92" s="198"/>
      <c r="T92" s="198"/>
      <c r="U92" s="198"/>
    </row>
    <row r="93" spans="1:26" s="12" customFormat="1" x14ac:dyDescent="0.25">
      <c r="A93" s="211" t="s">
        <v>2637</v>
      </c>
      <c r="B93" s="64">
        <v>10.4</v>
      </c>
      <c r="C93" s="64">
        <v>59.65</v>
      </c>
      <c r="D93" s="64">
        <v>41.91</v>
      </c>
      <c r="E93" s="64">
        <v>9.68</v>
      </c>
      <c r="F93" s="64">
        <v>13.21</v>
      </c>
      <c r="G93" s="64">
        <v>81.96</v>
      </c>
      <c r="H93" s="64">
        <v>30.92</v>
      </c>
      <c r="I93" s="64">
        <v>0.87</v>
      </c>
      <c r="J93" s="64">
        <v>0.1</v>
      </c>
      <c r="K93" s="64">
        <v>223.32</v>
      </c>
      <c r="L93" s="64">
        <v>30.42</v>
      </c>
      <c r="M93" s="64">
        <v>31.19</v>
      </c>
      <c r="N93" s="214" t="s">
        <v>42</v>
      </c>
      <c r="O93" s="64">
        <v>0</v>
      </c>
      <c r="P93" s="64">
        <v>1.23</v>
      </c>
      <c r="Q93" s="64">
        <v>25.19</v>
      </c>
      <c r="R93" s="198"/>
      <c r="S93" s="198"/>
      <c r="T93" s="198"/>
      <c r="U93" s="198"/>
    </row>
    <row r="94" spans="1:26" s="12" customFormat="1" x14ac:dyDescent="0.25">
      <c r="A94" s="211" t="s">
        <v>2638</v>
      </c>
      <c r="B94" s="64">
        <v>6.32</v>
      </c>
      <c r="C94" s="64">
        <v>59.32</v>
      </c>
      <c r="D94" s="64">
        <v>38.450000000000003</v>
      </c>
      <c r="E94" s="64">
        <v>11.54</v>
      </c>
      <c r="F94" s="64">
        <v>24.97</v>
      </c>
      <c r="G94" s="64">
        <v>81.96</v>
      </c>
      <c r="H94" s="64">
        <v>30.92</v>
      </c>
      <c r="I94" s="64">
        <v>0.84</v>
      </c>
      <c r="J94" s="64">
        <v>0.14000000000000001</v>
      </c>
      <c r="K94" s="64">
        <v>192.68</v>
      </c>
      <c r="L94" s="64">
        <v>30.19</v>
      </c>
      <c r="M94" s="64">
        <v>33.33</v>
      </c>
      <c r="N94" s="214" t="s">
        <v>42</v>
      </c>
      <c r="O94" s="64">
        <v>0</v>
      </c>
      <c r="P94" s="64">
        <v>1.22</v>
      </c>
      <c r="Q94" s="64">
        <v>26.52</v>
      </c>
      <c r="R94" s="198"/>
      <c r="S94" s="198"/>
      <c r="T94" s="198"/>
      <c r="U94" s="198"/>
    </row>
    <row r="95" spans="1:26" s="12" customFormat="1" x14ac:dyDescent="0.25">
      <c r="A95" s="211" t="s">
        <v>2639</v>
      </c>
      <c r="B95" s="64">
        <v>25.35</v>
      </c>
      <c r="C95" s="64">
        <v>67.78</v>
      </c>
      <c r="D95" s="64">
        <v>58.38</v>
      </c>
      <c r="E95" s="64">
        <v>10.38</v>
      </c>
      <c r="F95" s="64">
        <v>16.489999999999998</v>
      </c>
      <c r="G95" s="64">
        <v>82.71</v>
      </c>
      <c r="H95" s="64">
        <v>31.06</v>
      </c>
      <c r="I95" s="64">
        <v>0.72</v>
      </c>
      <c r="J95" s="64">
        <v>0.18</v>
      </c>
      <c r="K95" s="64">
        <v>269.77999999999997</v>
      </c>
      <c r="L95" s="64">
        <v>29.53</v>
      </c>
      <c r="M95" s="64">
        <v>36.909999999999997</v>
      </c>
      <c r="N95" s="214" t="s">
        <v>42</v>
      </c>
      <c r="O95" s="64">
        <v>0</v>
      </c>
      <c r="P95" s="64">
        <v>1.24</v>
      </c>
      <c r="Q95" s="64">
        <v>22.3</v>
      </c>
      <c r="R95" s="198"/>
      <c r="S95" s="198"/>
      <c r="T95" s="198"/>
      <c r="U95" s="198"/>
    </row>
    <row r="96" spans="1:26" s="12" customFormat="1" x14ac:dyDescent="0.25">
      <c r="A96" s="211" t="s">
        <v>2640</v>
      </c>
      <c r="B96" s="64">
        <v>11.36</v>
      </c>
      <c r="C96" s="64">
        <v>54.1</v>
      </c>
      <c r="D96" s="64">
        <v>39.61</v>
      </c>
      <c r="E96" s="64">
        <v>8.5399999999999991</v>
      </c>
      <c r="F96" s="64">
        <v>22.85</v>
      </c>
      <c r="G96" s="64">
        <v>88.69</v>
      </c>
      <c r="H96" s="64">
        <v>31.94</v>
      </c>
      <c r="I96" s="64">
        <v>0.72</v>
      </c>
      <c r="J96" s="64">
        <v>0.02</v>
      </c>
      <c r="K96" s="64">
        <v>220.68</v>
      </c>
      <c r="L96" s="64">
        <v>29.99</v>
      </c>
      <c r="M96" s="64">
        <v>35.9</v>
      </c>
      <c r="N96" s="214" t="s">
        <v>42</v>
      </c>
      <c r="O96" s="64">
        <v>0</v>
      </c>
      <c r="P96" s="64">
        <v>1.25</v>
      </c>
      <c r="Q96" s="64">
        <v>25.05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2641</v>
      </c>
      <c r="B97" s="64">
        <v>13.98</v>
      </c>
      <c r="C97" s="64">
        <v>58.6</v>
      </c>
      <c r="D97" s="64">
        <v>44.2</v>
      </c>
      <c r="E97" s="64">
        <v>9.92</v>
      </c>
      <c r="F97" s="64">
        <v>22.16</v>
      </c>
      <c r="G97" s="64">
        <v>88.69</v>
      </c>
      <c r="H97" s="64">
        <v>31.94</v>
      </c>
      <c r="I97" s="64">
        <v>0.77</v>
      </c>
      <c r="J97" s="64">
        <v>0.1</v>
      </c>
      <c r="K97" s="64">
        <v>243.24</v>
      </c>
      <c r="L97" s="64">
        <v>30.06</v>
      </c>
      <c r="M97" s="64">
        <v>36.46</v>
      </c>
      <c r="N97" s="214" t="s">
        <v>42</v>
      </c>
      <c r="O97" s="64">
        <v>0</v>
      </c>
      <c r="P97" s="64">
        <v>1.26</v>
      </c>
      <c r="Q97" s="64">
        <v>25.61</v>
      </c>
      <c r="R97" s="198"/>
      <c r="S97" s="198"/>
      <c r="T97" s="198"/>
      <c r="U97" s="198"/>
    </row>
    <row r="98" spans="1:33" s="12" customFormat="1" x14ac:dyDescent="0.25">
      <c r="A98" s="211" t="s">
        <v>2642</v>
      </c>
      <c r="B98" s="64">
        <v>7.06</v>
      </c>
      <c r="C98" s="64">
        <v>51.42</v>
      </c>
      <c r="D98" s="64">
        <v>34.68</v>
      </c>
      <c r="E98" s="64">
        <v>8.8699999999999992</v>
      </c>
      <c r="F98" s="64">
        <v>15.64</v>
      </c>
      <c r="G98" s="64">
        <v>88.69</v>
      </c>
      <c r="H98" s="64">
        <v>31.94</v>
      </c>
      <c r="I98" s="64">
        <v>0.68</v>
      </c>
      <c r="J98" s="64">
        <v>0.02</v>
      </c>
      <c r="K98" s="64">
        <v>258.02</v>
      </c>
      <c r="L98" s="64">
        <v>30.05</v>
      </c>
      <c r="M98" s="64">
        <v>35.99</v>
      </c>
      <c r="N98" s="214" t="s">
        <v>42</v>
      </c>
      <c r="O98" s="64">
        <v>0</v>
      </c>
      <c r="P98" s="64">
        <v>1.24</v>
      </c>
      <c r="Q98" s="64">
        <v>26.43</v>
      </c>
      <c r="R98" s="198"/>
      <c r="S98" s="198"/>
      <c r="T98" s="198"/>
      <c r="U98" s="198"/>
    </row>
    <row r="99" spans="1:33" s="12" customFormat="1" x14ac:dyDescent="0.25">
      <c r="A99" s="211" t="s">
        <v>2643</v>
      </c>
      <c r="B99" s="64">
        <v>8.59</v>
      </c>
      <c r="C99" s="64">
        <v>45.86</v>
      </c>
      <c r="D99" s="64">
        <v>32.85</v>
      </c>
      <c r="E99" s="64">
        <v>5.76</v>
      </c>
      <c r="F99" s="64">
        <v>9.4499999999999993</v>
      </c>
      <c r="G99" s="64">
        <v>88.99</v>
      </c>
      <c r="H99" s="64">
        <v>32.58</v>
      </c>
      <c r="I99" s="64">
        <v>0.64</v>
      </c>
      <c r="J99" s="64">
        <v>0.05</v>
      </c>
      <c r="K99" s="64">
        <v>245</v>
      </c>
      <c r="L99" s="64">
        <v>30.06</v>
      </c>
      <c r="M99" s="64">
        <v>34.93</v>
      </c>
      <c r="N99" s="214" t="s">
        <v>42</v>
      </c>
      <c r="O99" s="64">
        <v>0</v>
      </c>
      <c r="P99" s="64">
        <v>1.22</v>
      </c>
      <c r="Q99" s="64">
        <v>27.43</v>
      </c>
      <c r="R99" s="198"/>
      <c r="S99" s="198"/>
      <c r="T99" s="198"/>
      <c r="U99" s="198"/>
    </row>
    <row r="100" spans="1:33" s="12" customFormat="1" x14ac:dyDescent="0.25">
      <c r="A100" s="211" t="s">
        <v>2644</v>
      </c>
      <c r="B100" s="64">
        <v>6.52</v>
      </c>
      <c r="C100" s="64">
        <v>44.05</v>
      </c>
      <c r="D100" s="64">
        <v>30.19</v>
      </c>
      <c r="E100" s="64">
        <v>5.81</v>
      </c>
      <c r="F100" s="64">
        <v>11.99</v>
      </c>
      <c r="G100" s="64">
        <v>91.38</v>
      </c>
      <c r="H100" s="64">
        <v>36.71</v>
      </c>
      <c r="I100" s="64">
        <v>0.65</v>
      </c>
      <c r="J100" s="64">
        <v>0.11</v>
      </c>
      <c r="K100" s="64">
        <v>251.26</v>
      </c>
      <c r="L100" s="64">
        <v>29.94</v>
      </c>
      <c r="M100" s="64">
        <v>35.119999999999997</v>
      </c>
      <c r="N100" s="214" t="s">
        <v>42</v>
      </c>
      <c r="O100" s="64">
        <v>0</v>
      </c>
      <c r="P100" s="64">
        <v>1.19</v>
      </c>
      <c r="Q100" s="64">
        <v>27.99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2645</v>
      </c>
      <c r="B101" s="64">
        <v>17.600000000000001</v>
      </c>
      <c r="C101" s="64">
        <v>53.16</v>
      </c>
      <c r="D101" s="64">
        <v>44.1</v>
      </c>
      <c r="E101" s="64">
        <v>5.17</v>
      </c>
      <c r="F101" s="64">
        <v>8.91</v>
      </c>
      <c r="G101" s="64">
        <v>91.38</v>
      </c>
      <c r="H101" s="64">
        <v>36.71</v>
      </c>
      <c r="I101" s="64">
        <v>0.74</v>
      </c>
      <c r="J101" s="64">
        <v>0.09</v>
      </c>
      <c r="K101" s="64">
        <v>251.29</v>
      </c>
      <c r="L101" s="64">
        <v>29.2</v>
      </c>
      <c r="M101" s="64">
        <v>38.119999999999997</v>
      </c>
      <c r="N101" s="214" t="s">
        <v>42</v>
      </c>
      <c r="O101" s="64">
        <v>0</v>
      </c>
      <c r="P101" s="64">
        <v>1.17</v>
      </c>
      <c r="Q101" s="64">
        <v>26.66</v>
      </c>
      <c r="R101" s="198"/>
      <c r="S101" s="198"/>
      <c r="T101" s="198"/>
      <c r="U101" s="198"/>
    </row>
    <row r="102" spans="1:33" s="12" customFormat="1" x14ac:dyDescent="0.25">
      <c r="A102" s="211" t="s">
        <v>2646</v>
      </c>
      <c r="B102" s="64">
        <v>11.5</v>
      </c>
      <c r="C102" s="64">
        <v>56.16</v>
      </c>
      <c r="D102" s="64">
        <v>40.86</v>
      </c>
      <c r="E102" s="64">
        <v>5.23</v>
      </c>
      <c r="F102" s="64">
        <v>7.78</v>
      </c>
      <c r="G102" s="64">
        <v>91.38</v>
      </c>
      <c r="H102" s="64">
        <v>36.71</v>
      </c>
      <c r="I102" s="64">
        <v>0.64</v>
      </c>
      <c r="J102" s="64">
        <v>0.05</v>
      </c>
      <c r="K102" s="64">
        <v>237.73</v>
      </c>
      <c r="L102" s="64">
        <v>28.53</v>
      </c>
      <c r="M102" s="64">
        <v>39.33</v>
      </c>
      <c r="N102" s="214" t="s">
        <v>42</v>
      </c>
      <c r="O102" s="64">
        <v>0</v>
      </c>
      <c r="P102" s="64">
        <v>1.17</v>
      </c>
      <c r="Q102" s="64">
        <v>25.31</v>
      </c>
      <c r="R102" s="198"/>
      <c r="S102" s="198"/>
      <c r="T102" s="198"/>
      <c r="U102" s="198"/>
    </row>
    <row r="103" spans="1:33" s="12" customFormat="1" x14ac:dyDescent="0.25">
      <c r="A103" s="211" t="s">
        <v>2647</v>
      </c>
      <c r="B103" s="64">
        <v>13.44</v>
      </c>
      <c r="C103" s="64">
        <v>53</v>
      </c>
      <c r="D103" s="64">
        <v>40.67</v>
      </c>
      <c r="E103" s="64">
        <v>5.23</v>
      </c>
      <c r="F103" s="64">
        <v>9.25</v>
      </c>
      <c r="G103" s="64">
        <v>91.95</v>
      </c>
      <c r="H103" s="64">
        <v>37.61</v>
      </c>
      <c r="I103" s="64">
        <v>0.77</v>
      </c>
      <c r="J103" s="64">
        <v>0.1</v>
      </c>
      <c r="K103" s="64">
        <v>256.2</v>
      </c>
      <c r="L103" s="64">
        <v>28.06</v>
      </c>
      <c r="M103" s="64">
        <v>41.96</v>
      </c>
      <c r="N103" s="64">
        <v>3.3</v>
      </c>
      <c r="O103" s="64">
        <v>0</v>
      </c>
      <c r="P103" s="64">
        <v>1.1399999999999999</v>
      </c>
      <c r="Q103" s="64">
        <v>27.19</v>
      </c>
      <c r="R103" s="198"/>
      <c r="S103" s="198"/>
      <c r="T103" s="198"/>
      <c r="U103" s="198"/>
    </row>
    <row r="104" spans="1:33" s="12" customFormat="1" x14ac:dyDescent="0.25">
      <c r="A104" s="211" t="s">
        <v>2648</v>
      </c>
      <c r="B104" s="64">
        <v>26.85</v>
      </c>
      <c r="C104" s="64">
        <v>56.25</v>
      </c>
      <c r="D104" s="64">
        <v>53.22</v>
      </c>
      <c r="E104" s="64">
        <v>2.95</v>
      </c>
      <c r="F104" s="64">
        <v>4.9000000000000004</v>
      </c>
      <c r="G104" s="64">
        <v>96.49</v>
      </c>
      <c r="H104" s="64">
        <v>43.42</v>
      </c>
      <c r="I104" s="64">
        <v>0.8</v>
      </c>
      <c r="J104" s="64">
        <v>7.0000000000000007E-2</v>
      </c>
      <c r="K104" s="64">
        <v>235.43</v>
      </c>
      <c r="L104" s="64">
        <v>27.51</v>
      </c>
      <c r="M104" s="64">
        <v>45.38</v>
      </c>
      <c r="N104" s="64">
        <v>5.2</v>
      </c>
      <c r="O104" s="64">
        <v>0</v>
      </c>
      <c r="P104" s="64">
        <v>1.17</v>
      </c>
      <c r="Q104" s="64">
        <v>26.26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20.32</v>
      </c>
      <c r="D106" s="67">
        <f t="shared" ref="D106:Q106" si="0">MIN(D9:D104)</f>
        <v>12.96</v>
      </c>
      <c r="E106" s="67">
        <f t="shared" si="0"/>
        <v>0.16</v>
      </c>
      <c r="F106" s="67">
        <f t="shared" si="0"/>
        <v>4.9000000000000004</v>
      </c>
      <c r="G106" s="67">
        <f t="shared" si="0"/>
        <v>29.62</v>
      </c>
      <c r="H106" s="67">
        <f t="shared" si="0"/>
        <v>20.14</v>
      </c>
      <c r="I106" s="67">
        <f t="shared" si="0"/>
        <v>0.48</v>
      </c>
      <c r="J106" s="67">
        <f t="shared" si="0"/>
        <v>0.02</v>
      </c>
      <c r="K106" s="67">
        <f t="shared" si="0"/>
        <v>1.1499999999999999</v>
      </c>
      <c r="L106" s="67">
        <f t="shared" si="0"/>
        <v>25.17</v>
      </c>
      <c r="M106" s="67">
        <f t="shared" si="0"/>
        <v>17.23</v>
      </c>
      <c r="N106" s="67">
        <f t="shared" si="0"/>
        <v>3.3</v>
      </c>
      <c r="O106" s="67">
        <f t="shared" si="0"/>
        <v>0</v>
      </c>
      <c r="P106" s="67">
        <f t="shared" si="0"/>
        <v>0.36</v>
      </c>
      <c r="Q106" s="67">
        <f t="shared" si="0"/>
        <v>19.57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26.85</v>
      </c>
      <c r="C107" s="66">
        <f t="shared" ref="C107:Q107" si="1">MAX(C9:C104)</f>
        <v>71.44</v>
      </c>
      <c r="D107" s="66">
        <f t="shared" si="1"/>
        <v>58.38</v>
      </c>
      <c r="E107" s="66">
        <f t="shared" si="1"/>
        <v>12.97</v>
      </c>
      <c r="F107" s="66">
        <f t="shared" si="1"/>
        <v>39.340000000000003</v>
      </c>
      <c r="G107" s="66">
        <f t="shared" si="1"/>
        <v>96.49</v>
      </c>
      <c r="H107" s="66">
        <f t="shared" si="1"/>
        <v>43.42</v>
      </c>
      <c r="I107" s="66">
        <f t="shared" si="1"/>
        <v>0.87</v>
      </c>
      <c r="J107" s="66">
        <f t="shared" si="1"/>
        <v>1.29</v>
      </c>
      <c r="K107" s="66">
        <f t="shared" si="1"/>
        <v>351.77</v>
      </c>
      <c r="L107" s="66">
        <f t="shared" si="1"/>
        <v>38.25</v>
      </c>
      <c r="M107" s="66">
        <f t="shared" si="1"/>
        <v>67.319999999999993</v>
      </c>
      <c r="N107" s="66">
        <f t="shared" si="1"/>
        <v>886.1</v>
      </c>
      <c r="O107" s="66">
        <f t="shared" si="1"/>
        <v>0.6</v>
      </c>
      <c r="P107" s="66">
        <f t="shared" si="1"/>
        <v>1.26</v>
      </c>
      <c r="Q107" s="66">
        <f t="shared" si="1"/>
        <v>30.28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4.5644791666666666</v>
      </c>
      <c r="C108" s="67">
        <f t="shared" ref="C108:Q108" si="2">AVERAGE(C9:C104)</f>
        <v>36.990416666666668</v>
      </c>
      <c r="D108" s="67">
        <f t="shared" si="2"/>
        <v>24.720416666666662</v>
      </c>
      <c r="E108" s="67">
        <f t="shared" si="2"/>
        <v>3.7406250000000028</v>
      </c>
      <c r="F108" s="67">
        <f t="shared" si="2"/>
        <v>15.788645833333341</v>
      </c>
      <c r="G108" s="67">
        <f t="shared" si="2"/>
        <v>60.472159090909038</v>
      </c>
      <c r="H108" s="67">
        <f t="shared" si="2"/>
        <v>27.67454545454547</v>
      </c>
      <c r="I108" s="67">
        <f t="shared" si="2"/>
        <v>0.61666666666666681</v>
      </c>
      <c r="J108" s="67">
        <f t="shared" si="2"/>
        <v>0.18229166666666671</v>
      </c>
      <c r="K108" s="67">
        <f t="shared" si="2"/>
        <v>217.3926041666667</v>
      </c>
      <c r="L108" s="67">
        <f t="shared" si="2"/>
        <v>31.643749999999994</v>
      </c>
      <c r="M108" s="67">
        <f t="shared" si="2"/>
        <v>34.180208333333319</v>
      </c>
      <c r="N108" s="67">
        <f t="shared" si="2"/>
        <v>244.19298245614038</v>
      </c>
      <c r="O108" s="67">
        <f t="shared" si="2"/>
        <v>1.0416666666666666E-2</v>
      </c>
      <c r="P108" s="67">
        <f t="shared" si="2"/>
        <v>0.67635416666666648</v>
      </c>
      <c r="Q108" s="67">
        <f t="shared" si="2"/>
        <v>26.818125000000009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5.7706173836977852</v>
      </c>
      <c r="C109" s="67">
        <f t="shared" ref="C109:Q109" si="3">STDEV(C9:C104)</f>
        <v>12.237330455073378</v>
      </c>
      <c r="D109" s="67">
        <f t="shared" si="3"/>
        <v>10.949310857109424</v>
      </c>
      <c r="E109" s="67">
        <f t="shared" si="3"/>
        <v>2.8122704116818191</v>
      </c>
      <c r="F109" s="67">
        <f t="shared" si="3"/>
        <v>8.0190559386332776</v>
      </c>
      <c r="G109" s="67">
        <f t="shared" si="3"/>
        <v>17.038639687815046</v>
      </c>
      <c r="H109" s="67">
        <f t="shared" si="3"/>
        <v>5.2297853649481976</v>
      </c>
      <c r="I109" s="67">
        <f t="shared" si="3"/>
        <v>9.7404924404493498E-2</v>
      </c>
      <c r="J109" s="67">
        <f t="shared" si="3"/>
        <v>0.21348969735608547</v>
      </c>
      <c r="K109" s="67">
        <f t="shared" si="3"/>
        <v>83.669235083528193</v>
      </c>
      <c r="L109" s="67">
        <f t="shared" si="3"/>
        <v>3.9086091886339651</v>
      </c>
      <c r="M109" s="67">
        <f t="shared" si="3"/>
        <v>12.046576187899964</v>
      </c>
      <c r="N109" s="67">
        <f t="shared" si="3"/>
        <v>339.61830458180185</v>
      </c>
      <c r="O109" s="67">
        <f t="shared" si="3"/>
        <v>6.7245295928870769E-2</v>
      </c>
      <c r="P109" s="67">
        <f t="shared" si="3"/>
        <v>0.25138822897396518</v>
      </c>
      <c r="Q109" s="67">
        <f t="shared" si="3"/>
        <v>2.5689466661813372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COUNT(G9:G104)+8</f>
        <v>96</v>
      </c>
      <c r="H110" s="66">
        <f>COUNT(H9:H104)+8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COUNT(N9:N104)+39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2649</v>
      </c>
      <c r="B9" s="64">
        <v>16.260000000000002</v>
      </c>
      <c r="C9" s="64">
        <v>53.93</v>
      </c>
      <c r="D9" s="64">
        <v>43.45</v>
      </c>
      <c r="E9" s="64">
        <v>4.3600000000000003</v>
      </c>
      <c r="F9" s="64">
        <v>8.82</v>
      </c>
      <c r="G9" s="64">
        <v>96.49</v>
      </c>
      <c r="H9" s="64">
        <v>43.42</v>
      </c>
      <c r="I9" s="64">
        <v>0.67</v>
      </c>
      <c r="J9" s="64">
        <v>0.11</v>
      </c>
      <c r="K9" s="64">
        <v>230.59</v>
      </c>
      <c r="L9" s="64">
        <v>27.27</v>
      </c>
      <c r="M9" s="64">
        <v>44.75</v>
      </c>
      <c r="N9" s="64">
        <v>5</v>
      </c>
      <c r="O9" s="64">
        <v>0</v>
      </c>
      <c r="P9" s="64">
        <v>1.2</v>
      </c>
      <c r="Q9" s="64">
        <v>26.82</v>
      </c>
      <c r="R9" s="198"/>
      <c r="S9" s="198"/>
      <c r="T9" s="198"/>
      <c r="U9" s="198"/>
    </row>
    <row r="10" spans="1:21" s="12" customFormat="1" x14ac:dyDescent="0.25">
      <c r="A10" s="211" t="s">
        <v>2650</v>
      </c>
      <c r="B10" s="64">
        <v>3.02</v>
      </c>
      <c r="C10" s="64">
        <v>39.72</v>
      </c>
      <c r="D10" s="64">
        <v>24.99</v>
      </c>
      <c r="E10" s="64">
        <v>6.27</v>
      </c>
      <c r="F10" s="64">
        <v>26.57</v>
      </c>
      <c r="G10" s="64">
        <v>96.49</v>
      </c>
      <c r="H10" s="64">
        <v>43.42</v>
      </c>
      <c r="I10" s="64">
        <v>0.8</v>
      </c>
      <c r="J10" s="64">
        <v>0.12</v>
      </c>
      <c r="K10" s="64">
        <v>197.11</v>
      </c>
      <c r="L10" s="64">
        <v>27.29</v>
      </c>
      <c r="M10" s="64">
        <v>44.34</v>
      </c>
      <c r="N10" s="64">
        <v>4.8</v>
      </c>
      <c r="O10" s="64">
        <v>0</v>
      </c>
      <c r="P10" s="64">
        <v>1.18</v>
      </c>
      <c r="Q10" s="64">
        <v>30.01</v>
      </c>
      <c r="R10" s="198"/>
      <c r="S10" s="198"/>
      <c r="T10" s="198"/>
      <c r="U10" s="198"/>
    </row>
    <row r="11" spans="1:21" s="12" customFormat="1" x14ac:dyDescent="0.25">
      <c r="A11" s="211" t="s">
        <v>2651</v>
      </c>
      <c r="B11" s="64">
        <v>6.17</v>
      </c>
      <c r="C11" s="64">
        <v>33.29</v>
      </c>
      <c r="D11" s="64">
        <v>23.97</v>
      </c>
      <c r="E11" s="64">
        <v>6.96</v>
      </c>
      <c r="F11" s="64">
        <v>27.2</v>
      </c>
      <c r="G11" s="64">
        <v>97.46</v>
      </c>
      <c r="H11" s="64">
        <v>43.45</v>
      </c>
      <c r="I11" s="64">
        <v>0.67</v>
      </c>
      <c r="J11" s="64">
        <v>0.42</v>
      </c>
      <c r="K11" s="64">
        <v>199.24</v>
      </c>
      <c r="L11" s="64">
        <v>27.66</v>
      </c>
      <c r="M11" s="64">
        <v>43.39</v>
      </c>
      <c r="N11" s="64">
        <v>3.9</v>
      </c>
      <c r="O11" s="64">
        <v>0</v>
      </c>
      <c r="P11" s="64">
        <v>1.1599999999999999</v>
      </c>
      <c r="Q11" s="64">
        <v>30.68</v>
      </c>
      <c r="R11" s="198"/>
      <c r="S11" s="198"/>
      <c r="T11" s="198"/>
      <c r="U11" s="198"/>
    </row>
    <row r="12" spans="1:21" s="12" customFormat="1" x14ac:dyDescent="0.25">
      <c r="A12" s="211" t="s">
        <v>2652</v>
      </c>
      <c r="B12" s="64">
        <v>5.36</v>
      </c>
      <c r="C12" s="64">
        <v>28.84</v>
      </c>
      <c r="D12" s="64">
        <v>20.86</v>
      </c>
      <c r="E12" s="64">
        <v>6.32</v>
      </c>
      <c r="F12" s="64">
        <v>32.950000000000003</v>
      </c>
      <c r="G12" s="64">
        <v>105.2</v>
      </c>
      <c r="H12" s="64">
        <v>43.71</v>
      </c>
      <c r="I12" s="64">
        <v>0.71</v>
      </c>
      <c r="J12" s="64">
        <v>0.24</v>
      </c>
      <c r="K12" s="64">
        <v>195.94</v>
      </c>
      <c r="L12" s="64">
        <v>27.35</v>
      </c>
      <c r="M12" s="64">
        <v>46.39</v>
      </c>
      <c r="N12" s="64">
        <v>4.9000000000000004</v>
      </c>
      <c r="O12" s="64">
        <v>0</v>
      </c>
      <c r="P12" s="64">
        <v>1.1299999999999999</v>
      </c>
      <c r="Q12" s="64">
        <v>30.95</v>
      </c>
      <c r="R12" s="198"/>
      <c r="S12" s="198"/>
      <c r="T12" s="198"/>
      <c r="U12" s="198"/>
    </row>
    <row r="13" spans="1:21" s="12" customFormat="1" x14ac:dyDescent="0.25">
      <c r="A13" s="211" t="s">
        <v>2653</v>
      </c>
      <c r="B13" s="64">
        <v>5.14</v>
      </c>
      <c r="C13" s="64">
        <v>27.87</v>
      </c>
      <c r="D13" s="64">
        <v>20.149999999999999</v>
      </c>
      <c r="E13" s="64">
        <v>6.54</v>
      </c>
      <c r="F13" s="64">
        <v>32.28</v>
      </c>
      <c r="G13" s="64">
        <v>105.2</v>
      </c>
      <c r="H13" s="64">
        <v>43.71</v>
      </c>
      <c r="I13" s="64">
        <v>0.61</v>
      </c>
      <c r="J13" s="64">
        <v>0.08</v>
      </c>
      <c r="K13" s="64">
        <v>204.68</v>
      </c>
      <c r="L13" s="64">
        <v>26.88</v>
      </c>
      <c r="M13" s="64">
        <v>47.78</v>
      </c>
      <c r="N13" s="64">
        <v>5.3</v>
      </c>
      <c r="O13" s="64">
        <v>0</v>
      </c>
      <c r="P13" s="64">
        <v>1.07</v>
      </c>
      <c r="Q13" s="64">
        <v>31.11</v>
      </c>
      <c r="R13" s="198"/>
      <c r="S13" s="198"/>
      <c r="T13" s="198"/>
      <c r="U13" s="198"/>
    </row>
    <row r="14" spans="1:21" s="12" customFormat="1" x14ac:dyDescent="0.25">
      <c r="A14" s="211" t="s">
        <v>2654</v>
      </c>
      <c r="B14" s="64">
        <v>9.91</v>
      </c>
      <c r="C14" s="64">
        <v>32.159999999999997</v>
      </c>
      <c r="D14" s="64">
        <v>26.34</v>
      </c>
      <c r="E14" s="64">
        <v>5.0999999999999996</v>
      </c>
      <c r="F14" s="64">
        <v>11.29</v>
      </c>
      <c r="G14" s="64">
        <v>105.2</v>
      </c>
      <c r="H14" s="64">
        <v>43.71</v>
      </c>
      <c r="I14" s="64">
        <v>0.53</v>
      </c>
      <c r="J14" s="64">
        <v>0.21</v>
      </c>
      <c r="K14" s="64">
        <v>197.34</v>
      </c>
      <c r="L14" s="64">
        <v>26.8</v>
      </c>
      <c r="M14" s="64">
        <v>47.9</v>
      </c>
      <c r="N14" s="64">
        <v>4.7</v>
      </c>
      <c r="O14" s="64">
        <v>0</v>
      </c>
      <c r="P14" s="64">
        <v>1.06</v>
      </c>
      <c r="Q14" s="64">
        <v>30.48</v>
      </c>
      <c r="R14" s="198"/>
      <c r="S14" s="198"/>
      <c r="T14" s="198"/>
      <c r="U14" s="198"/>
    </row>
    <row r="15" spans="1:21" s="12" customFormat="1" x14ac:dyDescent="0.25">
      <c r="A15" s="211" t="s">
        <v>2655</v>
      </c>
      <c r="B15" s="64">
        <v>8.98</v>
      </c>
      <c r="C15" s="64">
        <v>33.15</v>
      </c>
      <c r="D15" s="64">
        <v>26.14</v>
      </c>
      <c r="E15" s="64">
        <v>3.38</v>
      </c>
      <c r="F15" s="64">
        <v>9.7200000000000006</v>
      </c>
      <c r="G15" s="64">
        <v>102.91</v>
      </c>
      <c r="H15" s="64">
        <v>42.97</v>
      </c>
      <c r="I15" s="64">
        <v>0.55000000000000004</v>
      </c>
      <c r="J15" s="64">
        <v>0.15</v>
      </c>
      <c r="K15" s="64">
        <v>232.36</v>
      </c>
      <c r="L15" s="64">
        <v>26.74</v>
      </c>
      <c r="M15" s="64">
        <v>47.64</v>
      </c>
      <c r="N15" s="64">
        <v>4.8</v>
      </c>
      <c r="O15" s="64">
        <v>0</v>
      </c>
      <c r="P15" s="64">
        <v>0.99</v>
      </c>
      <c r="Q15" s="64">
        <v>29.76</v>
      </c>
      <c r="R15" s="198"/>
      <c r="S15" s="198"/>
      <c r="T15" s="198"/>
      <c r="U15" s="198"/>
    </row>
    <row r="16" spans="1:21" s="12" customFormat="1" x14ac:dyDescent="0.25">
      <c r="A16" s="211" t="s">
        <v>2656</v>
      </c>
      <c r="B16" s="64">
        <v>6.9</v>
      </c>
      <c r="C16" s="64">
        <v>33.19</v>
      </c>
      <c r="D16" s="64">
        <v>24.49</v>
      </c>
      <c r="E16" s="64">
        <v>2.59</v>
      </c>
      <c r="F16" s="64">
        <v>8.82</v>
      </c>
      <c r="G16" s="64">
        <v>82.28</v>
      </c>
      <c r="H16" s="64">
        <v>38.21</v>
      </c>
      <c r="I16" s="64">
        <v>0.7</v>
      </c>
      <c r="J16" s="64">
        <v>0.09</v>
      </c>
      <c r="K16" s="64">
        <v>189.72</v>
      </c>
      <c r="L16" s="64">
        <v>26.78</v>
      </c>
      <c r="M16" s="64">
        <v>46.84</v>
      </c>
      <c r="N16" s="64">
        <v>4.9000000000000004</v>
      </c>
      <c r="O16" s="64">
        <v>0</v>
      </c>
      <c r="P16" s="64">
        <v>0.93</v>
      </c>
      <c r="Q16" s="64">
        <v>29.69</v>
      </c>
      <c r="R16" s="198"/>
      <c r="S16" s="198"/>
      <c r="T16" s="198"/>
      <c r="U16" s="198"/>
    </row>
    <row r="17" spans="1:21" s="12" customFormat="1" x14ac:dyDescent="0.25">
      <c r="A17" s="211" t="s">
        <v>2657</v>
      </c>
      <c r="B17" s="64">
        <v>5.15</v>
      </c>
      <c r="C17" s="64">
        <v>33.11</v>
      </c>
      <c r="D17" s="64">
        <v>23.05</v>
      </c>
      <c r="E17" s="64">
        <v>2.35</v>
      </c>
      <c r="F17" s="64">
        <v>9.0399999999999991</v>
      </c>
      <c r="G17" s="64">
        <v>82.28</v>
      </c>
      <c r="H17" s="64">
        <v>38.21</v>
      </c>
      <c r="I17" s="64">
        <v>0.74</v>
      </c>
      <c r="J17" s="64">
        <v>0.12</v>
      </c>
      <c r="K17" s="64">
        <v>247.34</v>
      </c>
      <c r="L17" s="64">
        <v>26.37</v>
      </c>
      <c r="M17" s="64">
        <v>48.03</v>
      </c>
      <c r="N17" s="64">
        <v>5</v>
      </c>
      <c r="O17" s="64">
        <v>0</v>
      </c>
      <c r="P17" s="64">
        <v>0.88</v>
      </c>
      <c r="Q17" s="64">
        <v>29.3</v>
      </c>
      <c r="R17" s="198"/>
      <c r="S17" s="198"/>
      <c r="T17" s="198"/>
      <c r="U17" s="198"/>
    </row>
    <row r="18" spans="1:21" s="12" customFormat="1" x14ac:dyDescent="0.25">
      <c r="A18" s="211" t="s">
        <v>2658</v>
      </c>
      <c r="B18" s="64">
        <v>3.88</v>
      </c>
      <c r="C18" s="64">
        <v>33.340000000000003</v>
      </c>
      <c r="D18" s="64">
        <v>22.16</v>
      </c>
      <c r="E18" s="64">
        <v>2.08</v>
      </c>
      <c r="F18" s="64">
        <v>8.66</v>
      </c>
      <c r="G18" s="64">
        <v>82.28</v>
      </c>
      <c r="H18" s="64">
        <v>38.21</v>
      </c>
      <c r="I18" s="64">
        <v>0.61</v>
      </c>
      <c r="J18" s="64">
        <v>0.13</v>
      </c>
      <c r="K18" s="64">
        <v>256.01</v>
      </c>
      <c r="L18" s="64">
        <v>26.14</v>
      </c>
      <c r="M18" s="64">
        <v>49.6</v>
      </c>
      <c r="N18" s="64">
        <v>5.0999999999999996</v>
      </c>
      <c r="O18" s="64">
        <v>0</v>
      </c>
      <c r="P18" s="64">
        <v>0.84</v>
      </c>
      <c r="Q18" s="64">
        <v>28.86</v>
      </c>
      <c r="R18" s="198"/>
      <c r="S18" s="198"/>
      <c r="T18" s="198"/>
      <c r="U18" s="198"/>
    </row>
    <row r="19" spans="1:21" s="12" customFormat="1" x14ac:dyDescent="0.25">
      <c r="A19" s="211" t="s">
        <v>2659</v>
      </c>
      <c r="B19" s="64">
        <v>3.47</v>
      </c>
      <c r="C19" s="64">
        <v>33.46</v>
      </c>
      <c r="D19" s="64">
        <v>21.9</v>
      </c>
      <c r="E19" s="64">
        <v>1.94</v>
      </c>
      <c r="F19" s="64">
        <v>8.7899999999999991</v>
      </c>
      <c r="G19" s="64">
        <v>81.55</v>
      </c>
      <c r="H19" s="64">
        <v>37.78</v>
      </c>
      <c r="I19" s="64">
        <v>0.6</v>
      </c>
      <c r="J19" s="64">
        <v>0.1</v>
      </c>
      <c r="K19" s="64">
        <v>222.21</v>
      </c>
      <c r="L19" s="64">
        <v>25.99</v>
      </c>
      <c r="M19" s="64">
        <v>49.34</v>
      </c>
      <c r="N19" s="64">
        <v>4.9000000000000004</v>
      </c>
      <c r="O19" s="64">
        <v>0</v>
      </c>
      <c r="P19" s="64">
        <v>0.79</v>
      </c>
      <c r="Q19" s="64">
        <v>28.38</v>
      </c>
      <c r="R19" s="198"/>
      <c r="S19" s="198"/>
      <c r="T19" s="198"/>
      <c r="U19" s="198"/>
    </row>
    <row r="20" spans="1:21" s="12" customFormat="1" x14ac:dyDescent="0.25">
      <c r="A20" s="211" t="s">
        <v>2660</v>
      </c>
      <c r="B20" s="64">
        <v>2.83</v>
      </c>
      <c r="C20" s="64">
        <v>32.19</v>
      </c>
      <c r="D20" s="64">
        <v>20.68</v>
      </c>
      <c r="E20" s="64">
        <v>1.84</v>
      </c>
      <c r="F20" s="64">
        <v>10.54</v>
      </c>
      <c r="G20" s="64">
        <v>75.010000000000005</v>
      </c>
      <c r="H20" s="64">
        <v>35.03</v>
      </c>
      <c r="I20" s="64">
        <v>0.59</v>
      </c>
      <c r="J20" s="64">
        <v>0.12</v>
      </c>
      <c r="K20" s="64">
        <v>249.93</v>
      </c>
      <c r="L20" s="64">
        <v>25.93</v>
      </c>
      <c r="M20" s="64">
        <v>49.53</v>
      </c>
      <c r="N20" s="64">
        <v>4.9000000000000004</v>
      </c>
      <c r="O20" s="64">
        <v>0</v>
      </c>
      <c r="P20" s="64">
        <v>0.75</v>
      </c>
      <c r="Q20" s="64">
        <v>28.36</v>
      </c>
      <c r="R20" s="198"/>
      <c r="S20" s="198"/>
      <c r="T20" s="198"/>
      <c r="U20" s="198"/>
    </row>
    <row r="21" spans="1:21" s="12" customFormat="1" x14ac:dyDescent="0.25">
      <c r="A21" s="211" t="s">
        <v>2661</v>
      </c>
      <c r="B21" s="64">
        <v>1.97</v>
      </c>
      <c r="C21" s="64">
        <v>29.56</v>
      </c>
      <c r="D21" s="64">
        <v>18.54</v>
      </c>
      <c r="E21" s="64">
        <v>2.35</v>
      </c>
      <c r="F21" s="64">
        <v>24.76</v>
      </c>
      <c r="G21" s="64">
        <v>75.010000000000005</v>
      </c>
      <c r="H21" s="64">
        <v>35.03</v>
      </c>
      <c r="I21" s="64">
        <v>0.59</v>
      </c>
      <c r="J21" s="64">
        <v>0.1</v>
      </c>
      <c r="K21" s="64">
        <v>252.83</v>
      </c>
      <c r="L21" s="64">
        <v>26.13</v>
      </c>
      <c r="M21" s="64">
        <v>49.01</v>
      </c>
      <c r="N21" s="64">
        <v>4.9000000000000004</v>
      </c>
      <c r="O21" s="64">
        <v>0</v>
      </c>
      <c r="P21" s="64">
        <v>0.73</v>
      </c>
      <c r="Q21" s="64">
        <v>28.59</v>
      </c>
      <c r="R21" s="198"/>
      <c r="S21" s="198"/>
      <c r="T21" s="198"/>
      <c r="U21" s="198"/>
    </row>
    <row r="22" spans="1:21" s="12" customFormat="1" x14ac:dyDescent="0.25">
      <c r="A22" s="211" t="s">
        <v>2662</v>
      </c>
      <c r="B22" s="64">
        <v>1.1200000000000001</v>
      </c>
      <c r="C22" s="64">
        <v>22.54</v>
      </c>
      <c r="D22" s="64">
        <v>13.99</v>
      </c>
      <c r="E22" s="64">
        <v>3.44</v>
      </c>
      <c r="F22" s="64">
        <v>32.74</v>
      </c>
      <c r="G22" s="64">
        <v>75.010000000000005</v>
      </c>
      <c r="H22" s="64">
        <v>35.03</v>
      </c>
      <c r="I22" s="64">
        <v>0.67</v>
      </c>
      <c r="J22" s="64">
        <v>0.14000000000000001</v>
      </c>
      <c r="K22" s="64">
        <v>243.72</v>
      </c>
      <c r="L22" s="64">
        <v>26.33</v>
      </c>
      <c r="M22" s="64">
        <v>48.33</v>
      </c>
      <c r="N22" s="64">
        <v>4.7</v>
      </c>
      <c r="O22" s="64">
        <v>0</v>
      </c>
      <c r="P22" s="64">
        <v>0.71</v>
      </c>
      <c r="Q22" s="64">
        <v>29.16</v>
      </c>
      <c r="R22" s="198"/>
      <c r="S22" s="198"/>
      <c r="T22" s="198"/>
      <c r="U22" s="198"/>
    </row>
    <row r="23" spans="1:21" s="12" customFormat="1" x14ac:dyDescent="0.25">
      <c r="A23" s="211" t="s">
        <v>2663</v>
      </c>
      <c r="B23" s="64">
        <v>2.48</v>
      </c>
      <c r="C23" s="64">
        <v>25.28</v>
      </c>
      <c r="D23" s="64">
        <v>16.579999999999998</v>
      </c>
      <c r="E23" s="64">
        <v>3.67</v>
      </c>
      <c r="F23" s="64">
        <v>30.14</v>
      </c>
      <c r="G23" s="64">
        <v>73.48</v>
      </c>
      <c r="H23" s="64">
        <v>34.97</v>
      </c>
      <c r="I23" s="64">
        <v>0.65</v>
      </c>
      <c r="J23" s="64">
        <v>0.11</v>
      </c>
      <c r="K23" s="64">
        <v>252.33</v>
      </c>
      <c r="L23" s="64">
        <v>26.17</v>
      </c>
      <c r="M23" s="64">
        <v>48.93</v>
      </c>
      <c r="N23" s="64">
        <v>5.0999999999999996</v>
      </c>
      <c r="O23" s="64">
        <v>0</v>
      </c>
      <c r="P23" s="64">
        <v>0.71</v>
      </c>
      <c r="Q23" s="64">
        <v>28.65</v>
      </c>
      <c r="R23" s="198"/>
      <c r="S23" s="198"/>
      <c r="T23" s="198"/>
      <c r="U23" s="198"/>
    </row>
    <row r="24" spans="1:21" s="12" customFormat="1" x14ac:dyDescent="0.25">
      <c r="A24" s="211" t="s">
        <v>2664</v>
      </c>
      <c r="B24" s="64">
        <v>1.86</v>
      </c>
      <c r="C24" s="64">
        <v>24.08</v>
      </c>
      <c r="D24" s="64">
        <v>15.42</v>
      </c>
      <c r="E24" s="64">
        <v>3.67</v>
      </c>
      <c r="F24" s="64">
        <v>31.38</v>
      </c>
      <c r="G24" s="64">
        <v>59.76</v>
      </c>
      <c r="H24" s="64">
        <v>34.57</v>
      </c>
      <c r="I24" s="64">
        <v>0.51</v>
      </c>
      <c r="J24" s="64">
        <v>0.11</v>
      </c>
      <c r="K24" s="64">
        <v>234.88</v>
      </c>
      <c r="L24" s="64">
        <v>25.88</v>
      </c>
      <c r="M24" s="64">
        <v>49.75</v>
      </c>
      <c r="N24" s="64">
        <v>5</v>
      </c>
      <c r="O24" s="64">
        <v>0</v>
      </c>
      <c r="P24" s="64">
        <v>0.69</v>
      </c>
      <c r="Q24" s="64">
        <v>28.87</v>
      </c>
      <c r="R24" s="198"/>
      <c r="S24" s="198"/>
      <c r="T24" s="198"/>
      <c r="U24" s="198"/>
    </row>
    <row r="25" spans="1:21" s="12" customFormat="1" x14ac:dyDescent="0.25">
      <c r="A25" s="211" t="s">
        <v>2665</v>
      </c>
      <c r="B25" s="64">
        <v>2.08</v>
      </c>
      <c r="C25" s="64">
        <v>26.89</v>
      </c>
      <c r="D25" s="64">
        <v>17.149999999999999</v>
      </c>
      <c r="E25" s="64">
        <v>4.59</v>
      </c>
      <c r="F25" s="64">
        <v>22.31</v>
      </c>
      <c r="G25" s="64">
        <v>59.76</v>
      </c>
      <c r="H25" s="64">
        <v>34.57</v>
      </c>
      <c r="I25" s="64">
        <v>0.53</v>
      </c>
      <c r="J25" s="64">
        <v>0.12</v>
      </c>
      <c r="K25" s="64">
        <v>199.88</v>
      </c>
      <c r="L25" s="64">
        <v>25.85</v>
      </c>
      <c r="M25" s="64">
        <v>50.27</v>
      </c>
      <c r="N25" s="64">
        <v>4.7</v>
      </c>
      <c r="O25" s="64">
        <v>0</v>
      </c>
      <c r="P25" s="64">
        <v>0.69</v>
      </c>
      <c r="Q25" s="64">
        <v>29.19</v>
      </c>
      <c r="R25" s="198"/>
      <c r="S25" s="198"/>
      <c r="T25" s="198"/>
      <c r="U25" s="198"/>
    </row>
    <row r="26" spans="1:21" s="12" customFormat="1" x14ac:dyDescent="0.25">
      <c r="A26" s="211" t="s">
        <v>2666</v>
      </c>
      <c r="B26" s="64">
        <v>2.78</v>
      </c>
      <c r="C26" s="64">
        <v>29.13</v>
      </c>
      <c r="D26" s="64">
        <v>18.95</v>
      </c>
      <c r="E26" s="64">
        <v>3.52</v>
      </c>
      <c r="F26" s="64">
        <v>8.9600000000000009</v>
      </c>
      <c r="G26" s="64">
        <v>59.76</v>
      </c>
      <c r="H26" s="64">
        <v>34.57</v>
      </c>
      <c r="I26" s="64">
        <v>0.75</v>
      </c>
      <c r="J26" s="64">
        <v>0.12</v>
      </c>
      <c r="K26" s="64">
        <v>226.3</v>
      </c>
      <c r="L26" s="64">
        <v>25.72</v>
      </c>
      <c r="M26" s="64">
        <v>51.09</v>
      </c>
      <c r="N26" s="64">
        <v>4.9000000000000004</v>
      </c>
      <c r="O26" s="64">
        <v>0</v>
      </c>
      <c r="P26" s="64">
        <v>0.66</v>
      </c>
      <c r="Q26" s="64">
        <v>28.86</v>
      </c>
      <c r="R26" s="198"/>
      <c r="S26" s="198"/>
      <c r="T26" s="198"/>
      <c r="U26" s="198"/>
    </row>
    <row r="27" spans="1:21" s="12" customFormat="1" x14ac:dyDescent="0.25">
      <c r="A27" s="211" t="s">
        <v>2667</v>
      </c>
      <c r="B27" s="64">
        <v>2.46</v>
      </c>
      <c r="C27" s="64">
        <v>28.41</v>
      </c>
      <c r="D27" s="64">
        <v>18.29</v>
      </c>
      <c r="E27" s="64">
        <v>2.88</v>
      </c>
      <c r="F27" s="64">
        <v>8.33</v>
      </c>
      <c r="G27" s="64">
        <v>58.89</v>
      </c>
      <c r="H27" s="64">
        <v>33.9</v>
      </c>
      <c r="I27" s="64">
        <v>0.64</v>
      </c>
      <c r="J27" s="64">
        <v>0.11</v>
      </c>
      <c r="K27" s="64">
        <v>239.07</v>
      </c>
      <c r="L27" s="64">
        <v>25.58</v>
      </c>
      <c r="M27" s="64">
        <v>52.01</v>
      </c>
      <c r="N27" s="64">
        <v>5</v>
      </c>
      <c r="O27" s="64">
        <v>0</v>
      </c>
      <c r="P27" s="64">
        <v>0.64</v>
      </c>
      <c r="Q27" s="64">
        <v>28.99</v>
      </c>
      <c r="R27" s="198"/>
      <c r="S27" s="198"/>
      <c r="T27" s="198"/>
      <c r="U27" s="198"/>
    </row>
    <row r="28" spans="1:21" s="12" customFormat="1" x14ac:dyDescent="0.25">
      <c r="A28" s="211" t="s">
        <v>2668</v>
      </c>
      <c r="B28" s="64">
        <v>2.0099999999999998</v>
      </c>
      <c r="C28" s="64">
        <v>28.25</v>
      </c>
      <c r="D28" s="64">
        <v>17.850000000000001</v>
      </c>
      <c r="E28" s="64">
        <v>2.58</v>
      </c>
      <c r="F28" s="64">
        <v>7.76</v>
      </c>
      <c r="G28" s="64">
        <v>51.07</v>
      </c>
      <c r="H28" s="64">
        <v>29.56</v>
      </c>
      <c r="I28" s="64">
        <v>0.73</v>
      </c>
      <c r="J28" s="64">
        <v>0.01</v>
      </c>
      <c r="K28" s="64">
        <v>228.88</v>
      </c>
      <c r="L28" s="64">
        <v>25.56</v>
      </c>
      <c r="M28" s="64">
        <v>52.45</v>
      </c>
      <c r="N28" s="64">
        <v>5.0999999999999996</v>
      </c>
      <c r="O28" s="64">
        <v>0</v>
      </c>
      <c r="P28" s="64">
        <v>0.63</v>
      </c>
      <c r="Q28" s="64">
        <v>29.27</v>
      </c>
      <c r="R28" s="198"/>
      <c r="S28" s="198"/>
      <c r="T28" s="198"/>
      <c r="U28" s="198"/>
    </row>
    <row r="29" spans="1:21" s="12" customFormat="1" x14ac:dyDescent="0.25">
      <c r="A29" s="211" t="s">
        <v>2669</v>
      </c>
      <c r="B29" s="64">
        <v>1.75</v>
      </c>
      <c r="C29" s="64">
        <v>28.33</v>
      </c>
      <c r="D29" s="64">
        <v>17.690000000000001</v>
      </c>
      <c r="E29" s="64">
        <v>2.2000000000000002</v>
      </c>
      <c r="F29" s="64">
        <v>6.91</v>
      </c>
      <c r="G29" s="64">
        <v>51.07</v>
      </c>
      <c r="H29" s="64">
        <v>29.56</v>
      </c>
      <c r="I29" s="64">
        <v>0.67</v>
      </c>
      <c r="J29" s="64">
        <v>0.08</v>
      </c>
      <c r="K29" s="64">
        <v>224.99</v>
      </c>
      <c r="L29" s="64">
        <v>25.54</v>
      </c>
      <c r="M29" s="64">
        <v>53.16</v>
      </c>
      <c r="N29" s="64">
        <v>6.5</v>
      </c>
      <c r="O29" s="64">
        <v>0</v>
      </c>
      <c r="P29" s="64">
        <v>0.61</v>
      </c>
      <c r="Q29" s="64">
        <v>29.05</v>
      </c>
      <c r="R29" s="198"/>
      <c r="S29" s="198"/>
      <c r="T29" s="198"/>
      <c r="U29" s="198"/>
    </row>
    <row r="30" spans="1:21" s="12" customFormat="1" x14ac:dyDescent="0.25">
      <c r="A30" s="211" t="s">
        <v>2670</v>
      </c>
      <c r="B30" s="64">
        <v>1.65</v>
      </c>
      <c r="C30" s="64">
        <v>28.55</v>
      </c>
      <c r="D30" s="64">
        <v>17.73</v>
      </c>
      <c r="E30" s="64">
        <v>2.2200000000000002</v>
      </c>
      <c r="F30" s="64">
        <v>6.82</v>
      </c>
      <c r="G30" s="64">
        <v>51.07</v>
      </c>
      <c r="H30" s="64">
        <v>29.56</v>
      </c>
      <c r="I30" s="64">
        <v>0.67</v>
      </c>
      <c r="J30" s="64">
        <v>0.19</v>
      </c>
      <c r="K30" s="64">
        <v>174.83</v>
      </c>
      <c r="L30" s="64">
        <v>25.38</v>
      </c>
      <c r="M30" s="64">
        <v>54.1</v>
      </c>
      <c r="N30" s="64">
        <v>13.4</v>
      </c>
      <c r="O30" s="64">
        <v>0</v>
      </c>
      <c r="P30" s="64">
        <v>0.59</v>
      </c>
      <c r="Q30" s="64">
        <v>28.59</v>
      </c>
      <c r="R30" s="198"/>
      <c r="S30" s="198"/>
      <c r="T30" s="198"/>
      <c r="U30" s="198"/>
    </row>
    <row r="31" spans="1:21" s="12" customFormat="1" x14ac:dyDescent="0.25">
      <c r="A31" s="211" t="s">
        <v>2671</v>
      </c>
      <c r="B31" s="64">
        <v>1.71</v>
      </c>
      <c r="C31" s="64">
        <v>29.35</v>
      </c>
      <c r="D31" s="64">
        <v>18.21</v>
      </c>
      <c r="E31" s="64">
        <v>2.2400000000000002</v>
      </c>
      <c r="F31" s="64">
        <v>6.56</v>
      </c>
      <c r="G31" s="64">
        <v>50.93</v>
      </c>
      <c r="H31" s="64">
        <v>29.54</v>
      </c>
      <c r="I31" s="64">
        <v>0.63</v>
      </c>
      <c r="J31" s="64">
        <v>0.12</v>
      </c>
      <c r="K31" s="64">
        <v>217.85</v>
      </c>
      <c r="L31" s="64">
        <v>25.67</v>
      </c>
      <c r="M31" s="64">
        <v>53.14</v>
      </c>
      <c r="N31" s="64">
        <v>32.6</v>
      </c>
      <c r="O31" s="64">
        <v>0</v>
      </c>
      <c r="P31" s="64">
        <v>0.57999999999999996</v>
      </c>
      <c r="Q31" s="64">
        <v>28.4</v>
      </c>
      <c r="R31" s="198"/>
      <c r="S31" s="198"/>
      <c r="T31" s="198"/>
      <c r="U31" s="198"/>
    </row>
    <row r="32" spans="1:21" s="12" customFormat="1" x14ac:dyDescent="0.25">
      <c r="A32" s="211" t="s">
        <v>2672</v>
      </c>
      <c r="B32" s="64">
        <v>1.75</v>
      </c>
      <c r="C32" s="64">
        <v>29.72</v>
      </c>
      <c r="D32" s="64">
        <v>18.46</v>
      </c>
      <c r="E32" s="64">
        <v>2.04</v>
      </c>
      <c r="F32" s="64">
        <v>6.75</v>
      </c>
      <c r="G32" s="64">
        <v>49.82</v>
      </c>
      <c r="H32" s="64">
        <v>29.37</v>
      </c>
      <c r="I32" s="64">
        <v>0.73</v>
      </c>
      <c r="J32" s="64">
        <v>0.14000000000000001</v>
      </c>
      <c r="K32" s="64">
        <v>219.16</v>
      </c>
      <c r="L32" s="64">
        <v>26.03</v>
      </c>
      <c r="M32" s="64">
        <v>52.14</v>
      </c>
      <c r="N32" s="64">
        <v>48.4</v>
      </c>
      <c r="O32" s="64">
        <v>0</v>
      </c>
      <c r="P32" s="64">
        <v>0.57999999999999996</v>
      </c>
      <c r="Q32" s="64">
        <v>28.28</v>
      </c>
      <c r="R32" s="198"/>
      <c r="S32" s="198"/>
      <c r="T32" s="198"/>
      <c r="U32" s="198"/>
    </row>
    <row r="33" spans="1:21" s="12" customFormat="1" x14ac:dyDescent="0.25">
      <c r="A33" s="211" t="s">
        <v>2673</v>
      </c>
      <c r="B33" s="64">
        <v>4.17</v>
      </c>
      <c r="C33" s="64">
        <v>31.84</v>
      </c>
      <c r="D33" s="64">
        <v>21.56</v>
      </c>
      <c r="E33" s="64">
        <v>2.63</v>
      </c>
      <c r="F33" s="64">
        <v>24.1</v>
      </c>
      <c r="G33" s="64">
        <v>49.82</v>
      </c>
      <c r="H33" s="64">
        <v>29.37</v>
      </c>
      <c r="I33" s="64">
        <v>0.56000000000000005</v>
      </c>
      <c r="J33" s="64">
        <v>0.12</v>
      </c>
      <c r="K33" s="64">
        <v>206.85</v>
      </c>
      <c r="L33" s="64">
        <v>26.31</v>
      </c>
      <c r="M33" s="64">
        <v>51.92</v>
      </c>
      <c r="N33" s="64">
        <v>72</v>
      </c>
      <c r="O33" s="64">
        <v>0</v>
      </c>
      <c r="P33" s="64">
        <v>0.57999999999999996</v>
      </c>
      <c r="Q33" s="64">
        <v>28.45</v>
      </c>
      <c r="R33" s="198"/>
      <c r="S33" s="198"/>
      <c r="T33" s="198"/>
      <c r="U33" s="198"/>
    </row>
    <row r="34" spans="1:21" s="12" customFormat="1" x14ac:dyDescent="0.25">
      <c r="A34" s="211" t="s">
        <v>2674</v>
      </c>
      <c r="B34" s="64">
        <v>2.61</v>
      </c>
      <c r="C34" s="64">
        <v>30.08</v>
      </c>
      <c r="D34" s="64">
        <v>19.34</v>
      </c>
      <c r="E34" s="64">
        <v>3.02</v>
      </c>
      <c r="F34" s="64">
        <v>23.48</v>
      </c>
      <c r="G34" s="64">
        <v>49.82</v>
      </c>
      <c r="H34" s="64">
        <v>29.37</v>
      </c>
      <c r="I34" s="64">
        <v>0.71</v>
      </c>
      <c r="J34" s="64">
        <v>0.1</v>
      </c>
      <c r="K34" s="64">
        <v>210.07</v>
      </c>
      <c r="L34" s="64">
        <v>26.74</v>
      </c>
      <c r="M34" s="64">
        <v>51.6</v>
      </c>
      <c r="N34" s="64">
        <v>85</v>
      </c>
      <c r="O34" s="64">
        <v>0</v>
      </c>
      <c r="P34" s="64">
        <v>0.6</v>
      </c>
      <c r="Q34" s="64">
        <v>28.19</v>
      </c>
      <c r="R34" s="198"/>
      <c r="S34" s="198"/>
      <c r="T34" s="198"/>
      <c r="U34" s="198"/>
    </row>
    <row r="35" spans="1:21" s="12" customFormat="1" x14ac:dyDescent="0.25">
      <c r="A35" s="211" t="s">
        <v>2675</v>
      </c>
      <c r="B35" s="64">
        <v>4.68</v>
      </c>
      <c r="C35" s="64">
        <v>32.43</v>
      </c>
      <c r="D35" s="64">
        <v>22.3</v>
      </c>
      <c r="E35" s="64">
        <v>3.68</v>
      </c>
      <c r="F35" s="64">
        <v>12.87</v>
      </c>
      <c r="G35" s="64">
        <v>50.16</v>
      </c>
      <c r="H35" s="64">
        <v>29.1</v>
      </c>
      <c r="I35" s="64">
        <v>0.68</v>
      </c>
      <c r="J35" s="64">
        <v>0.92</v>
      </c>
      <c r="K35" s="64">
        <v>251.51</v>
      </c>
      <c r="L35" s="64">
        <v>27.12</v>
      </c>
      <c r="M35" s="64">
        <v>51.47</v>
      </c>
      <c r="N35" s="64">
        <v>75.400000000000006</v>
      </c>
      <c r="O35" s="64">
        <v>0</v>
      </c>
      <c r="P35" s="64">
        <v>0.6</v>
      </c>
      <c r="Q35" s="64">
        <v>27.75</v>
      </c>
      <c r="R35" s="198"/>
      <c r="S35" s="198"/>
      <c r="T35" s="198"/>
      <c r="U35" s="198"/>
    </row>
    <row r="36" spans="1:21" s="12" customFormat="1" x14ac:dyDescent="0.25">
      <c r="A36" s="211" t="s">
        <v>2676</v>
      </c>
      <c r="B36" s="64">
        <v>3.72</v>
      </c>
      <c r="C36" s="64">
        <v>28.4</v>
      </c>
      <c r="D36" s="64">
        <v>19.3</v>
      </c>
      <c r="E36" s="64">
        <v>2.87</v>
      </c>
      <c r="F36" s="64">
        <v>7.23</v>
      </c>
      <c r="G36" s="64">
        <v>52.87</v>
      </c>
      <c r="H36" s="64">
        <v>27.04</v>
      </c>
      <c r="I36" s="64">
        <v>0.72</v>
      </c>
      <c r="J36" s="64">
        <v>1.55</v>
      </c>
      <c r="K36" s="64">
        <v>251.48</v>
      </c>
      <c r="L36" s="64">
        <v>27.44</v>
      </c>
      <c r="M36" s="64">
        <v>47.27</v>
      </c>
      <c r="N36" s="64">
        <v>1.9</v>
      </c>
      <c r="O36" s="64">
        <v>0</v>
      </c>
      <c r="P36" s="64">
        <v>0.62</v>
      </c>
      <c r="Q36" s="64">
        <v>28.22</v>
      </c>
      <c r="R36" s="198"/>
      <c r="S36" s="198"/>
      <c r="T36" s="198"/>
      <c r="U36" s="198"/>
    </row>
    <row r="37" spans="1:21" s="12" customFormat="1" x14ac:dyDescent="0.25">
      <c r="A37" s="211" t="s">
        <v>2677</v>
      </c>
      <c r="B37" s="64">
        <v>4.79</v>
      </c>
      <c r="C37" s="64">
        <v>31.03</v>
      </c>
      <c r="D37" s="64">
        <v>21.61</v>
      </c>
      <c r="E37" s="64">
        <v>3</v>
      </c>
      <c r="F37" s="64">
        <v>6.85</v>
      </c>
      <c r="G37" s="64">
        <v>52.87</v>
      </c>
      <c r="H37" s="64">
        <v>27.04</v>
      </c>
      <c r="I37" s="64">
        <v>0.69</v>
      </c>
      <c r="J37" s="64">
        <v>1.1200000000000001</v>
      </c>
      <c r="K37" s="64">
        <v>256.26</v>
      </c>
      <c r="L37" s="64">
        <v>29.59</v>
      </c>
      <c r="M37" s="64">
        <v>38.51</v>
      </c>
      <c r="N37" s="214" t="s">
        <v>42</v>
      </c>
      <c r="O37" s="64">
        <v>0</v>
      </c>
      <c r="P37" s="64">
        <v>0.59</v>
      </c>
      <c r="Q37" s="64">
        <v>27.83</v>
      </c>
      <c r="R37" s="198"/>
      <c r="S37" s="198"/>
      <c r="T37" s="198"/>
      <c r="U37" s="198"/>
    </row>
    <row r="38" spans="1:21" s="12" customFormat="1" x14ac:dyDescent="0.25">
      <c r="A38" s="211" t="s">
        <v>2678</v>
      </c>
      <c r="B38" s="64">
        <v>4.49</v>
      </c>
      <c r="C38" s="64">
        <v>30.39</v>
      </c>
      <c r="D38" s="64">
        <v>21.02</v>
      </c>
      <c r="E38" s="64">
        <v>2.92</v>
      </c>
      <c r="F38" s="64">
        <v>5.26</v>
      </c>
      <c r="G38" s="64">
        <v>52.87</v>
      </c>
      <c r="H38" s="64">
        <v>27.04</v>
      </c>
      <c r="I38" s="64">
        <v>0.67</v>
      </c>
      <c r="J38" s="64">
        <v>1.54</v>
      </c>
      <c r="K38" s="64">
        <v>253.66</v>
      </c>
      <c r="L38" s="64">
        <v>30.84</v>
      </c>
      <c r="M38" s="64">
        <v>35.44</v>
      </c>
      <c r="N38" s="214" t="s">
        <v>42</v>
      </c>
      <c r="O38" s="64">
        <v>0</v>
      </c>
      <c r="P38" s="64">
        <v>0.64</v>
      </c>
      <c r="Q38" s="64">
        <v>27.68</v>
      </c>
      <c r="R38" s="198"/>
      <c r="S38" s="198"/>
      <c r="T38" s="198"/>
      <c r="U38" s="198"/>
    </row>
    <row r="39" spans="1:21" s="12" customFormat="1" x14ac:dyDescent="0.25">
      <c r="A39" s="211" t="s">
        <v>2679</v>
      </c>
      <c r="B39" s="64">
        <v>4.2</v>
      </c>
      <c r="C39" s="64">
        <v>32.4</v>
      </c>
      <c r="D39" s="64">
        <v>21.9</v>
      </c>
      <c r="E39" s="64">
        <v>2.64</v>
      </c>
      <c r="F39" s="64">
        <v>5.58</v>
      </c>
      <c r="G39" s="64">
        <v>53.64</v>
      </c>
      <c r="H39" s="64">
        <v>27.25</v>
      </c>
      <c r="I39" s="64">
        <v>0.74</v>
      </c>
      <c r="J39" s="64">
        <v>0.83</v>
      </c>
      <c r="K39" s="64">
        <v>260.08</v>
      </c>
      <c r="L39" s="64">
        <v>32.24</v>
      </c>
      <c r="M39" s="64">
        <v>32.67</v>
      </c>
      <c r="N39" s="214" t="s">
        <v>42</v>
      </c>
      <c r="O39" s="64">
        <v>0</v>
      </c>
      <c r="P39" s="64">
        <v>0.65</v>
      </c>
      <c r="Q39" s="64">
        <v>27.92</v>
      </c>
      <c r="R39" s="198"/>
      <c r="S39" s="198"/>
      <c r="T39" s="198"/>
      <c r="U39" s="198"/>
    </row>
    <row r="40" spans="1:21" s="12" customFormat="1" x14ac:dyDescent="0.25">
      <c r="A40" s="211" t="s">
        <v>2680</v>
      </c>
      <c r="B40" s="64">
        <v>4.76</v>
      </c>
      <c r="C40" s="64">
        <v>34.53</v>
      </c>
      <c r="D40" s="64">
        <v>23.52</v>
      </c>
      <c r="E40" s="64">
        <v>1.0900000000000001</v>
      </c>
      <c r="F40" s="64">
        <v>6.64</v>
      </c>
      <c r="G40" s="64">
        <v>60.61</v>
      </c>
      <c r="H40" s="64">
        <v>28.81</v>
      </c>
      <c r="I40" s="64">
        <v>0.56999999999999995</v>
      </c>
      <c r="J40" s="64">
        <v>0.56999999999999995</v>
      </c>
      <c r="K40" s="64">
        <v>269.89999999999998</v>
      </c>
      <c r="L40" s="64">
        <v>33.92</v>
      </c>
      <c r="M40" s="64">
        <v>30.01</v>
      </c>
      <c r="N40" s="214" t="s">
        <v>42</v>
      </c>
      <c r="O40" s="64">
        <v>0</v>
      </c>
      <c r="P40" s="64">
        <v>0.66</v>
      </c>
      <c r="Q40" s="64">
        <v>28.16</v>
      </c>
      <c r="R40" s="198"/>
      <c r="S40" s="198"/>
      <c r="T40" s="198"/>
      <c r="U40" s="198"/>
    </row>
    <row r="41" spans="1:21" s="12" customFormat="1" x14ac:dyDescent="0.25">
      <c r="A41" s="211" t="s">
        <v>2681</v>
      </c>
      <c r="B41" s="64">
        <v>6.18</v>
      </c>
      <c r="C41" s="64">
        <v>36.659999999999997</v>
      </c>
      <c r="D41" s="64">
        <v>25.84</v>
      </c>
      <c r="E41" s="64">
        <v>2.19</v>
      </c>
      <c r="F41" s="64">
        <v>6.24</v>
      </c>
      <c r="G41" s="64">
        <v>60.61</v>
      </c>
      <c r="H41" s="64">
        <v>28.81</v>
      </c>
      <c r="I41" s="64">
        <v>0.56999999999999995</v>
      </c>
      <c r="J41" s="64">
        <v>0.88</v>
      </c>
      <c r="K41" s="64">
        <v>261.58999999999997</v>
      </c>
      <c r="L41" s="64">
        <v>34.81</v>
      </c>
      <c r="M41" s="64">
        <v>28.7</v>
      </c>
      <c r="N41" s="214" t="s">
        <v>42</v>
      </c>
      <c r="O41" s="64">
        <v>0</v>
      </c>
      <c r="P41" s="64">
        <v>0.69</v>
      </c>
      <c r="Q41" s="64">
        <v>27.81</v>
      </c>
      <c r="R41" s="198"/>
      <c r="S41" s="198"/>
      <c r="T41" s="198"/>
      <c r="U41" s="198"/>
    </row>
    <row r="42" spans="1:21" s="12" customFormat="1" x14ac:dyDescent="0.25">
      <c r="A42" s="211" t="s">
        <v>2682</v>
      </c>
      <c r="B42" s="64">
        <v>5.26</v>
      </c>
      <c r="C42" s="64">
        <v>40.25</v>
      </c>
      <c r="D42" s="64">
        <v>27.08</v>
      </c>
      <c r="E42" s="64">
        <v>2.5</v>
      </c>
      <c r="F42" s="64">
        <v>9.3000000000000007</v>
      </c>
      <c r="G42" s="64">
        <v>60.61</v>
      </c>
      <c r="H42" s="64">
        <v>28.81</v>
      </c>
      <c r="I42" s="64">
        <v>0.77</v>
      </c>
      <c r="J42" s="64">
        <v>0.48</v>
      </c>
      <c r="K42" s="64">
        <v>248.15</v>
      </c>
      <c r="L42" s="64">
        <v>33.6</v>
      </c>
      <c r="M42" s="64">
        <v>30.71</v>
      </c>
      <c r="N42" s="214" t="s">
        <v>42</v>
      </c>
      <c r="O42" s="64">
        <v>0</v>
      </c>
      <c r="P42" s="64">
        <v>0.69</v>
      </c>
      <c r="Q42" s="64">
        <v>27.53</v>
      </c>
      <c r="R42" s="198"/>
      <c r="S42" s="198"/>
      <c r="T42" s="198"/>
      <c r="U42" s="198"/>
    </row>
    <row r="43" spans="1:21" s="12" customFormat="1" x14ac:dyDescent="0.25">
      <c r="A43" s="211" t="s">
        <v>2683</v>
      </c>
      <c r="B43" s="64">
        <v>4.6500000000000004</v>
      </c>
      <c r="C43" s="64">
        <v>40.729999999999997</v>
      </c>
      <c r="D43" s="64">
        <v>26.85</v>
      </c>
      <c r="E43" s="64">
        <v>2.99</v>
      </c>
      <c r="F43" s="64">
        <v>9.51</v>
      </c>
      <c r="G43" s="64">
        <v>62.68</v>
      </c>
      <c r="H43" s="64">
        <v>29.4</v>
      </c>
      <c r="I43" s="64">
        <v>0.57999999999999996</v>
      </c>
      <c r="J43" s="64">
        <v>0.39</v>
      </c>
      <c r="K43" s="64">
        <v>255.8</v>
      </c>
      <c r="L43" s="64">
        <v>33.409999999999997</v>
      </c>
      <c r="M43" s="64">
        <v>29.98</v>
      </c>
      <c r="N43" s="214" t="s">
        <v>42</v>
      </c>
      <c r="O43" s="64">
        <v>0</v>
      </c>
      <c r="P43" s="64">
        <v>0.69</v>
      </c>
      <c r="Q43" s="64">
        <v>27.35</v>
      </c>
      <c r="R43" s="198"/>
      <c r="S43" s="198"/>
      <c r="T43" s="198"/>
      <c r="U43" s="198"/>
    </row>
    <row r="44" spans="1:21" s="12" customFormat="1" x14ac:dyDescent="0.25">
      <c r="A44" s="211" t="s">
        <v>2684</v>
      </c>
      <c r="B44" s="64">
        <v>5.94</v>
      </c>
      <c r="C44" s="64">
        <v>50</v>
      </c>
      <c r="D44" s="64">
        <v>33</v>
      </c>
      <c r="E44" s="64">
        <v>8.36</v>
      </c>
      <c r="F44" s="64">
        <v>16.11</v>
      </c>
      <c r="G44" s="64">
        <v>79.3</v>
      </c>
      <c r="H44" s="64">
        <v>33.200000000000003</v>
      </c>
      <c r="I44" s="64">
        <v>0.54</v>
      </c>
      <c r="J44" s="64">
        <v>0.19</v>
      </c>
      <c r="K44" s="64">
        <v>172.22</v>
      </c>
      <c r="L44" s="64">
        <v>32.85</v>
      </c>
      <c r="M44" s="64">
        <v>32.49</v>
      </c>
      <c r="N44" s="214" t="s">
        <v>42</v>
      </c>
      <c r="O44" s="64">
        <v>0</v>
      </c>
      <c r="P44" s="64">
        <v>0.72</v>
      </c>
      <c r="Q44" s="64">
        <v>26.84</v>
      </c>
      <c r="R44" s="198"/>
      <c r="S44" s="198"/>
      <c r="T44" s="198"/>
      <c r="U44" s="198"/>
    </row>
    <row r="45" spans="1:21" s="12" customFormat="1" x14ac:dyDescent="0.25">
      <c r="A45" s="211" t="s">
        <v>2685</v>
      </c>
      <c r="B45" s="64">
        <v>6.12</v>
      </c>
      <c r="C45" s="64">
        <v>41.21</v>
      </c>
      <c r="D45" s="64">
        <v>28.3</v>
      </c>
      <c r="E45" s="64">
        <v>21.87</v>
      </c>
      <c r="F45" s="64">
        <v>41.12</v>
      </c>
      <c r="G45" s="64">
        <v>79.3</v>
      </c>
      <c r="H45" s="64">
        <v>33.200000000000003</v>
      </c>
      <c r="I45" s="64">
        <v>0.53</v>
      </c>
      <c r="J45" s="64">
        <v>0.47</v>
      </c>
      <c r="K45" s="64">
        <v>121.02</v>
      </c>
      <c r="L45" s="64">
        <v>32.799999999999997</v>
      </c>
      <c r="M45" s="64">
        <v>31.23</v>
      </c>
      <c r="N45" s="214" t="s">
        <v>42</v>
      </c>
      <c r="O45" s="64">
        <v>0</v>
      </c>
      <c r="P45" s="64">
        <v>0.72</v>
      </c>
      <c r="Q45" s="64">
        <v>26.6</v>
      </c>
      <c r="R45" s="198"/>
      <c r="S45" s="198"/>
      <c r="T45" s="198"/>
      <c r="U45" s="198"/>
    </row>
    <row r="46" spans="1:21" s="12" customFormat="1" x14ac:dyDescent="0.25">
      <c r="A46" s="211" t="s">
        <v>2686</v>
      </c>
      <c r="B46" s="64">
        <v>3.37</v>
      </c>
      <c r="C46" s="64">
        <v>36.26</v>
      </c>
      <c r="D46" s="64">
        <v>23.36</v>
      </c>
      <c r="E46" s="64">
        <v>15.67</v>
      </c>
      <c r="F46" s="64">
        <v>43.52</v>
      </c>
      <c r="G46" s="64">
        <v>79.3</v>
      </c>
      <c r="H46" s="64">
        <v>33.200000000000003</v>
      </c>
      <c r="I46" s="64">
        <v>0.52</v>
      </c>
      <c r="J46" s="64">
        <v>0.34</v>
      </c>
      <c r="K46" s="64">
        <v>132.97</v>
      </c>
      <c r="L46" s="64">
        <v>32.56</v>
      </c>
      <c r="M46" s="64">
        <v>32.71</v>
      </c>
      <c r="N46" s="214" t="s">
        <v>42</v>
      </c>
      <c r="O46" s="64">
        <v>0</v>
      </c>
      <c r="P46" s="64">
        <v>0.73</v>
      </c>
      <c r="Q46" s="64">
        <v>27.39</v>
      </c>
      <c r="R46" s="198"/>
      <c r="S46" s="198"/>
      <c r="T46" s="198"/>
      <c r="U46" s="198"/>
    </row>
    <row r="47" spans="1:21" s="12" customFormat="1" x14ac:dyDescent="0.25">
      <c r="A47" s="211" t="s">
        <v>2687</v>
      </c>
      <c r="B47" s="64">
        <v>3.53</v>
      </c>
      <c r="C47" s="64">
        <v>33.380000000000003</v>
      </c>
      <c r="D47" s="64">
        <v>21.9</v>
      </c>
      <c r="E47" s="64">
        <v>12.09</v>
      </c>
      <c r="F47" s="64">
        <v>36.270000000000003</v>
      </c>
      <c r="G47" s="64">
        <v>79.55</v>
      </c>
      <c r="H47" s="64">
        <v>33.53</v>
      </c>
      <c r="I47" s="64">
        <v>0.56999999999999995</v>
      </c>
      <c r="J47" s="64">
        <v>0.71</v>
      </c>
      <c r="K47" s="64">
        <v>128.55000000000001</v>
      </c>
      <c r="L47" s="64">
        <v>33.08</v>
      </c>
      <c r="M47" s="64">
        <v>31.33</v>
      </c>
      <c r="N47" s="214" t="s">
        <v>42</v>
      </c>
      <c r="O47" s="64">
        <v>0</v>
      </c>
      <c r="P47" s="64">
        <v>0.72</v>
      </c>
      <c r="Q47" s="64">
        <v>27.81</v>
      </c>
      <c r="R47" s="198"/>
      <c r="S47" s="198"/>
      <c r="T47" s="198"/>
      <c r="U47" s="198"/>
    </row>
    <row r="48" spans="1:21" s="12" customFormat="1" x14ac:dyDescent="0.25">
      <c r="A48" s="211" t="s">
        <v>2688</v>
      </c>
      <c r="B48" s="64">
        <v>3.48</v>
      </c>
      <c r="C48" s="64">
        <v>35.11</v>
      </c>
      <c r="D48" s="64">
        <v>22.81</v>
      </c>
      <c r="E48" s="64">
        <v>8.3800000000000008</v>
      </c>
      <c r="F48" s="64">
        <v>39.18</v>
      </c>
      <c r="G48" s="64">
        <v>81.59</v>
      </c>
      <c r="H48" s="64">
        <v>35.630000000000003</v>
      </c>
      <c r="I48" s="64">
        <v>0.54</v>
      </c>
      <c r="J48" s="64">
        <v>0.68</v>
      </c>
      <c r="K48" s="64">
        <v>140.88</v>
      </c>
      <c r="L48" s="64">
        <v>32.5</v>
      </c>
      <c r="M48" s="64">
        <v>32.619999999999997</v>
      </c>
      <c r="N48" s="214" t="s">
        <v>42</v>
      </c>
      <c r="O48" s="64">
        <v>0</v>
      </c>
      <c r="P48" s="64">
        <v>0.71</v>
      </c>
      <c r="Q48" s="64">
        <v>28.52</v>
      </c>
      <c r="R48" s="198"/>
      <c r="S48" s="198"/>
      <c r="T48" s="198"/>
      <c r="U48" s="198"/>
    </row>
    <row r="49" spans="1:21" s="12" customFormat="1" x14ac:dyDescent="0.25">
      <c r="A49" s="211" t="s">
        <v>2689</v>
      </c>
      <c r="B49" s="64">
        <v>2.25</v>
      </c>
      <c r="C49" s="64">
        <v>31.86</v>
      </c>
      <c r="D49" s="64">
        <v>20.03</v>
      </c>
      <c r="E49" s="64">
        <v>7.18</v>
      </c>
      <c r="F49" s="64">
        <v>16.98</v>
      </c>
      <c r="G49" s="64">
        <v>81.59</v>
      </c>
      <c r="H49" s="64">
        <v>35.630000000000003</v>
      </c>
      <c r="I49" s="64">
        <v>0.73</v>
      </c>
      <c r="J49" s="64">
        <v>1.26</v>
      </c>
      <c r="K49" s="64">
        <v>122.93</v>
      </c>
      <c r="L49" s="64">
        <v>32.35</v>
      </c>
      <c r="M49" s="64">
        <v>33.130000000000003</v>
      </c>
      <c r="N49" s="64">
        <v>147.6</v>
      </c>
      <c r="O49" s="64">
        <v>0</v>
      </c>
      <c r="P49" s="64">
        <v>0.7</v>
      </c>
      <c r="Q49" s="64">
        <v>28.73</v>
      </c>
      <c r="R49" s="198"/>
      <c r="S49" s="198"/>
      <c r="T49" s="198"/>
      <c r="U49" s="198"/>
    </row>
    <row r="50" spans="1:21" s="12" customFormat="1" x14ac:dyDescent="0.25">
      <c r="A50" s="211" t="s">
        <v>2690</v>
      </c>
      <c r="B50" s="64">
        <v>1.93</v>
      </c>
      <c r="C50" s="64">
        <v>34.43</v>
      </c>
      <c r="D50" s="64">
        <v>21.19</v>
      </c>
      <c r="E50" s="64">
        <v>5.1100000000000003</v>
      </c>
      <c r="F50" s="64">
        <v>15.28</v>
      </c>
      <c r="G50" s="64">
        <v>81.59</v>
      </c>
      <c r="H50" s="64">
        <v>35.630000000000003</v>
      </c>
      <c r="I50" s="64">
        <v>0.56000000000000005</v>
      </c>
      <c r="J50" s="64">
        <v>0.76</v>
      </c>
      <c r="K50" s="64">
        <v>122.54</v>
      </c>
      <c r="L50" s="64">
        <v>33.130000000000003</v>
      </c>
      <c r="M50" s="64">
        <v>31.29</v>
      </c>
      <c r="N50" s="64">
        <v>818.4</v>
      </c>
      <c r="O50" s="64">
        <v>0</v>
      </c>
      <c r="P50" s="64">
        <v>0.67</v>
      </c>
      <c r="Q50" s="64">
        <v>28.71</v>
      </c>
      <c r="R50" s="198"/>
      <c r="S50" s="198"/>
      <c r="T50" s="198"/>
      <c r="U50" s="198"/>
    </row>
    <row r="51" spans="1:21" s="12" customFormat="1" x14ac:dyDescent="0.25">
      <c r="A51" s="211" t="s">
        <v>2691</v>
      </c>
      <c r="B51" s="64">
        <v>1.55</v>
      </c>
      <c r="C51" s="64">
        <v>33.729999999999997</v>
      </c>
      <c r="D51" s="64">
        <v>20.5</v>
      </c>
      <c r="E51" s="64">
        <v>5.44</v>
      </c>
      <c r="F51" s="64">
        <v>16.670000000000002</v>
      </c>
      <c r="G51" s="64">
        <v>81.02</v>
      </c>
      <c r="H51" s="64">
        <v>35.35</v>
      </c>
      <c r="I51" s="64">
        <v>0.63</v>
      </c>
      <c r="J51" s="64">
        <v>0.59</v>
      </c>
      <c r="K51" s="64">
        <v>218.98</v>
      </c>
      <c r="L51" s="64">
        <v>33.72</v>
      </c>
      <c r="M51" s="64">
        <v>29.55</v>
      </c>
      <c r="N51" s="64">
        <v>844.9</v>
      </c>
      <c r="O51" s="64">
        <v>0</v>
      </c>
      <c r="P51" s="64">
        <v>0.66</v>
      </c>
      <c r="Q51" s="64">
        <v>28.66</v>
      </c>
      <c r="R51" s="198"/>
      <c r="S51" s="198"/>
      <c r="T51" s="198"/>
      <c r="U51" s="198"/>
    </row>
    <row r="52" spans="1:21" s="12" customFormat="1" x14ac:dyDescent="0.25">
      <c r="A52" s="211" t="s">
        <v>2692</v>
      </c>
      <c r="B52" s="64">
        <v>2.4</v>
      </c>
      <c r="C52" s="64">
        <v>35.53</v>
      </c>
      <c r="D52" s="64">
        <v>22.18</v>
      </c>
      <c r="E52" s="64">
        <v>4.01</v>
      </c>
      <c r="F52" s="64">
        <v>12.18</v>
      </c>
      <c r="G52" s="64">
        <v>75.88</v>
      </c>
      <c r="H52" s="64">
        <v>33.57</v>
      </c>
      <c r="I52" s="64">
        <v>0.65</v>
      </c>
      <c r="J52" s="64">
        <v>0.43</v>
      </c>
      <c r="K52" s="64">
        <v>223.66</v>
      </c>
      <c r="L52" s="64">
        <v>34.729999999999997</v>
      </c>
      <c r="M52" s="64">
        <v>27.28</v>
      </c>
      <c r="N52" s="64">
        <v>862.1</v>
      </c>
      <c r="O52" s="64">
        <v>0</v>
      </c>
      <c r="P52" s="64">
        <v>0.64</v>
      </c>
      <c r="Q52" s="64">
        <v>28.39</v>
      </c>
      <c r="R52" s="198"/>
      <c r="S52" s="198"/>
      <c r="T52" s="198"/>
      <c r="U52" s="198"/>
    </row>
    <row r="53" spans="1:21" s="12" customFormat="1" x14ac:dyDescent="0.25">
      <c r="A53" s="211" t="s">
        <v>2693</v>
      </c>
      <c r="B53" s="64">
        <v>3.3</v>
      </c>
      <c r="C53" s="64">
        <v>36.159999999999997</v>
      </c>
      <c r="D53" s="64">
        <v>23.25</v>
      </c>
      <c r="E53" s="64">
        <v>3.62</v>
      </c>
      <c r="F53" s="64">
        <v>11.62</v>
      </c>
      <c r="G53" s="64">
        <v>75.88</v>
      </c>
      <c r="H53" s="64">
        <v>33.57</v>
      </c>
      <c r="I53" s="64">
        <v>0.92</v>
      </c>
      <c r="J53" s="64">
        <v>1.33</v>
      </c>
      <c r="K53" s="64">
        <v>252.18</v>
      </c>
      <c r="L53" s="64">
        <v>36.58</v>
      </c>
      <c r="M53" s="64">
        <v>25.07</v>
      </c>
      <c r="N53" s="64">
        <v>884.1</v>
      </c>
      <c r="O53" s="64">
        <v>0</v>
      </c>
      <c r="P53" s="64">
        <v>0.65</v>
      </c>
      <c r="Q53" s="64">
        <v>28.01</v>
      </c>
      <c r="R53" s="198"/>
      <c r="S53" s="198"/>
      <c r="T53" s="198"/>
      <c r="U53" s="198"/>
    </row>
    <row r="54" spans="1:21" s="12" customFormat="1" x14ac:dyDescent="0.25">
      <c r="A54" s="211" t="s">
        <v>2694</v>
      </c>
      <c r="B54" s="64">
        <v>1.6</v>
      </c>
      <c r="C54" s="64">
        <v>33.22</v>
      </c>
      <c r="D54" s="64">
        <v>20.27</v>
      </c>
      <c r="E54" s="64">
        <v>3.35</v>
      </c>
      <c r="F54" s="64">
        <v>18.260000000000002</v>
      </c>
      <c r="G54" s="64">
        <v>75.88</v>
      </c>
      <c r="H54" s="64">
        <v>33.57</v>
      </c>
      <c r="I54" s="64">
        <v>0.67</v>
      </c>
      <c r="J54" s="64">
        <v>0.88</v>
      </c>
      <c r="K54" s="64">
        <v>129.53</v>
      </c>
      <c r="L54" s="64">
        <v>35.1</v>
      </c>
      <c r="M54" s="64">
        <v>27.11</v>
      </c>
      <c r="N54" s="64">
        <v>878.9</v>
      </c>
      <c r="O54" s="64">
        <v>0</v>
      </c>
      <c r="P54" s="64">
        <v>0.62</v>
      </c>
      <c r="Q54" s="64">
        <v>27.86</v>
      </c>
      <c r="R54" s="198"/>
      <c r="S54" s="198"/>
      <c r="T54" s="198"/>
      <c r="U54" s="198"/>
    </row>
    <row r="55" spans="1:21" s="12" customFormat="1" x14ac:dyDescent="0.25">
      <c r="A55" s="211" t="s">
        <v>2695</v>
      </c>
      <c r="B55" s="64">
        <v>1.57</v>
      </c>
      <c r="C55" s="64">
        <v>33.44</v>
      </c>
      <c r="D55" s="64">
        <v>20.350000000000001</v>
      </c>
      <c r="E55" s="64">
        <v>3.87</v>
      </c>
      <c r="F55" s="64">
        <v>18.75</v>
      </c>
      <c r="G55" s="64">
        <v>75.66</v>
      </c>
      <c r="H55" s="64">
        <v>33.46</v>
      </c>
      <c r="I55" s="64">
        <v>0.71</v>
      </c>
      <c r="J55" s="64">
        <v>0.44</v>
      </c>
      <c r="K55" s="64">
        <v>236.3</v>
      </c>
      <c r="L55" s="64">
        <v>36.159999999999997</v>
      </c>
      <c r="M55" s="64">
        <v>26.25</v>
      </c>
      <c r="N55" s="64">
        <v>902.9</v>
      </c>
      <c r="O55" s="64">
        <v>0</v>
      </c>
      <c r="P55" s="64">
        <v>0.59</v>
      </c>
      <c r="Q55" s="64">
        <v>27.85</v>
      </c>
      <c r="R55" s="198"/>
      <c r="S55" s="198"/>
      <c r="T55" s="198"/>
      <c r="U55" s="198"/>
    </row>
    <row r="56" spans="1:21" s="12" customFormat="1" x14ac:dyDescent="0.25">
      <c r="A56" s="211" t="s">
        <v>2696</v>
      </c>
      <c r="B56" s="64">
        <v>3.62</v>
      </c>
      <c r="C56" s="64">
        <v>32.49</v>
      </c>
      <c r="D56" s="64">
        <v>21.48</v>
      </c>
      <c r="E56" s="64">
        <v>2.58</v>
      </c>
      <c r="F56" s="64">
        <v>32.69</v>
      </c>
      <c r="G56" s="64">
        <v>73.92</v>
      </c>
      <c r="H56" s="64">
        <v>32.78</v>
      </c>
      <c r="I56" s="64">
        <v>0.73</v>
      </c>
      <c r="J56" s="64">
        <v>1.1499999999999999</v>
      </c>
      <c r="K56" s="64">
        <v>255.81</v>
      </c>
      <c r="L56" s="64">
        <v>37.56</v>
      </c>
      <c r="M56" s="64">
        <v>25</v>
      </c>
      <c r="N56" s="64">
        <v>908.4</v>
      </c>
      <c r="O56" s="64">
        <v>0</v>
      </c>
      <c r="P56" s="64">
        <v>0.57999999999999996</v>
      </c>
      <c r="Q56" s="64">
        <v>27.75</v>
      </c>
      <c r="R56" s="198"/>
      <c r="S56" s="198"/>
      <c r="T56" s="198"/>
      <c r="U56" s="198"/>
    </row>
    <row r="57" spans="1:21" s="12" customFormat="1" x14ac:dyDescent="0.25">
      <c r="A57" s="211" t="s">
        <v>2697</v>
      </c>
      <c r="B57" s="64">
        <v>4.08</v>
      </c>
      <c r="C57" s="64">
        <v>27.88</v>
      </c>
      <c r="D57" s="64">
        <v>19.309999999999999</v>
      </c>
      <c r="E57" s="64">
        <v>4.5199999999999996</v>
      </c>
      <c r="F57" s="64">
        <v>41.94</v>
      </c>
      <c r="G57" s="64">
        <v>73.92</v>
      </c>
      <c r="H57" s="64">
        <v>32.78</v>
      </c>
      <c r="I57" s="64">
        <v>0.63</v>
      </c>
      <c r="J57" s="64">
        <v>0.65</v>
      </c>
      <c r="K57" s="64">
        <v>258.08</v>
      </c>
      <c r="L57" s="64">
        <v>38.28</v>
      </c>
      <c r="M57" s="64">
        <v>23.45</v>
      </c>
      <c r="N57" s="64">
        <v>900.7</v>
      </c>
      <c r="O57" s="64">
        <v>0</v>
      </c>
      <c r="P57" s="64">
        <v>0.57999999999999996</v>
      </c>
      <c r="Q57" s="64">
        <v>27.48</v>
      </c>
      <c r="R57" s="198"/>
      <c r="S57" s="198"/>
      <c r="T57" s="198"/>
      <c r="U57" s="198"/>
    </row>
    <row r="58" spans="1:21" s="12" customFormat="1" x14ac:dyDescent="0.25">
      <c r="A58" s="211" t="s">
        <v>2698</v>
      </c>
      <c r="B58" s="64">
        <v>5.86</v>
      </c>
      <c r="C58" s="64">
        <v>29.65</v>
      </c>
      <c r="D58" s="64">
        <v>21.71</v>
      </c>
      <c r="E58" s="64">
        <v>4.75</v>
      </c>
      <c r="F58" s="64">
        <v>46.12</v>
      </c>
      <c r="G58" s="64">
        <v>73.92</v>
      </c>
      <c r="H58" s="64">
        <v>32.78</v>
      </c>
      <c r="I58" s="64">
        <v>0.56999999999999995</v>
      </c>
      <c r="J58" s="64">
        <v>0.45</v>
      </c>
      <c r="K58" s="64">
        <v>171.46</v>
      </c>
      <c r="L58" s="64">
        <v>36.340000000000003</v>
      </c>
      <c r="M58" s="64">
        <v>25.37</v>
      </c>
      <c r="N58" s="64">
        <v>892.7</v>
      </c>
      <c r="O58" s="64">
        <v>0</v>
      </c>
      <c r="P58" s="64">
        <v>0.57999999999999996</v>
      </c>
      <c r="Q58" s="64">
        <v>26.9</v>
      </c>
      <c r="R58" s="198"/>
      <c r="S58" s="198"/>
      <c r="T58" s="198"/>
      <c r="U58" s="198"/>
    </row>
    <row r="59" spans="1:21" s="12" customFormat="1" x14ac:dyDescent="0.25">
      <c r="A59" s="211" t="s">
        <v>2699</v>
      </c>
      <c r="B59" s="64">
        <v>2.79</v>
      </c>
      <c r="C59" s="64">
        <v>26.56</v>
      </c>
      <c r="D59" s="64">
        <v>17.54</v>
      </c>
      <c r="E59" s="64">
        <v>5.22</v>
      </c>
      <c r="F59" s="64">
        <v>46.22</v>
      </c>
      <c r="G59" s="64">
        <v>73.11</v>
      </c>
      <c r="H59" s="64">
        <v>32.479999999999997</v>
      </c>
      <c r="I59" s="64">
        <v>0.86</v>
      </c>
      <c r="J59" s="64">
        <v>0.25</v>
      </c>
      <c r="K59" s="64">
        <v>238.86</v>
      </c>
      <c r="L59" s="64">
        <v>36.64</v>
      </c>
      <c r="M59" s="64">
        <v>24.94</v>
      </c>
      <c r="N59" s="64">
        <v>850</v>
      </c>
      <c r="O59" s="64">
        <v>0</v>
      </c>
      <c r="P59" s="64">
        <v>0.56999999999999995</v>
      </c>
      <c r="Q59" s="64">
        <v>27.06</v>
      </c>
      <c r="R59" s="198"/>
      <c r="S59" s="198"/>
      <c r="T59" s="198"/>
      <c r="U59" s="198"/>
    </row>
    <row r="60" spans="1:21" s="12" customFormat="1" x14ac:dyDescent="0.25">
      <c r="A60" s="211" t="s">
        <v>2700</v>
      </c>
      <c r="B60" s="64">
        <v>2.56</v>
      </c>
      <c r="C60" s="64">
        <v>27.05</v>
      </c>
      <c r="D60" s="64">
        <v>17.63</v>
      </c>
      <c r="E60" s="64">
        <v>4.6399999999999997</v>
      </c>
      <c r="F60" s="64">
        <v>33.51</v>
      </c>
      <c r="G60" s="64">
        <v>66.62</v>
      </c>
      <c r="H60" s="64">
        <v>30.52</v>
      </c>
      <c r="I60" s="64">
        <v>0.63</v>
      </c>
      <c r="J60" s="64">
        <v>0.35</v>
      </c>
      <c r="K60" s="64">
        <v>202.16</v>
      </c>
      <c r="L60" s="64">
        <v>36.74</v>
      </c>
      <c r="M60" s="64">
        <v>23.97</v>
      </c>
      <c r="N60" s="64">
        <v>862.3</v>
      </c>
      <c r="O60" s="64">
        <v>0</v>
      </c>
      <c r="P60" s="64">
        <v>0.56000000000000005</v>
      </c>
      <c r="Q60" s="64">
        <v>27.5</v>
      </c>
      <c r="R60" s="198"/>
      <c r="S60" s="198"/>
      <c r="T60" s="198"/>
      <c r="U60" s="198"/>
    </row>
    <row r="61" spans="1:21" s="12" customFormat="1" x14ac:dyDescent="0.25">
      <c r="A61" s="211" t="s">
        <v>2701</v>
      </c>
      <c r="B61" s="64">
        <v>2.52</v>
      </c>
      <c r="C61" s="64">
        <v>32.200000000000003</v>
      </c>
      <c r="D61" s="64">
        <v>20.440000000000001</v>
      </c>
      <c r="E61" s="64">
        <v>2.84</v>
      </c>
      <c r="F61" s="64">
        <v>11.69</v>
      </c>
      <c r="G61" s="64">
        <v>66.62</v>
      </c>
      <c r="H61" s="64">
        <v>30.52</v>
      </c>
      <c r="I61" s="64">
        <v>1.04</v>
      </c>
      <c r="J61" s="64">
        <v>0.37</v>
      </c>
      <c r="K61" s="64">
        <v>207.4</v>
      </c>
      <c r="L61" s="64">
        <v>36.47</v>
      </c>
      <c r="M61" s="64">
        <v>24.3</v>
      </c>
      <c r="N61" s="64">
        <v>784.1</v>
      </c>
      <c r="O61" s="64">
        <v>0</v>
      </c>
      <c r="P61" s="64">
        <v>0.56000000000000005</v>
      </c>
      <c r="Q61" s="64">
        <v>27.43</v>
      </c>
      <c r="R61" s="198"/>
      <c r="S61" s="198"/>
      <c r="T61" s="198"/>
      <c r="U61" s="198"/>
    </row>
    <row r="62" spans="1:21" s="12" customFormat="1" x14ac:dyDescent="0.25">
      <c r="A62" s="211" t="s">
        <v>2702</v>
      </c>
      <c r="B62" s="64">
        <v>1.53</v>
      </c>
      <c r="C62" s="64">
        <v>29.66</v>
      </c>
      <c r="D62" s="64">
        <v>18.239999999999998</v>
      </c>
      <c r="E62" s="64">
        <v>3.04</v>
      </c>
      <c r="F62" s="64">
        <v>24.55</v>
      </c>
      <c r="G62" s="64">
        <v>66.62</v>
      </c>
      <c r="H62" s="64">
        <v>30.52</v>
      </c>
      <c r="I62" s="64">
        <v>0.74</v>
      </c>
      <c r="J62" s="64">
        <v>0.45</v>
      </c>
      <c r="K62" s="64">
        <v>140.34</v>
      </c>
      <c r="L62" s="64">
        <v>36.020000000000003</v>
      </c>
      <c r="M62" s="64">
        <v>25.26</v>
      </c>
      <c r="N62" s="64">
        <v>775.7</v>
      </c>
      <c r="O62" s="64">
        <v>0</v>
      </c>
      <c r="P62" s="64">
        <v>0.57999999999999996</v>
      </c>
      <c r="Q62" s="64">
        <v>27.38</v>
      </c>
      <c r="R62" s="198"/>
      <c r="S62" s="198"/>
      <c r="T62" s="198"/>
      <c r="U62" s="198"/>
    </row>
    <row r="63" spans="1:21" s="12" customFormat="1" x14ac:dyDescent="0.25">
      <c r="A63" s="211" t="s">
        <v>2703</v>
      </c>
      <c r="B63" s="64">
        <v>1.1599999999999999</v>
      </c>
      <c r="C63" s="64">
        <v>29.88</v>
      </c>
      <c r="D63" s="64">
        <v>18.059999999999999</v>
      </c>
      <c r="E63" s="64">
        <v>1.74</v>
      </c>
      <c r="F63" s="64">
        <v>14.67</v>
      </c>
      <c r="G63" s="64">
        <v>66.23</v>
      </c>
      <c r="H63" s="64">
        <v>30.2</v>
      </c>
      <c r="I63" s="64">
        <v>0.74</v>
      </c>
      <c r="J63" s="64">
        <v>0.18</v>
      </c>
      <c r="K63" s="64">
        <v>149.62</v>
      </c>
      <c r="L63" s="64">
        <v>36.270000000000003</v>
      </c>
      <c r="M63" s="64">
        <v>23.39</v>
      </c>
      <c r="N63" s="64">
        <v>785.1</v>
      </c>
      <c r="O63" s="64">
        <v>0</v>
      </c>
      <c r="P63" s="64">
        <v>0.56000000000000005</v>
      </c>
      <c r="Q63" s="64">
        <v>27.62</v>
      </c>
      <c r="R63" s="198"/>
      <c r="S63" s="198"/>
      <c r="T63" s="198"/>
      <c r="U63" s="198"/>
    </row>
    <row r="64" spans="1:21" s="12" customFormat="1" x14ac:dyDescent="0.25">
      <c r="A64" s="211" t="s">
        <v>2704</v>
      </c>
      <c r="B64" s="64">
        <v>1</v>
      </c>
      <c r="C64" s="64">
        <v>30.53</v>
      </c>
      <c r="D64" s="64">
        <v>18.3</v>
      </c>
      <c r="E64" s="64">
        <v>2.21</v>
      </c>
      <c r="F64" s="64">
        <v>11.91</v>
      </c>
      <c r="G64" s="64">
        <v>62.74</v>
      </c>
      <c r="H64" s="64">
        <v>27.83</v>
      </c>
      <c r="I64" s="64">
        <v>0.74</v>
      </c>
      <c r="J64" s="64">
        <v>0.06</v>
      </c>
      <c r="K64" s="64">
        <v>279.45999999999998</v>
      </c>
      <c r="L64" s="64">
        <v>36.93</v>
      </c>
      <c r="M64" s="64">
        <v>21.16</v>
      </c>
      <c r="N64" s="64">
        <v>758.9</v>
      </c>
      <c r="O64" s="64">
        <v>0</v>
      </c>
      <c r="P64" s="64">
        <v>0.54</v>
      </c>
      <c r="Q64" s="64">
        <v>27.61</v>
      </c>
      <c r="R64" s="198"/>
      <c r="S64" s="198"/>
      <c r="T64" s="198"/>
      <c r="U64" s="198"/>
    </row>
    <row r="65" spans="1:21" s="12" customFormat="1" x14ac:dyDescent="0.25">
      <c r="A65" s="211" t="s">
        <v>2705</v>
      </c>
      <c r="B65" s="64">
        <v>1.03</v>
      </c>
      <c r="C65" s="64">
        <v>30.79</v>
      </c>
      <c r="D65" s="64">
        <v>18.46</v>
      </c>
      <c r="E65" s="64">
        <v>2.08</v>
      </c>
      <c r="F65" s="64">
        <v>11.27</v>
      </c>
      <c r="G65" s="64">
        <v>62.74</v>
      </c>
      <c r="H65" s="64">
        <v>27.83</v>
      </c>
      <c r="I65" s="64">
        <v>0.7</v>
      </c>
      <c r="J65" s="64">
        <v>0.17</v>
      </c>
      <c r="K65" s="64">
        <v>271.24</v>
      </c>
      <c r="L65" s="64">
        <v>36.880000000000003</v>
      </c>
      <c r="M65" s="64">
        <v>21.24</v>
      </c>
      <c r="N65" s="64">
        <v>597.1</v>
      </c>
      <c r="O65" s="64">
        <v>0</v>
      </c>
      <c r="P65" s="64">
        <v>0.54</v>
      </c>
      <c r="Q65" s="64">
        <v>27.42</v>
      </c>
      <c r="R65" s="198"/>
      <c r="S65" s="198"/>
      <c r="T65" s="198"/>
      <c r="U65" s="198"/>
    </row>
    <row r="66" spans="1:21" s="12" customFormat="1" x14ac:dyDescent="0.25">
      <c r="A66" s="211" t="s">
        <v>2706</v>
      </c>
      <c r="B66" s="64">
        <v>1.04</v>
      </c>
      <c r="C66" s="64">
        <v>30.68</v>
      </c>
      <c r="D66" s="64">
        <v>18.41</v>
      </c>
      <c r="E66" s="64">
        <v>1.37</v>
      </c>
      <c r="F66" s="64">
        <v>11.46</v>
      </c>
      <c r="G66" s="64">
        <v>62.74</v>
      </c>
      <c r="H66" s="64">
        <v>27.83</v>
      </c>
      <c r="I66" s="64">
        <v>0.79</v>
      </c>
      <c r="J66" s="64">
        <v>0.09</v>
      </c>
      <c r="K66" s="64">
        <v>277.57</v>
      </c>
      <c r="L66" s="64">
        <v>36.89</v>
      </c>
      <c r="M66" s="64">
        <v>22.19</v>
      </c>
      <c r="N66" s="64">
        <v>633.5</v>
      </c>
      <c r="O66" s="64">
        <v>0</v>
      </c>
      <c r="P66" s="64">
        <v>0.51</v>
      </c>
      <c r="Q66" s="64">
        <v>26.79</v>
      </c>
      <c r="R66" s="198"/>
      <c r="S66" s="198"/>
      <c r="T66" s="198"/>
      <c r="U66" s="198"/>
    </row>
    <row r="67" spans="1:21" s="12" customFormat="1" x14ac:dyDescent="0.25">
      <c r="A67" s="211" t="s">
        <v>2707</v>
      </c>
      <c r="B67" s="64">
        <v>1</v>
      </c>
      <c r="C67" s="64">
        <v>30.4</v>
      </c>
      <c r="D67" s="64">
        <v>18.23</v>
      </c>
      <c r="E67" s="64">
        <v>1.35</v>
      </c>
      <c r="F67" s="64">
        <v>11.81</v>
      </c>
      <c r="G67" s="64">
        <v>62.4</v>
      </c>
      <c r="H67" s="64">
        <v>27.55</v>
      </c>
      <c r="I67" s="64">
        <v>0.73</v>
      </c>
      <c r="J67" s="64">
        <v>0.04</v>
      </c>
      <c r="K67" s="64">
        <v>36.47</v>
      </c>
      <c r="L67" s="64">
        <v>36.799999999999997</v>
      </c>
      <c r="M67" s="64">
        <v>20.69</v>
      </c>
      <c r="N67" s="64">
        <v>526.4</v>
      </c>
      <c r="O67" s="64">
        <v>0</v>
      </c>
      <c r="P67" s="64">
        <v>0.49</v>
      </c>
      <c r="Q67" s="64">
        <v>26.18</v>
      </c>
      <c r="R67" s="198"/>
      <c r="S67" s="198"/>
      <c r="T67" s="198"/>
      <c r="U67" s="198"/>
    </row>
    <row r="68" spans="1:21" s="12" customFormat="1" x14ac:dyDescent="0.25">
      <c r="A68" s="211" t="s">
        <v>2708</v>
      </c>
      <c r="B68" s="64">
        <v>1.28</v>
      </c>
      <c r="C68" s="64">
        <v>30.36</v>
      </c>
      <c r="D68" s="64">
        <v>18.43</v>
      </c>
      <c r="E68" s="64">
        <v>1.32</v>
      </c>
      <c r="F68" s="64">
        <v>15.47</v>
      </c>
      <c r="G68" s="64">
        <v>59.61</v>
      </c>
      <c r="H68" s="64">
        <v>25.74</v>
      </c>
      <c r="I68" s="64">
        <v>0.8</v>
      </c>
      <c r="J68" s="64">
        <v>0.1</v>
      </c>
      <c r="K68" s="64">
        <v>274.83</v>
      </c>
      <c r="L68" s="64">
        <v>36.67</v>
      </c>
      <c r="M68" s="64">
        <v>21.97</v>
      </c>
      <c r="N68" s="64">
        <v>165.6</v>
      </c>
      <c r="O68" s="64">
        <v>0</v>
      </c>
      <c r="P68" s="64">
        <v>0.49</v>
      </c>
      <c r="Q68" s="64">
        <v>26.09</v>
      </c>
      <c r="R68" s="198"/>
      <c r="S68" s="198"/>
      <c r="T68" s="198"/>
      <c r="U68" s="198"/>
    </row>
    <row r="69" spans="1:21" s="12" customFormat="1" x14ac:dyDescent="0.25">
      <c r="A69" s="211" t="s">
        <v>2709</v>
      </c>
      <c r="B69" s="64">
        <v>2.4</v>
      </c>
      <c r="C69" s="64">
        <v>30.47</v>
      </c>
      <c r="D69" s="64">
        <v>19.39</v>
      </c>
      <c r="E69" s="64">
        <v>1.78</v>
      </c>
      <c r="F69" s="64">
        <v>15.45</v>
      </c>
      <c r="G69" s="64">
        <v>59.61</v>
      </c>
      <c r="H69" s="64">
        <v>25.74</v>
      </c>
      <c r="I69" s="64">
        <v>0.56999999999999995</v>
      </c>
      <c r="J69" s="64">
        <v>0.08</v>
      </c>
      <c r="K69" s="64">
        <v>311.66000000000003</v>
      </c>
      <c r="L69" s="64">
        <v>36.81</v>
      </c>
      <c r="M69" s="64">
        <v>20.38</v>
      </c>
      <c r="N69" s="64">
        <v>231</v>
      </c>
      <c r="O69" s="64">
        <v>0</v>
      </c>
      <c r="P69" s="64">
        <v>0.49</v>
      </c>
      <c r="Q69" s="64">
        <v>26.04</v>
      </c>
      <c r="R69" s="198"/>
      <c r="S69" s="198"/>
      <c r="T69" s="198"/>
      <c r="U69" s="198"/>
    </row>
    <row r="70" spans="1:21" s="12" customFormat="1" x14ac:dyDescent="0.25">
      <c r="A70" s="211" t="s">
        <v>2710</v>
      </c>
      <c r="B70" s="64">
        <v>1.79</v>
      </c>
      <c r="C70" s="64">
        <v>29.25</v>
      </c>
      <c r="D70" s="64">
        <v>18.22</v>
      </c>
      <c r="E70" s="64">
        <v>2.09</v>
      </c>
      <c r="F70" s="64">
        <v>14.94</v>
      </c>
      <c r="G70" s="64">
        <v>59.61</v>
      </c>
      <c r="H70" s="64">
        <v>25.74</v>
      </c>
      <c r="I70" s="64">
        <v>0.55000000000000004</v>
      </c>
      <c r="J70" s="64">
        <v>0.18</v>
      </c>
      <c r="K70" s="64">
        <v>262.72000000000003</v>
      </c>
      <c r="L70" s="64">
        <v>36.82</v>
      </c>
      <c r="M70" s="64">
        <v>18.670000000000002</v>
      </c>
      <c r="N70" s="64">
        <v>188.8</v>
      </c>
      <c r="O70" s="64">
        <v>0</v>
      </c>
      <c r="P70" s="64">
        <v>0.49</v>
      </c>
      <c r="Q70" s="64">
        <v>25.33</v>
      </c>
      <c r="R70" s="198"/>
      <c r="S70" s="198"/>
      <c r="T70" s="198"/>
      <c r="U70" s="198"/>
    </row>
    <row r="71" spans="1:21" s="12" customFormat="1" x14ac:dyDescent="0.25">
      <c r="A71" s="211" t="s">
        <v>2711</v>
      </c>
      <c r="B71" s="64">
        <v>1.94</v>
      </c>
      <c r="C71" s="64">
        <v>29.63</v>
      </c>
      <c r="D71" s="64">
        <v>18.55</v>
      </c>
      <c r="E71" s="64">
        <v>1.33</v>
      </c>
      <c r="F71" s="64">
        <v>12.59</v>
      </c>
      <c r="G71" s="64">
        <v>59.04</v>
      </c>
      <c r="H71" s="64">
        <v>25.58</v>
      </c>
      <c r="I71" s="64">
        <v>0.8</v>
      </c>
      <c r="J71" s="64">
        <v>0.16</v>
      </c>
      <c r="K71" s="64">
        <v>20.98</v>
      </c>
      <c r="L71" s="64">
        <v>36.33</v>
      </c>
      <c r="M71" s="64">
        <v>17.78</v>
      </c>
      <c r="N71" s="64">
        <v>285.3</v>
      </c>
      <c r="O71" s="64">
        <v>0</v>
      </c>
      <c r="P71" s="64">
        <v>0.48</v>
      </c>
      <c r="Q71" s="64">
        <v>24.5</v>
      </c>
      <c r="R71" s="198"/>
      <c r="S71" s="198"/>
      <c r="T71" s="198"/>
      <c r="U71" s="198"/>
    </row>
    <row r="72" spans="1:21" s="12" customFormat="1" x14ac:dyDescent="0.25">
      <c r="A72" s="211" t="s">
        <v>2712</v>
      </c>
      <c r="B72" s="64">
        <v>1.56</v>
      </c>
      <c r="C72" s="64">
        <v>28.91</v>
      </c>
      <c r="D72" s="64">
        <v>17.850000000000001</v>
      </c>
      <c r="E72" s="64">
        <v>0.98</v>
      </c>
      <c r="F72" s="64">
        <v>12.39</v>
      </c>
      <c r="G72" s="64">
        <v>53.91</v>
      </c>
      <c r="H72" s="64">
        <v>24.53</v>
      </c>
      <c r="I72" s="64">
        <v>0.55000000000000004</v>
      </c>
      <c r="J72" s="64">
        <v>0.13</v>
      </c>
      <c r="K72" s="64">
        <v>357.43</v>
      </c>
      <c r="L72" s="64">
        <v>36.17</v>
      </c>
      <c r="M72" s="64">
        <v>17.87</v>
      </c>
      <c r="N72" s="64">
        <v>182.3</v>
      </c>
      <c r="O72" s="64">
        <v>0</v>
      </c>
      <c r="P72" s="64">
        <v>0.47</v>
      </c>
      <c r="Q72" s="64">
        <v>23.95</v>
      </c>
      <c r="R72" s="198"/>
      <c r="S72" s="198"/>
      <c r="T72" s="198"/>
      <c r="U72" s="198"/>
    </row>
    <row r="73" spans="1:21" s="12" customFormat="1" x14ac:dyDescent="0.25">
      <c r="A73" s="211" t="s">
        <v>2713</v>
      </c>
      <c r="B73" s="64">
        <v>1.27</v>
      </c>
      <c r="C73" s="64">
        <v>28.86</v>
      </c>
      <c r="D73" s="64">
        <v>17.600000000000001</v>
      </c>
      <c r="E73" s="64">
        <v>1.51</v>
      </c>
      <c r="F73" s="64">
        <v>10.11</v>
      </c>
      <c r="G73" s="64">
        <v>53.91</v>
      </c>
      <c r="H73" s="64">
        <v>24.53</v>
      </c>
      <c r="I73" s="64">
        <v>0.74</v>
      </c>
      <c r="J73" s="64">
        <v>0.17</v>
      </c>
      <c r="K73" s="64">
        <v>276.81</v>
      </c>
      <c r="L73" s="64">
        <v>36.35</v>
      </c>
      <c r="M73" s="64">
        <v>17.72</v>
      </c>
      <c r="N73" s="64">
        <v>124.4</v>
      </c>
      <c r="O73" s="64">
        <v>0</v>
      </c>
      <c r="P73" s="64">
        <v>0.46</v>
      </c>
      <c r="Q73" s="64">
        <v>23.43</v>
      </c>
      <c r="R73" s="198"/>
      <c r="S73" s="198"/>
      <c r="T73" s="198"/>
      <c r="U73" s="198"/>
    </row>
    <row r="74" spans="1:21" s="12" customFormat="1" x14ac:dyDescent="0.25">
      <c r="A74" s="211" t="s">
        <v>2714</v>
      </c>
      <c r="B74" s="64">
        <v>1.28</v>
      </c>
      <c r="C74" s="64">
        <v>29.39</v>
      </c>
      <c r="D74" s="64">
        <v>17.899999999999999</v>
      </c>
      <c r="E74" s="64">
        <v>1.48</v>
      </c>
      <c r="F74" s="64">
        <v>10.58</v>
      </c>
      <c r="G74" s="64">
        <v>53.91</v>
      </c>
      <c r="H74" s="64">
        <v>24.53</v>
      </c>
      <c r="I74" s="64">
        <v>0.72</v>
      </c>
      <c r="J74" s="64">
        <v>0.17</v>
      </c>
      <c r="K74" s="64">
        <v>294.86</v>
      </c>
      <c r="L74" s="64">
        <v>36.19</v>
      </c>
      <c r="M74" s="64">
        <v>16.93</v>
      </c>
      <c r="N74" s="64">
        <v>106.2</v>
      </c>
      <c r="O74" s="64">
        <v>0</v>
      </c>
      <c r="P74" s="64">
        <v>0.45</v>
      </c>
      <c r="Q74" s="64">
        <v>23.09</v>
      </c>
      <c r="R74" s="198"/>
      <c r="S74" s="198"/>
      <c r="T74" s="198"/>
      <c r="U74" s="198"/>
    </row>
    <row r="75" spans="1:21" s="12" customFormat="1" x14ac:dyDescent="0.25">
      <c r="A75" s="211" t="s">
        <v>2715</v>
      </c>
      <c r="B75" s="64">
        <v>1.38</v>
      </c>
      <c r="C75" s="64">
        <v>29.52</v>
      </c>
      <c r="D75" s="64">
        <v>18.05</v>
      </c>
      <c r="E75" s="64">
        <v>1.59</v>
      </c>
      <c r="F75" s="64">
        <v>11.32</v>
      </c>
      <c r="G75" s="64">
        <v>53.85</v>
      </c>
      <c r="H75" s="64">
        <v>24.4</v>
      </c>
      <c r="I75" s="64">
        <v>0.55000000000000004</v>
      </c>
      <c r="J75" s="64">
        <v>0.79</v>
      </c>
      <c r="K75" s="64">
        <v>258.64</v>
      </c>
      <c r="L75" s="64">
        <v>35.69</v>
      </c>
      <c r="M75" s="64">
        <v>18.75</v>
      </c>
      <c r="N75" s="64">
        <v>82.9</v>
      </c>
      <c r="O75" s="64">
        <v>0</v>
      </c>
      <c r="P75" s="64">
        <v>0.43</v>
      </c>
      <c r="Q75" s="64">
        <v>22.94</v>
      </c>
      <c r="R75" s="198"/>
      <c r="S75" s="198"/>
      <c r="T75" s="198"/>
      <c r="U75" s="198"/>
    </row>
    <row r="76" spans="1:21" s="12" customFormat="1" x14ac:dyDescent="0.25">
      <c r="A76" s="211" t="s">
        <v>2716</v>
      </c>
      <c r="B76" s="64">
        <v>1.43</v>
      </c>
      <c r="C76" s="64">
        <v>29.84</v>
      </c>
      <c r="D76" s="64">
        <v>18.260000000000002</v>
      </c>
      <c r="E76" s="64">
        <v>1.23</v>
      </c>
      <c r="F76" s="64">
        <v>11.01</v>
      </c>
      <c r="G76" s="64">
        <v>53.34</v>
      </c>
      <c r="H76" s="64">
        <v>23.58</v>
      </c>
      <c r="I76" s="64">
        <v>0.56000000000000005</v>
      </c>
      <c r="J76" s="64">
        <v>0.4</v>
      </c>
      <c r="K76" s="64">
        <v>263.10000000000002</v>
      </c>
      <c r="L76" s="64">
        <v>35.24</v>
      </c>
      <c r="M76" s="64">
        <v>19.940000000000001</v>
      </c>
      <c r="N76" s="64">
        <v>66.599999999999994</v>
      </c>
      <c r="O76" s="64">
        <v>0</v>
      </c>
      <c r="P76" s="64">
        <v>0.42</v>
      </c>
      <c r="Q76" s="64">
        <v>22.73</v>
      </c>
      <c r="R76" s="198"/>
      <c r="S76" s="198"/>
      <c r="T76" s="198"/>
      <c r="U76" s="198"/>
    </row>
    <row r="77" spans="1:21" s="12" customFormat="1" x14ac:dyDescent="0.25">
      <c r="A77" s="211" t="s">
        <v>2717</v>
      </c>
      <c r="B77" s="64">
        <v>1.64</v>
      </c>
      <c r="C77" s="64">
        <v>30.67</v>
      </c>
      <c r="D77" s="64">
        <v>18.88</v>
      </c>
      <c r="E77" s="64">
        <v>1</v>
      </c>
      <c r="F77" s="64">
        <v>10.59</v>
      </c>
      <c r="G77" s="64">
        <v>53.34</v>
      </c>
      <c r="H77" s="64">
        <v>23.58</v>
      </c>
      <c r="I77" s="64">
        <v>0.52</v>
      </c>
      <c r="J77" s="64">
        <v>2.0499999999999998</v>
      </c>
      <c r="K77" s="64">
        <v>256.41000000000003</v>
      </c>
      <c r="L77" s="64">
        <v>34.880000000000003</v>
      </c>
      <c r="M77" s="64">
        <v>22.43</v>
      </c>
      <c r="N77" s="64">
        <v>73.599999999999994</v>
      </c>
      <c r="O77" s="64">
        <v>0</v>
      </c>
      <c r="P77" s="64">
        <v>0.42</v>
      </c>
      <c r="Q77" s="64">
        <v>22.59</v>
      </c>
      <c r="R77" s="198"/>
      <c r="S77" s="198"/>
      <c r="T77" s="198"/>
      <c r="U77" s="198"/>
    </row>
    <row r="78" spans="1:21" s="12" customFormat="1" x14ac:dyDescent="0.25">
      <c r="A78" s="211" t="s">
        <v>2718</v>
      </c>
      <c r="B78" s="64">
        <v>1.56</v>
      </c>
      <c r="C78" s="64">
        <v>30.55</v>
      </c>
      <c r="D78" s="64">
        <v>18.760000000000002</v>
      </c>
      <c r="E78" s="64">
        <v>1.32</v>
      </c>
      <c r="F78" s="64">
        <v>10.5</v>
      </c>
      <c r="G78" s="64">
        <v>53.34</v>
      </c>
      <c r="H78" s="64">
        <v>23.58</v>
      </c>
      <c r="I78" s="64">
        <v>0.54</v>
      </c>
      <c r="J78" s="64">
        <v>2.04</v>
      </c>
      <c r="K78" s="64">
        <v>255.87</v>
      </c>
      <c r="L78" s="64">
        <v>33.65</v>
      </c>
      <c r="M78" s="64">
        <v>26.33</v>
      </c>
      <c r="N78" s="64">
        <v>62.9</v>
      </c>
      <c r="O78" s="64">
        <v>0</v>
      </c>
      <c r="P78" s="64">
        <v>0.42</v>
      </c>
      <c r="Q78" s="64">
        <v>22.46</v>
      </c>
      <c r="R78" s="198"/>
      <c r="S78" s="198"/>
      <c r="T78" s="198"/>
      <c r="U78" s="198"/>
    </row>
    <row r="79" spans="1:21" s="12" customFormat="1" x14ac:dyDescent="0.25">
      <c r="A79" s="211" t="s">
        <v>2719</v>
      </c>
      <c r="B79" s="64">
        <v>1.63</v>
      </c>
      <c r="C79" s="64">
        <v>30.68</v>
      </c>
      <c r="D79" s="64">
        <v>18.89</v>
      </c>
      <c r="E79" s="64">
        <v>0.84</v>
      </c>
      <c r="F79" s="64">
        <v>9.9700000000000006</v>
      </c>
      <c r="G79" s="64">
        <v>54.25</v>
      </c>
      <c r="H79" s="64">
        <v>23.66</v>
      </c>
      <c r="I79" s="64">
        <v>0.53</v>
      </c>
      <c r="J79" s="64">
        <v>1.43</v>
      </c>
      <c r="K79" s="64">
        <v>255.76</v>
      </c>
      <c r="L79" s="64">
        <v>32.89</v>
      </c>
      <c r="M79" s="64">
        <v>26.61</v>
      </c>
      <c r="N79" s="64">
        <v>36.200000000000003</v>
      </c>
      <c r="O79" s="64">
        <v>0</v>
      </c>
      <c r="P79" s="64">
        <v>0.42</v>
      </c>
      <c r="Q79" s="64">
        <v>22.16</v>
      </c>
      <c r="R79" s="198"/>
      <c r="S79" s="198"/>
      <c r="T79" s="198"/>
      <c r="U79" s="198"/>
    </row>
    <row r="80" spans="1:21" s="12" customFormat="1" x14ac:dyDescent="0.25">
      <c r="A80" s="211" t="s">
        <v>2720</v>
      </c>
      <c r="B80" s="64">
        <v>2.41</v>
      </c>
      <c r="C80" s="64">
        <v>31.9</v>
      </c>
      <c r="D80" s="64">
        <v>20.190000000000001</v>
      </c>
      <c r="E80" s="64">
        <v>1.18</v>
      </c>
      <c r="F80" s="64">
        <v>9.35</v>
      </c>
      <c r="G80" s="64">
        <v>61.55</v>
      </c>
      <c r="H80" s="64">
        <v>24.15</v>
      </c>
      <c r="I80" s="64">
        <v>0.57999999999999996</v>
      </c>
      <c r="J80" s="64">
        <v>1.1599999999999999</v>
      </c>
      <c r="K80" s="64">
        <v>255.14</v>
      </c>
      <c r="L80" s="64">
        <v>32.64</v>
      </c>
      <c r="M80" s="64">
        <v>24.02</v>
      </c>
      <c r="N80" s="64">
        <v>26.2</v>
      </c>
      <c r="O80" s="64">
        <v>0</v>
      </c>
      <c r="P80" s="64">
        <v>0.43</v>
      </c>
      <c r="Q80" s="64">
        <v>22.56</v>
      </c>
      <c r="R80" s="198"/>
      <c r="S80" s="198"/>
      <c r="T80" s="198"/>
      <c r="U80" s="198"/>
    </row>
    <row r="81" spans="1:26" s="12" customFormat="1" x14ac:dyDescent="0.25">
      <c r="A81" s="211" t="s">
        <v>2721</v>
      </c>
      <c r="B81" s="64">
        <v>3.72</v>
      </c>
      <c r="C81" s="64">
        <v>30.25</v>
      </c>
      <c r="D81" s="64">
        <v>20.32</v>
      </c>
      <c r="E81" s="64">
        <v>1.48</v>
      </c>
      <c r="F81" s="64">
        <v>8.9</v>
      </c>
      <c r="G81" s="64">
        <v>61.55</v>
      </c>
      <c r="H81" s="64">
        <v>24.15</v>
      </c>
      <c r="I81" s="64">
        <v>0.48</v>
      </c>
      <c r="J81" s="64">
        <v>1.31</v>
      </c>
      <c r="K81" s="64">
        <v>254.65</v>
      </c>
      <c r="L81" s="64">
        <v>32.74</v>
      </c>
      <c r="M81" s="64">
        <v>20.95</v>
      </c>
      <c r="N81" s="64">
        <v>15.3</v>
      </c>
      <c r="O81" s="64">
        <v>0</v>
      </c>
      <c r="P81" s="64">
        <v>0.45</v>
      </c>
      <c r="Q81" s="64">
        <v>22.32</v>
      </c>
      <c r="R81" s="198"/>
      <c r="S81" s="198"/>
      <c r="T81" s="198"/>
      <c r="U81" s="198"/>
    </row>
    <row r="82" spans="1:26" s="12" customFormat="1" x14ac:dyDescent="0.25">
      <c r="A82" s="211" t="s">
        <v>2722</v>
      </c>
      <c r="B82" s="64">
        <v>4.43</v>
      </c>
      <c r="C82" s="64">
        <v>33.57</v>
      </c>
      <c r="D82" s="64">
        <v>22.73</v>
      </c>
      <c r="E82" s="64">
        <v>1.26</v>
      </c>
      <c r="F82" s="64">
        <v>8.9499999999999993</v>
      </c>
      <c r="G82" s="64">
        <v>61.55</v>
      </c>
      <c r="H82" s="64">
        <v>24.15</v>
      </c>
      <c r="I82" s="64">
        <v>0.55000000000000004</v>
      </c>
      <c r="J82" s="64">
        <v>1.42</v>
      </c>
      <c r="K82" s="64">
        <v>255.01</v>
      </c>
      <c r="L82" s="64">
        <v>32.549999999999997</v>
      </c>
      <c r="M82" s="64">
        <v>20.7</v>
      </c>
      <c r="N82" s="64">
        <v>7.6</v>
      </c>
      <c r="O82" s="64">
        <v>0</v>
      </c>
      <c r="P82" s="64">
        <v>0.47</v>
      </c>
      <c r="Q82" s="64">
        <v>21.67</v>
      </c>
      <c r="R82" s="198"/>
      <c r="S82" s="198"/>
      <c r="T82" s="198"/>
      <c r="U82" s="198"/>
    </row>
    <row r="83" spans="1:26" s="12" customFormat="1" x14ac:dyDescent="0.25">
      <c r="A83" s="211" t="s">
        <v>2723</v>
      </c>
      <c r="B83" s="64">
        <v>5.13</v>
      </c>
      <c r="C83" s="64">
        <v>30.8</v>
      </c>
      <c r="D83" s="64">
        <v>21.76</v>
      </c>
      <c r="E83" s="64">
        <v>1.36</v>
      </c>
      <c r="F83" s="64">
        <v>12.05</v>
      </c>
      <c r="G83" s="64">
        <v>60.46</v>
      </c>
      <c r="H83" s="64">
        <v>23.75</v>
      </c>
      <c r="I83" s="64">
        <v>0.69</v>
      </c>
      <c r="J83" s="64">
        <v>1.31</v>
      </c>
      <c r="K83" s="64">
        <v>254.83</v>
      </c>
      <c r="L83" s="64">
        <v>32.46</v>
      </c>
      <c r="M83" s="64">
        <v>20.170000000000002</v>
      </c>
      <c r="N83" s="64">
        <v>5.3</v>
      </c>
      <c r="O83" s="64">
        <v>0</v>
      </c>
      <c r="P83" s="64">
        <v>0.48</v>
      </c>
      <c r="Q83" s="64">
        <v>21.5</v>
      </c>
      <c r="R83" s="198"/>
      <c r="S83" s="198"/>
      <c r="T83" s="198"/>
      <c r="U83" s="198"/>
    </row>
    <row r="84" spans="1:26" s="12" customFormat="1" x14ac:dyDescent="0.25">
      <c r="A84" s="211" t="s">
        <v>2724</v>
      </c>
      <c r="B84" s="64">
        <v>5.66</v>
      </c>
      <c r="C84" s="64">
        <v>30.21</v>
      </c>
      <c r="D84" s="64">
        <v>21.86</v>
      </c>
      <c r="E84" s="64">
        <v>1.35</v>
      </c>
      <c r="F84" s="64">
        <v>8.36</v>
      </c>
      <c r="G84" s="64">
        <v>51.74</v>
      </c>
      <c r="H84" s="64">
        <v>21.17</v>
      </c>
      <c r="I84" s="64">
        <v>0.57999999999999996</v>
      </c>
      <c r="J84" s="64">
        <v>1.1599999999999999</v>
      </c>
      <c r="K84" s="64">
        <v>256.10000000000002</v>
      </c>
      <c r="L84" s="64">
        <v>32.270000000000003</v>
      </c>
      <c r="M84" s="64">
        <v>20.85</v>
      </c>
      <c r="N84" s="64">
        <v>5.0999999999999996</v>
      </c>
      <c r="O84" s="64">
        <v>0</v>
      </c>
      <c r="P84" s="64">
        <v>0.5</v>
      </c>
      <c r="Q84" s="64">
        <v>21.45</v>
      </c>
      <c r="R84" s="198"/>
      <c r="S84" s="198"/>
      <c r="T84" s="198"/>
      <c r="U84" s="198"/>
    </row>
    <row r="85" spans="1:26" s="12" customFormat="1" x14ac:dyDescent="0.25">
      <c r="A85" s="211" t="s">
        <v>2725</v>
      </c>
      <c r="B85" s="64">
        <v>4.7699999999999996</v>
      </c>
      <c r="C85" s="64">
        <v>31.82</v>
      </c>
      <c r="D85" s="64">
        <v>22.03</v>
      </c>
      <c r="E85" s="64">
        <v>0.95</v>
      </c>
      <c r="F85" s="64">
        <v>6.7</v>
      </c>
      <c r="G85" s="64">
        <v>51.74</v>
      </c>
      <c r="H85" s="64">
        <v>21.17</v>
      </c>
      <c r="I85" s="64">
        <v>0.53</v>
      </c>
      <c r="J85" s="64">
        <v>1</v>
      </c>
      <c r="K85" s="64">
        <v>255.85</v>
      </c>
      <c r="L85" s="64">
        <v>32.049999999999997</v>
      </c>
      <c r="M85" s="64">
        <v>21.57</v>
      </c>
      <c r="N85" s="64">
        <v>5.2</v>
      </c>
      <c r="O85" s="64">
        <v>0</v>
      </c>
      <c r="P85" s="64">
        <v>0.47</v>
      </c>
      <c r="Q85" s="64">
        <v>21.68</v>
      </c>
      <c r="R85" s="198"/>
      <c r="S85" s="198"/>
      <c r="T85" s="198"/>
      <c r="U85" s="198"/>
    </row>
    <row r="86" spans="1:26" s="12" customFormat="1" x14ac:dyDescent="0.25">
      <c r="A86" s="211" t="s">
        <v>2726</v>
      </c>
      <c r="B86" s="64">
        <v>6.47</v>
      </c>
      <c r="C86" s="64">
        <v>34.51</v>
      </c>
      <c r="D86" s="64">
        <v>24.88</v>
      </c>
      <c r="E86" s="64">
        <v>1.22</v>
      </c>
      <c r="F86" s="64">
        <v>7.61</v>
      </c>
      <c r="G86" s="64">
        <v>51.74</v>
      </c>
      <c r="H86" s="64">
        <v>21.17</v>
      </c>
      <c r="I86" s="64">
        <v>0.74</v>
      </c>
      <c r="J86" s="64">
        <v>0.87</v>
      </c>
      <c r="K86" s="64">
        <v>256.22000000000003</v>
      </c>
      <c r="L86" s="64">
        <v>31.73</v>
      </c>
      <c r="M86" s="64">
        <v>22.69</v>
      </c>
      <c r="N86" s="64">
        <v>4.8</v>
      </c>
      <c r="O86" s="64">
        <v>0</v>
      </c>
      <c r="P86" s="64">
        <v>0.56000000000000005</v>
      </c>
      <c r="Q86" s="64">
        <v>21.53</v>
      </c>
      <c r="R86" s="198"/>
      <c r="S86" s="198"/>
      <c r="T86" s="198"/>
      <c r="U86" s="198"/>
    </row>
    <row r="87" spans="1:26" s="12" customFormat="1" x14ac:dyDescent="0.25">
      <c r="A87" s="211" t="s">
        <v>2727</v>
      </c>
      <c r="B87" s="64">
        <v>4.6399999999999997</v>
      </c>
      <c r="C87" s="64">
        <v>35.409999999999997</v>
      </c>
      <c r="D87" s="64">
        <v>23.91</v>
      </c>
      <c r="E87" s="64">
        <v>0.65</v>
      </c>
      <c r="F87" s="64">
        <v>5.56</v>
      </c>
      <c r="G87" s="64">
        <v>53.89</v>
      </c>
      <c r="H87" s="64">
        <v>21.04</v>
      </c>
      <c r="I87" s="64">
        <v>0.55000000000000004</v>
      </c>
      <c r="J87" s="64">
        <v>0.57999999999999996</v>
      </c>
      <c r="K87" s="64">
        <v>256.52</v>
      </c>
      <c r="L87" s="64">
        <v>31.58</v>
      </c>
      <c r="M87" s="64">
        <v>23.55</v>
      </c>
      <c r="N87" s="64">
        <v>4.8</v>
      </c>
      <c r="O87" s="64">
        <v>0</v>
      </c>
      <c r="P87" s="64">
        <v>0.59</v>
      </c>
      <c r="Q87" s="64">
        <v>21.76</v>
      </c>
      <c r="R87" s="198"/>
      <c r="S87" s="198"/>
      <c r="T87" s="198"/>
      <c r="U87" s="198"/>
    </row>
    <row r="88" spans="1:26" s="12" customFormat="1" x14ac:dyDescent="0.25">
      <c r="A88" s="211" t="s">
        <v>2728</v>
      </c>
      <c r="B88" s="64">
        <v>4.1900000000000004</v>
      </c>
      <c r="C88" s="64">
        <v>36.520000000000003</v>
      </c>
      <c r="D88" s="64">
        <v>24.16</v>
      </c>
      <c r="E88" s="64">
        <v>0.92</v>
      </c>
      <c r="F88" s="64">
        <v>5.95</v>
      </c>
      <c r="G88" s="64">
        <v>71.06</v>
      </c>
      <c r="H88" s="64">
        <v>20.2</v>
      </c>
      <c r="I88" s="64">
        <v>0.54</v>
      </c>
      <c r="J88" s="64">
        <v>0.2</v>
      </c>
      <c r="K88" s="64">
        <v>265.41000000000003</v>
      </c>
      <c r="L88" s="64">
        <v>31.72</v>
      </c>
      <c r="M88" s="64">
        <v>24.07</v>
      </c>
      <c r="N88" s="64">
        <v>5.0999999999999996</v>
      </c>
      <c r="O88" s="64">
        <v>0</v>
      </c>
      <c r="P88" s="64">
        <v>0.62</v>
      </c>
      <c r="Q88" s="64">
        <v>21.76</v>
      </c>
      <c r="R88" s="198"/>
      <c r="S88" s="198"/>
      <c r="T88" s="198"/>
      <c r="U88" s="198"/>
    </row>
    <row r="89" spans="1:26" s="12" customFormat="1" x14ac:dyDescent="0.25">
      <c r="A89" s="211" t="s">
        <v>2729</v>
      </c>
      <c r="B89" s="64">
        <v>10.06</v>
      </c>
      <c r="C89" s="64">
        <v>41.67</v>
      </c>
      <c r="D89" s="64">
        <v>31.71</v>
      </c>
      <c r="E89" s="64">
        <v>2.34</v>
      </c>
      <c r="F89" s="64">
        <v>5.63</v>
      </c>
      <c r="G89" s="64">
        <v>71.06</v>
      </c>
      <c r="H89" s="64">
        <v>20.2</v>
      </c>
      <c r="I89" s="64">
        <v>0.56999999999999995</v>
      </c>
      <c r="J89" s="64">
        <v>0.03</v>
      </c>
      <c r="K89" s="64">
        <v>331.67</v>
      </c>
      <c r="L89" s="64">
        <v>31.22</v>
      </c>
      <c r="M89" s="64">
        <v>25.85</v>
      </c>
      <c r="N89" s="64">
        <v>5.3</v>
      </c>
      <c r="O89" s="64">
        <v>0</v>
      </c>
      <c r="P89" s="64">
        <v>0.68</v>
      </c>
      <c r="Q89" s="64">
        <v>21.05</v>
      </c>
      <c r="R89" s="198"/>
      <c r="S89" s="198"/>
      <c r="T89" s="198"/>
      <c r="U89" s="198"/>
    </row>
    <row r="90" spans="1:26" s="12" customFormat="1" x14ac:dyDescent="0.25">
      <c r="A90" s="211" t="s">
        <v>2730</v>
      </c>
      <c r="B90" s="64">
        <v>8.8800000000000008</v>
      </c>
      <c r="C90" s="64">
        <v>41.6</v>
      </c>
      <c r="D90" s="64">
        <v>30.73</v>
      </c>
      <c r="E90" s="64">
        <v>1.62</v>
      </c>
      <c r="F90" s="64">
        <v>5.24</v>
      </c>
      <c r="G90" s="64">
        <v>71.06</v>
      </c>
      <c r="H90" s="64">
        <v>20.2</v>
      </c>
      <c r="I90" s="64">
        <v>0.75</v>
      </c>
      <c r="J90" s="64">
        <v>0.05</v>
      </c>
      <c r="K90" s="64">
        <v>292.41000000000003</v>
      </c>
      <c r="L90" s="64">
        <v>31.04</v>
      </c>
      <c r="M90" s="64">
        <v>27.02</v>
      </c>
      <c r="N90" s="64">
        <v>5.0999999999999996</v>
      </c>
      <c r="O90" s="64">
        <v>0</v>
      </c>
      <c r="P90" s="64">
        <v>0.76</v>
      </c>
      <c r="Q90" s="64">
        <v>21.4</v>
      </c>
      <c r="R90" s="198"/>
      <c r="S90" s="198"/>
      <c r="T90" s="198"/>
      <c r="U90" s="198"/>
    </row>
    <row r="91" spans="1:26" s="12" customFormat="1" x14ac:dyDescent="0.25">
      <c r="A91" s="211" t="s">
        <v>2731</v>
      </c>
      <c r="B91" s="64">
        <v>12.39</v>
      </c>
      <c r="C91" s="64">
        <v>43.68</v>
      </c>
      <c r="D91" s="64">
        <v>34.69</v>
      </c>
      <c r="E91" s="64">
        <v>4.4800000000000004</v>
      </c>
      <c r="F91" s="64">
        <v>11.72</v>
      </c>
      <c r="G91" s="64">
        <v>71.2</v>
      </c>
      <c r="H91" s="64">
        <v>20.53</v>
      </c>
      <c r="I91" s="64">
        <v>0.64</v>
      </c>
      <c r="J91" s="64">
        <v>0.09</v>
      </c>
      <c r="K91" s="64">
        <v>263.24</v>
      </c>
      <c r="L91" s="64">
        <v>30.48</v>
      </c>
      <c r="M91" s="64">
        <v>28.99</v>
      </c>
      <c r="N91" s="64">
        <v>5.3</v>
      </c>
      <c r="O91" s="64">
        <v>0</v>
      </c>
      <c r="P91" s="64">
        <v>0.81</v>
      </c>
      <c r="Q91" s="64">
        <v>21.81</v>
      </c>
      <c r="R91" s="198"/>
      <c r="S91" s="198"/>
      <c r="T91" s="198"/>
      <c r="U91" s="198"/>
    </row>
    <row r="92" spans="1:26" s="12" customFormat="1" x14ac:dyDescent="0.25">
      <c r="A92" s="211" t="s">
        <v>2732</v>
      </c>
      <c r="B92" s="64">
        <v>23.76</v>
      </c>
      <c r="C92" s="64">
        <v>44.42</v>
      </c>
      <c r="D92" s="64">
        <v>44.21</v>
      </c>
      <c r="E92" s="64">
        <v>9.8000000000000007</v>
      </c>
      <c r="F92" s="64">
        <v>19.12</v>
      </c>
      <c r="G92" s="64">
        <v>72.28</v>
      </c>
      <c r="H92" s="64">
        <v>22.61</v>
      </c>
      <c r="I92" s="64">
        <v>0.56999999999999995</v>
      </c>
      <c r="J92" s="64">
        <v>0.23</v>
      </c>
      <c r="K92" s="64">
        <v>253.84</v>
      </c>
      <c r="L92" s="64">
        <v>29.98</v>
      </c>
      <c r="M92" s="64">
        <v>30.87</v>
      </c>
      <c r="N92" s="64">
        <v>5.2</v>
      </c>
      <c r="O92" s="64">
        <v>0</v>
      </c>
      <c r="P92" s="64">
        <v>0.85</v>
      </c>
      <c r="Q92" s="64">
        <v>19.88</v>
      </c>
      <c r="R92" s="198"/>
      <c r="S92" s="198"/>
      <c r="T92" s="198"/>
      <c r="U92" s="198"/>
    </row>
    <row r="93" spans="1:26" s="12" customFormat="1" x14ac:dyDescent="0.25">
      <c r="A93" s="211" t="s">
        <v>2733</v>
      </c>
      <c r="B93" s="64">
        <v>25.5</v>
      </c>
      <c r="C93" s="64">
        <v>44.17</v>
      </c>
      <c r="D93" s="64">
        <v>45.48</v>
      </c>
      <c r="E93" s="64">
        <v>9.75</v>
      </c>
      <c r="F93" s="64">
        <v>14.83</v>
      </c>
      <c r="G93" s="64">
        <v>72.28</v>
      </c>
      <c r="H93" s="64">
        <v>22.61</v>
      </c>
      <c r="I93" s="64">
        <v>0.61</v>
      </c>
      <c r="J93" s="64">
        <v>0.23</v>
      </c>
      <c r="K93" s="64">
        <v>253.13</v>
      </c>
      <c r="L93" s="64">
        <v>29.68</v>
      </c>
      <c r="M93" s="64">
        <v>31.58</v>
      </c>
      <c r="N93" s="64">
        <v>5</v>
      </c>
      <c r="O93" s="64">
        <v>0</v>
      </c>
      <c r="P93" s="64">
        <v>0.89</v>
      </c>
      <c r="Q93" s="64">
        <v>19.13</v>
      </c>
      <c r="R93" s="198"/>
      <c r="S93" s="198"/>
      <c r="T93" s="198"/>
      <c r="U93" s="198"/>
    </row>
    <row r="94" spans="1:26" s="12" customFormat="1" x14ac:dyDescent="0.25">
      <c r="A94" s="211" t="s">
        <v>2734</v>
      </c>
      <c r="B94" s="64">
        <v>13.78</v>
      </c>
      <c r="C94" s="64">
        <v>40.479999999999997</v>
      </c>
      <c r="D94" s="64">
        <v>34.04</v>
      </c>
      <c r="E94" s="64">
        <v>11.51</v>
      </c>
      <c r="F94" s="64">
        <v>16.829999999999998</v>
      </c>
      <c r="G94" s="64">
        <v>72.28</v>
      </c>
      <c r="H94" s="64">
        <v>22.61</v>
      </c>
      <c r="I94" s="64">
        <v>0.66</v>
      </c>
      <c r="J94" s="64">
        <v>0.2</v>
      </c>
      <c r="K94" s="64">
        <v>255.23</v>
      </c>
      <c r="L94" s="64">
        <v>29.49</v>
      </c>
      <c r="M94" s="64">
        <v>32.24</v>
      </c>
      <c r="N94" s="64">
        <v>5</v>
      </c>
      <c r="O94" s="64">
        <v>0</v>
      </c>
      <c r="P94" s="64">
        <v>0.9</v>
      </c>
      <c r="Q94" s="64">
        <v>21.09</v>
      </c>
      <c r="R94" s="198"/>
      <c r="S94" s="198"/>
      <c r="T94" s="198"/>
      <c r="U94" s="198"/>
    </row>
    <row r="95" spans="1:26" s="12" customFormat="1" x14ac:dyDescent="0.25">
      <c r="A95" s="211" t="s">
        <v>2735</v>
      </c>
      <c r="B95" s="64">
        <v>18.2</v>
      </c>
      <c r="C95" s="64">
        <v>41.81</v>
      </c>
      <c r="D95" s="64">
        <v>38.32</v>
      </c>
      <c r="E95" s="64">
        <v>14.79</v>
      </c>
      <c r="F95" s="64">
        <v>9.9700000000000006</v>
      </c>
      <c r="G95" s="64">
        <v>71.78</v>
      </c>
      <c r="H95" s="64">
        <v>23.2</v>
      </c>
      <c r="I95" s="64">
        <v>0.72</v>
      </c>
      <c r="J95" s="64">
        <v>0.37</v>
      </c>
      <c r="K95" s="64">
        <v>252.33</v>
      </c>
      <c r="L95" s="64">
        <v>29.35</v>
      </c>
      <c r="M95" s="64">
        <v>33.21</v>
      </c>
      <c r="N95" s="64">
        <v>4.5999999999999996</v>
      </c>
      <c r="O95" s="64">
        <v>0</v>
      </c>
      <c r="P95" s="64">
        <v>0.91</v>
      </c>
      <c r="Q95" s="64">
        <v>21.79</v>
      </c>
      <c r="R95" s="198"/>
      <c r="S95" s="198"/>
      <c r="T95" s="198"/>
      <c r="U95" s="198"/>
    </row>
    <row r="96" spans="1:26" s="12" customFormat="1" x14ac:dyDescent="0.25">
      <c r="A96" s="211" t="s">
        <v>2736</v>
      </c>
      <c r="B96" s="64">
        <v>15.2</v>
      </c>
      <c r="C96" s="64">
        <v>40.270000000000003</v>
      </c>
      <c r="D96" s="64">
        <v>35.06</v>
      </c>
      <c r="E96" s="64">
        <v>15.92</v>
      </c>
      <c r="F96" s="64">
        <v>6.06</v>
      </c>
      <c r="G96" s="64">
        <v>67.819999999999993</v>
      </c>
      <c r="H96" s="64">
        <v>27.04</v>
      </c>
      <c r="I96" s="64">
        <v>1</v>
      </c>
      <c r="J96" s="64">
        <v>0.12</v>
      </c>
      <c r="K96" s="64">
        <v>266.89</v>
      </c>
      <c r="L96" s="64">
        <v>29.38</v>
      </c>
      <c r="M96" s="64">
        <v>33.32</v>
      </c>
      <c r="N96" s="64">
        <v>4.9000000000000004</v>
      </c>
      <c r="O96" s="64">
        <v>0</v>
      </c>
      <c r="P96" s="64">
        <v>0.93</v>
      </c>
      <c r="Q96" s="64">
        <v>21.62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2737</v>
      </c>
      <c r="B97" s="64">
        <v>12.8</v>
      </c>
      <c r="C97" s="64">
        <v>38.340000000000003</v>
      </c>
      <c r="D97" s="64">
        <v>32.07</v>
      </c>
      <c r="E97" s="64">
        <v>6.38</v>
      </c>
      <c r="F97" s="64">
        <v>4.2300000000000004</v>
      </c>
      <c r="G97" s="64">
        <v>67.819999999999993</v>
      </c>
      <c r="H97" s="64">
        <v>27.04</v>
      </c>
      <c r="I97" s="64">
        <v>0.82</v>
      </c>
      <c r="J97" s="64">
        <v>0.09</v>
      </c>
      <c r="K97" s="64">
        <v>245.26</v>
      </c>
      <c r="L97" s="64">
        <v>29.26</v>
      </c>
      <c r="M97" s="64">
        <v>33.909999999999997</v>
      </c>
      <c r="N97" s="64">
        <v>4.9000000000000004</v>
      </c>
      <c r="O97" s="64">
        <v>0</v>
      </c>
      <c r="P97" s="64">
        <v>0.95</v>
      </c>
      <c r="Q97" s="64">
        <v>23.46</v>
      </c>
      <c r="R97" s="198"/>
      <c r="S97" s="198"/>
      <c r="T97" s="198"/>
      <c r="U97" s="198"/>
    </row>
    <row r="98" spans="1:33" s="12" customFormat="1" x14ac:dyDescent="0.25">
      <c r="A98" s="211" t="s">
        <v>2738</v>
      </c>
      <c r="B98" s="64">
        <v>12.51</v>
      </c>
      <c r="C98" s="64">
        <v>39.04</v>
      </c>
      <c r="D98" s="64">
        <v>32.229999999999997</v>
      </c>
      <c r="E98" s="64">
        <v>5.52</v>
      </c>
      <c r="F98" s="64">
        <v>4.0999999999999996</v>
      </c>
      <c r="G98" s="64">
        <v>67.819999999999993</v>
      </c>
      <c r="H98" s="64">
        <v>27.04</v>
      </c>
      <c r="I98" s="64">
        <v>0.75</v>
      </c>
      <c r="J98" s="64">
        <v>0.12</v>
      </c>
      <c r="K98" s="64">
        <v>262.2</v>
      </c>
      <c r="L98" s="64">
        <v>28.89</v>
      </c>
      <c r="M98" s="64">
        <v>35.06</v>
      </c>
      <c r="N98" s="64">
        <v>5</v>
      </c>
      <c r="O98" s="64">
        <v>0</v>
      </c>
      <c r="P98" s="64">
        <v>0.96</v>
      </c>
      <c r="Q98" s="64">
        <v>23.9</v>
      </c>
      <c r="R98" s="198"/>
      <c r="S98" s="198"/>
      <c r="T98" s="198"/>
      <c r="U98" s="198"/>
    </row>
    <row r="99" spans="1:33" s="12" customFormat="1" x14ac:dyDescent="0.25">
      <c r="A99" s="211" t="s">
        <v>2739</v>
      </c>
      <c r="B99" s="64">
        <v>11.8</v>
      </c>
      <c r="C99" s="64">
        <v>39.380000000000003</v>
      </c>
      <c r="D99" s="64">
        <v>31.84</v>
      </c>
      <c r="E99" s="64">
        <v>4.57</v>
      </c>
      <c r="F99" s="64">
        <v>4.21</v>
      </c>
      <c r="G99" s="64">
        <v>70.09</v>
      </c>
      <c r="H99" s="64">
        <v>27.46</v>
      </c>
      <c r="I99" s="64">
        <v>0.64</v>
      </c>
      <c r="J99" s="64">
        <v>0.06</v>
      </c>
      <c r="K99" s="64">
        <v>295.13</v>
      </c>
      <c r="L99" s="64">
        <v>28.86</v>
      </c>
      <c r="M99" s="64">
        <v>35.299999999999997</v>
      </c>
      <c r="N99" s="64">
        <v>4.8</v>
      </c>
      <c r="O99" s="64">
        <v>0</v>
      </c>
      <c r="P99" s="64">
        <v>0.98</v>
      </c>
      <c r="Q99" s="64">
        <v>24</v>
      </c>
      <c r="R99" s="198"/>
      <c r="S99" s="198"/>
      <c r="T99" s="198"/>
      <c r="U99" s="198"/>
    </row>
    <row r="100" spans="1:33" s="12" customFormat="1" x14ac:dyDescent="0.25">
      <c r="A100" s="211" t="s">
        <v>2740</v>
      </c>
      <c r="B100" s="64">
        <v>10.68</v>
      </c>
      <c r="C100" s="64">
        <v>40.14</v>
      </c>
      <c r="D100" s="64">
        <v>31.36</v>
      </c>
      <c r="E100" s="64">
        <v>3.76</v>
      </c>
      <c r="F100" s="64">
        <v>4.46</v>
      </c>
      <c r="G100" s="64">
        <v>88.2</v>
      </c>
      <c r="H100" s="64">
        <v>30.17</v>
      </c>
      <c r="I100" s="64">
        <v>0.83</v>
      </c>
      <c r="J100" s="64">
        <v>0.08</v>
      </c>
      <c r="K100" s="64">
        <v>46</v>
      </c>
      <c r="L100" s="64">
        <v>28.74</v>
      </c>
      <c r="M100" s="64">
        <v>35.69</v>
      </c>
      <c r="N100" s="64">
        <v>4.8</v>
      </c>
      <c r="O100" s="64">
        <v>0</v>
      </c>
      <c r="P100" s="64">
        <v>0.98</v>
      </c>
      <c r="Q100" s="64">
        <v>23.9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2741</v>
      </c>
      <c r="B101" s="64">
        <v>10.08</v>
      </c>
      <c r="C101" s="64">
        <v>41.6</v>
      </c>
      <c r="D101" s="64">
        <v>31.69</v>
      </c>
      <c r="E101" s="64">
        <v>3.83</v>
      </c>
      <c r="F101" s="64">
        <v>4.34</v>
      </c>
      <c r="G101" s="64">
        <v>88.2</v>
      </c>
      <c r="H101" s="64">
        <v>30.17</v>
      </c>
      <c r="I101" s="64">
        <v>0.63</v>
      </c>
      <c r="J101" s="64">
        <v>0.03</v>
      </c>
      <c r="K101" s="64">
        <v>53.01</v>
      </c>
      <c r="L101" s="64">
        <v>28.66</v>
      </c>
      <c r="M101" s="64">
        <v>36.25</v>
      </c>
      <c r="N101" s="64">
        <v>4.8</v>
      </c>
      <c r="O101" s="64">
        <v>0</v>
      </c>
      <c r="P101" s="64">
        <v>1</v>
      </c>
      <c r="Q101" s="64">
        <v>23.72</v>
      </c>
      <c r="R101" s="198"/>
      <c r="S101" s="198"/>
      <c r="T101" s="198"/>
      <c r="U101" s="198"/>
    </row>
    <row r="102" spans="1:33" s="12" customFormat="1" x14ac:dyDescent="0.25">
      <c r="A102" s="211" t="s">
        <v>2742</v>
      </c>
      <c r="B102" s="64">
        <v>9.42</v>
      </c>
      <c r="C102" s="64">
        <v>43.4</v>
      </c>
      <c r="D102" s="64">
        <v>32.15</v>
      </c>
      <c r="E102" s="64">
        <v>4.04</v>
      </c>
      <c r="F102" s="64">
        <v>3.78</v>
      </c>
      <c r="G102" s="64">
        <v>88.2</v>
      </c>
      <c r="H102" s="64">
        <v>30.17</v>
      </c>
      <c r="I102" s="64">
        <v>0.63</v>
      </c>
      <c r="J102" s="64">
        <v>0.04</v>
      </c>
      <c r="K102" s="64">
        <v>46.05</v>
      </c>
      <c r="L102" s="64">
        <v>28.48</v>
      </c>
      <c r="M102" s="64">
        <v>36.85</v>
      </c>
      <c r="N102" s="64">
        <v>4.8</v>
      </c>
      <c r="O102" s="64">
        <v>0</v>
      </c>
      <c r="P102" s="64">
        <v>1.18</v>
      </c>
      <c r="Q102" s="64">
        <v>23.7</v>
      </c>
      <c r="R102" s="198"/>
      <c r="S102" s="198"/>
      <c r="T102" s="198"/>
      <c r="U102" s="198"/>
    </row>
    <row r="103" spans="1:33" s="12" customFormat="1" x14ac:dyDescent="0.25">
      <c r="A103" s="211" t="s">
        <v>2743</v>
      </c>
      <c r="B103" s="64">
        <v>9.9600000000000009</v>
      </c>
      <c r="C103" s="64">
        <v>43.5</v>
      </c>
      <c r="D103" s="64">
        <v>32.64</v>
      </c>
      <c r="E103" s="64">
        <v>5.19</v>
      </c>
      <c r="F103" s="64">
        <v>11.3</v>
      </c>
      <c r="G103" s="64">
        <v>87.44</v>
      </c>
      <c r="H103" s="64">
        <v>30.37</v>
      </c>
      <c r="I103" s="64">
        <v>0.64</v>
      </c>
      <c r="J103" s="64">
        <v>0.01</v>
      </c>
      <c r="K103" s="64">
        <v>284.64999999999998</v>
      </c>
      <c r="L103" s="64">
        <v>28.15</v>
      </c>
      <c r="M103" s="64">
        <v>37.92</v>
      </c>
      <c r="N103" s="64">
        <v>4.9000000000000004</v>
      </c>
      <c r="O103" s="64">
        <v>0</v>
      </c>
      <c r="P103" s="64">
        <v>1.31</v>
      </c>
      <c r="Q103" s="64">
        <v>23.89</v>
      </c>
      <c r="R103" s="198"/>
      <c r="S103" s="198"/>
      <c r="T103" s="198"/>
      <c r="U103" s="198"/>
    </row>
    <row r="104" spans="1:33" s="12" customFormat="1" x14ac:dyDescent="0.25">
      <c r="A104" s="211" t="s">
        <v>2744</v>
      </c>
      <c r="B104" s="64">
        <v>7.66</v>
      </c>
      <c r="C104" s="64">
        <v>38.4</v>
      </c>
      <c r="D104" s="64">
        <v>27.98</v>
      </c>
      <c r="E104" s="64">
        <v>3.68</v>
      </c>
      <c r="F104" s="64">
        <v>16.95</v>
      </c>
      <c r="G104" s="64">
        <v>81.36</v>
      </c>
      <c r="H104" s="64">
        <v>31.65</v>
      </c>
      <c r="I104" s="64">
        <v>0.65</v>
      </c>
      <c r="J104" s="64">
        <v>0.02</v>
      </c>
      <c r="K104" s="64">
        <v>278.8</v>
      </c>
      <c r="L104" s="64">
        <v>28.18</v>
      </c>
      <c r="M104" s="64">
        <v>37.81</v>
      </c>
      <c r="N104" s="64">
        <v>4.5</v>
      </c>
      <c r="O104" s="64">
        <v>0</v>
      </c>
      <c r="P104" s="64">
        <v>1.31</v>
      </c>
      <c r="Q104" s="64">
        <v>24.72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22.54</v>
      </c>
      <c r="D106" s="67">
        <f t="shared" ref="D106:Q106" si="0">MIN(D9:D104)</f>
        <v>13.99</v>
      </c>
      <c r="E106" s="67">
        <f t="shared" si="0"/>
        <v>0.65</v>
      </c>
      <c r="F106" s="67">
        <f t="shared" si="0"/>
        <v>3.78</v>
      </c>
      <c r="G106" s="67">
        <f t="shared" si="0"/>
        <v>49.82</v>
      </c>
      <c r="H106" s="67">
        <f t="shared" si="0"/>
        <v>20.2</v>
      </c>
      <c r="I106" s="67">
        <f t="shared" si="0"/>
        <v>0.48</v>
      </c>
      <c r="J106" s="67">
        <f t="shared" si="0"/>
        <v>0.01</v>
      </c>
      <c r="K106" s="67">
        <f t="shared" si="0"/>
        <v>20.98</v>
      </c>
      <c r="L106" s="67">
        <f t="shared" si="0"/>
        <v>25.38</v>
      </c>
      <c r="M106" s="67">
        <f t="shared" si="0"/>
        <v>16.93</v>
      </c>
      <c r="N106" s="67">
        <f t="shared" si="0"/>
        <v>1.9</v>
      </c>
      <c r="O106" s="67">
        <f t="shared" si="0"/>
        <v>0</v>
      </c>
      <c r="P106" s="67">
        <f t="shared" si="0"/>
        <v>0.42</v>
      </c>
      <c r="Q106" s="67">
        <f t="shared" si="0"/>
        <v>19.13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25.5</v>
      </c>
      <c r="C107" s="66">
        <f t="shared" ref="C107:Q107" si="1">MAX(C9:C104)</f>
        <v>53.93</v>
      </c>
      <c r="D107" s="66">
        <f t="shared" si="1"/>
        <v>45.48</v>
      </c>
      <c r="E107" s="66">
        <f t="shared" si="1"/>
        <v>21.87</v>
      </c>
      <c r="F107" s="66">
        <f t="shared" si="1"/>
        <v>46.22</v>
      </c>
      <c r="G107" s="66">
        <f t="shared" si="1"/>
        <v>105.2</v>
      </c>
      <c r="H107" s="66">
        <f t="shared" si="1"/>
        <v>43.71</v>
      </c>
      <c r="I107" s="66">
        <f t="shared" si="1"/>
        <v>1.04</v>
      </c>
      <c r="J107" s="66">
        <f t="shared" si="1"/>
        <v>2.0499999999999998</v>
      </c>
      <c r="K107" s="66">
        <f t="shared" si="1"/>
        <v>357.43</v>
      </c>
      <c r="L107" s="66">
        <f t="shared" si="1"/>
        <v>38.28</v>
      </c>
      <c r="M107" s="66">
        <f t="shared" si="1"/>
        <v>54.1</v>
      </c>
      <c r="N107" s="66">
        <f t="shared" si="1"/>
        <v>908.4</v>
      </c>
      <c r="O107" s="66">
        <f t="shared" si="1"/>
        <v>0</v>
      </c>
      <c r="P107" s="66">
        <f t="shared" si="1"/>
        <v>1.31</v>
      </c>
      <c r="Q107" s="66">
        <f t="shared" si="1"/>
        <v>31.11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5.0905208333333336</v>
      </c>
      <c r="C108" s="67">
        <f t="shared" ref="C108:Q108" si="2">AVERAGE(C9:C104)</f>
        <v>33.543750000000017</v>
      </c>
      <c r="D108" s="67">
        <f t="shared" si="2"/>
        <v>23.240937500000005</v>
      </c>
      <c r="E108" s="67">
        <f t="shared" si="2"/>
        <v>3.9996875000000007</v>
      </c>
      <c r="F108" s="67">
        <f t="shared" si="2"/>
        <v>15.104791666666662</v>
      </c>
      <c r="G108" s="67">
        <f t="shared" si="2"/>
        <v>68.69322916666664</v>
      </c>
      <c r="H108" s="67">
        <f t="shared" si="2"/>
        <v>29.963229166666668</v>
      </c>
      <c r="I108" s="67">
        <f t="shared" si="2"/>
        <v>0.65687499999999988</v>
      </c>
      <c r="J108" s="67">
        <f t="shared" si="2"/>
        <v>0.44281249999999989</v>
      </c>
      <c r="K108" s="67">
        <f t="shared" si="2"/>
        <v>225.32718749999992</v>
      </c>
      <c r="L108" s="67">
        <f t="shared" si="2"/>
        <v>31.267812499999987</v>
      </c>
      <c r="M108" s="67">
        <f t="shared" si="2"/>
        <v>33.594062499999986</v>
      </c>
      <c r="N108" s="67">
        <f t="shared" si="2"/>
        <v>200.12738095238083</v>
      </c>
      <c r="O108" s="67">
        <f t="shared" si="2"/>
        <v>0</v>
      </c>
      <c r="P108" s="67">
        <f t="shared" si="2"/>
        <v>0.69791666666666685</v>
      </c>
      <c r="Q108" s="67">
        <f t="shared" si="2"/>
        <v>26.148750000000003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4.7420238561391663</v>
      </c>
      <c r="C109" s="67">
        <f t="shared" ref="C109:Q109" si="3">STDEV(C9:C104)</f>
        <v>5.6151798490200857</v>
      </c>
      <c r="D109" s="67">
        <f t="shared" si="3"/>
        <v>6.4228001891493331</v>
      </c>
      <c r="E109" s="67">
        <f t="shared" si="3"/>
        <v>3.631033042254967</v>
      </c>
      <c r="F109" s="67">
        <f t="shared" si="3"/>
        <v>10.711517950236827</v>
      </c>
      <c r="G109" s="67">
        <f t="shared" si="3"/>
        <v>14.271070220981867</v>
      </c>
      <c r="H109" s="67">
        <f t="shared" si="3"/>
        <v>6.0361869272425892</v>
      </c>
      <c r="I109" s="67">
        <f t="shared" si="3"/>
        <v>0.10612120676997568</v>
      </c>
      <c r="J109" s="67">
        <f t="shared" si="3"/>
        <v>0.48226156503008116</v>
      </c>
      <c r="K109" s="67">
        <f t="shared" si="3"/>
        <v>62.881186923027521</v>
      </c>
      <c r="L109" s="67">
        <f t="shared" si="3"/>
        <v>3.9948854678597487</v>
      </c>
      <c r="M109" s="67">
        <f t="shared" si="3"/>
        <v>11.41855374546873</v>
      </c>
      <c r="N109" s="67">
        <f t="shared" si="3"/>
        <v>325.62115482592083</v>
      </c>
      <c r="O109" s="67">
        <f t="shared" si="3"/>
        <v>0</v>
      </c>
      <c r="P109" s="67">
        <f t="shared" si="3"/>
        <v>0.2159186818989553</v>
      </c>
      <c r="Q109" s="67">
        <f t="shared" si="3"/>
        <v>3.0099855743665738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COUNT(N9:N104)+12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N110" sqref="N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2754</v>
      </c>
      <c r="B9" s="64">
        <v>8.75</v>
      </c>
      <c r="C9" s="64">
        <v>36.47</v>
      </c>
      <c r="D9" s="64">
        <v>27.79</v>
      </c>
      <c r="E9" s="64">
        <v>7.82</v>
      </c>
      <c r="F9" s="64">
        <v>16.03</v>
      </c>
      <c r="G9" s="64">
        <v>81.36</v>
      </c>
      <c r="H9" s="64">
        <v>31.65</v>
      </c>
      <c r="I9" s="64">
        <v>0.94</v>
      </c>
      <c r="J9" s="64">
        <v>0.05</v>
      </c>
      <c r="K9" s="64">
        <v>16.149999999999999</v>
      </c>
      <c r="L9" s="64">
        <v>28.25</v>
      </c>
      <c r="M9" s="64">
        <v>37.54</v>
      </c>
      <c r="N9" s="64">
        <v>4.5999999999999996</v>
      </c>
      <c r="O9" s="64">
        <v>0</v>
      </c>
      <c r="P9" s="64">
        <v>1.27</v>
      </c>
      <c r="Q9" s="64">
        <v>24.57</v>
      </c>
      <c r="R9" s="198"/>
      <c r="S9" s="198"/>
      <c r="T9" s="198"/>
      <c r="U9" s="198"/>
    </row>
    <row r="10" spans="1:21" s="12" customFormat="1" x14ac:dyDescent="0.25">
      <c r="A10" s="211" t="s">
        <v>2755</v>
      </c>
      <c r="B10" s="64">
        <v>5.35</v>
      </c>
      <c r="C10" s="64">
        <v>33.869999999999997</v>
      </c>
      <c r="D10" s="64">
        <v>23.63</v>
      </c>
      <c r="E10" s="64">
        <v>11.93</v>
      </c>
      <c r="F10" s="64">
        <v>18.079999999999998</v>
      </c>
      <c r="G10" s="64">
        <v>81.36</v>
      </c>
      <c r="H10" s="64">
        <v>31.65</v>
      </c>
      <c r="I10" s="64">
        <v>0.54</v>
      </c>
      <c r="J10" s="64">
        <v>0.04</v>
      </c>
      <c r="K10" s="64">
        <v>265.36</v>
      </c>
      <c r="L10" s="64">
        <v>27.77</v>
      </c>
      <c r="M10" s="64">
        <v>39.630000000000003</v>
      </c>
      <c r="N10" s="64">
        <v>5.0999999999999996</v>
      </c>
      <c r="O10" s="64">
        <v>0</v>
      </c>
      <c r="P10" s="64">
        <v>1.23</v>
      </c>
      <c r="Q10" s="64">
        <v>24.9</v>
      </c>
      <c r="R10" s="198"/>
      <c r="S10" s="198"/>
      <c r="T10" s="198"/>
      <c r="U10" s="198"/>
    </row>
    <row r="11" spans="1:21" s="12" customFormat="1" x14ac:dyDescent="0.25">
      <c r="A11" s="211" t="s">
        <v>2756</v>
      </c>
      <c r="B11" s="64">
        <v>6.99</v>
      </c>
      <c r="C11" s="64">
        <v>39.03</v>
      </c>
      <c r="D11" s="64">
        <v>27.79</v>
      </c>
      <c r="E11" s="64">
        <v>15.04</v>
      </c>
      <c r="F11" s="64">
        <v>15.26</v>
      </c>
      <c r="G11" s="64">
        <v>79.7</v>
      </c>
      <c r="H11" s="64">
        <v>31.11</v>
      </c>
      <c r="I11" s="64">
        <v>0.62</v>
      </c>
      <c r="J11" s="64">
        <v>0.05</v>
      </c>
      <c r="K11" s="64">
        <v>268.49</v>
      </c>
      <c r="L11" s="64">
        <v>27.5</v>
      </c>
      <c r="M11" s="64">
        <v>40.520000000000003</v>
      </c>
      <c r="N11" s="64">
        <v>5</v>
      </c>
      <c r="O11" s="64">
        <v>0</v>
      </c>
      <c r="P11" s="64">
        <v>1.21</v>
      </c>
      <c r="Q11" s="64">
        <v>24.75</v>
      </c>
      <c r="R11" s="198"/>
      <c r="S11" s="198"/>
      <c r="T11" s="198"/>
      <c r="U11" s="198"/>
    </row>
    <row r="12" spans="1:21" s="12" customFormat="1" x14ac:dyDescent="0.25">
      <c r="A12" s="211" t="s">
        <v>2757</v>
      </c>
      <c r="B12" s="64">
        <v>8.15</v>
      </c>
      <c r="C12" s="64">
        <v>37.31</v>
      </c>
      <c r="D12" s="64">
        <v>27.77</v>
      </c>
      <c r="E12" s="64">
        <v>6.68</v>
      </c>
      <c r="F12" s="64">
        <v>5.47</v>
      </c>
      <c r="G12" s="64">
        <v>66.39</v>
      </c>
      <c r="H12" s="64">
        <v>27.59</v>
      </c>
      <c r="I12" s="64">
        <v>0.56999999999999995</v>
      </c>
      <c r="J12" s="64">
        <v>0.02</v>
      </c>
      <c r="K12" s="64">
        <v>53.74</v>
      </c>
      <c r="L12" s="64">
        <v>27.25</v>
      </c>
      <c r="M12" s="64">
        <v>41.46</v>
      </c>
      <c r="N12" s="64">
        <v>4.8</v>
      </c>
      <c r="O12" s="64">
        <v>0</v>
      </c>
      <c r="P12" s="64">
        <v>1.23</v>
      </c>
      <c r="Q12" s="64">
        <v>24.69</v>
      </c>
      <c r="R12" s="198"/>
      <c r="S12" s="198"/>
      <c r="T12" s="198"/>
      <c r="U12" s="198"/>
    </row>
    <row r="13" spans="1:21" s="12" customFormat="1" x14ac:dyDescent="0.25">
      <c r="A13" s="211" t="s">
        <v>2758</v>
      </c>
      <c r="B13" s="64">
        <v>7.48</v>
      </c>
      <c r="C13" s="64">
        <v>35.42</v>
      </c>
      <c r="D13" s="64">
        <v>26.2</v>
      </c>
      <c r="E13" s="64">
        <v>4.47</v>
      </c>
      <c r="F13" s="64">
        <v>5.04</v>
      </c>
      <c r="G13" s="64">
        <v>66.39</v>
      </c>
      <c r="H13" s="64">
        <v>27.59</v>
      </c>
      <c r="I13" s="64">
        <v>0.6</v>
      </c>
      <c r="J13" s="64">
        <v>0.06</v>
      </c>
      <c r="K13" s="64">
        <v>267.85000000000002</v>
      </c>
      <c r="L13" s="64">
        <v>27.01</v>
      </c>
      <c r="M13" s="64">
        <v>42.38</v>
      </c>
      <c r="N13" s="64">
        <v>5.2</v>
      </c>
      <c r="O13" s="64">
        <v>0</v>
      </c>
      <c r="P13" s="64">
        <v>1.1499999999999999</v>
      </c>
      <c r="Q13" s="64">
        <v>24.99</v>
      </c>
      <c r="R13" s="198"/>
      <c r="S13" s="198"/>
      <c r="T13" s="198"/>
      <c r="U13" s="198"/>
    </row>
    <row r="14" spans="1:21" s="12" customFormat="1" x14ac:dyDescent="0.25">
      <c r="A14" s="211" t="s">
        <v>2759</v>
      </c>
      <c r="B14" s="64">
        <v>6.78</v>
      </c>
      <c r="C14" s="64">
        <v>36.99</v>
      </c>
      <c r="D14" s="64">
        <v>26.5</v>
      </c>
      <c r="E14" s="64">
        <v>4.8</v>
      </c>
      <c r="F14" s="64">
        <v>4.76</v>
      </c>
      <c r="G14" s="64">
        <v>66.39</v>
      </c>
      <c r="H14" s="64">
        <v>27.59</v>
      </c>
      <c r="I14" s="64">
        <v>0.61</v>
      </c>
      <c r="J14" s="64">
        <v>0.09</v>
      </c>
      <c r="K14" s="64">
        <v>255.52</v>
      </c>
      <c r="L14" s="64">
        <v>26.64</v>
      </c>
      <c r="M14" s="64">
        <v>43.88</v>
      </c>
      <c r="N14" s="64">
        <v>5.2</v>
      </c>
      <c r="O14" s="64">
        <v>0</v>
      </c>
      <c r="P14" s="64">
        <v>1.29</v>
      </c>
      <c r="Q14" s="64">
        <v>25.12</v>
      </c>
      <c r="R14" s="198"/>
      <c r="S14" s="198"/>
      <c r="T14" s="198"/>
      <c r="U14" s="198"/>
    </row>
    <row r="15" spans="1:21" s="12" customFormat="1" x14ac:dyDescent="0.25">
      <c r="A15" s="211" t="s">
        <v>2760</v>
      </c>
      <c r="B15" s="64">
        <v>8.35</v>
      </c>
      <c r="C15" s="64">
        <v>40.29</v>
      </c>
      <c r="D15" s="64">
        <v>29.58</v>
      </c>
      <c r="E15" s="64">
        <v>4.41</v>
      </c>
      <c r="F15" s="64">
        <v>4.1100000000000003</v>
      </c>
      <c r="G15" s="64">
        <v>68.010000000000005</v>
      </c>
      <c r="H15" s="64">
        <v>27.96</v>
      </c>
      <c r="I15" s="64">
        <v>0.63</v>
      </c>
      <c r="J15" s="64">
        <v>0.09</v>
      </c>
      <c r="K15" s="64">
        <v>249.1</v>
      </c>
      <c r="L15" s="64">
        <v>26.35</v>
      </c>
      <c r="M15" s="64">
        <v>45.47</v>
      </c>
      <c r="N15" s="64">
        <v>5.3</v>
      </c>
      <c r="O15" s="64">
        <v>0</v>
      </c>
      <c r="P15" s="64">
        <v>1.38</v>
      </c>
      <c r="Q15" s="64">
        <v>25.13</v>
      </c>
      <c r="R15" s="198"/>
      <c r="S15" s="198"/>
      <c r="T15" s="198"/>
      <c r="U15" s="198"/>
    </row>
    <row r="16" spans="1:21" s="12" customFormat="1" x14ac:dyDescent="0.25">
      <c r="A16" s="211" t="s">
        <v>2761</v>
      </c>
      <c r="B16" s="64">
        <v>8.15</v>
      </c>
      <c r="C16" s="64">
        <v>40.090000000000003</v>
      </c>
      <c r="D16" s="64">
        <v>29.31</v>
      </c>
      <c r="E16" s="64">
        <v>4.21</v>
      </c>
      <c r="F16" s="64">
        <v>3.79</v>
      </c>
      <c r="G16" s="64">
        <v>81.02</v>
      </c>
      <c r="H16" s="64">
        <v>30.66</v>
      </c>
      <c r="I16" s="64">
        <v>0.73</v>
      </c>
      <c r="J16" s="64">
        <v>0.1</v>
      </c>
      <c r="K16" s="64">
        <v>248.08</v>
      </c>
      <c r="L16" s="64">
        <v>25.97</v>
      </c>
      <c r="M16" s="64">
        <v>46.93</v>
      </c>
      <c r="N16" s="64">
        <v>5.2</v>
      </c>
      <c r="O16" s="64">
        <v>0</v>
      </c>
      <c r="P16" s="64">
        <v>1.43</v>
      </c>
      <c r="Q16" s="64">
        <v>25.21</v>
      </c>
      <c r="R16" s="198"/>
      <c r="S16" s="198"/>
      <c r="T16" s="198"/>
      <c r="U16" s="198"/>
    </row>
    <row r="17" spans="1:21" s="12" customFormat="1" x14ac:dyDescent="0.25">
      <c r="A17" s="211" t="s">
        <v>2762</v>
      </c>
      <c r="B17" s="64">
        <v>7.43</v>
      </c>
      <c r="C17" s="64">
        <v>37.85</v>
      </c>
      <c r="D17" s="64">
        <v>27.5</v>
      </c>
      <c r="E17" s="64">
        <v>3.26</v>
      </c>
      <c r="F17" s="64">
        <v>4.53</v>
      </c>
      <c r="G17" s="64">
        <v>81.02</v>
      </c>
      <c r="H17" s="64">
        <v>30.66</v>
      </c>
      <c r="I17" s="64">
        <v>0.66</v>
      </c>
      <c r="J17" s="64">
        <v>0.09</v>
      </c>
      <c r="K17" s="64">
        <v>265.22000000000003</v>
      </c>
      <c r="L17" s="64">
        <v>26</v>
      </c>
      <c r="M17" s="64">
        <v>45.46</v>
      </c>
      <c r="N17" s="64">
        <v>4.8</v>
      </c>
      <c r="O17" s="64">
        <v>0</v>
      </c>
      <c r="P17" s="64">
        <v>1.48</v>
      </c>
      <c r="Q17" s="64">
        <v>25.32</v>
      </c>
      <c r="R17" s="198"/>
      <c r="S17" s="198"/>
      <c r="T17" s="198"/>
      <c r="U17" s="198"/>
    </row>
    <row r="18" spans="1:21" s="12" customFormat="1" x14ac:dyDescent="0.25">
      <c r="A18" s="211" t="s">
        <v>2763</v>
      </c>
      <c r="B18" s="64">
        <v>9.6</v>
      </c>
      <c r="C18" s="64">
        <v>39.31</v>
      </c>
      <c r="D18" s="64">
        <v>30.04</v>
      </c>
      <c r="E18" s="64">
        <v>2.87</v>
      </c>
      <c r="F18" s="64">
        <v>4.6100000000000003</v>
      </c>
      <c r="G18" s="64">
        <v>81.02</v>
      </c>
      <c r="H18" s="64">
        <v>30.66</v>
      </c>
      <c r="I18" s="64">
        <v>0.71</v>
      </c>
      <c r="J18" s="64">
        <v>0.03</v>
      </c>
      <c r="K18" s="64">
        <v>269.72000000000003</v>
      </c>
      <c r="L18" s="64">
        <v>26.17</v>
      </c>
      <c r="M18" s="64">
        <v>44.25</v>
      </c>
      <c r="N18" s="64">
        <v>5</v>
      </c>
      <c r="O18" s="64">
        <v>0</v>
      </c>
      <c r="P18" s="64">
        <v>1.46</v>
      </c>
      <c r="Q18" s="64">
        <v>25.12</v>
      </c>
      <c r="R18" s="198"/>
      <c r="S18" s="198"/>
      <c r="T18" s="198"/>
      <c r="U18" s="198"/>
    </row>
    <row r="19" spans="1:21" s="12" customFormat="1" x14ac:dyDescent="0.25">
      <c r="A19" s="211" t="s">
        <v>2764</v>
      </c>
      <c r="B19" s="64">
        <v>7.24</v>
      </c>
      <c r="C19" s="64">
        <v>39.08</v>
      </c>
      <c r="D19" s="64">
        <v>28.02</v>
      </c>
      <c r="E19" s="64">
        <v>6.6</v>
      </c>
      <c r="F19" s="64">
        <v>12.96</v>
      </c>
      <c r="G19" s="64">
        <v>79.7</v>
      </c>
      <c r="H19" s="64">
        <v>31.27</v>
      </c>
      <c r="I19" s="64">
        <v>0.57999999999999996</v>
      </c>
      <c r="J19" s="64">
        <v>0.11</v>
      </c>
      <c r="K19" s="64">
        <v>249.67</v>
      </c>
      <c r="L19" s="64">
        <v>26.03</v>
      </c>
      <c r="M19" s="64">
        <v>45.29</v>
      </c>
      <c r="N19" s="64">
        <v>5.0999999999999996</v>
      </c>
      <c r="O19" s="64">
        <v>0</v>
      </c>
      <c r="P19" s="64">
        <v>1.43</v>
      </c>
      <c r="Q19" s="64">
        <v>25.44</v>
      </c>
      <c r="R19" s="198"/>
      <c r="S19" s="198"/>
      <c r="T19" s="198"/>
      <c r="U19" s="198"/>
    </row>
    <row r="20" spans="1:21" s="12" customFormat="1" x14ac:dyDescent="0.25">
      <c r="A20" s="211" t="s">
        <v>2765</v>
      </c>
      <c r="B20" s="64">
        <v>7.77</v>
      </c>
      <c r="C20" s="64">
        <v>40.78</v>
      </c>
      <c r="D20" s="64">
        <v>29.38</v>
      </c>
      <c r="E20" s="64">
        <v>12.26</v>
      </c>
      <c r="F20" s="64">
        <v>12.47</v>
      </c>
      <c r="G20" s="64">
        <v>67.78</v>
      </c>
      <c r="H20" s="64">
        <v>35.26</v>
      </c>
      <c r="I20" s="64">
        <v>0.62</v>
      </c>
      <c r="J20" s="64">
        <v>0.04</v>
      </c>
      <c r="K20" s="64">
        <v>270.7</v>
      </c>
      <c r="L20" s="64">
        <v>25.95</v>
      </c>
      <c r="M20" s="64">
        <v>45.1</v>
      </c>
      <c r="N20" s="64">
        <v>4.8</v>
      </c>
      <c r="O20" s="64">
        <v>0</v>
      </c>
      <c r="P20" s="64">
        <v>1.41</v>
      </c>
      <c r="Q20" s="64">
        <v>25.44</v>
      </c>
      <c r="R20" s="198"/>
      <c r="S20" s="198"/>
      <c r="T20" s="198"/>
      <c r="U20" s="198"/>
    </row>
    <row r="21" spans="1:21" s="12" customFormat="1" x14ac:dyDescent="0.25">
      <c r="A21" s="211" t="s">
        <v>2766</v>
      </c>
      <c r="B21" s="64">
        <v>6.79</v>
      </c>
      <c r="C21" s="64">
        <v>42.97</v>
      </c>
      <c r="D21" s="64">
        <v>29.8</v>
      </c>
      <c r="E21" s="64">
        <v>17.89</v>
      </c>
      <c r="F21" s="64">
        <v>8.44</v>
      </c>
      <c r="G21" s="64">
        <v>67.78</v>
      </c>
      <c r="H21" s="64">
        <v>35.26</v>
      </c>
      <c r="I21" s="64">
        <v>0.5</v>
      </c>
      <c r="J21" s="64">
        <v>0.11</v>
      </c>
      <c r="K21" s="64">
        <v>258.31</v>
      </c>
      <c r="L21" s="64">
        <v>26.09</v>
      </c>
      <c r="M21" s="64">
        <v>44.94</v>
      </c>
      <c r="N21" s="64">
        <v>4.9000000000000004</v>
      </c>
      <c r="O21" s="64">
        <v>0</v>
      </c>
      <c r="P21" s="64">
        <v>1.36</v>
      </c>
      <c r="Q21" s="64">
        <v>25.43</v>
      </c>
      <c r="R21" s="198"/>
      <c r="S21" s="198"/>
      <c r="T21" s="198"/>
      <c r="U21" s="198"/>
    </row>
    <row r="22" spans="1:21" s="12" customFormat="1" x14ac:dyDescent="0.25">
      <c r="A22" s="211" t="s">
        <v>2767</v>
      </c>
      <c r="B22" s="64">
        <v>7.49</v>
      </c>
      <c r="C22" s="64">
        <v>43.65</v>
      </c>
      <c r="D22" s="64">
        <v>30.74</v>
      </c>
      <c r="E22" s="64">
        <v>25.06</v>
      </c>
      <c r="F22" s="64">
        <v>7</v>
      </c>
      <c r="G22" s="64">
        <v>67.78</v>
      </c>
      <c r="H22" s="64">
        <v>35.26</v>
      </c>
      <c r="I22" s="64">
        <v>0.51</v>
      </c>
      <c r="J22" s="64">
        <v>7.0000000000000007E-2</v>
      </c>
      <c r="K22" s="64">
        <v>269.83</v>
      </c>
      <c r="L22" s="64">
        <v>25.69</v>
      </c>
      <c r="M22" s="64">
        <v>46.53</v>
      </c>
      <c r="N22" s="64">
        <v>5</v>
      </c>
      <c r="O22" s="64">
        <v>0</v>
      </c>
      <c r="P22" s="64">
        <v>1.31</v>
      </c>
      <c r="Q22" s="64">
        <v>25.49</v>
      </c>
      <c r="R22" s="198"/>
      <c r="S22" s="198"/>
      <c r="T22" s="198"/>
      <c r="U22" s="198"/>
    </row>
    <row r="23" spans="1:21" s="12" customFormat="1" x14ac:dyDescent="0.25">
      <c r="A23" s="211" t="s">
        <v>2768</v>
      </c>
      <c r="B23" s="64">
        <v>6.9</v>
      </c>
      <c r="C23" s="64">
        <v>39.119999999999997</v>
      </c>
      <c r="D23" s="64">
        <v>27.77</v>
      </c>
      <c r="E23" s="64">
        <v>33.11</v>
      </c>
      <c r="F23" s="64">
        <v>6.78</v>
      </c>
      <c r="G23" s="64">
        <v>65.16</v>
      </c>
      <c r="H23" s="64">
        <v>35.14</v>
      </c>
      <c r="I23" s="64">
        <v>0.56000000000000005</v>
      </c>
      <c r="J23" s="64">
        <v>0.02</v>
      </c>
      <c r="K23" s="64">
        <v>18.59</v>
      </c>
      <c r="L23" s="64">
        <v>25.59</v>
      </c>
      <c r="M23" s="64">
        <v>47.05</v>
      </c>
      <c r="N23" s="64">
        <v>5</v>
      </c>
      <c r="O23" s="64">
        <v>0</v>
      </c>
      <c r="P23" s="64">
        <v>1.29</v>
      </c>
      <c r="Q23" s="64">
        <v>25.81</v>
      </c>
      <c r="R23" s="198"/>
      <c r="S23" s="198"/>
      <c r="T23" s="198"/>
      <c r="U23" s="198"/>
    </row>
    <row r="24" spans="1:21" s="12" customFormat="1" x14ac:dyDescent="0.25">
      <c r="A24" s="211" t="s">
        <v>2769</v>
      </c>
      <c r="B24" s="64">
        <v>8.48</v>
      </c>
      <c r="C24" s="64">
        <v>32.840000000000003</v>
      </c>
      <c r="D24" s="64">
        <v>25.57</v>
      </c>
      <c r="E24" s="64">
        <v>8.9600000000000009</v>
      </c>
      <c r="F24" s="64">
        <v>4.62</v>
      </c>
      <c r="G24" s="64">
        <v>41.56</v>
      </c>
      <c r="H24" s="64">
        <v>34.35</v>
      </c>
      <c r="I24" s="64">
        <v>0.67</v>
      </c>
      <c r="J24" s="64">
        <v>0.38</v>
      </c>
      <c r="K24" s="64">
        <v>254.11</v>
      </c>
      <c r="L24" s="64">
        <v>25.21</v>
      </c>
      <c r="M24" s="64">
        <v>48.63</v>
      </c>
      <c r="N24" s="64">
        <v>4.4000000000000004</v>
      </c>
      <c r="O24" s="64">
        <v>0</v>
      </c>
      <c r="P24" s="64">
        <v>1.21</v>
      </c>
      <c r="Q24" s="64">
        <v>26.11</v>
      </c>
      <c r="R24" s="198"/>
      <c r="S24" s="198"/>
      <c r="T24" s="198"/>
      <c r="U24" s="198"/>
    </row>
    <row r="25" spans="1:21" s="12" customFormat="1" x14ac:dyDescent="0.25">
      <c r="A25" s="211" t="s">
        <v>2770</v>
      </c>
      <c r="B25" s="64">
        <v>8.42</v>
      </c>
      <c r="C25" s="64">
        <v>32.83</v>
      </c>
      <c r="D25" s="64">
        <v>25.51</v>
      </c>
      <c r="E25" s="64">
        <v>7.24</v>
      </c>
      <c r="F25" s="64">
        <v>4.0999999999999996</v>
      </c>
      <c r="G25" s="64">
        <v>41.56</v>
      </c>
      <c r="H25" s="64">
        <v>34.35</v>
      </c>
      <c r="I25" s="64">
        <v>0.56999999999999995</v>
      </c>
      <c r="J25" s="64">
        <v>0.87</v>
      </c>
      <c r="K25" s="64">
        <v>259.38</v>
      </c>
      <c r="L25" s="64">
        <v>25.09</v>
      </c>
      <c r="M25" s="64">
        <v>48.82</v>
      </c>
      <c r="N25" s="64">
        <v>4.0999999999999996</v>
      </c>
      <c r="O25" s="64">
        <v>0</v>
      </c>
      <c r="P25" s="64">
        <v>1.1100000000000001</v>
      </c>
      <c r="Q25" s="64">
        <v>26.55</v>
      </c>
      <c r="R25" s="198"/>
      <c r="S25" s="198"/>
      <c r="T25" s="198"/>
      <c r="U25" s="198"/>
    </row>
    <row r="26" spans="1:21" s="12" customFormat="1" x14ac:dyDescent="0.25">
      <c r="A26" s="211" t="s">
        <v>2771</v>
      </c>
      <c r="B26" s="64">
        <v>7.54</v>
      </c>
      <c r="C26" s="64">
        <v>32.97</v>
      </c>
      <c r="D26" s="64">
        <v>24.89</v>
      </c>
      <c r="E26" s="64">
        <v>5.29</v>
      </c>
      <c r="F26" s="64">
        <v>4.09</v>
      </c>
      <c r="G26" s="64">
        <v>41.56</v>
      </c>
      <c r="H26" s="64">
        <v>34.35</v>
      </c>
      <c r="I26" s="64">
        <v>0.62</v>
      </c>
      <c r="J26" s="64">
        <v>0.54</v>
      </c>
      <c r="K26" s="64">
        <v>257.29000000000002</v>
      </c>
      <c r="L26" s="64">
        <v>25.17</v>
      </c>
      <c r="M26" s="64">
        <v>47.99</v>
      </c>
      <c r="N26" s="64">
        <v>4.8</v>
      </c>
      <c r="O26" s="64">
        <v>0</v>
      </c>
      <c r="P26" s="64">
        <v>1.02</v>
      </c>
      <c r="Q26" s="64">
        <v>26.89</v>
      </c>
      <c r="R26" s="198"/>
      <c r="S26" s="198"/>
      <c r="T26" s="198"/>
      <c r="U26" s="198"/>
    </row>
    <row r="27" spans="1:21" s="12" customFormat="1" x14ac:dyDescent="0.25">
      <c r="A27" s="211" t="s">
        <v>2772</v>
      </c>
      <c r="B27" s="64">
        <v>6.88</v>
      </c>
      <c r="C27" s="64">
        <v>33.89</v>
      </c>
      <c r="D27" s="64">
        <v>24.86</v>
      </c>
      <c r="E27" s="64">
        <v>4.6399999999999997</v>
      </c>
      <c r="F27" s="64">
        <v>3.76</v>
      </c>
      <c r="G27" s="64">
        <v>45.38</v>
      </c>
      <c r="H27" s="64">
        <v>34.42</v>
      </c>
      <c r="I27" s="64">
        <v>0.6</v>
      </c>
      <c r="J27" s="64">
        <v>0.24</v>
      </c>
      <c r="K27" s="64">
        <v>266.01</v>
      </c>
      <c r="L27" s="64">
        <v>24.96</v>
      </c>
      <c r="M27" s="64">
        <v>49.4</v>
      </c>
      <c r="N27" s="64">
        <v>5.2</v>
      </c>
      <c r="O27" s="64">
        <v>0</v>
      </c>
      <c r="P27" s="64">
        <v>0.97</v>
      </c>
      <c r="Q27" s="64">
        <v>26.78</v>
      </c>
      <c r="R27" s="198"/>
      <c r="S27" s="198"/>
      <c r="T27" s="198"/>
      <c r="U27" s="198"/>
    </row>
    <row r="28" spans="1:21" s="12" customFormat="1" x14ac:dyDescent="0.25">
      <c r="A28" s="211" t="s">
        <v>2773</v>
      </c>
      <c r="B28" s="64">
        <v>8.11</v>
      </c>
      <c r="C28" s="64">
        <v>36.25</v>
      </c>
      <c r="D28" s="64">
        <v>27.16</v>
      </c>
      <c r="E28" s="64">
        <v>5.04</v>
      </c>
      <c r="F28" s="64">
        <v>3.39</v>
      </c>
      <c r="G28" s="64">
        <v>79.760000000000005</v>
      </c>
      <c r="H28" s="64">
        <v>34.840000000000003</v>
      </c>
      <c r="I28" s="64">
        <v>0.61</v>
      </c>
      <c r="J28" s="64">
        <v>0.12</v>
      </c>
      <c r="K28" s="64">
        <v>254.15</v>
      </c>
      <c r="L28" s="64">
        <v>24.52</v>
      </c>
      <c r="M28" s="64">
        <v>50.68</v>
      </c>
      <c r="N28" s="64">
        <v>5.4</v>
      </c>
      <c r="O28" s="64">
        <v>0</v>
      </c>
      <c r="P28" s="64">
        <v>0.96</v>
      </c>
      <c r="Q28" s="64">
        <v>26.68</v>
      </c>
      <c r="R28" s="198"/>
      <c r="S28" s="198"/>
      <c r="T28" s="198"/>
      <c r="U28" s="198"/>
    </row>
    <row r="29" spans="1:21" s="12" customFormat="1" x14ac:dyDescent="0.25">
      <c r="A29" s="211" t="s">
        <v>2774</v>
      </c>
      <c r="B29" s="64">
        <v>11.79</v>
      </c>
      <c r="C29" s="64">
        <v>37.96</v>
      </c>
      <c r="D29" s="64">
        <v>31.05</v>
      </c>
      <c r="E29" s="64">
        <v>4.33</v>
      </c>
      <c r="F29" s="64">
        <v>3.14</v>
      </c>
      <c r="G29" s="64">
        <v>79.760000000000005</v>
      </c>
      <c r="H29" s="64">
        <v>34.840000000000003</v>
      </c>
      <c r="I29" s="64">
        <v>0.68</v>
      </c>
      <c r="J29" s="64">
        <v>0.08</v>
      </c>
      <c r="K29" s="64">
        <v>257.51</v>
      </c>
      <c r="L29" s="64">
        <v>24.27</v>
      </c>
      <c r="M29" s="64">
        <v>52.06</v>
      </c>
      <c r="N29" s="64">
        <v>7</v>
      </c>
      <c r="O29" s="64">
        <v>0</v>
      </c>
      <c r="P29" s="64">
        <v>0.96</v>
      </c>
      <c r="Q29" s="64">
        <v>26.41</v>
      </c>
      <c r="R29" s="198"/>
      <c r="S29" s="198"/>
      <c r="T29" s="198"/>
      <c r="U29" s="198"/>
    </row>
    <row r="30" spans="1:21" s="12" customFormat="1" x14ac:dyDescent="0.25">
      <c r="A30" s="211" t="s">
        <v>2775</v>
      </c>
      <c r="B30" s="64">
        <v>15.29</v>
      </c>
      <c r="C30" s="64">
        <v>38.82</v>
      </c>
      <c r="D30" s="64">
        <v>34.33</v>
      </c>
      <c r="E30" s="64">
        <v>4.87</v>
      </c>
      <c r="F30" s="64">
        <v>3.24</v>
      </c>
      <c r="G30" s="64">
        <v>79.760000000000005</v>
      </c>
      <c r="H30" s="64">
        <v>34.840000000000003</v>
      </c>
      <c r="I30" s="64">
        <v>0.56999999999999995</v>
      </c>
      <c r="J30" s="64">
        <v>0.2</v>
      </c>
      <c r="K30" s="64">
        <v>247.77</v>
      </c>
      <c r="L30" s="64">
        <v>24.35</v>
      </c>
      <c r="M30" s="64">
        <v>50.91</v>
      </c>
      <c r="N30" s="64">
        <v>13.8</v>
      </c>
      <c r="O30" s="64">
        <v>0</v>
      </c>
      <c r="P30" s="64">
        <v>0.97</v>
      </c>
      <c r="Q30" s="64">
        <v>26.52</v>
      </c>
      <c r="R30" s="198"/>
      <c r="S30" s="198"/>
      <c r="T30" s="198"/>
      <c r="U30" s="198"/>
    </row>
    <row r="31" spans="1:21" s="12" customFormat="1" x14ac:dyDescent="0.25">
      <c r="A31" s="211" t="s">
        <v>2776</v>
      </c>
      <c r="B31" s="64">
        <v>17.68</v>
      </c>
      <c r="C31" s="64">
        <v>48.89</v>
      </c>
      <c r="D31" s="64">
        <v>41.81</v>
      </c>
      <c r="E31" s="64">
        <v>29.68</v>
      </c>
      <c r="F31" s="64">
        <v>4.07</v>
      </c>
      <c r="G31" s="64">
        <v>78.06</v>
      </c>
      <c r="H31" s="64">
        <v>36.79</v>
      </c>
      <c r="I31" s="64">
        <v>0.56999999999999995</v>
      </c>
      <c r="J31" s="64">
        <v>0.12</v>
      </c>
      <c r="K31" s="64">
        <v>223.14</v>
      </c>
      <c r="L31" s="64">
        <v>24.56</v>
      </c>
      <c r="M31" s="64">
        <v>50.97</v>
      </c>
      <c r="N31" s="64">
        <v>29.9</v>
      </c>
      <c r="O31" s="64">
        <v>0</v>
      </c>
      <c r="P31" s="64">
        <v>0.97</v>
      </c>
      <c r="Q31" s="64">
        <v>26.61</v>
      </c>
      <c r="R31" s="198"/>
      <c r="S31" s="198"/>
      <c r="T31" s="198"/>
      <c r="U31" s="198"/>
    </row>
    <row r="32" spans="1:21" s="12" customFormat="1" x14ac:dyDescent="0.25">
      <c r="A32" s="211" t="s">
        <v>2777</v>
      </c>
      <c r="B32" s="64">
        <v>24.17</v>
      </c>
      <c r="C32" s="64">
        <v>45.06</v>
      </c>
      <c r="D32" s="64">
        <v>44.9</v>
      </c>
      <c r="E32" s="64">
        <v>28.9</v>
      </c>
      <c r="F32" s="64">
        <v>4.3499999999999996</v>
      </c>
      <c r="G32" s="64">
        <v>62.74</v>
      </c>
      <c r="H32" s="64">
        <v>49.31</v>
      </c>
      <c r="I32" s="64">
        <v>0.57999999999999996</v>
      </c>
      <c r="J32" s="64">
        <v>0.24</v>
      </c>
      <c r="K32" s="64">
        <v>204.76</v>
      </c>
      <c r="L32" s="64">
        <v>25.24</v>
      </c>
      <c r="M32" s="64">
        <v>50.41</v>
      </c>
      <c r="N32" s="64">
        <v>58.5</v>
      </c>
      <c r="O32" s="64">
        <v>0</v>
      </c>
      <c r="P32" s="64">
        <v>0.96</v>
      </c>
      <c r="Q32" s="64">
        <v>25.67</v>
      </c>
      <c r="R32" s="198"/>
      <c r="S32" s="198"/>
      <c r="T32" s="198"/>
      <c r="U32" s="198"/>
    </row>
    <row r="33" spans="1:21" s="12" customFormat="1" x14ac:dyDescent="0.25">
      <c r="A33" s="211" t="s">
        <v>2778</v>
      </c>
      <c r="B33" s="64">
        <v>16.47</v>
      </c>
      <c r="C33" s="64">
        <v>37.94</v>
      </c>
      <c r="D33" s="64">
        <v>34.79</v>
      </c>
      <c r="E33" s="64">
        <v>17.579999999999998</v>
      </c>
      <c r="F33" s="64">
        <v>5.37</v>
      </c>
      <c r="G33" s="64">
        <v>62.74</v>
      </c>
      <c r="H33" s="64">
        <v>49.31</v>
      </c>
      <c r="I33" s="64">
        <v>0.77</v>
      </c>
      <c r="J33" s="64">
        <v>0.24</v>
      </c>
      <c r="K33" s="64">
        <v>230.75</v>
      </c>
      <c r="L33" s="64">
        <v>25.39</v>
      </c>
      <c r="M33" s="64">
        <v>51.11</v>
      </c>
      <c r="N33" s="64">
        <v>99.3</v>
      </c>
      <c r="O33" s="64">
        <v>0</v>
      </c>
      <c r="P33" s="64">
        <v>0.96</v>
      </c>
      <c r="Q33" s="64">
        <v>26.83</v>
      </c>
      <c r="R33" s="198"/>
      <c r="S33" s="198"/>
      <c r="T33" s="198"/>
      <c r="U33" s="198"/>
    </row>
    <row r="34" spans="1:21" s="12" customFormat="1" x14ac:dyDescent="0.25">
      <c r="A34" s="211" t="s">
        <v>2779</v>
      </c>
      <c r="B34" s="64">
        <v>13.47</v>
      </c>
      <c r="C34" s="64">
        <v>37.06</v>
      </c>
      <c r="D34" s="64">
        <v>31.9</v>
      </c>
      <c r="E34" s="64">
        <v>14.7</v>
      </c>
      <c r="F34" s="64">
        <v>8.1999999999999993</v>
      </c>
      <c r="G34" s="64">
        <v>62.74</v>
      </c>
      <c r="H34" s="64">
        <v>49.31</v>
      </c>
      <c r="I34" s="64">
        <v>0.6</v>
      </c>
      <c r="J34" s="64">
        <v>0.17</v>
      </c>
      <c r="K34" s="64">
        <v>160.93</v>
      </c>
      <c r="L34" s="64">
        <v>26.14</v>
      </c>
      <c r="M34" s="64">
        <v>49.44</v>
      </c>
      <c r="N34" s="64">
        <v>143.9</v>
      </c>
      <c r="O34" s="64">
        <v>0</v>
      </c>
      <c r="P34" s="64">
        <v>0.94</v>
      </c>
      <c r="Q34" s="64">
        <v>27.92</v>
      </c>
      <c r="R34" s="198"/>
      <c r="S34" s="198"/>
      <c r="T34" s="198"/>
      <c r="U34" s="198"/>
    </row>
    <row r="35" spans="1:21" s="12" customFormat="1" x14ac:dyDescent="0.25">
      <c r="A35" s="211" t="s">
        <v>2780</v>
      </c>
      <c r="B35" s="64">
        <v>14.46</v>
      </c>
      <c r="C35" s="64">
        <v>36.36</v>
      </c>
      <c r="D35" s="64">
        <v>32.31</v>
      </c>
      <c r="E35" s="64">
        <v>12.45</v>
      </c>
      <c r="F35" s="64">
        <v>7.02</v>
      </c>
      <c r="G35" s="64">
        <v>75.459999999999994</v>
      </c>
      <c r="H35" s="64">
        <v>49.14</v>
      </c>
      <c r="I35" s="64">
        <v>0.57999999999999996</v>
      </c>
      <c r="J35" s="64">
        <v>0.25</v>
      </c>
      <c r="K35" s="64">
        <v>201.84</v>
      </c>
      <c r="L35" s="64">
        <v>26.8</v>
      </c>
      <c r="M35" s="64">
        <v>46.39</v>
      </c>
      <c r="N35" s="64">
        <v>193.5</v>
      </c>
      <c r="O35" s="64">
        <v>0</v>
      </c>
      <c r="P35" s="64">
        <v>0.92</v>
      </c>
      <c r="Q35" s="64">
        <v>28.12</v>
      </c>
      <c r="R35" s="198"/>
      <c r="S35" s="198"/>
      <c r="T35" s="198"/>
      <c r="U35" s="198"/>
    </row>
    <row r="36" spans="1:21" s="12" customFormat="1" x14ac:dyDescent="0.25">
      <c r="A36" s="211" t="s">
        <v>2781</v>
      </c>
      <c r="B36" s="64">
        <v>15.52</v>
      </c>
      <c r="C36" s="64">
        <v>33.979999999999997</v>
      </c>
      <c r="D36" s="64">
        <v>31.84</v>
      </c>
      <c r="E36" s="64">
        <v>6.49</v>
      </c>
      <c r="F36" s="64">
        <v>4.1900000000000004</v>
      </c>
      <c r="G36" s="64">
        <v>177.21</v>
      </c>
      <c r="H36" s="64">
        <v>48.03</v>
      </c>
      <c r="I36" s="64">
        <v>0.56000000000000005</v>
      </c>
      <c r="J36" s="64">
        <v>0.05</v>
      </c>
      <c r="K36" s="64">
        <v>219.64</v>
      </c>
      <c r="L36" s="64">
        <v>28.24</v>
      </c>
      <c r="M36" s="64">
        <v>42.9</v>
      </c>
      <c r="N36" s="64">
        <v>246.3</v>
      </c>
      <c r="O36" s="64">
        <v>0</v>
      </c>
      <c r="P36" s="64">
        <v>0.9</v>
      </c>
      <c r="Q36" s="64">
        <v>28.02</v>
      </c>
      <c r="R36" s="198"/>
      <c r="S36" s="198"/>
      <c r="T36" s="198"/>
      <c r="U36" s="198"/>
    </row>
    <row r="37" spans="1:21" s="12" customFormat="1" x14ac:dyDescent="0.25">
      <c r="A37" s="211" t="s">
        <v>2782</v>
      </c>
      <c r="B37" s="64">
        <v>13.66</v>
      </c>
      <c r="C37" s="64">
        <v>34.67</v>
      </c>
      <c r="D37" s="64">
        <v>30.74</v>
      </c>
      <c r="E37" s="64">
        <v>5.58</v>
      </c>
      <c r="F37" s="64">
        <v>5.51</v>
      </c>
      <c r="G37" s="64">
        <v>177.21</v>
      </c>
      <c r="H37" s="64">
        <v>48.03</v>
      </c>
      <c r="I37" s="64">
        <v>0.76</v>
      </c>
      <c r="J37" s="64">
        <v>0.44</v>
      </c>
      <c r="K37" s="64">
        <v>146.93</v>
      </c>
      <c r="L37" s="64">
        <v>28.86</v>
      </c>
      <c r="M37" s="64">
        <v>40.93</v>
      </c>
      <c r="N37" s="64">
        <v>305.7</v>
      </c>
      <c r="O37" s="64">
        <v>0</v>
      </c>
      <c r="P37" s="64">
        <v>0.86</v>
      </c>
      <c r="Q37" s="64">
        <v>28.17</v>
      </c>
      <c r="R37" s="198"/>
      <c r="S37" s="198"/>
      <c r="T37" s="198"/>
      <c r="U37" s="198"/>
    </row>
    <row r="38" spans="1:21" s="12" customFormat="1" x14ac:dyDescent="0.25">
      <c r="A38" s="211" t="s">
        <v>2783</v>
      </c>
      <c r="B38" s="64">
        <v>11.2</v>
      </c>
      <c r="C38" s="64">
        <v>36.71</v>
      </c>
      <c r="D38" s="64">
        <v>29.89</v>
      </c>
      <c r="E38" s="64">
        <v>4.79</v>
      </c>
      <c r="F38" s="64">
        <v>5.48</v>
      </c>
      <c r="G38" s="64">
        <v>177.21</v>
      </c>
      <c r="H38" s="64">
        <v>48.03</v>
      </c>
      <c r="I38" s="64">
        <v>0.66</v>
      </c>
      <c r="J38" s="64">
        <v>0.66</v>
      </c>
      <c r="K38" s="64">
        <v>130.4</v>
      </c>
      <c r="L38" s="64">
        <v>29</v>
      </c>
      <c r="M38" s="64">
        <v>41.81</v>
      </c>
      <c r="N38" s="64">
        <v>348.2</v>
      </c>
      <c r="O38" s="64">
        <v>0</v>
      </c>
      <c r="P38" s="64">
        <v>0.9</v>
      </c>
      <c r="Q38" s="64">
        <v>28.27</v>
      </c>
      <c r="R38" s="198"/>
      <c r="S38" s="198"/>
      <c r="T38" s="198"/>
      <c r="U38" s="198"/>
    </row>
    <row r="39" spans="1:21" s="12" customFormat="1" x14ac:dyDescent="0.25">
      <c r="A39" s="211" t="s">
        <v>2784</v>
      </c>
      <c r="B39" s="64">
        <v>8.9600000000000009</v>
      </c>
      <c r="C39" s="64">
        <v>38.71</v>
      </c>
      <c r="D39" s="64">
        <v>29.2</v>
      </c>
      <c r="E39" s="64">
        <v>3.53</v>
      </c>
      <c r="F39" s="64">
        <v>5.17</v>
      </c>
      <c r="G39" s="64">
        <v>171.81</v>
      </c>
      <c r="H39" s="64">
        <v>47.98</v>
      </c>
      <c r="I39" s="64">
        <v>0.59</v>
      </c>
      <c r="J39" s="64">
        <v>0.87</v>
      </c>
      <c r="K39" s="64">
        <v>113.89</v>
      </c>
      <c r="L39" s="64">
        <v>28.71</v>
      </c>
      <c r="M39" s="64">
        <v>42.99</v>
      </c>
      <c r="N39" s="64">
        <v>400.3</v>
      </c>
      <c r="O39" s="64">
        <v>0</v>
      </c>
      <c r="P39" s="64">
        <v>0.87</v>
      </c>
      <c r="Q39" s="64">
        <v>28.12</v>
      </c>
      <c r="R39" s="198"/>
      <c r="S39" s="198"/>
      <c r="T39" s="198"/>
      <c r="U39" s="198"/>
    </row>
    <row r="40" spans="1:21" s="12" customFormat="1" x14ac:dyDescent="0.25">
      <c r="A40" s="211" t="s">
        <v>2785</v>
      </c>
      <c r="B40" s="64">
        <v>6.54</v>
      </c>
      <c r="C40" s="64">
        <v>39.950000000000003</v>
      </c>
      <c r="D40" s="64">
        <v>27.94</v>
      </c>
      <c r="E40" s="64">
        <v>2.65</v>
      </c>
      <c r="F40" s="64">
        <v>6.35</v>
      </c>
      <c r="G40" s="64">
        <v>123.17</v>
      </c>
      <c r="H40" s="64">
        <v>47.61</v>
      </c>
      <c r="I40" s="64">
        <v>0.74</v>
      </c>
      <c r="J40" s="64">
        <v>1.07</v>
      </c>
      <c r="K40" s="64">
        <v>102.82</v>
      </c>
      <c r="L40" s="64">
        <v>28.62</v>
      </c>
      <c r="M40" s="64">
        <v>42.68</v>
      </c>
      <c r="N40" s="64">
        <v>447.3</v>
      </c>
      <c r="O40" s="64">
        <v>0</v>
      </c>
      <c r="P40" s="64">
        <v>0.85</v>
      </c>
      <c r="Q40" s="64">
        <v>28.01</v>
      </c>
      <c r="R40" s="198"/>
      <c r="S40" s="198"/>
      <c r="T40" s="198"/>
      <c r="U40" s="198"/>
    </row>
    <row r="41" spans="1:21" s="12" customFormat="1" x14ac:dyDescent="0.25">
      <c r="A41" s="211" t="s">
        <v>2786</v>
      </c>
      <c r="B41" s="64">
        <v>4.55</v>
      </c>
      <c r="C41" s="64">
        <v>40.619999999999997</v>
      </c>
      <c r="D41" s="64">
        <v>26.71</v>
      </c>
      <c r="E41" s="64">
        <v>3.48</v>
      </c>
      <c r="F41" s="64">
        <v>7.08</v>
      </c>
      <c r="G41" s="64">
        <v>123.17</v>
      </c>
      <c r="H41" s="64">
        <v>47.61</v>
      </c>
      <c r="I41" s="64">
        <v>0.59</v>
      </c>
      <c r="J41" s="64">
        <v>1.0900000000000001</v>
      </c>
      <c r="K41" s="64">
        <v>103.5</v>
      </c>
      <c r="L41" s="64">
        <v>29.06</v>
      </c>
      <c r="M41" s="64">
        <v>40.32</v>
      </c>
      <c r="N41" s="64">
        <v>499.1</v>
      </c>
      <c r="O41" s="64">
        <v>0</v>
      </c>
      <c r="P41" s="64">
        <v>0.84</v>
      </c>
      <c r="Q41" s="64">
        <v>28</v>
      </c>
      <c r="R41" s="198"/>
      <c r="S41" s="198"/>
      <c r="T41" s="198"/>
      <c r="U41" s="198"/>
    </row>
    <row r="42" spans="1:21" s="12" customFormat="1" x14ac:dyDescent="0.25">
      <c r="A42" s="211" t="s">
        <v>2787</v>
      </c>
      <c r="B42" s="64">
        <v>3.34</v>
      </c>
      <c r="C42" s="64">
        <v>40.42</v>
      </c>
      <c r="D42" s="64">
        <v>25.63</v>
      </c>
      <c r="E42" s="64">
        <v>7.23</v>
      </c>
      <c r="F42" s="64">
        <v>22.84</v>
      </c>
      <c r="G42" s="64">
        <v>123.17</v>
      </c>
      <c r="H42" s="64">
        <v>47.61</v>
      </c>
      <c r="I42" s="64">
        <v>0.57999999999999996</v>
      </c>
      <c r="J42" s="64">
        <v>0.65</v>
      </c>
      <c r="K42" s="64">
        <v>105.1</v>
      </c>
      <c r="L42" s="64">
        <v>30.11</v>
      </c>
      <c r="M42" s="64">
        <v>38.67</v>
      </c>
      <c r="N42" s="64">
        <v>544.5</v>
      </c>
      <c r="O42" s="64">
        <v>0</v>
      </c>
      <c r="P42" s="64">
        <v>0.83</v>
      </c>
      <c r="Q42" s="64">
        <v>27.97</v>
      </c>
      <c r="R42" s="198"/>
      <c r="S42" s="198"/>
      <c r="T42" s="198"/>
      <c r="U42" s="198"/>
    </row>
    <row r="43" spans="1:21" s="12" customFormat="1" x14ac:dyDescent="0.25">
      <c r="A43" s="211" t="s">
        <v>2788</v>
      </c>
      <c r="B43" s="64">
        <v>4.05</v>
      </c>
      <c r="C43" s="64">
        <v>39.43</v>
      </c>
      <c r="D43" s="64">
        <v>25.65</v>
      </c>
      <c r="E43" s="64">
        <v>16.37</v>
      </c>
      <c r="F43" s="64">
        <v>31.19</v>
      </c>
      <c r="G43" s="64">
        <v>121.97</v>
      </c>
      <c r="H43" s="64">
        <v>47.14</v>
      </c>
      <c r="I43" s="64">
        <v>0.56999999999999995</v>
      </c>
      <c r="J43" s="64">
        <v>0.55000000000000004</v>
      </c>
      <c r="K43" s="64">
        <v>117.55</v>
      </c>
      <c r="L43" s="64">
        <v>30.78</v>
      </c>
      <c r="M43" s="64">
        <v>37.58</v>
      </c>
      <c r="N43" s="64">
        <v>591.20000000000005</v>
      </c>
      <c r="O43" s="64">
        <v>0</v>
      </c>
      <c r="P43" s="64">
        <v>0.83</v>
      </c>
      <c r="Q43" s="64">
        <v>28.43</v>
      </c>
      <c r="R43" s="198"/>
      <c r="S43" s="198"/>
      <c r="T43" s="198"/>
      <c r="U43" s="198"/>
    </row>
    <row r="44" spans="1:21" s="12" customFormat="1" x14ac:dyDescent="0.25">
      <c r="A44" s="211" t="s">
        <v>2789</v>
      </c>
      <c r="B44" s="64">
        <v>9.25</v>
      </c>
      <c r="C44" s="64">
        <v>39.47</v>
      </c>
      <c r="D44" s="64">
        <v>29.85</v>
      </c>
      <c r="E44" s="64">
        <v>21.39</v>
      </c>
      <c r="F44" s="64">
        <v>29.56</v>
      </c>
      <c r="G44" s="64">
        <v>111.11</v>
      </c>
      <c r="H44" s="64">
        <v>44.13</v>
      </c>
      <c r="I44" s="64">
        <v>0.6</v>
      </c>
      <c r="J44" s="64">
        <v>0.76</v>
      </c>
      <c r="K44" s="64">
        <v>120.36</v>
      </c>
      <c r="L44" s="64">
        <v>31.49</v>
      </c>
      <c r="M44" s="64">
        <v>35.979999999999997</v>
      </c>
      <c r="N44" s="64">
        <v>639.9</v>
      </c>
      <c r="O44" s="64">
        <v>0</v>
      </c>
      <c r="P44" s="64">
        <v>0.83</v>
      </c>
      <c r="Q44" s="64">
        <v>27.25</v>
      </c>
      <c r="R44" s="198"/>
      <c r="S44" s="198"/>
      <c r="T44" s="198"/>
      <c r="U44" s="198"/>
    </row>
    <row r="45" spans="1:21" s="12" customFormat="1" x14ac:dyDescent="0.25">
      <c r="A45" s="211" t="s">
        <v>2790</v>
      </c>
      <c r="B45" s="64">
        <v>4.79</v>
      </c>
      <c r="C45" s="64">
        <v>38.72</v>
      </c>
      <c r="D45" s="64">
        <v>25.86</v>
      </c>
      <c r="E45" s="64">
        <v>21.85</v>
      </c>
      <c r="F45" s="64">
        <v>40.08</v>
      </c>
      <c r="G45" s="64">
        <v>111.11</v>
      </c>
      <c r="H45" s="64">
        <v>44.13</v>
      </c>
      <c r="I45" s="64">
        <v>0.57999999999999996</v>
      </c>
      <c r="J45" s="64">
        <v>0.28999999999999998</v>
      </c>
      <c r="K45" s="64">
        <v>122.92</v>
      </c>
      <c r="L45" s="64">
        <v>32.86</v>
      </c>
      <c r="M45" s="64">
        <v>33.18</v>
      </c>
      <c r="N45" s="64">
        <v>683.5</v>
      </c>
      <c r="O45" s="64">
        <v>0</v>
      </c>
      <c r="P45" s="64">
        <v>0.82</v>
      </c>
      <c r="Q45" s="64">
        <v>27.73</v>
      </c>
      <c r="R45" s="198"/>
      <c r="S45" s="198"/>
      <c r="T45" s="198"/>
      <c r="U45" s="198"/>
    </row>
    <row r="46" spans="1:21" s="12" customFormat="1" x14ac:dyDescent="0.25">
      <c r="A46" s="211" t="s">
        <v>2791</v>
      </c>
      <c r="B46" s="64">
        <v>3.41</v>
      </c>
      <c r="C46" s="64">
        <v>34.33</v>
      </c>
      <c r="D46" s="64">
        <v>22.33</v>
      </c>
      <c r="E46" s="64">
        <v>24.41</v>
      </c>
      <c r="F46" s="64">
        <v>47.58</v>
      </c>
      <c r="G46" s="64">
        <v>111.11</v>
      </c>
      <c r="H46" s="64">
        <v>44.13</v>
      </c>
      <c r="I46" s="64">
        <v>0.7</v>
      </c>
      <c r="J46" s="64">
        <v>0.22</v>
      </c>
      <c r="K46" s="64">
        <v>222.84</v>
      </c>
      <c r="L46" s="64">
        <v>33.56</v>
      </c>
      <c r="M46" s="64">
        <v>32.19</v>
      </c>
      <c r="N46" s="64">
        <v>730.6</v>
      </c>
      <c r="O46" s="64">
        <v>0</v>
      </c>
      <c r="P46" s="64">
        <v>0.83</v>
      </c>
      <c r="Q46" s="64">
        <v>28.62</v>
      </c>
      <c r="R46" s="198"/>
      <c r="S46" s="198"/>
      <c r="T46" s="198"/>
      <c r="U46" s="198"/>
    </row>
    <row r="47" spans="1:21" s="12" customFormat="1" x14ac:dyDescent="0.25">
      <c r="A47" s="211" t="s">
        <v>2792</v>
      </c>
      <c r="B47" s="64">
        <v>2.86</v>
      </c>
      <c r="C47" s="64">
        <v>37.409999999999997</v>
      </c>
      <c r="D47" s="64">
        <v>23.59</v>
      </c>
      <c r="E47" s="64">
        <v>12.98</v>
      </c>
      <c r="F47" s="64">
        <v>11.29</v>
      </c>
      <c r="G47" s="64">
        <v>109.06</v>
      </c>
      <c r="H47" s="64">
        <v>44.7</v>
      </c>
      <c r="I47" s="64">
        <v>0.56999999999999995</v>
      </c>
      <c r="J47" s="64">
        <v>0.22</v>
      </c>
      <c r="K47" s="64">
        <v>229.91</v>
      </c>
      <c r="L47" s="64">
        <v>34.65</v>
      </c>
      <c r="M47" s="64">
        <v>30.17</v>
      </c>
      <c r="N47" s="64">
        <v>767.1</v>
      </c>
      <c r="O47" s="64">
        <v>0</v>
      </c>
      <c r="P47" s="64">
        <v>0.82</v>
      </c>
      <c r="Q47" s="64">
        <v>28.32</v>
      </c>
      <c r="R47" s="198"/>
      <c r="S47" s="198"/>
      <c r="T47" s="198"/>
      <c r="U47" s="198"/>
    </row>
    <row r="48" spans="1:21" s="12" customFormat="1" x14ac:dyDescent="0.25">
      <c r="A48" s="211" t="s">
        <v>2793</v>
      </c>
      <c r="B48" s="64">
        <v>2.71</v>
      </c>
      <c r="C48" s="64">
        <v>38.299999999999997</v>
      </c>
      <c r="D48" s="64">
        <v>23.96</v>
      </c>
      <c r="E48" s="64">
        <v>8.19</v>
      </c>
      <c r="F48" s="64">
        <v>13.19</v>
      </c>
      <c r="G48" s="64">
        <v>90.61</v>
      </c>
      <c r="H48" s="64">
        <v>48.82</v>
      </c>
      <c r="I48" s="64">
        <v>0.57999999999999996</v>
      </c>
      <c r="J48" s="64">
        <v>0.86</v>
      </c>
      <c r="K48" s="64">
        <v>262.93</v>
      </c>
      <c r="L48" s="64">
        <v>37.28</v>
      </c>
      <c r="M48" s="64">
        <v>24.46</v>
      </c>
      <c r="N48" s="64">
        <v>791.6</v>
      </c>
      <c r="O48" s="64">
        <v>0</v>
      </c>
      <c r="P48" s="64">
        <v>0.85</v>
      </c>
      <c r="Q48" s="64">
        <v>28.27</v>
      </c>
      <c r="R48" s="198"/>
      <c r="S48" s="198"/>
      <c r="T48" s="198"/>
      <c r="U48" s="198"/>
    </row>
    <row r="49" spans="1:21" s="12" customFormat="1" x14ac:dyDescent="0.25">
      <c r="A49" s="211" t="s">
        <v>2794</v>
      </c>
      <c r="B49" s="64">
        <v>2.64</v>
      </c>
      <c r="C49" s="64">
        <v>43.12</v>
      </c>
      <c r="D49" s="64">
        <v>26.56</v>
      </c>
      <c r="E49" s="64">
        <v>6.86</v>
      </c>
      <c r="F49" s="64">
        <v>15.55</v>
      </c>
      <c r="G49" s="64">
        <v>90.61</v>
      </c>
      <c r="H49" s="64">
        <v>48.82</v>
      </c>
      <c r="I49" s="64">
        <v>0.66</v>
      </c>
      <c r="J49" s="64">
        <v>0.44</v>
      </c>
      <c r="K49" s="64">
        <v>269.87</v>
      </c>
      <c r="L49" s="64">
        <v>38.18</v>
      </c>
      <c r="M49" s="64">
        <v>24.94</v>
      </c>
      <c r="N49" s="64">
        <v>801.6</v>
      </c>
      <c r="O49" s="64">
        <v>0</v>
      </c>
      <c r="P49" s="64">
        <v>0.86</v>
      </c>
      <c r="Q49" s="64">
        <v>27.96</v>
      </c>
      <c r="R49" s="198"/>
      <c r="S49" s="198"/>
      <c r="T49" s="198"/>
      <c r="U49" s="198"/>
    </row>
    <row r="50" spans="1:21" s="12" customFormat="1" x14ac:dyDescent="0.25">
      <c r="A50" s="211" t="s">
        <v>2795</v>
      </c>
      <c r="B50" s="64">
        <v>2.17</v>
      </c>
      <c r="C50" s="64">
        <v>51.98</v>
      </c>
      <c r="D50" s="64">
        <v>31.08</v>
      </c>
      <c r="E50" s="64">
        <v>6.8</v>
      </c>
      <c r="F50" s="64">
        <v>36.89</v>
      </c>
      <c r="G50" s="64">
        <v>90.61</v>
      </c>
      <c r="H50" s="64">
        <v>48.82</v>
      </c>
      <c r="I50" s="64">
        <v>0.82</v>
      </c>
      <c r="J50" s="64">
        <v>0.49</v>
      </c>
      <c r="K50" s="64">
        <v>253.42</v>
      </c>
      <c r="L50" s="64">
        <v>37.729999999999997</v>
      </c>
      <c r="M50" s="64">
        <v>25.21</v>
      </c>
      <c r="N50" s="64">
        <v>829.7</v>
      </c>
      <c r="O50" s="64">
        <v>0</v>
      </c>
      <c r="P50" s="64">
        <v>0.91</v>
      </c>
      <c r="Q50" s="64">
        <v>27.22</v>
      </c>
      <c r="R50" s="198"/>
      <c r="S50" s="198"/>
      <c r="T50" s="198"/>
      <c r="U50" s="198"/>
    </row>
    <row r="51" spans="1:21" s="12" customFormat="1" x14ac:dyDescent="0.25">
      <c r="A51" s="211" t="s">
        <v>2796</v>
      </c>
      <c r="B51" s="64">
        <v>1.6</v>
      </c>
      <c r="C51" s="64">
        <v>54.91</v>
      </c>
      <c r="D51" s="64">
        <v>32.24</v>
      </c>
      <c r="E51" s="64">
        <v>5.86</v>
      </c>
      <c r="F51" s="64">
        <v>26.75</v>
      </c>
      <c r="G51" s="64">
        <v>88.77</v>
      </c>
      <c r="H51" s="64">
        <v>47.62</v>
      </c>
      <c r="I51" s="64">
        <v>0.79</v>
      </c>
      <c r="J51" s="64">
        <v>1.03</v>
      </c>
      <c r="K51" s="64">
        <v>258.11</v>
      </c>
      <c r="L51" s="64">
        <v>38.049999999999997</v>
      </c>
      <c r="M51" s="64">
        <v>24.29</v>
      </c>
      <c r="N51" s="64">
        <v>856.1</v>
      </c>
      <c r="O51" s="64">
        <v>0</v>
      </c>
      <c r="P51" s="64">
        <v>0.86</v>
      </c>
      <c r="Q51" s="64">
        <v>25.99</v>
      </c>
      <c r="R51" s="198"/>
      <c r="S51" s="198"/>
      <c r="T51" s="198"/>
      <c r="U51" s="198"/>
    </row>
    <row r="52" spans="1:21" s="12" customFormat="1" x14ac:dyDescent="0.25">
      <c r="A52" s="211" t="s">
        <v>2797</v>
      </c>
      <c r="B52" s="64">
        <v>1.89</v>
      </c>
      <c r="C52" s="64">
        <v>49.35</v>
      </c>
      <c r="D52" s="64">
        <v>29.4</v>
      </c>
      <c r="E52" s="64">
        <v>4.8</v>
      </c>
      <c r="F52" s="64">
        <v>20.75</v>
      </c>
      <c r="G52" s="64">
        <v>74</v>
      </c>
      <c r="H52" s="64">
        <v>39.880000000000003</v>
      </c>
      <c r="I52" s="64">
        <v>0.66</v>
      </c>
      <c r="J52" s="64">
        <v>1.38</v>
      </c>
      <c r="K52" s="64">
        <v>256.75</v>
      </c>
      <c r="L52" s="64">
        <v>38.68</v>
      </c>
      <c r="M52" s="64">
        <v>23.21</v>
      </c>
      <c r="N52" s="64">
        <v>861.5</v>
      </c>
      <c r="O52" s="64">
        <v>0</v>
      </c>
      <c r="P52" s="64">
        <v>0.81</v>
      </c>
      <c r="Q52" s="64">
        <v>24.85</v>
      </c>
      <c r="R52" s="198"/>
      <c r="S52" s="198"/>
      <c r="T52" s="198"/>
      <c r="U52" s="198"/>
    </row>
    <row r="53" spans="1:21" s="12" customFormat="1" x14ac:dyDescent="0.25">
      <c r="A53" s="211" t="s">
        <v>2798</v>
      </c>
      <c r="B53" s="64">
        <v>1.85</v>
      </c>
      <c r="C53" s="64">
        <v>45.57</v>
      </c>
      <c r="D53" s="64">
        <v>27.28</v>
      </c>
      <c r="E53" s="64">
        <v>4.76</v>
      </c>
      <c r="F53" s="64">
        <v>23.58</v>
      </c>
      <c r="G53" s="64">
        <v>74</v>
      </c>
      <c r="H53" s="64">
        <v>39.880000000000003</v>
      </c>
      <c r="I53" s="64">
        <v>0.66</v>
      </c>
      <c r="J53" s="64">
        <v>1.55</v>
      </c>
      <c r="K53" s="64">
        <v>256.89</v>
      </c>
      <c r="L53" s="64">
        <v>38.42</v>
      </c>
      <c r="M53" s="64">
        <v>23.44</v>
      </c>
      <c r="N53" s="64">
        <v>839.3</v>
      </c>
      <c r="O53" s="64">
        <v>0</v>
      </c>
      <c r="P53" s="64">
        <v>0.77</v>
      </c>
      <c r="Q53" s="64">
        <v>23.78</v>
      </c>
      <c r="R53" s="198"/>
      <c r="S53" s="198"/>
      <c r="T53" s="198"/>
      <c r="U53" s="198"/>
    </row>
    <row r="54" spans="1:21" s="12" customFormat="1" x14ac:dyDescent="0.25">
      <c r="A54" s="211" t="s">
        <v>2799</v>
      </c>
      <c r="B54" s="64">
        <v>2.56</v>
      </c>
      <c r="C54" s="64">
        <v>37.869999999999997</v>
      </c>
      <c r="D54" s="64">
        <v>23.6</v>
      </c>
      <c r="E54" s="64">
        <v>5.18</v>
      </c>
      <c r="F54" s="64">
        <v>38.979999999999997</v>
      </c>
      <c r="G54" s="64">
        <v>74</v>
      </c>
      <c r="H54" s="64">
        <v>39.880000000000003</v>
      </c>
      <c r="I54" s="64">
        <v>0.55000000000000004</v>
      </c>
      <c r="J54" s="64">
        <v>0.78</v>
      </c>
      <c r="K54" s="64">
        <v>258.97000000000003</v>
      </c>
      <c r="L54" s="64">
        <v>38.49</v>
      </c>
      <c r="M54" s="64">
        <v>24.57</v>
      </c>
      <c r="N54" s="64">
        <v>875.9</v>
      </c>
      <c r="O54" s="64">
        <v>0</v>
      </c>
      <c r="P54" s="64">
        <v>0.73</v>
      </c>
      <c r="Q54" s="64">
        <v>24.82</v>
      </c>
      <c r="R54" s="198"/>
      <c r="S54" s="198"/>
      <c r="T54" s="198"/>
      <c r="U54" s="198"/>
    </row>
    <row r="55" spans="1:21" s="12" customFormat="1" x14ac:dyDescent="0.25">
      <c r="A55" s="211" t="s">
        <v>2800</v>
      </c>
      <c r="B55" s="64">
        <v>3.09</v>
      </c>
      <c r="C55" s="64">
        <v>37.549999999999997</v>
      </c>
      <c r="D55" s="64">
        <v>23.85</v>
      </c>
      <c r="E55" s="64">
        <v>4.83</v>
      </c>
      <c r="F55" s="64">
        <v>24.74</v>
      </c>
      <c r="G55" s="64">
        <v>74.47</v>
      </c>
      <c r="H55" s="64">
        <v>39.450000000000003</v>
      </c>
      <c r="I55" s="64">
        <v>0.52</v>
      </c>
      <c r="J55" s="64">
        <v>2.16</v>
      </c>
      <c r="K55" s="64">
        <v>254.26</v>
      </c>
      <c r="L55" s="64">
        <v>38.1</v>
      </c>
      <c r="M55" s="64">
        <v>24.74</v>
      </c>
      <c r="N55" s="64">
        <v>871.8</v>
      </c>
      <c r="O55" s="64">
        <v>0</v>
      </c>
      <c r="P55" s="64">
        <v>0.73</v>
      </c>
      <c r="Q55" s="64">
        <v>25.18</v>
      </c>
      <c r="R55" s="198"/>
      <c r="S55" s="198"/>
      <c r="T55" s="198"/>
      <c r="U55" s="198"/>
    </row>
    <row r="56" spans="1:21" s="12" customFormat="1" x14ac:dyDescent="0.25">
      <c r="A56" s="211" t="s">
        <v>2801</v>
      </c>
      <c r="B56" s="64">
        <v>2.0299999999999998</v>
      </c>
      <c r="C56" s="64">
        <v>37.03</v>
      </c>
      <c r="D56" s="64">
        <v>22.71</v>
      </c>
      <c r="E56" s="64">
        <v>3.28</v>
      </c>
      <c r="F56" s="64">
        <v>46.48</v>
      </c>
      <c r="G56" s="64">
        <v>78.7</v>
      </c>
      <c r="H56" s="64">
        <v>36.659999999999997</v>
      </c>
      <c r="I56" s="64">
        <v>0.53</v>
      </c>
      <c r="J56" s="218" t="s">
        <v>36</v>
      </c>
      <c r="K56" s="218" t="s">
        <v>36</v>
      </c>
      <c r="L56" s="218" t="s">
        <v>36</v>
      </c>
      <c r="M56" s="218" t="s">
        <v>36</v>
      </c>
      <c r="N56" s="218" t="s">
        <v>36</v>
      </c>
      <c r="O56" s="64">
        <v>0</v>
      </c>
      <c r="P56" s="64">
        <v>0.69</v>
      </c>
      <c r="Q56" s="64">
        <v>25.13</v>
      </c>
      <c r="R56" s="198"/>
      <c r="S56" s="198"/>
      <c r="T56" s="198"/>
      <c r="U56" s="198"/>
    </row>
    <row r="57" spans="1:21" s="12" customFormat="1" x14ac:dyDescent="0.25">
      <c r="A57" s="211" t="s">
        <v>2802</v>
      </c>
      <c r="B57" s="64">
        <v>1.89</v>
      </c>
      <c r="C57" s="64">
        <v>35.78</v>
      </c>
      <c r="D57" s="64">
        <v>21.9</v>
      </c>
      <c r="E57" s="64">
        <v>4.16</v>
      </c>
      <c r="F57" s="64">
        <v>37.020000000000003</v>
      </c>
      <c r="G57" s="64">
        <v>78.7</v>
      </c>
      <c r="H57" s="64">
        <v>36.659999999999997</v>
      </c>
      <c r="I57" s="64">
        <v>0.7</v>
      </c>
      <c r="J57" s="218" t="s">
        <v>36</v>
      </c>
      <c r="K57" s="218" t="s">
        <v>36</v>
      </c>
      <c r="L57" s="218" t="s">
        <v>36</v>
      </c>
      <c r="M57" s="218" t="s">
        <v>36</v>
      </c>
      <c r="N57" s="218" t="s">
        <v>36</v>
      </c>
      <c r="O57" s="64">
        <v>0</v>
      </c>
      <c r="P57" s="64">
        <v>0.67</v>
      </c>
      <c r="Q57" s="64">
        <v>25</v>
      </c>
      <c r="R57" s="198"/>
      <c r="S57" s="198"/>
      <c r="T57" s="198"/>
      <c r="U57" s="198"/>
    </row>
    <row r="58" spans="1:21" s="12" customFormat="1" x14ac:dyDescent="0.25">
      <c r="A58" s="211" t="s">
        <v>2803</v>
      </c>
      <c r="B58" s="64">
        <v>1.82</v>
      </c>
      <c r="C58" s="64">
        <v>34.58</v>
      </c>
      <c r="D58" s="64">
        <v>21.19</v>
      </c>
      <c r="E58" s="64">
        <v>3.84</v>
      </c>
      <c r="F58" s="64">
        <v>20.260000000000002</v>
      </c>
      <c r="G58" s="64">
        <v>78.7</v>
      </c>
      <c r="H58" s="64">
        <v>36.659999999999997</v>
      </c>
      <c r="I58" s="64">
        <v>0.5</v>
      </c>
      <c r="J58" s="218" t="s">
        <v>36</v>
      </c>
      <c r="K58" s="218" t="s">
        <v>36</v>
      </c>
      <c r="L58" s="218" t="s">
        <v>36</v>
      </c>
      <c r="M58" s="218" t="s">
        <v>36</v>
      </c>
      <c r="N58" s="218" t="s">
        <v>36</v>
      </c>
      <c r="O58" s="64">
        <v>0</v>
      </c>
      <c r="P58" s="64">
        <v>0.62</v>
      </c>
      <c r="Q58" s="64">
        <v>25.05</v>
      </c>
      <c r="R58" s="198"/>
      <c r="S58" s="198"/>
      <c r="T58" s="198"/>
      <c r="U58" s="198"/>
    </row>
    <row r="59" spans="1:21" s="12" customFormat="1" x14ac:dyDescent="0.25">
      <c r="A59" s="211" t="s">
        <v>2804</v>
      </c>
      <c r="B59" s="64">
        <v>1.57</v>
      </c>
      <c r="C59" s="64">
        <v>32.99</v>
      </c>
      <c r="D59" s="64">
        <v>20.11</v>
      </c>
      <c r="E59" s="64">
        <v>3.31</v>
      </c>
      <c r="F59" s="64">
        <v>12.37</v>
      </c>
      <c r="G59" s="64">
        <v>77.06</v>
      </c>
      <c r="H59" s="64">
        <v>36.04</v>
      </c>
      <c r="I59" s="64">
        <v>0.55000000000000004</v>
      </c>
      <c r="J59" s="218" t="s">
        <v>36</v>
      </c>
      <c r="K59" s="218" t="s">
        <v>36</v>
      </c>
      <c r="L59" s="218" t="s">
        <v>36</v>
      </c>
      <c r="M59" s="218" t="s">
        <v>36</v>
      </c>
      <c r="N59" s="218" t="s">
        <v>36</v>
      </c>
      <c r="O59" s="64">
        <v>0</v>
      </c>
      <c r="P59" s="64">
        <v>0.57999999999999996</v>
      </c>
      <c r="Q59" s="64">
        <v>23.85</v>
      </c>
      <c r="R59" s="198"/>
      <c r="S59" s="198"/>
      <c r="T59" s="198"/>
      <c r="U59" s="198"/>
    </row>
    <row r="60" spans="1:21" s="12" customFormat="1" x14ac:dyDescent="0.25">
      <c r="A60" s="211" t="s">
        <v>2805</v>
      </c>
      <c r="B60" s="64">
        <v>1.65</v>
      </c>
      <c r="C60" s="64">
        <v>32.43</v>
      </c>
      <c r="D60" s="64">
        <v>19.86</v>
      </c>
      <c r="E60" s="64">
        <v>2.99</v>
      </c>
      <c r="F60" s="64">
        <v>10.93</v>
      </c>
      <c r="G60" s="64">
        <v>62.22</v>
      </c>
      <c r="H60" s="64">
        <v>32.049999999999997</v>
      </c>
      <c r="I60" s="64">
        <v>0.54</v>
      </c>
      <c r="J60" s="218" t="s">
        <v>36</v>
      </c>
      <c r="K60" s="218" t="s">
        <v>36</v>
      </c>
      <c r="L60" s="218" t="s">
        <v>36</v>
      </c>
      <c r="M60" s="218" t="s">
        <v>36</v>
      </c>
      <c r="N60" s="218" t="s">
        <v>36</v>
      </c>
      <c r="O60" s="64">
        <v>0</v>
      </c>
      <c r="P60" s="64">
        <v>0.55000000000000004</v>
      </c>
      <c r="Q60" s="64">
        <v>23.68</v>
      </c>
      <c r="R60" s="198"/>
      <c r="S60" s="198"/>
      <c r="T60" s="198"/>
      <c r="U60" s="198"/>
    </row>
    <row r="61" spans="1:21" s="12" customFormat="1" x14ac:dyDescent="0.25">
      <c r="A61" s="211" t="s">
        <v>2806</v>
      </c>
      <c r="B61" s="64">
        <v>2.08</v>
      </c>
      <c r="C61" s="64">
        <v>34.14</v>
      </c>
      <c r="D61" s="64">
        <v>21.15</v>
      </c>
      <c r="E61" s="64">
        <v>3.29</v>
      </c>
      <c r="F61" s="64">
        <v>16.350000000000001</v>
      </c>
      <c r="G61" s="64">
        <v>62.22</v>
      </c>
      <c r="H61" s="64">
        <v>32.049999999999997</v>
      </c>
      <c r="I61" s="64">
        <v>0.56999999999999995</v>
      </c>
      <c r="J61" s="218" t="s">
        <v>36</v>
      </c>
      <c r="K61" s="218" t="s">
        <v>36</v>
      </c>
      <c r="L61" s="218" t="s">
        <v>36</v>
      </c>
      <c r="M61" s="218" t="s">
        <v>36</v>
      </c>
      <c r="N61" s="218" t="s">
        <v>36</v>
      </c>
      <c r="O61" s="64">
        <v>0</v>
      </c>
      <c r="P61" s="64">
        <v>0.52</v>
      </c>
      <c r="Q61" s="64">
        <v>24.04</v>
      </c>
      <c r="R61" s="198"/>
      <c r="S61" s="198"/>
      <c r="T61" s="198"/>
      <c r="U61" s="198"/>
    </row>
    <row r="62" spans="1:21" s="12" customFormat="1" x14ac:dyDescent="0.25">
      <c r="A62" s="211" t="s">
        <v>2807</v>
      </c>
      <c r="B62" s="64">
        <v>2.06</v>
      </c>
      <c r="C62" s="64">
        <v>35.14</v>
      </c>
      <c r="D62" s="64">
        <v>21.69</v>
      </c>
      <c r="E62" s="64">
        <v>3.01</v>
      </c>
      <c r="F62" s="64">
        <v>17.41</v>
      </c>
      <c r="G62" s="64">
        <v>62.22</v>
      </c>
      <c r="H62" s="64">
        <v>32.049999999999997</v>
      </c>
      <c r="I62" s="64">
        <v>0.57999999999999996</v>
      </c>
      <c r="J62" s="218" t="s">
        <v>36</v>
      </c>
      <c r="K62" s="218" t="s">
        <v>36</v>
      </c>
      <c r="L62" s="218" t="s">
        <v>36</v>
      </c>
      <c r="M62" s="218" t="s">
        <v>36</v>
      </c>
      <c r="N62" s="218" t="s">
        <v>36</v>
      </c>
      <c r="O62" s="64">
        <v>0</v>
      </c>
      <c r="P62" s="64">
        <v>0.51</v>
      </c>
      <c r="Q62" s="64">
        <v>24.55</v>
      </c>
      <c r="R62" s="198"/>
      <c r="S62" s="198"/>
      <c r="T62" s="198"/>
      <c r="U62" s="198"/>
    </row>
    <row r="63" spans="1:21" s="12" customFormat="1" x14ac:dyDescent="0.25">
      <c r="A63" s="211" t="s">
        <v>2808</v>
      </c>
      <c r="B63" s="64">
        <v>2.1800000000000002</v>
      </c>
      <c r="C63" s="64">
        <v>35.51</v>
      </c>
      <c r="D63" s="64">
        <v>21.99</v>
      </c>
      <c r="E63" s="64">
        <v>2.75</v>
      </c>
      <c r="F63" s="64">
        <v>7.16</v>
      </c>
      <c r="G63" s="64">
        <v>60.91</v>
      </c>
      <c r="H63" s="64">
        <v>31.62</v>
      </c>
      <c r="I63" s="64">
        <v>0.53</v>
      </c>
      <c r="J63" s="218" t="s">
        <v>36</v>
      </c>
      <c r="K63" s="218" t="s">
        <v>36</v>
      </c>
      <c r="L63" s="218" t="s">
        <v>36</v>
      </c>
      <c r="M63" s="218" t="s">
        <v>36</v>
      </c>
      <c r="N63" s="218" t="s">
        <v>36</v>
      </c>
      <c r="O63" s="64">
        <v>0</v>
      </c>
      <c r="P63" s="64">
        <v>0.49</v>
      </c>
      <c r="Q63" s="64">
        <v>25.02</v>
      </c>
      <c r="R63" s="198"/>
      <c r="S63" s="198"/>
      <c r="T63" s="198"/>
      <c r="U63" s="198"/>
    </row>
    <row r="64" spans="1:21" s="12" customFormat="1" x14ac:dyDescent="0.25">
      <c r="A64" s="211" t="s">
        <v>2809</v>
      </c>
      <c r="B64" s="64">
        <v>2.34</v>
      </c>
      <c r="C64" s="64">
        <v>37.840000000000003</v>
      </c>
      <c r="D64" s="64">
        <v>23.4</v>
      </c>
      <c r="E64" s="64">
        <v>2.99</v>
      </c>
      <c r="F64" s="64">
        <v>12.49</v>
      </c>
      <c r="G64" s="64">
        <v>50.41</v>
      </c>
      <c r="H64" s="64">
        <v>28.81</v>
      </c>
      <c r="I64" s="64">
        <v>0.65</v>
      </c>
      <c r="J64" s="218" t="s">
        <v>36</v>
      </c>
      <c r="K64" s="218" t="s">
        <v>36</v>
      </c>
      <c r="L64" s="218" t="s">
        <v>36</v>
      </c>
      <c r="M64" s="218" t="s">
        <v>36</v>
      </c>
      <c r="N64" s="218" t="s">
        <v>36</v>
      </c>
      <c r="O64" s="64">
        <v>0</v>
      </c>
      <c r="P64" s="64">
        <v>0.47</v>
      </c>
      <c r="Q64" s="64">
        <v>25.41</v>
      </c>
      <c r="R64" s="198"/>
      <c r="S64" s="198"/>
      <c r="T64" s="198"/>
      <c r="U64" s="198"/>
    </row>
    <row r="65" spans="1:21" s="12" customFormat="1" x14ac:dyDescent="0.25">
      <c r="A65" s="211" t="s">
        <v>2810</v>
      </c>
      <c r="B65" s="64">
        <v>1.87</v>
      </c>
      <c r="C65" s="64">
        <v>45.59</v>
      </c>
      <c r="D65" s="64">
        <v>27.31</v>
      </c>
      <c r="E65" s="64">
        <v>3.01</v>
      </c>
      <c r="F65" s="64">
        <v>19.37</v>
      </c>
      <c r="G65" s="64">
        <v>50.41</v>
      </c>
      <c r="H65" s="64">
        <v>28.81</v>
      </c>
      <c r="I65" s="64">
        <v>0.56999999999999995</v>
      </c>
      <c r="J65" s="218" t="s">
        <v>36</v>
      </c>
      <c r="K65" s="218" t="s">
        <v>36</v>
      </c>
      <c r="L65" s="218" t="s">
        <v>36</v>
      </c>
      <c r="M65" s="218" t="s">
        <v>36</v>
      </c>
      <c r="N65" s="218" t="s">
        <v>36</v>
      </c>
      <c r="O65" s="64">
        <v>0</v>
      </c>
      <c r="P65" s="64">
        <v>0.38</v>
      </c>
      <c r="Q65" s="64">
        <v>25.39</v>
      </c>
      <c r="R65" s="198"/>
      <c r="S65" s="198"/>
      <c r="T65" s="198"/>
      <c r="U65" s="198"/>
    </row>
    <row r="66" spans="1:21" s="12" customFormat="1" x14ac:dyDescent="0.25">
      <c r="A66" s="211" t="s">
        <v>2811</v>
      </c>
      <c r="B66" s="64">
        <v>2.33</v>
      </c>
      <c r="C66" s="64">
        <v>51.27</v>
      </c>
      <c r="D66" s="64">
        <v>30.81</v>
      </c>
      <c r="E66" s="64">
        <v>2.6</v>
      </c>
      <c r="F66" s="64">
        <v>36.869999999999997</v>
      </c>
      <c r="G66" s="64">
        <v>50.41</v>
      </c>
      <c r="H66" s="64">
        <v>28.81</v>
      </c>
      <c r="I66" s="64">
        <v>0.7</v>
      </c>
      <c r="J66" s="218" t="s">
        <v>36</v>
      </c>
      <c r="K66" s="218" t="s">
        <v>36</v>
      </c>
      <c r="L66" s="218" t="s">
        <v>36</v>
      </c>
      <c r="M66" s="218" t="s">
        <v>36</v>
      </c>
      <c r="N66" s="218" t="s">
        <v>36</v>
      </c>
      <c r="O66" s="64">
        <v>0</v>
      </c>
      <c r="P66" s="64">
        <v>0.48</v>
      </c>
      <c r="Q66" s="64">
        <v>26.39</v>
      </c>
      <c r="R66" s="198"/>
      <c r="S66" s="198"/>
      <c r="T66" s="198"/>
      <c r="U66" s="198"/>
    </row>
    <row r="67" spans="1:21" s="12" customFormat="1" x14ac:dyDescent="0.25">
      <c r="A67" s="211" t="s">
        <v>2812</v>
      </c>
      <c r="B67" s="64">
        <v>1.85</v>
      </c>
      <c r="C67" s="64">
        <v>52.9</v>
      </c>
      <c r="D67" s="64">
        <v>31.32</v>
      </c>
      <c r="E67" s="64">
        <v>2.93</v>
      </c>
      <c r="F67" s="64">
        <v>50.03</v>
      </c>
      <c r="G67" s="64">
        <v>50.67</v>
      </c>
      <c r="H67" s="64">
        <v>28.45</v>
      </c>
      <c r="I67" s="64">
        <v>0.56000000000000005</v>
      </c>
      <c r="J67" s="218" t="s">
        <v>36</v>
      </c>
      <c r="K67" s="218" t="s">
        <v>36</v>
      </c>
      <c r="L67" s="218" t="s">
        <v>36</v>
      </c>
      <c r="M67" s="218" t="s">
        <v>36</v>
      </c>
      <c r="N67" s="218" t="s">
        <v>36</v>
      </c>
      <c r="O67" s="64">
        <v>0</v>
      </c>
      <c r="P67" s="64">
        <v>0.48</v>
      </c>
      <c r="Q67" s="64">
        <v>26.11</v>
      </c>
      <c r="R67" s="198"/>
      <c r="S67" s="198"/>
      <c r="T67" s="198"/>
      <c r="U67" s="198"/>
    </row>
    <row r="68" spans="1:21" s="12" customFormat="1" x14ac:dyDescent="0.25">
      <c r="A68" s="211" t="s">
        <v>2813</v>
      </c>
      <c r="B68" s="64">
        <v>2.12</v>
      </c>
      <c r="C68" s="64">
        <v>48.88</v>
      </c>
      <c r="D68" s="64">
        <v>29.32</v>
      </c>
      <c r="E68" s="64">
        <v>2.37</v>
      </c>
      <c r="F68" s="64">
        <v>31.12</v>
      </c>
      <c r="G68" s="64">
        <v>53.02</v>
      </c>
      <c r="H68" s="64">
        <v>26.11</v>
      </c>
      <c r="I68" s="64">
        <v>0.51</v>
      </c>
      <c r="J68" s="218" t="s">
        <v>36</v>
      </c>
      <c r="K68" s="218" t="s">
        <v>36</v>
      </c>
      <c r="L68" s="218" t="s">
        <v>36</v>
      </c>
      <c r="M68" s="218" t="s">
        <v>36</v>
      </c>
      <c r="N68" s="218" t="s">
        <v>36</v>
      </c>
      <c r="O68" s="64">
        <v>0</v>
      </c>
      <c r="P68" s="64">
        <v>0.47</v>
      </c>
      <c r="Q68" s="64">
        <v>25.04</v>
      </c>
      <c r="R68" s="198"/>
      <c r="S68" s="198"/>
      <c r="T68" s="198"/>
      <c r="U68" s="198"/>
    </row>
    <row r="69" spans="1:21" s="12" customFormat="1" x14ac:dyDescent="0.25">
      <c r="A69" s="211" t="s">
        <v>2814</v>
      </c>
      <c r="B69" s="64">
        <v>2.36</v>
      </c>
      <c r="C69" s="64">
        <v>44.54</v>
      </c>
      <c r="D69" s="64">
        <v>27.12</v>
      </c>
      <c r="E69" s="64">
        <v>2.15</v>
      </c>
      <c r="F69" s="64">
        <v>39.159999999999997</v>
      </c>
      <c r="G69" s="64">
        <v>53.02</v>
      </c>
      <c r="H69" s="64">
        <v>26.11</v>
      </c>
      <c r="I69" s="64">
        <v>0.65</v>
      </c>
      <c r="J69" s="218" t="s">
        <v>36</v>
      </c>
      <c r="K69" s="218" t="s">
        <v>36</v>
      </c>
      <c r="L69" s="218" t="s">
        <v>36</v>
      </c>
      <c r="M69" s="218" t="s">
        <v>36</v>
      </c>
      <c r="N69" s="218" t="s">
        <v>36</v>
      </c>
      <c r="O69" s="64">
        <v>0</v>
      </c>
      <c r="P69" s="64">
        <v>0.47</v>
      </c>
      <c r="Q69" s="64">
        <v>24.47</v>
      </c>
      <c r="R69" s="198"/>
      <c r="S69" s="198"/>
      <c r="T69" s="198"/>
      <c r="U69" s="198"/>
    </row>
    <row r="70" spans="1:21" s="12" customFormat="1" x14ac:dyDescent="0.25">
      <c r="A70" s="211" t="s">
        <v>2815</v>
      </c>
      <c r="B70" s="64">
        <v>2.5299999999999998</v>
      </c>
      <c r="C70" s="64">
        <v>40.85</v>
      </c>
      <c r="D70" s="64">
        <v>25.22</v>
      </c>
      <c r="E70" s="64">
        <v>2.02</v>
      </c>
      <c r="F70" s="64">
        <v>26.19</v>
      </c>
      <c r="G70" s="64">
        <v>53.02</v>
      </c>
      <c r="H70" s="64">
        <v>26.11</v>
      </c>
      <c r="I70" s="64">
        <v>0.59</v>
      </c>
      <c r="J70" s="218" t="s">
        <v>36</v>
      </c>
      <c r="K70" s="218" t="s">
        <v>36</v>
      </c>
      <c r="L70" s="218" t="s">
        <v>36</v>
      </c>
      <c r="M70" s="218" t="s">
        <v>36</v>
      </c>
      <c r="N70" s="218" t="s">
        <v>36</v>
      </c>
      <c r="O70" s="64">
        <v>0</v>
      </c>
      <c r="P70" s="64">
        <v>0.46</v>
      </c>
      <c r="Q70" s="64">
        <v>24.25</v>
      </c>
      <c r="R70" s="198"/>
      <c r="S70" s="198"/>
      <c r="T70" s="198"/>
      <c r="U70" s="198"/>
    </row>
    <row r="71" spans="1:21" s="12" customFormat="1" x14ac:dyDescent="0.25">
      <c r="A71" s="211" t="s">
        <v>2816</v>
      </c>
      <c r="B71" s="64">
        <v>2.48</v>
      </c>
      <c r="C71" s="64">
        <v>38.67</v>
      </c>
      <c r="D71" s="64">
        <v>23.98</v>
      </c>
      <c r="E71" s="64">
        <v>1.77</v>
      </c>
      <c r="F71" s="64">
        <v>10.34</v>
      </c>
      <c r="G71" s="64">
        <v>53.35</v>
      </c>
      <c r="H71" s="64">
        <v>26.15</v>
      </c>
      <c r="I71" s="64">
        <v>0.68</v>
      </c>
      <c r="J71" s="218" t="s">
        <v>36</v>
      </c>
      <c r="K71" s="218" t="s">
        <v>36</v>
      </c>
      <c r="L71" s="218" t="s">
        <v>36</v>
      </c>
      <c r="M71" s="218" t="s">
        <v>36</v>
      </c>
      <c r="N71" s="218" t="s">
        <v>36</v>
      </c>
      <c r="O71" s="64">
        <v>0</v>
      </c>
      <c r="P71" s="64">
        <v>0.44</v>
      </c>
      <c r="Q71" s="64">
        <v>23.83</v>
      </c>
      <c r="R71" s="198"/>
      <c r="S71" s="198"/>
      <c r="T71" s="198"/>
      <c r="U71" s="198"/>
    </row>
    <row r="72" spans="1:21" s="12" customFormat="1" x14ac:dyDescent="0.25">
      <c r="A72" s="211" t="s">
        <v>2817</v>
      </c>
      <c r="B72" s="64">
        <v>2.15</v>
      </c>
      <c r="C72" s="64">
        <v>37.450000000000003</v>
      </c>
      <c r="D72" s="64">
        <v>23.04</v>
      </c>
      <c r="E72" s="64">
        <v>1.65</v>
      </c>
      <c r="F72" s="64">
        <v>8.4700000000000006</v>
      </c>
      <c r="G72" s="64">
        <v>55.92</v>
      </c>
      <c r="H72" s="64">
        <v>26.45</v>
      </c>
      <c r="I72" s="64">
        <v>0.74</v>
      </c>
      <c r="J72" s="218" t="s">
        <v>36</v>
      </c>
      <c r="K72" s="218" t="s">
        <v>36</v>
      </c>
      <c r="L72" s="218" t="s">
        <v>36</v>
      </c>
      <c r="M72" s="218" t="s">
        <v>36</v>
      </c>
      <c r="N72" s="218" t="s">
        <v>36</v>
      </c>
      <c r="O72" s="64">
        <v>0</v>
      </c>
      <c r="P72" s="64">
        <v>0.45</v>
      </c>
      <c r="Q72" s="64">
        <v>23.71</v>
      </c>
      <c r="R72" s="198"/>
      <c r="S72" s="198"/>
      <c r="T72" s="198"/>
      <c r="U72" s="198"/>
    </row>
    <row r="73" spans="1:21" s="12" customFormat="1" x14ac:dyDescent="0.25">
      <c r="A73" s="211" t="s">
        <v>2818</v>
      </c>
      <c r="B73" s="64">
        <v>1.83</v>
      </c>
      <c r="C73" s="64">
        <v>36.79</v>
      </c>
      <c r="D73" s="64">
        <v>22.42</v>
      </c>
      <c r="E73" s="64">
        <v>2.58</v>
      </c>
      <c r="F73" s="64">
        <v>9.2799999999999994</v>
      </c>
      <c r="G73" s="64">
        <v>55.92</v>
      </c>
      <c r="H73" s="64">
        <v>26.45</v>
      </c>
      <c r="I73" s="64">
        <v>0.59</v>
      </c>
      <c r="J73" s="218" t="s">
        <v>36</v>
      </c>
      <c r="K73" s="218" t="s">
        <v>36</v>
      </c>
      <c r="L73" s="218" t="s">
        <v>36</v>
      </c>
      <c r="M73" s="218" t="s">
        <v>36</v>
      </c>
      <c r="N73" s="218" t="s">
        <v>36</v>
      </c>
      <c r="O73" s="64">
        <v>0</v>
      </c>
      <c r="P73" s="64">
        <v>0.43</v>
      </c>
      <c r="Q73" s="64">
        <v>23.6</v>
      </c>
      <c r="R73" s="198"/>
      <c r="S73" s="198"/>
      <c r="T73" s="198"/>
      <c r="U73" s="198"/>
    </row>
    <row r="74" spans="1:21" s="12" customFormat="1" x14ac:dyDescent="0.25">
      <c r="A74" s="211" t="s">
        <v>2819</v>
      </c>
      <c r="B74" s="64">
        <v>1.71</v>
      </c>
      <c r="C74" s="64">
        <v>36.11</v>
      </c>
      <c r="D74" s="64">
        <v>21.94</v>
      </c>
      <c r="E74" s="64">
        <v>2.54</v>
      </c>
      <c r="F74" s="64">
        <v>11.3</v>
      </c>
      <c r="G74" s="64">
        <v>55.92</v>
      </c>
      <c r="H74" s="64">
        <v>26.45</v>
      </c>
      <c r="I74" s="64">
        <v>0.59</v>
      </c>
      <c r="J74" s="218" t="s">
        <v>36</v>
      </c>
      <c r="K74" s="218" t="s">
        <v>36</v>
      </c>
      <c r="L74" s="218" t="s">
        <v>36</v>
      </c>
      <c r="M74" s="218" t="s">
        <v>36</v>
      </c>
      <c r="N74" s="218" t="s">
        <v>36</v>
      </c>
      <c r="O74" s="64">
        <v>0</v>
      </c>
      <c r="P74" s="64">
        <v>0.44</v>
      </c>
      <c r="Q74" s="64">
        <v>23.49</v>
      </c>
      <c r="R74" s="198"/>
      <c r="S74" s="198"/>
      <c r="T74" s="198"/>
      <c r="U74" s="198"/>
    </row>
    <row r="75" spans="1:21" s="12" customFormat="1" x14ac:dyDescent="0.25">
      <c r="A75" s="211" t="s">
        <v>2820</v>
      </c>
      <c r="B75" s="64">
        <v>1.76</v>
      </c>
      <c r="C75" s="64">
        <v>35.42</v>
      </c>
      <c r="D75" s="64">
        <v>21.61</v>
      </c>
      <c r="E75" s="64">
        <v>2.5</v>
      </c>
      <c r="F75" s="64">
        <v>7.3</v>
      </c>
      <c r="G75" s="64">
        <v>55.65</v>
      </c>
      <c r="H75" s="64">
        <v>25.87</v>
      </c>
      <c r="I75" s="64">
        <v>0.59</v>
      </c>
      <c r="J75" s="218" t="s">
        <v>36</v>
      </c>
      <c r="K75" s="218" t="s">
        <v>36</v>
      </c>
      <c r="L75" s="218" t="s">
        <v>36</v>
      </c>
      <c r="M75" s="218" t="s">
        <v>36</v>
      </c>
      <c r="N75" s="218" t="s">
        <v>36</v>
      </c>
      <c r="O75" s="64">
        <v>0</v>
      </c>
      <c r="P75" s="64">
        <v>0.45</v>
      </c>
      <c r="Q75" s="64">
        <v>23.25</v>
      </c>
      <c r="R75" s="198"/>
      <c r="S75" s="198"/>
      <c r="T75" s="198"/>
      <c r="U75" s="198"/>
    </row>
    <row r="76" spans="1:21" s="12" customFormat="1" x14ac:dyDescent="0.25">
      <c r="A76" s="211" t="s">
        <v>2821</v>
      </c>
      <c r="B76" s="64">
        <v>1.67</v>
      </c>
      <c r="C76" s="64">
        <v>34.42</v>
      </c>
      <c r="D76" s="64">
        <v>20.98</v>
      </c>
      <c r="E76" s="64">
        <v>2.48</v>
      </c>
      <c r="F76" s="64">
        <v>7.57</v>
      </c>
      <c r="G76" s="64">
        <v>53.54</v>
      </c>
      <c r="H76" s="64">
        <v>22.17</v>
      </c>
      <c r="I76" s="64">
        <v>0.57999999999999996</v>
      </c>
      <c r="J76" s="218" t="s">
        <v>36</v>
      </c>
      <c r="K76" s="218" t="s">
        <v>36</v>
      </c>
      <c r="L76" s="218" t="s">
        <v>36</v>
      </c>
      <c r="M76" s="218" t="s">
        <v>36</v>
      </c>
      <c r="N76" s="218" t="s">
        <v>36</v>
      </c>
      <c r="O76" s="64">
        <v>0</v>
      </c>
      <c r="P76" s="64">
        <v>0.45</v>
      </c>
      <c r="Q76" s="64">
        <v>22.81</v>
      </c>
      <c r="R76" s="198"/>
      <c r="S76" s="198"/>
      <c r="T76" s="198"/>
      <c r="U76" s="198"/>
    </row>
    <row r="77" spans="1:21" s="12" customFormat="1" x14ac:dyDescent="0.25">
      <c r="A77" s="211" t="s">
        <v>2822</v>
      </c>
      <c r="B77" s="64">
        <v>1.66</v>
      </c>
      <c r="C77" s="64">
        <v>33.83</v>
      </c>
      <c r="D77" s="64">
        <v>20.65</v>
      </c>
      <c r="E77" s="64">
        <v>2.5</v>
      </c>
      <c r="F77" s="64">
        <v>10.73</v>
      </c>
      <c r="G77" s="64">
        <v>53.54</v>
      </c>
      <c r="H77" s="64">
        <v>22.17</v>
      </c>
      <c r="I77" s="64">
        <v>0.57999999999999996</v>
      </c>
      <c r="J77" s="218" t="s">
        <v>36</v>
      </c>
      <c r="K77" s="218" t="s">
        <v>36</v>
      </c>
      <c r="L77" s="218" t="s">
        <v>36</v>
      </c>
      <c r="M77" s="218" t="s">
        <v>36</v>
      </c>
      <c r="N77" s="218" t="s">
        <v>36</v>
      </c>
      <c r="O77" s="64">
        <v>0</v>
      </c>
      <c r="P77" s="64">
        <v>0.46</v>
      </c>
      <c r="Q77" s="64">
        <v>22.64</v>
      </c>
      <c r="R77" s="198"/>
      <c r="S77" s="198"/>
      <c r="T77" s="198"/>
      <c r="U77" s="198"/>
    </row>
    <row r="78" spans="1:21" s="12" customFormat="1" x14ac:dyDescent="0.25">
      <c r="A78" s="211" t="s">
        <v>2823</v>
      </c>
      <c r="B78" s="64">
        <v>1.82</v>
      </c>
      <c r="C78" s="64">
        <v>33</v>
      </c>
      <c r="D78" s="64">
        <v>20.309999999999999</v>
      </c>
      <c r="E78" s="64">
        <v>2.35</v>
      </c>
      <c r="F78" s="64">
        <v>19.190000000000001</v>
      </c>
      <c r="G78" s="64">
        <v>53.54</v>
      </c>
      <c r="H78" s="64">
        <v>22.17</v>
      </c>
      <c r="I78" s="64">
        <v>0.55000000000000004</v>
      </c>
      <c r="J78" s="218" t="s">
        <v>36</v>
      </c>
      <c r="K78" s="218" t="s">
        <v>36</v>
      </c>
      <c r="L78" s="218" t="s">
        <v>36</v>
      </c>
      <c r="M78" s="218" t="s">
        <v>36</v>
      </c>
      <c r="N78" s="218" t="s">
        <v>36</v>
      </c>
      <c r="O78" s="64">
        <v>0</v>
      </c>
      <c r="P78" s="64">
        <v>0.48</v>
      </c>
      <c r="Q78" s="64">
        <v>23.44</v>
      </c>
      <c r="R78" s="198"/>
      <c r="S78" s="198"/>
      <c r="T78" s="198"/>
      <c r="U78" s="198"/>
    </row>
    <row r="79" spans="1:21" s="12" customFormat="1" x14ac:dyDescent="0.25">
      <c r="A79" s="211" t="s">
        <v>2824</v>
      </c>
      <c r="B79" s="64">
        <v>3.14</v>
      </c>
      <c r="C79" s="64">
        <v>32.6</v>
      </c>
      <c r="D79" s="64">
        <v>21.16</v>
      </c>
      <c r="E79" s="64">
        <v>2.4300000000000002</v>
      </c>
      <c r="F79" s="64">
        <v>28.78</v>
      </c>
      <c r="G79" s="64">
        <v>53.49</v>
      </c>
      <c r="H79" s="64">
        <v>22.66</v>
      </c>
      <c r="I79" s="64">
        <v>0.64</v>
      </c>
      <c r="J79" s="218" t="s">
        <v>36</v>
      </c>
      <c r="K79" s="218" t="s">
        <v>36</v>
      </c>
      <c r="L79" s="218" t="s">
        <v>36</v>
      </c>
      <c r="M79" s="218" t="s">
        <v>36</v>
      </c>
      <c r="N79" s="218" t="s">
        <v>36</v>
      </c>
      <c r="O79" s="64">
        <v>0</v>
      </c>
      <c r="P79" s="64">
        <v>0.48</v>
      </c>
      <c r="Q79" s="64">
        <v>23.17</v>
      </c>
      <c r="R79" s="198"/>
      <c r="S79" s="198"/>
      <c r="T79" s="198"/>
      <c r="U79" s="198"/>
    </row>
    <row r="80" spans="1:21" s="12" customFormat="1" x14ac:dyDescent="0.25">
      <c r="A80" s="211" t="s">
        <v>2825</v>
      </c>
      <c r="B80" s="64">
        <v>3.74</v>
      </c>
      <c r="C80" s="64">
        <v>32.380000000000003</v>
      </c>
      <c r="D80" s="64">
        <v>21.52</v>
      </c>
      <c r="E80" s="64">
        <v>2.77</v>
      </c>
      <c r="F80" s="64">
        <v>28.99</v>
      </c>
      <c r="G80" s="64">
        <v>53.11</v>
      </c>
      <c r="H80" s="64">
        <v>25.82</v>
      </c>
      <c r="I80" s="64">
        <v>0.53</v>
      </c>
      <c r="J80" s="218" t="s">
        <v>36</v>
      </c>
      <c r="K80" s="218" t="s">
        <v>36</v>
      </c>
      <c r="L80" s="218" t="s">
        <v>36</v>
      </c>
      <c r="M80" s="218" t="s">
        <v>36</v>
      </c>
      <c r="N80" s="218" t="s">
        <v>36</v>
      </c>
      <c r="O80" s="64">
        <v>0</v>
      </c>
      <c r="P80" s="64">
        <v>0.5</v>
      </c>
      <c r="Q80" s="64">
        <v>22.53</v>
      </c>
      <c r="R80" s="198"/>
      <c r="S80" s="198"/>
      <c r="T80" s="198"/>
      <c r="U80" s="198"/>
    </row>
    <row r="81" spans="1:26" s="12" customFormat="1" x14ac:dyDescent="0.25">
      <c r="A81" s="211" t="s">
        <v>2826</v>
      </c>
      <c r="B81" s="64">
        <v>4.01</v>
      </c>
      <c r="C81" s="64">
        <v>32.36</v>
      </c>
      <c r="D81" s="64">
        <v>21.73</v>
      </c>
      <c r="E81" s="64">
        <v>2.13</v>
      </c>
      <c r="F81" s="64">
        <v>35.04</v>
      </c>
      <c r="G81" s="64">
        <v>53.11</v>
      </c>
      <c r="H81" s="64">
        <v>25.82</v>
      </c>
      <c r="I81" s="64">
        <v>0.67</v>
      </c>
      <c r="J81" s="218" t="s">
        <v>36</v>
      </c>
      <c r="K81" s="218" t="s">
        <v>36</v>
      </c>
      <c r="L81" s="218" t="s">
        <v>36</v>
      </c>
      <c r="M81" s="218" t="s">
        <v>36</v>
      </c>
      <c r="N81" s="218" t="s">
        <v>36</v>
      </c>
      <c r="O81" s="64">
        <v>0</v>
      </c>
      <c r="P81" s="64">
        <v>0.53</v>
      </c>
      <c r="Q81" s="64">
        <v>22.44</v>
      </c>
      <c r="R81" s="198"/>
      <c r="S81" s="198"/>
      <c r="T81" s="198"/>
      <c r="U81" s="198"/>
    </row>
    <row r="82" spans="1:26" s="12" customFormat="1" x14ac:dyDescent="0.25">
      <c r="A82" s="211" t="s">
        <v>2827</v>
      </c>
      <c r="B82" s="64">
        <v>4.49</v>
      </c>
      <c r="C82" s="64">
        <v>33.28</v>
      </c>
      <c r="D82" s="64">
        <v>22.61</v>
      </c>
      <c r="E82" s="64">
        <v>3.05</v>
      </c>
      <c r="F82" s="64">
        <v>16.02</v>
      </c>
      <c r="G82" s="64">
        <v>53.11</v>
      </c>
      <c r="H82" s="64">
        <v>25.82</v>
      </c>
      <c r="I82" s="64">
        <v>0.59</v>
      </c>
      <c r="J82" s="218" t="s">
        <v>36</v>
      </c>
      <c r="K82" s="218" t="s">
        <v>36</v>
      </c>
      <c r="L82" s="218" t="s">
        <v>36</v>
      </c>
      <c r="M82" s="218" t="s">
        <v>36</v>
      </c>
      <c r="N82" s="218" t="s">
        <v>36</v>
      </c>
      <c r="O82" s="64">
        <v>0</v>
      </c>
      <c r="P82" s="64">
        <v>0.56999999999999995</v>
      </c>
      <c r="Q82" s="64">
        <v>22.32</v>
      </c>
      <c r="R82" s="198"/>
      <c r="S82" s="198"/>
      <c r="T82" s="198"/>
      <c r="U82" s="198"/>
    </row>
    <row r="83" spans="1:26" s="12" customFormat="1" x14ac:dyDescent="0.25">
      <c r="A83" s="211" t="s">
        <v>2828</v>
      </c>
      <c r="B83" s="64">
        <v>3.84</v>
      </c>
      <c r="C83" s="64">
        <v>39.81</v>
      </c>
      <c r="D83" s="64">
        <v>25.7</v>
      </c>
      <c r="E83" s="64">
        <v>2.48</v>
      </c>
      <c r="F83" s="64">
        <v>18.940000000000001</v>
      </c>
      <c r="G83" s="64">
        <v>53.11</v>
      </c>
      <c r="H83" s="64">
        <v>27.1</v>
      </c>
      <c r="I83" s="64">
        <v>0.59</v>
      </c>
      <c r="J83" s="218" t="s">
        <v>36</v>
      </c>
      <c r="K83" s="218" t="s">
        <v>36</v>
      </c>
      <c r="L83" s="218" t="s">
        <v>36</v>
      </c>
      <c r="M83" s="218" t="s">
        <v>36</v>
      </c>
      <c r="N83" s="218" t="s">
        <v>36</v>
      </c>
      <c r="O83" s="64">
        <v>0</v>
      </c>
      <c r="P83" s="64">
        <v>0.54</v>
      </c>
      <c r="Q83" s="64">
        <v>21.91</v>
      </c>
      <c r="R83" s="198"/>
      <c r="S83" s="198"/>
      <c r="T83" s="198"/>
      <c r="U83" s="198"/>
    </row>
    <row r="84" spans="1:26" s="12" customFormat="1" x14ac:dyDescent="0.25">
      <c r="A84" s="211" t="s">
        <v>2829</v>
      </c>
      <c r="B84" s="64">
        <v>2.2400000000000002</v>
      </c>
      <c r="C84" s="64">
        <v>40.44</v>
      </c>
      <c r="D84" s="64">
        <v>24.76</v>
      </c>
      <c r="E84" s="64">
        <v>2.5299999999999998</v>
      </c>
      <c r="F84" s="64">
        <v>15.24</v>
      </c>
      <c r="G84" s="64">
        <v>376.4</v>
      </c>
      <c r="H84" s="64">
        <v>35.35</v>
      </c>
      <c r="I84" s="64">
        <v>0.63</v>
      </c>
      <c r="J84" s="218" t="s">
        <v>36</v>
      </c>
      <c r="K84" s="218" t="s">
        <v>36</v>
      </c>
      <c r="L84" s="218" t="s">
        <v>36</v>
      </c>
      <c r="M84" s="218" t="s">
        <v>36</v>
      </c>
      <c r="N84" s="218" t="s">
        <v>36</v>
      </c>
      <c r="O84" s="64">
        <v>0</v>
      </c>
      <c r="P84" s="64">
        <v>0.48</v>
      </c>
      <c r="Q84" s="64">
        <v>22.05</v>
      </c>
      <c r="R84" s="198"/>
      <c r="S84" s="198"/>
      <c r="T84" s="198"/>
      <c r="U84" s="198"/>
    </row>
    <row r="85" spans="1:26" s="12" customFormat="1" x14ac:dyDescent="0.25">
      <c r="A85" s="211" t="s">
        <v>2830</v>
      </c>
      <c r="B85" s="64">
        <v>1.78</v>
      </c>
      <c r="C85" s="64">
        <v>38.65</v>
      </c>
      <c r="D85" s="64">
        <v>23.4</v>
      </c>
      <c r="E85" s="64">
        <v>2.2999999999999998</v>
      </c>
      <c r="F85" s="64">
        <v>11.35</v>
      </c>
      <c r="G85" s="64">
        <v>376.4</v>
      </c>
      <c r="H85" s="64">
        <v>35.35</v>
      </c>
      <c r="I85" s="64">
        <v>0.55000000000000004</v>
      </c>
      <c r="J85" s="218" t="s">
        <v>36</v>
      </c>
      <c r="K85" s="218" t="s">
        <v>36</v>
      </c>
      <c r="L85" s="218" t="s">
        <v>36</v>
      </c>
      <c r="M85" s="218" t="s">
        <v>36</v>
      </c>
      <c r="N85" s="218" t="s">
        <v>36</v>
      </c>
      <c r="O85" s="64">
        <v>0</v>
      </c>
      <c r="P85" s="64">
        <v>0.46</v>
      </c>
      <c r="Q85" s="64">
        <v>22.52</v>
      </c>
      <c r="R85" s="198"/>
      <c r="S85" s="198"/>
      <c r="T85" s="198"/>
      <c r="U85" s="198"/>
    </row>
    <row r="86" spans="1:26" s="12" customFormat="1" x14ac:dyDescent="0.25">
      <c r="A86" s="211" t="s">
        <v>2831</v>
      </c>
      <c r="B86" s="64">
        <v>1.69</v>
      </c>
      <c r="C86" s="64">
        <v>37.08</v>
      </c>
      <c r="D86" s="64">
        <v>22.47</v>
      </c>
      <c r="E86" s="64">
        <v>2.1800000000000002</v>
      </c>
      <c r="F86" s="64">
        <v>9.3800000000000008</v>
      </c>
      <c r="G86" s="64">
        <v>376.4</v>
      </c>
      <c r="H86" s="64">
        <v>35.35</v>
      </c>
      <c r="I86" s="64">
        <v>0.61</v>
      </c>
      <c r="J86" s="218" t="s">
        <v>36</v>
      </c>
      <c r="K86" s="218" t="s">
        <v>36</v>
      </c>
      <c r="L86" s="218" t="s">
        <v>36</v>
      </c>
      <c r="M86" s="218" t="s">
        <v>36</v>
      </c>
      <c r="N86" s="218" t="s">
        <v>36</v>
      </c>
      <c r="O86" s="64">
        <v>0</v>
      </c>
      <c r="P86" s="64">
        <v>0.49</v>
      </c>
      <c r="Q86" s="64">
        <v>22.87</v>
      </c>
      <c r="R86" s="198"/>
      <c r="S86" s="198"/>
      <c r="T86" s="198"/>
      <c r="U86" s="198"/>
    </row>
    <row r="87" spans="1:26" s="12" customFormat="1" x14ac:dyDescent="0.25">
      <c r="A87" s="211" t="s">
        <v>2832</v>
      </c>
      <c r="B87" s="64">
        <v>1.76</v>
      </c>
      <c r="C87" s="64">
        <v>35.119999999999997</v>
      </c>
      <c r="D87" s="64">
        <v>21.44</v>
      </c>
      <c r="E87" s="64">
        <v>2.21</v>
      </c>
      <c r="F87" s="64">
        <v>7.24</v>
      </c>
      <c r="G87" s="214" t="s">
        <v>42</v>
      </c>
      <c r="H87" s="214" t="s">
        <v>42</v>
      </c>
      <c r="I87" s="64">
        <v>0.57999999999999996</v>
      </c>
      <c r="J87" s="218" t="s">
        <v>36</v>
      </c>
      <c r="K87" s="218" t="s">
        <v>36</v>
      </c>
      <c r="L87" s="218" t="s">
        <v>36</v>
      </c>
      <c r="M87" s="218" t="s">
        <v>36</v>
      </c>
      <c r="N87" s="218" t="s">
        <v>36</v>
      </c>
      <c r="O87" s="64">
        <v>0</v>
      </c>
      <c r="P87" s="64">
        <v>0.5</v>
      </c>
      <c r="Q87" s="64">
        <v>23.32</v>
      </c>
      <c r="R87" s="198"/>
      <c r="S87" s="198"/>
      <c r="T87" s="198"/>
      <c r="U87" s="198"/>
    </row>
    <row r="88" spans="1:26" s="12" customFormat="1" x14ac:dyDescent="0.25">
      <c r="A88" s="211" t="s">
        <v>2833</v>
      </c>
      <c r="B88" s="64">
        <v>1.62</v>
      </c>
      <c r="C88" s="64">
        <v>33.450000000000003</v>
      </c>
      <c r="D88" s="64">
        <v>20.41</v>
      </c>
      <c r="E88" s="64">
        <v>1.1499999999999999</v>
      </c>
      <c r="F88" s="64">
        <v>5.98</v>
      </c>
      <c r="G88" s="214" t="s">
        <v>42</v>
      </c>
      <c r="H88" s="214" t="s">
        <v>42</v>
      </c>
      <c r="I88" s="64">
        <v>0.81</v>
      </c>
      <c r="J88" s="218" t="s">
        <v>36</v>
      </c>
      <c r="K88" s="218" t="s">
        <v>36</v>
      </c>
      <c r="L88" s="218" t="s">
        <v>36</v>
      </c>
      <c r="M88" s="218" t="s">
        <v>36</v>
      </c>
      <c r="N88" s="218" t="s">
        <v>36</v>
      </c>
      <c r="O88" s="64">
        <v>0</v>
      </c>
      <c r="P88" s="64">
        <v>0.48</v>
      </c>
      <c r="Q88" s="64">
        <v>23.77</v>
      </c>
      <c r="R88" s="198"/>
      <c r="S88" s="198"/>
      <c r="T88" s="198"/>
      <c r="U88" s="198"/>
    </row>
    <row r="89" spans="1:26" s="12" customFormat="1" x14ac:dyDescent="0.25">
      <c r="A89" s="211" t="s">
        <v>2834</v>
      </c>
      <c r="B89" s="64">
        <v>1.42</v>
      </c>
      <c r="C89" s="64">
        <v>31.85</v>
      </c>
      <c r="D89" s="64">
        <v>19.36</v>
      </c>
      <c r="E89" s="64">
        <v>1.84</v>
      </c>
      <c r="F89" s="64">
        <v>13.92</v>
      </c>
      <c r="G89" s="214" t="s">
        <v>42</v>
      </c>
      <c r="H89" s="214" t="s">
        <v>42</v>
      </c>
      <c r="I89" s="64">
        <v>0.51</v>
      </c>
      <c r="J89" s="218" t="s">
        <v>36</v>
      </c>
      <c r="K89" s="218" t="s">
        <v>36</v>
      </c>
      <c r="L89" s="218" t="s">
        <v>36</v>
      </c>
      <c r="M89" s="218" t="s">
        <v>36</v>
      </c>
      <c r="N89" s="218" t="s">
        <v>36</v>
      </c>
      <c r="O89" s="64">
        <v>0</v>
      </c>
      <c r="P89" s="64">
        <v>0.45</v>
      </c>
      <c r="Q89" s="64">
        <v>24.24</v>
      </c>
      <c r="R89" s="198"/>
      <c r="S89" s="198"/>
      <c r="T89" s="198"/>
      <c r="U89" s="198"/>
    </row>
    <row r="90" spans="1:26" s="12" customFormat="1" x14ac:dyDescent="0.25">
      <c r="A90" s="211" t="s">
        <v>2835</v>
      </c>
      <c r="B90" s="64">
        <v>1.54</v>
      </c>
      <c r="C90" s="64">
        <v>29.47</v>
      </c>
      <c r="D90" s="64">
        <v>18.14</v>
      </c>
      <c r="E90" s="64">
        <v>1.55</v>
      </c>
      <c r="F90" s="64">
        <v>19.690000000000001</v>
      </c>
      <c r="G90" s="214" t="s">
        <v>42</v>
      </c>
      <c r="H90" s="214" t="s">
        <v>42</v>
      </c>
      <c r="I90" s="64">
        <v>0.57999999999999996</v>
      </c>
      <c r="J90" s="218" t="s">
        <v>36</v>
      </c>
      <c r="K90" s="218" t="s">
        <v>36</v>
      </c>
      <c r="L90" s="218" t="s">
        <v>36</v>
      </c>
      <c r="M90" s="218" t="s">
        <v>36</v>
      </c>
      <c r="N90" s="218" t="s">
        <v>36</v>
      </c>
      <c r="O90" s="64">
        <v>0</v>
      </c>
      <c r="P90" s="64">
        <v>0.44</v>
      </c>
      <c r="Q90" s="64">
        <v>24.96</v>
      </c>
      <c r="R90" s="198"/>
      <c r="S90" s="198"/>
      <c r="T90" s="198"/>
      <c r="U90" s="198"/>
    </row>
    <row r="91" spans="1:26" s="12" customFormat="1" x14ac:dyDescent="0.25">
      <c r="A91" s="211" t="s">
        <v>2836</v>
      </c>
      <c r="B91" s="64">
        <v>2.0699999999999998</v>
      </c>
      <c r="C91" s="64">
        <v>28.74</v>
      </c>
      <c r="D91" s="64">
        <v>18.170000000000002</v>
      </c>
      <c r="E91" s="64">
        <v>1.8</v>
      </c>
      <c r="F91" s="64">
        <v>26.86</v>
      </c>
      <c r="G91" s="214" t="s">
        <v>42</v>
      </c>
      <c r="H91" s="214" t="s">
        <v>42</v>
      </c>
      <c r="I91" s="64">
        <v>0.55000000000000004</v>
      </c>
      <c r="J91" s="218" t="s">
        <v>36</v>
      </c>
      <c r="K91" s="218" t="s">
        <v>36</v>
      </c>
      <c r="L91" s="218" t="s">
        <v>36</v>
      </c>
      <c r="M91" s="218" t="s">
        <v>36</v>
      </c>
      <c r="N91" s="218" t="s">
        <v>36</v>
      </c>
      <c r="O91" s="64">
        <v>0</v>
      </c>
      <c r="P91" s="64">
        <v>0.45</v>
      </c>
      <c r="Q91" s="64">
        <v>24.86</v>
      </c>
      <c r="R91" s="198"/>
      <c r="S91" s="198"/>
      <c r="T91" s="198"/>
      <c r="U91" s="198"/>
    </row>
    <row r="92" spans="1:26" s="12" customFormat="1" x14ac:dyDescent="0.25">
      <c r="A92" s="211" t="s">
        <v>2837</v>
      </c>
      <c r="B92" s="64">
        <v>2.86</v>
      </c>
      <c r="C92" s="64">
        <v>28.99</v>
      </c>
      <c r="D92" s="64">
        <v>18.93</v>
      </c>
      <c r="E92" s="64">
        <v>2.16</v>
      </c>
      <c r="F92" s="64">
        <v>23.06</v>
      </c>
      <c r="G92" s="214" t="s">
        <v>42</v>
      </c>
      <c r="H92" s="214" t="s">
        <v>42</v>
      </c>
      <c r="I92" s="64">
        <v>0.55000000000000004</v>
      </c>
      <c r="J92" s="218" t="s">
        <v>36</v>
      </c>
      <c r="K92" s="218" t="s">
        <v>36</v>
      </c>
      <c r="L92" s="218" t="s">
        <v>36</v>
      </c>
      <c r="M92" s="218" t="s">
        <v>36</v>
      </c>
      <c r="N92" s="218" t="s">
        <v>36</v>
      </c>
      <c r="O92" s="64">
        <v>0</v>
      </c>
      <c r="P92" s="64">
        <v>0.47</v>
      </c>
      <c r="Q92" s="64">
        <v>24.99</v>
      </c>
      <c r="R92" s="198"/>
      <c r="S92" s="198"/>
      <c r="T92" s="198"/>
      <c r="U92" s="198"/>
    </row>
    <row r="93" spans="1:26" s="12" customFormat="1" x14ac:dyDescent="0.25">
      <c r="A93" s="211" t="s">
        <v>2838</v>
      </c>
      <c r="B93" s="64">
        <v>3.54</v>
      </c>
      <c r="C93" s="64">
        <v>29.71</v>
      </c>
      <c r="D93" s="64">
        <v>19.88</v>
      </c>
      <c r="E93" s="64">
        <v>2.33</v>
      </c>
      <c r="F93" s="64">
        <v>18.71</v>
      </c>
      <c r="G93" s="214" t="s">
        <v>42</v>
      </c>
      <c r="H93" s="214" t="s">
        <v>42</v>
      </c>
      <c r="I93" s="64">
        <v>0.52</v>
      </c>
      <c r="J93" s="218" t="s">
        <v>36</v>
      </c>
      <c r="K93" s="218" t="s">
        <v>36</v>
      </c>
      <c r="L93" s="218" t="s">
        <v>36</v>
      </c>
      <c r="M93" s="218" t="s">
        <v>36</v>
      </c>
      <c r="N93" s="218" t="s">
        <v>36</v>
      </c>
      <c r="O93" s="64">
        <v>0</v>
      </c>
      <c r="P93" s="64">
        <v>0.47</v>
      </c>
      <c r="Q93" s="64">
        <v>25.36</v>
      </c>
      <c r="R93" s="198"/>
      <c r="S93" s="198"/>
      <c r="T93" s="198"/>
      <c r="U93" s="198"/>
    </row>
    <row r="94" spans="1:26" s="12" customFormat="1" x14ac:dyDescent="0.25">
      <c r="A94" s="211" t="s">
        <v>2839</v>
      </c>
      <c r="B94" s="64">
        <v>4.22</v>
      </c>
      <c r="C94" s="64">
        <v>30.77</v>
      </c>
      <c r="D94" s="64">
        <v>21.01</v>
      </c>
      <c r="E94" s="64">
        <v>2.3199999999999998</v>
      </c>
      <c r="F94" s="64">
        <v>6.52</v>
      </c>
      <c r="G94" s="214" t="s">
        <v>42</v>
      </c>
      <c r="H94" s="214" t="s">
        <v>42</v>
      </c>
      <c r="I94" s="64">
        <v>0.74</v>
      </c>
      <c r="J94" s="218" t="s">
        <v>36</v>
      </c>
      <c r="K94" s="218" t="s">
        <v>36</v>
      </c>
      <c r="L94" s="218" t="s">
        <v>36</v>
      </c>
      <c r="M94" s="218" t="s">
        <v>36</v>
      </c>
      <c r="N94" s="218" t="s">
        <v>36</v>
      </c>
      <c r="O94" s="64">
        <v>0</v>
      </c>
      <c r="P94" s="64">
        <v>0.49</v>
      </c>
      <c r="Q94" s="64">
        <v>25.4</v>
      </c>
      <c r="R94" s="198"/>
      <c r="S94" s="198"/>
      <c r="T94" s="198"/>
      <c r="U94" s="198"/>
    </row>
    <row r="95" spans="1:26" s="12" customFormat="1" x14ac:dyDescent="0.25">
      <c r="A95" s="211" t="s">
        <v>2840</v>
      </c>
      <c r="B95" s="64">
        <v>4.4000000000000004</v>
      </c>
      <c r="C95" s="64">
        <v>32.39</v>
      </c>
      <c r="D95" s="64">
        <v>22.05</v>
      </c>
      <c r="E95" s="64">
        <v>2.2799999999999998</v>
      </c>
      <c r="F95" s="64">
        <v>5.9</v>
      </c>
      <c r="G95" s="214" t="s">
        <v>42</v>
      </c>
      <c r="H95" s="214" t="s">
        <v>42</v>
      </c>
      <c r="I95" s="64">
        <v>0.61</v>
      </c>
      <c r="J95" s="218" t="s">
        <v>36</v>
      </c>
      <c r="K95" s="218" t="s">
        <v>36</v>
      </c>
      <c r="L95" s="218" t="s">
        <v>36</v>
      </c>
      <c r="M95" s="218" t="s">
        <v>36</v>
      </c>
      <c r="N95" s="218" t="s">
        <v>36</v>
      </c>
      <c r="O95" s="64">
        <v>0</v>
      </c>
      <c r="P95" s="64">
        <v>0.52</v>
      </c>
      <c r="Q95" s="64">
        <v>25.66</v>
      </c>
      <c r="R95" s="198"/>
      <c r="S95" s="198"/>
      <c r="T95" s="198"/>
      <c r="U95" s="198"/>
    </row>
    <row r="96" spans="1:26" s="12" customFormat="1" x14ac:dyDescent="0.25">
      <c r="A96" s="211" t="s">
        <v>2841</v>
      </c>
      <c r="B96" s="64">
        <v>4.63</v>
      </c>
      <c r="C96" s="64">
        <v>34.630000000000003</v>
      </c>
      <c r="D96" s="64">
        <v>23.47</v>
      </c>
      <c r="E96" s="64">
        <v>2.0499999999999998</v>
      </c>
      <c r="F96" s="64">
        <v>5.13</v>
      </c>
      <c r="G96" s="214" t="s">
        <v>42</v>
      </c>
      <c r="H96" s="214" t="s">
        <v>42</v>
      </c>
      <c r="I96" s="64">
        <v>0.56000000000000005</v>
      </c>
      <c r="J96" s="218" t="s">
        <v>36</v>
      </c>
      <c r="K96" s="218" t="s">
        <v>36</v>
      </c>
      <c r="L96" s="218" t="s">
        <v>36</v>
      </c>
      <c r="M96" s="218" t="s">
        <v>36</v>
      </c>
      <c r="N96" s="218" t="s">
        <v>36</v>
      </c>
      <c r="O96" s="64">
        <v>0</v>
      </c>
      <c r="P96" s="64">
        <v>0.53</v>
      </c>
      <c r="Q96" s="64">
        <v>26.11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2842</v>
      </c>
      <c r="B97" s="64">
        <v>3.96</v>
      </c>
      <c r="C97" s="64">
        <v>35.68</v>
      </c>
      <c r="D97" s="64">
        <v>23.51</v>
      </c>
      <c r="E97" s="64">
        <v>1.79</v>
      </c>
      <c r="F97" s="64">
        <v>4.83</v>
      </c>
      <c r="G97" s="214" t="s">
        <v>42</v>
      </c>
      <c r="H97" s="214" t="s">
        <v>42</v>
      </c>
      <c r="I97" s="64">
        <v>0.55000000000000004</v>
      </c>
      <c r="J97" s="218" t="s">
        <v>36</v>
      </c>
      <c r="K97" s="218" t="s">
        <v>36</v>
      </c>
      <c r="L97" s="218" t="s">
        <v>36</v>
      </c>
      <c r="M97" s="218" t="s">
        <v>36</v>
      </c>
      <c r="N97" s="218" t="s">
        <v>36</v>
      </c>
      <c r="O97" s="64">
        <v>0</v>
      </c>
      <c r="P97" s="64">
        <v>0.53</v>
      </c>
      <c r="Q97" s="64">
        <v>26.3</v>
      </c>
      <c r="R97" s="198"/>
      <c r="S97" s="198"/>
      <c r="T97" s="198"/>
      <c r="U97" s="198"/>
    </row>
    <row r="98" spans="1:33" s="12" customFormat="1" x14ac:dyDescent="0.25">
      <c r="A98" s="211" t="s">
        <v>2843</v>
      </c>
      <c r="B98" s="64">
        <v>3.12</v>
      </c>
      <c r="C98" s="64">
        <v>35.39</v>
      </c>
      <c r="D98" s="64">
        <v>22.68</v>
      </c>
      <c r="E98" s="64">
        <v>2.06</v>
      </c>
      <c r="F98" s="64">
        <v>5.16</v>
      </c>
      <c r="G98" s="214" t="s">
        <v>42</v>
      </c>
      <c r="H98" s="214" t="s">
        <v>42</v>
      </c>
      <c r="I98" s="64">
        <v>0.55000000000000004</v>
      </c>
      <c r="J98" s="218" t="s">
        <v>36</v>
      </c>
      <c r="K98" s="218" t="s">
        <v>36</v>
      </c>
      <c r="L98" s="218" t="s">
        <v>36</v>
      </c>
      <c r="M98" s="218" t="s">
        <v>36</v>
      </c>
      <c r="N98" s="218" t="s">
        <v>36</v>
      </c>
      <c r="O98" s="64">
        <v>0</v>
      </c>
      <c r="P98" s="64">
        <v>0.5</v>
      </c>
      <c r="Q98" s="64">
        <v>26.28</v>
      </c>
      <c r="R98" s="198"/>
      <c r="S98" s="198"/>
      <c r="T98" s="198"/>
      <c r="U98" s="198"/>
    </row>
    <row r="99" spans="1:33" s="12" customFormat="1" x14ac:dyDescent="0.25">
      <c r="A99" s="211" t="s">
        <v>2844</v>
      </c>
      <c r="B99" s="64">
        <v>2.64</v>
      </c>
      <c r="C99" s="64">
        <v>34.99</v>
      </c>
      <c r="D99" s="64">
        <v>22.07</v>
      </c>
      <c r="E99" s="64">
        <v>1.79</v>
      </c>
      <c r="F99" s="64">
        <v>5.35</v>
      </c>
      <c r="G99" s="64">
        <v>27.17</v>
      </c>
      <c r="H99" s="64">
        <v>18.579999999999998</v>
      </c>
      <c r="I99" s="64">
        <v>0.6</v>
      </c>
      <c r="J99" s="218" t="s">
        <v>36</v>
      </c>
      <c r="K99" s="218" t="s">
        <v>36</v>
      </c>
      <c r="L99" s="218" t="s">
        <v>36</v>
      </c>
      <c r="M99" s="218" t="s">
        <v>36</v>
      </c>
      <c r="N99" s="218" t="s">
        <v>36</v>
      </c>
      <c r="O99" s="64">
        <v>0</v>
      </c>
      <c r="P99" s="64">
        <v>0.49</v>
      </c>
      <c r="Q99" s="64">
        <v>26.28</v>
      </c>
      <c r="R99" s="198"/>
      <c r="S99" s="198"/>
      <c r="T99" s="198"/>
      <c r="U99" s="198"/>
    </row>
    <row r="100" spans="1:33" s="12" customFormat="1" x14ac:dyDescent="0.25">
      <c r="A100" s="211" t="s">
        <v>2845</v>
      </c>
      <c r="B100" s="64">
        <v>2.29</v>
      </c>
      <c r="C100" s="64">
        <v>34.14</v>
      </c>
      <c r="D100" s="64">
        <v>21.33</v>
      </c>
      <c r="E100" s="64">
        <v>1.46</v>
      </c>
      <c r="F100" s="64">
        <v>6.46</v>
      </c>
      <c r="G100" s="64">
        <v>243.25</v>
      </c>
      <c r="H100" s="64">
        <v>16.579999999999998</v>
      </c>
      <c r="I100" s="64">
        <v>0.55000000000000004</v>
      </c>
      <c r="J100" s="218" t="s">
        <v>36</v>
      </c>
      <c r="K100" s="218" t="s">
        <v>36</v>
      </c>
      <c r="L100" s="218" t="s">
        <v>36</v>
      </c>
      <c r="M100" s="218" t="s">
        <v>36</v>
      </c>
      <c r="N100" s="218" t="s">
        <v>36</v>
      </c>
      <c r="O100" s="64">
        <v>0</v>
      </c>
      <c r="P100" s="64">
        <v>0.47</v>
      </c>
      <c r="Q100" s="64">
        <v>26.46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2846</v>
      </c>
      <c r="B101" s="64">
        <v>2.13</v>
      </c>
      <c r="C101" s="64">
        <v>32.74</v>
      </c>
      <c r="D101" s="64">
        <v>20.43</v>
      </c>
      <c r="E101" s="64">
        <v>2.2400000000000002</v>
      </c>
      <c r="F101" s="64">
        <v>23.17</v>
      </c>
      <c r="G101" s="64">
        <v>243.25</v>
      </c>
      <c r="H101" s="64">
        <v>16.579999999999998</v>
      </c>
      <c r="I101" s="64">
        <v>0.71</v>
      </c>
      <c r="J101" s="218" t="s">
        <v>36</v>
      </c>
      <c r="K101" s="218" t="s">
        <v>36</v>
      </c>
      <c r="L101" s="218" t="s">
        <v>36</v>
      </c>
      <c r="M101" s="218" t="s">
        <v>36</v>
      </c>
      <c r="N101" s="218" t="s">
        <v>36</v>
      </c>
      <c r="O101" s="64">
        <v>0</v>
      </c>
      <c r="P101" s="64">
        <v>0.44</v>
      </c>
      <c r="Q101" s="64">
        <v>27.2</v>
      </c>
      <c r="R101" s="198"/>
      <c r="S101" s="198"/>
      <c r="T101" s="198"/>
      <c r="U101" s="198"/>
    </row>
    <row r="102" spans="1:33" s="12" customFormat="1" x14ac:dyDescent="0.25">
      <c r="A102" s="211" t="s">
        <v>2847</v>
      </c>
      <c r="B102" s="64">
        <v>2.25</v>
      </c>
      <c r="C102" s="64">
        <v>30.77</v>
      </c>
      <c r="D102" s="64">
        <v>19.43</v>
      </c>
      <c r="E102" s="64">
        <v>1.74</v>
      </c>
      <c r="F102" s="64">
        <v>25.4</v>
      </c>
      <c r="G102" s="64">
        <v>243.25</v>
      </c>
      <c r="H102" s="64">
        <v>16.579999999999998</v>
      </c>
      <c r="I102" s="64">
        <v>0.67</v>
      </c>
      <c r="J102" s="218" t="s">
        <v>36</v>
      </c>
      <c r="K102" s="218" t="s">
        <v>36</v>
      </c>
      <c r="L102" s="218" t="s">
        <v>36</v>
      </c>
      <c r="M102" s="218" t="s">
        <v>36</v>
      </c>
      <c r="N102" s="218" t="s">
        <v>36</v>
      </c>
      <c r="O102" s="64">
        <v>0</v>
      </c>
      <c r="P102" s="64">
        <v>0.44</v>
      </c>
      <c r="Q102" s="64">
        <v>27.3</v>
      </c>
      <c r="R102" s="198"/>
      <c r="S102" s="198"/>
      <c r="T102" s="198"/>
      <c r="U102" s="198"/>
    </row>
    <row r="103" spans="1:33" s="12" customFormat="1" x14ac:dyDescent="0.25">
      <c r="A103" s="211" t="s">
        <v>2848</v>
      </c>
      <c r="B103" s="64">
        <v>2.5299999999999998</v>
      </c>
      <c r="C103" s="64">
        <v>29.57</v>
      </c>
      <c r="D103" s="64">
        <v>18.989999999999998</v>
      </c>
      <c r="E103" s="64">
        <v>1.7</v>
      </c>
      <c r="F103" s="64">
        <v>21.13</v>
      </c>
      <c r="G103" s="64">
        <v>220.44</v>
      </c>
      <c r="H103" s="64">
        <v>16.22</v>
      </c>
      <c r="I103" s="64">
        <v>0.46</v>
      </c>
      <c r="J103" s="218" t="s">
        <v>36</v>
      </c>
      <c r="K103" s="218" t="s">
        <v>36</v>
      </c>
      <c r="L103" s="218" t="s">
        <v>36</v>
      </c>
      <c r="M103" s="218" t="s">
        <v>36</v>
      </c>
      <c r="N103" s="218" t="s">
        <v>36</v>
      </c>
      <c r="O103" s="64">
        <v>0</v>
      </c>
      <c r="P103" s="64">
        <v>0.43</v>
      </c>
      <c r="Q103" s="64">
        <v>26.95</v>
      </c>
      <c r="R103" s="198"/>
      <c r="S103" s="198"/>
      <c r="T103" s="198"/>
      <c r="U103" s="198"/>
    </row>
    <row r="104" spans="1:33" s="12" customFormat="1" x14ac:dyDescent="0.25">
      <c r="A104" s="211" t="s">
        <v>2849</v>
      </c>
      <c r="B104" s="64">
        <v>2.75</v>
      </c>
      <c r="C104" s="64">
        <v>28.47</v>
      </c>
      <c r="D104" s="64">
        <v>18.559999999999999</v>
      </c>
      <c r="E104" s="64">
        <v>0.69</v>
      </c>
      <c r="F104" s="64">
        <v>23.46</v>
      </c>
      <c r="G104" s="64">
        <v>38.020000000000003</v>
      </c>
      <c r="H104" s="64">
        <v>13.91</v>
      </c>
      <c r="I104" s="64">
        <v>0.52</v>
      </c>
      <c r="J104" s="218" t="s">
        <v>36</v>
      </c>
      <c r="K104" s="218" t="s">
        <v>36</v>
      </c>
      <c r="L104" s="218" t="s">
        <v>36</v>
      </c>
      <c r="M104" s="218" t="s">
        <v>36</v>
      </c>
      <c r="N104" s="218" t="s">
        <v>36</v>
      </c>
      <c r="O104" s="64">
        <v>0</v>
      </c>
      <c r="P104" s="64">
        <v>0.42</v>
      </c>
      <c r="Q104" s="64">
        <v>27.08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1.42</v>
      </c>
      <c r="C106" s="67">
        <f>MIN(C9:C104)</f>
        <v>28.47</v>
      </c>
      <c r="D106" s="67">
        <f t="shared" ref="D106:Q106" si="0">MIN(D9:D104)</f>
        <v>18.14</v>
      </c>
      <c r="E106" s="67">
        <f t="shared" si="0"/>
        <v>0.69</v>
      </c>
      <c r="F106" s="67">
        <f t="shared" si="0"/>
        <v>3.14</v>
      </c>
      <c r="G106" s="67">
        <f t="shared" si="0"/>
        <v>27.17</v>
      </c>
      <c r="H106" s="67">
        <f t="shared" si="0"/>
        <v>13.91</v>
      </c>
      <c r="I106" s="67">
        <f t="shared" si="0"/>
        <v>0.46</v>
      </c>
      <c r="J106" s="67">
        <f t="shared" si="0"/>
        <v>0.02</v>
      </c>
      <c r="K106" s="67">
        <f t="shared" si="0"/>
        <v>16.149999999999999</v>
      </c>
      <c r="L106" s="67">
        <f t="shared" si="0"/>
        <v>24.27</v>
      </c>
      <c r="M106" s="67">
        <f t="shared" si="0"/>
        <v>23.21</v>
      </c>
      <c r="N106" s="67">
        <f t="shared" si="0"/>
        <v>4.0999999999999996</v>
      </c>
      <c r="O106" s="67">
        <f t="shared" si="0"/>
        <v>0</v>
      </c>
      <c r="P106" s="67">
        <f t="shared" si="0"/>
        <v>0.38</v>
      </c>
      <c r="Q106" s="67">
        <f t="shared" si="0"/>
        <v>21.91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24.17</v>
      </c>
      <c r="C107" s="66">
        <f t="shared" ref="C107:Q107" si="1">MAX(C9:C104)</f>
        <v>54.91</v>
      </c>
      <c r="D107" s="66">
        <f t="shared" si="1"/>
        <v>44.9</v>
      </c>
      <c r="E107" s="66">
        <f t="shared" si="1"/>
        <v>33.11</v>
      </c>
      <c r="F107" s="66">
        <f t="shared" si="1"/>
        <v>50.03</v>
      </c>
      <c r="G107" s="66">
        <f t="shared" si="1"/>
        <v>376.4</v>
      </c>
      <c r="H107" s="66">
        <f t="shared" si="1"/>
        <v>49.31</v>
      </c>
      <c r="I107" s="66">
        <f t="shared" si="1"/>
        <v>0.94</v>
      </c>
      <c r="J107" s="66">
        <f t="shared" si="1"/>
        <v>2.16</v>
      </c>
      <c r="K107" s="66">
        <f t="shared" si="1"/>
        <v>270.7</v>
      </c>
      <c r="L107" s="66">
        <f t="shared" si="1"/>
        <v>38.68</v>
      </c>
      <c r="M107" s="66">
        <f t="shared" si="1"/>
        <v>52.06</v>
      </c>
      <c r="N107" s="66">
        <f t="shared" si="1"/>
        <v>875.9</v>
      </c>
      <c r="O107" s="66">
        <f t="shared" si="1"/>
        <v>0</v>
      </c>
      <c r="P107" s="66">
        <f t="shared" si="1"/>
        <v>1.48</v>
      </c>
      <c r="Q107" s="66">
        <f t="shared" si="1"/>
        <v>28.62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5.1358333333333315</v>
      </c>
      <c r="C108" s="67">
        <f t="shared" ref="C108:Q108" si="2">AVERAGE(C9:C104)</f>
        <v>37.445833333333319</v>
      </c>
      <c r="D108" s="67">
        <f t="shared" si="2"/>
        <v>25.430624999999988</v>
      </c>
      <c r="E108" s="67">
        <f t="shared" si="2"/>
        <v>6.2314583333333315</v>
      </c>
      <c r="F108" s="67">
        <f t="shared" si="2"/>
        <v>15.422187500000005</v>
      </c>
      <c r="G108" s="67">
        <f t="shared" si="2"/>
        <v>94.236904761904754</v>
      </c>
      <c r="H108" s="67">
        <f t="shared" si="2"/>
        <v>33.976904761904756</v>
      </c>
      <c r="I108" s="67">
        <f t="shared" si="2"/>
        <v>0.61041666666666672</v>
      </c>
      <c r="J108" s="67">
        <f t="shared" si="2"/>
        <v>0.4251063829787235</v>
      </c>
      <c r="K108" s="67">
        <f t="shared" si="2"/>
        <v>209.59638297872345</v>
      </c>
      <c r="L108" s="67">
        <f t="shared" si="2"/>
        <v>29.166595744680851</v>
      </c>
      <c r="M108" s="67">
        <f t="shared" si="2"/>
        <v>40.585106382978729</v>
      </c>
      <c r="N108" s="67">
        <f t="shared" si="2"/>
        <v>288.85106382978722</v>
      </c>
      <c r="O108" s="67">
        <f t="shared" si="2"/>
        <v>0</v>
      </c>
      <c r="P108" s="67">
        <f t="shared" si="2"/>
        <v>0.75614583333333307</v>
      </c>
      <c r="Q108" s="67">
        <f t="shared" si="2"/>
        <v>25.478750000000002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4.366431679762675</v>
      </c>
      <c r="C109" s="67">
        <f t="shared" ref="C109:Q109" si="3">STDEV(C9:C104)</f>
        <v>5.4059821964905002</v>
      </c>
      <c r="D109" s="67">
        <f t="shared" si="3"/>
        <v>4.8519148281890221</v>
      </c>
      <c r="E109" s="67">
        <f t="shared" si="3"/>
        <v>6.8543387687026653</v>
      </c>
      <c r="F109" s="67">
        <f t="shared" si="3"/>
        <v>11.750755425044394</v>
      </c>
      <c r="G109" s="67">
        <f t="shared" si="3"/>
        <v>71.376584395322737</v>
      </c>
      <c r="H109" s="67">
        <f t="shared" si="3"/>
        <v>9.4378840512221434</v>
      </c>
      <c r="I109" s="67">
        <f t="shared" si="3"/>
        <v>8.0784530393368081E-2</v>
      </c>
      <c r="J109" s="67">
        <f t="shared" si="3"/>
        <v>0.46940699102084255</v>
      </c>
      <c r="K109" s="67">
        <f t="shared" si="3"/>
        <v>73.325231775246252</v>
      </c>
      <c r="L109" s="67">
        <f t="shared" si="3"/>
        <v>4.7271492818637579</v>
      </c>
      <c r="M109" s="67">
        <f t="shared" si="3"/>
        <v>8.9594530773344498</v>
      </c>
      <c r="N109" s="67">
        <f t="shared" si="3"/>
        <v>340.89390410733262</v>
      </c>
      <c r="O109" s="67">
        <f t="shared" si="3"/>
        <v>0</v>
      </c>
      <c r="P109" s="67">
        <f t="shared" si="3"/>
        <v>0.31842827761123321</v>
      </c>
      <c r="Q109" s="67">
        <f t="shared" si="3"/>
        <v>1.7168712363206691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COUNT(G9:G104)+12</f>
        <v>96</v>
      </c>
      <c r="H110" s="66">
        <f>COUNT(H9:H104)+12</f>
        <v>96</v>
      </c>
      <c r="I110" s="66">
        <f>COUNT(I9:I104)</f>
        <v>96</v>
      </c>
      <c r="J110" s="66">
        <f>COUNT(J9:J104)+49</f>
        <v>96</v>
      </c>
      <c r="K110" s="66">
        <f>COUNT(K9:K104)+49</f>
        <v>96</v>
      </c>
      <c r="L110" s="66">
        <f>COUNT(L9:L104)+49</f>
        <v>96</v>
      </c>
      <c r="M110" s="66">
        <f>COUNT(M9:M104)+49</f>
        <v>96</v>
      </c>
      <c r="N110" s="66">
        <f>COUNT(N9:N104)+49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25" sqref="J12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2850</v>
      </c>
      <c r="B9" s="64">
        <v>2.93</v>
      </c>
      <c r="C9" s="64">
        <v>27.61</v>
      </c>
      <c r="D9" s="64">
        <v>18.23</v>
      </c>
      <c r="E9" s="64">
        <v>0.82</v>
      </c>
      <c r="F9" s="64">
        <v>22.7</v>
      </c>
      <c r="G9" s="64">
        <v>38.020000000000003</v>
      </c>
      <c r="H9" s="64">
        <v>13.91</v>
      </c>
      <c r="I9" s="64">
        <v>0.61</v>
      </c>
      <c r="J9" s="218" t="s">
        <v>36</v>
      </c>
      <c r="K9" s="218" t="s">
        <v>36</v>
      </c>
      <c r="L9" s="218" t="s">
        <v>36</v>
      </c>
      <c r="M9" s="218" t="s">
        <v>36</v>
      </c>
      <c r="N9" s="218" t="s">
        <v>36</v>
      </c>
      <c r="O9" s="64">
        <v>0</v>
      </c>
      <c r="P9" s="64">
        <v>0.41</v>
      </c>
      <c r="Q9" s="64">
        <v>27.25</v>
      </c>
      <c r="R9" s="198"/>
      <c r="S9" s="198"/>
      <c r="T9" s="198"/>
      <c r="U9" s="198"/>
    </row>
    <row r="10" spans="1:21" s="12" customFormat="1" x14ac:dyDescent="0.25">
      <c r="A10" s="211" t="s">
        <v>2851</v>
      </c>
      <c r="B10" s="64">
        <v>2.8</v>
      </c>
      <c r="C10" s="64">
        <v>27.24</v>
      </c>
      <c r="D10" s="64">
        <v>17.920000000000002</v>
      </c>
      <c r="E10" s="64">
        <v>0.68</v>
      </c>
      <c r="F10" s="64">
        <v>4.74</v>
      </c>
      <c r="G10" s="64">
        <v>38.020000000000003</v>
      </c>
      <c r="H10" s="64">
        <v>13.91</v>
      </c>
      <c r="I10" s="64">
        <v>0.45</v>
      </c>
      <c r="J10" s="218" t="s">
        <v>36</v>
      </c>
      <c r="K10" s="218" t="s">
        <v>36</v>
      </c>
      <c r="L10" s="218" t="s">
        <v>36</v>
      </c>
      <c r="M10" s="218" t="s">
        <v>36</v>
      </c>
      <c r="N10" s="218" t="s">
        <v>36</v>
      </c>
      <c r="O10" s="64">
        <v>0</v>
      </c>
      <c r="P10" s="64">
        <v>0.39</v>
      </c>
      <c r="Q10" s="64">
        <v>26.83</v>
      </c>
      <c r="R10" s="198"/>
      <c r="S10" s="198"/>
      <c r="T10" s="198"/>
      <c r="U10" s="198"/>
    </row>
    <row r="11" spans="1:21" s="12" customFormat="1" x14ac:dyDescent="0.25">
      <c r="A11" s="211" t="s">
        <v>2852</v>
      </c>
      <c r="B11" s="64">
        <v>2.61</v>
      </c>
      <c r="C11" s="64">
        <v>27.79</v>
      </c>
      <c r="D11" s="64">
        <v>18.07</v>
      </c>
      <c r="E11" s="64">
        <v>0.56000000000000005</v>
      </c>
      <c r="F11" s="64">
        <v>4.38</v>
      </c>
      <c r="G11" s="64">
        <v>38.020000000000003</v>
      </c>
      <c r="H11" s="64">
        <v>13.56</v>
      </c>
      <c r="I11" s="64">
        <v>0.5</v>
      </c>
      <c r="J11" s="218" t="s">
        <v>36</v>
      </c>
      <c r="K11" s="218" t="s">
        <v>36</v>
      </c>
      <c r="L11" s="218" t="s">
        <v>36</v>
      </c>
      <c r="M11" s="218" t="s">
        <v>36</v>
      </c>
      <c r="N11" s="218" t="s">
        <v>36</v>
      </c>
      <c r="O11" s="64">
        <v>0</v>
      </c>
      <c r="P11" s="64">
        <v>0.39</v>
      </c>
      <c r="Q11" s="64">
        <v>26.81</v>
      </c>
      <c r="R11" s="198"/>
      <c r="S11" s="198"/>
      <c r="T11" s="198"/>
      <c r="U11" s="198"/>
    </row>
    <row r="12" spans="1:21" s="12" customFormat="1" x14ac:dyDescent="0.25">
      <c r="A12" s="211" t="s">
        <v>2853</v>
      </c>
      <c r="B12" s="64">
        <v>2.5299999999999998</v>
      </c>
      <c r="C12" s="64">
        <v>28.47</v>
      </c>
      <c r="D12" s="64">
        <v>18.39</v>
      </c>
      <c r="E12" s="64">
        <v>0.57999999999999996</v>
      </c>
      <c r="F12" s="64">
        <v>4.3899999999999997</v>
      </c>
      <c r="G12" s="64">
        <v>321.51</v>
      </c>
      <c r="H12" s="64">
        <v>11.32</v>
      </c>
      <c r="I12" s="64">
        <v>0.55000000000000004</v>
      </c>
      <c r="J12" s="218" t="s">
        <v>36</v>
      </c>
      <c r="K12" s="218" t="s">
        <v>36</v>
      </c>
      <c r="L12" s="218" t="s">
        <v>36</v>
      </c>
      <c r="M12" s="218" t="s">
        <v>36</v>
      </c>
      <c r="N12" s="218" t="s">
        <v>36</v>
      </c>
      <c r="O12" s="64">
        <v>0</v>
      </c>
      <c r="P12" s="64">
        <v>0.38</v>
      </c>
      <c r="Q12" s="64">
        <v>26.93</v>
      </c>
      <c r="R12" s="198"/>
      <c r="S12" s="198"/>
      <c r="T12" s="198"/>
      <c r="U12" s="198"/>
    </row>
    <row r="13" spans="1:21" s="12" customFormat="1" x14ac:dyDescent="0.25">
      <c r="A13" s="211" t="s">
        <v>2854</v>
      </c>
      <c r="B13" s="64">
        <v>2.25</v>
      </c>
      <c r="C13" s="64">
        <v>28.55</v>
      </c>
      <c r="D13" s="64">
        <v>18.21</v>
      </c>
      <c r="E13" s="64">
        <v>0.49</v>
      </c>
      <c r="F13" s="64">
        <v>4.41</v>
      </c>
      <c r="G13" s="64">
        <v>321.51</v>
      </c>
      <c r="H13" s="64">
        <v>11.32</v>
      </c>
      <c r="I13" s="64">
        <v>0.55000000000000004</v>
      </c>
      <c r="J13" s="218" t="s">
        <v>36</v>
      </c>
      <c r="K13" s="218" t="s">
        <v>36</v>
      </c>
      <c r="L13" s="218" t="s">
        <v>36</v>
      </c>
      <c r="M13" s="218" t="s">
        <v>36</v>
      </c>
      <c r="N13" s="218" t="s">
        <v>36</v>
      </c>
      <c r="O13" s="64">
        <v>0</v>
      </c>
      <c r="P13" s="64">
        <v>0.35</v>
      </c>
      <c r="Q13" s="64">
        <v>26.84</v>
      </c>
      <c r="R13" s="198"/>
      <c r="S13" s="198"/>
      <c r="T13" s="198"/>
      <c r="U13" s="198"/>
    </row>
    <row r="14" spans="1:21" s="12" customFormat="1" x14ac:dyDescent="0.25">
      <c r="A14" s="211" t="s">
        <v>2855</v>
      </c>
      <c r="B14" s="64">
        <v>1.96</v>
      </c>
      <c r="C14" s="64">
        <v>28.34</v>
      </c>
      <c r="D14" s="64">
        <v>17.86</v>
      </c>
      <c r="E14" s="64">
        <v>0.74</v>
      </c>
      <c r="F14" s="64">
        <v>4.43</v>
      </c>
      <c r="G14" s="64">
        <v>321.51</v>
      </c>
      <c r="H14" s="64">
        <v>11.32</v>
      </c>
      <c r="I14" s="64">
        <v>0.56000000000000005</v>
      </c>
      <c r="J14" s="218" t="s">
        <v>36</v>
      </c>
      <c r="K14" s="218" t="s">
        <v>36</v>
      </c>
      <c r="L14" s="218" t="s">
        <v>36</v>
      </c>
      <c r="M14" s="218" t="s">
        <v>36</v>
      </c>
      <c r="N14" s="218" t="s">
        <v>36</v>
      </c>
      <c r="O14" s="64">
        <v>0</v>
      </c>
      <c r="P14" s="64">
        <v>0.36</v>
      </c>
      <c r="Q14" s="64">
        <v>26.71</v>
      </c>
      <c r="R14" s="198"/>
      <c r="S14" s="198"/>
      <c r="T14" s="198"/>
      <c r="U14" s="198"/>
    </row>
    <row r="15" spans="1:21" s="12" customFormat="1" x14ac:dyDescent="0.25">
      <c r="A15" s="211" t="s">
        <v>2856</v>
      </c>
      <c r="B15" s="64">
        <v>1.84</v>
      </c>
      <c r="C15" s="64">
        <v>28.06</v>
      </c>
      <c r="D15" s="64">
        <v>17.61</v>
      </c>
      <c r="E15" s="64">
        <v>0.6</v>
      </c>
      <c r="F15" s="64">
        <v>5.03</v>
      </c>
      <c r="G15" s="64">
        <v>166.44</v>
      </c>
      <c r="H15" s="64">
        <v>11.16</v>
      </c>
      <c r="I15" s="64">
        <v>0.6</v>
      </c>
      <c r="J15" s="218" t="s">
        <v>36</v>
      </c>
      <c r="K15" s="218" t="s">
        <v>36</v>
      </c>
      <c r="L15" s="218" t="s">
        <v>36</v>
      </c>
      <c r="M15" s="218" t="s">
        <v>36</v>
      </c>
      <c r="N15" s="218" t="s">
        <v>36</v>
      </c>
      <c r="O15" s="64">
        <v>0</v>
      </c>
      <c r="P15" s="64">
        <v>0.35</v>
      </c>
      <c r="Q15" s="64">
        <v>26.38</v>
      </c>
      <c r="R15" s="198"/>
      <c r="S15" s="198"/>
      <c r="T15" s="198"/>
      <c r="U15" s="198"/>
    </row>
    <row r="16" spans="1:21" s="12" customFormat="1" x14ac:dyDescent="0.25">
      <c r="A16" s="211" t="s">
        <v>2857</v>
      </c>
      <c r="B16" s="64">
        <v>1.88</v>
      </c>
      <c r="C16" s="64">
        <v>27.81</v>
      </c>
      <c r="D16" s="64">
        <v>17.489999999999998</v>
      </c>
      <c r="E16" s="64">
        <v>0.61</v>
      </c>
      <c r="F16" s="64">
        <v>8.23</v>
      </c>
      <c r="G16" s="64">
        <v>166.44</v>
      </c>
      <c r="H16" s="64">
        <v>10.15</v>
      </c>
      <c r="I16" s="64">
        <v>0.67</v>
      </c>
      <c r="J16" s="218" t="s">
        <v>36</v>
      </c>
      <c r="K16" s="218" t="s">
        <v>36</v>
      </c>
      <c r="L16" s="218" t="s">
        <v>36</v>
      </c>
      <c r="M16" s="218" t="s">
        <v>36</v>
      </c>
      <c r="N16" s="218" t="s">
        <v>36</v>
      </c>
      <c r="O16" s="64">
        <v>0</v>
      </c>
      <c r="P16" s="64">
        <v>0.34</v>
      </c>
      <c r="Q16" s="64">
        <v>26.09</v>
      </c>
      <c r="R16" s="198"/>
      <c r="S16" s="198"/>
      <c r="T16" s="198"/>
      <c r="U16" s="198"/>
    </row>
    <row r="17" spans="1:21" s="12" customFormat="1" x14ac:dyDescent="0.25">
      <c r="A17" s="211" t="s">
        <v>2858</v>
      </c>
      <c r="B17" s="64">
        <v>1.97</v>
      </c>
      <c r="C17" s="64">
        <v>26.45</v>
      </c>
      <c r="D17" s="64">
        <v>16.82</v>
      </c>
      <c r="E17" s="64">
        <v>0.92</v>
      </c>
      <c r="F17" s="64">
        <v>25.74</v>
      </c>
      <c r="G17" s="64">
        <v>166.44</v>
      </c>
      <c r="H17" s="64">
        <v>10.15</v>
      </c>
      <c r="I17" s="64">
        <v>0.53</v>
      </c>
      <c r="J17" s="218" t="s">
        <v>36</v>
      </c>
      <c r="K17" s="218" t="s">
        <v>36</v>
      </c>
      <c r="L17" s="218" t="s">
        <v>36</v>
      </c>
      <c r="M17" s="218" t="s">
        <v>36</v>
      </c>
      <c r="N17" s="218" t="s">
        <v>36</v>
      </c>
      <c r="O17" s="64">
        <v>0</v>
      </c>
      <c r="P17" s="64">
        <v>0.33</v>
      </c>
      <c r="Q17" s="64">
        <v>26.59</v>
      </c>
      <c r="R17" s="198"/>
      <c r="S17" s="198"/>
      <c r="T17" s="198"/>
      <c r="U17" s="198"/>
    </row>
    <row r="18" spans="1:21" s="12" customFormat="1" x14ac:dyDescent="0.25">
      <c r="A18" s="211" t="s">
        <v>2859</v>
      </c>
      <c r="B18" s="64">
        <v>2.34</v>
      </c>
      <c r="C18" s="64">
        <v>25.52</v>
      </c>
      <c r="D18" s="64">
        <v>16.61</v>
      </c>
      <c r="E18" s="64">
        <v>0.89</v>
      </c>
      <c r="F18" s="64">
        <v>24.29</v>
      </c>
      <c r="G18" s="64">
        <v>166.44</v>
      </c>
      <c r="H18" s="64">
        <v>10.15</v>
      </c>
      <c r="I18" s="64">
        <v>0.55000000000000004</v>
      </c>
      <c r="J18" s="218" t="s">
        <v>36</v>
      </c>
      <c r="K18" s="218" t="s">
        <v>36</v>
      </c>
      <c r="L18" s="218" t="s">
        <v>36</v>
      </c>
      <c r="M18" s="218" t="s">
        <v>36</v>
      </c>
      <c r="N18" s="218" t="s">
        <v>36</v>
      </c>
      <c r="O18" s="64">
        <v>0</v>
      </c>
      <c r="P18" s="64">
        <v>0.33</v>
      </c>
      <c r="Q18" s="64">
        <v>26.44</v>
      </c>
      <c r="R18" s="198"/>
      <c r="S18" s="198"/>
      <c r="T18" s="198"/>
      <c r="U18" s="198"/>
    </row>
    <row r="19" spans="1:21" s="12" customFormat="1" x14ac:dyDescent="0.25">
      <c r="A19" s="211" t="s">
        <v>2860</v>
      </c>
      <c r="B19" s="64">
        <v>2.72</v>
      </c>
      <c r="C19" s="64">
        <v>25.3</v>
      </c>
      <c r="D19" s="64">
        <v>16.79</v>
      </c>
      <c r="E19" s="64">
        <v>0.54</v>
      </c>
      <c r="F19" s="64">
        <v>17.5</v>
      </c>
      <c r="G19" s="64">
        <v>149.80000000000001</v>
      </c>
      <c r="H19" s="64">
        <v>10.36</v>
      </c>
      <c r="I19" s="64">
        <v>0.56000000000000005</v>
      </c>
      <c r="J19" s="218" t="s">
        <v>36</v>
      </c>
      <c r="K19" s="218" t="s">
        <v>36</v>
      </c>
      <c r="L19" s="218" t="s">
        <v>36</v>
      </c>
      <c r="M19" s="218" t="s">
        <v>36</v>
      </c>
      <c r="N19" s="218" t="s">
        <v>36</v>
      </c>
      <c r="O19" s="64">
        <v>0</v>
      </c>
      <c r="P19" s="64">
        <v>0.33</v>
      </c>
      <c r="Q19" s="64">
        <v>26.3</v>
      </c>
      <c r="R19" s="198"/>
      <c r="S19" s="198"/>
      <c r="T19" s="198"/>
      <c r="U19" s="198"/>
    </row>
    <row r="20" spans="1:21" s="12" customFormat="1" x14ac:dyDescent="0.25">
      <c r="A20" s="211" t="s">
        <v>2861</v>
      </c>
      <c r="B20" s="64">
        <v>3.15</v>
      </c>
      <c r="C20" s="64">
        <v>25.23</v>
      </c>
      <c r="D20" s="64">
        <v>17.100000000000001</v>
      </c>
      <c r="E20" s="64">
        <v>0.56999999999999995</v>
      </c>
      <c r="F20" s="64">
        <v>23.02</v>
      </c>
      <c r="G20" s="214" t="s">
        <v>42</v>
      </c>
      <c r="H20" s="214" t="s">
        <v>42</v>
      </c>
      <c r="I20" s="64">
        <v>0.54</v>
      </c>
      <c r="J20" s="218" t="s">
        <v>36</v>
      </c>
      <c r="K20" s="218" t="s">
        <v>36</v>
      </c>
      <c r="L20" s="218" t="s">
        <v>36</v>
      </c>
      <c r="M20" s="218" t="s">
        <v>36</v>
      </c>
      <c r="N20" s="218" t="s">
        <v>36</v>
      </c>
      <c r="O20" s="64">
        <v>0</v>
      </c>
      <c r="P20" s="64">
        <v>0.32</v>
      </c>
      <c r="Q20" s="64">
        <v>26.77</v>
      </c>
      <c r="R20" s="198"/>
      <c r="S20" s="198"/>
      <c r="T20" s="198"/>
      <c r="U20" s="198"/>
    </row>
    <row r="21" spans="1:21" s="12" customFormat="1" x14ac:dyDescent="0.25">
      <c r="A21" s="211" t="s">
        <v>2862</v>
      </c>
      <c r="B21" s="64">
        <v>3.4</v>
      </c>
      <c r="C21" s="64">
        <v>25.15</v>
      </c>
      <c r="D21" s="64">
        <v>17.25</v>
      </c>
      <c r="E21" s="64">
        <v>0.68</v>
      </c>
      <c r="F21" s="64">
        <v>18.04</v>
      </c>
      <c r="G21" s="214" t="s">
        <v>42</v>
      </c>
      <c r="H21" s="214" t="s">
        <v>42</v>
      </c>
      <c r="I21" s="64">
        <v>0.49</v>
      </c>
      <c r="J21" s="218" t="s">
        <v>36</v>
      </c>
      <c r="K21" s="218" t="s">
        <v>36</v>
      </c>
      <c r="L21" s="218" t="s">
        <v>36</v>
      </c>
      <c r="M21" s="218" t="s">
        <v>36</v>
      </c>
      <c r="N21" s="218" t="s">
        <v>36</v>
      </c>
      <c r="O21" s="64">
        <v>0</v>
      </c>
      <c r="P21" s="64">
        <v>0.33</v>
      </c>
      <c r="Q21" s="64">
        <v>27.3</v>
      </c>
      <c r="R21" s="198"/>
      <c r="S21" s="198"/>
      <c r="T21" s="198"/>
      <c r="U21" s="198"/>
    </row>
    <row r="22" spans="1:21" s="12" customFormat="1" x14ac:dyDescent="0.25">
      <c r="A22" s="211" t="s">
        <v>2863</v>
      </c>
      <c r="B22" s="64">
        <v>3.25</v>
      </c>
      <c r="C22" s="64">
        <v>25.62</v>
      </c>
      <c r="D22" s="64">
        <v>17.39</v>
      </c>
      <c r="E22" s="64">
        <v>1.1200000000000001</v>
      </c>
      <c r="F22" s="64">
        <v>5</v>
      </c>
      <c r="G22" s="214" t="s">
        <v>42</v>
      </c>
      <c r="H22" s="214" t="s">
        <v>42</v>
      </c>
      <c r="I22" s="64">
        <v>0.46</v>
      </c>
      <c r="J22" s="218" t="s">
        <v>36</v>
      </c>
      <c r="K22" s="218" t="s">
        <v>36</v>
      </c>
      <c r="L22" s="218" t="s">
        <v>36</v>
      </c>
      <c r="M22" s="218" t="s">
        <v>36</v>
      </c>
      <c r="N22" s="218" t="s">
        <v>36</v>
      </c>
      <c r="O22" s="64">
        <v>0</v>
      </c>
      <c r="P22" s="64">
        <v>0.32</v>
      </c>
      <c r="Q22" s="64">
        <v>27.11</v>
      </c>
      <c r="R22" s="198"/>
      <c r="S22" s="198"/>
      <c r="T22" s="198"/>
      <c r="U22" s="198"/>
    </row>
    <row r="23" spans="1:21" s="12" customFormat="1" x14ac:dyDescent="0.25">
      <c r="A23" s="211" t="s">
        <v>2864</v>
      </c>
      <c r="B23" s="64">
        <v>2.89</v>
      </c>
      <c r="C23" s="64">
        <v>26.32</v>
      </c>
      <c r="D23" s="64">
        <v>17.489999999999998</v>
      </c>
      <c r="E23" s="64">
        <v>0.48</v>
      </c>
      <c r="F23" s="64">
        <v>4.7300000000000004</v>
      </c>
      <c r="G23" s="214" t="s">
        <v>42</v>
      </c>
      <c r="H23" s="214" t="s">
        <v>42</v>
      </c>
      <c r="I23" s="64">
        <v>0.56999999999999995</v>
      </c>
      <c r="J23" s="218" t="s">
        <v>36</v>
      </c>
      <c r="K23" s="218" t="s">
        <v>36</v>
      </c>
      <c r="L23" s="218" t="s">
        <v>36</v>
      </c>
      <c r="M23" s="218" t="s">
        <v>36</v>
      </c>
      <c r="N23" s="218" t="s">
        <v>36</v>
      </c>
      <c r="O23" s="64">
        <v>0</v>
      </c>
      <c r="P23" s="64">
        <v>0.31</v>
      </c>
      <c r="Q23" s="64">
        <v>27.12</v>
      </c>
      <c r="R23" s="198"/>
      <c r="S23" s="198"/>
      <c r="T23" s="198"/>
      <c r="U23" s="198"/>
    </row>
    <row r="24" spans="1:21" s="12" customFormat="1" x14ac:dyDescent="0.25">
      <c r="A24" s="211" t="s">
        <v>2865</v>
      </c>
      <c r="B24" s="64">
        <v>2.79</v>
      </c>
      <c r="C24" s="64">
        <v>27.41</v>
      </c>
      <c r="D24" s="64">
        <v>18.010000000000002</v>
      </c>
      <c r="E24" s="64">
        <v>0.69</v>
      </c>
      <c r="F24" s="64">
        <v>4.12</v>
      </c>
      <c r="G24" s="64">
        <v>125.17</v>
      </c>
      <c r="H24" s="64">
        <v>12.54</v>
      </c>
      <c r="I24" s="64">
        <v>0.6</v>
      </c>
      <c r="J24" s="218" t="s">
        <v>36</v>
      </c>
      <c r="K24" s="218" t="s">
        <v>36</v>
      </c>
      <c r="L24" s="218" t="s">
        <v>36</v>
      </c>
      <c r="M24" s="218" t="s">
        <v>36</v>
      </c>
      <c r="N24" s="218" t="s">
        <v>36</v>
      </c>
      <c r="O24" s="64">
        <v>0</v>
      </c>
      <c r="P24" s="64">
        <v>0.32</v>
      </c>
      <c r="Q24" s="64">
        <v>27.28</v>
      </c>
      <c r="R24" s="198"/>
      <c r="S24" s="198"/>
      <c r="T24" s="198"/>
      <c r="U24" s="198"/>
    </row>
    <row r="25" spans="1:21" s="12" customFormat="1" x14ac:dyDescent="0.25">
      <c r="A25" s="211" t="s">
        <v>2866</v>
      </c>
      <c r="B25" s="64">
        <v>2.95</v>
      </c>
      <c r="C25" s="64">
        <v>28.67</v>
      </c>
      <c r="D25" s="64">
        <v>18.829999999999998</v>
      </c>
      <c r="E25" s="64">
        <v>0.98</v>
      </c>
      <c r="F25" s="64">
        <v>3.65</v>
      </c>
      <c r="G25" s="64">
        <v>125.17</v>
      </c>
      <c r="H25" s="64">
        <v>12.54</v>
      </c>
      <c r="I25" s="64">
        <v>0.53</v>
      </c>
      <c r="J25" s="218" t="s">
        <v>36</v>
      </c>
      <c r="K25" s="218" t="s">
        <v>36</v>
      </c>
      <c r="L25" s="218" t="s">
        <v>36</v>
      </c>
      <c r="M25" s="218" t="s">
        <v>36</v>
      </c>
      <c r="N25" s="218" t="s">
        <v>36</v>
      </c>
      <c r="O25" s="64">
        <v>0</v>
      </c>
      <c r="P25" s="64">
        <v>0.32</v>
      </c>
      <c r="Q25" s="64">
        <v>27.37</v>
      </c>
      <c r="R25" s="198"/>
      <c r="S25" s="198"/>
      <c r="T25" s="198"/>
      <c r="U25" s="198"/>
    </row>
    <row r="26" spans="1:21" s="12" customFormat="1" x14ac:dyDescent="0.25">
      <c r="A26" s="211" t="s">
        <v>2867</v>
      </c>
      <c r="B26" s="64">
        <v>3.7</v>
      </c>
      <c r="C26" s="64">
        <v>30.04</v>
      </c>
      <c r="D26" s="64">
        <v>20.190000000000001</v>
      </c>
      <c r="E26" s="64">
        <v>1.0900000000000001</v>
      </c>
      <c r="F26" s="64">
        <v>3.57</v>
      </c>
      <c r="G26" s="64">
        <v>125.17</v>
      </c>
      <c r="H26" s="64">
        <v>12.54</v>
      </c>
      <c r="I26" s="64">
        <v>0.65</v>
      </c>
      <c r="J26" s="218" t="s">
        <v>36</v>
      </c>
      <c r="K26" s="218" t="s">
        <v>36</v>
      </c>
      <c r="L26" s="218" t="s">
        <v>36</v>
      </c>
      <c r="M26" s="218" t="s">
        <v>36</v>
      </c>
      <c r="N26" s="218" t="s">
        <v>36</v>
      </c>
      <c r="O26" s="64">
        <v>0</v>
      </c>
      <c r="P26" s="64">
        <v>0.33</v>
      </c>
      <c r="Q26" s="64">
        <v>27.38</v>
      </c>
      <c r="R26" s="198"/>
      <c r="S26" s="198"/>
      <c r="T26" s="198"/>
      <c r="U26" s="198"/>
    </row>
    <row r="27" spans="1:21" s="12" customFormat="1" x14ac:dyDescent="0.25">
      <c r="A27" s="211" t="s">
        <v>2868</v>
      </c>
      <c r="B27" s="64">
        <v>4.3099999999999996</v>
      </c>
      <c r="C27" s="64">
        <v>31.75</v>
      </c>
      <c r="D27" s="64">
        <v>21.63</v>
      </c>
      <c r="E27" s="64">
        <v>1.36</v>
      </c>
      <c r="F27" s="64">
        <v>3.62</v>
      </c>
      <c r="G27" s="64">
        <v>122.26</v>
      </c>
      <c r="H27" s="64">
        <v>13.59</v>
      </c>
      <c r="I27" s="64">
        <v>0.53</v>
      </c>
      <c r="J27" s="218" t="s">
        <v>36</v>
      </c>
      <c r="K27" s="218" t="s">
        <v>36</v>
      </c>
      <c r="L27" s="218" t="s">
        <v>36</v>
      </c>
      <c r="M27" s="218" t="s">
        <v>36</v>
      </c>
      <c r="N27" s="218" t="s">
        <v>36</v>
      </c>
      <c r="O27" s="64">
        <v>0</v>
      </c>
      <c r="P27" s="64">
        <v>0.35</v>
      </c>
      <c r="Q27" s="64">
        <v>27.41</v>
      </c>
      <c r="R27" s="198"/>
      <c r="S27" s="198"/>
      <c r="T27" s="198"/>
      <c r="U27" s="198"/>
    </row>
    <row r="28" spans="1:21" s="12" customFormat="1" x14ac:dyDescent="0.25">
      <c r="A28" s="211" t="s">
        <v>2869</v>
      </c>
      <c r="B28" s="64">
        <v>4.22</v>
      </c>
      <c r="C28" s="64">
        <v>32.26</v>
      </c>
      <c r="D28" s="64">
        <v>21.84</v>
      </c>
      <c r="E28" s="64">
        <v>1.46</v>
      </c>
      <c r="F28" s="64">
        <v>7.89</v>
      </c>
      <c r="G28" s="64">
        <v>96.1</v>
      </c>
      <c r="H28" s="64">
        <v>20.399999999999999</v>
      </c>
      <c r="I28" s="64">
        <v>0.6</v>
      </c>
      <c r="J28" s="218" t="s">
        <v>36</v>
      </c>
      <c r="K28" s="218" t="s">
        <v>36</v>
      </c>
      <c r="L28" s="218" t="s">
        <v>36</v>
      </c>
      <c r="M28" s="218" t="s">
        <v>36</v>
      </c>
      <c r="N28" s="218" t="s">
        <v>36</v>
      </c>
      <c r="O28" s="64">
        <v>0</v>
      </c>
      <c r="P28" s="64">
        <v>0.35</v>
      </c>
      <c r="Q28" s="64">
        <v>27.53</v>
      </c>
      <c r="R28" s="198"/>
      <c r="S28" s="198"/>
      <c r="T28" s="198"/>
      <c r="U28" s="198"/>
    </row>
    <row r="29" spans="1:21" s="12" customFormat="1" x14ac:dyDescent="0.25">
      <c r="A29" s="211" t="s">
        <v>2870</v>
      </c>
      <c r="B29" s="64">
        <v>4.38</v>
      </c>
      <c r="C29" s="64">
        <v>30.55</v>
      </c>
      <c r="D29" s="64">
        <v>21.02</v>
      </c>
      <c r="E29" s="64">
        <v>1.41</v>
      </c>
      <c r="F29" s="64">
        <v>14.76</v>
      </c>
      <c r="G29" s="64">
        <v>96.1</v>
      </c>
      <c r="H29" s="64">
        <v>20.399999999999999</v>
      </c>
      <c r="I29" s="64">
        <v>0.61</v>
      </c>
      <c r="J29" s="218" t="s">
        <v>36</v>
      </c>
      <c r="K29" s="218" t="s">
        <v>36</v>
      </c>
      <c r="L29" s="218" t="s">
        <v>36</v>
      </c>
      <c r="M29" s="218" t="s">
        <v>36</v>
      </c>
      <c r="N29" s="218" t="s">
        <v>36</v>
      </c>
      <c r="O29" s="64">
        <v>0</v>
      </c>
      <c r="P29" s="64">
        <v>0.35</v>
      </c>
      <c r="Q29" s="64">
        <v>27.9</v>
      </c>
      <c r="R29" s="198"/>
      <c r="S29" s="198"/>
      <c r="T29" s="198"/>
      <c r="U29" s="198"/>
    </row>
    <row r="30" spans="1:21" s="12" customFormat="1" x14ac:dyDescent="0.25">
      <c r="A30" s="211" t="s">
        <v>2871</v>
      </c>
      <c r="B30" s="64">
        <v>5.12</v>
      </c>
      <c r="C30" s="64">
        <v>30.42</v>
      </c>
      <c r="D30" s="64">
        <v>21.54</v>
      </c>
      <c r="E30" s="64">
        <v>1.18</v>
      </c>
      <c r="F30" s="64">
        <v>10.050000000000001</v>
      </c>
      <c r="G30" s="64">
        <v>96.1</v>
      </c>
      <c r="H30" s="64">
        <v>20.399999999999999</v>
      </c>
      <c r="I30" s="64">
        <v>0.56999999999999995</v>
      </c>
      <c r="J30" s="218" t="s">
        <v>36</v>
      </c>
      <c r="K30" s="218" t="s">
        <v>36</v>
      </c>
      <c r="L30" s="218" t="s">
        <v>36</v>
      </c>
      <c r="M30" s="218" t="s">
        <v>36</v>
      </c>
      <c r="N30" s="218" t="s">
        <v>36</v>
      </c>
      <c r="O30" s="64">
        <v>0</v>
      </c>
      <c r="P30" s="64">
        <v>0.37</v>
      </c>
      <c r="Q30" s="64">
        <v>27.42</v>
      </c>
      <c r="R30" s="198"/>
      <c r="S30" s="198"/>
      <c r="T30" s="198"/>
      <c r="U30" s="198"/>
    </row>
    <row r="31" spans="1:21" s="12" customFormat="1" x14ac:dyDescent="0.25">
      <c r="A31" s="211" t="s">
        <v>2872</v>
      </c>
      <c r="B31" s="64">
        <v>6.24</v>
      </c>
      <c r="C31" s="64">
        <v>30.23</v>
      </c>
      <c r="D31" s="64">
        <v>22.33</v>
      </c>
      <c r="E31" s="64">
        <v>1.23</v>
      </c>
      <c r="F31" s="64">
        <v>7.52</v>
      </c>
      <c r="G31" s="64">
        <v>91.39</v>
      </c>
      <c r="H31" s="64">
        <v>20.56</v>
      </c>
      <c r="I31" s="64">
        <v>0.68</v>
      </c>
      <c r="J31" s="218" t="s">
        <v>36</v>
      </c>
      <c r="K31" s="218" t="s">
        <v>36</v>
      </c>
      <c r="L31" s="218" t="s">
        <v>36</v>
      </c>
      <c r="M31" s="218" t="s">
        <v>36</v>
      </c>
      <c r="N31" s="218" t="s">
        <v>36</v>
      </c>
      <c r="O31" s="64">
        <v>0</v>
      </c>
      <c r="P31" s="64">
        <v>0.39</v>
      </c>
      <c r="Q31" s="64">
        <v>27.49</v>
      </c>
      <c r="R31" s="198"/>
      <c r="S31" s="198"/>
      <c r="T31" s="198"/>
      <c r="U31" s="198"/>
    </row>
    <row r="32" spans="1:21" s="12" customFormat="1" x14ac:dyDescent="0.25">
      <c r="A32" s="211" t="s">
        <v>2873</v>
      </c>
      <c r="B32" s="64">
        <v>7.39</v>
      </c>
      <c r="C32" s="64">
        <v>29.91</v>
      </c>
      <c r="D32" s="64">
        <v>23.08</v>
      </c>
      <c r="E32" s="64">
        <v>0.78</v>
      </c>
      <c r="F32" s="64">
        <v>7.75</v>
      </c>
      <c r="G32" s="64">
        <v>49.04</v>
      </c>
      <c r="H32" s="64">
        <v>21.57</v>
      </c>
      <c r="I32" s="64">
        <v>0.56999999999999995</v>
      </c>
      <c r="J32" s="218" t="s">
        <v>36</v>
      </c>
      <c r="K32" s="218" t="s">
        <v>36</v>
      </c>
      <c r="L32" s="218" t="s">
        <v>36</v>
      </c>
      <c r="M32" s="218" t="s">
        <v>36</v>
      </c>
      <c r="N32" s="218" t="s">
        <v>36</v>
      </c>
      <c r="O32" s="64">
        <v>0</v>
      </c>
      <c r="P32" s="64">
        <v>0.4</v>
      </c>
      <c r="Q32" s="64">
        <v>27.92</v>
      </c>
      <c r="R32" s="198"/>
      <c r="S32" s="198"/>
      <c r="T32" s="198"/>
      <c r="U32" s="198"/>
    </row>
    <row r="33" spans="1:21" s="12" customFormat="1" x14ac:dyDescent="0.25">
      <c r="A33" s="211" t="s">
        <v>2874</v>
      </c>
      <c r="B33" s="64">
        <v>8.57</v>
      </c>
      <c r="C33" s="64">
        <v>29.72</v>
      </c>
      <c r="D33" s="64">
        <v>23.92</v>
      </c>
      <c r="E33" s="64">
        <v>0.9</v>
      </c>
      <c r="F33" s="64">
        <v>5.12</v>
      </c>
      <c r="G33" s="64">
        <v>49.04</v>
      </c>
      <c r="H33" s="64">
        <v>21.57</v>
      </c>
      <c r="I33" s="64">
        <v>0.59</v>
      </c>
      <c r="J33" s="218" t="s">
        <v>36</v>
      </c>
      <c r="K33" s="218" t="s">
        <v>36</v>
      </c>
      <c r="L33" s="218" t="s">
        <v>36</v>
      </c>
      <c r="M33" s="218" t="s">
        <v>36</v>
      </c>
      <c r="N33" s="218" t="s">
        <v>36</v>
      </c>
      <c r="O33" s="64">
        <v>0</v>
      </c>
      <c r="P33" s="64">
        <v>0.43</v>
      </c>
      <c r="Q33" s="64">
        <v>28.07</v>
      </c>
      <c r="R33" s="198"/>
      <c r="S33" s="198"/>
      <c r="T33" s="198"/>
      <c r="U33" s="198"/>
    </row>
    <row r="34" spans="1:21" s="12" customFormat="1" x14ac:dyDescent="0.25">
      <c r="A34" s="211" t="s">
        <v>2875</v>
      </c>
      <c r="B34" s="64">
        <v>9.59</v>
      </c>
      <c r="C34" s="64">
        <v>30.74</v>
      </c>
      <c r="D34" s="64">
        <v>25.3</v>
      </c>
      <c r="E34" s="64">
        <v>1.46</v>
      </c>
      <c r="F34" s="64">
        <v>3.9</v>
      </c>
      <c r="G34" s="64">
        <v>49.04</v>
      </c>
      <c r="H34" s="64">
        <v>21.57</v>
      </c>
      <c r="I34" s="64">
        <v>0.53</v>
      </c>
      <c r="J34" s="218" t="s">
        <v>36</v>
      </c>
      <c r="K34" s="218" t="s">
        <v>36</v>
      </c>
      <c r="L34" s="218" t="s">
        <v>36</v>
      </c>
      <c r="M34" s="218" t="s">
        <v>36</v>
      </c>
      <c r="N34" s="218" t="s">
        <v>36</v>
      </c>
      <c r="O34" s="64">
        <v>0</v>
      </c>
      <c r="P34" s="64">
        <v>0.48</v>
      </c>
      <c r="Q34" s="64">
        <v>27.85</v>
      </c>
      <c r="R34" s="198"/>
      <c r="S34" s="198"/>
      <c r="T34" s="198"/>
      <c r="U34" s="198"/>
    </row>
    <row r="35" spans="1:21" s="12" customFormat="1" x14ac:dyDescent="0.25">
      <c r="A35" s="211" t="s">
        <v>2876</v>
      </c>
      <c r="B35" s="64">
        <v>11.68</v>
      </c>
      <c r="C35" s="64">
        <v>32.76</v>
      </c>
      <c r="D35" s="64">
        <v>28.09</v>
      </c>
      <c r="E35" s="64">
        <v>1.53</v>
      </c>
      <c r="F35" s="64">
        <v>3.32</v>
      </c>
      <c r="G35" s="64">
        <v>55.42</v>
      </c>
      <c r="H35" s="64">
        <v>22.53</v>
      </c>
      <c r="I35" s="64">
        <v>0.63</v>
      </c>
      <c r="J35" s="218" t="s">
        <v>36</v>
      </c>
      <c r="K35" s="218" t="s">
        <v>36</v>
      </c>
      <c r="L35" s="218" t="s">
        <v>36</v>
      </c>
      <c r="M35" s="218" t="s">
        <v>36</v>
      </c>
      <c r="N35" s="218" t="s">
        <v>36</v>
      </c>
      <c r="O35" s="64">
        <v>0</v>
      </c>
      <c r="P35" s="64">
        <v>0.55000000000000004</v>
      </c>
      <c r="Q35" s="64">
        <v>28.16</v>
      </c>
      <c r="R35" s="198"/>
      <c r="S35" s="198"/>
      <c r="T35" s="198"/>
      <c r="U35" s="198"/>
    </row>
    <row r="36" spans="1:21" s="12" customFormat="1" x14ac:dyDescent="0.25">
      <c r="A36" s="211" t="s">
        <v>2877</v>
      </c>
      <c r="B36" s="64">
        <v>13.07</v>
      </c>
      <c r="C36" s="64">
        <v>34.54</v>
      </c>
      <c r="D36" s="64">
        <v>30.19</v>
      </c>
      <c r="E36" s="64">
        <v>1.36</v>
      </c>
      <c r="F36" s="64">
        <v>3.35</v>
      </c>
      <c r="G36" s="64">
        <v>112.79</v>
      </c>
      <c r="H36" s="64">
        <v>28.75</v>
      </c>
      <c r="I36" s="64">
        <v>0.61</v>
      </c>
      <c r="J36" s="218" t="s">
        <v>36</v>
      </c>
      <c r="K36" s="218" t="s">
        <v>36</v>
      </c>
      <c r="L36" s="218" t="s">
        <v>36</v>
      </c>
      <c r="M36" s="218" t="s">
        <v>36</v>
      </c>
      <c r="N36" s="218" t="s">
        <v>36</v>
      </c>
      <c r="O36" s="64">
        <v>0</v>
      </c>
      <c r="P36" s="64">
        <v>0.61</v>
      </c>
      <c r="Q36" s="64">
        <v>28.3</v>
      </c>
      <c r="R36" s="198"/>
      <c r="S36" s="198"/>
      <c r="T36" s="198"/>
      <c r="U36" s="198"/>
    </row>
    <row r="37" spans="1:21" s="12" customFormat="1" x14ac:dyDescent="0.25">
      <c r="A37" s="211" t="s">
        <v>2878</v>
      </c>
      <c r="B37" s="64">
        <v>14.24</v>
      </c>
      <c r="C37" s="64">
        <v>36.25</v>
      </c>
      <c r="D37" s="64">
        <v>32.07</v>
      </c>
      <c r="E37" s="64">
        <v>0.88</v>
      </c>
      <c r="F37" s="64">
        <v>2.9</v>
      </c>
      <c r="G37" s="64">
        <v>112.79</v>
      </c>
      <c r="H37" s="64">
        <v>28.75</v>
      </c>
      <c r="I37" s="64">
        <v>0.62</v>
      </c>
      <c r="J37" s="218" t="s">
        <v>36</v>
      </c>
      <c r="K37" s="218" t="s">
        <v>36</v>
      </c>
      <c r="L37" s="218" t="s">
        <v>36</v>
      </c>
      <c r="M37" s="218" t="s">
        <v>36</v>
      </c>
      <c r="N37" s="218" t="s">
        <v>36</v>
      </c>
      <c r="O37" s="64">
        <v>0</v>
      </c>
      <c r="P37" s="64">
        <v>0.61</v>
      </c>
      <c r="Q37" s="64">
        <v>28.31</v>
      </c>
      <c r="R37" s="198"/>
      <c r="S37" s="198"/>
      <c r="T37" s="198"/>
      <c r="U37" s="198"/>
    </row>
    <row r="38" spans="1:21" s="12" customFormat="1" x14ac:dyDescent="0.25">
      <c r="A38" s="211" t="s">
        <v>2879</v>
      </c>
      <c r="B38" s="64">
        <v>14.44</v>
      </c>
      <c r="C38" s="64">
        <v>37.89</v>
      </c>
      <c r="D38" s="64">
        <v>33.14</v>
      </c>
      <c r="E38" s="64">
        <v>1.52</v>
      </c>
      <c r="F38" s="64">
        <v>3</v>
      </c>
      <c r="G38" s="64">
        <v>112.79</v>
      </c>
      <c r="H38" s="64">
        <v>28.75</v>
      </c>
      <c r="I38" s="64">
        <v>0.8</v>
      </c>
      <c r="J38" s="218" t="s">
        <v>36</v>
      </c>
      <c r="K38" s="218" t="s">
        <v>36</v>
      </c>
      <c r="L38" s="218" t="s">
        <v>36</v>
      </c>
      <c r="M38" s="218" t="s">
        <v>36</v>
      </c>
      <c r="N38" s="218" t="s">
        <v>36</v>
      </c>
      <c r="O38" s="64">
        <v>0</v>
      </c>
      <c r="P38" s="64">
        <v>0.67</v>
      </c>
      <c r="Q38" s="64">
        <v>28.37</v>
      </c>
      <c r="R38" s="198"/>
      <c r="S38" s="198"/>
      <c r="T38" s="198"/>
      <c r="U38" s="198"/>
    </row>
    <row r="39" spans="1:21" s="12" customFormat="1" x14ac:dyDescent="0.25">
      <c r="A39" s="211" t="s">
        <v>2880</v>
      </c>
      <c r="B39" s="64">
        <v>13.78</v>
      </c>
      <c r="C39" s="64">
        <v>39.71</v>
      </c>
      <c r="D39" s="64">
        <v>33.61</v>
      </c>
      <c r="E39" s="64">
        <v>1.89</v>
      </c>
      <c r="F39" s="64">
        <v>3.22</v>
      </c>
      <c r="G39" s="64">
        <v>122.81</v>
      </c>
      <c r="H39" s="64">
        <v>29.29</v>
      </c>
      <c r="I39" s="64">
        <v>0.66</v>
      </c>
      <c r="J39" s="218" t="s">
        <v>36</v>
      </c>
      <c r="K39" s="218" t="s">
        <v>36</v>
      </c>
      <c r="L39" s="218" t="s">
        <v>36</v>
      </c>
      <c r="M39" s="218" t="s">
        <v>36</v>
      </c>
      <c r="N39" s="218" t="s">
        <v>36</v>
      </c>
      <c r="O39" s="64">
        <v>0</v>
      </c>
      <c r="P39" s="64">
        <v>0.69</v>
      </c>
      <c r="Q39" s="64">
        <v>28.32</v>
      </c>
      <c r="R39" s="198"/>
      <c r="S39" s="198"/>
      <c r="T39" s="198"/>
      <c r="U39" s="198"/>
    </row>
    <row r="40" spans="1:21" s="12" customFormat="1" x14ac:dyDescent="0.25">
      <c r="A40" s="211" t="s">
        <v>2881</v>
      </c>
      <c r="B40" s="64">
        <v>11.78</v>
      </c>
      <c r="C40" s="64">
        <v>40.130000000000003</v>
      </c>
      <c r="D40" s="64">
        <v>32.24</v>
      </c>
      <c r="E40" s="64">
        <v>1.34</v>
      </c>
      <c r="F40" s="64">
        <v>16.489999999999998</v>
      </c>
      <c r="G40" s="64">
        <v>213.03</v>
      </c>
      <c r="H40" s="64">
        <v>32.78</v>
      </c>
      <c r="I40" s="64">
        <v>0.72</v>
      </c>
      <c r="J40" s="218" t="s">
        <v>36</v>
      </c>
      <c r="K40" s="218" t="s">
        <v>36</v>
      </c>
      <c r="L40" s="218" t="s">
        <v>36</v>
      </c>
      <c r="M40" s="218" t="s">
        <v>36</v>
      </c>
      <c r="N40" s="218" t="s">
        <v>36</v>
      </c>
      <c r="O40" s="64">
        <v>0</v>
      </c>
      <c r="P40" s="64">
        <v>0.69</v>
      </c>
      <c r="Q40" s="64">
        <v>28.73</v>
      </c>
      <c r="R40" s="198"/>
      <c r="S40" s="198"/>
      <c r="T40" s="198"/>
      <c r="U40" s="198"/>
    </row>
    <row r="41" spans="1:21" s="12" customFormat="1" x14ac:dyDescent="0.25">
      <c r="A41" s="211" t="s">
        <v>2882</v>
      </c>
      <c r="B41" s="64">
        <v>10.74</v>
      </c>
      <c r="C41" s="64">
        <v>37.090000000000003</v>
      </c>
      <c r="D41" s="64">
        <v>29.73</v>
      </c>
      <c r="E41" s="64">
        <v>2.08</v>
      </c>
      <c r="F41" s="64">
        <v>25.41</v>
      </c>
      <c r="G41" s="64">
        <v>213.03</v>
      </c>
      <c r="H41" s="64">
        <v>32.78</v>
      </c>
      <c r="I41" s="64">
        <v>0.77</v>
      </c>
      <c r="J41" s="218" t="s">
        <v>36</v>
      </c>
      <c r="K41" s="218" t="s">
        <v>36</v>
      </c>
      <c r="L41" s="218" t="s">
        <v>36</v>
      </c>
      <c r="M41" s="218" t="s">
        <v>36</v>
      </c>
      <c r="N41" s="218" t="s">
        <v>36</v>
      </c>
      <c r="O41" s="64">
        <v>0</v>
      </c>
      <c r="P41" s="64">
        <v>0.71</v>
      </c>
      <c r="Q41" s="64">
        <v>29.12</v>
      </c>
      <c r="R41" s="198"/>
      <c r="S41" s="198"/>
      <c r="T41" s="198"/>
      <c r="U41" s="198"/>
    </row>
    <row r="42" spans="1:21" s="12" customFormat="1" x14ac:dyDescent="0.25">
      <c r="A42" s="211" t="s">
        <v>2883</v>
      </c>
      <c r="B42" s="64">
        <v>10.44</v>
      </c>
      <c r="C42" s="64">
        <v>36.79</v>
      </c>
      <c r="D42" s="64">
        <v>29.33</v>
      </c>
      <c r="E42" s="64">
        <v>2.92</v>
      </c>
      <c r="F42" s="64">
        <v>29.5</v>
      </c>
      <c r="G42" s="64">
        <v>213.03</v>
      </c>
      <c r="H42" s="64">
        <v>32.78</v>
      </c>
      <c r="I42" s="64">
        <v>0.53</v>
      </c>
      <c r="J42" s="218" t="s">
        <v>36</v>
      </c>
      <c r="K42" s="218" t="s">
        <v>36</v>
      </c>
      <c r="L42" s="218" t="s">
        <v>36</v>
      </c>
      <c r="M42" s="218" t="s">
        <v>36</v>
      </c>
      <c r="N42" s="218" t="s">
        <v>36</v>
      </c>
      <c r="O42" s="64">
        <v>0</v>
      </c>
      <c r="P42" s="64">
        <v>0.7</v>
      </c>
      <c r="Q42" s="64">
        <v>28.85</v>
      </c>
      <c r="R42" s="198"/>
      <c r="S42" s="198"/>
      <c r="T42" s="198"/>
      <c r="U42" s="198"/>
    </row>
    <row r="43" spans="1:21" s="12" customFormat="1" x14ac:dyDescent="0.25">
      <c r="A43" s="211" t="s">
        <v>2884</v>
      </c>
      <c r="B43" s="64">
        <v>9.74</v>
      </c>
      <c r="C43" s="64">
        <v>36.06</v>
      </c>
      <c r="D43" s="64">
        <v>28.35</v>
      </c>
      <c r="E43" s="64">
        <v>2.76</v>
      </c>
      <c r="F43" s="64">
        <v>30.46</v>
      </c>
      <c r="G43" s="64">
        <v>206.01</v>
      </c>
      <c r="H43" s="64">
        <v>33.22</v>
      </c>
      <c r="I43" s="64">
        <v>0.63</v>
      </c>
      <c r="J43" s="218" t="s">
        <v>36</v>
      </c>
      <c r="K43" s="218" t="s">
        <v>36</v>
      </c>
      <c r="L43" s="218" t="s">
        <v>36</v>
      </c>
      <c r="M43" s="218" t="s">
        <v>36</v>
      </c>
      <c r="N43" s="218" t="s">
        <v>36</v>
      </c>
      <c r="O43" s="64">
        <v>0</v>
      </c>
      <c r="P43" s="64">
        <v>0.69</v>
      </c>
      <c r="Q43" s="64">
        <v>29.45</v>
      </c>
      <c r="R43" s="198"/>
      <c r="S43" s="198"/>
      <c r="T43" s="198"/>
      <c r="U43" s="198"/>
    </row>
    <row r="44" spans="1:21" s="12" customFormat="1" x14ac:dyDescent="0.25">
      <c r="A44" s="211" t="s">
        <v>2885</v>
      </c>
      <c r="B44" s="64">
        <v>8.69</v>
      </c>
      <c r="C44" s="64">
        <v>35.049999999999997</v>
      </c>
      <c r="D44" s="64">
        <v>26.96</v>
      </c>
      <c r="E44" s="64">
        <v>2.85</v>
      </c>
      <c r="F44" s="64">
        <v>19.86</v>
      </c>
      <c r="G44" s="64">
        <v>142.83000000000001</v>
      </c>
      <c r="H44" s="64">
        <v>36.04</v>
      </c>
      <c r="I44" s="64">
        <v>0.54</v>
      </c>
      <c r="J44" s="218" t="s">
        <v>36</v>
      </c>
      <c r="K44" s="218" t="s">
        <v>36</v>
      </c>
      <c r="L44" s="218" t="s">
        <v>36</v>
      </c>
      <c r="M44" s="218" t="s">
        <v>36</v>
      </c>
      <c r="N44" s="218" t="s">
        <v>36</v>
      </c>
      <c r="O44" s="64">
        <v>0</v>
      </c>
      <c r="P44" s="64">
        <v>0.68</v>
      </c>
      <c r="Q44" s="64">
        <v>30.36</v>
      </c>
      <c r="R44" s="198"/>
      <c r="S44" s="198"/>
      <c r="T44" s="198"/>
      <c r="U44" s="198"/>
    </row>
    <row r="45" spans="1:21" s="12" customFormat="1" x14ac:dyDescent="0.25">
      <c r="A45" s="211" t="s">
        <v>2886</v>
      </c>
      <c r="B45" s="64">
        <v>7.1</v>
      </c>
      <c r="C45" s="64">
        <v>35.56</v>
      </c>
      <c r="D45" s="64">
        <v>25.97</v>
      </c>
      <c r="E45" s="64">
        <v>2.57</v>
      </c>
      <c r="F45" s="64">
        <v>6.8</v>
      </c>
      <c r="G45" s="64">
        <v>142.83000000000001</v>
      </c>
      <c r="H45" s="64">
        <v>36.04</v>
      </c>
      <c r="I45" s="64">
        <v>0.51</v>
      </c>
      <c r="J45" s="218" t="s">
        <v>36</v>
      </c>
      <c r="K45" s="218" t="s">
        <v>36</v>
      </c>
      <c r="L45" s="218" t="s">
        <v>36</v>
      </c>
      <c r="M45" s="218" t="s">
        <v>36</v>
      </c>
      <c r="N45" s="218" t="s">
        <v>36</v>
      </c>
      <c r="O45" s="64">
        <v>0</v>
      </c>
      <c r="P45" s="64">
        <v>0.68</v>
      </c>
      <c r="Q45" s="64">
        <v>30.3</v>
      </c>
      <c r="R45" s="198"/>
      <c r="S45" s="198"/>
      <c r="T45" s="198"/>
      <c r="U45" s="198"/>
    </row>
    <row r="46" spans="1:21" s="12" customFormat="1" x14ac:dyDescent="0.25">
      <c r="A46" s="211" t="s">
        <v>2887</v>
      </c>
      <c r="B46" s="64">
        <v>5.05</v>
      </c>
      <c r="C46" s="64">
        <v>38.17</v>
      </c>
      <c r="D46" s="64">
        <v>25.76</v>
      </c>
      <c r="E46" s="64">
        <v>2.67</v>
      </c>
      <c r="F46" s="64">
        <v>5.71</v>
      </c>
      <c r="G46" s="64">
        <v>142.83000000000001</v>
      </c>
      <c r="H46" s="64">
        <v>36.04</v>
      </c>
      <c r="I46" s="64">
        <v>0.55000000000000004</v>
      </c>
      <c r="J46" s="218" t="s">
        <v>36</v>
      </c>
      <c r="K46" s="218" t="s">
        <v>36</v>
      </c>
      <c r="L46" s="218" t="s">
        <v>36</v>
      </c>
      <c r="M46" s="218" t="s">
        <v>36</v>
      </c>
      <c r="N46" s="218" t="s">
        <v>36</v>
      </c>
      <c r="O46" s="64">
        <v>0</v>
      </c>
      <c r="P46" s="64">
        <v>0.7</v>
      </c>
      <c r="Q46" s="64">
        <v>30.23</v>
      </c>
      <c r="R46" s="198"/>
      <c r="S46" s="198"/>
      <c r="T46" s="198"/>
      <c r="U46" s="198"/>
    </row>
    <row r="47" spans="1:21" s="12" customFormat="1" x14ac:dyDescent="0.25">
      <c r="A47" s="211" t="s">
        <v>2888</v>
      </c>
      <c r="B47" s="64">
        <v>3.65</v>
      </c>
      <c r="C47" s="64">
        <v>40.69</v>
      </c>
      <c r="D47" s="64">
        <v>26.03</v>
      </c>
      <c r="E47" s="64">
        <v>2.33</v>
      </c>
      <c r="F47" s="64">
        <v>6.49</v>
      </c>
      <c r="G47" s="64">
        <v>134.94999999999999</v>
      </c>
      <c r="H47" s="64">
        <v>35.71</v>
      </c>
      <c r="I47" s="64">
        <v>0.6</v>
      </c>
      <c r="J47" s="218" t="s">
        <v>36</v>
      </c>
      <c r="K47" s="218" t="s">
        <v>36</v>
      </c>
      <c r="L47" s="218" t="s">
        <v>36</v>
      </c>
      <c r="M47" s="218" t="s">
        <v>36</v>
      </c>
      <c r="N47" s="218" t="s">
        <v>36</v>
      </c>
      <c r="O47" s="64">
        <v>0</v>
      </c>
      <c r="P47" s="64">
        <v>0.72</v>
      </c>
      <c r="Q47" s="64">
        <v>30</v>
      </c>
      <c r="R47" s="198"/>
      <c r="S47" s="198"/>
      <c r="T47" s="198"/>
      <c r="U47" s="198"/>
    </row>
    <row r="48" spans="1:21" s="12" customFormat="1" x14ac:dyDescent="0.25">
      <c r="A48" s="211" t="s">
        <v>2889</v>
      </c>
      <c r="B48" s="64">
        <v>2.69</v>
      </c>
      <c r="C48" s="64">
        <v>42.25</v>
      </c>
      <c r="D48" s="64">
        <v>26.12</v>
      </c>
      <c r="E48" s="64">
        <v>2.06</v>
      </c>
      <c r="F48" s="64">
        <v>6.42</v>
      </c>
      <c r="G48" s="64">
        <v>71.94</v>
      </c>
      <c r="H48" s="64">
        <v>33.58</v>
      </c>
      <c r="I48" s="64">
        <v>0.68</v>
      </c>
      <c r="J48" s="218" t="s">
        <v>36</v>
      </c>
      <c r="K48" s="218" t="s">
        <v>36</v>
      </c>
      <c r="L48" s="218" t="s">
        <v>36</v>
      </c>
      <c r="M48" s="218" t="s">
        <v>36</v>
      </c>
      <c r="N48" s="218" t="s">
        <v>36</v>
      </c>
      <c r="O48" s="64">
        <v>0</v>
      </c>
      <c r="P48" s="64">
        <v>0.76</v>
      </c>
      <c r="Q48" s="64">
        <v>29.6</v>
      </c>
      <c r="R48" s="198"/>
      <c r="S48" s="198"/>
      <c r="T48" s="198"/>
      <c r="U48" s="198"/>
    </row>
    <row r="49" spans="1:21" s="12" customFormat="1" x14ac:dyDescent="0.25">
      <c r="A49" s="211" t="s">
        <v>2890</v>
      </c>
      <c r="B49" s="64">
        <v>2.04</v>
      </c>
      <c r="C49" s="64">
        <v>54.53</v>
      </c>
      <c r="D49" s="64">
        <v>32.369999999999997</v>
      </c>
      <c r="E49" s="64">
        <v>2.2000000000000002</v>
      </c>
      <c r="F49" s="64">
        <v>24.22</v>
      </c>
      <c r="G49" s="64">
        <v>71.94</v>
      </c>
      <c r="H49" s="64">
        <v>33.58</v>
      </c>
      <c r="I49" s="64">
        <v>0.62</v>
      </c>
      <c r="J49" s="64">
        <v>0.88</v>
      </c>
      <c r="K49" s="64">
        <v>245.61</v>
      </c>
      <c r="L49" s="64">
        <v>33.51</v>
      </c>
      <c r="M49" s="64">
        <v>31.86</v>
      </c>
      <c r="N49" s="64">
        <v>272.10000000000002</v>
      </c>
      <c r="O49" s="64">
        <v>0</v>
      </c>
      <c r="P49" s="64">
        <v>1.02</v>
      </c>
      <c r="Q49" s="64">
        <v>28.11</v>
      </c>
      <c r="R49" s="198"/>
      <c r="S49" s="198"/>
      <c r="T49" s="198"/>
      <c r="U49" s="198"/>
    </row>
    <row r="50" spans="1:21" s="12" customFormat="1" x14ac:dyDescent="0.25">
      <c r="A50" s="211" t="s">
        <v>2891</v>
      </c>
      <c r="B50" s="64">
        <v>2.04</v>
      </c>
      <c r="C50" s="64">
        <v>60.77</v>
      </c>
      <c r="D50" s="64">
        <v>35.82</v>
      </c>
      <c r="E50" s="64">
        <v>2.3199999999999998</v>
      </c>
      <c r="F50" s="64">
        <v>16.37</v>
      </c>
      <c r="G50" s="64">
        <v>71.94</v>
      </c>
      <c r="H50" s="64">
        <v>33.58</v>
      </c>
      <c r="I50" s="64">
        <v>0.67</v>
      </c>
      <c r="J50" s="64">
        <v>0.21</v>
      </c>
      <c r="K50" s="64">
        <v>212.67</v>
      </c>
      <c r="L50" s="64">
        <v>33.159999999999997</v>
      </c>
      <c r="M50" s="64">
        <v>32.33</v>
      </c>
      <c r="N50" s="64">
        <v>654.79999999999995</v>
      </c>
      <c r="O50" s="64">
        <v>0</v>
      </c>
      <c r="P50" s="64">
        <v>1.05</v>
      </c>
      <c r="Q50" s="64">
        <v>26.46</v>
      </c>
      <c r="R50" s="198"/>
      <c r="S50" s="198"/>
      <c r="T50" s="198"/>
      <c r="U50" s="198"/>
    </row>
    <row r="51" spans="1:21" s="12" customFormat="1" x14ac:dyDescent="0.25">
      <c r="A51" s="211" t="s">
        <v>2892</v>
      </c>
      <c r="B51" s="64">
        <v>2.96</v>
      </c>
      <c r="C51" s="64">
        <v>62.69</v>
      </c>
      <c r="D51" s="64">
        <v>37.61</v>
      </c>
      <c r="E51" s="64">
        <v>3.11</v>
      </c>
      <c r="F51" s="64">
        <v>11.19</v>
      </c>
      <c r="G51" s="64">
        <v>64.099999999999994</v>
      </c>
      <c r="H51" s="64">
        <v>33.9</v>
      </c>
      <c r="I51" s="64">
        <v>0.66</v>
      </c>
      <c r="J51" s="64">
        <v>0.81</v>
      </c>
      <c r="K51" s="64">
        <v>242.14</v>
      </c>
      <c r="L51" s="64">
        <v>34.19</v>
      </c>
      <c r="M51" s="64">
        <v>31.92</v>
      </c>
      <c r="N51" s="64">
        <v>427.3</v>
      </c>
      <c r="O51" s="64">
        <v>0</v>
      </c>
      <c r="P51" s="64">
        <v>1.03</v>
      </c>
      <c r="Q51" s="64">
        <v>24.99</v>
      </c>
      <c r="R51" s="198"/>
      <c r="S51" s="198"/>
      <c r="T51" s="198"/>
      <c r="U51" s="198"/>
    </row>
    <row r="52" spans="1:21" s="12" customFormat="1" x14ac:dyDescent="0.25">
      <c r="A52" s="211" t="s">
        <v>2893</v>
      </c>
      <c r="B52" s="64">
        <v>6.29</v>
      </c>
      <c r="C52" s="64">
        <v>53.61</v>
      </c>
      <c r="D52" s="64">
        <v>35.28</v>
      </c>
      <c r="E52" s="64">
        <v>11.67</v>
      </c>
      <c r="F52" s="64">
        <v>44.44</v>
      </c>
      <c r="G52" s="214" t="s">
        <v>42</v>
      </c>
      <c r="H52" s="214" t="s">
        <v>42</v>
      </c>
      <c r="I52" s="64">
        <v>0.56000000000000005</v>
      </c>
      <c r="J52" s="64">
        <v>0.6</v>
      </c>
      <c r="K52" s="64">
        <v>237.46</v>
      </c>
      <c r="L52" s="64">
        <v>34.659999999999997</v>
      </c>
      <c r="M52" s="64">
        <v>31.43</v>
      </c>
      <c r="N52" s="64">
        <v>767.1</v>
      </c>
      <c r="O52" s="64">
        <v>0</v>
      </c>
      <c r="P52" s="64">
        <v>1.05</v>
      </c>
      <c r="Q52" s="64">
        <v>25.77</v>
      </c>
      <c r="R52" s="198"/>
      <c r="S52" s="198"/>
      <c r="T52" s="198"/>
      <c r="U52" s="198"/>
    </row>
    <row r="53" spans="1:21" s="12" customFormat="1" x14ac:dyDescent="0.25">
      <c r="A53" s="211" t="s">
        <v>2894</v>
      </c>
      <c r="B53" s="64">
        <v>9.57</v>
      </c>
      <c r="C53" s="64">
        <v>57.57</v>
      </c>
      <c r="D53" s="64">
        <v>40.090000000000003</v>
      </c>
      <c r="E53" s="64">
        <v>28.75</v>
      </c>
      <c r="F53" s="64">
        <v>28.87</v>
      </c>
      <c r="G53" s="214" t="s">
        <v>42</v>
      </c>
      <c r="H53" s="214" t="s">
        <v>42</v>
      </c>
      <c r="I53" s="64">
        <v>0.56000000000000005</v>
      </c>
      <c r="J53" s="64">
        <v>1</v>
      </c>
      <c r="K53" s="64">
        <v>236.94</v>
      </c>
      <c r="L53" s="64">
        <v>34.96</v>
      </c>
      <c r="M53" s="64">
        <v>32.630000000000003</v>
      </c>
      <c r="N53" s="64">
        <v>843</v>
      </c>
      <c r="O53" s="64">
        <v>0</v>
      </c>
      <c r="P53" s="64">
        <v>1.05</v>
      </c>
      <c r="Q53" s="64">
        <v>24.49</v>
      </c>
      <c r="R53" s="198"/>
      <c r="S53" s="198"/>
      <c r="T53" s="198"/>
      <c r="U53" s="198"/>
    </row>
    <row r="54" spans="1:21" s="12" customFormat="1" x14ac:dyDescent="0.25">
      <c r="A54" s="211" t="s">
        <v>2895</v>
      </c>
      <c r="B54" s="214" t="s">
        <v>42</v>
      </c>
      <c r="C54" s="214" t="s">
        <v>42</v>
      </c>
      <c r="D54" s="214" t="s">
        <v>42</v>
      </c>
      <c r="E54" s="64">
        <v>27.27</v>
      </c>
      <c r="F54" s="64">
        <v>42.47</v>
      </c>
      <c r="G54" s="214" t="s">
        <v>42</v>
      </c>
      <c r="H54" s="214" t="s">
        <v>42</v>
      </c>
      <c r="I54" s="64">
        <v>0.56999999999999995</v>
      </c>
      <c r="J54" s="64">
        <v>0.56000000000000005</v>
      </c>
      <c r="K54" s="64">
        <v>219.51</v>
      </c>
      <c r="L54" s="64">
        <v>34.9</v>
      </c>
      <c r="M54" s="64">
        <v>32.99</v>
      </c>
      <c r="N54" s="64">
        <v>858.7</v>
      </c>
      <c r="O54" s="64">
        <v>0</v>
      </c>
      <c r="P54" s="64">
        <v>1.06</v>
      </c>
      <c r="Q54" s="64">
        <v>25.46</v>
      </c>
      <c r="R54" s="198"/>
      <c r="S54" s="198"/>
      <c r="T54" s="198"/>
      <c r="U54" s="198"/>
    </row>
    <row r="55" spans="1:21" s="12" customFormat="1" x14ac:dyDescent="0.25">
      <c r="A55" s="211" t="s">
        <v>2896</v>
      </c>
      <c r="B55" s="64">
        <v>3.08</v>
      </c>
      <c r="C55" s="64">
        <v>28.36</v>
      </c>
      <c r="D55" s="64">
        <v>18.77</v>
      </c>
      <c r="E55" s="64">
        <v>33.53</v>
      </c>
      <c r="F55" s="64">
        <v>73.72</v>
      </c>
      <c r="G55" s="214" t="s">
        <v>42</v>
      </c>
      <c r="H55" s="214" t="s">
        <v>42</v>
      </c>
      <c r="I55" s="64">
        <v>0.55000000000000004</v>
      </c>
      <c r="J55" s="64">
        <v>0.27</v>
      </c>
      <c r="K55" s="64">
        <v>218.56</v>
      </c>
      <c r="L55" s="64">
        <v>34.450000000000003</v>
      </c>
      <c r="M55" s="64">
        <v>32.659999999999997</v>
      </c>
      <c r="N55" s="64">
        <v>837</v>
      </c>
      <c r="O55" s="64">
        <v>0</v>
      </c>
      <c r="P55" s="64">
        <v>1.05</v>
      </c>
      <c r="Q55" s="64">
        <v>25.99</v>
      </c>
      <c r="R55" s="198"/>
      <c r="S55" s="198"/>
      <c r="T55" s="198"/>
      <c r="U55" s="198"/>
    </row>
    <row r="56" spans="1:21" s="12" customFormat="1" x14ac:dyDescent="0.25">
      <c r="A56" s="211" t="s">
        <v>2897</v>
      </c>
      <c r="B56" s="64">
        <v>3.6</v>
      </c>
      <c r="C56" s="64">
        <v>40.72</v>
      </c>
      <c r="D56" s="64">
        <v>26</v>
      </c>
      <c r="E56" s="64">
        <v>14.51</v>
      </c>
      <c r="F56" s="64">
        <v>52.88</v>
      </c>
      <c r="G56" s="64">
        <v>114.4</v>
      </c>
      <c r="H56" s="64">
        <v>39.18</v>
      </c>
      <c r="I56" s="64">
        <v>0.56999999999999995</v>
      </c>
      <c r="J56" s="64">
        <v>0.5</v>
      </c>
      <c r="K56" s="64">
        <v>242.35</v>
      </c>
      <c r="L56" s="64">
        <v>37.659999999999997</v>
      </c>
      <c r="M56" s="64">
        <v>29.79</v>
      </c>
      <c r="N56" s="64">
        <v>771.9</v>
      </c>
      <c r="O56" s="64">
        <v>0</v>
      </c>
      <c r="P56" s="64">
        <v>1.01</v>
      </c>
      <c r="Q56" s="64">
        <v>24.61</v>
      </c>
      <c r="R56" s="198"/>
      <c r="S56" s="198"/>
      <c r="T56" s="198"/>
      <c r="U56" s="198"/>
    </row>
    <row r="57" spans="1:21" s="12" customFormat="1" x14ac:dyDescent="0.25">
      <c r="A57" s="211" t="s">
        <v>2898</v>
      </c>
      <c r="B57" s="64">
        <v>2.31</v>
      </c>
      <c r="C57" s="64">
        <v>44.57</v>
      </c>
      <c r="D57" s="64">
        <v>27.1</v>
      </c>
      <c r="E57" s="64">
        <v>11.4</v>
      </c>
      <c r="F57" s="64">
        <v>15.06</v>
      </c>
      <c r="G57" s="64">
        <v>114.4</v>
      </c>
      <c r="H57" s="64">
        <v>39.18</v>
      </c>
      <c r="I57" s="64">
        <v>0.55000000000000004</v>
      </c>
      <c r="J57" s="64">
        <v>0.4</v>
      </c>
      <c r="K57" s="64">
        <v>231.78</v>
      </c>
      <c r="L57" s="64">
        <v>37.14</v>
      </c>
      <c r="M57" s="64">
        <v>27.45</v>
      </c>
      <c r="N57" s="64">
        <v>844.2</v>
      </c>
      <c r="O57" s="64">
        <v>0</v>
      </c>
      <c r="P57" s="64">
        <v>1.01</v>
      </c>
      <c r="Q57" s="64">
        <v>24.78</v>
      </c>
      <c r="R57" s="198"/>
      <c r="S57" s="198"/>
      <c r="T57" s="198"/>
      <c r="U57" s="198"/>
    </row>
    <row r="58" spans="1:21" s="12" customFormat="1" x14ac:dyDescent="0.25">
      <c r="A58" s="211" t="s">
        <v>2899</v>
      </c>
      <c r="B58" s="64">
        <v>1.44</v>
      </c>
      <c r="C58" s="64">
        <v>44.76</v>
      </c>
      <c r="D58" s="64">
        <v>26.51</v>
      </c>
      <c r="E58" s="64">
        <v>6.72</v>
      </c>
      <c r="F58" s="64">
        <v>13.55</v>
      </c>
      <c r="G58" s="64">
        <v>114.4</v>
      </c>
      <c r="H58" s="64">
        <v>39.18</v>
      </c>
      <c r="I58" s="64">
        <v>0.63</v>
      </c>
      <c r="J58" s="64">
        <v>0.39</v>
      </c>
      <c r="K58" s="64">
        <v>115.71</v>
      </c>
      <c r="L58" s="64">
        <v>35.450000000000003</v>
      </c>
      <c r="M58" s="64">
        <v>29.48</v>
      </c>
      <c r="N58" s="64">
        <v>866.2</v>
      </c>
      <c r="O58" s="64">
        <v>0</v>
      </c>
      <c r="P58" s="64">
        <v>0.98</v>
      </c>
      <c r="Q58" s="64">
        <v>24.88</v>
      </c>
      <c r="R58" s="198"/>
      <c r="S58" s="198"/>
      <c r="T58" s="198"/>
      <c r="U58" s="198"/>
    </row>
    <row r="59" spans="1:21" s="12" customFormat="1" x14ac:dyDescent="0.25">
      <c r="A59" s="211" t="s">
        <v>2900</v>
      </c>
      <c r="B59" s="64">
        <v>1.84</v>
      </c>
      <c r="C59" s="64">
        <v>41.91</v>
      </c>
      <c r="D59" s="64">
        <v>25.25</v>
      </c>
      <c r="E59" s="64">
        <v>7.34</v>
      </c>
      <c r="F59" s="64">
        <v>33.6</v>
      </c>
      <c r="G59" s="64">
        <v>111.44</v>
      </c>
      <c r="H59" s="64">
        <v>38.869999999999997</v>
      </c>
      <c r="I59" s="64">
        <v>0.69</v>
      </c>
      <c r="J59" s="64">
        <v>0.31</v>
      </c>
      <c r="K59" s="64">
        <v>169.35</v>
      </c>
      <c r="L59" s="64">
        <v>34.82</v>
      </c>
      <c r="M59" s="64">
        <v>28.8</v>
      </c>
      <c r="N59" s="64">
        <v>855</v>
      </c>
      <c r="O59" s="64">
        <v>0</v>
      </c>
      <c r="P59" s="64">
        <v>0.93</v>
      </c>
      <c r="Q59" s="64">
        <v>25.4</v>
      </c>
      <c r="R59" s="198"/>
      <c r="S59" s="198"/>
      <c r="T59" s="198"/>
      <c r="U59" s="198"/>
    </row>
    <row r="60" spans="1:21" s="12" customFormat="1" x14ac:dyDescent="0.25">
      <c r="A60" s="211" t="s">
        <v>2901</v>
      </c>
      <c r="B60" s="64">
        <v>1.8</v>
      </c>
      <c r="C60" s="64">
        <v>44.58</v>
      </c>
      <c r="D60" s="64">
        <v>26.69</v>
      </c>
      <c r="E60" s="64">
        <v>7.51</v>
      </c>
      <c r="F60" s="64">
        <v>15.2</v>
      </c>
      <c r="G60" s="64">
        <v>84.82</v>
      </c>
      <c r="H60" s="64">
        <v>36.630000000000003</v>
      </c>
      <c r="I60" s="64">
        <v>0.61</v>
      </c>
      <c r="J60" s="64">
        <v>0.24</v>
      </c>
      <c r="K60" s="64">
        <v>172.83</v>
      </c>
      <c r="L60" s="64">
        <v>35.950000000000003</v>
      </c>
      <c r="M60" s="64">
        <v>27.08</v>
      </c>
      <c r="N60" s="64">
        <v>810.1</v>
      </c>
      <c r="O60" s="64">
        <v>0</v>
      </c>
      <c r="P60" s="64">
        <v>0.88</v>
      </c>
      <c r="Q60" s="64">
        <v>26.14</v>
      </c>
      <c r="R60" s="198"/>
      <c r="S60" s="198"/>
      <c r="T60" s="198"/>
      <c r="U60" s="198"/>
    </row>
    <row r="61" spans="1:21" s="12" customFormat="1" x14ac:dyDescent="0.25">
      <c r="A61" s="211" t="s">
        <v>2902</v>
      </c>
      <c r="B61" s="64">
        <v>1.21</v>
      </c>
      <c r="C61" s="64">
        <v>46.89</v>
      </c>
      <c r="D61" s="64">
        <v>27.49</v>
      </c>
      <c r="E61" s="64">
        <v>5.52</v>
      </c>
      <c r="F61" s="64">
        <v>13.59</v>
      </c>
      <c r="G61" s="64">
        <v>84.82</v>
      </c>
      <c r="H61" s="64">
        <v>36.630000000000003</v>
      </c>
      <c r="I61" s="64">
        <v>0.68</v>
      </c>
      <c r="J61" s="64">
        <v>0.7</v>
      </c>
      <c r="K61" s="64">
        <v>242.06</v>
      </c>
      <c r="L61" s="64">
        <v>36.22</v>
      </c>
      <c r="M61" s="64">
        <v>27.67</v>
      </c>
      <c r="N61" s="64">
        <v>758.5</v>
      </c>
      <c r="O61" s="64">
        <v>0</v>
      </c>
      <c r="P61" s="64">
        <v>0.83</v>
      </c>
      <c r="Q61" s="64">
        <v>26.55</v>
      </c>
      <c r="R61" s="198"/>
      <c r="S61" s="198"/>
      <c r="T61" s="198"/>
      <c r="U61" s="198"/>
    </row>
    <row r="62" spans="1:21" s="12" customFormat="1" x14ac:dyDescent="0.25">
      <c r="A62" s="211" t="s">
        <v>2903</v>
      </c>
      <c r="B62" s="64">
        <v>1.21</v>
      </c>
      <c r="C62" s="64">
        <v>47.61</v>
      </c>
      <c r="D62" s="64">
        <v>27.89</v>
      </c>
      <c r="E62" s="64">
        <v>5.83</v>
      </c>
      <c r="F62" s="64">
        <v>16.21</v>
      </c>
      <c r="G62" s="64">
        <v>84.82</v>
      </c>
      <c r="H62" s="64">
        <v>36.630000000000003</v>
      </c>
      <c r="I62" s="64">
        <v>0.61</v>
      </c>
      <c r="J62" s="64">
        <v>0.63</v>
      </c>
      <c r="K62" s="64">
        <v>129.28</v>
      </c>
      <c r="L62" s="64">
        <v>35.82</v>
      </c>
      <c r="M62" s="64">
        <v>28.66</v>
      </c>
      <c r="N62" s="64">
        <v>720.7</v>
      </c>
      <c r="O62" s="64">
        <v>0</v>
      </c>
      <c r="P62" s="64">
        <v>0.85</v>
      </c>
      <c r="Q62" s="64">
        <v>25.88</v>
      </c>
      <c r="R62" s="198"/>
      <c r="S62" s="198"/>
      <c r="T62" s="198"/>
      <c r="U62" s="198"/>
    </row>
    <row r="63" spans="1:21" s="12" customFormat="1" x14ac:dyDescent="0.25">
      <c r="A63" s="211" t="s">
        <v>2904</v>
      </c>
      <c r="B63" s="64">
        <v>1.87</v>
      </c>
      <c r="C63" s="64">
        <v>45.31</v>
      </c>
      <c r="D63" s="64">
        <v>27.15</v>
      </c>
      <c r="E63" s="64">
        <v>8.43</v>
      </c>
      <c r="F63" s="64">
        <v>42.23</v>
      </c>
      <c r="G63" s="64">
        <v>75.39</v>
      </c>
      <c r="H63" s="64">
        <v>36.46</v>
      </c>
      <c r="I63" s="64">
        <v>0.65</v>
      </c>
      <c r="J63" s="64">
        <v>0.41</v>
      </c>
      <c r="K63" s="64">
        <v>204.61</v>
      </c>
      <c r="L63" s="64">
        <v>35.18</v>
      </c>
      <c r="M63" s="64">
        <v>29.61</v>
      </c>
      <c r="N63" s="64">
        <v>702.9</v>
      </c>
      <c r="O63" s="64">
        <v>0</v>
      </c>
      <c r="P63" s="64">
        <v>0.83</v>
      </c>
      <c r="Q63" s="64">
        <v>25.64</v>
      </c>
      <c r="R63" s="198"/>
      <c r="S63" s="198"/>
      <c r="T63" s="198"/>
      <c r="U63" s="198"/>
    </row>
    <row r="64" spans="1:21" s="12" customFormat="1" x14ac:dyDescent="0.25">
      <c r="A64" s="211" t="s">
        <v>2905</v>
      </c>
      <c r="B64" s="64">
        <v>1.33</v>
      </c>
      <c r="C64" s="64">
        <v>39.32</v>
      </c>
      <c r="D64" s="64">
        <v>23.41</v>
      </c>
      <c r="E64" s="64">
        <v>30.49</v>
      </c>
      <c r="F64" s="64">
        <v>62.43</v>
      </c>
      <c r="G64" s="214" t="s">
        <v>42</v>
      </c>
      <c r="H64" s="214" t="s">
        <v>42</v>
      </c>
      <c r="I64" s="64">
        <v>0.57999999999999996</v>
      </c>
      <c r="J64" s="64">
        <v>0.74</v>
      </c>
      <c r="K64" s="64">
        <v>109.54</v>
      </c>
      <c r="L64" s="64">
        <v>34.979999999999997</v>
      </c>
      <c r="M64" s="64">
        <v>29.65</v>
      </c>
      <c r="N64" s="64">
        <v>642.5</v>
      </c>
      <c r="O64" s="64">
        <v>0</v>
      </c>
      <c r="P64" s="64">
        <v>0.8</v>
      </c>
      <c r="Q64" s="64">
        <v>29.5</v>
      </c>
      <c r="R64" s="198"/>
      <c r="S64" s="198"/>
      <c r="T64" s="198"/>
      <c r="U64" s="198"/>
    </row>
    <row r="65" spans="1:21" s="12" customFormat="1" x14ac:dyDescent="0.25">
      <c r="A65" s="211" t="s">
        <v>2906</v>
      </c>
      <c r="B65" s="64">
        <v>1.17</v>
      </c>
      <c r="C65" s="64">
        <v>40.53</v>
      </c>
      <c r="D65" s="64">
        <v>23.95</v>
      </c>
      <c r="E65" s="64">
        <v>19.79</v>
      </c>
      <c r="F65" s="64">
        <v>42.45</v>
      </c>
      <c r="G65" s="214" t="s">
        <v>42</v>
      </c>
      <c r="H65" s="214" t="s">
        <v>42</v>
      </c>
      <c r="I65" s="64">
        <v>0.56999999999999995</v>
      </c>
      <c r="J65" s="64">
        <v>1.74</v>
      </c>
      <c r="K65" s="64">
        <v>105.22</v>
      </c>
      <c r="L65" s="64">
        <v>34.15</v>
      </c>
      <c r="M65" s="64">
        <v>29.97</v>
      </c>
      <c r="N65" s="64">
        <v>604.20000000000005</v>
      </c>
      <c r="O65" s="64">
        <v>0</v>
      </c>
      <c r="P65" s="64">
        <v>0.79</v>
      </c>
      <c r="Q65" s="64">
        <v>28.88</v>
      </c>
      <c r="R65" s="198"/>
      <c r="S65" s="198"/>
      <c r="T65" s="198"/>
      <c r="U65" s="198"/>
    </row>
    <row r="66" spans="1:21" s="12" customFormat="1" x14ac:dyDescent="0.25">
      <c r="A66" s="211" t="s">
        <v>2907</v>
      </c>
      <c r="B66" s="64">
        <v>2.5499999999999998</v>
      </c>
      <c r="C66" s="64">
        <v>43.62</v>
      </c>
      <c r="D66" s="64">
        <v>26.76</v>
      </c>
      <c r="E66" s="64">
        <v>22.9</v>
      </c>
      <c r="F66" s="64">
        <v>56.73</v>
      </c>
      <c r="G66" s="214" t="s">
        <v>42</v>
      </c>
      <c r="H66" s="214" t="s">
        <v>42</v>
      </c>
      <c r="I66" s="64">
        <v>0.59</v>
      </c>
      <c r="J66" s="64">
        <v>0.51</v>
      </c>
      <c r="K66" s="64">
        <v>138.43</v>
      </c>
      <c r="L66" s="64">
        <v>34.380000000000003</v>
      </c>
      <c r="M66" s="64">
        <v>29.34</v>
      </c>
      <c r="N66" s="64">
        <v>313.8</v>
      </c>
      <c r="O66" s="64">
        <v>0</v>
      </c>
      <c r="P66" s="64">
        <v>0.79</v>
      </c>
      <c r="Q66" s="64">
        <v>28.88</v>
      </c>
      <c r="R66" s="198"/>
      <c r="S66" s="198"/>
      <c r="T66" s="198"/>
      <c r="U66" s="198"/>
    </row>
    <row r="67" spans="1:21" s="12" customFormat="1" x14ac:dyDescent="0.25">
      <c r="A67" s="211" t="s">
        <v>2908</v>
      </c>
      <c r="B67" s="64">
        <v>3.15</v>
      </c>
      <c r="C67" s="64">
        <v>39.53</v>
      </c>
      <c r="D67" s="64">
        <v>24.99</v>
      </c>
      <c r="E67" s="64">
        <v>23.64</v>
      </c>
      <c r="F67" s="64">
        <v>61.46</v>
      </c>
      <c r="G67" s="214" t="s">
        <v>42</v>
      </c>
      <c r="H67" s="214" t="s">
        <v>42</v>
      </c>
      <c r="I67" s="64">
        <v>0.75</v>
      </c>
      <c r="J67" s="64">
        <v>0.34</v>
      </c>
      <c r="K67" s="64">
        <v>207.14</v>
      </c>
      <c r="L67" s="64">
        <v>34.9</v>
      </c>
      <c r="M67" s="64">
        <v>30.24</v>
      </c>
      <c r="N67" s="64">
        <v>500.4</v>
      </c>
      <c r="O67" s="64">
        <v>0</v>
      </c>
      <c r="P67" s="64">
        <v>0.78</v>
      </c>
      <c r="Q67" s="64">
        <v>28.4</v>
      </c>
      <c r="R67" s="198"/>
      <c r="S67" s="198"/>
      <c r="T67" s="198"/>
      <c r="U67" s="198"/>
    </row>
    <row r="68" spans="1:21" s="12" customFormat="1" x14ac:dyDescent="0.25">
      <c r="A68" s="211" t="s">
        <v>2909</v>
      </c>
      <c r="B68" s="64">
        <v>2.7</v>
      </c>
      <c r="C68" s="64">
        <v>40.549999999999997</v>
      </c>
      <c r="D68" s="64">
        <v>25.19</v>
      </c>
      <c r="E68" s="64">
        <v>17.260000000000002</v>
      </c>
      <c r="F68" s="64">
        <v>23.49</v>
      </c>
      <c r="G68" s="64">
        <v>156.30000000000001</v>
      </c>
      <c r="H68" s="64">
        <v>37.979999999999997</v>
      </c>
      <c r="I68" s="64">
        <v>0.7</v>
      </c>
      <c r="J68" s="64">
        <v>0.39</v>
      </c>
      <c r="K68" s="64">
        <v>192.06</v>
      </c>
      <c r="L68" s="64">
        <v>34.880000000000003</v>
      </c>
      <c r="M68" s="64">
        <v>30.3</v>
      </c>
      <c r="N68" s="64">
        <v>253.7</v>
      </c>
      <c r="O68" s="64">
        <v>0</v>
      </c>
      <c r="P68" s="64">
        <v>0.78</v>
      </c>
      <c r="Q68" s="64">
        <v>28.68</v>
      </c>
      <c r="R68" s="198"/>
      <c r="S68" s="198"/>
      <c r="T68" s="198"/>
      <c r="U68" s="198"/>
    </row>
    <row r="69" spans="1:21" s="12" customFormat="1" x14ac:dyDescent="0.25">
      <c r="A69" s="211" t="s">
        <v>2910</v>
      </c>
      <c r="B69" s="64">
        <v>1.89</v>
      </c>
      <c r="C69" s="64">
        <v>47.18</v>
      </c>
      <c r="D69" s="64">
        <v>28.19</v>
      </c>
      <c r="E69" s="64">
        <v>8.66</v>
      </c>
      <c r="F69" s="64">
        <v>13.53</v>
      </c>
      <c r="G69" s="64">
        <v>156.30000000000001</v>
      </c>
      <c r="H69" s="64">
        <v>37.979999999999997</v>
      </c>
      <c r="I69" s="64">
        <v>0.79</v>
      </c>
      <c r="J69" s="64">
        <v>0.85</v>
      </c>
      <c r="K69" s="64">
        <v>121.67</v>
      </c>
      <c r="L69" s="64">
        <v>34.69</v>
      </c>
      <c r="M69" s="64">
        <v>27.44</v>
      </c>
      <c r="N69" s="64">
        <v>183.5</v>
      </c>
      <c r="O69" s="64">
        <v>0</v>
      </c>
      <c r="P69" s="64">
        <v>0.76</v>
      </c>
      <c r="Q69" s="64">
        <v>28.46</v>
      </c>
      <c r="R69" s="198"/>
      <c r="S69" s="198"/>
      <c r="T69" s="198"/>
      <c r="U69" s="198"/>
    </row>
    <row r="70" spans="1:21" s="12" customFormat="1" x14ac:dyDescent="0.25">
      <c r="A70" s="211" t="s">
        <v>2911</v>
      </c>
      <c r="B70" s="64">
        <v>1.0900000000000001</v>
      </c>
      <c r="C70" s="64">
        <v>46.34</v>
      </c>
      <c r="D70" s="64">
        <v>27.1</v>
      </c>
      <c r="E70" s="64">
        <v>6.82</v>
      </c>
      <c r="F70" s="64">
        <v>14.47</v>
      </c>
      <c r="G70" s="64">
        <v>156.30000000000001</v>
      </c>
      <c r="H70" s="64">
        <v>37.979999999999997</v>
      </c>
      <c r="I70" s="64">
        <v>0.75</v>
      </c>
      <c r="J70" s="64">
        <v>1.6</v>
      </c>
      <c r="K70" s="64">
        <v>110.93</v>
      </c>
      <c r="L70" s="64">
        <v>34.31</v>
      </c>
      <c r="M70" s="64">
        <v>27.28</v>
      </c>
      <c r="N70" s="64">
        <v>372.8</v>
      </c>
      <c r="O70" s="64">
        <v>0</v>
      </c>
      <c r="P70" s="64">
        <v>0.74</v>
      </c>
      <c r="Q70" s="64">
        <v>28.55</v>
      </c>
      <c r="R70" s="198"/>
      <c r="S70" s="198"/>
      <c r="T70" s="198"/>
      <c r="U70" s="198"/>
    </row>
    <row r="71" spans="1:21" s="12" customFormat="1" x14ac:dyDescent="0.25">
      <c r="A71" s="211" t="s">
        <v>2912</v>
      </c>
      <c r="B71" s="64">
        <v>1</v>
      </c>
      <c r="C71" s="64">
        <v>42.53</v>
      </c>
      <c r="D71" s="64">
        <v>24.92</v>
      </c>
      <c r="E71" s="64">
        <v>7.68</v>
      </c>
      <c r="F71" s="64">
        <v>21.77</v>
      </c>
      <c r="G71" s="64">
        <v>143.02000000000001</v>
      </c>
      <c r="H71" s="64">
        <v>37.89</v>
      </c>
      <c r="I71" s="64">
        <v>0.64</v>
      </c>
      <c r="J71" s="64">
        <v>0.54</v>
      </c>
      <c r="K71" s="64">
        <v>112.98</v>
      </c>
      <c r="L71" s="64">
        <v>34.369999999999997</v>
      </c>
      <c r="M71" s="64">
        <v>27.49</v>
      </c>
      <c r="N71" s="64">
        <v>191.8</v>
      </c>
      <c r="O71" s="64">
        <v>0</v>
      </c>
      <c r="P71" s="64">
        <v>0.69</v>
      </c>
      <c r="Q71" s="64">
        <v>28.68</v>
      </c>
      <c r="R71" s="198"/>
      <c r="S71" s="198"/>
      <c r="T71" s="198"/>
      <c r="U71" s="198"/>
    </row>
    <row r="72" spans="1:21" s="12" customFormat="1" x14ac:dyDescent="0.25">
      <c r="A72" s="211" t="s">
        <v>2913</v>
      </c>
      <c r="B72" s="64">
        <v>1.22</v>
      </c>
      <c r="C72" s="64">
        <v>43.67</v>
      </c>
      <c r="D72" s="64">
        <v>25.72</v>
      </c>
      <c r="E72" s="64">
        <v>4.7699999999999996</v>
      </c>
      <c r="F72" s="64">
        <v>15.19</v>
      </c>
      <c r="G72" s="214" t="s">
        <v>42</v>
      </c>
      <c r="H72" s="214" t="s">
        <v>42</v>
      </c>
      <c r="I72" s="64">
        <v>0.68</v>
      </c>
      <c r="J72" s="64">
        <v>0.65</v>
      </c>
      <c r="K72" s="64">
        <v>125.49</v>
      </c>
      <c r="L72" s="64">
        <v>34.6</v>
      </c>
      <c r="M72" s="64">
        <v>27.36</v>
      </c>
      <c r="N72" s="64">
        <v>193.1</v>
      </c>
      <c r="O72" s="64">
        <v>0</v>
      </c>
      <c r="P72" s="64">
        <v>0.67</v>
      </c>
      <c r="Q72" s="64">
        <v>28.75</v>
      </c>
      <c r="R72" s="198"/>
      <c r="S72" s="198"/>
      <c r="T72" s="198"/>
      <c r="U72" s="198"/>
    </row>
    <row r="73" spans="1:21" s="12" customFormat="1" x14ac:dyDescent="0.25">
      <c r="A73" s="211" t="s">
        <v>2914</v>
      </c>
      <c r="B73" s="64">
        <v>1.63</v>
      </c>
      <c r="C73" s="64">
        <v>46.22</v>
      </c>
      <c r="D73" s="64">
        <v>27.46</v>
      </c>
      <c r="E73" s="64">
        <v>6.91</v>
      </c>
      <c r="F73" s="64">
        <v>19.600000000000001</v>
      </c>
      <c r="G73" s="214" t="s">
        <v>42</v>
      </c>
      <c r="H73" s="214" t="s">
        <v>42</v>
      </c>
      <c r="I73" s="64">
        <v>0.73</v>
      </c>
      <c r="J73" s="64">
        <v>0.6</v>
      </c>
      <c r="K73" s="64">
        <v>125.39</v>
      </c>
      <c r="L73" s="64">
        <v>34.32</v>
      </c>
      <c r="M73" s="64">
        <v>25.83</v>
      </c>
      <c r="N73" s="64">
        <v>109.9</v>
      </c>
      <c r="O73" s="64">
        <v>0</v>
      </c>
      <c r="P73" s="64">
        <v>0.65</v>
      </c>
      <c r="Q73" s="64">
        <v>28.43</v>
      </c>
      <c r="R73" s="198"/>
      <c r="S73" s="198"/>
      <c r="T73" s="198"/>
      <c r="U73" s="198"/>
    </row>
    <row r="74" spans="1:21" s="12" customFormat="1" x14ac:dyDescent="0.25">
      <c r="A74" s="211" t="s">
        <v>2915</v>
      </c>
      <c r="B74" s="64">
        <v>1.02</v>
      </c>
      <c r="C74" s="64">
        <v>43.44</v>
      </c>
      <c r="D74" s="64">
        <v>25.44</v>
      </c>
      <c r="E74" s="64">
        <v>6.42</v>
      </c>
      <c r="F74" s="64">
        <v>13.37</v>
      </c>
      <c r="G74" s="214" t="s">
        <v>42</v>
      </c>
      <c r="H74" s="214" t="s">
        <v>42</v>
      </c>
      <c r="I74" s="64">
        <v>0.57999999999999996</v>
      </c>
      <c r="J74" s="64">
        <v>1.43</v>
      </c>
      <c r="K74" s="64">
        <v>105.52</v>
      </c>
      <c r="L74" s="64">
        <v>34.19</v>
      </c>
      <c r="M74" s="64">
        <v>25.02</v>
      </c>
      <c r="N74" s="64">
        <v>94.8</v>
      </c>
      <c r="O74" s="64">
        <v>0</v>
      </c>
      <c r="P74" s="64">
        <v>0.61</v>
      </c>
      <c r="Q74" s="64">
        <v>28.53</v>
      </c>
      <c r="R74" s="198"/>
      <c r="S74" s="198"/>
      <c r="T74" s="198"/>
      <c r="U74" s="198"/>
    </row>
    <row r="75" spans="1:21" s="12" customFormat="1" x14ac:dyDescent="0.25">
      <c r="A75" s="211" t="s">
        <v>2916</v>
      </c>
      <c r="B75" s="64">
        <v>1</v>
      </c>
      <c r="C75" s="64">
        <v>29.54</v>
      </c>
      <c r="D75" s="64">
        <v>17.75</v>
      </c>
      <c r="E75" s="64">
        <v>10.199999999999999</v>
      </c>
      <c r="F75" s="64">
        <v>68.709999999999994</v>
      </c>
      <c r="G75" s="214" t="s">
        <v>42</v>
      </c>
      <c r="H75" s="214" t="s">
        <v>42</v>
      </c>
      <c r="I75" s="64">
        <v>0.56999999999999995</v>
      </c>
      <c r="J75" s="64">
        <v>0.62</v>
      </c>
      <c r="K75" s="64">
        <v>118.98</v>
      </c>
      <c r="L75" s="64">
        <v>34.17</v>
      </c>
      <c r="M75" s="64">
        <v>24.15</v>
      </c>
      <c r="N75" s="64">
        <v>83.7</v>
      </c>
      <c r="O75" s="64">
        <v>0</v>
      </c>
      <c r="P75" s="64">
        <v>0.56999999999999995</v>
      </c>
      <c r="Q75" s="64">
        <v>29.14</v>
      </c>
      <c r="R75" s="198"/>
      <c r="S75" s="198"/>
      <c r="T75" s="198"/>
      <c r="U75" s="198"/>
    </row>
    <row r="76" spans="1:21" s="12" customFormat="1" x14ac:dyDescent="0.25">
      <c r="A76" s="211" t="s">
        <v>2917</v>
      </c>
      <c r="B76" s="64">
        <v>1.01</v>
      </c>
      <c r="C76" s="64">
        <v>23.01</v>
      </c>
      <c r="D76" s="64">
        <v>14.16</v>
      </c>
      <c r="E76" s="64">
        <v>18.239999999999998</v>
      </c>
      <c r="F76" s="64">
        <v>80.27</v>
      </c>
      <c r="G76" s="214" t="s">
        <v>42</v>
      </c>
      <c r="H76" s="214" t="s">
        <v>42</v>
      </c>
      <c r="I76" s="64">
        <v>0.57999999999999996</v>
      </c>
      <c r="J76" s="64">
        <v>1.03</v>
      </c>
      <c r="K76" s="64">
        <v>107.09</v>
      </c>
      <c r="L76" s="64">
        <v>34.1</v>
      </c>
      <c r="M76" s="64">
        <v>24.93</v>
      </c>
      <c r="N76" s="64">
        <v>74.900000000000006</v>
      </c>
      <c r="O76" s="64">
        <v>0</v>
      </c>
      <c r="P76" s="64">
        <v>0.56999999999999995</v>
      </c>
      <c r="Q76" s="64">
        <v>30.78</v>
      </c>
      <c r="R76" s="198"/>
      <c r="S76" s="198"/>
      <c r="T76" s="198"/>
      <c r="U76" s="198"/>
    </row>
    <row r="77" spans="1:21" s="12" customFormat="1" x14ac:dyDescent="0.25">
      <c r="A77" s="211" t="s">
        <v>2918</v>
      </c>
      <c r="B77" s="64">
        <v>1</v>
      </c>
      <c r="C77" s="64">
        <v>16.36</v>
      </c>
      <c r="D77" s="64">
        <v>10.48</v>
      </c>
      <c r="E77" s="64">
        <v>21.72</v>
      </c>
      <c r="F77" s="64">
        <v>96.44</v>
      </c>
      <c r="G77" s="214" t="s">
        <v>42</v>
      </c>
      <c r="H77" s="214" t="s">
        <v>42</v>
      </c>
      <c r="I77" s="64">
        <v>0.56999999999999995</v>
      </c>
      <c r="J77" s="64">
        <v>0.68</v>
      </c>
      <c r="K77" s="64">
        <v>109.75</v>
      </c>
      <c r="L77" s="64">
        <v>33.99</v>
      </c>
      <c r="M77" s="64">
        <v>25.16</v>
      </c>
      <c r="N77" s="64">
        <v>65.3</v>
      </c>
      <c r="O77" s="64">
        <v>0</v>
      </c>
      <c r="P77" s="64">
        <v>0.55000000000000004</v>
      </c>
      <c r="Q77" s="64">
        <v>31.07</v>
      </c>
      <c r="R77" s="198"/>
      <c r="S77" s="198"/>
      <c r="T77" s="198"/>
      <c r="U77" s="198"/>
    </row>
    <row r="78" spans="1:21" s="12" customFormat="1" x14ac:dyDescent="0.25">
      <c r="A78" s="211" t="s">
        <v>2919</v>
      </c>
      <c r="B78" s="64">
        <v>2.11</v>
      </c>
      <c r="C78" s="64">
        <v>31.01</v>
      </c>
      <c r="D78" s="64">
        <v>19.45</v>
      </c>
      <c r="E78" s="64">
        <v>22.23</v>
      </c>
      <c r="F78" s="64">
        <v>83.2</v>
      </c>
      <c r="G78" s="214" t="s">
        <v>42</v>
      </c>
      <c r="H78" s="214" t="s">
        <v>42</v>
      </c>
      <c r="I78" s="64">
        <v>0.63</v>
      </c>
      <c r="J78" s="64">
        <v>0.24</v>
      </c>
      <c r="K78" s="64">
        <v>93.48</v>
      </c>
      <c r="L78" s="64">
        <v>33.92</v>
      </c>
      <c r="M78" s="64">
        <v>26.01</v>
      </c>
      <c r="N78" s="64">
        <v>53.8</v>
      </c>
      <c r="O78" s="64">
        <v>0</v>
      </c>
      <c r="P78" s="64">
        <v>0.54</v>
      </c>
      <c r="Q78" s="64">
        <v>30.08</v>
      </c>
      <c r="R78" s="198"/>
      <c r="S78" s="198"/>
      <c r="T78" s="198"/>
      <c r="U78" s="198"/>
    </row>
    <row r="79" spans="1:21" s="12" customFormat="1" x14ac:dyDescent="0.25">
      <c r="A79" s="211" t="s">
        <v>2920</v>
      </c>
      <c r="B79" s="64">
        <v>2.2999999999999998</v>
      </c>
      <c r="C79" s="64">
        <v>37.25</v>
      </c>
      <c r="D79" s="64">
        <v>23.05</v>
      </c>
      <c r="E79" s="64">
        <v>21.18</v>
      </c>
      <c r="F79" s="64">
        <v>75.33</v>
      </c>
      <c r="G79" s="214" t="s">
        <v>42</v>
      </c>
      <c r="H79" s="214" t="s">
        <v>42</v>
      </c>
      <c r="I79" s="64">
        <v>0.48</v>
      </c>
      <c r="J79" s="64">
        <v>0.44</v>
      </c>
      <c r="K79" s="64">
        <v>94.85</v>
      </c>
      <c r="L79" s="64">
        <v>33.770000000000003</v>
      </c>
      <c r="M79" s="64">
        <v>25.83</v>
      </c>
      <c r="N79" s="64">
        <v>40.700000000000003</v>
      </c>
      <c r="O79" s="64">
        <v>0</v>
      </c>
      <c r="P79" s="64">
        <v>0.54</v>
      </c>
      <c r="Q79" s="64">
        <v>28.56</v>
      </c>
      <c r="R79" s="198"/>
      <c r="S79" s="198"/>
      <c r="T79" s="198"/>
      <c r="U79" s="198"/>
    </row>
    <row r="80" spans="1:21" s="12" customFormat="1" x14ac:dyDescent="0.25">
      <c r="A80" s="211" t="s">
        <v>2921</v>
      </c>
      <c r="B80" s="64">
        <v>1.03</v>
      </c>
      <c r="C80" s="64">
        <v>35.72</v>
      </c>
      <c r="D80" s="64">
        <v>21.18</v>
      </c>
      <c r="E80" s="64">
        <v>13.46</v>
      </c>
      <c r="F80" s="64">
        <v>37.82</v>
      </c>
      <c r="G80" s="64">
        <v>112.45</v>
      </c>
      <c r="H80" s="64">
        <v>31.96</v>
      </c>
      <c r="I80" s="64">
        <v>0.52</v>
      </c>
      <c r="J80" s="64">
        <v>0.3</v>
      </c>
      <c r="K80" s="64">
        <v>96.71</v>
      </c>
      <c r="L80" s="64">
        <v>33.39</v>
      </c>
      <c r="M80" s="64">
        <v>27.08</v>
      </c>
      <c r="N80" s="64">
        <v>23.6</v>
      </c>
      <c r="O80" s="64">
        <v>0</v>
      </c>
      <c r="P80" s="64">
        <v>0.55000000000000004</v>
      </c>
      <c r="Q80" s="64">
        <v>28.48</v>
      </c>
      <c r="R80" s="198"/>
      <c r="S80" s="198"/>
      <c r="T80" s="198"/>
      <c r="U80" s="198"/>
    </row>
    <row r="81" spans="1:26" s="12" customFormat="1" x14ac:dyDescent="0.25">
      <c r="A81" s="211" t="s">
        <v>2922</v>
      </c>
      <c r="B81" s="64">
        <v>1</v>
      </c>
      <c r="C81" s="64">
        <v>35.32</v>
      </c>
      <c r="D81" s="64">
        <v>20.94</v>
      </c>
      <c r="E81" s="64">
        <v>9.41</v>
      </c>
      <c r="F81" s="64">
        <v>37.58</v>
      </c>
      <c r="G81" s="64">
        <v>112.45</v>
      </c>
      <c r="H81" s="64">
        <v>31.96</v>
      </c>
      <c r="I81" s="64">
        <v>0.5</v>
      </c>
      <c r="J81" s="64">
        <v>0.3</v>
      </c>
      <c r="K81" s="64">
        <v>80.739999999999995</v>
      </c>
      <c r="L81" s="64">
        <v>33</v>
      </c>
      <c r="M81" s="64">
        <v>28.3</v>
      </c>
      <c r="N81" s="64">
        <v>13.4</v>
      </c>
      <c r="O81" s="64">
        <v>0</v>
      </c>
      <c r="P81" s="64">
        <v>0.53</v>
      </c>
      <c r="Q81" s="64">
        <v>28.46</v>
      </c>
      <c r="R81" s="198"/>
      <c r="S81" s="198"/>
      <c r="T81" s="198"/>
      <c r="U81" s="198"/>
    </row>
    <row r="82" spans="1:26" s="12" customFormat="1" x14ac:dyDescent="0.25">
      <c r="A82" s="211" t="s">
        <v>2923</v>
      </c>
      <c r="B82" s="64">
        <v>1.66</v>
      </c>
      <c r="C82" s="64">
        <v>39.21</v>
      </c>
      <c r="D82" s="64">
        <v>23.61</v>
      </c>
      <c r="E82" s="64">
        <v>8.16</v>
      </c>
      <c r="F82" s="64">
        <v>39.22</v>
      </c>
      <c r="G82" s="64">
        <v>112.45</v>
      </c>
      <c r="H82" s="64">
        <v>31.96</v>
      </c>
      <c r="I82" s="64">
        <v>0.69</v>
      </c>
      <c r="J82" s="64">
        <v>0.27</v>
      </c>
      <c r="K82" s="64">
        <v>63.16</v>
      </c>
      <c r="L82" s="64">
        <v>32.49</v>
      </c>
      <c r="M82" s="64">
        <v>30.86</v>
      </c>
      <c r="N82" s="64">
        <v>8.6</v>
      </c>
      <c r="O82" s="64">
        <v>0</v>
      </c>
      <c r="P82" s="64">
        <v>0.55000000000000004</v>
      </c>
      <c r="Q82" s="64">
        <v>28.01</v>
      </c>
      <c r="R82" s="198"/>
      <c r="S82" s="198"/>
      <c r="T82" s="198"/>
      <c r="U82" s="198"/>
    </row>
    <row r="83" spans="1:26" s="12" customFormat="1" x14ac:dyDescent="0.25">
      <c r="A83" s="211" t="s">
        <v>2924</v>
      </c>
      <c r="B83" s="64">
        <v>3.52</v>
      </c>
      <c r="C83" s="64">
        <v>66.239999999999995</v>
      </c>
      <c r="D83" s="64">
        <v>40.03</v>
      </c>
      <c r="E83" s="64">
        <v>7.88</v>
      </c>
      <c r="F83" s="64">
        <v>24.86</v>
      </c>
      <c r="G83" s="64">
        <v>107.79</v>
      </c>
      <c r="H83" s="64">
        <v>32.03</v>
      </c>
      <c r="I83" s="64">
        <v>0.6</v>
      </c>
      <c r="J83" s="64">
        <v>0.32</v>
      </c>
      <c r="K83" s="64">
        <v>62.37</v>
      </c>
      <c r="L83" s="64">
        <v>31.51</v>
      </c>
      <c r="M83" s="64">
        <v>34.81</v>
      </c>
      <c r="N83" s="64">
        <v>5.6</v>
      </c>
      <c r="O83" s="64">
        <v>0</v>
      </c>
      <c r="P83" s="64">
        <v>0.64</v>
      </c>
      <c r="Q83" s="64">
        <v>26.43</v>
      </c>
      <c r="R83" s="198"/>
      <c r="S83" s="198"/>
      <c r="T83" s="198"/>
      <c r="U83" s="198"/>
    </row>
    <row r="84" spans="1:26" s="12" customFormat="1" x14ac:dyDescent="0.25">
      <c r="A84" s="211" t="s">
        <v>2925</v>
      </c>
      <c r="B84" s="64">
        <v>2.04</v>
      </c>
      <c r="C84" s="64">
        <v>60.15</v>
      </c>
      <c r="D84" s="64">
        <v>35.479999999999997</v>
      </c>
      <c r="E84" s="64">
        <v>8.2100000000000009</v>
      </c>
      <c r="F84" s="64">
        <v>24.04</v>
      </c>
      <c r="G84" s="64">
        <v>70.52</v>
      </c>
      <c r="H84" s="64">
        <v>32.479999999999997</v>
      </c>
      <c r="I84" s="64">
        <v>0.62</v>
      </c>
      <c r="J84" s="64">
        <v>0.3</v>
      </c>
      <c r="K84" s="64">
        <v>63.7</v>
      </c>
      <c r="L84" s="64">
        <v>31.54</v>
      </c>
      <c r="M84" s="64">
        <v>32.61</v>
      </c>
      <c r="N84" s="64">
        <v>5</v>
      </c>
      <c r="O84" s="64">
        <v>0</v>
      </c>
      <c r="P84" s="64">
        <v>0.74</v>
      </c>
      <c r="Q84" s="64">
        <v>26</v>
      </c>
      <c r="R84" s="198"/>
      <c r="S84" s="198"/>
      <c r="T84" s="198"/>
      <c r="U84" s="198"/>
    </row>
    <row r="85" spans="1:26" s="12" customFormat="1" x14ac:dyDescent="0.25">
      <c r="A85" s="211" t="s">
        <v>2926</v>
      </c>
      <c r="B85" s="64">
        <v>1.56</v>
      </c>
      <c r="C85" s="64">
        <v>60.48</v>
      </c>
      <c r="D85" s="64">
        <v>35.28</v>
      </c>
      <c r="E85" s="64">
        <v>7.91</v>
      </c>
      <c r="F85" s="64">
        <v>22</v>
      </c>
      <c r="G85" s="64">
        <v>70.52</v>
      </c>
      <c r="H85" s="64">
        <v>32.479999999999997</v>
      </c>
      <c r="I85" s="64">
        <v>0.74</v>
      </c>
      <c r="J85" s="64">
        <v>0.26</v>
      </c>
      <c r="K85" s="64">
        <v>71.099999999999994</v>
      </c>
      <c r="L85" s="64">
        <v>31.76</v>
      </c>
      <c r="M85" s="64">
        <v>31.75</v>
      </c>
      <c r="N85" s="64">
        <v>4.9000000000000004</v>
      </c>
      <c r="O85" s="64">
        <v>0</v>
      </c>
      <c r="P85" s="64">
        <v>0.72</v>
      </c>
      <c r="Q85" s="64">
        <v>26.58</v>
      </c>
      <c r="R85" s="198"/>
      <c r="S85" s="198"/>
      <c r="T85" s="198"/>
      <c r="U85" s="198"/>
    </row>
    <row r="86" spans="1:26" s="12" customFormat="1" x14ac:dyDescent="0.25">
      <c r="A86" s="211" t="s">
        <v>2927</v>
      </c>
      <c r="B86" s="64">
        <v>3.11</v>
      </c>
      <c r="C86" s="64">
        <v>65.03</v>
      </c>
      <c r="D86" s="64">
        <v>39.03</v>
      </c>
      <c r="E86" s="64">
        <v>10.54</v>
      </c>
      <c r="F86" s="64">
        <v>18.29</v>
      </c>
      <c r="G86" s="64">
        <v>70.52</v>
      </c>
      <c r="H86" s="64">
        <v>32.479999999999997</v>
      </c>
      <c r="I86" s="64">
        <v>0.75</v>
      </c>
      <c r="J86" s="64">
        <v>0.28999999999999998</v>
      </c>
      <c r="K86" s="64">
        <v>72.47</v>
      </c>
      <c r="L86" s="64">
        <v>31.74</v>
      </c>
      <c r="M86" s="64">
        <v>31.4</v>
      </c>
      <c r="N86" s="64">
        <v>4.7</v>
      </c>
      <c r="O86" s="64">
        <v>0</v>
      </c>
      <c r="P86" s="64">
        <v>0.83</v>
      </c>
      <c r="Q86" s="64">
        <v>26.43</v>
      </c>
      <c r="R86" s="198"/>
      <c r="S86" s="198"/>
      <c r="T86" s="198"/>
      <c r="U86" s="198"/>
    </row>
    <row r="87" spans="1:26" s="12" customFormat="1" x14ac:dyDescent="0.25">
      <c r="A87" s="211" t="s">
        <v>2928</v>
      </c>
      <c r="B87" s="64">
        <v>31.65</v>
      </c>
      <c r="C87" s="64">
        <v>99.87</v>
      </c>
      <c r="D87" s="64">
        <v>81.150000000000006</v>
      </c>
      <c r="E87" s="64">
        <v>14.89</v>
      </c>
      <c r="F87" s="64">
        <v>18.03</v>
      </c>
      <c r="G87" s="64">
        <v>63.23</v>
      </c>
      <c r="H87" s="64">
        <v>32.93</v>
      </c>
      <c r="I87" s="64">
        <v>0.82</v>
      </c>
      <c r="J87" s="64">
        <v>0.05</v>
      </c>
      <c r="K87" s="64">
        <v>69.010000000000005</v>
      </c>
      <c r="L87" s="64">
        <v>31.58</v>
      </c>
      <c r="M87" s="64">
        <v>32.14</v>
      </c>
      <c r="N87" s="64">
        <v>5</v>
      </c>
      <c r="O87" s="64">
        <v>0</v>
      </c>
      <c r="P87" s="64">
        <v>0.92</v>
      </c>
      <c r="Q87" s="64">
        <v>21.74</v>
      </c>
      <c r="R87" s="198"/>
      <c r="S87" s="198"/>
      <c r="T87" s="198"/>
      <c r="U87" s="198"/>
    </row>
    <row r="88" spans="1:26" s="12" customFormat="1" x14ac:dyDescent="0.25">
      <c r="A88" s="211" t="s">
        <v>2929</v>
      </c>
      <c r="B88" s="64">
        <v>17.190000000000001</v>
      </c>
      <c r="C88" s="64">
        <v>96.31</v>
      </c>
      <c r="D88" s="64">
        <v>67.58</v>
      </c>
      <c r="E88" s="64">
        <v>11.78</v>
      </c>
      <c r="F88" s="64">
        <v>20.8</v>
      </c>
      <c r="G88" s="214" t="s">
        <v>42</v>
      </c>
      <c r="H88" s="214" t="s">
        <v>42</v>
      </c>
      <c r="I88" s="64">
        <v>0.73</v>
      </c>
      <c r="J88" s="64">
        <v>0.23</v>
      </c>
      <c r="K88" s="64">
        <v>75.349999999999994</v>
      </c>
      <c r="L88" s="64">
        <v>31.37</v>
      </c>
      <c r="M88" s="64">
        <v>32.42</v>
      </c>
      <c r="N88" s="64">
        <v>4.8</v>
      </c>
      <c r="O88" s="64">
        <v>0</v>
      </c>
      <c r="P88" s="64">
        <v>1</v>
      </c>
      <c r="Q88" s="64">
        <v>22.11</v>
      </c>
      <c r="R88" s="198"/>
      <c r="S88" s="198"/>
      <c r="T88" s="198"/>
      <c r="U88" s="198"/>
    </row>
    <row r="89" spans="1:26" s="12" customFormat="1" x14ac:dyDescent="0.25">
      <c r="A89" s="211" t="s">
        <v>2930</v>
      </c>
      <c r="B89" s="64">
        <v>29.95</v>
      </c>
      <c r="C89" s="64">
        <v>102.81</v>
      </c>
      <c r="D89" s="64">
        <v>81.400000000000006</v>
      </c>
      <c r="E89" s="64">
        <v>16.98</v>
      </c>
      <c r="F89" s="64">
        <v>14.65</v>
      </c>
      <c r="G89" s="214" t="s">
        <v>42</v>
      </c>
      <c r="H89" s="214" t="s">
        <v>42</v>
      </c>
      <c r="I89" s="64">
        <v>0.95</v>
      </c>
      <c r="J89" s="64">
        <v>0.09</v>
      </c>
      <c r="K89" s="64">
        <v>234.73</v>
      </c>
      <c r="L89" s="64">
        <v>31</v>
      </c>
      <c r="M89" s="64">
        <v>34.6</v>
      </c>
      <c r="N89" s="64">
        <v>5.0999999999999996</v>
      </c>
      <c r="O89" s="64">
        <v>0</v>
      </c>
      <c r="P89" s="64">
        <v>1.06</v>
      </c>
      <c r="Q89" s="64">
        <v>23.42</v>
      </c>
      <c r="R89" s="198"/>
      <c r="S89" s="198"/>
      <c r="T89" s="198"/>
      <c r="U89" s="198"/>
    </row>
    <row r="90" spans="1:26" s="12" customFormat="1" x14ac:dyDescent="0.25">
      <c r="A90" s="211" t="s">
        <v>2931</v>
      </c>
      <c r="B90" s="64">
        <v>22.47</v>
      </c>
      <c r="C90" s="64">
        <v>91.56</v>
      </c>
      <c r="D90" s="64">
        <v>69.19</v>
      </c>
      <c r="E90" s="64">
        <v>17.04</v>
      </c>
      <c r="F90" s="64">
        <v>16.420000000000002</v>
      </c>
      <c r="G90" s="214" t="s">
        <v>42</v>
      </c>
      <c r="H90" s="214" t="s">
        <v>42</v>
      </c>
      <c r="I90" s="64">
        <v>0.95</v>
      </c>
      <c r="J90" s="64">
        <v>7.0000000000000007E-2</v>
      </c>
      <c r="K90" s="64">
        <v>104.05</v>
      </c>
      <c r="L90" s="64">
        <v>30.69</v>
      </c>
      <c r="M90" s="64">
        <v>35.17</v>
      </c>
      <c r="N90" s="64">
        <v>5.0999999999999996</v>
      </c>
      <c r="O90" s="64">
        <v>0</v>
      </c>
      <c r="P90" s="64">
        <v>1.1499999999999999</v>
      </c>
      <c r="Q90" s="64">
        <v>22.06</v>
      </c>
      <c r="R90" s="198"/>
      <c r="S90" s="198"/>
      <c r="T90" s="198"/>
      <c r="U90" s="198"/>
    </row>
    <row r="91" spans="1:26" s="12" customFormat="1" x14ac:dyDescent="0.25">
      <c r="A91" s="211" t="s">
        <v>2932</v>
      </c>
      <c r="B91" s="64">
        <v>3.1</v>
      </c>
      <c r="C91" s="64">
        <v>71</v>
      </c>
      <c r="D91" s="64">
        <v>42.31</v>
      </c>
      <c r="E91" s="64">
        <v>16.71</v>
      </c>
      <c r="F91" s="64">
        <v>20.9</v>
      </c>
      <c r="G91" s="214" t="s">
        <v>42</v>
      </c>
      <c r="H91" s="214" t="s">
        <v>42</v>
      </c>
      <c r="I91" s="64">
        <v>1.08</v>
      </c>
      <c r="J91" s="64">
        <v>0.3</v>
      </c>
      <c r="K91" s="64">
        <v>88.58</v>
      </c>
      <c r="L91" s="64">
        <v>30.74</v>
      </c>
      <c r="M91" s="64">
        <v>34.65</v>
      </c>
      <c r="N91" s="64">
        <v>4.8</v>
      </c>
      <c r="O91" s="64">
        <v>0</v>
      </c>
      <c r="P91" s="64">
        <v>1.18</v>
      </c>
      <c r="Q91" s="64">
        <v>27.79</v>
      </c>
      <c r="R91" s="198"/>
      <c r="S91" s="198"/>
      <c r="T91" s="198"/>
      <c r="U91" s="198"/>
    </row>
    <row r="92" spans="1:26" s="12" customFormat="1" x14ac:dyDescent="0.25">
      <c r="A92" s="211" t="s">
        <v>2933</v>
      </c>
      <c r="B92" s="64">
        <v>8.9</v>
      </c>
      <c r="C92" s="64">
        <v>69.260000000000005</v>
      </c>
      <c r="D92" s="64">
        <v>46.01</v>
      </c>
      <c r="E92" s="64">
        <v>10.23</v>
      </c>
      <c r="F92" s="64">
        <v>8.02</v>
      </c>
      <c r="G92" s="64">
        <v>227.13</v>
      </c>
      <c r="H92" s="64">
        <v>37.299999999999997</v>
      </c>
      <c r="I92" s="64">
        <v>0.93</v>
      </c>
      <c r="J92" s="64">
        <v>0.2</v>
      </c>
      <c r="K92" s="64">
        <v>85.08</v>
      </c>
      <c r="L92" s="64">
        <v>30.82</v>
      </c>
      <c r="M92" s="64">
        <v>34.909999999999997</v>
      </c>
      <c r="N92" s="64">
        <v>4.5</v>
      </c>
      <c r="O92" s="64">
        <v>0</v>
      </c>
      <c r="P92" s="64">
        <v>1.2</v>
      </c>
      <c r="Q92" s="64">
        <v>27.97</v>
      </c>
      <c r="R92" s="198"/>
      <c r="S92" s="198"/>
      <c r="T92" s="198"/>
      <c r="U92" s="198"/>
    </row>
    <row r="93" spans="1:26" s="12" customFormat="1" x14ac:dyDescent="0.25">
      <c r="A93" s="211" t="s">
        <v>2934</v>
      </c>
      <c r="B93" s="64">
        <v>15.64</v>
      </c>
      <c r="C93" s="64">
        <v>65.48</v>
      </c>
      <c r="D93" s="64">
        <v>49.32</v>
      </c>
      <c r="E93" s="64">
        <v>5.34</v>
      </c>
      <c r="F93" s="64">
        <v>5.74</v>
      </c>
      <c r="G93" s="64">
        <v>227.13</v>
      </c>
      <c r="H93" s="64">
        <v>37.299999999999997</v>
      </c>
      <c r="I93" s="64">
        <v>0.84</v>
      </c>
      <c r="J93" s="64">
        <v>0.87</v>
      </c>
      <c r="K93" s="64">
        <v>244.43</v>
      </c>
      <c r="L93" s="64">
        <v>30.7</v>
      </c>
      <c r="M93" s="64">
        <v>36.57</v>
      </c>
      <c r="N93" s="64">
        <v>4.7</v>
      </c>
      <c r="O93" s="64">
        <v>0</v>
      </c>
      <c r="P93" s="64">
        <v>1.27</v>
      </c>
      <c r="Q93" s="64">
        <v>27.44</v>
      </c>
      <c r="R93" s="198"/>
      <c r="S93" s="198"/>
      <c r="T93" s="198"/>
      <c r="U93" s="198"/>
    </row>
    <row r="94" spans="1:26" s="12" customFormat="1" x14ac:dyDescent="0.25">
      <c r="A94" s="211" t="s">
        <v>2935</v>
      </c>
      <c r="B94" s="64">
        <v>11.64</v>
      </c>
      <c r="C94" s="64">
        <v>63.85</v>
      </c>
      <c r="D94" s="64">
        <v>45.22</v>
      </c>
      <c r="E94" s="64">
        <v>2.66</v>
      </c>
      <c r="F94" s="64">
        <v>4.74</v>
      </c>
      <c r="G94" s="64">
        <v>227.13</v>
      </c>
      <c r="H94" s="64">
        <v>37.299999999999997</v>
      </c>
      <c r="I94" s="64">
        <v>0.86</v>
      </c>
      <c r="J94" s="64">
        <v>1.59</v>
      </c>
      <c r="K94" s="64">
        <v>247.61</v>
      </c>
      <c r="L94" s="64">
        <v>30.23</v>
      </c>
      <c r="M94" s="64">
        <v>36.69</v>
      </c>
      <c r="N94" s="64">
        <v>5.2</v>
      </c>
      <c r="O94" s="64">
        <v>0</v>
      </c>
      <c r="P94" s="64">
        <v>1.33</v>
      </c>
      <c r="Q94" s="64">
        <v>28.81</v>
      </c>
      <c r="R94" s="198"/>
      <c r="S94" s="198"/>
      <c r="T94" s="198"/>
      <c r="U94" s="198"/>
    </row>
    <row r="95" spans="1:26" s="12" customFormat="1" x14ac:dyDescent="0.25">
      <c r="A95" s="211" t="s">
        <v>2936</v>
      </c>
      <c r="B95" s="64">
        <v>8.92</v>
      </c>
      <c r="C95" s="64">
        <v>62.65</v>
      </c>
      <c r="D95" s="64">
        <v>42.37</v>
      </c>
      <c r="E95" s="64">
        <v>1.84</v>
      </c>
      <c r="F95" s="64">
        <v>4.8899999999999997</v>
      </c>
      <c r="G95" s="64">
        <v>210.93</v>
      </c>
      <c r="H95" s="64">
        <v>37.42</v>
      </c>
      <c r="I95" s="64">
        <v>0.83</v>
      </c>
      <c r="J95" s="64">
        <v>1.55</v>
      </c>
      <c r="K95" s="64">
        <v>246.36</v>
      </c>
      <c r="L95" s="64">
        <v>29.61</v>
      </c>
      <c r="M95" s="64">
        <v>36.89</v>
      </c>
      <c r="N95" s="64">
        <v>5.6</v>
      </c>
      <c r="O95" s="64">
        <v>0</v>
      </c>
      <c r="P95" s="64">
        <v>1.22</v>
      </c>
      <c r="Q95" s="64">
        <v>28.68</v>
      </c>
      <c r="R95" s="198"/>
      <c r="S95" s="198"/>
      <c r="T95" s="198"/>
      <c r="U95" s="198"/>
    </row>
    <row r="96" spans="1:26" s="12" customFormat="1" x14ac:dyDescent="0.25">
      <c r="A96" s="211" t="s">
        <v>2937</v>
      </c>
      <c r="B96" s="64">
        <v>5.6</v>
      </c>
      <c r="C96" s="64">
        <v>61.41</v>
      </c>
      <c r="D96" s="64">
        <v>39.03</v>
      </c>
      <c r="E96" s="64">
        <v>1.7</v>
      </c>
      <c r="F96" s="64">
        <v>5.14</v>
      </c>
      <c r="G96" s="64">
        <v>81.319999999999993</v>
      </c>
      <c r="H96" s="64">
        <v>38.35</v>
      </c>
      <c r="I96" s="64">
        <v>0.78</v>
      </c>
      <c r="J96" s="64">
        <v>0.46</v>
      </c>
      <c r="K96" s="64">
        <v>247.22</v>
      </c>
      <c r="L96" s="64">
        <v>29.33</v>
      </c>
      <c r="M96" s="64">
        <v>37.11</v>
      </c>
      <c r="N96" s="64">
        <v>5.0999999999999996</v>
      </c>
      <c r="O96" s="64">
        <v>0</v>
      </c>
      <c r="P96" s="64">
        <v>1.1100000000000001</v>
      </c>
      <c r="Q96" s="64">
        <v>28.2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2938</v>
      </c>
      <c r="B97" s="64">
        <v>3.83</v>
      </c>
      <c r="C97" s="64">
        <v>59.73</v>
      </c>
      <c r="D97" s="64">
        <v>36.68</v>
      </c>
      <c r="E97" s="64">
        <v>1.7</v>
      </c>
      <c r="F97" s="64">
        <v>5.53</v>
      </c>
      <c r="G97" s="64">
        <v>81.319999999999993</v>
      </c>
      <c r="H97" s="64">
        <v>38.35</v>
      </c>
      <c r="I97" s="64">
        <v>0.8</v>
      </c>
      <c r="J97" s="64">
        <v>0.22</v>
      </c>
      <c r="K97" s="64">
        <v>241.59</v>
      </c>
      <c r="L97" s="64">
        <v>29.14</v>
      </c>
      <c r="M97" s="64">
        <v>39.299999999999997</v>
      </c>
      <c r="N97" s="64">
        <v>0</v>
      </c>
      <c r="O97" s="64">
        <v>0</v>
      </c>
      <c r="P97" s="64">
        <v>1.1100000000000001</v>
      </c>
      <c r="Q97" s="64">
        <v>27.48</v>
      </c>
      <c r="R97" s="198"/>
      <c r="S97" s="198"/>
      <c r="T97" s="198"/>
      <c r="U97" s="198"/>
    </row>
    <row r="98" spans="1:33" s="12" customFormat="1" x14ac:dyDescent="0.25">
      <c r="A98" s="211" t="s">
        <v>2939</v>
      </c>
      <c r="B98" s="64">
        <v>5.14</v>
      </c>
      <c r="C98" s="64">
        <v>57.88</v>
      </c>
      <c r="D98" s="64">
        <v>36.71</v>
      </c>
      <c r="E98" s="64">
        <v>1.94</v>
      </c>
      <c r="F98" s="64">
        <v>6.81</v>
      </c>
      <c r="G98" s="64">
        <v>81.319999999999993</v>
      </c>
      <c r="H98" s="64">
        <v>38.35</v>
      </c>
      <c r="I98" s="64">
        <v>0.7</v>
      </c>
      <c r="J98" s="64">
        <v>0.75</v>
      </c>
      <c r="K98" s="64">
        <v>246.48</v>
      </c>
      <c r="L98" s="64">
        <v>28.96</v>
      </c>
      <c r="M98" s="64">
        <v>40.32</v>
      </c>
      <c r="N98" s="64">
        <v>0</v>
      </c>
      <c r="O98" s="64">
        <v>0</v>
      </c>
      <c r="P98" s="64">
        <v>1.2</v>
      </c>
      <c r="Q98" s="64">
        <v>26.93</v>
      </c>
      <c r="R98" s="198"/>
      <c r="S98" s="198"/>
      <c r="T98" s="198"/>
      <c r="U98" s="198"/>
    </row>
    <row r="99" spans="1:33" s="12" customFormat="1" x14ac:dyDescent="0.25">
      <c r="A99" s="211" t="s">
        <v>2940</v>
      </c>
      <c r="B99" s="64">
        <v>12.68</v>
      </c>
      <c r="C99" s="64">
        <v>46.74</v>
      </c>
      <c r="D99" s="64">
        <v>36.61</v>
      </c>
      <c r="E99" s="64">
        <v>5.92</v>
      </c>
      <c r="F99" s="64">
        <v>23.26</v>
      </c>
      <c r="G99" s="64">
        <v>80.34</v>
      </c>
      <c r="H99" s="64">
        <v>37.76</v>
      </c>
      <c r="I99" s="64">
        <v>0.68</v>
      </c>
      <c r="J99" s="64">
        <v>0.83</v>
      </c>
      <c r="K99" s="64">
        <v>251.53</v>
      </c>
      <c r="L99" s="64">
        <v>28.9</v>
      </c>
      <c r="M99" s="64">
        <v>40.369999999999997</v>
      </c>
      <c r="N99" s="64">
        <v>1.8</v>
      </c>
      <c r="O99" s="64">
        <v>0</v>
      </c>
      <c r="P99" s="64">
        <v>1.25</v>
      </c>
      <c r="Q99" s="64">
        <v>26.91</v>
      </c>
      <c r="R99" s="198"/>
      <c r="S99" s="198"/>
      <c r="T99" s="198"/>
      <c r="U99" s="198"/>
    </row>
    <row r="100" spans="1:33" s="12" customFormat="1" x14ac:dyDescent="0.25">
      <c r="A100" s="211" t="s">
        <v>2941</v>
      </c>
      <c r="B100" s="64">
        <v>8.09</v>
      </c>
      <c r="C100" s="64">
        <v>43.4</v>
      </c>
      <c r="D100" s="64">
        <v>31.09</v>
      </c>
      <c r="E100" s="64">
        <v>5.51</v>
      </c>
      <c r="F100" s="64">
        <v>24.26</v>
      </c>
      <c r="G100" s="64">
        <v>72.52</v>
      </c>
      <c r="H100" s="64">
        <v>33.979999999999997</v>
      </c>
      <c r="I100" s="64">
        <v>0.7</v>
      </c>
      <c r="J100" s="64">
        <v>0.98</v>
      </c>
      <c r="K100" s="64">
        <v>250.02</v>
      </c>
      <c r="L100" s="64">
        <v>28.99</v>
      </c>
      <c r="M100" s="64">
        <v>39.51</v>
      </c>
      <c r="N100" s="64">
        <v>4.8</v>
      </c>
      <c r="O100" s="64">
        <v>0</v>
      </c>
      <c r="P100" s="64">
        <v>1.22</v>
      </c>
      <c r="Q100" s="64">
        <v>26.39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2942</v>
      </c>
      <c r="B101" s="64">
        <v>12.77</v>
      </c>
      <c r="C101" s="64">
        <v>43.6</v>
      </c>
      <c r="D101" s="64">
        <v>34.950000000000003</v>
      </c>
      <c r="E101" s="64">
        <v>7.17</v>
      </c>
      <c r="F101" s="64">
        <v>23.9</v>
      </c>
      <c r="G101" s="64">
        <v>72.52</v>
      </c>
      <c r="H101" s="64">
        <v>33.979999999999997</v>
      </c>
      <c r="I101" s="64">
        <v>0.67</v>
      </c>
      <c r="J101" s="64">
        <v>0.91</v>
      </c>
      <c r="K101" s="64">
        <v>252.03</v>
      </c>
      <c r="L101" s="64">
        <v>28.83</v>
      </c>
      <c r="M101" s="64">
        <v>40.17</v>
      </c>
      <c r="N101" s="64">
        <v>0.9</v>
      </c>
      <c r="O101" s="64">
        <v>0</v>
      </c>
      <c r="P101" s="64">
        <v>1.18</v>
      </c>
      <c r="Q101" s="64">
        <v>26.29</v>
      </c>
      <c r="R101" s="198"/>
      <c r="S101" s="198"/>
      <c r="T101" s="198"/>
      <c r="U101" s="198"/>
    </row>
    <row r="102" spans="1:33" s="12" customFormat="1" x14ac:dyDescent="0.25">
      <c r="A102" s="211" t="s">
        <v>2943</v>
      </c>
      <c r="B102" s="64">
        <v>11.46</v>
      </c>
      <c r="C102" s="64">
        <v>46.92</v>
      </c>
      <c r="D102" s="64">
        <v>35.729999999999997</v>
      </c>
      <c r="E102" s="64">
        <v>14.93</v>
      </c>
      <c r="F102" s="64">
        <v>22.87</v>
      </c>
      <c r="G102" s="64">
        <v>72.52</v>
      </c>
      <c r="H102" s="64">
        <v>33.979999999999997</v>
      </c>
      <c r="I102" s="64">
        <v>0.56000000000000005</v>
      </c>
      <c r="J102" s="64">
        <v>0.53</v>
      </c>
      <c r="K102" s="64">
        <v>253.23</v>
      </c>
      <c r="L102" s="64">
        <v>28.74</v>
      </c>
      <c r="M102" s="64">
        <v>39.44</v>
      </c>
      <c r="N102" s="64">
        <v>0</v>
      </c>
      <c r="O102" s="64">
        <v>0</v>
      </c>
      <c r="P102" s="64">
        <v>1.1599999999999999</v>
      </c>
      <c r="Q102" s="64">
        <v>26.5</v>
      </c>
      <c r="R102" s="198"/>
      <c r="S102" s="198"/>
      <c r="T102" s="198"/>
      <c r="U102" s="198"/>
    </row>
    <row r="103" spans="1:33" s="12" customFormat="1" x14ac:dyDescent="0.25">
      <c r="A103" s="211" t="s">
        <v>2944</v>
      </c>
      <c r="B103" s="64">
        <v>7.24</v>
      </c>
      <c r="C103" s="64">
        <v>53.36</v>
      </c>
      <c r="D103" s="64">
        <v>35.9</v>
      </c>
      <c r="E103" s="64">
        <v>25.44</v>
      </c>
      <c r="F103" s="64">
        <v>12.17</v>
      </c>
      <c r="G103" s="64">
        <v>70.45</v>
      </c>
      <c r="H103" s="64">
        <v>33.86</v>
      </c>
      <c r="I103" s="64">
        <v>0.56999999999999995</v>
      </c>
      <c r="J103" s="64">
        <v>0.38</v>
      </c>
      <c r="K103" s="64">
        <v>254.25</v>
      </c>
      <c r="L103" s="64">
        <v>28.43</v>
      </c>
      <c r="M103" s="64">
        <v>40.26</v>
      </c>
      <c r="N103" s="64">
        <v>0</v>
      </c>
      <c r="O103" s="64">
        <v>0</v>
      </c>
      <c r="P103" s="64">
        <v>1.1299999999999999</v>
      </c>
      <c r="Q103" s="64">
        <v>26.38</v>
      </c>
      <c r="R103" s="198"/>
      <c r="S103" s="198"/>
      <c r="T103" s="198"/>
      <c r="U103" s="198"/>
    </row>
    <row r="104" spans="1:33" s="12" customFormat="1" x14ac:dyDescent="0.25">
      <c r="A104" s="211" t="s">
        <v>2945</v>
      </c>
      <c r="B104" s="64">
        <v>6.33</v>
      </c>
      <c r="C104" s="64">
        <v>51.2</v>
      </c>
      <c r="D104" s="64">
        <v>33.97</v>
      </c>
      <c r="E104" s="64">
        <v>4.6900000000000004</v>
      </c>
      <c r="F104" s="64">
        <v>7.25</v>
      </c>
      <c r="G104" s="64">
        <v>53.87</v>
      </c>
      <c r="H104" s="64">
        <v>33.119999999999997</v>
      </c>
      <c r="I104" s="64">
        <v>0.55000000000000004</v>
      </c>
      <c r="J104" s="64">
        <v>0.94</v>
      </c>
      <c r="K104" s="64">
        <v>256.04000000000002</v>
      </c>
      <c r="L104" s="64">
        <v>28.22</v>
      </c>
      <c r="M104" s="64">
        <v>39.450000000000003</v>
      </c>
      <c r="N104" s="64">
        <v>0</v>
      </c>
      <c r="O104" s="64">
        <v>0</v>
      </c>
      <c r="P104" s="64">
        <v>1.08</v>
      </c>
      <c r="Q104" s="64">
        <v>27.46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16.36</v>
      </c>
      <c r="D106" s="67">
        <f t="shared" ref="D106:Q106" si="0">MIN(D9:D104)</f>
        <v>10.48</v>
      </c>
      <c r="E106" s="67">
        <f t="shared" si="0"/>
        <v>0.48</v>
      </c>
      <c r="F106" s="67">
        <f t="shared" si="0"/>
        <v>2.9</v>
      </c>
      <c r="G106" s="67">
        <f t="shared" si="0"/>
        <v>38.020000000000003</v>
      </c>
      <c r="H106" s="67">
        <f t="shared" si="0"/>
        <v>10.15</v>
      </c>
      <c r="I106" s="67">
        <f t="shared" si="0"/>
        <v>0.45</v>
      </c>
      <c r="J106" s="67">
        <f t="shared" si="0"/>
        <v>0.05</v>
      </c>
      <c r="K106" s="67">
        <f t="shared" si="0"/>
        <v>62.37</v>
      </c>
      <c r="L106" s="67">
        <f t="shared" si="0"/>
        <v>28.22</v>
      </c>
      <c r="M106" s="67">
        <f t="shared" si="0"/>
        <v>24.15</v>
      </c>
      <c r="N106" s="67">
        <f t="shared" si="0"/>
        <v>0</v>
      </c>
      <c r="O106" s="67">
        <f t="shared" si="0"/>
        <v>0</v>
      </c>
      <c r="P106" s="67">
        <f t="shared" si="0"/>
        <v>0.31</v>
      </c>
      <c r="Q106" s="67">
        <f t="shared" si="0"/>
        <v>21.74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31.65</v>
      </c>
      <c r="C107" s="66">
        <f t="shared" ref="C107:Q107" si="1">MAX(C9:C104)</f>
        <v>102.81</v>
      </c>
      <c r="D107" s="66">
        <f t="shared" si="1"/>
        <v>81.400000000000006</v>
      </c>
      <c r="E107" s="66">
        <f t="shared" si="1"/>
        <v>33.53</v>
      </c>
      <c r="F107" s="66">
        <f t="shared" si="1"/>
        <v>96.44</v>
      </c>
      <c r="G107" s="66">
        <f t="shared" si="1"/>
        <v>321.51</v>
      </c>
      <c r="H107" s="66">
        <f t="shared" si="1"/>
        <v>39.18</v>
      </c>
      <c r="I107" s="66">
        <f t="shared" si="1"/>
        <v>1.08</v>
      </c>
      <c r="J107" s="66">
        <f t="shared" si="1"/>
        <v>1.74</v>
      </c>
      <c r="K107" s="66">
        <f t="shared" si="1"/>
        <v>256.04000000000002</v>
      </c>
      <c r="L107" s="66">
        <f t="shared" si="1"/>
        <v>37.659999999999997</v>
      </c>
      <c r="M107" s="66">
        <f t="shared" si="1"/>
        <v>40.369999999999997</v>
      </c>
      <c r="N107" s="66">
        <f t="shared" si="1"/>
        <v>866.2</v>
      </c>
      <c r="O107" s="66">
        <f t="shared" si="1"/>
        <v>0</v>
      </c>
      <c r="P107" s="66">
        <f t="shared" si="1"/>
        <v>1.33</v>
      </c>
      <c r="Q107" s="66">
        <f t="shared" si="1"/>
        <v>31.07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5.6717894736842096</v>
      </c>
      <c r="C108" s="67">
        <f t="shared" ref="C108:Q108" si="2">AVERAGE(C9:C104)</f>
        <v>43.065894736842111</v>
      </c>
      <c r="D108" s="67">
        <f t="shared" si="2"/>
        <v>28.961263157894749</v>
      </c>
      <c r="E108" s="67">
        <f t="shared" si="2"/>
        <v>7.3816666666666686</v>
      </c>
      <c r="F108" s="67">
        <f t="shared" si="2"/>
        <v>21.38270833333333</v>
      </c>
      <c r="G108" s="67">
        <f t="shared" si="2"/>
        <v>122.20319444444446</v>
      </c>
      <c r="H108" s="67">
        <f t="shared" si="2"/>
        <v>28.569583333333338</v>
      </c>
      <c r="I108" s="67">
        <f t="shared" si="2"/>
        <v>0.6384375000000001</v>
      </c>
      <c r="J108" s="67">
        <f t="shared" si="2"/>
        <v>0.59464285714285725</v>
      </c>
      <c r="K108" s="67">
        <f t="shared" si="2"/>
        <v>165.30749999999998</v>
      </c>
      <c r="L108" s="67">
        <f t="shared" si="2"/>
        <v>32.848214285714285</v>
      </c>
      <c r="M108" s="67">
        <f t="shared" si="2"/>
        <v>31.734642857142862</v>
      </c>
      <c r="N108" s="67">
        <f t="shared" si="2"/>
        <v>265.92142857142852</v>
      </c>
      <c r="O108" s="67">
        <f t="shared" si="2"/>
        <v>0</v>
      </c>
      <c r="P108" s="67">
        <f t="shared" si="2"/>
        <v>0.72479166666666661</v>
      </c>
      <c r="Q108" s="67">
        <f t="shared" si="2"/>
        <v>27.361041666666662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5.8018775352406875</v>
      </c>
      <c r="C109" s="67">
        <f t="shared" ref="C109:Q109" si="3">STDEV(C9:C104)</f>
        <v>16.90584750244826</v>
      </c>
      <c r="D109" s="67">
        <f t="shared" si="3"/>
        <v>12.591271904565142</v>
      </c>
      <c r="E109" s="67">
        <f t="shared" si="3"/>
        <v>8.0812492086267067</v>
      </c>
      <c r="F109" s="67">
        <f t="shared" si="3"/>
        <v>20.450894175749855</v>
      </c>
      <c r="G109" s="67">
        <f t="shared" si="3"/>
        <v>65.218955160191001</v>
      </c>
      <c r="H109" s="67">
        <f t="shared" si="3"/>
        <v>9.944015602502672</v>
      </c>
      <c r="I109" s="67">
        <f t="shared" si="3"/>
        <v>0.1153240571515531</v>
      </c>
      <c r="J109" s="67">
        <f t="shared" si="3"/>
        <v>0.40329084603237214</v>
      </c>
      <c r="K109" s="67">
        <f t="shared" si="3"/>
        <v>71.226393505625282</v>
      </c>
      <c r="L109" s="67">
        <f t="shared" si="3"/>
        <v>2.4760240174652863</v>
      </c>
      <c r="M109" s="67">
        <f t="shared" si="3"/>
        <v>4.6616387927171772</v>
      </c>
      <c r="N109" s="67">
        <f t="shared" si="3"/>
        <v>329.70565148837909</v>
      </c>
      <c r="O109" s="67">
        <f t="shared" si="3"/>
        <v>0</v>
      </c>
      <c r="P109" s="67">
        <f t="shared" si="3"/>
        <v>0.29786955522480718</v>
      </c>
      <c r="Q109" s="67">
        <f t="shared" si="3"/>
        <v>1.7606395244591435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COUNT(B9:B104)+1</f>
        <v>96</v>
      </c>
      <c r="C110" s="66">
        <f>COUNT(C9:C104)+1</f>
        <v>96</v>
      </c>
      <c r="D110" s="66">
        <f>COUNT(D9:D104)+1</f>
        <v>96</v>
      </c>
      <c r="E110" s="66">
        <f>COUNT(E9:E104)</f>
        <v>96</v>
      </c>
      <c r="F110" s="66">
        <f>COUNT(F9:F104)</f>
        <v>96</v>
      </c>
      <c r="G110" s="66">
        <f>COUNT(G9:G104)+24</f>
        <v>96</v>
      </c>
      <c r="H110" s="66">
        <f>COUNT(H9:H104)+24</f>
        <v>96</v>
      </c>
      <c r="I110" s="66">
        <f>COUNT(I9:I104)</f>
        <v>96</v>
      </c>
      <c r="J110" s="66">
        <f>COUNT(J9:J104)+40</f>
        <v>96</v>
      </c>
      <c r="K110" s="66">
        <f>COUNT(K9:K104)+40</f>
        <v>96</v>
      </c>
      <c r="L110" s="66">
        <f>COUNT(L9:L104)+40</f>
        <v>96</v>
      </c>
      <c r="M110" s="66">
        <f>COUNT(M9:M104)+40</f>
        <v>96</v>
      </c>
      <c r="N110" s="66">
        <f>COUNT(N9:N104)+40</f>
        <v>96</v>
      </c>
      <c r="O110" s="66">
        <f>COUNT(O9:O104)</f>
        <v>96</v>
      </c>
      <c r="P110" s="66">
        <f>COUNT(P9:P104)</f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4">IF(C110&gt;=87,"&gt;90%",IF(C110&lt;=87,"&lt;90%"))</f>
        <v>&gt;90%</v>
      </c>
      <c r="D111" s="13" t="str">
        <f t="shared" si="4"/>
        <v>&gt;90%</v>
      </c>
      <c r="E111" s="13" t="str">
        <f t="shared" si="4"/>
        <v>&gt;90%</v>
      </c>
      <c r="F111" s="13" t="str">
        <f t="shared" si="4"/>
        <v>&gt;90%</v>
      </c>
      <c r="G111" s="13" t="str">
        <f t="shared" si="4"/>
        <v>&gt;90%</v>
      </c>
      <c r="H111" s="13" t="str">
        <f t="shared" si="4"/>
        <v>&gt;90%</v>
      </c>
      <c r="I111" s="13" t="str">
        <f t="shared" si="4"/>
        <v>&gt;90%</v>
      </c>
      <c r="J111" s="13" t="str">
        <f t="shared" si="4"/>
        <v>&gt;90%</v>
      </c>
      <c r="K111" s="13" t="str">
        <f t="shared" si="4"/>
        <v>&gt;90%</v>
      </c>
      <c r="L111" s="13" t="str">
        <f t="shared" si="4"/>
        <v>&gt;90%</v>
      </c>
      <c r="M111" s="13" t="str">
        <f t="shared" si="4"/>
        <v>&gt;90%</v>
      </c>
      <c r="N111" s="13" t="str">
        <f t="shared" si="4"/>
        <v>&gt;90%</v>
      </c>
      <c r="O111" s="13" t="str">
        <f t="shared" si="4"/>
        <v>&gt;90%</v>
      </c>
      <c r="P111" s="13" t="str">
        <f t="shared" si="4"/>
        <v>&gt;90%</v>
      </c>
      <c r="Q111" s="13" t="str">
        <f t="shared" si="4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5">IF(C110&gt;=87,"OK",IF(C110&lt;=87,"LESS"))</f>
        <v>OK</v>
      </c>
      <c r="D112" s="13" t="str">
        <f t="shared" si="5"/>
        <v>OK</v>
      </c>
      <c r="E112" s="13" t="str">
        <f t="shared" si="5"/>
        <v>OK</v>
      </c>
      <c r="F112" s="13" t="str">
        <f t="shared" si="5"/>
        <v>OK</v>
      </c>
      <c r="G112" s="13" t="str">
        <f t="shared" si="5"/>
        <v>OK</v>
      </c>
      <c r="H112" s="13" t="str">
        <f t="shared" si="5"/>
        <v>OK</v>
      </c>
      <c r="I112" s="13" t="str">
        <f t="shared" si="5"/>
        <v>OK</v>
      </c>
      <c r="J112" s="13" t="str">
        <f t="shared" si="5"/>
        <v>OK</v>
      </c>
      <c r="K112" s="13" t="str">
        <f t="shared" si="5"/>
        <v>OK</v>
      </c>
      <c r="L112" s="13" t="str">
        <f t="shared" si="5"/>
        <v>OK</v>
      </c>
      <c r="M112" s="13" t="str">
        <f t="shared" si="5"/>
        <v>OK</v>
      </c>
      <c r="N112" s="13" t="str">
        <f t="shared" si="5"/>
        <v>OK</v>
      </c>
      <c r="O112" s="13" t="str">
        <f t="shared" si="5"/>
        <v>OK</v>
      </c>
      <c r="P112" s="13" t="str">
        <f t="shared" si="5"/>
        <v>OK</v>
      </c>
      <c r="Q112" s="13" t="str">
        <f t="shared" si="5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N111" sqref="N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244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6"/>
      <c r="S8" s="197"/>
      <c r="T8" s="196"/>
      <c r="U8" s="196"/>
    </row>
    <row r="9" spans="1:21" s="12" customFormat="1" x14ac:dyDescent="0.25">
      <c r="A9" s="211" t="s">
        <v>2946</v>
      </c>
      <c r="B9" s="64">
        <v>5.2</v>
      </c>
      <c r="C9" s="64">
        <v>52.36</v>
      </c>
      <c r="D9" s="64">
        <v>33.71</v>
      </c>
      <c r="E9" s="64">
        <v>6.07</v>
      </c>
      <c r="F9" s="64">
        <v>5.62</v>
      </c>
      <c r="G9" s="64">
        <v>53.87</v>
      </c>
      <c r="H9" s="64">
        <v>33.119999999999997</v>
      </c>
      <c r="I9" s="64">
        <v>0.6</v>
      </c>
      <c r="J9" s="64">
        <v>0.65</v>
      </c>
      <c r="K9" s="64">
        <v>247.91</v>
      </c>
      <c r="L9" s="64">
        <v>27.98</v>
      </c>
      <c r="M9" s="64">
        <v>39.630000000000003</v>
      </c>
      <c r="N9" s="214" t="s">
        <v>42</v>
      </c>
      <c r="O9" s="64">
        <v>0</v>
      </c>
      <c r="P9" s="64">
        <v>1.01</v>
      </c>
      <c r="Q9" s="64">
        <v>27.53</v>
      </c>
      <c r="R9" s="198"/>
      <c r="S9" s="198"/>
      <c r="T9" s="198"/>
      <c r="U9" s="198"/>
    </row>
    <row r="10" spans="1:21" s="12" customFormat="1" x14ac:dyDescent="0.25">
      <c r="A10" s="211" t="s">
        <v>2947</v>
      </c>
      <c r="B10" s="64">
        <v>4.18</v>
      </c>
      <c r="C10" s="64">
        <v>53.85</v>
      </c>
      <c r="D10" s="64">
        <v>33.72</v>
      </c>
      <c r="E10" s="64">
        <v>7.15</v>
      </c>
      <c r="F10" s="64">
        <v>5.47</v>
      </c>
      <c r="G10" s="64">
        <v>53.87</v>
      </c>
      <c r="H10" s="64">
        <v>33.119999999999997</v>
      </c>
      <c r="I10" s="64">
        <v>0.69</v>
      </c>
      <c r="J10" s="64">
        <v>0.51</v>
      </c>
      <c r="K10" s="64">
        <v>117.93</v>
      </c>
      <c r="L10" s="64">
        <v>27.63</v>
      </c>
      <c r="M10" s="64">
        <v>41.01</v>
      </c>
      <c r="N10" s="214" t="s">
        <v>42</v>
      </c>
      <c r="O10" s="64">
        <v>0</v>
      </c>
      <c r="P10" s="64">
        <v>0.95</v>
      </c>
      <c r="Q10" s="64">
        <v>27.49</v>
      </c>
      <c r="R10" s="198"/>
      <c r="S10" s="198"/>
      <c r="T10" s="198"/>
      <c r="U10" s="198"/>
    </row>
    <row r="11" spans="1:21" s="12" customFormat="1" x14ac:dyDescent="0.25">
      <c r="A11" s="211" t="s">
        <v>2948</v>
      </c>
      <c r="B11" s="64">
        <v>3.45</v>
      </c>
      <c r="C11" s="64">
        <v>54.04</v>
      </c>
      <c r="D11" s="64">
        <v>33.24</v>
      </c>
      <c r="E11" s="64">
        <v>7.84</v>
      </c>
      <c r="F11" s="64">
        <v>7.21</v>
      </c>
      <c r="G11" s="64">
        <v>58.97</v>
      </c>
      <c r="H11" s="64">
        <v>33.299999999999997</v>
      </c>
      <c r="I11" s="64">
        <v>0.74</v>
      </c>
      <c r="J11" s="64">
        <v>0.3</v>
      </c>
      <c r="K11" s="64">
        <v>139.22999999999999</v>
      </c>
      <c r="L11" s="64">
        <v>27.56</v>
      </c>
      <c r="M11" s="64">
        <v>40.78</v>
      </c>
      <c r="N11" s="214" t="s">
        <v>42</v>
      </c>
      <c r="O11" s="64">
        <v>0</v>
      </c>
      <c r="P11" s="64">
        <v>0.92</v>
      </c>
      <c r="Q11" s="64">
        <v>27.23</v>
      </c>
      <c r="R11" s="198"/>
      <c r="S11" s="198"/>
      <c r="T11" s="198"/>
      <c r="U11" s="198"/>
    </row>
    <row r="12" spans="1:21" s="12" customFormat="1" x14ac:dyDescent="0.25">
      <c r="A12" s="211" t="s">
        <v>2949</v>
      </c>
      <c r="B12" s="64">
        <v>3.23</v>
      </c>
      <c r="C12" s="64">
        <v>53.81</v>
      </c>
      <c r="D12" s="64">
        <v>32.93</v>
      </c>
      <c r="E12" s="64">
        <v>9.27</v>
      </c>
      <c r="F12" s="64">
        <v>6.98</v>
      </c>
      <c r="G12" s="64">
        <v>99.78</v>
      </c>
      <c r="H12" s="64">
        <v>34.450000000000003</v>
      </c>
      <c r="I12" s="64">
        <v>0.6</v>
      </c>
      <c r="J12" s="64">
        <v>0.06</v>
      </c>
      <c r="K12" s="64">
        <v>250.97</v>
      </c>
      <c r="L12" s="64">
        <v>27.06</v>
      </c>
      <c r="M12" s="64">
        <v>44.94</v>
      </c>
      <c r="N12" s="214" t="s">
        <v>42</v>
      </c>
      <c r="O12" s="64">
        <v>0</v>
      </c>
      <c r="P12" s="64">
        <v>0.89</v>
      </c>
      <c r="Q12" s="64">
        <v>27.13</v>
      </c>
      <c r="R12" s="198"/>
      <c r="S12" s="198"/>
      <c r="T12" s="198"/>
      <c r="U12" s="198"/>
    </row>
    <row r="13" spans="1:21" s="12" customFormat="1" x14ac:dyDescent="0.25">
      <c r="A13" s="211" t="s">
        <v>2950</v>
      </c>
      <c r="B13" s="64">
        <v>3.94</v>
      </c>
      <c r="C13" s="64">
        <v>54.54</v>
      </c>
      <c r="D13" s="64">
        <v>33.9</v>
      </c>
      <c r="E13" s="64">
        <v>5.9</v>
      </c>
      <c r="F13" s="64">
        <v>4.8099999999999996</v>
      </c>
      <c r="G13" s="64">
        <v>99.78</v>
      </c>
      <c r="H13" s="64">
        <v>34.450000000000003</v>
      </c>
      <c r="I13" s="64">
        <v>0.6</v>
      </c>
      <c r="J13" s="64">
        <v>0.61</v>
      </c>
      <c r="K13" s="64">
        <v>255.55</v>
      </c>
      <c r="L13" s="64">
        <v>26.35</v>
      </c>
      <c r="M13" s="64">
        <v>48.18</v>
      </c>
      <c r="N13" s="214" t="s">
        <v>42</v>
      </c>
      <c r="O13" s="64">
        <v>0</v>
      </c>
      <c r="P13" s="64">
        <v>0.87</v>
      </c>
      <c r="Q13" s="64">
        <v>26.83</v>
      </c>
      <c r="R13" s="198"/>
      <c r="S13" s="198"/>
      <c r="T13" s="198"/>
      <c r="U13" s="198"/>
    </row>
    <row r="14" spans="1:21" s="12" customFormat="1" x14ac:dyDescent="0.25">
      <c r="A14" s="211" t="s">
        <v>2951</v>
      </c>
      <c r="B14" s="64">
        <v>3.08</v>
      </c>
      <c r="C14" s="64">
        <v>49.21</v>
      </c>
      <c r="D14" s="64">
        <v>30.28</v>
      </c>
      <c r="E14" s="64">
        <v>10.5</v>
      </c>
      <c r="F14" s="64">
        <v>15.37</v>
      </c>
      <c r="G14" s="64">
        <v>99.78</v>
      </c>
      <c r="H14" s="64">
        <v>34.450000000000003</v>
      </c>
      <c r="I14" s="64">
        <v>0.59</v>
      </c>
      <c r="J14" s="64">
        <v>0.49</v>
      </c>
      <c r="K14" s="64">
        <v>250.81</v>
      </c>
      <c r="L14" s="64">
        <v>26.78</v>
      </c>
      <c r="M14" s="64">
        <v>43.81</v>
      </c>
      <c r="N14" s="214" t="s">
        <v>42</v>
      </c>
      <c r="O14" s="64">
        <v>0</v>
      </c>
      <c r="P14" s="64">
        <v>0.87</v>
      </c>
      <c r="Q14" s="64">
        <v>27.06</v>
      </c>
      <c r="R14" s="198"/>
      <c r="S14" s="198"/>
      <c r="T14" s="198"/>
      <c r="U14" s="198"/>
    </row>
    <row r="15" spans="1:21" s="12" customFormat="1" x14ac:dyDescent="0.25">
      <c r="A15" s="211" t="s">
        <v>2952</v>
      </c>
      <c r="B15" s="64">
        <v>2.17</v>
      </c>
      <c r="C15" s="64">
        <v>35.53</v>
      </c>
      <c r="D15" s="64">
        <v>22</v>
      </c>
      <c r="E15" s="64">
        <v>17.600000000000001</v>
      </c>
      <c r="F15" s="64">
        <v>30.87</v>
      </c>
      <c r="G15" s="64">
        <v>95.43</v>
      </c>
      <c r="H15" s="64">
        <v>34.630000000000003</v>
      </c>
      <c r="I15" s="64">
        <v>0.57999999999999996</v>
      </c>
      <c r="J15" s="64">
        <v>0.41</v>
      </c>
      <c r="K15" s="64">
        <v>122.17</v>
      </c>
      <c r="L15" s="64">
        <v>26.83</v>
      </c>
      <c r="M15" s="64">
        <v>43.28</v>
      </c>
      <c r="N15" s="214" t="s">
        <v>42</v>
      </c>
      <c r="O15" s="64">
        <v>0</v>
      </c>
      <c r="P15" s="64">
        <v>0.85</v>
      </c>
      <c r="Q15" s="64">
        <v>28.82</v>
      </c>
      <c r="R15" s="198"/>
      <c r="S15" s="198"/>
      <c r="T15" s="198"/>
      <c r="U15" s="198"/>
    </row>
    <row r="16" spans="1:21" s="12" customFormat="1" x14ac:dyDescent="0.25">
      <c r="A16" s="211" t="s">
        <v>2953</v>
      </c>
      <c r="B16" s="64">
        <v>1.48</v>
      </c>
      <c r="C16" s="64">
        <v>28.51</v>
      </c>
      <c r="D16" s="64">
        <v>17.559999999999999</v>
      </c>
      <c r="E16" s="64">
        <v>14.68</v>
      </c>
      <c r="F16" s="64">
        <v>39.659999999999997</v>
      </c>
      <c r="G16" s="64">
        <v>56.3</v>
      </c>
      <c r="H16" s="64">
        <v>35.869999999999997</v>
      </c>
      <c r="I16" s="64">
        <v>0.56999999999999995</v>
      </c>
      <c r="J16" s="64">
        <v>0.24</v>
      </c>
      <c r="K16" s="64">
        <v>124.45</v>
      </c>
      <c r="L16" s="64">
        <v>26.74</v>
      </c>
      <c r="M16" s="64">
        <v>43.76</v>
      </c>
      <c r="N16" s="214" t="s">
        <v>42</v>
      </c>
      <c r="O16" s="64">
        <v>0</v>
      </c>
      <c r="P16" s="64">
        <v>0.81</v>
      </c>
      <c r="Q16" s="64">
        <v>29.6</v>
      </c>
      <c r="R16" s="198"/>
      <c r="S16" s="198"/>
      <c r="T16" s="198"/>
      <c r="U16" s="198"/>
    </row>
    <row r="17" spans="1:21" s="12" customFormat="1" x14ac:dyDescent="0.25">
      <c r="A17" s="211" t="s">
        <v>2954</v>
      </c>
      <c r="B17" s="64">
        <v>1.59</v>
      </c>
      <c r="C17" s="64">
        <v>30.71</v>
      </c>
      <c r="D17" s="64">
        <v>18.87</v>
      </c>
      <c r="E17" s="64">
        <v>14.75</v>
      </c>
      <c r="F17" s="64">
        <v>36.229999999999997</v>
      </c>
      <c r="G17" s="64">
        <v>56.3</v>
      </c>
      <c r="H17" s="64">
        <v>35.869999999999997</v>
      </c>
      <c r="I17" s="64">
        <v>0.52</v>
      </c>
      <c r="J17" s="64">
        <v>0.15</v>
      </c>
      <c r="K17" s="64">
        <v>203.48</v>
      </c>
      <c r="L17" s="64">
        <v>26.71</v>
      </c>
      <c r="M17" s="64">
        <v>44.19</v>
      </c>
      <c r="N17" s="214" t="s">
        <v>42</v>
      </c>
      <c r="O17" s="64">
        <v>0</v>
      </c>
      <c r="P17" s="64">
        <v>0.78</v>
      </c>
      <c r="Q17" s="64">
        <v>29.49</v>
      </c>
      <c r="R17" s="198"/>
      <c r="S17" s="198"/>
      <c r="T17" s="198"/>
      <c r="U17" s="198"/>
    </row>
    <row r="18" spans="1:21" s="12" customFormat="1" x14ac:dyDescent="0.25">
      <c r="A18" s="211" t="s">
        <v>2955</v>
      </c>
      <c r="B18" s="64">
        <v>3.66</v>
      </c>
      <c r="C18" s="64">
        <v>34.32</v>
      </c>
      <c r="D18" s="64">
        <v>22.52</v>
      </c>
      <c r="E18" s="64">
        <v>14.1</v>
      </c>
      <c r="F18" s="64">
        <v>29.02</v>
      </c>
      <c r="G18" s="64">
        <v>56.3</v>
      </c>
      <c r="H18" s="64">
        <v>35.869999999999997</v>
      </c>
      <c r="I18" s="64">
        <v>0.55000000000000004</v>
      </c>
      <c r="J18" s="64">
        <v>0.09</v>
      </c>
      <c r="K18" s="64">
        <v>150.63999999999999</v>
      </c>
      <c r="L18" s="64">
        <v>26.54</v>
      </c>
      <c r="M18" s="64">
        <v>44.79</v>
      </c>
      <c r="N18" s="214" t="s">
        <v>42</v>
      </c>
      <c r="O18" s="64">
        <v>0</v>
      </c>
      <c r="P18" s="64">
        <v>0.76</v>
      </c>
      <c r="Q18" s="64">
        <v>28.98</v>
      </c>
      <c r="R18" s="198"/>
      <c r="S18" s="198"/>
      <c r="T18" s="198"/>
      <c r="U18" s="198"/>
    </row>
    <row r="19" spans="1:21" s="12" customFormat="1" x14ac:dyDescent="0.25">
      <c r="A19" s="211" t="s">
        <v>2956</v>
      </c>
      <c r="B19" s="64">
        <v>2.46</v>
      </c>
      <c r="C19" s="64">
        <v>38.04</v>
      </c>
      <c r="D19" s="64">
        <v>23.61</v>
      </c>
      <c r="E19" s="64">
        <v>10.02</v>
      </c>
      <c r="F19" s="64">
        <v>11.15</v>
      </c>
      <c r="G19" s="64">
        <v>55.02</v>
      </c>
      <c r="H19" s="64">
        <v>34.89</v>
      </c>
      <c r="I19" s="64">
        <v>0.48</v>
      </c>
      <c r="J19" s="64">
        <v>0.28000000000000003</v>
      </c>
      <c r="K19" s="64">
        <v>229.54</v>
      </c>
      <c r="L19" s="64">
        <v>26.36</v>
      </c>
      <c r="M19" s="64">
        <v>45.38</v>
      </c>
      <c r="N19" s="214" t="s">
        <v>42</v>
      </c>
      <c r="O19" s="64">
        <v>0</v>
      </c>
      <c r="P19" s="64">
        <v>0.72</v>
      </c>
      <c r="Q19" s="64">
        <v>29.44</v>
      </c>
      <c r="R19" s="198"/>
      <c r="S19" s="198"/>
      <c r="T19" s="198"/>
      <c r="U19" s="198"/>
    </row>
    <row r="20" spans="1:21" s="12" customFormat="1" x14ac:dyDescent="0.25">
      <c r="A20" s="211" t="s">
        <v>2957</v>
      </c>
      <c r="B20" s="64">
        <v>2.42</v>
      </c>
      <c r="C20" s="64">
        <v>44.17</v>
      </c>
      <c r="D20" s="64">
        <v>26.96</v>
      </c>
      <c r="E20" s="64">
        <v>6.45</v>
      </c>
      <c r="F20" s="64">
        <v>8.23</v>
      </c>
      <c r="G20" s="64">
        <v>43.52</v>
      </c>
      <c r="H20" s="64">
        <v>28.57</v>
      </c>
      <c r="I20" s="64">
        <v>0.52</v>
      </c>
      <c r="J20" s="64">
        <v>0.32</v>
      </c>
      <c r="K20" s="64">
        <v>130.88999999999999</v>
      </c>
      <c r="L20" s="64">
        <v>26.16</v>
      </c>
      <c r="M20" s="64">
        <v>46.24</v>
      </c>
      <c r="N20" s="214" t="s">
        <v>42</v>
      </c>
      <c r="O20" s="64">
        <v>0</v>
      </c>
      <c r="P20" s="64">
        <v>0.67</v>
      </c>
      <c r="Q20" s="64">
        <v>28.48</v>
      </c>
      <c r="R20" s="198"/>
      <c r="S20" s="198"/>
      <c r="T20" s="198"/>
      <c r="U20" s="198"/>
    </row>
    <row r="21" spans="1:21" s="12" customFormat="1" x14ac:dyDescent="0.25">
      <c r="A21" s="211" t="s">
        <v>2958</v>
      </c>
      <c r="B21" s="64">
        <v>1.79</v>
      </c>
      <c r="C21" s="64">
        <v>44.7</v>
      </c>
      <c r="D21" s="64">
        <v>26.75</v>
      </c>
      <c r="E21" s="64">
        <v>4.7300000000000004</v>
      </c>
      <c r="F21" s="64">
        <v>8.25</v>
      </c>
      <c r="G21" s="64">
        <v>43.52</v>
      </c>
      <c r="H21" s="64">
        <v>28.57</v>
      </c>
      <c r="I21" s="64">
        <v>0.63</v>
      </c>
      <c r="J21" s="64">
        <v>0.2</v>
      </c>
      <c r="K21" s="64">
        <v>258.44</v>
      </c>
      <c r="L21" s="64">
        <v>26.2</v>
      </c>
      <c r="M21" s="64">
        <v>45.8</v>
      </c>
      <c r="N21" s="214" t="s">
        <v>42</v>
      </c>
      <c r="O21" s="64">
        <v>0</v>
      </c>
      <c r="P21" s="64">
        <v>0.63</v>
      </c>
      <c r="Q21" s="64">
        <v>28.21</v>
      </c>
      <c r="R21" s="198"/>
      <c r="S21" s="198"/>
      <c r="T21" s="198"/>
      <c r="U21" s="198"/>
    </row>
    <row r="22" spans="1:21" s="12" customFormat="1" x14ac:dyDescent="0.25">
      <c r="A22" s="211" t="s">
        <v>2959</v>
      </c>
      <c r="B22" s="64">
        <v>1.2</v>
      </c>
      <c r="C22" s="64">
        <v>43.78</v>
      </c>
      <c r="D22" s="64">
        <v>25.77</v>
      </c>
      <c r="E22" s="64">
        <v>4.3099999999999996</v>
      </c>
      <c r="F22" s="64">
        <v>9.3000000000000007</v>
      </c>
      <c r="G22" s="64">
        <v>43.52</v>
      </c>
      <c r="H22" s="64">
        <v>28.57</v>
      </c>
      <c r="I22" s="64">
        <v>0.56999999999999995</v>
      </c>
      <c r="J22" s="64">
        <v>0.41</v>
      </c>
      <c r="K22" s="64">
        <v>250.56</v>
      </c>
      <c r="L22" s="64">
        <v>26.28</v>
      </c>
      <c r="M22" s="64">
        <v>45.27</v>
      </c>
      <c r="N22" s="214" t="s">
        <v>42</v>
      </c>
      <c r="O22" s="64">
        <v>0</v>
      </c>
      <c r="P22" s="64">
        <v>0.56999999999999995</v>
      </c>
      <c r="Q22" s="64">
        <v>28.02</v>
      </c>
      <c r="R22" s="198"/>
      <c r="S22" s="198"/>
      <c r="T22" s="198"/>
      <c r="U22" s="198"/>
    </row>
    <row r="23" spans="1:21" s="12" customFormat="1" x14ac:dyDescent="0.25">
      <c r="A23" s="211" t="s">
        <v>2960</v>
      </c>
      <c r="B23" s="64">
        <v>1</v>
      </c>
      <c r="C23" s="64">
        <v>43.12</v>
      </c>
      <c r="D23" s="64">
        <v>25.25</v>
      </c>
      <c r="E23" s="64">
        <v>3.92</v>
      </c>
      <c r="F23" s="64">
        <v>7.63</v>
      </c>
      <c r="G23" s="64">
        <v>42.56</v>
      </c>
      <c r="H23" s="64">
        <v>27.54</v>
      </c>
      <c r="I23" s="64">
        <v>0.56999999999999995</v>
      </c>
      <c r="J23" s="64">
        <v>0.32</v>
      </c>
      <c r="K23" s="64">
        <v>251.26</v>
      </c>
      <c r="L23" s="64">
        <v>26.17</v>
      </c>
      <c r="M23" s="64">
        <v>46.04</v>
      </c>
      <c r="N23" s="214" t="s">
        <v>42</v>
      </c>
      <c r="O23" s="64">
        <v>0</v>
      </c>
      <c r="P23" s="64">
        <v>0.52</v>
      </c>
      <c r="Q23" s="64">
        <v>27.77</v>
      </c>
      <c r="R23" s="198"/>
      <c r="S23" s="198"/>
      <c r="T23" s="198"/>
      <c r="U23" s="198"/>
    </row>
    <row r="24" spans="1:21" s="12" customFormat="1" x14ac:dyDescent="0.25">
      <c r="A24" s="211" t="s">
        <v>2961</v>
      </c>
      <c r="B24" s="64">
        <v>1</v>
      </c>
      <c r="C24" s="64">
        <v>43.19</v>
      </c>
      <c r="D24" s="64">
        <v>25.28</v>
      </c>
      <c r="E24" s="64">
        <v>1.85</v>
      </c>
      <c r="F24" s="64">
        <v>7.95</v>
      </c>
      <c r="G24" s="64">
        <v>33.92</v>
      </c>
      <c r="H24" s="64">
        <v>20.87</v>
      </c>
      <c r="I24" s="64">
        <v>0.56000000000000005</v>
      </c>
      <c r="J24" s="64">
        <v>0.49</v>
      </c>
      <c r="K24" s="64">
        <v>256.93</v>
      </c>
      <c r="L24" s="64">
        <v>26.11</v>
      </c>
      <c r="M24" s="64">
        <v>46.27</v>
      </c>
      <c r="N24" s="64">
        <v>3.2</v>
      </c>
      <c r="O24" s="64">
        <v>0</v>
      </c>
      <c r="P24" s="64">
        <v>0.48</v>
      </c>
      <c r="Q24" s="64">
        <v>27.59</v>
      </c>
      <c r="R24" s="198"/>
      <c r="S24" s="198"/>
      <c r="T24" s="198"/>
      <c r="U24" s="198"/>
    </row>
    <row r="25" spans="1:21" s="12" customFormat="1" x14ac:dyDescent="0.25">
      <c r="A25" s="211" t="s">
        <v>2962</v>
      </c>
      <c r="B25" s="64">
        <v>1.03</v>
      </c>
      <c r="C25" s="64">
        <v>43.37</v>
      </c>
      <c r="D25" s="64">
        <v>25.41</v>
      </c>
      <c r="E25" s="64">
        <v>2.44</v>
      </c>
      <c r="F25" s="64">
        <v>7.29</v>
      </c>
      <c r="G25" s="64">
        <v>33.92</v>
      </c>
      <c r="H25" s="64">
        <v>20.87</v>
      </c>
      <c r="I25" s="64">
        <v>0.65</v>
      </c>
      <c r="J25" s="64">
        <v>0.43</v>
      </c>
      <c r="K25" s="64">
        <v>261.8</v>
      </c>
      <c r="L25" s="64">
        <v>26.04</v>
      </c>
      <c r="M25" s="64">
        <v>46.66</v>
      </c>
      <c r="N25" s="64">
        <v>5</v>
      </c>
      <c r="O25" s="64">
        <v>0</v>
      </c>
      <c r="P25" s="64">
        <v>0.45</v>
      </c>
      <c r="Q25" s="64">
        <v>27.34</v>
      </c>
      <c r="R25" s="198"/>
      <c r="S25" s="198"/>
      <c r="T25" s="198"/>
      <c r="U25" s="198"/>
    </row>
    <row r="26" spans="1:21" s="12" customFormat="1" x14ac:dyDescent="0.25">
      <c r="A26" s="211" t="s">
        <v>2963</v>
      </c>
      <c r="B26" s="64">
        <v>1.08</v>
      </c>
      <c r="C26" s="64">
        <v>37.99</v>
      </c>
      <c r="D26" s="64">
        <v>22.48</v>
      </c>
      <c r="E26" s="64">
        <v>4.74</v>
      </c>
      <c r="F26" s="64">
        <v>19.7</v>
      </c>
      <c r="G26" s="64">
        <v>33.92</v>
      </c>
      <c r="H26" s="64">
        <v>20.87</v>
      </c>
      <c r="I26" s="64">
        <v>0.62</v>
      </c>
      <c r="J26" s="64">
        <v>0.64</v>
      </c>
      <c r="K26" s="64">
        <v>248.27</v>
      </c>
      <c r="L26" s="64">
        <v>26</v>
      </c>
      <c r="M26" s="64">
        <v>46.77</v>
      </c>
      <c r="N26" s="64">
        <v>5.0999999999999996</v>
      </c>
      <c r="O26" s="64">
        <v>0</v>
      </c>
      <c r="P26" s="64">
        <v>0.44</v>
      </c>
      <c r="Q26" s="64">
        <v>27.77</v>
      </c>
      <c r="R26" s="198"/>
      <c r="S26" s="198"/>
      <c r="T26" s="198"/>
      <c r="U26" s="198"/>
    </row>
    <row r="27" spans="1:21" s="12" customFormat="1" x14ac:dyDescent="0.25">
      <c r="A27" s="211" t="s">
        <v>2964</v>
      </c>
      <c r="B27" s="64">
        <v>1.76</v>
      </c>
      <c r="C27" s="64">
        <v>34.78</v>
      </c>
      <c r="D27" s="64">
        <v>21.25</v>
      </c>
      <c r="E27" s="64">
        <v>10.49</v>
      </c>
      <c r="F27" s="64">
        <v>24.95</v>
      </c>
      <c r="G27" s="64">
        <v>33.729999999999997</v>
      </c>
      <c r="H27" s="64">
        <v>20.88</v>
      </c>
      <c r="I27" s="64">
        <v>0.56000000000000005</v>
      </c>
      <c r="J27" s="64">
        <v>0.22</v>
      </c>
      <c r="K27" s="64">
        <v>147.61000000000001</v>
      </c>
      <c r="L27" s="64">
        <v>25.73</v>
      </c>
      <c r="M27" s="64">
        <v>47.77</v>
      </c>
      <c r="N27" s="64">
        <v>5.0999999999999996</v>
      </c>
      <c r="O27" s="64">
        <v>0</v>
      </c>
      <c r="P27" s="64">
        <v>0.44</v>
      </c>
      <c r="Q27" s="64">
        <v>28.59</v>
      </c>
      <c r="R27" s="198"/>
      <c r="S27" s="198"/>
      <c r="T27" s="198"/>
      <c r="U27" s="198"/>
    </row>
    <row r="28" spans="1:21" s="12" customFormat="1" x14ac:dyDescent="0.25">
      <c r="A28" s="211" t="s">
        <v>2965</v>
      </c>
      <c r="B28" s="64">
        <v>3.25</v>
      </c>
      <c r="C28" s="64">
        <v>40.57</v>
      </c>
      <c r="D28" s="64">
        <v>25.64</v>
      </c>
      <c r="E28" s="64">
        <v>8.99</v>
      </c>
      <c r="F28" s="64">
        <v>12.35</v>
      </c>
      <c r="G28" s="64">
        <v>31.99</v>
      </c>
      <c r="H28" s="64">
        <v>20.97</v>
      </c>
      <c r="I28" s="64">
        <v>0.56000000000000005</v>
      </c>
      <c r="J28" s="64">
        <v>0.89</v>
      </c>
      <c r="K28" s="64">
        <v>246.81</v>
      </c>
      <c r="L28" s="64">
        <v>25.53</v>
      </c>
      <c r="M28" s="64">
        <v>49.15</v>
      </c>
      <c r="N28" s="64">
        <v>4.9000000000000004</v>
      </c>
      <c r="O28" s="64">
        <v>0</v>
      </c>
      <c r="P28" s="64">
        <v>0.42</v>
      </c>
      <c r="Q28" s="64">
        <v>28.39</v>
      </c>
      <c r="R28" s="198"/>
      <c r="S28" s="198"/>
      <c r="T28" s="198"/>
      <c r="U28" s="198"/>
    </row>
    <row r="29" spans="1:21" s="12" customFormat="1" x14ac:dyDescent="0.25">
      <c r="A29" s="211" t="s">
        <v>2966</v>
      </c>
      <c r="B29" s="64">
        <v>3.32</v>
      </c>
      <c r="C29" s="64">
        <v>34.25</v>
      </c>
      <c r="D29" s="64">
        <v>22.21</v>
      </c>
      <c r="E29" s="64">
        <v>7.53</v>
      </c>
      <c r="F29" s="64">
        <v>25.89</v>
      </c>
      <c r="G29" s="64">
        <v>31.99</v>
      </c>
      <c r="H29" s="64">
        <v>20.97</v>
      </c>
      <c r="I29" s="64">
        <v>0.56999999999999995</v>
      </c>
      <c r="J29" s="64">
        <v>0.25</v>
      </c>
      <c r="K29" s="64">
        <v>230.59</v>
      </c>
      <c r="L29" s="64">
        <v>25.45</v>
      </c>
      <c r="M29" s="64">
        <v>49.29</v>
      </c>
      <c r="N29" s="64">
        <v>0.4</v>
      </c>
      <c r="O29" s="64">
        <v>0</v>
      </c>
      <c r="P29" s="64">
        <v>0.42</v>
      </c>
      <c r="Q29" s="64">
        <v>28.49</v>
      </c>
      <c r="R29" s="198"/>
      <c r="S29" s="198"/>
      <c r="T29" s="198"/>
      <c r="U29" s="198"/>
    </row>
    <row r="30" spans="1:21" s="12" customFormat="1" x14ac:dyDescent="0.25">
      <c r="A30" s="211" t="s">
        <v>2967</v>
      </c>
      <c r="B30" s="64">
        <v>2.83</v>
      </c>
      <c r="C30" s="64">
        <v>34.89</v>
      </c>
      <c r="D30" s="64">
        <v>22.17</v>
      </c>
      <c r="E30" s="64">
        <v>12.83</v>
      </c>
      <c r="F30" s="64">
        <v>27.22</v>
      </c>
      <c r="G30" s="64">
        <v>31.99</v>
      </c>
      <c r="H30" s="64">
        <v>20.97</v>
      </c>
      <c r="I30" s="64">
        <v>0.55000000000000004</v>
      </c>
      <c r="J30" s="64">
        <v>7.0000000000000007E-2</v>
      </c>
      <c r="K30" s="64">
        <v>173.28</v>
      </c>
      <c r="L30" s="64">
        <v>25.29</v>
      </c>
      <c r="M30" s="64">
        <v>50.19</v>
      </c>
      <c r="N30" s="214" t="s">
        <v>42</v>
      </c>
      <c r="O30" s="64">
        <v>0</v>
      </c>
      <c r="P30" s="64">
        <v>0.42</v>
      </c>
      <c r="Q30" s="64">
        <v>29.21</v>
      </c>
      <c r="R30" s="198"/>
      <c r="S30" s="198"/>
      <c r="T30" s="198"/>
      <c r="U30" s="198"/>
    </row>
    <row r="31" spans="1:21" s="12" customFormat="1" x14ac:dyDescent="0.25">
      <c r="A31" s="211" t="s">
        <v>2968</v>
      </c>
      <c r="B31" s="64">
        <v>4.92</v>
      </c>
      <c r="C31" s="64">
        <v>44.1</v>
      </c>
      <c r="D31" s="64">
        <v>28.93</v>
      </c>
      <c r="E31" s="64">
        <v>8.17</v>
      </c>
      <c r="F31" s="64">
        <v>6.69</v>
      </c>
      <c r="G31" s="64">
        <v>29.3</v>
      </c>
      <c r="H31" s="64">
        <v>20.55</v>
      </c>
      <c r="I31" s="64">
        <v>0.54</v>
      </c>
      <c r="J31" s="64">
        <v>0.28999999999999998</v>
      </c>
      <c r="K31" s="64">
        <v>252.02</v>
      </c>
      <c r="L31" s="64">
        <v>25.31</v>
      </c>
      <c r="M31" s="64">
        <v>50.76</v>
      </c>
      <c r="N31" s="214" t="s">
        <v>42</v>
      </c>
      <c r="O31" s="64">
        <v>0</v>
      </c>
      <c r="P31" s="64">
        <v>0.43</v>
      </c>
      <c r="Q31" s="64">
        <v>28.41</v>
      </c>
      <c r="R31" s="198"/>
      <c r="S31" s="198"/>
      <c r="T31" s="198"/>
      <c r="U31" s="198"/>
    </row>
    <row r="32" spans="1:21" s="12" customFormat="1" x14ac:dyDescent="0.25">
      <c r="A32" s="211" t="s">
        <v>2969</v>
      </c>
      <c r="B32" s="64">
        <v>5.03</v>
      </c>
      <c r="C32" s="64">
        <v>46.8</v>
      </c>
      <c r="D32" s="64">
        <v>30.5</v>
      </c>
      <c r="E32" s="64">
        <v>4.03</v>
      </c>
      <c r="F32" s="64">
        <v>5.17</v>
      </c>
      <c r="G32" s="214" t="s">
        <v>42</v>
      </c>
      <c r="H32" s="214" t="s">
        <v>42</v>
      </c>
      <c r="I32" s="64">
        <v>0.52</v>
      </c>
      <c r="J32" s="64">
        <v>0.47</v>
      </c>
      <c r="K32" s="64">
        <v>244.15</v>
      </c>
      <c r="L32" s="64">
        <v>25.67</v>
      </c>
      <c r="M32" s="64">
        <v>50.27</v>
      </c>
      <c r="N32" s="214" t="s">
        <v>42</v>
      </c>
      <c r="O32" s="64">
        <v>0</v>
      </c>
      <c r="P32" s="64">
        <v>0.45</v>
      </c>
      <c r="Q32" s="64">
        <v>28.02</v>
      </c>
      <c r="R32" s="198"/>
      <c r="S32" s="198"/>
      <c r="T32" s="198"/>
      <c r="U32" s="198"/>
    </row>
    <row r="33" spans="1:21" s="12" customFormat="1" x14ac:dyDescent="0.25">
      <c r="A33" s="211" t="s">
        <v>2970</v>
      </c>
      <c r="B33" s="64">
        <v>5.44</v>
      </c>
      <c r="C33" s="64">
        <v>50.14</v>
      </c>
      <c r="D33" s="64">
        <v>32.68</v>
      </c>
      <c r="E33" s="64">
        <v>3.38</v>
      </c>
      <c r="F33" s="64">
        <v>3.93</v>
      </c>
      <c r="G33" s="214" t="s">
        <v>42</v>
      </c>
      <c r="H33" s="214" t="s">
        <v>42</v>
      </c>
      <c r="I33" s="64">
        <v>0.55000000000000004</v>
      </c>
      <c r="J33" s="64">
        <v>0.42</v>
      </c>
      <c r="K33" s="64">
        <v>246.46</v>
      </c>
      <c r="L33" s="64">
        <v>26.17</v>
      </c>
      <c r="M33" s="64">
        <v>50.53</v>
      </c>
      <c r="N33" s="214" t="s">
        <v>42</v>
      </c>
      <c r="O33" s="64">
        <v>0</v>
      </c>
      <c r="P33" s="64">
        <v>0.49</v>
      </c>
      <c r="Q33" s="64">
        <v>28.09</v>
      </c>
      <c r="R33" s="198"/>
      <c r="S33" s="198"/>
      <c r="T33" s="198"/>
      <c r="U33" s="198"/>
    </row>
    <row r="34" spans="1:21" s="12" customFormat="1" x14ac:dyDescent="0.25">
      <c r="A34" s="211" t="s">
        <v>2971</v>
      </c>
      <c r="B34" s="64">
        <v>6.71</v>
      </c>
      <c r="C34" s="64">
        <v>53.18</v>
      </c>
      <c r="D34" s="64">
        <v>35.369999999999997</v>
      </c>
      <c r="E34" s="64">
        <v>3.36</v>
      </c>
      <c r="F34" s="64">
        <v>3.71</v>
      </c>
      <c r="G34" s="214" t="s">
        <v>42</v>
      </c>
      <c r="H34" s="214" t="s">
        <v>42</v>
      </c>
      <c r="I34" s="64">
        <v>0.55000000000000004</v>
      </c>
      <c r="J34" s="64">
        <v>0.53</v>
      </c>
      <c r="K34" s="64">
        <v>254.64</v>
      </c>
      <c r="L34" s="64">
        <v>26.65</v>
      </c>
      <c r="M34" s="64">
        <v>48.52</v>
      </c>
      <c r="N34" s="214" t="s">
        <v>42</v>
      </c>
      <c r="O34" s="64">
        <v>0</v>
      </c>
      <c r="P34" s="64">
        <v>0.56000000000000005</v>
      </c>
      <c r="Q34" s="64">
        <v>28.18</v>
      </c>
      <c r="R34" s="198"/>
      <c r="S34" s="198"/>
      <c r="T34" s="198"/>
      <c r="U34" s="198"/>
    </row>
    <row r="35" spans="1:21" s="12" customFormat="1" x14ac:dyDescent="0.25">
      <c r="A35" s="211" t="s">
        <v>2972</v>
      </c>
      <c r="B35" s="64">
        <v>9.8699999999999992</v>
      </c>
      <c r="C35" s="64">
        <v>56.27</v>
      </c>
      <c r="D35" s="64">
        <v>39.61</v>
      </c>
      <c r="E35" s="64">
        <v>4.24</v>
      </c>
      <c r="F35" s="64">
        <v>3.63</v>
      </c>
      <c r="G35" s="64">
        <v>22.19</v>
      </c>
      <c r="H35" s="64">
        <v>19.97</v>
      </c>
      <c r="I35" s="64">
        <v>0.55000000000000004</v>
      </c>
      <c r="J35" s="64">
        <v>0.52</v>
      </c>
      <c r="K35" s="64">
        <v>254.7</v>
      </c>
      <c r="L35" s="64">
        <v>27.35</v>
      </c>
      <c r="M35" s="64">
        <v>47.33</v>
      </c>
      <c r="N35" s="64">
        <v>37.700000000000003</v>
      </c>
      <c r="O35" s="64">
        <v>0</v>
      </c>
      <c r="P35" s="64">
        <v>0.66</v>
      </c>
      <c r="Q35" s="64">
        <v>28.23</v>
      </c>
      <c r="R35" s="198"/>
      <c r="S35" s="198"/>
      <c r="T35" s="198"/>
      <c r="U35" s="198"/>
    </row>
    <row r="36" spans="1:21" s="12" customFormat="1" x14ac:dyDescent="0.25">
      <c r="A36" s="211" t="s">
        <v>2973</v>
      </c>
      <c r="B36" s="64">
        <v>13.84</v>
      </c>
      <c r="C36" s="64">
        <v>59.78</v>
      </c>
      <c r="D36" s="64">
        <v>44.73</v>
      </c>
      <c r="E36" s="64">
        <v>4.3899999999999997</v>
      </c>
      <c r="F36" s="64">
        <v>3.59</v>
      </c>
      <c r="G36" s="64">
        <v>158.80000000000001</v>
      </c>
      <c r="H36" s="64">
        <v>33.6</v>
      </c>
      <c r="I36" s="64">
        <v>0.6</v>
      </c>
      <c r="J36" s="64">
        <v>0.42</v>
      </c>
      <c r="K36" s="64">
        <v>250.23</v>
      </c>
      <c r="L36" s="64">
        <v>27.63</v>
      </c>
      <c r="M36" s="64">
        <v>46.73</v>
      </c>
      <c r="N36" s="64">
        <v>77.2</v>
      </c>
      <c r="O36" s="64">
        <v>0</v>
      </c>
      <c r="P36" s="64">
        <v>0.72</v>
      </c>
      <c r="Q36" s="64">
        <v>28.47</v>
      </c>
      <c r="R36" s="198"/>
      <c r="S36" s="198"/>
      <c r="T36" s="198"/>
      <c r="U36" s="198"/>
    </row>
    <row r="37" spans="1:21" s="12" customFormat="1" x14ac:dyDescent="0.25">
      <c r="A37" s="211" t="s">
        <v>2974</v>
      </c>
      <c r="B37" s="64">
        <v>12.92</v>
      </c>
      <c r="C37" s="64">
        <v>58.85</v>
      </c>
      <c r="D37" s="64">
        <v>43.49</v>
      </c>
      <c r="E37" s="64">
        <v>3.3</v>
      </c>
      <c r="F37" s="64">
        <v>4.84</v>
      </c>
      <c r="G37" s="64">
        <v>158.80000000000001</v>
      </c>
      <c r="H37" s="64">
        <v>33.6</v>
      </c>
      <c r="I37" s="64">
        <v>0.66</v>
      </c>
      <c r="J37" s="64">
        <v>0.56999999999999995</v>
      </c>
      <c r="K37" s="64">
        <v>254.9</v>
      </c>
      <c r="L37" s="64">
        <v>29.59</v>
      </c>
      <c r="M37" s="64">
        <v>41.64</v>
      </c>
      <c r="N37" s="64">
        <v>25.2</v>
      </c>
      <c r="O37" s="64">
        <v>0</v>
      </c>
      <c r="P37" s="64">
        <v>0.77</v>
      </c>
      <c r="Q37" s="64">
        <v>28.42</v>
      </c>
      <c r="R37" s="198"/>
      <c r="S37" s="198"/>
      <c r="T37" s="198"/>
      <c r="U37" s="198"/>
    </row>
    <row r="38" spans="1:21" s="12" customFormat="1" x14ac:dyDescent="0.25">
      <c r="A38" s="211" t="s">
        <v>2975</v>
      </c>
      <c r="B38" s="64">
        <v>20.079999999999998</v>
      </c>
      <c r="C38" s="64">
        <v>56.14</v>
      </c>
      <c r="D38" s="64">
        <v>47.69</v>
      </c>
      <c r="E38" s="64">
        <v>23.49</v>
      </c>
      <c r="F38" s="64">
        <v>11.37</v>
      </c>
      <c r="G38" s="64">
        <v>158.80000000000001</v>
      </c>
      <c r="H38" s="64">
        <v>33.6</v>
      </c>
      <c r="I38" s="64">
        <v>0.63</v>
      </c>
      <c r="J38" s="64">
        <v>0.65</v>
      </c>
      <c r="K38" s="64">
        <v>247.45</v>
      </c>
      <c r="L38" s="64">
        <v>30.74</v>
      </c>
      <c r="M38" s="64">
        <v>39.6</v>
      </c>
      <c r="N38" s="214" t="s">
        <v>42</v>
      </c>
      <c r="O38" s="64">
        <v>0</v>
      </c>
      <c r="P38" s="64">
        <v>0.84</v>
      </c>
      <c r="Q38" s="64">
        <v>27.92</v>
      </c>
      <c r="R38" s="198"/>
      <c r="S38" s="198"/>
      <c r="T38" s="198"/>
      <c r="U38" s="198"/>
    </row>
    <row r="39" spans="1:21" s="12" customFormat="1" x14ac:dyDescent="0.25">
      <c r="A39" s="211" t="s">
        <v>2976</v>
      </c>
      <c r="B39" s="64">
        <v>17.47</v>
      </c>
      <c r="C39" s="64">
        <v>60.58</v>
      </c>
      <c r="D39" s="64">
        <v>48.09</v>
      </c>
      <c r="E39" s="64">
        <v>74.48</v>
      </c>
      <c r="F39" s="64">
        <v>16.55</v>
      </c>
      <c r="G39" s="64">
        <v>155.34</v>
      </c>
      <c r="H39" s="64">
        <v>34.75</v>
      </c>
      <c r="I39" s="64">
        <v>0.59</v>
      </c>
      <c r="J39" s="64">
        <v>0.54</v>
      </c>
      <c r="K39" s="64">
        <v>128.08000000000001</v>
      </c>
      <c r="L39" s="64">
        <v>30.24</v>
      </c>
      <c r="M39" s="64">
        <v>40.229999999999997</v>
      </c>
      <c r="N39" s="214" t="s">
        <v>42</v>
      </c>
      <c r="O39" s="64">
        <v>0</v>
      </c>
      <c r="P39" s="64">
        <v>0.86</v>
      </c>
      <c r="Q39" s="64">
        <v>27</v>
      </c>
      <c r="R39" s="198"/>
      <c r="S39" s="198"/>
      <c r="T39" s="198"/>
      <c r="U39" s="198"/>
    </row>
    <row r="40" spans="1:21" s="12" customFormat="1" x14ac:dyDescent="0.25">
      <c r="A40" s="211" t="s">
        <v>2977</v>
      </c>
      <c r="B40" s="64">
        <v>21.4</v>
      </c>
      <c r="C40" s="64">
        <v>64.3</v>
      </c>
      <c r="D40" s="64">
        <v>53.3</v>
      </c>
      <c r="E40" s="64">
        <v>48.74</v>
      </c>
      <c r="F40" s="64">
        <v>19.23</v>
      </c>
      <c r="G40" s="64">
        <v>127.61</v>
      </c>
      <c r="H40" s="64">
        <v>42.81</v>
      </c>
      <c r="I40" s="64">
        <v>0.57999999999999996</v>
      </c>
      <c r="J40" s="64">
        <v>0.35</v>
      </c>
      <c r="K40" s="64">
        <v>248.03</v>
      </c>
      <c r="L40" s="64">
        <v>29.79</v>
      </c>
      <c r="M40" s="64">
        <v>40.64</v>
      </c>
      <c r="N40" s="214" t="s">
        <v>42</v>
      </c>
      <c r="O40" s="64">
        <v>0</v>
      </c>
      <c r="P40" s="64">
        <v>0.86</v>
      </c>
      <c r="Q40" s="64">
        <v>27.39</v>
      </c>
      <c r="R40" s="198"/>
      <c r="S40" s="198"/>
      <c r="T40" s="198"/>
      <c r="U40" s="198"/>
    </row>
    <row r="41" spans="1:21" s="12" customFormat="1" x14ac:dyDescent="0.25">
      <c r="A41" s="211" t="s">
        <v>2978</v>
      </c>
      <c r="B41" s="64">
        <v>15.22</v>
      </c>
      <c r="C41" s="64">
        <v>64.14</v>
      </c>
      <c r="D41" s="64">
        <v>48.25</v>
      </c>
      <c r="E41" s="64">
        <v>88.86</v>
      </c>
      <c r="F41" s="64">
        <v>24.57</v>
      </c>
      <c r="G41" s="64">
        <v>127.61</v>
      </c>
      <c r="H41" s="64">
        <v>42.81</v>
      </c>
      <c r="I41" s="64">
        <v>0.59</v>
      </c>
      <c r="J41" s="64">
        <v>0.21</v>
      </c>
      <c r="K41" s="64">
        <v>239.7</v>
      </c>
      <c r="L41" s="64">
        <v>30.98</v>
      </c>
      <c r="M41" s="64">
        <v>38.04</v>
      </c>
      <c r="N41" s="214" t="s">
        <v>42</v>
      </c>
      <c r="O41" s="64">
        <v>0</v>
      </c>
      <c r="P41" s="64">
        <v>0.88</v>
      </c>
      <c r="Q41" s="64">
        <v>27.67</v>
      </c>
      <c r="R41" s="198"/>
      <c r="S41" s="198"/>
      <c r="T41" s="198"/>
      <c r="U41" s="198"/>
    </row>
    <row r="42" spans="1:21" s="12" customFormat="1" x14ac:dyDescent="0.25">
      <c r="A42" s="211" t="s">
        <v>2979</v>
      </c>
      <c r="B42" s="64">
        <v>17.850000000000001</v>
      </c>
      <c r="C42" s="64">
        <v>61.5</v>
      </c>
      <c r="D42" s="64">
        <v>48.9</v>
      </c>
      <c r="E42" s="64">
        <v>51.24</v>
      </c>
      <c r="F42" s="64">
        <v>15.28</v>
      </c>
      <c r="G42" s="64">
        <v>127.61</v>
      </c>
      <c r="H42" s="64">
        <v>42.81</v>
      </c>
      <c r="I42" s="64">
        <v>0.57999999999999996</v>
      </c>
      <c r="J42" s="64">
        <v>0.91</v>
      </c>
      <c r="K42" s="64">
        <v>241.88</v>
      </c>
      <c r="L42" s="64">
        <v>32.42</v>
      </c>
      <c r="M42" s="64">
        <v>35.65</v>
      </c>
      <c r="N42" s="214" t="s">
        <v>42</v>
      </c>
      <c r="O42" s="64">
        <v>0</v>
      </c>
      <c r="P42" s="64">
        <v>0.89</v>
      </c>
      <c r="Q42" s="64">
        <v>29.09</v>
      </c>
      <c r="R42" s="198"/>
      <c r="S42" s="198"/>
      <c r="T42" s="198"/>
      <c r="U42" s="198"/>
    </row>
    <row r="43" spans="1:21" s="12" customFormat="1" x14ac:dyDescent="0.25">
      <c r="A43" s="211" t="s">
        <v>2980</v>
      </c>
      <c r="B43" s="64">
        <v>15.15</v>
      </c>
      <c r="C43" s="64">
        <v>59.25</v>
      </c>
      <c r="D43" s="64">
        <v>45.49</v>
      </c>
      <c r="E43" s="64">
        <v>16.2</v>
      </c>
      <c r="F43" s="64">
        <v>5.35</v>
      </c>
      <c r="G43" s="64">
        <v>126.32</v>
      </c>
      <c r="H43" s="64">
        <v>43.21</v>
      </c>
      <c r="I43" s="64">
        <v>0.52</v>
      </c>
      <c r="J43" s="64">
        <v>0.44</v>
      </c>
      <c r="K43" s="64">
        <v>252.27</v>
      </c>
      <c r="L43" s="64">
        <v>32.340000000000003</v>
      </c>
      <c r="M43" s="64">
        <v>35.79</v>
      </c>
      <c r="N43" s="214" t="s">
        <v>42</v>
      </c>
      <c r="O43" s="64">
        <v>0</v>
      </c>
      <c r="P43" s="64">
        <v>0.91</v>
      </c>
      <c r="Q43" s="64">
        <v>29.22</v>
      </c>
      <c r="R43" s="198"/>
      <c r="S43" s="198"/>
      <c r="T43" s="198"/>
      <c r="U43" s="198"/>
    </row>
    <row r="44" spans="1:21" s="12" customFormat="1" x14ac:dyDescent="0.25">
      <c r="A44" s="211" t="s">
        <v>2981</v>
      </c>
      <c r="B44" s="64">
        <v>15.53</v>
      </c>
      <c r="C44" s="64">
        <v>61.82</v>
      </c>
      <c r="D44" s="64">
        <v>47.21</v>
      </c>
      <c r="E44" s="64">
        <v>11.15</v>
      </c>
      <c r="F44" s="64">
        <v>5.29</v>
      </c>
      <c r="G44" s="64">
        <v>115.96</v>
      </c>
      <c r="H44" s="64">
        <v>45.79</v>
      </c>
      <c r="I44" s="64">
        <v>0.64</v>
      </c>
      <c r="J44" s="64">
        <v>0.25</v>
      </c>
      <c r="K44" s="64">
        <v>251.11</v>
      </c>
      <c r="L44" s="64">
        <v>31.66</v>
      </c>
      <c r="M44" s="64">
        <v>37.4</v>
      </c>
      <c r="N44" s="214" t="s">
        <v>42</v>
      </c>
      <c r="O44" s="64">
        <v>0</v>
      </c>
      <c r="P44" s="64">
        <v>0.95</v>
      </c>
      <c r="Q44" s="64">
        <v>29.29</v>
      </c>
      <c r="R44" s="198"/>
      <c r="S44" s="198"/>
      <c r="T44" s="198"/>
      <c r="U44" s="198"/>
    </row>
    <row r="45" spans="1:21" s="12" customFormat="1" x14ac:dyDescent="0.25">
      <c r="A45" s="211" t="s">
        <v>2982</v>
      </c>
      <c r="B45" s="64">
        <v>13.86</v>
      </c>
      <c r="C45" s="64">
        <v>65.260000000000005</v>
      </c>
      <c r="D45" s="64">
        <v>47.77</v>
      </c>
      <c r="E45" s="64">
        <v>7.68</v>
      </c>
      <c r="F45" s="64">
        <v>4.01</v>
      </c>
      <c r="G45" s="64">
        <v>115.96</v>
      </c>
      <c r="H45" s="64">
        <v>45.79</v>
      </c>
      <c r="I45" s="64">
        <v>0.91</v>
      </c>
      <c r="J45" s="64">
        <v>0.89</v>
      </c>
      <c r="K45" s="64">
        <v>248.41</v>
      </c>
      <c r="L45" s="64">
        <v>30.16</v>
      </c>
      <c r="M45" s="64">
        <v>40.479999999999997</v>
      </c>
      <c r="N45" s="214" t="s">
        <v>42</v>
      </c>
      <c r="O45" s="64">
        <v>0</v>
      </c>
      <c r="P45" s="64">
        <v>0.98</v>
      </c>
      <c r="Q45" s="64">
        <v>29.02</v>
      </c>
      <c r="R45" s="198"/>
      <c r="S45" s="198"/>
      <c r="T45" s="198"/>
      <c r="U45" s="198"/>
    </row>
    <row r="46" spans="1:21" s="12" customFormat="1" x14ac:dyDescent="0.25">
      <c r="A46" s="211" t="s">
        <v>2983</v>
      </c>
      <c r="B46" s="64">
        <v>11.29</v>
      </c>
      <c r="C46" s="64">
        <v>66.760000000000005</v>
      </c>
      <c r="D46" s="64">
        <v>46.54</v>
      </c>
      <c r="E46" s="64">
        <v>6.29</v>
      </c>
      <c r="F46" s="64">
        <v>5.2</v>
      </c>
      <c r="G46" s="64">
        <v>115.96</v>
      </c>
      <c r="H46" s="64">
        <v>45.79</v>
      </c>
      <c r="I46" s="64">
        <v>0.68</v>
      </c>
      <c r="J46" s="64">
        <v>0.6</v>
      </c>
      <c r="K46" s="64">
        <v>251.49</v>
      </c>
      <c r="L46" s="64">
        <v>29.35</v>
      </c>
      <c r="M46" s="64">
        <v>41.78</v>
      </c>
      <c r="N46" s="214" t="s">
        <v>42</v>
      </c>
      <c r="O46" s="64">
        <v>0</v>
      </c>
      <c r="P46" s="64">
        <v>0.96</v>
      </c>
      <c r="Q46" s="64">
        <v>28.65</v>
      </c>
      <c r="R46" s="198"/>
      <c r="S46" s="198"/>
      <c r="T46" s="198"/>
      <c r="U46" s="198"/>
    </row>
    <row r="47" spans="1:21" s="12" customFormat="1" x14ac:dyDescent="0.25">
      <c r="A47" s="211" t="s">
        <v>2984</v>
      </c>
      <c r="B47" s="64">
        <v>11.09</v>
      </c>
      <c r="C47" s="64">
        <v>67.58</v>
      </c>
      <c r="D47" s="64">
        <v>46.83</v>
      </c>
      <c r="E47" s="64">
        <v>5.79</v>
      </c>
      <c r="F47" s="64">
        <v>6.3</v>
      </c>
      <c r="G47" s="64">
        <v>104.36</v>
      </c>
      <c r="H47" s="64">
        <v>45.23</v>
      </c>
      <c r="I47" s="64">
        <v>0.63</v>
      </c>
      <c r="J47" s="64">
        <v>0.21</v>
      </c>
      <c r="K47" s="64">
        <v>246.03</v>
      </c>
      <c r="L47" s="64">
        <v>30.35</v>
      </c>
      <c r="M47" s="64">
        <v>40.67</v>
      </c>
      <c r="N47" s="214" t="s">
        <v>42</v>
      </c>
      <c r="O47" s="64">
        <v>0</v>
      </c>
      <c r="P47" s="64">
        <v>0.98</v>
      </c>
      <c r="Q47" s="64">
        <v>28.32</v>
      </c>
      <c r="R47" s="198"/>
      <c r="S47" s="198"/>
      <c r="T47" s="198"/>
      <c r="U47" s="198"/>
    </row>
    <row r="48" spans="1:21" s="12" customFormat="1" x14ac:dyDescent="0.25">
      <c r="A48" s="211" t="s">
        <v>2985</v>
      </c>
      <c r="B48" s="64">
        <v>9.1300000000000008</v>
      </c>
      <c r="C48" s="64">
        <v>67.099999999999994</v>
      </c>
      <c r="D48" s="64">
        <v>45</v>
      </c>
      <c r="E48" s="64">
        <v>5.27</v>
      </c>
      <c r="F48" s="64">
        <v>6.31</v>
      </c>
      <c r="G48" s="214" t="s">
        <v>42</v>
      </c>
      <c r="H48" s="214" t="s">
        <v>42</v>
      </c>
      <c r="I48" s="64">
        <v>0.59</v>
      </c>
      <c r="J48" s="64">
        <v>0.56999999999999995</v>
      </c>
      <c r="K48" s="64">
        <v>134.63999999999999</v>
      </c>
      <c r="L48" s="64">
        <v>29.75</v>
      </c>
      <c r="M48" s="64">
        <v>41.28</v>
      </c>
      <c r="N48" s="214" t="s">
        <v>42</v>
      </c>
      <c r="O48" s="64">
        <v>0</v>
      </c>
      <c r="P48" s="64">
        <v>0.96</v>
      </c>
      <c r="Q48" s="64">
        <v>28.09</v>
      </c>
      <c r="R48" s="198"/>
      <c r="S48" s="198"/>
      <c r="T48" s="198"/>
      <c r="U48" s="198"/>
    </row>
    <row r="49" spans="1:21" s="12" customFormat="1" x14ac:dyDescent="0.25">
      <c r="A49" s="211" t="s">
        <v>2986</v>
      </c>
      <c r="B49" s="64">
        <v>6.05</v>
      </c>
      <c r="C49" s="64">
        <v>67.44</v>
      </c>
      <c r="D49" s="64">
        <v>42.72</v>
      </c>
      <c r="E49" s="64">
        <v>4.54</v>
      </c>
      <c r="F49" s="64">
        <v>10.55</v>
      </c>
      <c r="G49" s="214" t="s">
        <v>42</v>
      </c>
      <c r="H49" s="214" t="s">
        <v>42</v>
      </c>
      <c r="I49" s="64">
        <v>0.56999999999999995</v>
      </c>
      <c r="J49" s="64">
        <v>0.63</v>
      </c>
      <c r="K49" s="64">
        <v>111.43</v>
      </c>
      <c r="L49" s="64">
        <v>29.24</v>
      </c>
      <c r="M49" s="64">
        <v>41.57</v>
      </c>
      <c r="N49" s="214" t="s">
        <v>42</v>
      </c>
      <c r="O49" s="64">
        <v>0</v>
      </c>
      <c r="P49" s="64">
        <v>0.92</v>
      </c>
      <c r="Q49" s="64">
        <v>27.64</v>
      </c>
      <c r="R49" s="198"/>
      <c r="S49" s="198"/>
      <c r="T49" s="198"/>
      <c r="U49" s="198"/>
    </row>
    <row r="50" spans="1:21" s="12" customFormat="1" x14ac:dyDescent="0.25">
      <c r="A50" s="211" t="s">
        <v>2987</v>
      </c>
      <c r="B50" s="64">
        <v>3.34</v>
      </c>
      <c r="C50" s="64">
        <v>58.91</v>
      </c>
      <c r="D50" s="64">
        <v>35.83</v>
      </c>
      <c r="E50" s="64">
        <v>23.04</v>
      </c>
      <c r="F50" s="64">
        <v>34.06</v>
      </c>
      <c r="G50" s="214" t="s">
        <v>42</v>
      </c>
      <c r="H50" s="214" t="s">
        <v>42</v>
      </c>
      <c r="I50" s="64">
        <v>0.56000000000000005</v>
      </c>
      <c r="J50" s="64">
        <v>0.54</v>
      </c>
      <c r="K50" s="64">
        <v>162.22999999999999</v>
      </c>
      <c r="L50" s="64">
        <v>29.44</v>
      </c>
      <c r="M50" s="64">
        <v>41.1</v>
      </c>
      <c r="N50" s="214" t="s">
        <v>42</v>
      </c>
      <c r="O50" s="64">
        <v>0</v>
      </c>
      <c r="P50" s="64">
        <v>0.9</v>
      </c>
      <c r="Q50" s="64">
        <v>28.54</v>
      </c>
      <c r="R50" s="198"/>
      <c r="S50" s="198"/>
      <c r="T50" s="198"/>
      <c r="U50" s="198"/>
    </row>
    <row r="51" spans="1:21" s="12" customFormat="1" x14ac:dyDescent="0.25">
      <c r="A51" s="211" t="s">
        <v>2988</v>
      </c>
      <c r="B51" s="64">
        <v>4.21</v>
      </c>
      <c r="C51" s="64">
        <v>59.57</v>
      </c>
      <c r="D51" s="64">
        <v>36.89</v>
      </c>
      <c r="E51" s="64">
        <v>42.48</v>
      </c>
      <c r="F51" s="64">
        <v>49.26</v>
      </c>
      <c r="G51" s="214" t="s">
        <v>42</v>
      </c>
      <c r="H51" s="214" t="s">
        <v>42</v>
      </c>
      <c r="I51" s="64">
        <v>0.56999999999999995</v>
      </c>
      <c r="J51" s="64">
        <v>0.18</v>
      </c>
      <c r="K51" s="64">
        <v>239.51</v>
      </c>
      <c r="L51" s="64">
        <v>30.05</v>
      </c>
      <c r="M51" s="64">
        <v>40.85</v>
      </c>
      <c r="N51" s="214" t="s">
        <v>42</v>
      </c>
      <c r="O51" s="64">
        <v>0</v>
      </c>
      <c r="P51" s="64">
        <v>0.9</v>
      </c>
      <c r="Q51" s="64">
        <v>28.62</v>
      </c>
      <c r="R51" s="198"/>
      <c r="S51" s="198"/>
      <c r="T51" s="198"/>
      <c r="U51" s="198"/>
    </row>
    <row r="52" spans="1:21" s="12" customFormat="1" x14ac:dyDescent="0.25">
      <c r="A52" s="211" t="s">
        <v>2989</v>
      </c>
      <c r="B52" s="64">
        <v>14.93</v>
      </c>
      <c r="C52" s="64">
        <v>73.47</v>
      </c>
      <c r="D52" s="64">
        <v>53.17</v>
      </c>
      <c r="E52" s="64">
        <v>39.93</v>
      </c>
      <c r="F52" s="64">
        <v>34.270000000000003</v>
      </c>
      <c r="G52" s="64">
        <v>163.03</v>
      </c>
      <c r="H52" s="64">
        <v>43.03</v>
      </c>
      <c r="I52" s="64">
        <v>0.56999999999999995</v>
      </c>
      <c r="J52" s="64">
        <v>0.37</v>
      </c>
      <c r="K52" s="64">
        <v>247.43</v>
      </c>
      <c r="L52" s="64">
        <v>31.12</v>
      </c>
      <c r="M52" s="64">
        <v>39.49</v>
      </c>
      <c r="N52" s="214" t="s">
        <v>42</v>
      </c>
      <c r="O52" s="64">
        <v>0</v>
      </c>
      <c r="P52" s="64">
        <v>0.91</v>
      </c>
      <c r="Q52" s="64">
        <v>26.66</v>
      </c>
      <c r="R52" s="198"/>
      <c r="S52" s="198"/>
      <c r="T52" s="198"/>
      <c r="U52" s="198"/>
    </row>
    <row r="53" spans="1:21" s="12" customFormat="1" x14ac:dyDescent="0.25">
      <c r="A53" s="211" t="s">
        <v>2990</v>
      </c>
      <c r="B53" s="64">
        <v>14.09</v>
      </c>
      <c r="C53" s="64">
        <v>69.459999999999994</v>
      </c>
      <c r="D53" s="64">
        <v>50.28</v>
      </c>
      <c r="E53" s="64">
        <v>42.47</v>
      </c>
      <c r="F53" s="64">
        <v>38.270000000000003</v>
      </c>
      <c r="G53" s="64">
        <v>163.03</v>
      </c>
      <c r="H53" s="64">
        <v>43.03</v>
      </c>
      <c r="I53" s="64">
        <v>0.56999999999999995</v>
      </c>
      <c r="J53" s="64">
        <v>0.35</v>
      </c>
      <c r="K53" s="64">
        <v>253.41</v>
      </c>
      <c r="L53" s="64">
        <v>31.07</v>
      </c>
      <c r="M53" s="64">
        <v>40.08</v>
      </c>
      <c r="N53" s="214" t="s">
        <v>42</v>
      </c>
      <c r="O53" s="64">
        <v>0</v>
      </c>
      <c r="P53" s="64">
        <v>0.96</v>
      </c>
      <c r="Q53" s="64">
        <v>25.59</v>
      </c>
      <c r="R53" s="198"/>
      <c r="S53" s="198"/>
      <c r="T53" s="198"/>
      <c r="U53" s="198"/>
    </row>
    <row r="54" spans="1:21" s="12" customFormat="1" x14ac:dyDescent="0.25">
      <c r="A54" s="211" t="s">
        <v>2991</v>
      </c>
      <c r="B54" s="64">
        <v>13.82</v>
      </c>
      <c r="C54" s="64">
        <v>67.66</v>
      </c>
      <c r="D54" s="64">
        <v>49.07</v>
      </c>
      <c r="E54" s="64">
        <v>27.73</v>
      </c>
      <c r="F54" s="64">
        <v>15.21</v>
      </c>
      <c r="G54" s="64">
        <v>163.03</v>
      </c>
      <c r="H54" s="64">
        <v>43.03</v>
      </c>
      <c r="I54" s="64">
        <v>0.72</v>
      </c>
      <c r="J54" s="64">
        <v>0.21</v>
      </c>
      <c r="K54" s="64">
        <v>265.87</v>
      </c>
      <c r="L54" s="64">
        <v>30.51</v>
      </c>
      <c r="M54" s="64">
        <v>43.59</v>
      </c>
      <c r="N54" s="214" t="s">
        <v>42</v>
      </c>
      <c r="O54" s="64">
        <v>0</v>
      </c>
      <c r="P54" s="64">
        <v>0.99</v>
      </c>
      <c r="Q54" s="64">
        <v>25.69</v>
      </c>
      <c r="R54" s="198"/>
      <c r="S54" s="198"/>
      <c r="T54" s="198"/>
      <c r="U54" s="198"/>
    </row>
    <row r="55" spans="1:21" s="12" customFormat="1" x14ac:dyDescent="0.25">
      <c r="A55" s="211" t="s">
        <v>2992</v>
      </c>
      <c r="B55" s="64">
        <v>8.15</v>
      </c>
      <c r="C55" s="64">
        <v>68.069999999999993</v>
      </c>
      <c r="D55" s="64">
        <v>44.75</v>
      </c>
      <c r="E55" s="64">
        <v>17.260000000000002</v>
      </c>
      <c r="F55" s="64">
        <v>12.29</v>
      </c>
      <c r="G55" s="64">
        <v>151.54</v>
      </c>
      <c r="H55" s="64">
        <v>43.62</v>
      </c>
      <c r="I55" s="64">
        <v>0.6</v>
      </c>
      <c r="J55" s="64">
        <v>0.23</v>
      </c>
      <c r="K55" s="64">
        <v>255.33</v>
      </c>
      <c r="L55" s="64">
        <v>30.69</v>
      </c>
      <c r="M55" s="64">
        <v>40.729999999999997</v>
      </c>
      <c r="N55" s="214" t="s">
        <v>42</v>
      </c>
      <c r="O55" s="64">
        <v>0</v>
      </c>
      <c r="P55" s="64">
        <v>1.06</v>
      </c>
      <c r="Q55" s="64">
        <v>27.65</v>
      </c>
      <c r="R55" s="198"/>
      <c r="S55" s="198"/>
      <c r="T55" s="198"/>
      <c r="U55" s="198"/>
    </row>
    <row r="56" spans="1:21" s="12" customFormat="1" x14ac:dyDescent="0.25">
      <c r="A56" s="211" t="s">
        <v>2993</v>
      </c>
      <c r="B56" s="64">
        <v>7.85</v>
      </c>
      <c r="C56" s="64">
        <v>71.66</v>
      </c>
      <c r="D56" s="64">
        <v>46.49</v>
      </c>
      <c r="E56" s="64">
        <v>9.9499999999999993</v>
      </c>
      <c r="F56" s="64">
        <v>8.18</v>
      </c>
      <c r="G56" s="64">
        <v>48.13</v>
      </c>
      <c r="H56" s="64">
        <v>47.9</v>
      </c>
      <c r="I56" s="64">
        <v>0.72</v>
      </c>
      <c r="J56" s="64">
        <v>0.24</v>
      </c>
      <c r="K56" s="64">
        <v>243.96</v>
      </c>
      <c r="L56" s="64">
        <v>32.54</v>
      </c>
      <c r="M56" s="64">
        <v>37.47</v>
      </c>
      <c r="N56" s="214" t="s">
        <v>42</v>
      </c>
      <c r="O56" s="64">
        <v>0</v>
      </c>
      <c r="P56" s="64">
        <v>1.1200000000000001</v>
      </c>
      <c r="Q56" s="64">
        <v>28.55</v>
      </c>
      <c r="R56" s="198"/>
      <c r="S56" s="198"/>
      <c r="T56" s="198"/>
      <c r="U56" s="198"/>
    </row>
    <row r="57" spans="1:21" s="12" customFormat="1" x14ac:dyDescent="0.25">
      <c r="A57" s="211" t="s">
        <v>2994</v>
      </c>
      <c r="B57" s="64">
        <v>5.67</v>
      </c>
      <c r="C57" s="64">
        <v>73.040000000000006</v>
      </c>
      <c r="D57" s="64">
        <v>45.5</v>
      </c>
      <c r="E57" s="64">
        <v>9.56</v>
      </c>
      <c r="F57" s="64">
        <v>8.67</v>
      </c>
      <c r="G57" s="64">
        <v>48.13</v>
      </c>
      <c r="H57" s="64">
        <v>47.9</v>
      </c>
      <c r="I57" s="64">
        <v>0.68</v>
      </c>
      <c r="J57" s="64">
        <v>0.61</v>
      </c>
      <c r="K57" s="64">
        <v>253.97</v>
      </c>
      <c r="L57" s="64">
        <v>34.64</v>
      </c>
      <c r="M57" s="64">
        <v>32.75</v>
      </c>
      <c r="N57" s="214" t="s">
        <v>42</v>
      </c>
      <c r="O57" s="64">
        <v>0</v>
      </c>
      <c r="P57" s="64">
        <v>1.1100000000000001</v>
      </c>
      <c r="Q57" s="64">
        <v>28.53</v>
      </c>
      <c r="R57" s="198"/>
      <c r="S57" s="198"/>
      <c r="T57" s="198"/>
      <c r="U57" s="198"/>
    </row>
    <row r="58" spans="1:21" s="12" customFormat="1" x14ac:dyDescent="0.25">
      <c r="A58" s="211" t="s">
        <v>2995</v>
      </c>
      <c r="B58" s="64">
        <v>3.97</v>
      </c>
      <c r="C58" s="64">
        <v>69.55</v>
      </c>
      <c r="D58" s="64">
        <v>42.21</v>
      </c>
      <c r="E58" s="64">
        <v>8.14</v>
      </c>
      <c r="F58" s="64">
        <v>10.92</v>
      </c>
      <c r="G58" s="64">
        <v>48.13</v>
      </c>
      <c r="H58" s="64">
        <v>47.9</v>
      </c>
      <c r="I58" s="64">
        <v>0.82</v>
      </c>
      <c r="J58" s="64">
        <v>0.49</v>
      </c>
      <c r="K58" s="64">
        <v>256.25</v>
      </c>
      <c r="L58" s="64">
        <v>35.81</v>
      </c>
      <c r="M58" s="64">
        <v>30.75</v>
      </c>
      <c r="N58" s="214" t="s">
        <v>42</v>
      </c>
      <c r="O58" s="64">
        <v>0</v>
      </c>
      <c r="P58" s="64">
        <v>1.0900000000000001</v>
      </c>
      <c r="Q58" s="64">
        <v>28.1</v>
      </c>
      <c r="R58" s="198"/>
      <c r="S58" s="198"/>
      <c r="T58" s="198"/>
      <c r="U58" s="198"/>
    </row>
    <row r="59" spans="1:21" s="12" customFormat="1" x14ac:dyDescent="0.25">
      <c r="A59" s="211" t="s">
        <v>2996</v>
      </c>
      <c r="B59" s="64">
        <v>2.27</v>
      </c>
      <c r="C59" s="64">
        <v>68.02</v>
      </c>
      <c r="D59" s="64">
        <v>40.01</v>
      </c>
      <c r="E59" s="64">
        <v>8.06</v>
      </c>
      <c r="F59" s="64">
        <v>16.95</v>
      </c>
      <c r="G59" s="64">
        <v>54.91</v>
      </c>
      <c r="H59" s="64">
        <v>47.54</v>
      </c>
      <c r="I59" s="64">
        <v>0.72</v>
      </c>
      <c r="J59" s="64">
        <v>0.36</v>
      </c>
      <c r="K59" s="64">
        <v>225.25</v>
      </c>
      <c r="L59" s="64">
        <v>35.61</v>
      </c>
      <c r="M59" s="64">
        <v>31.24</v>
      </c>
      <c r="N59" s="214" t="s">
        <v>42</v>
      </c>
      <c r="O59" s="64">
        <v>0</v>
      </c>
      <c r="P59" s="64">
        <v>1.07</v>
      </c>
      <c r="Q59" s="64">
        <v>27.76</v>
      </c>
      <c r="R59" s="198"/>
      <c r="S59" s="198"/>
      <c r="T59" s="198"/>
      <c r="U59" s="198"/>
    </row>
    <row r="60" spans="1:21" s="12" customFormat="1" x14ac:dyDescent="0.25">
      <c r="A60" s="211" t="s">
        <v>2997</v>
      </c>
      <c r="B60" s="64">
        <v>1.18</v>
      </c>
      <c r="C60" s="64">
        <v>67.150000000000006</v>
      </c>
      <c r="D60" s="64">
        <v>38.65</v>
      </c>
      <c r="E60" s="64">
        <v>7.32</v>
      </c>
      <c r="F60" s="64">
        <v>16.170000000000002</v>
      </c>
      <c r="G60" s="64">
        <v>109.09</v>
      </c>
      <c r="H60" s="64">
        <v>45.16</v>
      </c>
      <c r="I60" s="64">
        <v>0.71</v>
      </c>
      <c r="J60" s="64">
        <v>0.79</v>
      </c>
      <c r="K60" s="64">
        <v>120.04</v>
      </c>
      <c r="L60" s="64">
        <v>33.53</v>
      </c>
      <c r="M60" s="64">
        <v>32.729999999999997</v>
      </c>
      <c r="N60" s="214" t="s">
        <v>42</v>
      </c>
      <c r="O60" s="64">
        <v>0</v>
      </c>
      <c r="P60" s="64">
        <v>1.04</v>
      </c>
      <c r="Q60" s="64">
        <v>27.17</v>
      </c>
      <c r="R60" s="198"/>
      <c r="S60" s="198"/>
      <c r="T60" s="198"/>
      <c r="U60" s="198"/>
    </row>
    <row r="61" spans="1:21" s="12" customFormat="1" x14ac:dyDescent="0.25">
      <c r="A61" s="211" t="s">
        <v>2998</v>
      </c>
      <c r="B61" s="64">
        <v>1</v>
      </c>
      <c r="C61" s="64">
        <v>47.99</v>
      </c>
      <c r="D61" s="64">
        <v>27.93</v>
      </c>
      <c r="E61" s="64">
        <v>8.59</v>
      </c>
      <c r="F61" s="64">
        <v>43.86</v>
      </c>
      <c r="G61" s="64">
        <v>109.09</v>
      </c>
      <c r="H61" s="64">
        <v>45.16</v>
      </c>
      <c r="I61" s="64">
        <v>0.63</v>
      </c>
      <c r="J61" s="64">
        <v>0.37</v>
      </c>
      <c r="K61" s="64">
        <v>167.95</v>
      </c>
      <c r="L61" s="64">
        <v>33.99</v>
      </c>
      <c r="M61" s="64">
        <v>29.96</v>
      </c>
      <c r="N61" s="214" t="s">
        <v>42</v>
      </c>
      <c r="O61" s="64">
        <v>0</v>
      </c>
      <c r="P61" s="64">
        <v>0.95</v>
      </c>
      <c r="Q61" s="64">
        <v>27.48</v>
      </c>
      <c r="R61" s="198"/>
      <c r="S61" s="198"/>
      <c r="T61" s="198"/>
      <c r="U61" s="198"/>
    </row>
    <row r="62" spans="1:21" s="12" customFormat="1" x14ac:dyDescent="0.25">
      <c r="A62" s="211" t="s">
        <v>2999</v>
      </c>
      <c r="B62" s="64">
        <v>2.56</v>
      </c>
      <c r="C62" s="64">
        <v>39.159999999999997</v>
      </c>
      <c r="D62" s="64">
        <v>24.31</v>
      </c>
      <c r="E62" s="64">
        <v>12.76</v>
      </c>
      <c r="F62" s="64">
        <v>80.8</v>
      </c>
      <c r="G62" s="64">
        <v>109.09</v>
      </c>
      <c r="H62" s="64">
        <v>45.16</v>
      </c>
      <c r="I62" s="64">
        <v>0.67</v>
      </c>
      <c r="J62" s="64">
        <v>0.28000000000000003</v>
      </c>
      <c r="K62" s="64">
        <v>260.89</v>
      </c>
      <c r="L62" s="64">
        <v>35.32</v>
      </c>
      <c r="M62" s="64">
        <v>27.99</v>
      </c>
      <c r="N62" s="214" t="s">
        <v>42</v>
      </c>
      <c r="O62" s="64">
        <v>0</v>
      </c>
      <c r="P62" s="64">
        <v>0.96</v>
      </c>
      <c r="Q62" s="64">
        <v>29.03</v>
      </c>
      <c r="R62" s="198"/>
      <c r="S62" s="198"/>
      <c r="T62" s="198"/>
      <c r="U62" s="198"/>
    </row>
    <row r="63" spans="1:21" s="12" customFormat="1" x14ac:dyDescent="0.25">
      <c r="A63" s="211" t="s">
        <v>3000</v>
      </c>
      <c r="B63" s="64">
        <v>1.89</v>
      </c>
      <c r="C63" s="64">
        <v>37.950000000000003</v>
      </c>
      <c r="D63" s="64">
        <v>23.11</v>
      </c>
      <c r="E63" s="64">
        <v>15.88</v>
      </c>
      <c r="F63" s="64">
        <v>81.069999999999993</v>
      </c>
      <c r="G63" s="64">
        <v>105.48</v>
      </c>
      <c r="H63" s="64">
        <v>43.9</v>
      </c>
      <c r="I63" s="64">
        <v>0.59</v>
      </c>
      <c r="J63" s="64">
        <v>0.47</v>
      </c>
      <c r="K63" s="64">
        <v>241.41</v>
      </c>
      <c r="L63" s="64">
        <v>37.11</v>
      </c>
      <c r="M63" s="64">
        <v>25.14</v>
      </c>
      <c r="N63" s="214" t="s">
        <v>42</v>
      </c>
      <c r="O63" s="64">
        <v>0</v>
      </c>
      <c r="P63" s="64">
        <v>0.95</v>
      </c>
      <c r="Q63" s="64">
        <v>29.03</v>
      </c>
      <c r="R63" s="198"/>
      <c r="S63" s="198"/>
      <c r="T63" s="198"/>
      <c r="U63" s="198"/>
    </row>
    <row r="64" spans="1:21" s="12" customFormat="1" x14ac:dyDescent="0.25">
      <c r="A64" s="211" t="s">
        <v>3001</v>
      </c>
      <c r="B64" s="64">
        <v>1.1200000000000001</v>
      </c>
      <c r="C64" s="64">
        <v>22.16</v>
      </c>
      <c r="D64" s="64">
        <v>13.77</v>
      </c>
      <c r="E64" s="64">
        <v>17.03</v>
      </c>
      <c r="F64" s="64">
        <v>98.17</v>
      </c>
      <c r="G64" s="64">
        <v>76.56</v>
      </c>
      <c r="H64" s="64">
        <v>35.729999999999997</v>
      </c>
      <c r="I64" s="64">
        <v>0.59</v>
      </c>
      <c r="J64" s="64">
        <v>0.36</v>
      </c>
      <c r="K64" s="64">
        <v>157.41</v>
      </c>
      <c r="L64" s="64">
        <v>35.89</v>
      </c>
      <c r="M64" s="64">
        <v>25.99</v>
      </c>
      <c r="N64" s="214" t="s">
        <v>42</v>
      </c>
      <c r="O64" s="64">
        <v>0</v>
      </c>
      <c r="P64" s="64">
        <v>0.92</v>
      </c>
      <c r="Q64" s="64">
        <v>29.74</v>
      </c>
      <c r="R64" s="198"/>
      <c r="S64" s="198"/>
      <c r="T64" s="198"/>
      <c r="U64" s="198"/>
    </row>
    <row r="65" spans="1:21" s="12" customFormat="1" x14ac:dyDescent="0.25">
      <c r="A65" s="211" t="s">
        <v>3002</v>
      </c>
      <c r="B65" s="64">
        <v>3.1</v>
      </c>
      <c r="C65" s="64">
        <v>37.409999999999997</v>
      </c>
      <c r="D65" s="64">
        <v>23.78</v>
      </c>
      <c r="E65" s="64">
        <v>13.51</v>
      </c>
      <c r="F65" s="64">
        <v>66.39</v>
      </c>
      <c r="G65" s="64">
        <v>76.56</v>
      </c>
      <c r="H65" s="64">
        <v>35.729999999999997</v>
      </c>
      <c r="I65" s="64">
        <v>0.52</v>
      </c>
      <c r="J65" s="64">
        <v>0.81</v>
      </c>
      <c r="K65" s="64">
        <v>243.91</v>
      </c>
      <c r="L65" s="64">
        <v>36.21</v>
      </c>
      <c r="M65" s="64">
        <v>25.49</v>
      </c>
      <c r="N65" s="214" t="s">
        <v>42</v>
      </c>
      <c r="O65" s="64">
        <v>0</v>
      </c>
      <c r="P65" s="64">
        <v>0.91</v>
      </c>
      <c r="Q65" s="64">
        <v>29.46</v>
      </c>
      <c r="R65" s="198"/>
      <c r="S65" s="198"/>
      <c r="T65" s="198"/>
      <c r="U65" s="198"/>
    </row>
    <row r="66" spans="1:21" s="12" customFormat="1" x14ac:dyDescent="0.25">
      <c r="A66" s="211" t="s">
        <v>3003</v>
      </c>
      <c r="B66" s="64">
        <v>2.44</v>
      </c>
      <c r="C66" s="64">
        <v>46.26</v>
      </c>
      <c r="D66" s="64">
        <v>28.13</v>
      </c>
      <c r="E66" s="64">
        <v>9.1300000000000008</v>
      </c>
      <c r="F66" s="64">
        <v>16.89</v>
      </c>
      <c r="G66" s="64">
        <v>76.56</v>
      </c>
      <c r="H66" s="64">
        <v>35.729999999999997</v>
      </c>
      <c r="I66" s="64">
        <v>0.51</v>
      </c>
      <c r="J66" s="64">
        <v>0.6</v>
      </c>
      <c r="K66" s="64">
        <v>247.57</v>
      </c>
      <c r="L66" s="64">
        <v>37.78</v>
      </c>
      <c r="M66" s="64">
        <v>23.02</v>
      </c>
      <c r="N66" s="214" t="s">
        <v>42</v>
      </c>
      <c r="O66" s="64">
        <v>0</v>
      </c>
      <c r="P66" s="64">
        <v>0.88</v>
      </c>
      <c r="Q66" s="64">
        <v>27.91</v>
      </c>
      <c r="R66" s="198"/>
      <c r="S66" s="198"/>
      <c r="T66" s="198"/>
      <c r="U66" s="198"/>
    </row>
    <row r="67" spans="1:21" s="12" customFormat="1" x14ac:dyDescent="0.25">
      <c r="A67" s="211" t="s">
        <v>3004</v>
      </c>
      <c r="B67" s="64">
        <v>1.02</v>
      </c>
      <c r="C67" s="64">
        <v>44.43</v>
      </c>
      <c r="D67" s="64">
        <v>25.98</v>
      </c>
      <c r="E67" s="64">
        <v>6.48</v>
      </c>
      <c r="F67" s="64">
        <v>19.86</v>
      </c>
      <c r="G67" s="64">
        <v>72.25</v>
      </c>
      <c r="H67" s="64">
        <v>35.700000000000003</v>
      </c>
      <c r="I67" s="64">
        <v>0.64</v>
      </c>
      <c r="J67" s="64">
        <v>0.55000000000000004</v>
      </c>
      <c r="K67" s="64">
        <v>221.97</v>
      </c>
      <c r="L67" s="64">
        <v>35.729999999999997</v>
      </c>
      <c r="M67" s="64">
        <v>24.79</v>
      </c>
      <c r="N67" s="214" t="s">
        <v>42</v>
      </c>
      <c r="O67" s="64">
        <v>0</v>
      </c>
      <c r="P67" s="64">
        <v>0.83</v>
      </c>
      <c r="Q67" s="64">
        <v>27.58</v>
      </c>
      <c r="R67" s="198"/>
      <c r="S67" s="198"/>
      <c r="T67" s="198"/>
      <c r="U67" s="198"/>
    </row>
    <row r="68" spans="1:21" s="12" customFormat="1" x14ac:dyDescent="0.25">
      <c r="A68" s="211" t="s">
        <v>3005</v>
      </c>
      <c r="B68" s="64">
        <v>1.99</v>
      </c>
      <c r="C68" s="64">
        <v>49.62</v>
      </c>
      <c r="D68" s="64">
        <v>29.63</v>
      </c>
      <c r="E68" s="64">
        <v>5.57</v>
      </c>
      <c r="F68" s="64">
        <v>20.86</v>
      </c>
      <c r="G68" s="64">
        <v>37.770000000000003</v>
      </c>
      <c r="H68" s="64">
        <v>35.49</v>
      </c>
      <c r="I68" s="64">
        <v>0.75</v>
      </c>
      <c r="J68" s="64">
        <v>0.46</v>
      </c>
      <c r="K68" s="64">
        <v>247.13</v>
      </c>
      <c r="L68" s="64">
        <v>36.81</v>
      </c>
      <c r="M68" s="64">
        <v>22.7</v>
      </c>
      <c r="N68" s="214" t="s">
        <v>42</v>
      </c>
      <c r="O68" s="64">
        <v>0</v>
      </c>
      <c r="P68" s="64">
        <v>0.8</v>
      </c>
      <c r="Q68" s="64">
        <v>27.28</v>
      </c>
      <c r="R68" s="198"/>
      <c r="S68" s="198"/>
      <c r="T68" s="198"/>
      <c r="U68" s="198"/>
    </row>
    <row r="69" spans="1:21" s="12" customFormat="1" x14ac:dyDescent="0.25">
      <c r="A69" s="211" t="s">
        <v>3006</v>
      </c>
      <c r="B69" s="64">
        <v>1.05</v>
      </c>
      <c r="C69" s="64">
        <v>43.11</v>
      </c>
      <c r="D69" s="64">
        <v>25.29</v>
      </c>
      <c r="E69" s="64">
        <v>5.35</v>
      </c>
      <c r="F69" s="64">
        <v>22.8</v>
      </c>
      <c r="G69" s="64">
        <v>37.770000000000003</v>
      </c>
      <c r="H69" s="64">
        <v>35.49</v>
      </c>
      <c r="I69" s="64">
        <v>0.95</v>
      </c>
      <c r="J69" s="64">
        <v>0.94</v>
      </c>
      <c r="K69" s="64">
        <v>154.61000000000001</v>
      </c>
      <c r="L69" s="64">
        <v>35.11</v>
      </c>
      <c r="M69" s="64">
        <v>24.26</v>
      </c>
      <c r="N69" s="214" t="s">
        <v>42</v>
      </c>
      <c r="O69" s="64">
        <v>0</v>
      </c>
      <c r="P69" s="64">
        <v>0.77</v>
      </c>
      <c r="Q69" s="64">
        <v>26.96</v>
      </c>
      <c r="R69" s="198"/>
      <c r="S69" s="198"/>
      <c r="T69" s="198"/>
      <c r="U69" s="198"/>
    </row>
    <row r="70" spans="1:21" s="12" customFormat="1" x14ac:dyDescent="0.25">
      <c r="A70" s="211" t="s">
        <v>3007</v>
      </c>
      <c r="B70" s="64">
        <v>1</v>
      </c>
      <c r="C70" s="64">
        <v>45.42</v>
      </c>
      <c r="D70" s="64">
        <v>26.51</v>
      </c>
      <c r="E70" s="64">
        <v>5.27</v>
      </c>
      <c r="F70" s="64">
        <v>28.56</v>
      </c>
      <c r="G70" s="64">
        <v>37.770000000000003</v>
      </c>
      <c r="H70" s="64">
        <v>35.49</v>
      </c>
      <c r="I70" s="64">
        <v>0.79</v>
      </c>
      <c r="J70" s="64">
        <v>0.35</v>
      </c>
      <c r="K70" s="64">
        <v>165.67</v>
      </c>
      <c r="L70" s="64">
        <v>34.950000000000003</v>
      </c>
      <c r="M70" s="64">
        <v>25.19</v>
      </c>
      <c r="N70" s="214" t="s">
        <v>42</v>
      </c>
      <c r="O70" s="64">
        <v>0</v>
      </c>
      <c r="P70" s="64">
        <v>0.72</v>
      </c>
      <c r="Q70" s="64">
        <v>26.81</v>
      </c>
      <c r="R70" s="198"/>
      <c r="S70" s="198"/>
      <c r="T70" s="198"/>
      <c r="U70" s="198"/>
    </row>
    <row r="71" spans="1:21" s="12" customFormat="1" x14ac:dyDescent="0.25">
      <c r="A71" s="211" t="s">
        <v>3008</v>
      </c>
      <c r="B71" s="64">
        <v>1.01</v>
      </c>
      <c r="C71" s="64">
        <v>46.47</v>
      </c>
      <c r="D71" s="64">
        <v>27.1</v>
      </c>
      <c r="E71" s="64">
        <v>5.31</v>
      </c>
      <c r="F71" s="64">
        <v>20.41</v>
      </c>
      <c r="G71" s="64">
        <v>51.31</v>
      </c>
      <c r="H71" s="64">
        <v>34.979999999999997</v>
      </c>
      <c r="I71" s="64">
        <v>0.74</v>
      </c>
      <c r="J71" s="64">
        <v>0.22</v>
      </c>
      <c r="K71" s="64">
        <v>164.08</v>
      </c>
      <c r="L71" s="64">
        <v>34.979999999999997</v>
      </c>
      <c r="M71" s="64">
        <v>26.06</v>
      </c>
      <c r="N71" s="214" t="s">
        <v>42</v>
      </c>
      <c r="O71" s="64">
        <v>0</v>
      </c>
      <c r="P71" s="64">
        <v>0.69</v>
      </c>
      <c r="Q71" s="64">
        <v>26.49</v>
      </c>
      <c r="R71" s="198"/>
      <c r="S71" s="198"/>
      <c r="T71" s="198"/>
      <c r="U71" s="198"/>
    </row>
    <row r="72" spans="1:21" s="12" customFormat="1" x14ac:dyDescent="0.25">
      <c r="A72" s="211" t="s">
        <v>3009</v>
      </c>
      <c r="B72" s="64">
        <v>1.32</v>
      </c>
      <c r="C72" s="64">
        <v>50.8</v>
      </c>
      <c r="D72" s="64">
        <v>29.74</v>
      </c>
      <c r="E72" s="64">
        <v>2.12</v>
      </c>
      <c r="F72" s="64">
        <v>21.7</v>
      </c>
      <c r="G72" s="64">
        <v>159.66</v>
      </c>
      <c r="H72" s="64">
        <v>31.66</v>
      </c>
      <c r="I72" s="64">
        <v>0.75</v>
      </c>
      <c r="J72" s="64">
        <v>0.38</v>
      </c>
      <c r="K72" s="64">
        <v>244.37</v>
      </c>
      <c r="L72" s="64">
        <v>34.07</v>
      </c>
      <c r="M72" s="64">
        <v>29.15</v>
      </c>
      <c r="N72" s="214" t="s">
        <v>42</v>
      </c>
      <c r="O72" s="64">
        <v>0</v>
      </c>
      <c r="P72" s="64">
        <v>0.67</v>
      </c>
      <c r="Q72" s="64">
        <v>26.57</v>
      </c>
      <c r="R72" s="198"/>
      <c r="S72" s="198"/>
      <c r="T72" s="198"/>
      <c r="U72" s="198"/>
    </row>
    <row r="73" spans="1:21" s="12" customFormat="1" x14ac:dyDescent="0.25">
      <c r="A73" s="211" t="s">
        <v>3010</v>
      </c>
      <c r="B73" s="64">
        <v>1.62</v>
      </c>
      <c r="C73" s="64">
        <v>29.72</v>
      </c>
      <c r="D73" s="64">
        <v>18.34</v>
      </c>
      <c r="E73" s="64">
        <v>8.0299999999999994</v>
      </c>
      <c r="F73" s="64">
        <v>89.41</v>
      </c>
      <c r="G73" s="64">
        <v>159.66</v>
      </c>
      <c r="H73" s="64">
        <v>31.66</v>
      </c>
      <c r="I73" s="64">
        <v>0.64</v>
      </c>
      <c r="J73" s="64">
        <v>0.17</v>
      </c>
      <c r="K73" s="64">
        <v>222.6</v>
      </c>
      <c r="L73" s="64">
        <v>34.86</v>
      </c>
      <c r="M73" s="64">
        <v>25.49</v>
      </c>
      <c r="N73" s="214" t="s">
        <v>42</v>
      </c>
      <c r="O73" s="64">
        <v>0</v>
      </c>
      <c r="P73" s="64">
        <v>0.67</v>
      </c>
      <c r="Q73" s="64">
        <v>27.55</v>
      </c>
      <c r="R73" s="198"/>
      <c r="S73" s="198"/>
      <c r="T73" s="198"/>
      <c r="U73" s="198"/>
    </row>
    <row r="74" spans="1:21" s="12" customFormat="1" x14ac:dyDescent="0.25">
      <c r="A74" s="211" t="s">
        <v>3011</v>
      </c>
      <c r="B74" s="64">
        <v>1</v>
      </c>
      <c r="C74" s="64">
        <v>17.420000000000002</v>
      </c>
      <c r="D74" s="64">
        <v>11.06</v>
      </c>
      <c r="E74" s="64">
        <v>12.7</v>
      </c>
      <c r="F74" s="64">
        <v>100.84</v>
      </c>
      <c r="G74" s="64">
        <v>159.66</v>
      </c>
      <c r="H74" s="64">
        <v>31.66</v>
      </c>
      <c r="I74" s="64">
        <v>0.63</v>
      </c>
      <c r="J74" s="64">
        <v>0.64</v>
      </c>
      <c r="K74" s="64">
        <v>115.49</v>
      </c>
      <c r="L74" s="64">
        <v>34.31</v>
      </c>
      <c r="M74" s="64">
        <v>25.93</v>
      </c>
      <c r="N74" s="214" t="s">
        <v>42</v>
      </c>
      <c r="O74" s="64">
        <v>0</v>
      </c>
      <c r="P74" s="64">
        <v>0.66</v>
      </c>
      <c r="Q74" s="64">
        <v>29.75</v>
      </c>
      <c r="R74" s="198"/>
      <c r="S74" s="198"/>
      <c r="T74" s="198"/>
      <c r="U74" s="198"/>
    </row>
    <row r="75" spans="1:21" s="12" customFormat="1" x14ac:dyDescent="0.25">
      <c r="A75" s="211" t="s">
        <v>3012</v>
      </c>
      <c r="B75" s="64">
        <v>1</v>
      </c>
      <c r="C75" s="64">
        <v>19.989999999999998</v>
      </c>
      <c r="D75" s="64">
        <v>12.48</v>
      </c>
      <c r="E75" s="64">
        <v>11.74</v>
      </c>
      <c r="F75" s="64">
        <v>100.92</v>
      </c>
      <c r="G75" s="64">
        <v>146.59</v>
      </c>
      <c r="H75" s="64">
        <v>31.75</v>
      </c>
      <c r="I75" s="64">
        <v>0.5</v>
      </c>
      <c r="J75" s="64">
        <v>0.75</v>
      </c>
      <c r="K75" s="64">
        <v>109.36</v>
      </c>
      <c r="L75" s="64">
        <v>34.17</v>
      </c>
      <c r="M75" s="64">
        <v>25.24</v>
      </c>
      <c r="N75" s="214" t="s">
        <v>42</v>
      </c>
      <c r="O75" s="64">
        <v>0</v>
      </c>
      <c r="P75" s="64">
        <v>0.64</v>
      </c>
      <c r="Q75" s="64">
        <v>30.09</v>
      </c>
      <c r="R75" s="198"/>
      <c r="S75" s="198"/>
      <c r="T75" s="198"/>
      <c r="U75" s="198"/>
    </row>
    <row r="76" spans="1:21" s="12" customFormat="1" x14ac:dyDescent="0.25">
      <c r="A76" s="211" t="s">
        <v>3013</v>
      </c>
      <c r="B76" s="64">
        <v>1</v>
      </c>
      <c r="C76" s="64">
        <v>14.89</v>
      </c>
      <c r="D76" s="64">
        <v>9.67</v>
      </c>
      <c r="E76" s="64">
        <v>12.7</v>
      </c>
      <c r="F76" s="64">
        <v>106.03</v>
      </c>
      <c r="G76" s="64">
        <v>42.03</v>
      </c>
      <c r="H76" s="64">
        <v>32.36</v>
      </c>
      <c r="I76" s="64">
        <v>0.45</v>
      </c>
      <c r="J76" s="64">
        <v>0.39</v>
      </c>
      <c r="K76" s="64">
        <v>123.91</v>
      </c>
      <c r="L76" s="64">
        <v>34.229999999999997</v>
      </c>
      <c r="M76" s="64">
        <v>24.47</v>
      </c>
      <c r="N76" s="214" t="s">
        <v>42</v>
      </c>
      <c r="O76" s="64">
        <v>0</v>
      </c>
      <c r="P76" s="64">
        <v>0.63</v>
      </c>
      <c r="Q76" s="64">
        <v>30.36</v>
      </c>
      <c r="R76" s="198"/>
      <c r="S76" s="198"/>
      <c r="T76" s="198"/>
      <c r="U76" s="198"/>
    </row>
    <row r="77" spans="1:21" s="12" customFormat="1" x14ac:dyDescent="0.25">
      <c r="A77" s="211" t="s">
        <v>3014</v>
      </c>
      <c r="B77" s="64">
        <v>6.74</v>
      </c>
      <c r="C77" s="64">
        <v>44.89</v>
      </c>
      <c r="D77" s="64">
        <v>30.82</v>
      </c>
      <c r="E77" s="64">
        <v>13.41</v>
      </c>
      <c r="F77" s="64">
        <v>68.040000000000006</v>
      </c>
      <c r="G77" s="64">
        <v>42.03</v>
      </c>
      <c r="H77" s="64">
        <v>32.36</v>
      </c>
      <c r="I77" s="64">
        <v>0.56000000000000005</v>
      </c>
      <c r="J77" s="64">
        <v>0.31</v>
      </c>
      <c r="K77" s="64">
        <v>247.58</v>
      </c>
      <c r="L77" s="64">
        <v>34.369999999999997</v>
      </c>
      <c r="M77" s="64">
        <v>25.87</v>
      </c>
      <c r="N77" s="214" t="s">
        <v>42</v>
      </c>
      <c r="O77" s="64">
        <v>0</v>
      </c>
      <c r="P77" s="64">
        <v>0.61</v>
      </c>
      <c r="Q77" s="64">
        <v>27.69</v>
      </c>
      <c r="R77" s="198"/>
      <c r="S77" s="198"/>
      <c r="T77" s="198"/>
      <c r="U77" s="198"/>
    </row>
    <row r="78" spans="1:21" s="12" customFormat="1" x14ac:dyDescent="0.25">
      <c r="A78" s="211" t="s">
        <v>3015</v>
      </c>
      <c r="B78" s="64">
        <v>1.75</v>
      </c>
      <c r="C78" s="64">
        <v>39.729999999999997</v>
      </c>
      <c r="D78" s="64">
        <v>23.98</v>
      </c>
      <c r="E78" s="64">
        <v>9.8000000000000007</v>
      </c>
      <c r="F78" s="64">
        <v>52.44</v>
      </c>
      <c r="G78" s="64">
        <v>42.03</v>
      </c>
      <c r="H78" s="64">
        <v>32.36</v>
      </c>
      <c r="I78" s="64">
        <v>0.46</v>
      </c>
      <c r="J78" s="64">
        <v>0.19</v>
      </c>
      <c r="K78" s="64">
        <v>101.88</v>
      </c>
      <c r="L78" s="64">
        <v>34.340000000000003</v>
      </c>
      <c r="M78" s="64">
        <v>25.16</v>
      </c>
      <c r="N78" s="214" t="s">
        <v>42</v>
      </c>
      <c r="O78" s="64">
        <v>0</v>
      </c>
      <c r="P78" s="64">
        <v>0.65</v>
      </c>
      <c r="Q78" s="64">
        <v>26.87</v>
      </c>
      <c r="R78" s="198"/>
      <c r="S78" s="198"/>
      <c r="T78" s="198"/>
      <c r="U78" s="198"/>
    </row>
    <row r="79" spans="1:21" s="12" customFormat="1" x14ac:dyDescent="0.25">
      <c r="A79" s="211" t="s">
        <v>3016</v>
      </c>
      <c r="B79" s="64">
        <v>1</v>
      </c>
      <c r="C79" s="64">
        <v>37.21</v>
      </c>
      <c r="D79" s="64">
        <v>21.99</v>
      </c>
      <c r="E79" s="64">
        <v>7.92</v>
      </c>
      <c r="F79" s="64">
        <v>41.22</v>
      </c>
      <c r="G79" s="64">
        <v>42.36</v>
      </c>
      <c r="H79" s="64">
        <v>31.81</v>
      </c>
      <c r="I79" s="64">
        <v>0.74</v>
      </c>
      <c r="J79" s="64">
        <v>0.82</v>
      </c>
      <c r="K79" s="64">
        <v>117.83</v>
      </c>
      <c r="L79" s="64">
        <v>34.090000000000003</v>
      </c>
      <c r="M79" s="64">
        <v>24.89</v>
      </c>
      <c r="N79" s="214" t="s">
        <v>42</v>
      </c>
      <c r="O79" s="64">
        <v>0</v>
      </c>
      <c r="P79" s="64">
        <v>0.62</v>
      </c>
      <c r="Q79" s="64">
        <v>27.22</v>
      </c>
      <c r="R79" s="198"/>
      <c r="S79" s="198"/>
      <c r="T79" s="198"/>
      <c r="U79" s="198"/>
    </row>
    <row r="80" spans="1:21" s="12" customFormat="1" x14ac:dyDescent="0.25">
      <c r="A80" s="211" t="s">
        <v>3017</v>
      </c>
      <c r="B80" s="64">
        <v>1</v>
      </c>
      <c r="C80" s="64">
        <v>36.520000000000003</v>
      </c>
      <c r="D80" s="64">
        <v>21.6</v>
      </c>
      <c r="E80" s="64">
        <v>7.82</v>
      </c>
      <c r="F80" s="64">
        <v>36.200000000000003</v>
      </c>
      <c r="G80" s="64">
        <v>44.98</v>
      </c>
      <c r="H80" s="64">
        <v>28.24</v>
      </c>
      <c r="I80" s="64">
        <v>0.6</v>
      </c>
      <c r="J80" s="64">
        <v>0.81</v>
      </c>
      <c r="K80" s="64">
        <v>148.09</v>
      </c>
      <c r="L80" s="64">
        <v>33.950000000000003</v>
      </c>
      <c r="M80" s="64">
        <v>25.83</v>
      </c>
      <c r="N80" s="214" t="s">
        <v>42</v>
      </c>
      <c r="O80" s="64">
        <v>0</v>
      </c>
      <c r="P80" s="64">
        <v>0.59</v>
      </c>
      <c r="Q80" s="64">
        <v>26.82</v>
      </c>
      <c r="R80" s="198"/>
      <c r="S80" s="198"/>
      <c r="T80" s="198"/>
      <c r="U80" s="198"/>
    </row>
    <row r="81" spans="1:26" s="12" customFormat="1" x14ac:dyDescent="0.25">
      <c r="A81" s="211" t="s">
        <v>3018</v>
      </c>
      <c r="B81" s="64">
        <v>1</v>
      </c>
      <c r="C81" s="64">
        <v>53.17</v>
      </c>
      <c r="D81" s="64">
        <v>30.79</v>
      </c>
      <c r="E81" s="64">
        <v>5.77</v>
      </c>
      <c r="F81" s="64">
        <v>24.34</v>
      </c>
      <c r="G81" s="64">
        <v>44.98</v>
      </c>
      <c r="H81" s="64">
        <v>28.24</v>
      </c>
      <c r="I81" s="64">
        <v>0.85</v>
      </c>
      <c r="J81" s="64">
        <v>0.81</v>
      </c>
      <c r="K81" s="64">
        <v>169.66</v>
      </c>
      <c r="L81" s="64">
        <v>33.68</v>
      </c>
      <c r="M81" s="64">
        <v>27.52</v>
      </c>
      <c r="N81" s="214" t="s">
        <v>42</v>
      </c>
      <c r="O81" s="64">
        <v>0</v>
      </c>
      <c r="P81" s="64">
        <v>0.57999999999999996</v>
      </c>
      <c r="Q81" s="64">
        <v>26.01</v>
      </c>
      <c r="R81" s="198"/>
      <c r="S81" s="198"/>
      <c r="T81" s="198"/>
      <c r="U81" s="198"/>
    </row>
    <row r="82" spans="1:26" s="12" customFormat="1" x14ac:dyDescent="0.25">
      <c r="A82" s="211" t="s">
        <v>3019</v>
      </c>
      <c r="B82" s="64">
        <v>1</v>
      </c>
      <c r="C82" s="64">
        <v>71.45</v>
      </c>
      <c r="D82" s="64">
        <v>40.880000000000003</v>
      </c>
      <c r="E82" s="64">
        <v>5.98</v>
      </c>
      <c r="F82" s="64">
        <v>22.4</v>
      </c>
      <c r="G82" s="64">
        <v>44.98</v>
      </c>
      <c r="H82" s="64">
        <v>28.24</v>
      </c>
      <c r="I82" s="64">
        <v>0.71</v>
      </c>
      <c r="J82" s="64">
        <v>0.37</v>
      </c>
      <c r="K82" s="64">
        <v>186.27</v>
      </c>
      <c r="L82" s="64">
        <v>33.29</v>
      </c>
      <c r="M82" s="64">
        <v>28.5</v>
      </c>
      <c r="N82" s="214" t="s">
        <v>42</v>
      </c>
      <c r="O82" s="64">
        <v>0</v>
      </c>
      <c r="P82" s="64">
        <v>0.6</v>
      </c>
      <c r="Q82" s="64">
        <v>25.07</v>
      </c>
      <c r="R82" s="198"/>
      <c r="S82" s="198"/>
      <c r="T82" s="198"/>
      <c r="U82" s="198"/>
    </row>
    <row r="83" spans="1:26" s="12" customFormat="1" x14ac:dyDescent="0.25">
      <c r="A83" s="211" t="s">
        <v>3020</v>
      </c>
      <c r="B83" s="64">
        <v>3.15</v>
      </c>
      <c r="C83" s="64">
        <v>82.86</v>
      </c>
      <c r="D83" s="64">
        <v>48.91</v>
      </c>
      <c r="E83" s="64">
        <v>9.02</v>
      </c>
      <c r="F83" s="64">
        <v>27.99</v>
      </c>
      <c r="G83" s="64">
        <v>46.46</v>
      </c>
      <c r="H83" s="64">
        <v>28.56</v>
      </c>
      <c r="I83" s="64">
        <v>0.64</v>
      </c>
      <c r="J83" s="64">
        <v>0.2</v>
      </c>
      <c r="K83" s="64">
        <v>200.49</v>
      </c>
      <c r="L83" s="64">
        <v>32.75</v>
      </c>
      <c r="M83" s="64">
        <v>30.19</v>
      </c>
      <c r="N83" s="214" t="s">
        <v>42</v>
      </c>
      <c r="O83" s="64">
        <v>0</v>
      </c>
      <c r="P83" s="64">
        <v>0.64</v>
      </c>
      <c r="Q83" s="64">
        <v>24.32</v>
      </c>
      <c r="R83" s="198"/>
      <c r="S83" s="198"/>
      <c r="T83" s="198"/>
      <c r="U83" s="198"/>
    </row>
    <row r="84" spans="1:26" s="12" customFormat="1" x14ac:dyDescent="0.25">
      <c r="A84" s="211" t="s">
        <v>3021</v>
      </c>
      <c r="B84" s="64">
        <v>7.62</v>
      </c>
      <c r="C84" s="64">
        <v>95.76</v>
      </c>
      <c r="D84" s="64">
        <v>59.6</v>
      </c>
      <c r="E84" s="64">
        <v>10.45</v>
      </c>
      <c r="F84" s="64">
        <v>19.45</v>
      </c>
      <c r="G84" s="64">
        <v>59.74</v>
      </c>
      <c r="H84" s="64">
        <v>30.68</v>
      </c>
      <c r="I84" s="64">
        <v>0.8</v>
      </c>
      <c r="J84" s="64">
        <v>0.24</v>
      </c>
      <c r="K84" s="64">
        <v>208.38</v>
      </c>
      <c r="L84" s="64">
        <v>32.479999999999997</v>
      </c>
      <c r="M84" s="64">
        <v>30.88</v>
      </c>
      <c r="N84" s="214" t="s">
        <v>42</v>
      </c>
      <c r="O84" s="64">
        <v>0</v>
      </c>
      <c r="P84" s="64">
        <v>0.71</v>
      </c>
      <c r="Q84" s="64">
        <v>22.8</v>
      </c>
      <c r="R84" s="198"/>
      <c r="S84" s="198"/>
      <c r="T84" s="198"/>
      <c r="U84" s="198"/>
    </row>
    <row r="85" spans="1:26" s="12" customFormat="1" x14ac:dyDescent="0.25">
      <c r="A85" s="211" t="s">
        <v>3022</v>
      </c>
      <c r="B85" s="64">
        <v>1.25</v>
      </c>
      <c r="C85" s="64">
        <v>78.12</v>
      </c>
      <c r="D85" s="64">
        <v>44.76</v>
      </c>
      <c r="E85" s="64">
        <v>16.329999999999998</v>
      </c>
      <c r="F85" s="64">
        <v>61.52</v>
      </c>
      <c r="G85" s="64">
        <v>59.74</v>
      </c>
      <c r="H85" s="64">
        <v>30.68</v>
      </c>
      <c r="I85" s="64">
        <v>0.82</v>
      </c>
      <c r="J85" s="64">
        <v>0.31</v>
      </c>
      <c r="K85" s="64">
        <v>209.11</v>
      </c>
      <c r="L85" s="64">
        <v>32.46</v>
      </c>
      <c r="M85" s="64">
        <v>30.8</v>
      </c>
      <c r="N85" s="214" t="s">
        <v>42</v>
      </c>
      <c r="O85" s="64">
        <v>0</v>
      </c>
      <c r="P85" s="64">
        <v>0.72</v>
      </c>
      <c r="Q85" s="64">
        <v>25.4</v>
      </c>
      <c r="R85" s="198"/>
      <c r="S85" s="198"/>
      <c r="T85" s="198"/>
      <c r="U85" s="198"/>
    </row>
    <row r="86" spans="1:26" s="12" customFormat="1" x14ac:dyDescent="0.25">
      <c r="A86" s="211" t="s">
        <v>3023</v>
      </c>
      <c r="B86" s="64">
        <v>35.4</v>
      </c>
      <c r="C86" s="64">
        <v>99.77</v>
      </c>
      <c r="D86" s="64">
        <v>84.09</v>
      </c>
      <c r="E86" s="64">
        <v>17.87</v>
      </c>
      <c r="F86" s="64">
        <v>46.85</v>
      </c>
      <c r="G86" s="64">
        <v>59.74</v>
      </c>
      <c r="H86" s="64">
        <v>30.68</v>
      </c>
      <c r="I86" s="64">
        <v>0.67</v>
      </c>
      <c r="J86" s="64">
        <v>0.21</v>
      </c>
      <c r="K86" s="64">
        <v>239</v>
      </c>
      <c r="L86" s="64">
        <v>32.159999999999997</v>
      </c>
      <c r="M86" s="64">
        <v>32.69</v>
      </c>
      <c r="N86" s="214" t="s">
        <v>42</v>
      </c>
      <c r="O86" s="64">
        <v>0</v>
      </c>
      <c r="P86" s="64">
        <v>0.78</v>
      </c>
      <c r="Q86" s="64">
        <v>22.96</v>
      </c>
      <c r="R86" s="198"/>
      <c r="S86" s="198"/>
      <c r="T86" s="198"/>
      <c r="U86" s="198"/>
    </row>
    <row r="87" spans="1:26" s="12" customFormat="1" x14ac:dyDescent="0.25">
      <c r="A87" s="211" t="s">
        <v>3024</v>
      </c>
      <c r="B87" s="64">
        <v>64.13</v>
      </c>
      <c r="C87" s="64">
        <v>146.57</v>
      </c>
      <c r="D87" s="64">
        <v>132.97</v>
      </c>
      <c r="E87" s="64">
        <v>14.13</v>
      </c>
      <c r="F87" s="64">
        <v>6.58</v>
      </c>
      <c r="G87" s="64">
        <v>65.53</v>
      </c>
      <c r="H87" s="64">
        <v>32.200000000000003</v>
      </c>
      <c r="I87" s="64">
        <v>0.77</v>
      </c>
      <c r="J87" s="64">
        <v>0.08</v>
      </c>
      <c r="K87" s="64">
        <v>240.79</v>
      </c>
      <c r="L87" s="64">
        <v>31.09</v>
      </c>
      <c r="M87" s="64">
        <v>40.28</v>
      </c>
      <c r="N87" s="64">
        <v>2.8</v>
      </c>
      <c r="O87" s="64">
        <v>0</v>
      </c>
      <c r="P87" s="64">
        <v>0.91</v>
      </c>
      <c r="Q87" s="64">
        <v>14.99</v>
      </c>
      <c r="R87" s="198"/>
      <c r="S87" s="198"/>
      <c r="T87" s="198"/>
      <c r="U87" s="198"/>
    </row>
    <row r="88" spans="1:26" s="12" customFormat="1" x14ac:dyDescent="0.25">
      <c r="A88" s="211" t="s">
        <v>3025</v>
      </c>
      <c r="B88" s="64">
        <v>49.79</v>
      </c>
      <c r="C88" s="64">
        <v>153.69999999999999</v>
      </c>
      <c r="D88" s="64">
        <v>125.4</v>
      </c>
      <c r="E88" s="64">
        <v>11.38</v>
      </c>
      <c r="F88" s="64">
        <v>6.76</v>
      </c>
      <c r="G88" s="64">
        <v>111.87</v>
      </c>
      <c r="H88" s="64">
        <v>41.96</v>
      </c>
      <c r="I88" s="64">
        <v>0.76</v>
      </c>
      <c r="J88" s="64">
        <v>0.08</v>
      </c>
      <c r="K88" s="64">
        <v>213.42</v>
      </c>
      <c r="L88" s="64">
        <v>30.56</v>
      </c>
      <c r="M88" s="64">
        <v>38.29</v>
      </c>
      <c r="N88" s="64">
        <v>5.3</v>
      </c>
      <c r="O88" s="64">
        <v>0</v>
      </c>
      <c r="P88" s="64">
        <v>1.01</v>
      </c>
      <c r="Q88" s="64">
        <v>16.57</v>
      </c>
      <c r="R88" s="198"/>
      <c r="S88" s="198"/>
      <c r="T88" s="198"/>
      <c r="U88" s="198"/>
    </row>
    <row r="89" spans="1:26" s="12" customFormat="1" x14ac:dyDescent="0.25">
      <c r="A89" s="211" t="s">
        <v>3026</v>
      </c>
      <c r="B89" s="64">
        <v>61.89</v>
      </c>
      <c r="C89" s="64">
        <v>124.68</v>
      </c>
      <c r="D89" s="64">
        <v>119.08</v>
      </c>
      <c r="E89" s="64">
        <v>12.96</v>
      </c>
      <c r="F89" s="64">
        <v>4.8499999999999996</v>
      </c>
      <c r="G89" s="64">
        <v>111.87</v>
      </c>
      <c r="H89" s="64">
        <v>41.96</v>
      </c>
      <c r="I89" s="64">
        <v>1.26</v>
      </c>
      <c r="J89" s="64">
        <v>0.11</v>
      </c>
      <c r="K89" s="64">
        <v>255.29</v>
      </c>
      <c r="L89" s="64">
        <v>30.27</v>
      </c>
      <c r="M89" s="64">
        <v>41.48</v>
      </c>
      <c r="N89" s="64">
        <v>5.3</v>
      </c>
      <c r="O89" s="64">
        <v>0</v>
      </c>
      <c r="P89" s="64">
        <v>1.1599999999999999</v>
      </c>
      <c r="Q89" s="64">
        <v>17.87</v>
      </c>
      <c r="R89" s="198"/>
      <c r="S89" s="198"/>
      <c r="T89" s="198"/>
      <c r="U89" s="198"/>
    </row>
    <row r="90" spans="1:26" s="12" customFormat="1" x14ac:dyDescent="0.25">
      <c r="A90" s="211" t="s">
        <v>3027</v>
      </c>
      <c r="B90" s="64">
        <v>61.35</v>
      </c>
      <c r="C90" s="64">
        <v>104.79</v>
      </c>
      <c r="D90" s="64">
        <v>107.68</v>
      </c>
      <c r="E90" s="64">
        <v>8.83</v>
      </c>
      <c r="F90" s="64">
        <v>3.56</v>
      </c>
      <c r="G90" s="64">
        <v>111.87</v>
      </c>
      <c r="H90" s="64">
        <v>41.96</v>
      </c>
      <c r="I90" s="64">
        <v>1.1000000000000001</v>
      </c>
      <c r="J90" s="64">
        <v>0.08</v>
      </c>
      <c r="K90" s="64">
        <v>249.61</v>
      </c>
      <c r="L90" s="64">
        <v>29.87</v>
      </c>
      <c r="M90" s="64">
        <v>42.91</v>
      </c>
      <c r="N90" s="64">
        <v>5.3</v>
      </c>
      <c r="O90" s="64">
        <v>0</v>
      </c>
      <c r="P90" s="64">
        <v>1.7</v>
      </c>
      <c r="Q90" s="64">
        <v>22.43</v>
      </c>
      <c r="R90" s="198"/>
      <c r="S90" s="198"/>
      <c r="T90" s="198"/>
      <c r="U90" s="198"/>
    </row>
    <row r="91" spans="1:26" s="12" customFormat="1" x14ac:dyDescent="0.25">
      <c r="A91" s="211" t="s">
        <v>3028</v>
      </c>
      <c r="B91" s="64">
        <v>69.040000000000006</v>
      </c>
      <c r="C91" s="64">
        <v>106.53</v>
      </c>
      <c r="D91" s="64">
        <v>114.8</v>
      </c>
      <c r="E91" s="64">
        <v>7.99</v>
      </c>
      <c r="F91" s="64">
        <v>3.76</v>
      </c>
      <c r="G91" s="64">
        <v>122.1</v>
      </c>
      <c r="H91" s="64">
        <v>43.34</v>
      </c>
      <c r="I91" s="64">
        <v>1.33</v>
      </c>
      <c r="J91" s="64">
        <v>0.17</v>
      </c>
      <c r="K91" s="64">
        <v>257.17</v>
      </c>
      <c r="L91" s="64">
        <v>29.73</v>
      </c>
      <c r="M91" s="64">
        <v>46.33</v>
      </c>
      <c r="N91" s="64">
        <v>5.0999999999999996</v>
      </c>
      <c r="O91" s="64">
        <v>0</v>
      </c>
      <c r="P91" s="64">
        <v>2.12</v>
      </c>
      <c r="Q91" s="64">
        <v>24.58</v>
      </c>
      <c r="R91" s="198"/>
      <c r="S91" s="198"/>
      <c r="T91" s="198"/>
      <c r="U91" s="198"/>
    </row>
    <row r="92" spans="1:26" s="12" customFormat="1" x14ac:dyDescent="0.25">
      <c r="A92" s="211" t="s">
        <v>3029</v>
      </c>
      <c r="B92" s="64">
        <v>77.94</v>
      </c>
      <c r="C92" s="64">
        <v>113.78</v>
      </c>
      <c r="D92" s="64">
        <v>125.94</v>
      </c>
      <c r="E92" s="64">
        <v>7.91</v>
      </c>
      <c r="F92" s="64">
        <v>3.6</v>
      </c>
      <c r="G92" s="64">
        <v>203.94</v>
      </c>
      <c r="H92" s="64">
        <v>52.26</v>
      </c>
      <c r="I92" s="64">
        <v>1.04</v>
      </c>
      <c r="J92" s="64">
        <v>0.03</v>
      </c>
      <c r="K92" s="64">
        <v>160.06</v>
      </c>
      <c r="L92" s="64">
        <v>29.29</v>
      </c>
      <c r="M92" s="64">
        <v>44.52</v>
      </c>
      <c r="N92" s="64">
        <v>5.2</v>
      </c>
      <c r="O92" s="64">
        <v>0</v>
      </c>
      <c r="P92" s="64">
        <v>2.48</v>
      </c>
      <c r="Q92" s="64">
        <v>24.94</v>
      </c>
      <c r="R92" s="198"/>
      <c r="S92" s="198"/>
      <c r="T92" s="198"/>
      <c r="U92" s="198"/>
    </row>
    <row r="93" spans="1:26" s="12" customFormat="1" x14ac:dyDescent="0.25">
      <c r="A93" s="211" t="s">
        <v>3030</v>
      </c>
      <c r="B93" s="64">
        <v>76.260000000000005</v>
      </c>
      <c r="C93" s="64">
        <v>120.73</v>
      </c>
      <c r="D93" s="64">
        <v>128.43</v>
      </c>
      <c r="E93" s="64">
        <v>7.72</v>
      </c>
      <c r="F93" s="64">
        <v>3.95</v>
      </c>
      <c r="G93" s="64">
        <v>203.94</v>
      </c>
      <c r="H93" s="64">
        <v>52.26</v>
      </c>
      <c r="I93" s="64">
        <v>1.33</v>
      </c>
      <c r="J93" s="64">
        <v>0.04</v>
      </c>
      <c r="K93" s="64">
        <v>174.31</v>
      </c>
      <c r="L93" s="64">
        <v>29.36</v>
      </c>
      <c r="M93" s="64">
        <v>43.23</v>
      </c>
      <c r="N93" s="64">
        <v>4.8</v>
      </c>
      <c r="O93" s="64">
        <v>0</v>
      </c>
      <c r="P93" s="64">
        <v>2.71</v>
      </c>
      <c r="Q93" s="64">
        <v>26.7</v>
      </c>
      <c r="R93" s="198"/>
      <c r="S93" s="198"/>
      <c r="T93" s="198"/>
      <c r="U93" s="198"/>
    </row>
    <row r="94" spans="1:26" s="12" customFormat="1" x14ac:dyDescent="0.25">
      <c r="A94" s="211" t="s">
        <v>3031</v>
      </c>
      <c r="B94" s="64">
        <v>89.07</v>
      </c>
      <c r="C94" s="64">
        <v>107.07</v>
      </c>
      <c r="D94" s="64">
        <v>131.16999999999999</v>
      </c>
      <c r="E94" s="64">
        <v>7.12</v>
      </c>
      <c r="F94" s="64">
        <v>3.93</v>
      </c>
      <c r="G94" s="64">
        <v>203.94</v>
      </c>
      <c r="H94" s="64">
        <v>52.26</v>
      </c>
      <c r="I94" s="64">
        <v>1.33</v>
      </c>
      <c r="J94" s="64">
        <v>0.09</v>
      </c>
      <c r="K94" s="64">
        <v>288.10000000000002</v>
      </c>
      <c r="L94" s="64">
        <v>29.2</v>
      </c>
      <c r="M94" s="64">
        <v>49.3</v>
      </c>
      <c r="N94" s="64">
        <v>5.2</v>
      </c>
      <c r="O94" s="64">
        <v>0</v>
      </c>
      <c r="P94" s="64">
        <v>2.96</v>
      </c>
      <c r="Q94" s="64">
        <v>27.16</v>
      </c>
      <c r="R94" s="198"/>
      <c r="S94" s="198"/>
      <c r="T94" s="198"/>
      <c r="U94" s="198"/>
    </row>
    <row r="95" spans="1:26" s="12" customFormat="1" x14ac:dyDescent="0.25">
      <c r="A95" s="211" t="s">
        <v>3032</v>
      </c>
      <c r="B95" s="64">
        <v>81.86</v>
      </c>
      <c r="C95" s="64">
        <v>110.69</v>
      </c>
      <c r="D95" s="64">
        <v>127.37</v>
      </c>
      <c r="E95" s="64">
        <v>6.87</v>
      </c>
      <c r="F95" s="64">
        <v>4.09</v>
      </c>
      <c r="G95" s="64">
        <v>205.38</v>
      </c>
      <c r="H95" s="64">
        <v>54.9</v>
      </c>
      <c r="I95" s="64">
        <v>1.31</v>
      </c>
      <c r="J95" s="64">
        <v>0.19</v>
      </c>
      <c r="K95" s="64">
        <v>258.72000000000003</v>
      </c>
      <c r="L95" s="64">
        <v>28.92</v>
      </c>
      <c r="M95" s="64">
        <v>47.75</v>
      </c>
      <c r="N95" s="64">
        <v>5</v>
      </c>
      <c r="O95" s="64">
        <v>0</v>
      </c>
      <c r="P95" s="64">
        <v>3.25</v>
      </c>
      <c r="Q95" s="64">
        <v>30.62</v>
      </c>
      <c r="R95" s="198"/>
      <c r="S95" s="198"/>
      <c r="T95" s="198"/>
      <c r="U95" s="198"/>
    </row>
    <row r="96" spans="1:26" s="12" customFormat="1" x14ac:dyDescent="0.25">
      <c r="A96" s="211" t="s">
        <v>3033</v>
      </c>
      <c r="B96" s="64">
        <v>106.59</v>
      </c>
      <c r="C96" s="64">
        <v>127.1</v>
      </c>
      <c r="D96" s="64">
        <v>156.27000000000001</v>
      </c>
      <c r="E96" s="64">
        <v>6.69</v>
      </c>
      <c r="F96" s="64">
        <v>4.97</v>
      </c>
      <c r="G96" s="64">
        <v>216.85</v>
      </c>
      <c r="H96" s="64">
        <v>71.92</v>
      </c>
      <c r="I96" s="64">
        <v>1.32</v>
      </c>
      <c r="J96" s="64">
        <v>0.11</v>
      </c>
      <c r="K96" s="64">
        <v>248.19</v>
      </c>
      <c r="L96" s="64">
        <v>28.78</v>
      </c>
      <c r="M96" s="64">
        <v>48.33</v>
      </c>
      <c r="N96" s="64">
        <v>5.0999999999999996</v>
      </c>
      <c r="O96" s="64">
        <v>0</v>
      </c>
      <c r="P96" s="64">
        <v>3.44</v>
      </c>
      <c r="Q96" s="64">
        <v>29.2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3034</v>
      </c>
      <c r="B97" s="64">
        <v>70.819999999999993</v>
      </c>
      <c r="C97" s="64">
        <v>126.69</v>
      </c>
      <c r="D97" s="64">
        <v>127.36</v>
      </c>
      <c r="E97" s="64">
        <v>8.86</v>
      </c>
      <c r="F97" s="64">
        <v>4.6500000000000004</v>
      </c>
      <c r="G97" s="64">
        <v>216.85</v>
      </c>
      <c r="H97" s="64">
        <v>71.92</v>
      </c>
      <c r="I97" s="64">
        <v>1.36</v>
      </c>
      <c r="J97" s="64">
        <v>0.15</v>
      </c>
      <c r="K97" s="64">
        <v>253.64</v>
      </c>
      <c r="L97" s="64">
        <v>28.48</v>
      </c>
      <c r="M97" s="64">
        <v>47.86</v>
      </c>
      <c r="N97" s="64">
        <v>5.0999999999999996</v>
      </c>
      <c r="O97" s="64">
        <v>0</v>
      </c>
      <c r="P97" s="64">
        <v>3.52</v>
      </c>
      <c r="Q97" s="64">
        <v>32.020000000000003</v>
      </c>
      <c r="R97" s="198"/>
      <c r="S97" s="198"/>
      <c r="T97" s="198"/>
      <c r="U97" s="198"/>
    </row>
    <row r="98" spans="1:33" s="12" customFormat="1" x14ac:dyDescent="0.25">
      <c r="A98" s="211" t="s">
        <v>3035</v>
      </c>
      <c r="B98" s="64">
        <v>45</v>
      </c>
      <c r="C98" s="64">
        <v>86.83</v>
      </c>
      <c r="D98" s="64">
        <v>84.65</v>
      </c>
      <c r="E98" s="64">
        <v>9.32</v>
      </c>
      <c r="F98" s="64">
        <v>17.18</v>
      </c>
      <c r="G98" s="64">
        <v>216.85</v>
      </c>
      <c r="H98" s="64">
        <v>71.92</v>
      </c>
      <c r="I98" s="64">
        <v>1.43</v>
      </c>
      <c r="J98" s="64">
        <v>0.18</v>
      </c>
      <c r="K98" s="64">
        <v>247.01</v>
      </c>
      <c r="L98" s="64">
        <v>28.6</v>
      </c>
      <c r="M98" s="64">
        <v>45.09</v>
      </c>
      <c r="N98" s="64">
        <v>4.5</v>
      </c>
      <c r="O98" s="64">
        <v>0</v>
      </c>
      <c r="P98" s="64">
        <v>3.49</v>
      </c>
      <c r="Q98" s="64">
        <v>36.409999999999997</v>
      </c>
      <c r="R98" s="198"/>
      <c r="S98" s="198"/>
      <c r="T98" s="198"/>
      <c r="U98" s="198"/>
    </row>
    <row r="99" spans="1:33" s="12" customFormat="1" x14ac:dyDescent="0.25">
      <c r="A99" s="211" t="s">
        <v>3036</v>
      </c>
      <c r="B99" s="64">
        <v>18.09</v>
      </c>
      <c r="C99" s="64">
        <v>64.849999999999994</v>
      </c>
      <c r="D99" s="64">
        <v>50.94</v>
      </c>
      <c r="E99" s="64">
        <v>10.65</v>
      </c>
      <c r="F99" s="64">
        <v>38</v>
      </c>
      <c r="G99" s="64">
        <v>212.27</v>
      </c>
      <c r="H99" s="64">
        <v>72.040000000000006</v>
      </c>
      <c r="I99" s="64">
        <v>1.27</v>
      </c>
      <c r="J99" s="64">
        <v>0.45</v>
      </c>
      <c r="K99" s="64">
        <v>192.6</v>
      </c>
      <c r="L99" s="64">
        <v>29.43</v>
      </c>
      <c r="M99" s="64">
        <v>39.520000000000003</v>
      </c>
      <c r="N99" s="64">
        <v>3.7</v>
      </c>
      <c r="O99" s="64">
        <v>0</v>
      </c>
      <c r="P99" s="64">
        <v>3.39</v>
      </c>
      <c r="Q99" s="64">
        <v>40.6</v>
      </c>
      <c r="R99" s="198"/>
      <c r="S99" s="198"/>
      <c r="T99" s="198"/>
      <c r="U99" s="198"/>
    </row>
    <row r="100" spans="1:33" s="12" customFormat="1" x14ac:dyDescent="0.25">
      <c r="A100" s="211" t="s">
        <v>3037</v>
      </c>
      <c r="B100" s="64">
        <v>13.76</v>
      </c>
      <c r="C100" s="64">
        <v>56.01</v>
      </c>
      <c r="D100" s="64">
        <v>42.59</v>
      </c>
      <c r="E100" s="64">
        <v>11.57</v>
      </c>
      <c r="F100" s="64">
        <v>42.67</v>
      </c>
      <c r="G100" s="64">
        <v>175.58</v>
      </c>
      <c r="H100" s="64">
        <v>72.8</v>
      </c>
      <c r="I100" s="64">
        <v>1.01</v>
      </c>
      <c r="J100" s="64">
        <v>0.31</v>
      </c>
      <c r="K100" s="64">
        <v>190.97</v>
      </c>
      <c r="L100" s="64">
        <v>29.59</v>
      </c>
      <c r="M100" s="64">
        <v>39.85</v>
      </c>
      <c r="N100" s="64">
        <v>4.8</v>
      </c>
      <c r="O100" s="64">
        <v>0</v>
      </c>
      <c r="P100" s="64">
        <v>3.29</v>
      </c>
      <c r="Q100" s="64">
        <v>40.97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3038</v>
      </c>
      <c r="B101" s="64">
        <v>43.57</v>
      </c>
      <c r="C101" s="64">
        <v>68.78</v>
      </c>
      <c r="D101" s="64">
        <v>73.55</v>
      </c>
      <c r="E101" s="64">
        <v>10.57</v>
      </c>
      <c r="F101" s="64">
        <v>16.11</v>
      </c>
      <c r="G101" s="64">
        <v>175.58</v>
      </c>
      <c r="H101" s="64">
        <v>72.8</v>
      </c>
      <c r="I101" s="64">
        <v>0.94</v>
      </c>
      <c r="J101" s="64">
        <v>0.46</v>
      </c>
      <c r="K101" s="64">
        <v>177.15</v>
      </c>
      <c r="L101" s="64">
        <v>29.44</v>
      </c>
      <c r="M101" s="64">
        <v>40.6</v>
      </c>
      <c r="N101" s="64">
        <v>4.5999999999999996</v>
      </c>
      <c r="O101" s="64">
        <v>0</v>
      </c>
      <c r="P101" s="64">
        <v>3.14</v>
      </c>
      <c r="Q101" s="64">
        <v>37.39</v>
      </c>
      <c r="R101" s="198"/>
      <c r="S101" s="198"/>
      <c r="T101" s="198"/>
      <c r="U101" s="198"/>
    </row>
    <row r="102" spans="1:33" s="12" customFormat="1" x14ac:dyDescent="0.25">
      <c r="A102" s="211" t="s">
        <v>3039</v>
      </c>
      <c r="B102" s="64">
        <v>39.200000000000003</v>
      </c>
      <c r="C102" s="64">
        <v>64.290000000000006</v>
      </c>
      <c r="D102" s="64">
        <v>67.569999999999993</v>
      </c>
      <c r="E102" s="64">
        <v>6.77</v>
      </c>
      <c r="F102" s="64">
        <v>14.56</v>
      </c>
      <c r="G102" s="64">
        <v>175.58</v>
      </c>
      <c r="H102" s="64">
        <v>72.8</v>
      </c>
      <c r="I102" s="64">
        <v>0.65</v>
      </c>
      <c r="J102" s="64">
        <v>0.2</v>
      </c>
      <c r="K102" s="64">
        <v>237.2</v>
      </c>
      <c r="L102" s="64">
        <v>29.25</v>
      </c>
      <c r="M102" s="64">
        <v>43.02</v>
      </c>
      <c r="N102" s="64">
        <v>5.5</v>
      </c>
      <c r="O102" s="64">
        <v>0</v>
      </c>
      <c r="P102" s="64">
        <v>2.88</v>
      </c>
      <c r="Q102" s="64">
        <v>35.74</v>
      </c>
      <c r="R102" s="198"/>
      <c r="S102" s="198"/>
      <c r="T102" s="198"/>
      <c r="U102" s="198"/>
    </row>
    <row r="103" spans="1:33" s="12" customFormat="1" x14ac:dyDescent="0.25">
      <c r="A103" s="211" t="s">
        <v>3040</v>
      </c>
      <c r="B103" s="64">
        <v>33.17</v>
      </c>
      <c r="C103" s="64">
        <v>68.290000000000006</v>
      </c>
      <c r="D103" s="64">
        <v>64.930000000000007</v>
      </c>
      <c r="E103" s="64">
        <v>5.46</v>
      </c>
      <c r="F103" s="64">
        <v>11.97</v>
      </c>
      <c r="G103" s="64">
        <v>163.03</v>
      </c>
      <c r="H103" s="64">
        <v>71.209999999999994</v>
      </c>
      <c r="I103" s="64">
        <v>0.97</v>
      </c>
      <c r="J103" s="64">
        <v>0.13</v>
      </c>
      <c r="K103" s="64">
        <v>220.59</v>
      </c>
      <c r="L103" s="64">
        <v>28.53</v>
      </c>
      <c r="M103" s="64">
        <v>45.09</v>
      </c>
      <c r="N103" s="64">
        <v>5.4</v>
      </c>
      <c r="O103" s="64">
        <v>0</v>
      </c>
      <c r="P103" s="64">
        <v>2.68</v>
      </c>
      <c r="Q103" s="64">
        <v>33.86</v>
      </c>
      <c r="R103" s="198"/>
      <c r="S103" s="198"/>
      <c r="T103" s="198"/>
      <c r="U103" s="198"/>
    </row>
    <row r="104" spans="1:33" s="12" customFormat="1" x14ac:dyDescent="0.25">
      <c r="A104" s="211" t="s">
        <v>3041</v>
      </c>
      <c r="B104" s="64">
        <v>30.68</v>
      </c>
      <c r="C104" s="64">
        <v>67.959999999999994</v>
      </c>
      <c r="D104" s="64">
        <v>62.76</v>
      </c>
      <c r="E104" s="64">
        <v>1.84</v>
      </c>
      <c r="F104" s="64">
        <v>8.9499999999999993</v>
      </c>
      <c r="G104" s="64">
        <v>62.63</v>
      </c>
      <c r="H104" s="64">
        <v>61</v>
      </c>
      <c r="I104" s="64">
        <v>1.05</v>
      </c>
      <c r="J104" s="64">
        <v>0.78</v>
      </c>
      <c r="K104" s="64">
        <v>173.68</v>
      </c>
      <c r="L104" s="64">
        <v>28.95</v>
      </c>
      <c r="M104" s="64">
        <v>40.46</v>
      </c>
      <c r="N104" s="64">
        <v>3.9</v>
      </c>
      <c r="O104" s="64">
        <v>0</v>
      </c>
      <c r="P104" s="64">
        <v>2.48</v>
      </c>
      <c r="Q104" s="64">
        <v>32.46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14.89</v>
      </c>
      <c r="D106" s="67">
        <f t="shared" ref="D106:Q106" si="0">MIN(D9:D104)</f>
        <v>9.67</v>
      </c>
      <c r="E106" s="67">
        <f t="shared" si="0"/>
        <v>1.84</v>
      </c>
      <c r="F106" s="67">
        <f t="shared" si="0"/>
        <v>3.56</v>
      </c>
      <c r="G106" s="67">
        <f t="shared" si="0"/>
        <v>22.19</v>
      </c>
      <c r="H106" s="67">
        <f t="shared" si="0"/>
        <v>19.97</v>
      </c>
      <c r="I106" s="67">
        <f t="shared" si="0"/>
        <v>0.45</v>
      </c>
      <c r="J106" s="67">
        <f t="shared" si="0"/>
        <v>0.03</v>
      </c>
      <c r="K106" s="67">
        <f t="shared" si="0"/>
        <v>101.88</v>
      </c>
      <c r="L106" s="67">
        <f t="shared" si="0"/>
        <v>25.29</v>
      </c>
      <c r="M106" s="67">
        <f t="shared" si="0"/>
        <v>22.7</v>
      </c>
      <c r="N106" s="67">
        <f t="shared" si="0"/>
        <v>0.4</v>
      </c>
      <c r="O106" s="67">
        <f t="shared" si="0"/>
        <v>0</v>
      </c>
      <c r="P106" s="67">
        <f t="shared" si="0"/>
        <v>0.42</v>
      </c>
      <c r="Q106" s="67">
        <f t="shared" si="0"/>
        <v>14.99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106.59</v>
      </c>
      <c r="C107" s="66">
        <f t="shared" ref="C107:Q107" si="1">MAX(C9:C104)</f>
        <v>153.69999999999999</v>
      </c>
      <c r="D107" s="66">
        <f t="shared" si="1"/>
        <v>156.27000000000001</v>
      </c>
      <c r="E107" s="66">
        <f t="shared" si="1"/>
        <v>88.86</v>
      </c>
      <c r="F107" s="66">
        <f t="shared" si="1"/>
        <v>106.03</v>
      </c>
      <c r="G107" s="66">
        <f t="shared" si="1"/>
        <v>216.85</v>
      </c>
      <c r="H107" s="66">
        <f t="shared" si="1"/>
        <v>72.8</v>
      </c>
      <c r="I107" s="66">
        <f t="shared" si="1"/>
        <v>1.43</v>
      </c>
      <c r="J107" s="66">
        <f t="shared" si="1"/>
        <v>0.94</v>
      </c>
      <c r="K107" s="66">
        <f t="shared" si="1"/>
        <v>288.10000000000002</v>
      </c>
      <c r="L107" s="66">
        <f t="shared" si="1"/>
        <v>37.78</v>
      </c>
      <c r="M107" s="66">
        <f t="shared" si="1"/>
        <v>50.76</v>
      </c>
      <c r="N107" s="66">
        <f t="shared" si="1"/>
        <v>77.2</v>
      </c>
      <c r="O107" s="66">
        <f t="shared" si="1"/>
        <v>0</v>
      </c>
      <c r="P107" s="66">
        <f t="shared" si="1"/>
        <v>3.52</v>
      </c>
      <c r="Q107" s="66">
        <f t="shared" si="1"/>
        <v>40.97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15.455104166666663</v>
      </c>
      <c r="C108" s="67">
        <f t="shared" ref="C108:Q108" si="2">AVERAGE(C9:C104)</f>
        <v>61.030208333333299</v>
      </c>
      <c r="D108" s="67">
        <f t="shared" si="2"/>
        <v>46.720520833333332</v>
      </c>
      <c r="E108" s="67">
        <f t="shared" si="2"/>
        <v>12.602916666666664</v>
      </c>
      <c r="F108" s="67">
        <f t="shared" si="2"/>
        <v>23.709687499999998</v>
      </c>
      <c r="G108" s="67">
        <f t="shared" si="2"/>
        <v>97.574494382022479</v>
      </c>
      <c r="H108" s="67">
        <f t="shared" si="2"/>
        <v>39.439325842696647</v>
      </c>
      <c r="I108" s="67">
        <f t="shared" si="2"/>
        <v>0.71906250000000027</v>
      </c>
      <c r="J108" s="67">
        <f t="shared" si="2"/>
        <v>0.39083333333333353</v>
      </c>
      <c r="K108" s="67">
        <f t="shared" si="2"/>
        <v>212.34489583333331</v>
      </c>
      <c r="L108" s="67">
        <f t="shared" si="2"/>
        <v>30.420104166666658</v>
      </c>
      <c r="M108" s="67">
        <f t="shared" si="2"/>
        <v>38.499999999999979</v>
      </c>
      <c r="N108" s="67">
        <f t="shared" si="2"/>
        <v>9.2740740740740737</v>
      </c>
      <c r="O108" s="67">
        <f t="shared" si="2"/>
        <v>0</v>
      </c>
      <c r="P108" s="67">
        <f t="shared" si="2"/>
        <v>1.1132291666666665</v>
      </c>
      <c r="Q108" s="67">
        <f t="shared" si="2"/>
        <v>28.033333333333317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23.54883579622263</v>
      </c>
      <c r="C109" s="67">
        <f t="shared" ref="C109:Q109" si="3">STDEV(C9:C104)</f>
        <v>27.564911103913815</v>
      </c>
      <c r="D109" s="67">
        <f t="shared" si="3"/>
        <v>32.6219313820365</v>
      </c>
      <c r="E109" s="67">
        <f t="shared" si="3"/>
        <v>13.800632778525753</v>
      </c>
      <c r="F109" s="67">
        <f t="shared" si="3"/>
        <v>24.883646181171617</v>
      </c>
      <c r="G109" s="67">
        <f t="shared" si="3"/>
        <v>57.583063146980713</v>
      </c>
      <c r="H109" s="67">
        <f t="shared" si="3"/>
        <v>13.418854086504235</v>
      </c>
      <c r="I109" s="67">
        <f t="shared" si="3"/>
        <v>0.23726546591484621</v>
      </c>
      <c r="J109" s="67">
        <f t="shared" si="3"/>
        <v>0.22996872403674287</v>
      </c>
      <c r="K109" s="67">
        <f t="shared" si="3"/>
        <v>50.198611744167636</v>
      </c>
      <c r="L109" s="67">
        <f t="shared" si="3"/>
        <v>3.3871371220800222</v>
      </c>
      <c r="M109" s="67">
        <f t="shared" si="3"/>
        <v>8.369967364584685</v>
      </c>
      <c r="N109" s="67">
        <f t="shared" si="3"/>
        <v>15.480001803632195</v>
      </c>
      <c r="O109" s="67">
        <f t="shared" si="3"/>
        <v>0</v>
      </c>
      <c r="P109" s="67">
        <f t="shared" si="3"/>
        <v>0.82098720394113811</v>
      </c>
      <c r="Q109" s="67">
        <f t="shared" si="3"/>
        <v>3.6089799307216461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COUNT(G9:G104)+7</f>
        <v>96</v>
      </c>
      <c r="H110" s="66">
        <f>COUNT(H9:H104)+7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COUNT(N9:N104)+69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102" activePane="bottomLeft" state="frozen"/>
      <selection activeCell="N106" sqref="N106:P109"/>
      <selection pane="bottomLeft" activeCell="M110" sqref="M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244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6"/>
      <c r="S8" s="197"/>
      <c r="T8" s="196"/>
      <c r="U8" s="196"/>
    </row>
    <row r="9" spans="1:21" s="12" customFormat="1" x14ac:dyDescent="0.25">
      <c r="A9" s="211" t="s">
        <v>3042</v>
      </c>
      <c r="B9" s="64">
        <v>22.67</v>
      </c>
      <c r="C9" s="64">
        <v>66.13</v>
      </c>
      <c r="D9" s="64">
        <v>55.32</v>
      </c>
      <c r="E9" s="64">
        <v>3.24</v>
      </c>
      <c r="F9" s="64">
        <v>9.48</v>
      </c>
      <c r="G9" s="64">
        <v>62.63</v>
      </c>
      <c r="H9" s="64">
        <v>61</v>
      </c>
      <c r="I9" s="64">
        <v>1.24</v>
      </c>
      <c r="J9" s="64">
        <v>0.28000000000000003</v>
      </c>
      <c r="K9" s="64">
        <v>186.93</v>
      </c>
      <c r="L9" s="64">
        <v>28.76</v>
      </c>
      <c r="M9" s="64">
        <v>41.94</v>
      </c>
      <c r="N9" s="64">
        <v>5.0999999999999996</v>
      </c>
      <c r="O9" s="64">
        <v>0</v>
      </c>
      <c r="P9" s="64">
        <v>2.2599999999999998</v>
      </c>
      <c r="Q9" s="64">
        <v>31.83</v>
      </c>
      <c r="R9" s="198"/>
      <c r="S9" s="198"/>
      <c r="T9" s="198"/>
      <c r="U9" s="198"/>
    </row>
    <row r="10" spans="1:21" s="12" customFormat="1" x14ac:dyDescent="0.25">
      <c r="A10" s="211" t="s">
        <v>3043</v>
      </c>
      <c r="B10" s="64">
        <v>15.15</v>
      </c>
      <c r="C10" s="64">
        <v>62.26</v>
      </c>
      <c r="D10" s="64">
        <v>47.15</v>
      </c>
      <c r="E10" s="64">
        <v>3.09</v>
      </c>
      <c r="F10" s="64">
        <v>10.98</v>
      </c>
      <c r="G10" s="64">
        <v>62.63</v>
      </c>
      <c r="H10" s="64">
        <v>61</v>
      </c>
      <c r="I10" s="64">
        <v>1.07</v>
      </c>
      <c r="J10" s="64">
        <v>0.12</v>
      </c>
      <c r="K10" s="64">
        <v>219.39</v>
      </c>
      <c r="L10" s="64">
        <v>28.34</v>
      </c>
      <c r="M10" s="64">
        <v>43.19</v>
      </c>
      <c r="N10" s="64">
        <v>4.7</v>
      </c>
      <c r="O10" s="64">
        <v>0</v>
      </c>
      <c r="P10" s="64">
        <v>2.08</v>
      </c>
      <c r="Q10" s="64">
        <v>30.42</v>
      </c>
      <c r="R10" s="198"/>
      <c r="S10" s="198"/>
      <c r="T10" s="198"/>
      <c r="U10" s="198"/>
    </row>
    <row r="11" spans="1:21" s="12" customFormat="1" x14ac:dyDescent="0.25">
      <c r="A11" s="211" t="s">
        <v>3044</v>
      </c>
      <c r="B11" s="64">
        <v>10.97</v>
      </c>
      <c r="C11" s="64">
        <v>60.43</v>
      </c>
      <c r="D11" s="64">
        <v>42.79</v>
      </c>
      <c r="E11" s="64">
        <v>2.91</v>
      </c>
      <c r="F11" s="64">
        <v>12.07</v>
      </c>
      <c r="G11" s="64">
        <v>62.53</v>
      </c>
      <c r="H11" s="64">
        <v>59.44</v>
      </c>
      <c r="I11" s="64">
        <v>0.89</v>
      </c>
      <c r="J11" s="64">
        <v>0.26</v>
      </c>
      <c r="K11" s="64">
        <v>187.6</v>
      </c>
      <c r="L11" s="64">
        <v>28.14</v>
      </c>
      <c r="M11" s="64">
        <v>44.61</v>
      </c>
      <c r="N11" s="64">
        <v>4.2</v>
      </c>
      <c r="O11" s="64">
        <v>0</v>
      </c>
      <c r="P11" s="64">
        <v>1.92</v>
      </c>
      <c r="Q11" s="64">
        <v>29.4</v>
      </c>
      <c r="R11" s="198"/>
      <c r="S11" s="198"/>
      <c r="T11" s="198"/>
      <c r="U11" s="198"/>
    </row>
    <row r="12" spans="1:21" s="12" customFormat="1" x14ac:dyDescent="0.25">
      <c r="A12" s="211" t="s">
        <v>3045</v>
      </c>
      <c r="B12" s="64">
        <v>6.21</v>
      </c>
      <c r="C12" s="64">
        <v>49.37</v>
      </c>
      <c r="D12" s="64">
        <v>32.869999999999997</v>
      </c>
      <c r="E12" s="64">
        <v>2.86</v>
      </c>
      <c r="F12" s="64">
        <v>22.71</v>
      </c>
      <c r="G12" s="64">
        <v>61.72</v>
      </c>
      <c r="H12" s="64">
        <v>49.39</v>
      </c>
      <c r="I12" s="64">
        <v>0.98</v>
      </c>
      <c r="J12" s="64">
        <v>0.94</v>
      </c>
      <c r="K12" s="64">
        <v>170.46</v>
      </c>
      <c r="L12" s="64">
        <v>28.25</v>
      </c>
      <c r="M12" s="64">
        <v>45.02</v>
      </c>
      <c r="N12" s="64">
        <v>0.9</v>
      </c>
      <c r="O12" s="64">
        <v>0</v>
      </c>
      <c r="P12" s="64">
        <v>1.79</v>
      </c>
      <c r="Q12" s="64">
        <v>29.68</v>
      </c>
      <c r="R12" s="198"/>
      <c r="S12" s="198"/>
      <c r="T12" s="198"/>
      <c r="U12" s="198"/>
    </row>
    <row r="13" spans="1:21" s="12" customFormat="1" x14ac:dyDescent="0.25">
      <c r="A13" s="211" t="s">
        <v>3046</v>
      </c>
      <c r="B13" s="64">
        <v>2.67</v>
      </c>
      <c r="C13" s="64">
        <v>34.729999999999997</v>
      </c>
      <c r="D13" s="64">
        <v>21.95</v>
      </c>
      <c r="E13" s="64">
        <v>3.94</v>
      </c>
      <c r="F13" s="64">
        <v>40.28</v>
      </c>
      <c r="G13" s="64">
        <v>61.72</v>
      </c>
      <c r="H13" s="64">
        <v>49.39</v>
      </c>
      <c r="I13" s="64">
        <v>0.76</v>
      </c>
      <c r="J13" s="64">
        <v>0.32</v>
      </c>
      <c r="K13" s="64">
        <v>198.06</v>
      </c>
      <c r="L13" s="64">
        <v>28.14</v>
      </c>
      <c r="M13" s="64">
        <v>46.07</v>
      </c>
      <c r="N13" s="214" t="s">
        <v>42</v>
      </c>
      <c r="O13" s="64">
        <v>0</v>
      </c>
      <c r="P13" s="64">
        <v>1.54</v>
      </c>
      <c r="Q13" s="64">
        <v>31.18</v>
      </c>
      <c r="R13" s="198"/>
      <c r="S13" s="198"/>
      <c r="T13" s="198"/>
      <c r="U13" s="198"/>
    </row>
    <row r="14" spans="1:21" s="12" customFormat="1" x14ac:dyDescent="0.25">
      <c r="A14" s="211" t="s">
        <v>3047</v>
      </c>
      <c r="B14" s="64">
        <v>4.03</v>
      </c>
      <c r="C14" s="64">
        <v>37.01</v>
      </c>
      <c r="D14" s="64">
        <v>24.3</v>
      </c>
      <c r="E14" s="64">
        <v>4.84</v>
      </c>
      <c r="F14" s="64">
        <v>31.75</v>
      </c>
      <c r="G14" s="64">
        <v>61.72</v>
      </c>
      <c r="H14" s="64">
        <v>49.39</v>
      </c>
      <c r="I14" s="64">
        <v>0.76</v>
      </c>
      <c r="J14" s="64">
        <v>0.89</v>
      </c>
      <c r="K14" s="64">
        <v>166.86</v>
      </c>
      <c r="L14" s="64">
        <v>27.83</v>
      </c>
      <c r="M14" s="64">
        <v>48.11</v>
      </c>
      <c r="N14" s="214" t="s">
        <v>42</v>
      </c>
      <c r="O14" s="64">
        <v>0</v>
      </c>
      <c r="P14" s="64">
        <v>1.58</v>
      </c>
      <c r="Q14" s="64">
        <v>31.31</v>
      </c>
      <c r="R14" s="198"/>
      <c r="S14" s="198"/>
      <c r="T14" s="198"/>
      <c r="U14" s="198"/>
    </row>
    <row r="15" spans="1:21" s="12" customFormat="1" x14ac:dyDescent="0.25">
      <c r="A15" s="211" t="s">
        <v>3048</v>
      </c>
      <c r="B15" s="64">
        <v>3.21</v>
      </c>
      <c r="C15" s="64">
        <v>34.159999999999997</v>
      </c>
      <c r="D15" s="64">
        <v>22.08</v>
      </c>
      <c r="E15" s="64">
        <v>4.28</v>
      </c>
      <c r="F15" s="64">
        <v>33.36</v>
      </c>
      <c r="G15" s="64">
        <v>60.1</v>
      </c>
      <c r="H15" s="64">
        <v>47.47</v>
      </c>
      <c r="I15" s="64">
        <v>0.56999999999999995</v>
      </c>
      <c r="J15" s="64">
        <v>0.64</v>
      </c>
      <c r="K15" s="64">
        <v>183.38</v>
      </c>
      <c r="L15" s="64">
        <v>27.57</v>
      </c>
      <c r="M15" s="64">
        <v>48.92</v>
      </c>
      <c r="N15" s="214" t="s">
        <v>42</v>
      </c>
      <c r="O15" s="64">
        <v>0</v>
      </c>
      <c r="P15" s="64">
        <v>1.53</v>
      </c>
      <c r="Q15" s="64">
        <v>31.48</v>
      </c>
      <c r="R15" s="198"/>
      <c r="S15" s="198"/>
      <c r="T15" s="198"/>
      <c r="U15" s="198"/>
    </row>
    <row r="16" spans="1:21" s="12" customFormat="1" x14ac:dyDescent="0.25">
      <c r="A16" s="211" t="s">
        <v>3049</v>
      </c>
      <c r="B16" s="64">
        <v>4.6100000000000003</v>
      </c>
      <c r="C16" s="64">
        <v>39.64</v>
      </c>
      <c r="D16" s="64">
        <v>26.22</v>
      </c>
      <c r="E16" s="64">
        <v>3.61</v>
      </c>
      <c r="F16" s="64">
        <v>22.52</v>
      </c>
      <c r="G16" s="64">
        <v>45.57</v>
      </c>
      <c r="H16" s="64">
        <v>35.090000000000003</v>
      </c>
      <c r="I16" s="64">
        <v>0.59</v>
      </c>
      <c r="J16" s="64">
        <v>0.82</v>
      </c>
      <c r="K16" s="64">
        <v>177.98</v>
      </c>
      <c r="L16" s="64">
        <v>27.47</v>
      </c>
      <c r="M16" s="64">
        <v>48.96</v>
      </c>
      <c r="N16" s="214" t="s">
        <v>42</v>
      </c>
      <c r="O16" s="64">
        <v>0</v>
      </c>
      <c r="P16" s="64">
        <v>1.49</v>
      </c>
      <c r="Q16" s="64">
        <v>31.44</v>
      </c>
      <c r="R16" s="198"/>
      <c r="S16" s="198"/>
      <c r="T16" s="198"/>
      <c r="U16" s="198"/>
    </row>
    <row r="17" spans="1:21" s="12" customFormat="1" x14ac:dyDescent="0.25">
      <c r="A17" s="211" t="s">
        <v>3050</v>
      </c>
      <c r="B17" s="64">
        <v>6.71</v>
      </c>
      <c r="C17" s="64">
        <v>49.09</v>
      </c>
      <c r="D17" s="64">
        <v>33.119999999999997</v>
      </c>
      <c r="E17" s="64">
        <v>2.54</v>
      </c>
      <c r="F17" s="64">
        <v>6.27</v>
      </c>
      <c r="G17" s="64">
        <v>45.57</v>
      </c>
      <c r="H17" s="64">
        <v>35.090000000000003</v>
      </c>
      <c r="I17" s="64">
        <v>0.57999999999999996</v>
      </c>
      <c r="J17" s="64">
        <v>0.84</v>
      </c>
      <c r="K17" s="64">
        <v>173.73</v>
      </c>
      <c r="L17" s="64">
        <v>27.42</v>
      </c>
      <c r="M17" s="64">
        <v>49.35</v>
      </c>
      <c r="N17" s="214" t="s">
        <v>42</v>
      </c>
      <c r="O17" s="64">
        <v>0</v>
      </c>
      <c r="P17" s="64">
        <v>1.41</v>
      </c>
      <c r="Q17" s="64">
        <v>30.31</v>
      </c>
      <c r="R17" s="198"/>
      <c r="S17" s="198"/>
      <c r="T17" s="198"/>
      <c r="U17" s="198"/>
    </row>
    <row r="18" spans="1:21" s="12" customFormat="1" x14ac:dyDescent="0.25">
      <c r="A18" s="211" t="s">
        <v>3051</v>
      </c>
      <c r="B18" s="64">
        <v>4.58</v>
      </c>
      <c r="C18" s="64">
        <v>49.1</v>
      </c>
      <c r="D18" s="64">
        <v>31.42</v>
      </c>
      <c r="E18" s="64">
        <v>1.65</v>
      </c>
      <c r="F18" s="64">
        <v>7.97</v>
      </c>
      <c r="G18" s="64">
        <v>45.57</v>
      </c>
      <c r="H18" s="64">
        <v>35.090000000000003</v>
      </c>
      <c r="I18" s="64">
        <v>0.65</v>
      </c>
      <c r="J18" s="64">
        <v>0.66</v>
      </c>
      <c r="K18" s="64">
        <v>180.1</v>
      </c>
      <c r="L18" s="64">
        <v>27.32</v>
      </c>
      <c r="M18" s="64">
        <v>50.11</v>
      </c>
      <c r="N18" s="214" t="s">
        <v>42</v>
      </c>
      <c r="O18" s="64">
        <v>0</v>
      </c>
      <c r="P18" s="64">
        <v>1.29</v>
      </c>
      <c r="Q18" s="64">
        <v>29.12</v>
      </c>
      <c r="R18" s="198"/>
      <c r="S18" s="198"/>
      <c r="T18" s="198"/>
      <c r="U18" s="198"/>
    </row>
    <row r="19" spans="1:21" s="12" customFormat="1" x14ac:dyDescent="0.25">
      <c r="A19" s="211" t="s">
        <v>3052</v>
      </c>
      <c r="B19" s="64">
        <v>3.3</v>
      </c>
      <c r="C19" s="64">
        <v>50.31</v>
      </c>
      <c r="D19" s="64">
        <v>31.06</v>
      </c>
      <c r="E19" s="64">
        <v>1.53</v>
      </c>
      <c r="F19" s="64">
        <v>6.27</v>
      </c>
      <c r="G19" s="64">
        <v>44.56</v>
      </c>
      <c r="H19" s="64">
        <v>34.24</v>
      </c>
      <c r="I19" s="64">
        <v>0.83</v>
      </c>
      <c r="J19" s="64">
        <v>0.68</v>
      </c>
      <c r="K19" s="64">
        <v>181.73</v>
      </c>
      <c r="L19" s="64">
        <v>27.1</v>
      </c>
      <c r="M19" s="64">
        <v>51.17</v>
      </c>
      <c r="N19" s="214" t="s">
        <v>42</v>
      </c>
      <c r="O19" s="64">
        <v>0</v>
      </c>
      <c r="P19" s="64">
        <v>1.19</v>
      </c>
      <c r="Q19" s="64">
        <v>28.61</v>
      </c>
      <c r="R19" s="198"/>
      <c r="S19" s="198"/>
      <c r="T19" s="198"/>
      <c r="U19" s="198"/>
    </row>
    <row r="20" spans="1:21" s="12" customFormat="1" x14ac:dyDescent="0.25">
      <c r="A20" s="211" t="s">
        <v>3053</v>
      </c>
      <c r="B20" s="64">
        <v>2.34</v>
      </c>
      <c r="C20" s="64">
        <v>51.15</v>
      </c>
      <c r="D20" s="64">
        <v>30.75</v>
      </c>
      <c r="E20" s="64">
        <v>1.49</v>
      </c>
      <c r="F20" s="64">
        <v>5.36</v>
      </c>
      <c r="G20" s="64">
        <v>35.44</v>
      </c>
      <c r="H20" s="64">
        <v>28.78</v>
      </c>
      <c r="I20" s="64">
        <v>0.79</v>
      </c>
      <c r="J20" s="64">
        <v>1.08</v>
      </c>
      <c r="K20" s="64">
        <v>173.11</v>
      </c>
      <c r="L20" s="64">
        <v>27.09</v>
      </c>
      <c r="M20" s="64">
        <v>51.29</v>
      </c>
      <c r="N20" s="214" t="s">
        <v>42</v>
      </c>
      <c r="O20" s="64">
        <v>0</v>
      </c>
      <c r="P20" s="64">
        <v>1.1000000000000001</v>
      </c>
      <c r="Q20" s="64">
        <v>28.22</v>
      </c>
      <c r="R20" s="198"/>
      <c r="S20" s="198"/>
      <c r="T20" s="198"/>
      <c r="U20" s="198"/>
    </row>
    <row r="21" spans="1:21" s="12" customFormat="1" x14ac:dyDescent="0.25">
      <c r="A21" s="211" t="s">
        <v>3054</v>
      </c>
      <c r="B21" s="64">
        <v>1.69</v>
      </c>
      <c r="C21" s="64">
        <v>49.87</v>
      </c>
      <c r="D21" s="64">
        <v>29.53</v>
      </c>
      <c r="E21" s="64">
        <v>1.0900000000000001</v>
      </c>
      <c r="F21" s="64">
        <v>5.22</v>
      </c>
      <c r="G21" s="64">
        <v>35.44</v>
      </c>
      <c r="H21" s="64">
        <v>28.78</v>
      </c>
      <c r="I21" s="64">
        <v>0.69</v>
      </c>
      <c r="J21" s="64">
        <v>0.91</v>
      </c>
      <c r="K21" s="64">
        <v>173.92</v>
      </c>
      <c r="L21" s="64">
        <v>26.96</v>
      </c>
      <c r="M21" s="64">
        <v>52.53</v>
      </c>
      <c r="N21" s="214" t="s">
        <v>42</v>
      </c>
      <c r="O21" s="64">
        <v>0</v>
      </c>
      <c r="P21" s="64">
        <v>1.01</v>
      </c>
      <c r="Q21" s="64">
        <v>27.82</v>
      </c>
      <c r="R21" s="198"/>
      <c r="S21" s="198"/>
      <c r="T21" s="198"/>
      <c r="U21" s="198"/>
    </row>
    <row r="22" spans="1:21" s="12" customFormat="1" x14ac:dyDescent="0.25">
      <c r="A22" s="211" t="s">
        <v>3055</v>
      </c>
      <c r="B22" s="64">
        <v>1.27</v>
      </c>
      <c r="C22" s="64">
        <v>46.55</v>
      </c>
      <c r="D22" s="64">
        <v>27.35</v>
      </c>
      <c r="E22" s="64">
        <v>1.38</v>
      </c>
      <c r="F22" s="64">
        <v>6.69</v>
      </c>
      <c r="G22" s="64">
        <v>35.44</v>
      </c>
      <c r="H22" s="64">
        <v>28.78</v>
      </c>
      <c r="I22" s="64">
        <v>0.73</v>
      </c>
      <c r="J22" s="64">
        <v>0.16</v>
      </c>
      <c r="K22" s="64">
        <v>194.7</v>
      </c>
      <c r="L22" s="64">
        <v>26.65</v>
      </c>
      <c r="M22" s="64">
        <v>53.78</v>
      </c>
      <c r="N22" s="214" t="s">
        <v>42</v>
      </c>
      <c r="O22" s="64">
        <v>0</v>
      </c>
      <c r="P22" s="64">
        <v>0.94</v>
      </c>
      <c r="Q22" s="64">
        <v>27.44</v>
      </c>
      <c r="R22" s="198"/>
      <c r="S22" s="198"/>
      <c r="T22" s="198"/>
      <c r="U22" s="198"/>
    </row>
    <row r="23" spans="1:21" s="12" customFormat="1" x14ac:dyDescent="0.25">
      <c r="A23" s="211" t="s">
        <v>3056</v>
      </c>
      <c r="B23" s="64">
        <v>1.1100000000000001</v>
      </c>
      <c r="C23" s="64">
        <v>46.56</v>
      </c>
      <c r="D23" s="64">
        <v>27.23</v>
      </c>
      <c r="E23" s="64">
        <v>1.32</v>
      </c>
      <c r="F23" s="64">
        <v>6.31</v>
      </c>
      <c r="G23" s="64">
        <v>34.39</v>
      </c>
      <c r="H23" s="64">
        <v>28</v>
      </c>
      <c r="I23" s="64">
        <v>0.78</v>
      </c>
      <c r="J23" s="64">
        <v>0.01</v>
      </c>
      <c r="K23" s="64">
        <v>14.23</v>
      </c>
      <c r="L23" s="64">
        <v>26.33</v>
      </c>
      <c r="M23" s="64">
        <v>54.99</v>
      </c>
      <c r="N23" s="214" t="s">
        <v>42</v>
      </c>
      <c r="O23" s="64">
        <v>0</v>
      </c>
      <c r="P23" s="64">
        <v>0.87</v>
      </c>
      <c r="Q23" s="64">
        <v>27.06</v>
      </c>
      <c r="R23" s="198"/>
      <c r="S23" s="198"/>
      <c r="T23" s="198"/>
      <c r="U23" s="198"/>
    </row>
    <row r="24" spans="1:21" s="12" customFormat="1" x14ac:dyDescent="0.25">
      <c r="A24" s="211" t="s">
        <v>3057</v>
      </c>
      <c r="B24" s="64">
        <v>1.03</v>
      </c>
      <c r="C24" s="64">
        <v>31.16</v>
      </c>
      <c r="D24" s="64">
        <v>18.670000000000002</v>
      </c>
      <c r="E24" s="64">
        <v>1.97</v>
      </c>
      <c r="F24" s="64">
        <v>29.28</v>
      </c>
      <c r="G24" s="64">
        <v>24.92</v>
      </c>
      <c r="H24" s="64">
        <v>23.01</v>
      </c>
      <c r="I24" s="64">
        <v>0.71</v>
      </c>
      <c r="J24" s="64">
        <v>0.09</v>
      </c>
      <c r="K24" s="64">
        <v>239.9</v>
      </c>
      <c r="L24" s="64">
        <v>26.1</v>
      </c>
      <c r="M24" s="64">
        <v>56.11</v>
      </c>
      <c r="N24" s="214" t="s">
        <v>42</v>
      </c>
      <c r="O24" s="64">
        <v>0</v>
      </c>
      <c r="P24" s="64">
        <v>0.83</v>
      </c>
      <c r="Q24" s="64">
        <v>28.32</v>
      </c>
      <c r="R24" s="198"/>
      <c r="S24" s="198"/>
      <c r="T24" s="198"/>
      <c r="U24" s="198"/>
    </row>
    <row r="25" spans="1:21" s="12" customFormat="1" x14ac:dyDescent="0.25">
      <c r="A25" s="211" t="s">
        <v>3058</v>
      </c>
      <c r="B25" s="64">
        <v>1</v>
      </c>
      <c r="C25" s="64">
        <v>24.47</v>
      </c>
      <c r="D25" s="64">
        <v>14.95</v>
      </c>
      <c r="E25" s="64">
        <v>2.5099999999999998</v>
      </c>
      <c r="F25" s="64">
        <v>28.32</v>
      </c>
      <c r="G25" s="64">
        <v>24.92</v>
      </c>
      <c r="H25" s="64">
        <v>23.01</v>
      </c>
      <c r="I25" s="64">
        <v>0.62</v>
      </c>
      <c r="J25" s="64">
        <v>0.05</v>
      </c>
      <c r="K25" s="64">
        <v>242.24</v>
      </c>
      <c r="L25" s="64">
        <v>26.06</v>
      </c>
      <c r="M25" s="64">
        <v>56.54</v>
      </c>
      <c r="N25" s="214" t="s">
        <v>42</v>
      </c>
      <c r="O25" s="64">
        <v>0</v>
      </c>
      <c r="P25" s="64">
        <v>0.81</v>
      </c>
      <c r="Q25" s="64">
        <v>29.04</v>
      </c>
      <c r="R25" s="198"/>
      <c r="S25" s="198"/>
      <c r="T25" s="198"/>
      <c r="U25" s="198"/>
    </row>
    <row r="26" spans="1:21" s="12" customFormat="1" x14ac:dyDescent="0.25">
      <c r="A26" s="211" t="s">
        <v>3059</v>
      </c>
      <c r="B26" s="64">
        <v>1.35</v>
      </c>
      <c r="C26" s="64">
        <v>29.31</v>
      </c>
      <c r="D26" s="64">
        <v>17.91</v>
      </c>
      <c r="E26" s="64">
        <v>2.79</v>
      </c>
      <c r="F26" s="64">
        <v>24.29</v>
      </c>
      <c r="G26" s="64">
        <v>24.92</v>
      </c>
      <c r="H26" s="64">
        <v>23.01</v>
      </c>
      <c r="I26" s="64">
        <v>0.68</v>
      </c>
      <c r="J26" s="64">
        <v>0.1</v>
      </c>
      <c r="K26" s="64">
        <v>230.1</v>
      </c>
      <c r="L26" s="64">
        <v>25.85</v>
      </c>
      <c r="M26" s="64">
        <v>57.84</v>
      </c>
      <c r="N26" s="214" t="s">
        <v>42</v>
      </c>
      <c r="O26" s="64">
        <v>0</v>
      </c>
      <c r="P26" s="64">
        <v>0.79</v>
      </c>
      <c r="Q26" s="64">
        <v>29.34</v>
      </c>
      <c r="R26" s="198"/>
      <c r="S26" s="198"/>
      <c r="T26" s="198"/>
      <c r="U26" s="198"/>
    </row>
    <row r="27" spans="1:21" s="12" customFormat="1" x14ac:dyDescent="0.25">
      <c r="A27" s="211" t="s">
        <v>3060</v>
      </c>
      <c r="B27" s="64">
        <v>1</v>
      </c>
      <c r="C27" s="64">
        <v>27.13</v>
      </c>
      <c r="D27" s="64">
        <v>16.420000000000002</v>
      </c>
      <c r="E27" s="64">
        <v>3.25</v>
      </c>
      <c r="F27" s="64">
        <v>26.78</v>
      </c>
      <c r="G27" s="64">
        <v>25.98</v>
      </c>
      <c r="H27" s="64">
        <v>22.82</v>
      </c>
      <c r="I27" s="64">
        <v>0.56000000000000005</v>
      </c>
      <c r="J27" s="64">
        <v>0.13</v>
      </c>
      <c r="K27" s="64">
        <v>225.99</v>
      </c>
      <c r="L27" s="64">
        <v>26.03</v>
      </c>
      <c r="M27" s="64">
        <v>56.44</v>
      </c>
      <c r="N27" s="214" t="s">
        <v>42</v>
      </c>
      <c r="O27" s="64">
        <v>0</v>
      </c>
      <c r="P27" s="64">
        <v>0.79</v>
      </c>
      <c r="Q27" s="64">
        <v>30.02</v>
      </c>
      <c r="R27" s="198"/>
      <c r="S27" s="198"/>
      <c r="T27" s="198"/>
      <c r="U27" s="198"/>
    </row>
    <row r="28" spans="1:21" s="12" customFormat="1" x14ac:dyDescent="0.25">
      <c r="A28" s="211" t="s">
        <v>3061</v>
      </c>
      <c r="B28" s="64">
        <v>1.36</v>
      </c>
      <c r="C28" s="64">
        <v>30.46</v>
      </c>
      <c r="D28" s="64">
        <v>18.55</v>
      </c>
      <c r="E28" s="64">
        <v>3.17</v>
      </c>
      <c r="F28" s="64">
        <v>18.96</v>
      </c>
      <c r="G28" s="64">
        <v>35.520000000000003</v>
      </c>
      <c r="H28" s="64">
        <v>21.63</v>
      </c>
      <c r="I28" s="64">
        <v>0.51</v>
      </c>
      <c r="J28" s="64">
        <v>0.1</v>
      </c>
      <c r="K28" s="64">
        <v>235.58</v>
      </c>
      <c r="L28" s="64">
        <v>26</v>
      </c>
      <c r="M28" s="64">
        <v>56.44</v>
      </c>
      <c r="N28" s="214" t="s">
        <v>42</v>
      </c>
      <c r="O28" s="64">
        <v>0</v>
      </c>
      <c r="P28" s="64">
        <v>0.77</v>
      </c>
      <c r="Q28" s="64">
        <v>30.37</v>
      </c>
      <c r="R28" s="198"/>
      <c r="S28" s="198"/>
      <c r="T28" s="198"/>
      <c r="U28" s="198"/>
    </row>
    <row r="29" spans="1:21" s="12" customFormat="1" x14ac:dyDescent="0.25">
      <c r="A29" s="211" t="s">
        <v>3062</v>
      </c>
      <c r="B29" s="64">
        <v>2.64</v>
      </c>
      <c r="C29" s="64">
        <v>42.18</v>
      </c>
      <c r="D29" s="64">
        <v>26.04</v>
      </c>
      <c r="E29" s="64">
        <v>2.74</v>
      </c>
      <c r="F29" s="64">
        <v>5.71</v>
      </c>
      <c r="G29" s="64">
        <v>35.520000000000003</v>
      </c>
      <c r="H29" s="64">
        <v>21.63</v>
      </c>
      <c r="I29" s="64">
        <v>0.67</v>
      </c>
      <c r="J29" s="64">
        <v>0.01</v>
      </c>
      <c r="K29" s="64">
        <v>279.52</v>
      </c>
      <c r="L29" s="64">
        <v>26.2</v>
      </c>
      <c r="M29" s="64">
        <v>55.16</v>
      </c>
      <c r="N29" s="214" t="s">
        <v>42</v>
      </c>
      <c r="O29" s="64">
        <v>0</v>
      </c>
      <c r="P29" s="64">
        <v>0.75</v>
      </c>
      <c r="Q29" s="64">
        <v>28.88</v>
      </c>
      <c r="R29" s="198"/>
      <c r="S29" s="198"/>
      <c r="T29" s="198"/>
      <c r="U29" s="198"/>
    </row>
    <row r="30" spans="1:21" s="12" customFormat="1" x14ac:dyDescent="0.25">
      <c r="A30" s="211" t="s">
        <v>3063</v>
      </c>
      <c r="B30" s="64">
        <v>2.59</v>
      </c>
      <c r="C30" s="64">
        <v>45.15</v>
      </c>
      <c r="D30" s="64">
        <v>27.64</v>
      </c>
      <c r="E30" s="64">
        <v>2.2000000000000002</v>
      </c>
      <c r="F30" s="64">
        <v>5.16</v>
      </c>
      <c r="G30" s="64">
        <v>35.520000000000003</v>
      </c>
      <c r="H30" s="64">
        <v>21.63</v>
      </c>
      <c r="I30" s="64">
        <v>0.79</v>
      </c>
      <c r="J30" s="64">
        <v>0.02</v>
      </c>
      <c r="K30" s="64">
        <v>250.93</v>
      </c>
      <c r="L30" s="64">
        <v>26.31</v>
      </c>
      <c r="M30" s="64">
        <v>54.29</v>
      </c>
      <c r="N30" s="214" t="s">
        <v>42</v>
      </c>
      <c r="O30" s="64">
        <v>0</v>
      </c>
      <c r="P30" s="64">
        <v>0.74</v>
      </c>
      <c r="Q30" s="64">
        <v>28.09</v>
      </c>
      <c r="R30" s="198"/>
      <c r="S30" s="198"/>
      <c r="T30" s="198"/>
      <c r="U30" s="198"/>
    </row>
    <row r="31" spans="1:21" s="12" customFormat="1" x14ac:dyDescent="0.25">
      <c r="A31" s="211" t="s">
        <v>3064</v>
      </c>
      <c r="B31" s="64">
        <v>2.58</v>
      </c>
      <c r="C31" s="64">
        <v>46.53</v>
      </c>
      <c r="D31" s="64">
        <v>28.39</v>
      </c>
      <c r="E31" s="64">
        <v>1.72</v>
      </c>
      <c r="F31" s="64">
        <v>4.63</v>
      </c>
      <c r="G31" s="64">
        <v>36.57</v>
      </c>
      <c r="H31" s="64">
        <v>22.07</v>
      </c>
      <c r="I31" s="64">
        <v>0.66</v>
      </c>
      <c r="J31" s="64">
        <v>0.03</v>
      </c>
      <c r="K31" s="64">
        <v>298.23</v>
      </c>
      <c r="L31" s="64">
        <v>26.36</v>
      </c>
      <c r="M31" s="64">
        <v>54.03</v>
      </c>
      <c r="N31" s="214" t="s">
        <v>42</v>
      </c>
      <c r="O31" s="64">
        <v>0</v>
      </c>
      <c r="P31" s="64">
        <v>0.72</v>
      </c>
      <c r="Q31" s="64">
        <v>27.83</v>
      </c>
      <c r="R31" s="198"/>
      <c r="S31" s="198"/>
      <c r="T31" s="198"/>
      <c r="U31" s="198"/>
    </row>
    <row r="32" spans="1:21" s="12" customFormat="1" x14ac:dyDescent="0.25">
      <c r="A32" s="211" t="s">
        <v>3065</v>
      </c>
      <c r="B32" s="64">
        <v>2.5299999999999998</v>
      </c>
      <c r="C32" s="64">
        <v>47.97</v>
      </c>
      <c r="D32" s="64">
        <v>29.15</v>
      </c>
      <c r="E32" s="64">
        <v>2.16</v>
      </c>
      <c r="F32" s="64">
        <v>4.72</v>
      </c>
      <c r="G32" s="64">
        <v>44.9</v>
      </c>
      <c r="H32" s="64">
        <v>25.29</v>
      </c>
      <c r="I32" s="64">
        <v>0.82</v>
      </c>
      <c r="J32" s="64">
        <v>0.03</v>
      </c>
      <c r="K32" s="64">
        <v>220.26</v>
      </c>
      <c r="L32" s="64">
        <v>26.45</v>
      </c>
      <c r="M32" s="64">
        <v>54.33</v>
      </c>
      <c r="N32" s="214" t="s">
        <v>42</v>
      </c>
      <c r="O32" s="64">
        <v>0</v>
      </c>
      <c r="P32" s="64">
        <v>0.74</v>
      </c>
      <c r="Q32" s="64">
        <v>27.56</v>
      </c>
      <c r="R32" s="198"/>
      <c r="S32" s="198"/>
      <c r="T32" s="198"/>
      <c r="U32" s="198"/>
    </row>
    <row r="33" spans="1:21" s="12" customFormat="1" x14ac:dyDescent="0.25">
      <c r="A33" s="211" t="s">
        <v>3066</v>
      </c>
      <c r="B33" s="64">
        <v>2.62</v>
      </c>
      <c r="C33" s="64">
        <v>48.43</v>
      </c>
      <c r="D33" s="64">
        <v>29.48</v>
      </c>
      <c r="E33" s="64">
        <v>2.2000000000000002</v>
      </c>
      <c r="F33" s="64">
        <v>4.32</v>
      </c>
      <c r="G33" s="64">
        <v>44.9</v>
      </c>
      <c r="H33" s="64">
        <v>25.29</v>
      </c>
      <c r="I33" s="64">
        <v>0.6</v>
      </c>
      <c r="J33" s="64">
        <v>0.01</v>
      </c>
      <c r="K33" s="64">
        <v>248.55</v>
      </c>
      <c r="L33" s="64">
        <v>26.97</v>
      </c>
      <c r="M33" s="64">
        <v>52.51</v>
      </c>
      <c r="N33" s="214" t="s">
        <v>42</v>
      </c>
      <c r="O33" s="64">
        <v>0</v>
      </c>
      <c r="P33" s="64">
        <v>0.75</v>
      </c>
      <c r="Q33" s="64">
        <v>27.3</v>
      </c>
      <c r="R33" s="198"/>
      <c r="S33" s="198"/>
      <c r="T33" s="198"/>
      <c r="U33" s="198"/>
    </row>
    <row r="34" spans="1:21" s="12" customFormat="1" x14ac:dyDescent="0.25">
      <c r="A34" s="211" t="s">
        <v>3067</v>
      </c>
      <c r="B34" s="64">
        <v>2.67</v>
      </c>
      <c r="C34" s="64">
        <v>49.72</v>
      </c>
      <c r="D34" s="64">
        <v>30.22</v>
      </c>
      <c r="E34" s="64">
        <v>1.47</v>
      </c>
      <c r="F34" s="64">
        <v>4.3099999999999996</v>
      </c>
      <c r="G34" s="64">
        <v>44.9</v>
      </c>
      <c r="H34" s="64">
        <v>25.29</v>
      </c>
      <c r="I34" s="64">
        <v>0.71</v>
      </c>
      <c r="J34" s="64">
        <v>0.02</v>
      </c>
      <c r="K34" s="64">
        <v>37.19</v>
      </c>
      <c r="L34" s="64">
        <v>27.76</v>
      </c>
      <c r="M34" s="64">
        <v>50.57</v>
      </c>
      <c r="N34" s="214" t="s">
        <v>42</v>
      </c>
      <c r="O34" s="64">
        <v>0</v>
      </c>
      <c r="P34" s="64">
        <v>0.79</v>
      </c>
      <c r="Q34" s="64">
        <v>26.99</v>
      </c>
      <c r="R34" s="198"/>
      <c r="S34" s="198"/>
      <c r="T34" s="198"/>
      <c r="U34" s="198"/>
    </row>
    <row r="35" spans="1:21" s="12" customFormat="1" x14ac:dyDescent="0.25">
      <c r="A35" s="211" t="s">
        <v>3068</v>
      </c>
      <c r="B35" s="64">
        <v>2.99</v>
      </c>
      <c r="C35" s="64">
        <v>50.27</v>
      </c>
      <c r="D35" s="64">
        <v>30.78</v>
      </c>
      <c r="E35" s="64">
        <v>1.81</v>
      </c>
      <c r="F35" s="64">
        <v>4.74</v>
      </c>
      <c r="G35" s="64">
        <v>48.37</v>
      </c>
      <c r="H35" s="64">
        <v>25.55</v>
      </c>
      <c r="I35" s="64">
        <v>0.8</v>
      </c>
      <c r="J35" s="64">
        <v>0.02</v>
      </c>
      <c r="K35" s="64">
        <v>11.03</v>
      </c>
      <c r="L35" s="64">
        <v>28.26</v>
      </c>
      <c r="M35" s="64">
        <v>49.02</v>
      </c>
      <c r="N35" s="214" t="s">
        <v>42</v>
      </c>
      <c r="O35" s="64">
        <v>0</v>
      </c>
      <c r="P35" s="64">
        <v>0.78</v>
      </c>
      <c r="Q35" s="64">
        <v>26.75</v>
      </c>
      <c r="R35" s="198"/>
      <c r="S35" s="198"/>
      <c r="T35" s="198"/>
      <c r="U35" s="198"/>
    </row>
    <row r="36" spans="1:21" s="12" customFormat="1" x14ac:dyDescent="0.25">
      <c r="A36" s="211" t="s">
        <v>3069</v>
      </c>
      <c r="B36" s="64">
        <v>3.11</v>
      </c>
      <c r="C36" s="64">
        <v>46.56</v>
      </c>
      <c r="D36" s="64">
        <v>28.83</v>
      </c>
      <c r="E36" s="64">
        <v>1.89</v>
      </c>
      <c r="F36" s="64">
        <v>9.7100000000000009</v>
      </c>
      <c r="G36" s="64">
        <v>76.12</v>
      </c>
      <c r="H36" s="64">
        <v>27.2</v>
      </c>
      <c r="I36" s="64">
        <v>0.59</v>
      </c>
      <c r="J36" s="64">
        <v>0.02</v>
      </c>
      <c r="K36" s="64">
        <v>50.14</v>
      </c>
      <c r="L36" s="64">
        <v>29</v>
      </c>
      <c r="M36" s="64">
        <v>46.6</v>
      </c>
      <c r="N36" s="214" t="s">
        <v>42</v>
      </c>
      <c r="O36" s="64">
        <v>0</v>
      </c>
      <c r="P36" s="64">
        <v>0.78</v>
      </c>
      <c r="Q36" s="64">
        <v>27.32</v>
      </c>
      <c r="R36" s="198"/>
      <c r="S36" s="198"/>
      <c r="T36" s="198"/>
      <c r="U36" s="198"/>
    </row>
    <row r="37" spans="1:21" s="12" customFormat="1" x14ac:dyDescent="0.25">
      <c r="A37" s="211" t="s">
        <v>3070</v>
      </c>
      <c r="B37" s="64">
        <v>2.75</v>
      </c>
      <c r="C37" s="64">
        <v>48.61</v>
      </c>
      <c r="D37" s="64">
        <v>29.68</v>
      </c>
      <c r="E37" s="64">
        <v>1.49</v>
      </c>
      <c r="F37" s="64">
        <v>9.7799999999999994</v>
      </c>
      <c r="G37" s="64">
        <v>76.12</v>
      </c>
      <c r="H37" s="64">
        <v>27.2</v>
      </c>
      <c r="I37" s="64">
        <v>0.59</v>
      </c>
      <c r="J37" s="64">
        <v>0.02</v>
      </c>
      <c r="K37" s="64">
        <v>322.08999999999997</v>
      </c>
      <c r="L37" s="64">
        <v>29.52</v>
      </c>
      <c r="M37" s="64">
        <v>44.77</v>
      </c>
      <c r="N37" s="214" t="s">
        <v>42</v>
      </c>
      <c r="O37" s="64">
        <v>0</v>
      </c>
      <c r="P37" s="64">
        <v>0.8</v>
      </c>
      <c r="Q37" s="64">
        <v>26.3</v>
      </c>
      <c r="R37" s="198"/>
      <c r="S37" s="198"/>
      <c r="T37" s="198"/>
      <c r="U37" s="198"/>
    </row>
    <row r="38" spans="1:21" s="12" customFormat="1" x14ac:dyDescent="0.25">
      <c r="A38" s="211" t="s">
        <v>3071</v>
      </c>
      <c r="B38" s="64">
        <v>2.83</v>
      </c>
      <c r="C38" s="64">
        <v>42.14</v>
      </c>
      <c r="D38" s="64">
        <v>26.17</v>
      </c>
      <c r="E38" s="64">
        <v>1.65</v>
      </c>
      <c r="F38" s="64">
        <v>15.15</v>
      </c>
      <c r="G38" s="64">
        <v>76.12</v>
      </c>
      <c r="H38" s="64">
        <v>27.2</v>
      </c>
      <c r="I38" s="64">
        <v>0.7</v>
      </c>
      <c r="J38" s="64">
        <v>0.09</v>
      </c>
      <c r="K38" s="64">
        <v>36.17</v>
      </c>
      <c r="L38" s="64">
        <v>30</v>
      </c>
      <c r="M38" s="64">
        <v>44.59</v>
      </c>
      <c r="N38" s="214" t="s">
        <v>42</v>
      </c>
      <c r="O38" s="64">
        <v>0</v>
      </c>
      <c r="P38" s="64">
        <v>0.84</v>
      </c>
      <c r="Q38" s="64">
        <v>26.32</v>
      </c>
      <c r="R38" s="198"/>
      <c r="S38" s="198"/>
      <c r="T38" s="198"/>
      <c r="U38" s="198"/>
    </row>
    <row r="39" spans="1:21" s="12" customFormat="1" x14ac:dyDescent="0.25">
      <c r="A39" s="211" t="s">
        <v>3072</v>
      </c>
      <c r="B39" s="64">
        <v>2.0499999999999998</v>
      </c>
      <c r="C39" s="64">
        <v>40.74</v>
      </c>
      <c r="D39" s="64">
        <v>24.78</v>
      </c>
      <c r="E39" s="64">
        <v>1.94</v>
      </c>
      <c r="F39" s="64">
        <v>16.79</v>
      </c>
      <c r="G39" s="64">
        <v>72.77</v>
      </c>
      <c r="H39" s="64">
        <v>27.46</v>
      </c>
      <c r="I39" s="64">
        <v>0.74</v>
      </c>
      <c r="J39" s="64">
        <v>0.04</v>
      </c>
      <c r="K39" s="64">
        <v>16.059999999999999</v>
      </c>
      <c r="L39" s="64">
        <v>31.26</v>
      </c>
      <c r="M39" s="64">
        <v>42.2</v>
      </c>
      <c r="N39" s="214" t="s">
        <v>42</v>
      </c>
      <c r="O39" s="64">
        <v>0</v>
      </c>
      <c r="P39" s="64">
        <v>0.82</v>
      </c>
      <c r="Q39" s="64">
        <v>26.43</v>
      </c>
      <c r="R39" s="198"/>
      <c r="S39" s="198"/>
      <c r="T39" s="198"/>
      <c r="U39" s="198"/>
    </row>
    <row r="40" spans="1:21" s="12" customFormat="1" x14ac:dyDescent="0.25">
      <c r="A40" s="211" t="s">
        <v>3073</v>
      </c>
      <c r="B40" s="64">
        <v>2.25</v>
      </c>
      <c r="C40" s="64">
        <v>47.73</v>
      </c>
      <c r="D40" s="64">
        <v>28.8</v>
      </c>
      <c r="E40" s="64">
        <v>1.88</v>
      </c>
      <c r="F40" s="64">
        <v>7.44</v>
      </c>
      <c r="G40" s="64">
        <v>46</v>
      </c>
      <c r="H40" s="64">
        <v>29.15</v>
      </c>
      <c r="I40" s="64">
        <v>0.55000000000000004</v>
      </c>
      <c r="J40" s="64">
        <v>0.06</v>
      </c>
      <c r="K40" s="64">
        <v>23.04</v>
      </c>
      <c r="L40" s="64">
        <v>31.26</v>
      </c>
      <c r="M40" s="64">
        <v>41.64</v>
      </c>
      <c r="N40" s="214" t="s">
        <v>42</v>
      </c>
      <c r="O40" s="64">
        <v>0</v>
      </c>
      <c r="P40" s="64">
        <v>0.81</v>
      </c>
      <c r="Q40" s="64">
        <v>25.94</v>
      </c>
      <c r="R40" s="198"/>
      <c r="S40" s="198"/>
      <c r="T40" s="198"/>
      <c r="U40" s="198"/>
    </row>
    <row r="41" spans="1:21" s="12" customFormat="1" x14ac:dyDescent="0.25">
      <c r="A41" s="211" t="s">
        <v>3074</v>
      </c>
      <c r="B41" s="64">
        <v>1.88</v>
      </c>
      <c r="C41" s="64">
        <v>50.33</v>
      </c>
      <c r="D41" s="64">
        <v>29.93</v>
      </c>
      <c r="E41" s="64">
        <v>2.13</v>
      </c>
      <c r="F41" s="64">
        <v>6.49</v>
      </c>
      <c r="G41" s="64">
        <v>46</v>
      </c>
      <c r="H41" s="64">
        <v>29.15</v>
      </c>
      <c r="I41" s="64">
        <v>0.56000000000000005</v>
      </c>
      <c r="J41" s="64">
        <v>0.08</v>
      </c>
      <c r="K41" s="64">
        <v>35.630000000000003</v>
      </c>
      <c r="L41" s="64">
        <v>31.18</v>
      </c>
      <c r="M41" s="64">
        <v>41.29</v>
      </c>
      <c r="N41" s="214" t="s">
        <v>42</v>
      </c>
      <c r="O41" s="64">
        <v>0</v>
      </c>
      <c r="P41" s="64">
        <v>0.79</v>
      </c>
      <c r="Q41" s="64">
        <v>25.21</v>
      </c>
      <c r="R41" s="198"/>
      <c r="S41" s="198"/>
      <c r="T41" s="198"/>
      <c r="U41" s="198"/>
    </row>
    <row r="42" spans="1:21" s="12" customFormat="1" x14ac:dyDescent="0.25">
      <c r="A42" s="211" t="s">
        <v>3075</v>
      </c>
      <c r="B42" s="64">
        <v>1.24</v>
      </c>
      <c r="C42" s="64">
        <v>48.61</v>
      </c>
      <c r="D42" s="64">
        <v>28.47</v>
      </c>
      <c r="E42" s="64">
        <v>1.95</v>
      </c>
      <c r="F42" s="64">
        <v>7.24</v>
      </c>
      <c r="G42" s="64">
        <v>46</v>
      </c>
      <c r="H42" s="64">
        <v>29.15</v>
      </c>
      <c r="I42" s="64">
        <v>0.62</v>
      </c>
      <c r="J42" s="64">
        <v>0.12</v>
      </c>
      <c r="K42" s="64">
        <v>31.5</v>
      </c>
      <c r="L42" s="64">
        <v>32.4</v>
      </c>
      <c r="M42" s="64">
        <v>39.369999999999997</v>
      </c>
      <c r="N42" s="214" t="s">
        <v>42</v>
      </c>
      <c r="O42" s="64">
        <v>0</v>
      </c>
      <c r="P42" s="64">
        <v>0.76</v>
      </c>
      <c r="Q42" s="64">
        <v>24.89</v>
      </c>
      <c r="R42" s="198"/>
      <c r="S42" s="198"/>
      <c r="T42" s="198"/>
      <c r="U42" s="198"/>
    </row>
    <row r="43" spans="1:21" s="12" customFormat="1" x14ac:dyDescent="0.25">
      <c r="A43" s="211" t="s">
        <v>3076</v>
      </c>
      <c r="B43" s="64">
        <v>1.02</v>
      </c>
      <c r="C43" s="64">
        <v>48.31</v>
      </c>
      <c r="D43" s="64">
        <v>28.13</v>
      </c>
      <c r="E43" s="64">
        <v>1.94</v>
      </c>
      <c r="F43" s="64">
        <v>7.56</v>
      </c>
      <c r="G43" s="64">
        <v>47.04</v>
      </c>
      <c r="H43" s="64">
        <v>29.11</v>
      </c>
      <c r="I43" s="64">
        <v>0.73</v>
      </c>
      <c r="J43" s="64">
        <v>0.02</v>
      </c>
      <c r="K43" s="64">
        <v>54.38</v>
      </c>
      <c r="L43" s="64">
        <v>32.549999999999997</v>
      </c>
      <c r="M43" s="64">
        <v>38.47</v>
      </c>
      <c r="N43" s="214" t="s">
        <v>42</v>
      </c>
      <c r="O43" s="64">
        <v>0</v>
      </c>
      <c r="P43" s="64">
        <v>0.74</v>
      </c>
      <c r="Q43" s="64">
        <v>24.51</v>
      </c>
      <c r="R43" s="198"/>
      <c r="S43" s="198"/>
      <c r="T43" s="198"/>
      <c r="U43" s="198"/>
    </row>
    <row r="44" spans="1:21" s="12" customFormat="1" x14ac:dyDescent="0.25">
      <c r="A44" s="211" t="s">
        <v>3077</v>
      </c>
      <c r="B44" s="64">
        <v>1.03</v>
      </c>
      <c r="C44" s="64">
        <v>49.07</v>
      </c>
      <c r="D44" s="64">
        <v>28.55</v>
      </c>
      <c r="E44" s="64">
        <v>1.66</v>
      </c>
      <c r="F44" s="64">
        <v>7.7</v>
      </c>
      <c r="G44" s="64">
        <v>55.36</v>
      </c>
      <c r="H44" s="64">
        <v>28.81</v>
      </c>
      <c r="I44" s="64">
        <v>0.56000000000000005</v>
      </c>
      <c r="J44" s="64">
        <v>0.15</v>
      </c>
      <c r="K44" s="64">
        <v>31.63</v>
      </c>
      <c r="L44" s="64">
        <v>33.93</v>
      </c>
      <c r="M44" s="64">
        <v>35.92</v>
      </c>
      <c r="N44" s="214" t="s">
        <v>42</v>
      </c>
      <c r="O44" s="64">
        <v>0</v>
      </c>
      <c r="P44" s="64">
        <v>0.73</v>
      </c>
      <c r="Q44" s="64">
        <v>24.52</v>
      </c>
      <c r="R44" s="198"/>
      <c r="S44" s="198"/>
      <c r="T44" s="198"/>
      <c r="U44" s="198"/>
    </row>
    <row r="45" spans="1:21" s="12" customFormat="1" x14ac:dyDescent="0.25">
      <c r="A45" s="211" t="s">
        <v>3078</v>
      </c>
      <c r="B45" s="64">
        <v>1</v>
      </c>
      <c r="C45" s="64">
        <v>49.26</v>
      </c>
      <c r="D45" s="64">
        <v>28.63</v>
      </c>
      <c r="E45" s="64">
        <v>1.87</v>
      </c>
      <c r="F45" s="64">
        <v>8.16</v>
      </c>
      <c r="G45" s="64">
        <v>55.36</v>
      </c>
      <c r="H45" s="64">
        <v>28.81</v>
      </c>
      <c r="I45" s="64">
        <v>0.7</v>
      </c>
      <c r="J45" s="64">
        <v>0.06</v>
      </c>
      <c r="K45" s="64">
        <v>222.01</v>
      </c>
      <c r="L45" s="64">
        <v>33.79</v>
      </c>
      <c r="M45" s="64">
        <v>36.159999999999997</v>
      </c>
      <c r="N45" s="214" t="s">
        <v>42</v>
      </c>
      <c r="O45" s="64">
        <v>0</v>
      </c>
      <c r="P45" s="64">
        <v>0.74</v>
      </c>
      <c r="Q45" s="64">
        <v>24.3</v>
      </c>
      <c r="R45" s="198"/>
      <c r="S45" s="198"/>
      <c r="T45" s="198"/>
      <c r="U45" s="198"/>
    </row>
    <row r="46" spans="1:21" s="12" customFormat="1" x14ac:dyDescent="0.25">
      <c r="A46" s="211" t="s">
        <v>3079</v>
      </c>
      <c r="B46" s="64">
        <v>1</v>
      </c>
      <c r="C46" s="64">
        <v>49.51</v>
      </c>
      <c r="D46" s="64">
        <v>28.77</v>
      </c>
      <c r="E46" s="64">
        <v>2.08</v>
      </c>
      <c r="F46" s="64">
        <v>9.15</v>
      </c>
      <c r="G46" s="64">
        <v>55.36</v>
      </c>
      <c r="H46" s="64">
        <v>28.81</v>
      </c>
      <c r="I46" s="64">
        <v>0.61</v>
      </c>
      <c r="J46" s="64">
        <v>0.05</v>
      </c>
      <c r="K46" s="64">
        <v>350.01</v>
      </c>
      <c r="L46" s="64">
        <v>34.15</v>
      </c>
      <c r="M46" s="64">
        <v>34.18</v>
      </c>
      <c r="N46" s="214" t="s">
        <v>42</v>
      </c>
      <c r="O46" s="64">
        <v>0</v>
      </c>
      <c r="P46" s="64">
        <v>0.77</v>
      </c>
      <c r="Q46" s="64">
        <v>24.32</v>
      </c>
      <c r="R46" s="198"/>
      <c r="S46" s="198"/>
      <c r="T46" s="198"/>
      <c r="U46" s="198"/>
    </row>
    <row r="47" spans="1:21" s="12" customFormat="1" x14ac:dyDescent="0.25">
      <c r="A47" s="211" t="s">
        <v>3080</v>
      </c>
      <c r="B47" s="64">
        <v>1</v>
      </c>
      <c r="C47" s="64">
        <v>49.76</v>
      </c>
      <c r="D47" s="64">
        <v>28.91</v>
      </c>
      <c r="E47" s="64">
        <v>2.46</v>
      </c>
      <c r="F47" s="64">
        <v>12.87</v>
      </c>
      <c r="G47" s="64">
        <v>56.24</v>
      </c>
      <c r="H47" s="64">
        <v>29.33</v>
      </c>
      <c r="I47" s="64">
        <v>0.53</v>
      </c>
      <c r="J47" s="64">
        <v>0.1</v>
      </c>
      <c r="K47" s="64">
        <v>262.02999999999997</v>
      </c>
      <c r="L47" s="64">
        <v>34.08</v>
      </c>
      <c r="M47" s="64">
        <v>34.35</v>
      </c>
      <c r="N47" s="214" t="s">
        <v>42</v>
      </c>
      <c r="O47" s="64">
        <v>0</v>
      </c>
      <c r="P47" s="64">
        <v>0.84</v>
      </c>
      <c r="Q47" s="64">
        <v>23.99</v>
      </c>
      <c r="R47" s="198"/>
      <c r="S47" s="198"/>
      <c r="T47" s="198"/>
      <c r="U47" s="198"/>
    </row>
    <row r="48" spans="1:21" s="12" customFormat="1" x14ac:dyDescent="0.25">
      <c r="A48" s="211" t="s">
        <v>3081</v>
      </c>
      <c r="B48" s="64">
        <v>1.07</v>
      </c>
      <c r="C48" s="64">
        <v>46.96</v>
      </c>
      <c r="D48" s="64">
        <v>27.42</v>
      </c>
      <c r="E48" s="64">
        <v>4.12</v>
      </c>
      <c r="F48" s="64">
        <v>27.62</v>
      </c>
      <c r="G48" s="64">
        <v>63.32</v>
      </c>
      <c r="H48" s="64">
        <v>32.67</v>
      </c>
      <c r="I48" s="64">
        <v>0.56000000000000005</v>
      </c>
      <c r="J48" s="64">
        <v>0.1</v>
      </c>
      <c r="K48" s="64">
        <v>233.52</v>
      </c>
      <c r="L48" s="64">
        <v>35.07</v>
      </c>
      <c r="M48" s="64">
        <v>32.35</v>
      </c>
      <c r="N48" s="214" t="s">
        <v>42</v>
      </c>
      <c r="O48" s="64">
        <v>0</v>
      </c>
      <c r="P48" s="64">
        <v>0.87</v>
      </c>
      <c r="Q48" s="64">
        <v>24.94</v>
      </c>
      <c r="R48" s="198"/>
      <c r="S48" s="198"/>
      <c r="T48" s="198"/>
      <c r="U48" s="198"/>
    </row>
    <row r="49" spans="1:21" s="12" customFormat="1" x14ac:dyDescent="0.25">
      <c r="A49" s="211" t="s">
        <v>3082</v>
      </c>
      <c r="B49" s="64">
        <v>1.28</v>
      </c>
      <c r="C49" s="64">
        <v>47.1</v>
      </c>
      <c r="D49" s="64">
        <v>27.66</v>
      </c>
      <c r="E49" s="64">
        <v>5.01</v>
      </c>
      <c r="F49" s="64">
        <v>21.56</v>
      </c>
      <c r="G49" s="64">
        <v>63.32</v>
      </c>
      <c r="H49" s="64">
        <v>32.67</v>
      </c>
      <c r="I49" s="64">
        <v>0.54</v>
      </c>
      <c r="J49" s="64">
        <v>0.27</v>
      </c>
      <c r="K49" s="64">
        <v>248.23</v>
      </c>
      <c r="L49" s="64">
        <v>35.04</v>
      </c>
      <c r="M49" s="64">
        <v>31.24</v>
      </c>
      <c r="N49" s="214" t="s">
        <v>42</v>
      </c>
      <c r="O49" s="64">
        <v>0</v>
      </c>
      <c r="P49" s="64">
        <v>0.88</v>
      </c>
      <c r="Q49" s="64">
        <v>24.84</v>
      </c>
      <c r="R49" s="198"/>
      <c r="S49" s="198"/>
      <c r="T49" s="198"/>
      <c r="U49" s="198"/>
    </row>
    <row r="50" spans="1:21" s="12" customFormat="1" x14ac:dyDescent="0.25">
      <c r="A50" s="211" t="s">
        <v>3083</v>
      </c>
      <c r="B50" s="64">
        <v>2.34</v>
      </c>
      <c r="C50" s="64">
        <v>47.73</v>
      </c>
      <c r="D50" s="64">
        <v>28.86</v>
      </c>
      <c r="E50" s="64">
        <v>5.44</v>
      </c>
      <c r="F50" s="64">
        <v>24.62</v>
      </c>
      <c r="G50" s="64">
        <v>63.32</v>
      </c>
      <c r="H50" s="64">
        <v>32.67</v>
      </c>
      <c r="I50" s="64">
        <v>0.62</v>
      </c>
      <c r="J50" s="64">
        <v>0.38</v>
      </c>
      <c r="K50" s="64">
        <v>244.76</v>
      </c>
      <c r="L50" s="64">
        <v>35.380000000000003</v>
      </c>
      <c r="M50" s="64">
        <v>30.36</v>
      </c>
      <c r="N50" s="214" t="s">
        <v>42</v>
      </c>
      <c r="O50" s="64">
        <v>0</v>
      </c>
      <c r="P50" s="64">
        <v>0.9</v>
      </c>
      <c r="Q50" s="64">
        <v>24.66</v>
      </c>
      <c r="R50" s="198"/>
      <c r="S50" s="198"/>
      <c r="T50" s="198"/>
      <c r="U50" s="198"/>
    </row>
    <row r="51" spans="1:21" s="12" customFormat="1" x14ac:dyDescent="0.25">
      <c r="A51" s="211" t="s">
        <v>3084</v>
      </c>
      <c r="B51" s="64">
        <v>2.5299999999999998</v>
      </c>
      <c r="C51" s="64">
        <v>48.22</v>
      </c>
      <c r="D51" s="64">
        <v>29.28</v>
      </c>
      <c r="E51" s="64">
        <v>7.05</v>
      </c>
      <c r="F51" s="64">
        <v>37.299999999999997</v>
      </c>
      <c r="G51" s="64">
        <v>63.52</v>
      </c>
      <c r="H51" s="64">
        <v>32.69</v>
      </c>
      <c r="I51" s="64">
        <v>0.55000000000000004</v>
      </c>
      <c r="J51" s="64">
        <v>0.04</v>
      </c>
      <c r="K51" s="64">
        <v>324.05</v>
      </c>
      <c r="L51" s="64">
        <v>35.42</v>
      </c>
      <c r="M51" s="64">
        <v>29.58</v>
      </c>
      <c r="N51" s="214" t="s">
        <v>42</v>
      </c>
      <c r="O51" s="64">
        <v>0</v>
      </c>
      <c r="P51" s="64">
        <v>0.91</v>
      </c>
      <c r="Q51" s="64">
        <v>24.68</v>
      </c>
      <c r="R51" s="198"/>
      <c r="S51" s="198"/>
      <c r="T51" s="198"/>
      <c r="U51" s="198"/>
    </row>
    <row r="52" spans="1:21" s="12" customFormat="1" x14ac:dyDescent="0.25">
      <c r="A52" s="211" t="s">
        <v>3085</v>
      </c>
      <c r="B52" s="64">
        <v>2.17</v>
      </c>
      <c r="C52" s="64">
        <v>49.55</v>
      </c>
      <c r="D52" s="64">
        <v>29.73</v>
      </c>
      <c r="E52" s="64">
        <v>6.82</v>
      </c>
      <c r="F52" s="64">
        <v>17.18</v>
      </c>
      <c r="G52" s="64">
        <v>65.31</v>
      </c>
      <c r="H52" s="64">
        <v>32.83</v>
      </c>
      <c r="I52" s="64">
        <v>0.56000000000000005</v>
      </c>
      <c r="J52" s="64">
        <v>0.12</v>
      </c>
      <c r="K52" s="64">
        <v>231.08</v>
      </c>
      <c r="L52" s="64">
        <v>35.82</v>
      </c>
      <c r="M52" s="64">
        <v>29.28</v>
      </c>
      <c r="N52" s="214" t="s">
        <v>42</v>
      </c>
      <c r="O52" s="64">
        <v>0</v>
      </c>
      <c r="P52" s="64">
        <v>0.94</v>
      </c>
      <c r="Q52" s="64">
        <v>24.22</v>
      </c>
      <c r="R52" s="198"/>
      <c r="S52" s="198"/>
      <c r="T52" s="198"/>
      <c r="U52" s="198"/>
    </row>
    <row r="53" spans="1:21" s="12" customFormat="1" x14ac:dyDescent="0.25">
      <c r="A53" s="211" t="s">
        <v>3086</v>
      </c>
      <c r="B53" s="64">
        <v>1</v>
      </c>
      <c r="C53" s="64">
        <v>50.03</v>
      </c>
      <c r="D53" s="64">
        <v>29.06</v>
      </c>
      <c r="E53" s="64">
        <v>5.64</v>
      </c>
      <c r="F53" s="64">
        <v>12.7</v>
      </c>
      <c r="G53" s="64">
        <v>65.31</v>
      </c>
      <c r="H53" s="64">
        <v>32.83</v>
      </c>
      <c r="I53" s="64">
        <v>0.59</v>
      </c>
      <c r="J53" s="64">
        <v>0.19</v>
      </c>
      <c r="K53" s="64">
        <v>248.02</v>
      </c>
      <c r="L53" s="64">
        <v>35.51</v>
      </c>
      <c r="M53" s="64">
        <v>29.71</v>
      </c>
      <c r="N53" s="214" t="s">
        <v>42</v>
      </c>
      <c r="O53" s="64">
        <v>0</v>
      </c>
      <c r="P53" s="64">
        <v>0.98</v>
      </c>
      <c r="Q53" s="64">
        <v>23.99</v>
      </c>
      <c r="R53" s="198"/>
      <c r="S53" s="198"/>
      <c r="T53" s="198"/>
      <c r="U53" s="198"/>
    </row>
    <row r="54" spans="1:21" s="12" customFormat="1" x14ac:dyDescent="0.25">
      <c r="A54" s="211" t="s">
        <v>3087</v>
      </c>
      <c r="B54" s="64">
        <v>1</v>
      </c>
      <c r="C54" s="64">
        <v>51.86</v>
      </c>
      <c r="D54" s="64">
        <v>30.07</v>
      </c>
      <c r="E54" s="64">
        <v>4.6500000000000004</v>
      </c>
      <c r="F54" s="64">
        <v>14.3</v>
      </c>
      <c r="G54" s="64">
        <v>65.31</v>
      </c>
      <c r="H54" s="64">
        <v>32.83</v>
      </c>
      <c r="I54" s="64">
        <v>0.62</v>
      </c>
      <c r="J54" s="64">
        <v>0.24</v>
      </c>
      <c r="K54" s="64">
        <v>233.39</v>
      </c>
      <c r="L54" s="64">
        <v>35.26</v>
      </c>
      <c r="M54" s="64">
        <v>29.56</v>
      </c>
      <c r="N54" s="214" t="s">
        <v>42</v>
      </c>
      <c r="O54" s="64">
        <v>0</v>
      </c>
      <c r="P54" s="64">
        <v>1</v>
      </c>
      <c r="Q54" s="64">
        <v>24.02</v>
      </c>
      <c r="R54" s="198"/>
      <c r="S54" s="198"/>
      <c r="T54" s="198"/>
      <c r="U54" s="198"/>
    </row>
    <row r="55" spans="1:21" s="12" customFormat="1" x14ac:dyDescent="0.25">
      <c r="A55" s="211" t="s">
        <v>3088</v>
      </c>
      <c r="B55" s="64">
        <v>1.1000000000000001</v>
      </c>
      <c r="C55" s="64">
        <v>54.94</v>
      </c>
      <c r="D55" s="64">
        <v>31.85</v>
      </c>
      <c r="E55" s="64">
        <v>3.92</v>
      </c>
      <c r="F55" s="64">
        <v>15.56</v>
      </c>
      <c r="G55" s="64">
        <v>65.319999999999993</v>
      </c>
      <c r="H55" s="64">
        <v>32.68</v>
      </c>
      <c r="I55" s="64">
        <v>0.59</v>
      </c>
      <c r="J55" s="64">
        <v>0.96</v>
      </c>
      <c r="K55" s="64">
        <v>242.53</v>
      </c>
      <c r="L55" s="64">
        <v>37.04</v>
      </c>
      <c r="M55" s="64">
        <v>26.7</v>
      </c>
      <c r="N55" s="214" t="s">
        <v>42</v>
      </c>
      <c r="O55" s="64">
        <v>0</v>
      </c>
      <c r="P55" s="64">
        <v>1</v>
      </c>
      <c r="Q55" s="64">
        <v>23.9</v>
      </c>
      <c r="R55" s="198"/>
      <c r="S55" s="198"/>
      <c r="T55" s="198"/>
      <c r="U55" s="198"/>
    </row>
    <row r="56" spans="1:21" s="12" customFormat="1" x14ac:dyDescent="0.25">
      <c r="A56" s="211" t="s">
        <v>3089</v>
      </c>
      <c r="B56" s="64">
        <v>1.1399999999999999</v>
      </c>
      <c r="C56" s="64">
        <v>53.97</v>
      </c>
      <c r="D56" s="64">
        <v>31.34</v>
      </c>
      <c r="E56" s="64">
        <v>3.02</v>
      </c>
      <c r="F56" s="64">
        <v>15.95</v>
      </c>
      <c r="G56" s="64">
        <v>65.459999999999994</v>
      </c>
      <c r="H56" s="64">
        <v>31.74</v>
      </c>
      <c r="I56" s="64">
        <v>0.64</v>
      </c>
      <c r="J56" s="64">
        <v>0.82</v>
      </c>
      <c r="K56" s="64">
        <v>243.65</v>
      </c>
      <c r="L56" s="64">
        <v>37.85</v>
      </c>
      <c r="M56" s="64">
        <v>24.32</v>
      </c>
      <c r="N56" s="214" t="s">
        <v>42</v>
      </c>
      <c r="O56" s="64">
        <v>0</v>
      </c>
      <c r="P56" s="64">
        <v>0.98</v>
      </c>
      <c r="Q56" s="64">
        <v>24.05</v>
      </c>
      <c r="R56" s="198"/>
      <c r="S56" s="198"/>
      <c r="T56" s="198"/>
      <c r="U56" s="198"/>
    </row>
    <row r="57" spans="1:21" s="12" customFormat="1" x14ac:dyDescent="0.25">
      <c r="A57" s="211" t="s">
        <v>3090</v>
      </c>
      <c r="B57" s="64">
        <v>1.39</v>
      </c>
      <c r="C57" s="64">
        <v>54.46</v>
      </c>
      <c r="D57" s="64">
        <v>31.81</v>
      </c>
      <c r="E57" s="64">
        <v>3.84</v>
      </c>
      <c r="F57" s="64">
        <v>17.440000000000001</v>
      </c>
      <c r="G57" s="64">
        <v>65.459999999999994</v>
      </c>
      <c r="H57" s="64">
        <v>31.74</v>
      </c>
      <c r="I57" s="64">
        <v>0.65</v>
      </c>
      <c r="J57" s="64">
        <v>0.28999999999999998</v>
      </c>
      <c r="K57" s="64">
        <v>232.67</v>
      </c>
      <c r="L57" s="64">
        <v>37.44</v>
      </c>
      <c r="M57" s="64">
        <v>23.73</v>
      </c>
      <c r="N57" s="214" t="s">
        <v>42</v>
      </c>
      <c r="O57" s="64">
        <v>0</v>
      </c>
      <c r="P57" s="64">
        <v>0.94</v>
      </c>
      <c r="Q57" s="64">
        <v>23.94</v>
      </c>
      <c r="R57" s="198"/>
      <c r="S57" s="198"/>
      <c r="T57" s="198"/>
      <c r="U57" s="198"/>
    </row>
    <row r="58" spans="1:21" s="12" customFormat="1" x14ac:dyDescent="0.25">
      <c r="A58" s="211" t="s">
        <v>3091</v>
      </c>
      <c r="B58" s="64">
        <v>1.37</v>
      </c>
      <c r="C58" s="64">
        <v>56.43</v>
      </c>
      <c r="D58" s="64">
        <v>32.89</v>
      </c>
      <c r="E58" s="64">
        <v>3.23</v>
      </c>
      <c r="F58" s="64">
        <v>12.85</v>
      </c>
      <c r="G58" s="64">
        <v>65.459999999999994</v>
      </c>
      <c r="H58" s="64">
        <v>31.74</v>
      </c>
      <c r="I58" s="64">
        <v>0.63</v>
      </c>
      <c r="J58" s="64">
        <v>0.6</v>
      </c>
      <c r="K58" s="64">
        <v>243.34</v>
      </c>
      <c r="L58" s="64">
        <v>37.67</v>
      </c>
      <c r="M58" s="64">
        <v>22.64</v>
      </c>
      <c r="N58" s="214" t="s">
        <v>42</v>
      </c>
      <c r="O58" s="64">
        <v>0</v>
      </c>
      <c r="P58" s="64">
        <v>0.9</v>
      </c>
      <c r="Q58" s="64">
        <v>24.15</v>
      </c>
      <c r="R58" s="198"/>
      <c r="S58" s="198"/>
      <c r="T58" s="198"/>
      <c r="U58" s="198"/>
    </row>
    <row r="59" spans="1:21" s="12" customFormat="1" x14ac:dyDescent="0.25">
      <c r="A59" s="211" t="s">
        <v>3092</v>
      </c>
      <c r="B59" s="64">
        <v>1.77</v>
      </c>
      <c r="C59" s="64">
        <v>45.73</v>
      </c>
      <c r="D59" s="64">
        <v>27.3</v>
      </c>
      <c r="E59" s="64">
        <v>4.08</v>
      </c>
      <c r="F59" s="64">
        <v>34.340000000000003</v>
      </c>
      <c r="G59" s="64">
        <v>64.94</v>
      </c>
      <c r="H59" s="64">
        <v>31.46</v>
      </c>
      <c r="I59" s="64">
        <v>0.57999999999999996</v>
      </c>
      <c r="J59" s="64">
        <v>0.1</v>
      </c>
      <c r="K59" s="64">
        <v>230.34</v>
      </c>
      <c r="L59" s="64">
        <v>36.909999999999997</v>
      </c>
      <c r="M59" s="64">
        <v>23.42</v>
      </c>
      <c r="N59" s="214" t="s">
        <v>42</v>
      </c>
      <c r="O59" s="64">
        <v>0</v>
      </c>
      <c r="P59" s="64">
        <v>0.85</v>
      </c>
      <c r="Q59" s="64">
        <v>24.97</v>
      </c>
      <c r="R59" s="198"/>
      <c r="S59" s="198"/>
      <c r="T59" s="198"/>
      <c r="U59" s="198"/>
    </row>
    <row r="60" spans="1:21" s="12" customFormat="1" x14ac:dyDescent="0.25">
      <c r="A60" s="211" t="s">
        <v>3093</v>
      </c>
      <c r="B60" s="64">
        <v>1.27</v>
      </c>
      <c r="C60" s="64">
        <v>46.34</v>
      </c>
      <c r="D60" s="64">
        <v>27.24</v>
      </c>
      <c r="E60" s="64">
        <v>5.63</v>
      </c>
      <c r="F60" s="64">
        <v>35.880000000000003</v>
      </c>
      <c r="G60" s="64">
        <v>60.76</v>
      </c>
      <c r="H60" s="64">
        <v>29.63</v>
      </c>
      <c r="I60" s="64">
        <v>0.67</v>
      </c>
      <c r="J60" s="64">
        <v>0.04</v>
      </c>
      <c r="K60" s="64">
        <v>237.13</v>
      </c>
      <c r="L60" s="64">
        <v>36.36</v>
      </c>
      <c r="M60" s="64">
        <v>24.13</v>
      </c>
      <c r="N60" s="214" t="s">
        <v>42</v>
      </c>
      <c r="O60" s="64">
        <v>0</v>
      </c>
      <c r="P60" s="64">
        <v>0.84</v>
      </c>
      <c r="Q60" s="64">
        <v>25.44</v>
      </c>
      <c r="R60" s="198"/>
      <c r="S60" s="198"/>
      <c r="T60" s="198"/>
      <c r="U60" s="198"/>
    </row>
    <row r="61" spans="1:21" s="12" customFormat="1" x14ac:dyDescent="0.25">
      <c r="A61" s="211" t="s">
        <v>3094</v>
      </c>
      <c r="B61" s="64">
        <v>1</v>
      </c>
      <c r="C61" s="64">
        <v>49.03</v>
      </c>
      <c r="D61" s="64">
        <v>28.51</v>
      </c>
      <c r="E61" s="64">
        <v>4.7</v>
      </c>
      <c r="F61" s="64">
        <v>20.5</v>
      </c>
      <c r="G61" s="64">
        <v>60.76</v>
      </c>
      <c r="H61" s="64">
        <v>29.63</v>
      </c>
      <c r="I61" s="64">
        <v>0.79</v>
      </c>
      <c r="J61" s="64">
        <v>0.42</v>
      </c>
      <c r="K61" s="64">
        <v>239.19</v>
      </c>
      <c r="L61" s="64">
        <v>37.17</v>
      </c>
      <c r="M61" s="64">
        <v>23.33</v>
      </c>
      <c r="N61" s="214" t="s">
        <v>42</v>
      </c>
      <c r="O61" s="64">
        <v>0</v>
      </c>
      <c r="P61" s="64">
        <v>0.81</v>
      </c>
      <c r="Q61" s="64">
        <v>24.91</v>
      </c>
      <c r="R61" s="198"/>
      <c r="S61" s="198"/>
      <c r="T61" s="198"/>
      <c r="U61" s="198"/>
    </row>
    <row r="62" spans="1:21" s="12" customFormat="1" x14ac:dyDescent="0.25">
      <c r="A62" s="211" t="s">
        <v>3095</v>
      </c>
      <c r="B62" s="64">
        <v>1.93</v>
      </c>
      <c r="C62" s="64">
        <v>46.49</v>
      </c>
      <c r="D62" s="64">
        <v>27.86</v>
      </c>
      <c r="E62" s="64">
        <v>3.62</v>
      </c>
      <c r="F62" s="64">
        <v>38.36</v>
      </c>
      <c r="G62" s="64">
        <v>60.76</v>
      </c>
      <c r="H62" s="64">
        <v>29.63</v>
      </c>
      <c r="I62" s="64">
        <v>0.57999999999999996</v>
      </c>
      <c r="J62" s="64">
        <v>0.31</v>
      </c>
      <c r="K62" s="64">
        <v>248.11</v>
      </c>
      <c r="L62" s="64">
        <v>37.840000000000003</v>
      </c>
      <c r="M62" s="64">
        <v>22.9</v>
      </c>
      <c r="N62" s="214" t="s">
        <v>42</v>
      </c>
      <c r="O62" s="64">
        <v>0</v>
      </c>
      <c r="P62" s="64">
        <v>0.8</v>
      </c>
      <c r="Q62" s="64">
        <v>24.49</v>
      </c>
      <c r="R62" s="198"/>
      <c r="S62" s="198"/>
      <c r="T62" s="198"/>
      <c r="U62" s="198"/>
    </row>
    <row r="63" spans="1:21" s="12" customFormat="1" x14ac:dyDescent="0.25">
      <c r="A63" s="211" t="s">
        <v>3096</v>
      </c>
      <c r="B63" s="64">
        <v>1.35</v>
      </c>
      <c r="C63" s="64">
        <v>43.36</v>
      </c>
      <c r="D63" s="64">
        <v>25.65</v>
      </c>
      <c r="E63" s="64">
        <v>4</v>
      </c>
      <c r="F63" s="64">
        <v>30.21</v>
      </c>
      <c r="G63" s="64">
        <v>59.26</v>
      </c>
      <c r="H63" s="64">
        <v>29.78</v>
      </c>
      <c r="I63" s="64">
        <v>0.63</v>
      </c>
      <c r="J63" s="64">
        <v>0.42</v>
      </c>
      <c r="K63" s="64">
        <v>240.31</v>
      </c>
      <c r="L63" s="64">
        <v>38.72</v>
      </c>
      <c r="M63" s="64">
        <v>22.12</v>
      </c>
      <c r="N63" s="214" t="s">
        <v>42</v>
      </c>
      <c r="O63" s="64">
        <v>0</v>
      </c>
      <c r="P63" s="64">
        <v>0.78</v>
      </c>
      <c r="Q63" s="64">
        <v>24.36</v>
      </c>
      <c r="R63" s="198"/>
      <c r="S63" s="198"/>
      <c r="T63" s="198"/>
      <c r="U63" s="198"/>
    </row>
    <row r="64" spans="1:21" s="12" customFormat="1" x14ac:dyDescent="0.25">
      <c r="A64" s="211" t="s">
        <v>3097</v>
      </c>
      <c r="B64" s="64">
        <v>1</v>
      </c>
      <c r="C64" s="64">
        <v>48.41</v>
      </c>
      <c r="D64" s="64">
        <v>28.16</v>
      </c>
      <c r="E64" s="64">
        <v>3.98</v>
      </c>
      <c r="F64" s="64">
        <v>12.78</v>
      </c>
      <c r="G64" s="64">
        <v>47.25</v>
      </c>
      <c r="H64" s="64">
        <v>30.76</v>
      </c>
      <c r="I64" s="64">
        <v>0.73</v>
      </c>
      <c r="J64" s="64">
        <v>0.23</v>
      </c>
      <c r="K64" s="64">
        <v>241.45</v>
      </c>
      <c r="L64" s="64">
        <v>37.700000000000003</v>
      </c>
      <c r="M64" s="64">
        <v>23.05</v>
      </c>
      <c r="N64" s="214" t="s">
        <v>42</v>
      </c>
      <c r="O64" s="64">
        <v>0</v>
      </c>
      <c r="P64" s="64">
        <v>0.76</v>
      </c>
      <c r="Q64" s="64">
        <v>24.07</v>
      </c>
      <c r="R64" s="198"/>
      <c r="S64" s="198"/>
      <c r="T64" s="198"/>
      <c r="U64" s="198"/>
    </row>
    <row r="65" spans="1:21" s="12" customFormat="1" x14ac:dyDescent="0.25">
      <c r="A65" s="211" t="s">
        <v>3098</v>
      </c>
      <c r="B65" s="64">
        <v>1</v>
      </c>
      <c r="C65" s="64">
        <v>48.32</v>
      </c>
      <c r="D65" s="64">
        <v>28.11</v>
      </c>
      <c r="E65" s="64">
        <v>2.78</v>
      </c>
      <c r="F65" s="64">
        <v>14.9</v>
      </c>
      <c r="G65" s="64">
        <v>47.25</v>
      </c>
      <c r="H65" s="64">
        <v>30.76</v>
      </c>
      <c r="I65" s="64">
        <v>0.65</v>
      </c>
      <c r="J65" s="64">
        <v>0.05</v>
      </c>
      <c r="K65" s="64">
        <v>24.02</v>
      </c>
      <c r="L65" s="64">
        <v>37.869999999999997</v>
      </c>
      <c r="M65" s="64">
        <v>21.08</v>
      </c>
      <c r="N65" s="214" t="s">
        <v>42</v>
      </c>
      <c r="O65" s="64">
        <v>0</v>
      </c>
      <c r="P65" s="64">
        <v>0.72</v>
      </c>
      <c r="Q65" s="64">
        <v>23.44</v>
      </c>
      <c r="R65" s="198"/>
      <c r="S65" s="198"/>
      <c r="T65" s="198"/>
      <c r="U65" s="198"/>
    </row>
    <row r="66" spans="1:21" s="12" customFormat="1" x14ac:dyDescent="0.25">
      <c r="A66" s="211" t="s">
        <v>3099</v>
      </c>
      <c r="B66" s="64">
        <v>1</v>
      </c>
      <c r="C66" s="64">
        <v>45.29</v>
      </c>
      <c r="D66" s="64">
        <v>26.44</v>
      </c>
      <c r="E66" s="64">
        <v>2.6</v>
      </c>
      <c r="F66" s="64">
        <v>15.64</v>
      </c>
      <c r="G66" s="64">
        <v>47.25</v>
      </c>
      <c r="H66" s="64">
        <v>30.76</v>
      </c>
      <c r="I66" s="64">
        <v>0.62</v>
      </c>
      <c r="J66" s="64">
        <v>0.05</v>
      </c>
      <c r="K66" s="64">
        <v>198.55</v>
      </c>
      <c r="L66" s="64">
        <v>37.630000000000003</v>
      </c>
      <c r="M66" s="64">
        <v>21.56</v>
      </c>
      <c r="N66" s="214" t="s">
        <v>42</v>
      </c>
      <c r="O66" s="64">
        <v>0</v>
      </c>
      <c r="P66" s="64">
        <v>0.67</v>
      </c>
      <c r="Q66" s="64">
        <v>23.2</v>
      </c>
      <c r="R66" s="198"/>
      <c r="S66" s="198"/>
      <c r="T66" s="198"/>
      <c r="U66" s="198"/>
    </row>
    <row r="67" spans="1:21" s="12" customFormat="1" x14ac:dyDescent="0.25">
      <c r="A67" s="211" t="s">
        <v>3100</v>
      </c>
      <c r="B67" s="64">
        <v>1</v>
      </c>
      <c r="C67" s="64">
        <v>47.01</v>
      </c>
      <c r="D67" s="64">
        <v>27.39</v>
      </c>
      <c r="E67" s="64">
        <v>2.41</v>
      </c>
      <c r="F67" s="64">
        <v>10.96</v>
      </c>
      <c r="G67" s="64">
        <v>46.82</v>
      </c>
      <c r="H67" s="64">
        <v>30.61</v>
      </c>
      <c r="I67" s="64">
        <v>0.65</v>
      </c>
      <c r="J67" s="64">
        <v>0.4</v>
      </c>
      <c r="K67" s="64">
        <v>240</v>
      </c>
      <c r="L67" s="64">
        <v>37.159999999999997</v>
      </c>
      <c r="M67" s="64">
        <v>21.84</v>
      </c>
      <c r="N67" s="214" t="s">
        <v>42</v>
      </c>
      <c r="O67" s="64">
        <v>0</v>
      </c>
      <c r="P67" s="64">
        <v>0.64</v>
      </c>
      <c r="Q67" s="64">
        <v>23.4</v>
      </c>
      <c r="R67" s="198"/>
      <c r="S67" s="198"/>
      <c r="T67" s="198"/>
      <c r="U67" s="198"/>
    </row>
    <row r="68" spans="1:21" s="12" customFormat="1" x14ac:dyDescent="0.25">
      <c r="A68" s="211" t="s">
        <v>3101</v>
      </c>
      <c r="B68" s="64">
        <v>1</v>
      </c>
      <c r="C68" s="64">
        <v>45.97</v>
      </c>
      <c r="D68" s="64">
        <v>26.82</v>
      </c>
      <c r="E68" s="64">
        <v>2.12</v>
      </c>
      <c r="F68" s="64">
        <v>13.73</v>
      </c>
      <c r="G68" s="64">
        <v>43.43</v>
      </c>
      <c r="H68" s="64">
        <v>29.64</v>
      </c>
      <c r="I68" s="64">
        <v>0.83</v>
      </c>
      <c r="J68" s="64">
        <v>0.38</v>
      </c>
      <c r="K68" s="64">
        <v>243.65</v>
      </c>
      <c r="L68" s="64">
        <v>37.880000000000003</v>
      </c>
      <c r="M68" s="64">
        <v>21.83</v>
      </c>
      <c r="N68" s="214" t="s">
        <v>42</v>
      </c>
      <c r="O68" s="64">
        <v>0</v>
      </c>
      <c r="P68" s="64">
        <v>0.6</v>
      </c>
      <c r="Q68" s="64">
        <v>23.51</v>
      </c>
      <c r="R68" s="198"/>
      <c r="S68" s="198"/>
      <c r="T68" s="198"/>
      <c r="U68" s="198"/>
    </row>
    <row r="69" spans="1:21" s="12" customFormat="1" x14ac:dyDescent="0.25">
      <c r="A69" s="211" t="s">
        <v>3102</v>
      </c>
      <c r="B69" s="64">
        <v>1</v>
      </c>
      <c r="C69" s="64">
        <v>47.41</v>
      </c>
      <c r="D69" s="64">
        <v>27.61</v>
      </c>
      <c r="E69" s="64">
        <v>2.2200000000000002</v>
      </c>
      <c r="F69" s="64">
        <v>12.93</v>
      </c>
      <c r="G69" s="64">
        <v>43.43</v>
      </c>
      <c r="H69" s="64">
        <v>29.64</v>
      </c>
      <c r="I69" s="64">
        <v>0.62</v>
      </c>
      <c r="J69" s="64">
        <v>0.26</v>
      </c>
      <c r="K69" s="64">
        <v>249.21</v>
      </c>
      <c r="L69" s="64">
        <v>38.01</v>
      </c>
      <c r="M69" s="64">
        <v>21.51</v>
      </c>
      <c r="N69" s="214" t="s">
        <v>42</v>
      </c>
      <c r="O69" s="64">
        <v>0</v>
      </c>
      <c r="P69" s="64">
        <v>0.57999999999999996</v>
      </c>
      <c r="Q69" s="64">
        <v>23.3</v>
      </c>
      <c r="R69" s="198"/>
      <c r="S69" s="198"/>
      <c r="T69" s="198"/>
      <c r="U69" s="198"/>
    </row>
    <row r="70" spans="1:21" s="12" customFormat="1" x14ac:dyDescent="0.25">
      <c r="A70" s="211" t="s">
        <v>3103</v>
      </c>
      <c r="B70" s="64">
        <v>1</v>
      </c>
      <c r="C70" s="64">
        <v>47.36</v>
      </c>
      <c r="D70" s="64">
        <v>27.59</v>
      </c>
      <c r="E70" s="64">
        <v>2.09</v>
      </c>
      <c r="F70" s="64">
        <v>12.9</v>
      </c>
      <c r="G70" s="64">
        <v>43.43</v>
      </c>
      <c r="H70" s="64">
        <v>29.64</v>
      </c>
      <c r="I70" s="64">
        <v>0.56000000000000005</v>
      </c>
      <c r="J70" s="64">
        <v>0.26</v>
      </c>
      <c r="K70" s="64">
        <v>242.5</v>
      </c>
      <c r="L70" s="64">
        <v>37.92</v>
      </c>
      <c r="M70" s="64">
        <v>21.67</v>
      </c>
      <c r="N70" s="214" t="s">
        <v>42</v>
      </c>
      <c r="O70" s="64">
        <v>0</v>
      </c>
      <c r="P70" s="64">
        <v>0.55000000000000004</v>
      </c>
      <c r="Q70" s="64">
        <v>23.02</v>
      </c>
      <c r="R70" s="198"/>
      <c r="S70" s="198"/>
      <c r="T70" s="198"/>
      <c r="U70" s="198"/>
    </row>
    <row r="71" spans="1:21" s="12" customFormat="1" x14ac:dyDescent="0.25">
      <c r="A71" s="211" t="s">
        <v>3104</v>
      </c>
      <c r="B71" s="64">
        <v>1.41</v>
      </c>
      <c r="C71" s="64">
        <v>46.61</v>
      </c>
      <c r="D71" s="64">
        <v>27.5</v>
      </c>
      <c r="E71" s="64">
        <v>2.1</v>
      </c>
      <c r="F71" s="64">
        <v>16.5</v>
      </c>
      <c r="G71" s="64">
        <v>42.68</v>
      </c>
      <c r="H71" s="64">
        <v>28.93</v>
      </c>
      <c r="I71" s="64">
        <v>0.56000000000000005</v>
      </c>
      <c r="J71" s="64">
        <v>0.02</v>
      </c>
      <c r="K71" s="64">
        <v>146.82</v>
      </c>
      <c r="L71" s="64">
        <v>36.950000000000003</v>
      </c>
      <c r="M71" s="64">
        <v>23.16</v>
      </c>
      <c r="N71" s="214" t="s">
        <v>42</v>
      </c>
      <c r="O71" s="64">
        <v>0</v>
      </c>
      <c r="P71" s="64">
        <v>0.53</v>
      </c>
      <c r="Q71" s="64">
        <v>23.58</v>
      </c>
      <c r="R71" s="198"/>
      <c r="S71" s="198"/>
      <c r="T71" s="198"/>
      <c r="U71" s="198"/>
    </row>
    <row r="72" spans="1:21" s="12" customFormat="1" x14ac:dyDescent="0.25">
      <c r="A72" s="211" t="s">
        <v>3105</v>
      </c>
      <c r="B72" s="64">
        <v>1</v>
      </c>
      <c r="C72" s="64">
        <v>40.909999999999997</v>
      </c>
      <c r="D72" s="64">
        <v>24.03</v>
      </c>
      <c r="E72" s="64">
        <v>2.67</v>
      </c>
      <c r="F72" s="64">
        <v>32.409999999999997</v>
      </c>
      <c r="G72" s="64">
        <v>36.659999999999997</v>
      </c>
      <c r="H72" s="64">
        <v>24.34</v>
      </c>
      <c r="I72" s="64">
        <v>0.55000000000000004</v>
      </c>
      <c r="J72" s="64">
        <v>0.05</v>
      </c>
      <c r="K72" s="64">
        <v>138.84</v>
      </c>
      <c r="L72" s="64">
        <v>36.5</v>
      </c>
      <c r="M72" s="64">
        <v>23.6</v>
      </c>
      <c r="N72" s="214" t="s">
        <v>42</v>
      </c>
      <c r="O72" s="64">
        <v>0</v>
      </c>
      <c r="P72" s="64">
        <v>0.52</v>
      </c>
      <c r="Q72" s="64">
        <v>23.95</v>
      </c>
      <c r="R72" s="198"/>
      <c r="S72" s="198"/>
      <c r="T72" s="198"/>
      <c r="U72" s="198"/>
    </row>
    <row r="73" spans="1:21" s="12" customFormat="1" x14ac:dyDescent="0.25">
      <c r="A73" s="211" t="s">
        <v>3106</v>
      </c>
      <c r="B73" s="64">
        <v>1.48</v>
      </c>
      <c r="C73" s="64">
        <v>45.69</v>
      </c>
      <c r="D73" s="64">
        <v>27.05</v>
      </c>
      <c r="E73" s="64">
        <v>3.62</v>
      </c>
      <c r="F73" s="64">
        <v>23.58</v>
      </c>
      <c r="G73" s="64">
        <v>36.659999999999997</v>
      </c>
      <c r="H73" s="64">
        <v>24.34</v>
      </c>
      <c r="I73" s="64">
        <v>0.53</v>
      </c>
      <c r="J73" s="64">
        <v>0.32</v>
      </c>
      <c r="K73" s="64">
        <v>243.67</v>
      </c>
      <c r="L73" s="64">
        <v>36.67</v>
      </c>
      <c r="M73" s="64">
        <v>24.5</v>
      </c>
      <c r="N73" s="214" t="s">
        <v>42</v>
      </c>
      <c r="O73" s="64">
        <v>0</v>
      </c>
      <c r="P73" s="64">
        <v>0.53</v>
      </c>
      <c r="Q73" s="64">
        <v>23.43</v>
      </c>
      <c r="R73" s="198"/>
      <c r="S73" s="198"/>
      <c r="T73" s="198"/>
      <c r="U73" s="198"/>
    </row>
    <row r="74" spans="1:21" s="12" customFormat="1" x14ac:dyDescent="0.25">
      <c r="A74" s="211" t="s">
        <v>3107</v>
      </c>
      <c r="B74" s="64">
        <v>1.35</v>
      </c>
      <c r="C74" s="64">
        <v>44.49</v>
      </c>
      <c r="D74" s="64">
        <v>26.28</v>
      </c>
      <c r="E74" s="64">
        <v>3.55</v>
      </c>
      <c r="F74" s="64">
        <v>26.25</v>
      </c>
      <c r="G74" s="64">
        <v>36.659999999999997</v>
      </c>
      <c r="H74" s="64">
        <v>24.34</v>
      </c>
      <c r="I74" s="64">
        <v>0.51</v>
      </c>
      <c r="J74" s="64">
        <v>0.16</v>
      </c>
      <c r="K74" s="64">
        <v>245.56</v>
      </c>
      <c r="L74" s="64">
        <v>36.630000000000003</v>
      </c>
      <c r="M74" s="64">
        <v>24.1</v>
      </c>
      <c r="N74" s="214" t="s">
        <v>42</v>
      </c>
      <c r="O74" s="64">
        <v>0</v>
      </c>
      <c r="P74" s="64">
        <v>0.52</v>
      </c>
      <c r="Q74" s="64">
        <v>22.96</v>
      </c>
      <c r="R74" s="198"/>
      <c r="S74" s="198"/>
      <c r="T74" s="198"/>
      <c r="U74" s="198"/>
    </row>
    <row r="75" spans="1:21" s="12" customFormat="1" x14ac:dyDescent="0.25">
      <c r="A75" s="211" t="s">
        <v>3108</v>
      </c>
      <c r="B75" s="64">
        <v>1.33</v>
      </c>
      <c r="C75" s="64">
        <v>45.56</v>
      </c>
      <c r="D75" s="64">
        <v>26.86</v>
      </c>
      <c r="E75" s="64">
        <v>4.71</v>
      </c>
      <c r="F75" s="64">
        <v>21.11</v>
      </c>
      <c r="G75" s="64">
        <v>36.799999999999997</v>
      </c>
      <c r="H75" s="64">
        <v>24.63</v>
      </c>
      <c r="I75" s="64">
        <v>0.55000000000000004</v>
      </c>
      <c r="J75" s="64">
        <v>0.14000000000000001</v>
      </c>
      <c r="K75" s="64">
        <v>241.71</v>
      </c>
      <c r="L75" s="64">
        <v>36.36</v>
      </c>
      <c r="M75" s="64">
        <v>24.15</v>
      </c>
      <c r="N75" s="214" t="s">
        <v>42</v>
      </c>
      <c r="O75" s="64">
        <v>0</v>
      </c>
      <c r="P75" s="64">
        <v>0.53</v>
      </c>
      <c r="Q75" s="64">
        <v>22.79</v>
      </c>
      <c r="R75" s="198"/>
      <c r="S75" s="198"/>
      <c r="T75" s="198"/>
      <c r="U75" s="198"/>
    </row>
    <row r="76" spans="1:21" s="12" customFormat="1" x14ac:dyDescent="0.25">
      <c r="A76" s="211" t="s">
        <v>3109</v>
      </c>
      <c r="B76" s="64">
        <v>1</v>
      </c>
      <c r="C76" s="64">
        <v>47.25</v>
      </c>
      <c r="D76" s="64">
        <v>27.52</v>
      </c>
      <c r="E76" s="64">
        <v>3.73</v>
      </c>
      <c r="F76" s="64">
        <v>13.6</v>
      </c>
      <c r="G76" s="64">
        <v>37.94</v>
      </c>
      <c r="H76" s="64">
        <v>26.49</v>
      </c>
      <c r="I76" s="64">
        <v>0.69</v>
      </c>
      <c r="J76" s="64">
        <v>0.16</v>
      </c>
      <c r="K76" s="64">
        <v>240.81</v>
      </c>
      <c r="L76" s="64">
        <v>36.479999999999997</v>
      </c>
      <c r="M76" s="64">
        <v>23.9</v>
      </c>
      <c r="N76" s="214" t="s">
        <v>42</v>
      </c>
      <c r="O76" s="64">
        <v>0</v>
      </c>
      <c r="P76" s="64">
        <v>0.52</v>
      </c>
      <c r="Q76" s="64">
        <v>22.23</v>
      </c>
      <c r="R76" s="198"/>
      <c r="S76" s="198"/>
      <c r="T76" s="198"/>
      <c r="U76" s="198"/>
    </row>
    <row r="77" spans="1:21" s="12" customFormat="1" x14ac:dyDescent="0.25">
      <c r="A77" s="211" t="s">
        <v>3110</v>
      </c>
      <c r="B77" s="64">
        <v>1</v>
      </c>
      <c r="C77" s="64">
        <v>49.58</v>
      </c>
      <c r="D77" s="64">
        <v>28.81</v>
      </c>
      <c r="E77" s="64">
        <v>3.56</v>
      </c>
      <c r="F77" s="64">
        <v>14.28</v>
      </c>
      <c r="G77" s="64">
        <v>37.94</v>
      </c>
      <c r="H77" s="64">
        <v>26.49</v>
      </c>
      <c r="I77" s="64">
        <v>0.7</v>
      </c>
      <c r="J77" s="64">
        <v>7.0000000000000007E-2</v>
      </c>
      <c r="K77" s="64">
        <v>234.08</v>
      </c>
      <c r="L77" s="64">
        <v>36.29</v>
      </c>
      <c r="M77" s="64">
        <v>23.56</v>
      </c>
      <c r="N77" s="214" t="s">
        <v>42</v>
      </c>
      <c r="O77" s="64">
        <v>0</v>
      </c>
      <c r="P77" s="64">
        <v>0.53</v>
      </c>
      <c r="Q77" s="64">
        <v>22.08</v>
      </c>
      <c r="R77" s="198"/>
      <c r="S77" s="198"/>
      <c r="T77" s="198"/>
      <c r="U77" s="198"/>
    </row>
    <row r="78" spans="1:21" s="12" customFormat="1" x14ac:dyDescent="0.25">
      <c r="A78" s="211" t="s">
        <v>3111</v>
      </c>
      <c r="B78" s="64">
        <v>1.66</v>
      </c>
      <c r="C78" s="64">
        <v>52.58</v>
      </c>
      <c r="D78" s="64">
        <v>30.99</v>
      </c>
      <c r="E78" s="64">
        <v>3.38</v>
      </c>
      <c r="F78" s="64">
        <v>13.76</v>
      </c>
      <c r="G78" s="64">
        <v>37.94</v>
      </c>
      <c r="H78" s="64">
        <v>26.49</v>
      </c>
      <c r="I78" s="64">
        <v>0.67</v>
      </c>
      <c r="J78" s="64">
        <v>0.16</v>
      </c>
      <c r="K78" s="64">
        <v>237.75</v>
      </c>
      <c r="L78" s="64">
        <v>36.07</v>
      </c>
      <c r="M78" s="64">
        <v>23.75</v>
      </c>
      <c r="N78" s="214" t="s">
        <v>42</v>
      </c>
      <c r="O78" s="64">
        <v>0</v>
      </c>
      <c r="P78" s="64">
        <v>0.54</v>
      </c>
      <c r="Q78" s="64">
        <v>22.2</v>
      </c>
      <c r="R78" s="198"/>
      <c r="S78" s="198"/>
      <c r="T78" s="198"/>
      <c r="U78" s="198"/>
    </row>
    <row r="79" spans="1:21" s="12" customFormat="1" x14ac:dyDescent="0.25">
      <c r="A79" s="211" t="s">
        <v>3112</v>
      </c>
      <c r="B79" s="64">
        <v>1.67</v>
      </c>
      <c r="C79" s="64">
        <v>56.24</v>
      </c>
      <c r="D79" s="64">
        <v>33.03</v>
      </c>
      <c r="E79" s="64">
        <v>2.88</v>
      </c>
      <c r="F79" s="64">
        <v>11.36</v>
      </c>
      <c r="G79" s="64">
        <v>38.72</v>
      </c>
      <c r="H79" s="64">
        <v>26.87</v>
      </c>
      <c r="I79" s="64">
        <v>0.62</v>
      </c>
      <c r="J79" s="64">
        <v>0.16</v>
      </c>
      <c r="K79" s="64">
        <v>258.88</v>
      </c>
      <c r="L79" s="64">
        <v>35.81</v>
      </c>
      <c r="M79" s="64">
        <v>23.97</v>
      </c>
      <c r="N79" s="214" t="s">
        <v>42</v>
      </c>
      <c r="O79" s="64">
        <v>0</v>
      </c>
      <c r="P79" s="64">
        <v>0.55000000000000004</v>
      </c>
      <c r="Q79" s="64">
        <v>22.55</v>
      </c>
      <c r="R79" s="198"/>
      <c r="S79" s="198"/>
      <c r="T79" s="198"/>
      <c r="U79" s="198"/>
    </row>
    <row r="80" spans="1:21" s="12" customFormat="1" x14ac:dyDescent="0.25">
      <c r="A80" s="211" t="s">
        <v>3113</v>
      </c>
      <c r="B80" s="64">
        <v>1.02</v>
      </c>
      <c r="C80" s="64">
        <v>56.12</v>
      </c>
      <c r="D80" s="64">
        <v>32.44</v>
      </c>
      <c r="E80" s="64">
        <v>3.03</v>
      </c>
      <c r="F80" s="64">
        <v>12.09</v>
      </c>
      <c r="G80" s="64">
        <v>45.72</v>
      </c>
      <c r="H80" s="64">
        <v>29.27</v>
      </c>
      <c r="I80" s="64">
        <v>0.69</v>
      </c>
      <c r="J80" s="64">
        <v>0.17</v>
      </c>
      <c r="K80" s="64">
        <v>215.5</v>
      </c>
      <c r="L80" s="64">
        <v>35.58</v>
      </c>
      <c r="M80" s="64">
        <v>24.07</v>
      </c>
      <c r="N80" s="214" t="s">
        <v>42</v>
      </c>
      <c r="O80" s="64">
        <v>0</v>
      </c>
      <c r="P80" s="64">
        <v>0.56000000000000005</v>
      </c>
      <c r="Q80" s="64">
        <v>22.59</v>
      </c>
      <c r="R80" s="198"/>
      <c r="S80" s="198"/>
      <c r="T80" s="198"/>
      <c r="U80" s="198"/>
    </row>
    <row r="81" spans="1:26" s="12" customFormat="1" x14ac:dyDescent="0.25">
      <c r="A81" s="211" t="s">
        <v>3114</v>
      </c>
      <c r="B81" s="64">
        <v>1.21</v>
      </c>
      <c r="C81" s="64">
        <v>57.5</v>
      </c>
      <c r="D81" s="64">
        <v>33.35</v>
      </c>
      <c r="E81" s="64">
        <v>2.5499999999999998</v>
      </c>
      <c r="F81" s="64">
        <v>10.39</v>
      </c>
      <c r="G81" s="64">
        <v>45.72</v>
      </c>
      <c r="H81" s="64">
        <v>29.27</v>
      </c>
      <c r="I81" s="64">
        <v>0.56000000000000005</v>
      </c>
      <c r="J81" s="64">
        <v>0.38</v>
      </c>
      <c r="K81" s="64">
        <v>248.29</v>
      </c>
      <c r="L81" s="64">
        <v>35.090000000000003</v>
      </c>
      <c r="M81" s="64">
        <v>24.81</v>
      </c>
      <c r="N81" s="214" t="s">
        <v>42</v>
      </c>
      <c r="O81" s="64">
        <v>0</v>
      </c>
      <c r="P81" s="64">
        <v>0.59</v>
      </c>
      <c r="Q81" s="64">
        <v>22.78</v>
      </c>
      <c r="R81" s="198"/>
      <c r="S81" s="198"/>
      <c r="T81" s="198"/>
      <c r="U81" s="198"/>
    </row>
    <row r="82" spans="1:26" s="12" customFormat="1" x14ac:dyDescent="0.25">
      <c r="A82" s="211" t="s">
        <v>3115</v>
      </c>
      <c r="B82" s="64">
        <v>1.82</v>
      </c>
      <c r="C82" s="64">
        <v>55.7</v>
      </c>
      <c r="D82" s="64">
        <v>32.840000000000003</v>
      </c>
      <c r="E82" s="64">
        <v>2.37</v>
      </c>
      <c r="F82" s="64">
        <v>14.95</v>
      </c>
      <c r="G82" s="64">
        <v>45.72</v>
      </c>
      <c r="H82" s="64">
        <v>29.27</v>
      </c>
      <c r="I82" s="64">
        <v>0.56000000000000005</v>
      </c>
      <c r="J82" s="64">
        <v>0.41</v>
      </c>
      <c r="K82" s="64">
        <v>246.66</v>
      </c>
      <c r="L82" s="64">
        <v>34.520000000000003</v>
      </c>
      <c r="M82" s="64">
        <v>24.97</v>
      </c>
      <c r="N82" s="214" t="s">
        <v>42</v>
      </c>
      <c r="O82" s="64">
        <v>0</v>
      </c>
      <c r="P82" s="64">
        <v>0.6</v>
      </c>
      <c r="Q82" s="64">
        <v>22.75</v>
      </c>
      <c r="R82" s="198"/>
      <c r="S82" s="198"/>
      <c r="T82" s="198"/>
      <c r="U82" s="198"/>
    </row>
    <row r="83" spans="1:26" s="12" customFormat="1" x14ac:dyDescent="0.25">
      <c r="A83" s="211" t="s">
        <v>3116</v>
      </c>
      <c r="B83" s="64">
        <v>11.31</v>
      </c>
      <c r="C83" s="64">
        <v>57.42</v>
      </c>
      <c r="D83" s="64">
        <v>41.4</v>
      </c>
      <c r="E83" s="64">
        <v>3.37</v>
      </c>
      <c r="F83" s="64">
        <v>10.01</v>
      </c>
      <c r="G83" s="64">
        <v>45.6</v>
      </c>
      <c r="H83" s="64">
        <v>28.62</v>
      </c>
      <c r="I83" s="64">
        <v>0.62</v>
      </c>
      <c r="J83" s="64">
        <v>0.36</v>
      </c>
      <c r="K83" s="64">
        <v>244.65</v>
      </c>
      <c r="L83" s="64">
        <v>34.15</v>
      </c>
      <c r="M83" s="64">
        <v>24.85</v>
      </c>
      <c r="N83" s="214" t="s">
        <v>42</v>
      </c>
      <c r="O83" s="64">
        <v>0</v>
      </c>
      <c r="P83" s="64">
        <v>0.6</v>
      </c>
      <c r="Q83" s="64">
        <v>22.85</v>
      </c>
      <c r="R83" s="198"/>
      <c r="S83" s="198"/>
      <c r="T83" s="198"/>
      <c r="U83" s="198"/>
    </row>
    <row r="84" spans="1:26" s="12" customFormat="1" x14ac:dyDescent="0.25">
      <c r="A84" s="211" t="s">
        <v>3117</v>
      </c>
      <c r="B84" s="64">
        <v>5.87</v>
      </c>
      <c r="C84" s="64">
        <v>53.09</v>
      </c>
      <c r="D84" s="64">
        <v>34.65</v>
      </c>
      <c r="E84" s="64">
        <v>3.39</v>
      </c>
      <c r="F84" s="64">
        <v>24.73</v>
      </c>
      <c r="G84" s="64">
        <v>44.71</v>
      </c>
      <c r="H84" s="64">
        <v>24.44</v>
      </c>
      <c r="I84" s="64">
        <v>0.71</v>
      </c>
      <c r="J84" s="64">
        <v>0.1</v>
      </c>
      <c r="K84" s="64">
        <v>253.72</v>
      </c>
      <c r="L84" s="64">
        <v>33.869999999999997</v>
      </c>
      <c r="M84" s="64">
        <v>25.03</v>
      </c>
      <c r="N84" s="214" t="s">
        <v>42</v>
      </c>
      <c r="O84" s="64">
        <v>0</v>
      </c>
      <c r="P84" s="64">
        <v>0.6</v>
      </c>
      <c r="Q84" s="64">
        <v>22.49</v>
      </c>
      <c r="R84" s="198"/>
      <c r="S84" s="198"/>
      <c r="T84" s="198"/>
      <c r="U84" s="198"/>
    </row>
    <row r="85" spans="1:26" s="12" customFormat="1" x14ac:dyDescent="0.25">
      <c r="A85" s="211" t="s">
        <v>3118</v>
      </c>
      <c r="B85" s="64">
        <v>6.56</v>
      </c>
      <c r="C85" s="64">
        <v>46.78</v>
      </c>
      <c r="D85" s="64">
        <v>31.72</v>
      </c>
      <c r="E85" s="64">
        <v>4.67</v>
      </c>
      <c r="F85" s="64">
        <v>35.090000000000003</v>
      </c>
      <c r="G85" s="64">
        <v>44.71</v>
      </c>
      <c r="H85" s="64">
        <v>24.44</v>
      </c>
      <c r="I85" s="64">
        <v>0.69</v>
      </c>
      <c r="J85" s="64">
        <v>0.02</v>
      </c>
      <c r="K85" s="64">
        <v>276.70999999999998</v>
      </c>
      <c r="L85" s="64">
        <v>33.53</v>
      </c>
      <c r="M85" s="64">
        <v>25.68</v>
      </c>
      <c r="N85" s="214" t="s">
        <v>42</v>
      </c>
      <c r="O85" s="64">
        <v>0</v>
      </c>
      <c r="P85" s="64">
        <v>0.6</v>
      </c>
      <c r="Q85" s="64">
        <v>21.6</v>
      </c>
      <c r="R85" s="198"/>
      <c r="S85" s="198"/>
      <c r="T85" s="198"/>
      <c r="U85" s="198"/>
    </row>
    <row r="86" spans="1:26" s="12" customFormat="1" x14ac:dyDescent="0.25">
      <c r="A86" s="211" t="s">
        <v>3119</v>
      </c>
      <c r="B86" s="64">
        <v>8.2899999999999991</v>
      </c>
      <c r="C86" s="64">
        <v>55.49</v>
      </c>
      <c r="D86" s="64">
        <v>37.92</v>
      </c>
      <c r="E86" s="64">
        <v>6.8</v>
      </c>
      <c r="F86" s="64">
        <v>37.03</v>
      </c>
      <c r="G86" s="64">
        <v>44.71</v>
      </c>
      <c r="H86" s="64">
        <v>24.44</v>
      </c>
      <c r="I86" s="64">
        <v>0.54</v>
      </c>
      <c r="J86" s="64">
        <v>0.13</v>
      </c>
      <c r="K86" s="64">
        <v>251.92</v>
      </c>
      <c r="L86" s="64">
        <v>33.24</v>
      </c>
      <c r="M86" s="64">
        <v>26.65</v>
      </c>
      <c r="N86" s="214" t="s">
        <v>42</v>
      </c>
      <c r="O86" s="64">
        <v>0</v>
      </c>
      <c r="P86" s="64">
        <v>0.64</v>
      </c>
      <c r="Q86" s="64">
        <v>21.69</v>
      </c>
      <c r="R86" s="198"/>
      <c r="S86" s="198"/>
      <c r="T86" s="198"/>
      <c r="U86" s="198"/>
    </row>
    <row r="87" spans="1:26" s="12" customFormat="1" x14ac:dyDescent="0.25">
      <c r="A87" s="211" t="s">
        <v>3120</v>
      </c>
      <c r="B87" s="64">
        <v>5.89</v>
      </c>
      <c r="C87" s="64">
        <v>56.73</v>
      </c>
      <c r="D87" s="64">
        <v>36.67</v>
      </c>
      <c r="E87" s="64">
        <v>6.83</v>
      </c>
      <c r="F87" s="64">
        <v>18.89</v>
      </c>
      <c r="G87" s="64">
        <v>45.86</v>
      </c>
      <c r="H87" s="64">
        <v>24.74</v>
      </c>
      <c r="I87" s="64">
        <v>0.56999999999999995</v>
      </c>
      <c r="J87" s="64">
        <v>0.03</v>
      </c>
      <c r="K87" s="64">
        <v>283.85000000000002</v>
      </c>
      <c r="L87" s="64">
        <v>32.79</v>
      </c>
      <c r="M87" s="64">
        <v>28.28</v>
      </c>
      <c r="N87" s="214" t="s">
        <v>42</v>
      </c>
      <c r="O87" s="64">
        <v>0</v>
      </c>
      <c r="P87" s="64">
        <v>0.69</v>
      </c>
      <c r="Q87" s="64">
        <v>21.37</v>
      </c>
      <c r="R87" s="198"/>
      <c r="S87" s="198"/>
      <c r="T87" s="198"/>
      <c r="U87" s="198"/>
    </row>
    <row r="88" spans="1:26" s="12" customFormat="1" x14ac:dyDescent="0.25">
      <c r="A88" s="211" t="s">
        <v>3121</v>
      </c>
      <c r="B88" s="64">
        <v>6.35</v>
      </c>
      <c r="C88" s="64">
        <v>60.38</v>
      </c>
      <c r="D88" s="64">
        <v>39.06</v>
      </c>
      <c r="E88" s="64">
        <v>2.13</v>
      </c>
      <c r="F88" s="64">
        <v>10.42</v>
      </c>
      <c r="G88" s="64">
        <v>55.04</v>
      </c>
      <c r="H88" s="64">
        <v>26.7</v>
      </c>
      <c r="I88" s="64">
        <v>0.7</v>
      </c>
      <c r="J88" s="64">
        <v>0.09</v>
      </c>
      <c r="K88" s="64">
        <v>251.76</v>
      </c>
      <c r="L88" s="64">
        <v>32.5</v>
      </c>
      <c r="M88" s="64">
        <v>29.07</v>
      </c>
      <c r="N88" s="214" t="s">
        <v>42</v>
      </c>
      <c r="O88" s="64">
        <v>0</v>
      </c>
      <c r="P88" s="64">
        <v>0.79</v>
      </c>
      <c r="Q88" s="64">
        <v>21.46</v>
      </c>
      <c r="R88" s="198"/>
      <c r="S88" s="198"/>
      <c r="T88" s="198"/>
      <c r="U88" s="198"/>
    </row>
    <row r="89" spans="1:26" s="12" customFormat="1" x14ac:dyDescent="0.25">
      <c r="A89" s="211" t="s">
        <v>3122</v>
      </c>
      <c r="B89" s="64">
        <v>6.72</v>
      </c>
      <c r="C89" s="64">
        <v>65.14</v>
      </c>
      <c r="D89" s="64">
        <v>41.99</v>
      </c>
      <c r="E89" s="64">
        <v>2.72</v>
      </c>
      <c r="F89" s="64">
        <v>8.02</v>
      </c>
      <c r="G89" s="64">
        <v>55.04</v>
      </c>
      <c r="H89" s="64">
        <v>26.7</v>
      </c>
      <c r="I89" s="64">
        <v>0.63</v>
      </c>
      <c r="J89" s="64">
        <v>0.16</v>
      </c>
      <c r="K89" s="64">
        <v>246.85</v>
      </c>
      <c r="L89" s="64">
        <v>32.119999999999997</v>
      </c>
      <c r="M89" s="64">
        <v>29.62</v>
      </c>
      <c r="N89" s="214" t="s">
        <v>42</v>
      </c>
      <c r="O89" s="64">
        <v>0</v>
      </c>
      <c r="P89" s="64">
        <v>0.86</v>
      </c>
      <c r="Q89" s="64">
        <v>21.29</v>
      </c>
      <c r="R89" s="198"/>
      <c r="S89" s="198"/>
      <c r="T89" s="198"/>
      <c r="U89" s="198"/>
    </row>
    <row r="90" spans="1:26" s="12" customFormat="1" x14ac:dyDescent="0.25">
      <c r="A90" s="211" t="s">
        <v>3123</v>
      </c>
      <c r="B90" s="64">
        <v>7.87</v>
      </c>
      <c r="C90" s="64">
        <v>63.3</v>
      </c>
      <c r="D90" s="64">
        <v>41.89</v>
      </c>
      <c r="E90" s="64">
        <v>2.36</v>
      </c>
      <c r="F90" s="64">
        <v>9.08</v>
      </c>
      <c r="G90" s="64">
        <v>55.04</v>
      </c>
      <c r="H90" s="64">
        <v>26.7</v>
      </c>
      <c r="I90" s="64">
        <v>0.75</v>
      </c>
      <c r="J90" s="64">
        <v>0.17</v>
      </c>
      <c r="K90" s="64">
        <v>245.6</v>
      </c>
      <c r="L90" s="64">
        <v>31.81</v>
      </c>
      <c r="M90" s="64">
        <v>29.97</v>
      </c>
      <c r="N90" s="214" t="s">
        <v>42</v>
      </c>
      <c r="O90" s="64">
        <v>0</v>
      </c>
      <c r="P90" s="64">
        <v>0.93</v>
      </c>
      <c r="Q90" s="64">
        <v>21.89</v>
      </c>
      <c r="R90" s="198"/>
      <c r="S90" s="198"/>
      <c r="T90" s="198"/>
      <c r="U90" s="198"/>
    </row>
    <row r="91" spans="1:26" s="12" customFormat="1" x14ac:dyDescent="0.25">
      <c r="A91" s="211" t="s">
        <v>3124</v>
      </c>
      <c r="B91" s="64">
        <v>17.03</v>
      </c>
      <c r="C91" s="64">
        <v>69.510000000000005</v>
      </c>
      <c r="D91" s="64">
        <v>52.66</v>
      </c>
      <c r="E91" s="64">
        <v>2.17</v>
      </c>
      <c r="F91" s="64">
        <v>8.3000000000000007</v>
      </c>
      <c r="G91" s="64">
        <v>56.26</v>
      </c>
      <c r="H91" s="64">
        <v>27.13</v>
      </c>
      <c r="I91" s="64">
        <v>0.7</v>
      </c>
      <c r="J91" s="64">
        <v>0.23</v>
      </c>
      <c r="K91" s="64">
        <v>246.73</v>
      </c>
      <c r="L91" s="64">
        <v>31.08</v>
      </c>
      <c r="M91" s="64">
        <v>30.61</v>
      </c>
      <c r="N91" s="214" t="s">
        <v>42</v>
      </c>
      <c r="O91" s="64">
        <v>0</v>
      </c>
      <c r="P91" s="64">
        <v>0.99</v>
      </c>
      <c r="Q91" s="64">
        <v>21.03</v>
      </c>
      <c r="R91" s="198"/>
      <c r="S91" s="198"/>
      <c r="T91" s="198"/>
      <c r="U91" s="198"/>
    </row>
    <row r="92" spans="1:26" s="12" customFormat="1" x14ac:dyDescent="0.25">
      <c r="A92" s="211" t="s">
        <v>3125</v>
      </c>
      <c r="B92" s="64">
        <v>13.64</v>
      </c>
      <c r="C92" s="64">
        <v>68.03</v>
      </c>
      <c r="D92" s="64">
        <v>49.12</v>
      </c>
      <c r="E92" s="64">
        <v>1.91</v>
      </c>
      <c r="F92" s="64">
        <v>9.2200000000000006</v>
      </c>
      <c r="G92" s="64">
        <v>66.06</v>
      </c>
      <c r="H92" s="64">
        <v>29.91</v>
      </c>
      <c r="I92" s="64">
        <v>0.62</v>
      </c>
      <c r="J92" s="64">
        <v>0.17</v>
      </c>
      <c r="K92" s="64">
        <v>237.09</v>
      </c>
      <c r="L92" s="64">
        <v>30.77</v>
      </c>
      <c r="M92" s="64">
        <v>30.94</v>
      </c>
      <c r="N92" s="214" t="s">
        <v>42</v>
      </c>
      <c r="O92" s="64">
        <v>0</v>
      </c>
      <c r="P92" s="64">
        <v>1.04</v>
      </c>
      <c r="Q92" s="64">
        <v>21.55</v>
      </c>
      <c r="R92" s="198"/>
      <c r="S92" s="198"/>
      <c r="T92" s="198"/>
      <c r="U92" s="198"/>
    </row>
    <row r="93" spans="1:26" s="12" customFormat="1" x14ac:dyDescent="0.25">
      <c r="A93" s="211" t="s">
        <v>3126</v>
      </c>
      <c r="B93" s="64">
        <v>9.06</v>
      </c>
      <c r="C93" s="64">
        <v>70.62</v>
      </c>
      <c r="D93" s="64">
        <v>46.88</v>
      </c>
      <c r="E93" s="64">
        <v>2.23</v>
      </c>
      <c r="F93" s="64">
        <v>10.18</v>
      </c>
      <c r="G93" s="64">
        <v>66.06</v>
      </c>
      <c r="H93" s="64">
        <v>29.91</v>
      </c>
      <c r="I93" s="64">
        <v>0.62</v>
      </c>
      <c r="J93" s="64">
        <v>0.45</v>
      </c>
      <c r="K93" s="64">
        <v>109.55</v>
      </c>
      <c r="L93" s="64">
        <v>30.77</v>
      </c>
      <c r="M93" s="64">
        <v>30.63</v>
      </c>
      <c r="N93" s="214" t="s">
        <v>42</v>
      </c>
      <c r="O93" s="64">
        <v>0</v>
      </c>
      <c r="P93" s="64">
        <v>1.1100000000000001</v>
      </c>
      <c r="Q93" s="64">
        <v>22.63</v>
      </c>
      <c r="R93" s="198"/>
      <c r="S93" s="198"/>
      <c r="T93" s="198"/>
      <c r="U93" s="198"/>
    </row>
    <row r="94" spans="1:26" s="12" customFormat="1" x14ac:dyDescent="0.25">
      <c r="A94" s="211" t="s">
        <v>3127</v>
      </c>
      <c r="B94" s="64">
        <v>15.7</v>
      </c>
      <c r="C94" s="64">
        <v>67.819999999999993</v>
      </c>
      <c r="D94" s="64">
        <v>50.67</v>
      </c>
      <c r="E94" s="64">
        <v>2.57</v>
      </c>
      <c r="F94" s="64">
        <v>12.38</v>
      </c>
      <c r="G94" s="64">
        <v>66.06</v>
      </c>
      <c r="H94" s="64">
        <v>29.91</v>
      </c>
      <c r="I94" s="64">
        <v>0.64</v>
      </c>
      <c r="J94" s="64">
        <v>1.25</v>
      </c>
      <c r="K94" s="64">
        <v>112.92</v>
      </c>
      <c r="L94" s="64">
        <v>31.59</v>
      </c>
      <c r="M94" s="64">
        <v>30.45</v>
      </c>
      <c r="N94" s="214" t="s">
        <v>42</v>
      </c>
      <c r="O94" s="64">
        <v>0</v>
      </c>
      <c r="P94" s="64">
        <v>1.07</v>
      </c>
      <c r="Q94" s="64">
        <v>23.34</v>
      </c>
      <c r="R94" s="198"/>
      <c r="S94" s="198"/>
      <c r="T94" s="198"/>
      <c r="U94" s="198"/>
    </row>
    <row r="95" spans="1:26" s="12" customFormat="1" x14ac:dyDescent="0.25">
      <c r="A95" s="211" t="s">
        <v>3128</v>
      </c>
      <c r="B95" s="64">
        <v>35.770000000000003</v>
      </c>
      <c r="C95" s="64">
        <v>74.989999999999995</v>
      </c>
      <c r="D95" s="64">
        <v>70.709999999999994</v>
      </c>
      <c r="E95" s="64">
        <v>4.55</v>
      </c>
      <c r="F95" s="64">
        <v>15.31</v>
      </c>
      <c r="G95" s="64">
        <v>65.739999999999995</v>
      </c>
      <c r="H95" s="64">
        <v>30.27</v>
      </c>
      <c r="I95" s="64">
        <v>0.78</v>
      </c>
      <c r="J95" s="64">
        <v>0.91</v>
      </c>
      <c r="K95" s="64">
        <v>122.27</v>
      </c>
      <c r="L95" s="64">
        <v>31.21</v>
      </c>
      <c r="M95" s="64">
        <v>31.62</v>
      </c>
      <c r="N95" s="214" t="s">
        <v>42</v>
      </c>
      <c r="O95" s="64">
        <v>0</v>
      </c>
      <c r="P95" s="64">
        <v>1.07</v>
      </c>
      <c r="Q95" s="64">
        <v>19.059999999999999</v>
      </c>
      <c r="R95" s="198"/>
      <c r="S95" s="198"/>
      <c r="T95" s="198"/>
      <c r="U95" s="198"/>
    </row>
    <row r="96" spans="1:26" s="12" customFormat="1" x14ac:dyDescent="0.25">
      <c r="A96" s="211" t="s">
        <v>3129</v>
      </c>
      <c r="B96" s="64">
        <v>9.48</v>
      </c>
      <c r="C96" s="64">
        <v>72.78</v>
      </c>
      <c r="D96" s="64">
        <v>48.41</v>
      </c>
      <c r="E96" s="64">
        <v>8.33</v>
      </c>
      <c r="F96" s="64">
        <v>22.78</v>
      </c>
      <c r="G96" s="64">
        <v>63.15</v>
      </c>
      <c r="H96" s="64">
        <v>32.6</v>
      </c>
      <c r="I96" s="64">
        <v>0.71</v>
      </c>
      <c r="J96" s="64">
        <v>0.24</v>
      </c>
      <c r="K96" s="64">
        <v>174.03</v>
      </c>
      <c r="L96" s="64">
        <v>31.07</v>
      </c>
      <c r="M96" s="64">
        <v>31.6</v>
      </c>
      <c r="N96" s="214" t="s">
        <v>42</v>
      </c>
      <c r="O96" s="64">
        <v>0</v>
      </c>
      <c r="P96" s="64">
        <v>1.06</v>
      </c>
      <c r="Q96" s="64">
        <v>25.02</v>
      </c>
      <c r="R96" s="198"/>
      <c r="S96" s="198"/>
      <c r="T96" s="210"/>
      <c r="U96" s="198"/>
      <c r="Z96" s="109"/>
    </row>
    <row r="97" spans="1:33" s="12" customFormat="1" x14ac:dyDescent="0.25">
      <c r="A97" s="211" t="s">
        <v>3130</v>
      </c>
      <c r="B97" s="64">
        <v>4.6399999999999997</v>
      </c>
      <c r="C97" s="64">
        <v>48.67</v>
      </c>
      <c r="D97" s="64">
        <v>31.22</v>
      </c>
      <c r="E97" s="64">
        <v>7.11</v>
      </c>
      <c r="F97" s="64">
        <v>34.36</v>
      </c>
      <c r="G97" s="64">
        <v>63.15</v>
      </c>
      <c r="H97" s="64">
        <v>32.6</v>
      </c>
      <c r="I97" s="64">
        <v>0.71</v>
      </c>
      <c r="J97" s="64">
        <v>0.34</v>
      </c>
      <c r="K97" s="64">
        <v>139.65</v>
      </c>
      <c r="L97" s="64">
        <v>30.2</v>
      </c>
      <c r="M97" s="64">
        <v>35.770000000000003</v>
      </c>
      <c r="N97" s="214" t="s">
        <v>42</v>
      </c>
      <c r="O97" s="64">
        <v>0</v>
      </c>
      <c r="P97" s="64">
        <v>1.06</v>
      </c>
      <c r="Q97" s="64">
        <v>26.29</v>
      </c>
      <c r="R97" s="198"/>
      <c r="S97" s="198"/>
      <c r="T97" s="198"/>
      <c r="U97" s="198"/>
    </row>
    <row r="98" spans="1:33" s="12" customFormat="1" x14ac:dyDescent="0.25">
      <c r="A98" s="211" t="s">
        <v>3131</v>
      </c>
      <c r="B98" s="64">
        <v>3.9</v>
      </c>
      <c r="C98" s="64">
        <v>43.87</v>
      </c>
      <c r="D98" s="64">
        <v>27.99</v>
      </c>
      <c r="E98" s="64">
        <v>5.69</v>
      </c>
      <c r="F98" s="64">
        <v>34.92</v>
      </c>
      <c r="G98" s="64">
        <v>63.15</v>
      </c>
      <c r="H98" s="64">
        <v>32.6</v>
      </c>
      <c r="I98" s="64">
        <v>0.62</v>
      </c>
      <c r="J98" s="64">
        <v>0.39</v>
      </c>
      <c r="K98" s="64">
        <v>142.53</v>
      </c>
      <c r="L98" s="64">
        <v>29.48</v>
      </c>
      <c r="M98" s="64">
        <v>38.57</v>
      </c>
      <c r="N98" s="214" t="s">
        <v>42</v>
      </c>
      <c r="O98" s="64">
        <v>0</v>
      </c>
      <c r="P98" s="64">
        <v>1.04</v>
      </c>
      <c r="Q98" s="64">
        <v>28.03</v>
      </c>
      <c r="R98" s="198"/>
      <c r="S98" s="198"/>
      <c r="T98" s="198"/>
      <c r="U98" s="198"/>
    </row>
    <row r="99" spans="1:33" s="12" customFormat="1" x14ac:dyDescent="0.25">
      <c r="A99" s="211" t="s">
        <v>3132</v>
      </c>
      <c r="B99" s="64">
        <v>8.32</v>
      </c>
      <c r="C99" s="64">
        <v>56.01</v>
      </c>
      <c r="D99" s="64">
        <v>38.229999999999997</v>
      </c>
      <c r="E99" s="64">
        <v>3.69</v>
      </c>
      <c r="F99" s="64">
        <v>6.21</v>
      </c>
      <c r="G99" s="64">
        <v>62.48</v>
      </c>
      <c r="H99" s="64">
        <v>32.380000000000003</v>
      </c>
      <c r="I99" s="64">
        <v>0.67</v>
      </c>
      <c r="J99" s="64">
        <v>0.78</v>
      </c>
      <c r="K99" s="64">
        <v>180.16</v>
      </c>
      <c r="L99" s="64">
        <v>29.55</v>
      </c>
      <c r="M99" s="64">
        <v>39.78</v>
      </c>
      <c r="N99" s="214" t="s">
        <v>42</v>
      </c>
      <c r="O99" s="64">
        <v>0</v>
      </c>
      <c r="P99" s="64">
        <v>1</v>
      </c>
      <c r="Q99" s="64">
        <v>26.93</v>
      </c>
      <c r="R99" s="198"/>
      <c r="S99" s="198"/>
      <c r="T99" s="198"/>
      <c r="U99" s="198"/>
    </row>
    <row r="100" spans="1:33" s="12" customFormat="1" x14ac:dyDescent="0.25">
      <c r="A100" s="211" t="s">
        <v>3133</v>
      </c>
      <c r="B100" s="64">
        <v>6.84</v>
      </c>
      <c r="C100" s="64">
        <v>57.96</v>
      </c>
      <c r="D100" s="64">
        <v>38.119999999999997</v>
      </c>
      <c r="E100" s="64">
        <v>2.21</v>
      </c>
      <c r="F100" s="64">
        <v>6.26</v>
      </c>
      <c r="G100" s="64">
        <v>57.17</v>
      </c>
      <c r="H100" s="64">
        <v>30.68</v>
      </c>
      <c r="I100" s="64">
        <v>0.56999999999999995</v>
      </c>
      <c r="J100" s="64">
        <v>1.19</v>
      </c>
      <c r="K100" s="64">
        <v>172.79</v>
      </c>
      <c r="L100" s="64">
        <v>28.83</v>
      </c>
      <c r="M100" s="64">
        <v>41.13</v>
      </c>
      <c r="N100" s="214" t="s">
        <v>42</v>
      </c>
      <c r="O100" s="64">
        <v>0</v>
      </c>
      <c r="P100" s="64">
        <v>0.95</v>
      </c>
      <c r="Q100" s="64">
        <v>25.73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3134</v>
      </c>
      <c r="B101" s="64">
        <v>4.78</v>
      </c>
      <c r="C101" s="64">
        <v>58.24</v>
      </c>
      <c r="D101" s="64">
        <v>36.619999999999997</v>
      </c>
      <c r="E101" s="64">
        <v>1.83</v>
      </c>
      <c r="F101" s="64">
        <v>5.37</v>
      </c>
      <c r="G101" s="64">
        <v>57.17</v>
      </c>
      <c r="H101" s="64">
        <v>30.68</v>
      </c>
      <c r="I101" s="64">
        <v>0.89</v>
      </c>
      <c r="J101" s="64">
        <v>0.64</v>
      </c>
      <c r="K101" s="64">
        <v>168.03</v>
      </c>
      <c r="L101" s="64">
        <v>28.53</v>
      </c>
      <c r="M101" s="64">
        <v>42.64</v>
      </c>
      <c r="N101" s="214" t="s">
        <v>42</v>
      </c>
      <c r="O101" s="64">
        <v>0</v>
      </c>
      <c r="P101" s="64">
        <v>0.91</v>
      </c>
      <c r="Q101" s="64">
        <v>25.54</v>
      </c>
      <c r="R101" s="198"/>
      <c r="S101" s="198"/>
      <c r="T101" s="198"/>
      <c r="U101" s="198"/>
    </row>
    <row r="102" spans="1:33" s="12" customFormat="1" x14ac:dyDescent="0.25">
      <c r="A102" s="211" t="s">
        <v>3135</v>
      </c>
      <c r="B102" s="64">
        <v>2.86</v>
      </c>
      <c r="C102" s="64">
        <v>53.65</v>
      </c>
      <c r="D102" s="64">
        <v>32.549999999999997</v>
      </c>
      <c r="E102" s="64">
        <v>1.34</v>
      </c>
      <c r="F102" s="64">
        <v>6.62</v>
      </c>
      <c r="G102" s="64">
        <v>57.17</v>
      </c>
      <c r="H102" s="64">
        <v>30.68</v>
      </c>
      <c r="I102" s="64">
        <v>0.67</v>
      </c>
      <c r="J102" s="64">
        <v>0.28000000000000003</v>
      </c>
      <c r="K102" s="64">
        <v>154.96</v>
      </c>
      <c r="L102" s="64">
        <v>28.21</v>
      </c>
      <c r="M102" s="64">
        <v>43.79</v>
      </c>
      <c r="N102" s="214" t="s">
        <v>42</v>
      </c>
      <c r="O102" s="64">
        <v>0</v>
      </c>
      <c r="P102" s="64">
        <v>0.87</v>
      </c>
      <c r="Q102" s="64">
        <v>25.28</v>
      </c>
      <c r="R102" s="198"/>
      <c r="S102" s="198"/>
      <c r="T102" s="198"/>
      <c r="U102" s="198"/>
    </row>
    <row r="103" spans="1:33" s="12" customFormat="1" x14ac:dyDescent="0.25">
      <c r="A103" s="211" t="s">
        <v>3136</v>
      </c>
      <c r="B103" s="64">
        <v>2.35</v>
      </c>
      <c r="C103" s="64">
        <v>55.65</v>
      </c>
      <c r="D103" s="64">
        <v>33.25</v>
      </c>
      <c r="E103" s="64">
        <v>1.43</v>
      </c>
      <c r="F103" s="64">
        <v>6.62</v>
      </c>
      <c r="G103" s="64">
        <v>55.89</v>
      </c>
      <c r="H103" s="64">
        <v>30.43</v>
      </c>
      <c r="I103" s="64">
        <v>0.68</v>
      </c>
      <c r="J103" s="64">
        <v>1.17</v>
      </c>
      <c r="K103" s="64">
        <v>169.27</v>
      </c>
      <c r="L103" s="64">
        <v>28.58</v>
      </c>
      <c r="M103" s="64">
        <v>44.31</v>
      </c>
      <c r="N103" s="214" t="s">
        <v>42</v>
      </c>
      <c r="O103" s="64">
        <v>0</v>
      </c>
      <c r="P103" s="64">
        <v>0.83</v>
      </c>
      <c r="Q103" s="64">
        <v>25.01</v>
      </c>
      <c r="R103" s="198"/>
      <c r="S103" s="198"/>
      <c r="T103" s="198"/>
      <c r="U103" s="198"/>
    </row>
    <row r="104" spans="1:33" s="12" customFormat="1" x14ac:dyDescent="0.25">
      <c r="A104" s="211" t="s">
        <v>3137</v>
      </c>
      <c r="B104" s="64">
        <v>1.75</v>
      </c>
      <c r="C104" s="64">
        <v>55.14</v>
      </c>
      <c r="D104" s="64">
        <v>32.479999999999997</v>
      </c>
      <c r="E104" s="64">
        <v>1.1499999999999999</v>
      </c>
      <c r="F104" s="64">
        <v>5.71</v>
      </c>
      <c r="G104" s="64">
        <v>45.73</v>
      </c>
      <c r="H104" s="64">
        <v>28.75</v>
      </c>
      <c r="I104" s="64">
        <v>0.76</v>
      </c>
      <c r="J104" s="64">
        <v>0.92</v>
      </c>
      <c r="K104" s="64">
        <v>182.3</v>
      </c>
      <c r="L104" s="64">
        <v>28.1</v>
      </c>
      <c r="M104" s="64">
        <v>44.66</v>
      </c>
      <c r="N104" s="214" t="s">
        <v>42</v>
      </c>
      <c r="O104" s="64">
        <v>0</v>
      </c>
      <c r="P104" s="64">
        <v>0.8</v>
      </c>
      <c r="Q104" s="64">
        <v>25.04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24.47</v>
      </c>
      <c r="D106" s="67">
        <f t="shared" ref="D106:Q106" si="0">MIN(D9:D104)</f>
        <v>14.95</v>
      </c>
      <c r="E106" s="67">
        <f t="shared" si="0"/>
        <v>1.0900000000000001</v>
      </c>
      <c r="F106" s="67">
        <f t="shared" si="0"/>
        <v>4.3099999999999996</v>
      </c>
      <c r="G106" s="67">
        <f t="shared" si="0"/>
        <v>24.92</v>
      </c>
      <c r="H106" s="67">
        <f t="shared" si="0"/>
        <v>21.63</v>
      </c>
      <c r="I106" s="67">
        <f t="shared" si="0"/>
        <v>0.51</v>
      </c>
      <c r="J106" s="67">
        <f t="shared" si="0"/>
        <v>0.01</v>
      </c>
      <c r="K106" s="67">
        <f t="shared" si="0"/>
        <v>11.03</v>
      </c>
      <c r="L106" s="67">
        <f t="shared" si="0"/>
        <v>25.85</v>
      </c>
      <c r="M106" s="67">
        <f t="shared" si="0"/>
        <v>21.08</v>
      </c>
      <c r="N106" s="67">
        <f t="shared" si="0"/>
        <v>0.9</v>
      </c>
      <c r="O106" s="67">
        <f t="shared" si="0"/>
        <v>0</v>
      </c>
      <c r="P106" s="67">
        <f t="shared" si="0"/>
        <v>0.52</v>
      </c>
      <c r="Q106" s="67">
        <f t="shared" si="0"/>
        <v>19.059999999999999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35.770000000000003</v>
      </c>
      <c r="C107" s="66">
        <f t="shared" ref="C107:Q107" si="1">MAX(C9:C104)</f>
        <v>74.989999999999995</v>
      </c>
      <c r="D107" s="66">
        <f t="shared" si="1"/>
        <v>70.709999999999994</v>
      </c>
      <c r="E107" s="66">
        <f t="shared" si="1"/>
        <v>8.33</v>
      </c>
      <c r="F107" s="66">
        <f t="shared" si="1"/>
        <v>40.28</v>
      </c>
      <c r="G107" s="66">
        <f t="shared" si="1"/>
        <v>76.12</v>
      </c>
      <c r="H107" s="66">
        <f t="shared" si="1"/>
        <v>61</v>
      </c>
      <c r="I107" s="66">
        <f t="shared" si="1"/>
        <v>1.24</v>
      </c>
      <c r="J107" s="66">
        <f t="shared" si="1"/>
        <v>1.25</v>
      </c>
      <c r="K107" s="66">
        <f t="shared" si="1"/>
        <v>350.01</v>
      </c>
      <c r="L107" s="66">
        <f t="shared" si="1"/>
        <v>38.72</v>
      </c>
      <c r="M107" s="66">
        <f t="shared" si="1"/>
        <v>57.84</v>
      </c>
      <c r="N107" s="66">
        <f t="shared" si="1"/>
        <v>5.0999999999999996</v>
      </c>
      <c r="O107" s="66">
        <f t="shared" si="1"/>
        <v>0</v>
      </c>
      <c r="P107" s="66">
        <f t="shared" si="1"/>
        <v>2.2599999999999998</v>
      </c>
      <c r="Q107" s="66">
        <f t="shared" si="1"/>
        <v>31.83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3.9341666666666648</v>
      </c>
      <c r="C108" s="67">
        <f t="shared" ref="C108:Q108" si="2">AVERAGE(C9:C104)</f>
        <v>50.012916666666655</v>
      </c>
      <c r="D108" s="67">
        <f t="shared" si="2"/>
        <v>31.401562499999983</v>
      </c>
      <c r="E108" s="67">
        <f t="shared" si="2"/>
        <v>3.1281249999999994</v>
      </c>
      <c r="F108" s="67">
        <f t="shared" si="2"/>
        <v>15.880208333333327</v>
      </c>
      <c r="G108" s="67">
        <f t="shared" si="2"/>
        <v>51.479374999999997</v>
      </c>
      <c r="H108" s="67">
        <f t="shared" si="2"/>
        <v>30.495937499999982</v>
      </c>
      <c r="I108" s="67">
        <f t="shared" si="2"/>
        <v>0.666875</v>
      </c>
      <c r="J108" s="67">
        <f t="shared" si="2"/>
        <v>0.30395833333333339</v>
      </c>
      <c r="K108" s="67">
        <f t="shared" si="2"/>
        <v>197.52083333333326</v>
      </c>
      <c r="L108" s="67">
        <f t="shared" si="2"/>
        <v>32.067083333333336</v>
      </c>
      <c r="M108" s="67">
        <f t="shared" si="2"/>
        <v>36.093333333333327</v>
      </c>
      <c r="N108" s="67">
        <f t="shared" si="2"/>
        <v>3.7250000000000001</v>
      </c>
      <c r="O108" s="67">
        <f t="shared" si="2"/>
        <v>0</v>
      </c>
      <c r="P108" s="67">
        <f t="shared" si="2"/>
        <v>0.89177083333333329</v>
      </c>
      <c r="Q108" s="67">
        <f t="shared" si="2"/>
        <v>25.358020833333342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5.1822542680039954</v>
      </c>
      <c r="C109" s="67">
        <f t="shared" ref="C109:Q109" si="3">STDEV(C9:C104)</f>
        <v>9.2258263263249063</v>
      </c>
      <c r="D109" s="67">
        <f t="shared" si="3"/>
        <v>8.3860325388959875</v>
      </c>
      <c r="E109" s="67">
        <f t="shared" si="3"/>
        <v>1.5288732090901758</v>
      </c>
      <c r="F109" s="67">
        <f t="shared" si="3"/>
        <v>9.882885257290603</v>
      </c>
      <c r="G109" s="67">
        <f t="shared" si="3"/>
        <v>12.378723070996516</v>
      </c>
      <c r="H109" s="67">
        <f t="shared" si="3"/>
        <v>7.4962427891543495</v>
      </c>
      <c r="I109" s="67">
        <f t="shared" si="3"/>
        <v>0.11773576570573555</v>
      </c>
      <c r="J109" s="67">
        <f t="shared" si="3"/>
        <v>0.32043549040137842</v>
      </c>
      <c r="K109" s="67">
        <f t="shared" si="3"/>
        <v>76.903849163357094</v>
      </c>
      <c r="L109" s="67">
        <f t="shared" si="3"/>
        <v>4.0887977686578454</v>
      </c>
      <c r="M109" s="67">
        <f t="shared" si="3"/>
        <v>11.685965641848188</v>
      </c>
      <c r="N109" s="67">
        <f t="shared" si="3"/>
        <v>1.9189841062395494</v>
      </c>
      <c r="O109" s="67">
        <f t="shared" si="3"/>
        <v>0</v>
      </c>
      <c r="P109" s="67">
        <f t="shared" si="3"/>
        <v>0.32996010856710234</v>
      </c>
      <c r="Q109" s="67">
        <f t="shared" si="3"/>
        <v>2.8557545301378773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COUNT(N9:N104)+92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selection activeCell="N110" sqref="N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31-05-2023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244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6"/>
      <c r="S8" s="197"/>
      <c r="T8" s="196"/>
      <c r="U8" s="196"/>
    </row>
    <row r="9" spans="1:21" s="12" customFormat="1" x14ac:dyDescent="0.25">
      <c r="A9" s="211" t="s">
        <v>3138</v>
      </c>
      <c r="B9" s="64">
        <v>1.38</v>
      </c>
      <c r="C9" s="64">
        <v>53.75</v>
      </c>
      <c r="D9" s="64">
        <v>31.42</v>
      </c>
      <c r="E9" s="64">
        <v>1.46</v>
      </c>
      <c r="F9" s="64">
        <v>6.11</v>
      </c>
      <c r="G9" s="64">
        <v>45.73</v>
      </c>
      <c r="H9" s="64">
        <v>28.75</v>
      </c>
      <c r="I9" s="64">
        <v>0.62</v>
      </c>
      <c r="J9" s="64">
        <v>0.74</v>
      </c>
      <c r="K9" s="64">
        <v>170.98</v>
      </c>
      <c r="L9" s="64">
        <v>27.96</v>
      </c>
      <c r="M9" s="64">
        <v>45.25</v>
      </c>
      <c r="N9" s="214" t="s">
        <v>42</v>
      </c>
      <c r="O9" s="64">
        <v>0</v>
      </c>
      <c r="P9" s="64">
        <v>0.77</v>
      </c>
      <c r="Q9" s="64">
        <v>24.97</v>
      </c>
      <c r="R9" s="198"/>
      <c r="S9" s="198"/>
      <c r="T9" s="198"/>
      <c r="U9" s="198"/>
    </row>
    <row r="10" spans="1:21" s="12" customFormat="1" x14ac:dyDescent="0.25">
      <c r="A10" s="211" t="s">
        <v>3139</v>
      </c>
      <c r="B10" s="64">
        <v>1.02</v>
      </c>
      <c r="C10" s="64">
        <v>33.19</v>
      </c>
      <c r="D10" s="64">
        <v>19.78</v>
      </c>
      <c r="E10" s="64">
        <v>2.5499999999999998</v>
      </c>
      <c r="F10" s="64">
        <v>33.49</v>
      </c>
      <c r="G10" s="64">
        <v>45.73</v>
      </c>
      <c r="H10" s="64">
        <v>28.75</v>
      </c>
      <c r="I10" s="64">
        <v>0.65</v>
      </c>
      <c r="J10" s="64">
        <v>0.27</v>
      </c>
      <c r="K10" s="64">
        <v>165.56</v>
      </c>
      <c r="L10" s="64">
        <v>28.28</v>
      </c>
      <c r="M10" s="64">
        <v>45.59</v>
      </c>
      <c r="N10" s="214" t="s">
        <v>42</v>
      </c>
      <c r="O10" s="64">
        <v>0</v>
      </c>
      <c r="P10" s="64">
        <v>0.76</v>
      </c>
      <c r="Q10" s="64">
        <v>26.46</v>
      </c>
      <c r="R10" s="198"/>
      <c r="S10" s="198"/>
      <c r="T10" s="198"/>
      <c r="U10" s="198"/>
    </row>
    <row r="11" spans="1:21" s="12" customFormat="1" x14ac:dyDescent="0.25">
      <c r="A11" s="211" t="s">
        <v>3140</v>
      </c>
      <c r="B11" s="64">
        <v>1</v>
      </c>
      <c r="C11" s="64">
        <v>30.64</v>
      </c>
      <c r="D11" s="64">
        <v>18.36</v>
      </c>
      <c r="E11" s="64">
        <v>3.36</v>
      </c>
      <c r="F11" s="64">
        <v>30.3</v>
      </c>
      <c r="G11" s="64">
        <v>45.51</v>
      </c>
      <c r="H11" s="64">
        <v>28.65</v>
      </c>
      <c r="I11" s="64">
        <v>0.61</v>
      </c>
      <c r="J11" s="64">
        <v>0.47</v>
      </c>
      <c r="K11" s="64">
        <v>188.43</v>
      </c>
      <c r="L11" s="64">
        <v>28.13</v>
      </c>
      <c r="M11" s="64">
        <v>46.58</v>
      </c>
      <c r="N11" s="214" t="s">
        <v>42</v>
      </c>
      <c r="O11" s="64">
        <v>0</v>
      </c>
      <c r="P11" s="64">
        <v>0.76</v>
      </c>
      <c r="Q11" s="64">
        <v>27.87</v>
      </c>
      <c r="R11" s="198"/>
      <c r="S11" s="198"/>
      <c r="T11" s="198"/>
      <c r="U11" s="198"/>
    </row>
    <row r="12" spans="1:21" s="12" customFormat="1" x14ac:dyDescent="0.25">
      <c r="A12" s="211" t="s">
        <v>3141</v>
      </c>
      <c r="B12" s="64">
        <v>1.19</v>
      </c>
      <c r="C12" s="64">
        <v>35.159999999999997</v>
      </c>
      <c r="D12" s="64">
        <v>21</v>
      </c>
      <c r="E12" s="64">
        <v>3.62</v>
      </c>
      <c r="F12" s="64">
        <v>28.19</v>
      </c>
      <c r="G12" s="64">
        <v>43.53</v>
      </c>
      <c r="H12" s="64">
        <v>28.01</v>
      </c>
      <c r="I12" s="64">
        <v>0.59</v>
      </c>
      <c r="J12" s="64">
        <v>0.54</v>
      </c>
      <c r="K12" s="64">
        <v>183.48</v>
      </c>
      <c r="L12" s="64">
        <v>27.97</v>
      </c>
      <c r="M12" s="64">
        <v>47.15</v>
      </c>
      <c r="N12" s="214" t="s">
        <v>42</v>
      </c>
      <c r="O12" s="64">
        <v>0</v>
      </c>
      <c r="P12" s="64">
        <v>0.75</v>
      </c>
      <c r="Q12" s="64">
        <v>27.95</v>
      </c>
      <c r="R12" s="198"/>
      <c r="S12" s="198"/>
      <c r="T12" s="198"/>
      <c r="U12" s="198"/>
    </row>
    <row r="13" spans="1:21" s="12" customFormat="1" x14ac:dyDescent="0.25">
      <c r="A13" s="211" t="s">
        <v>3142</v>
      </c>
      <c r="B13" s="64">
        <v>1.27</v>
      </c>
      <c r="C13" s="64">
        <v>34.97</v>
      </c>
      <c r="D13" s="64">
        <v>20.97</v>
      </c>
      <c r="E13" s="64">
        <v>3.53</v>
      </c>
      <c r="F13" s="64">
        <v>26.52</v>
      </c>
      <c r="G13" s="64">
        <v>43.53</v>
      </c>
      <c r="H13" s="64">
        <v>28.01</v>
      </c>
      <c r="I13" s="64">
        <v>0.53</v>
      </c>
      <c r="J13" s="64">
        <v>0.85</v>
      </c>
      <c r="K13" s="64">
        <v>173.02</v>
      </c>
      <c r="L13" s="64">
        <v>27.83</v>
      </c>
      <c r="M13" s="64">
        <v>47.91</v>
      </c>
      <c r="N13" s="214" t="s">
        <v>42</v>
      </c>
      <c r="O13" s="64">
        <v>0</v>
      </c>
      <c r="P13" s="64">
        <v>0.7</v>
      </c>
      <c r="Q13" s="64">
        <v>28.16</v>
      </c>
      <c r="R13" s="198"/>
      <c r="S13" s="198"/>
      <c r="T13" s="198"/>
      <c r="U13" s="198"/>
    </row>
    <row r="14" spans="1:21" s="12" customFormat="1" x14ac:dyDescent="0.25">
      <c r="A14" s="211" t="s">
        <v>3143</v>
      </c>
      <c r="B14" s="64">
        <v>1.58</v>
      </c>
      <c r="C14" s="64">
        <v>34.08</v>
      </c>
      <c r="D14" s="64">
        <v>20.72</v>
      </c>
      <c r="E14" s="64">
        <v>3.33</v>
      </c>
      <c r="F14" s="64">
        <v>22.3</v>
      </c>
      <c r="G14" s="64">
        <v>43.53</v>
      </c>
      <c r="H14" s="64">
        <v>28.01</v>
      </c>
      <c r="I14" s="64">
        <v>0.51</v>
      </c>
      <c r="J14" s="64">
        <v>0.55000000000000004</v>
      </c>
      <c r="K14" s="64">
        <v>183.13</v>
      </c>
      <c r="L14" s="64">
        <v>27.72</v>
      </c>
      <c r="M14" s="64">
        <v>48.44</v>
      </c>
      <c r="N14" s="214" t="s">
        <v>42</v>
      </c>
      <c r="O14" s="64">
        <v>0</v>
      </c>
      <c r="P14" s="64">
        <v>0.74</v>
      </c>
      <c r="Q14" s="64">
        <v>28.49</v>
      </c>
      <c r="R14" s="198"/>
      <c r="S14" s="198"/>
      <c r="T14" s="198"/>
      <c r="U14" s="198"/>
    </row>
    <row r="15" spans="1:21" s="12" customFormat="1" x14ac:dyDescent="0.25">
      <c r="A15" s="211" t="s">
        <v>3144</v>
      </c>
      <c r="B15" s="64">
        <v>2.17</v>
      </c>
      <c r="C15" s="64">
        <v>43.53</v>
      </c>
      <c r="D15" s="64">
        <v>26.41</v>
      </c>
      <c r="E15" s="64">
        <v>2.61</v>
      </c>
      <c r="F15" s="64">
        <v>8.61</v>
      </c>
      <c r="G15" s="64">
        <v>43.5</v>
      </c>
      <c r="H15" s="64">
        <v>28</v>
      </c>
      <c r="I15" s="64">
        <v>0.56000000000000005</v>
      </c>
      <c r="J15" s="64">
        <v>0.09</v>
      </c>
      <c r="K15" s="64">
        <v>226.04</v>
      </c>
      <c r="L15" s="64">
        <v>27.53</v>
      </c>
      <c r="M15" s="64">
        <v>48.72</v>
      </c>
      <c r="N15" s="214" t="s">
        <v>42</v>
      </c>
      <c r="O15" s="64">
        <v>0</v>
      </c>
      <c r="P15" s="64">
        <v>0.73</v>
      </c>
      <c r="Q15" s="64">
        <v>27.46</v>
      </c>
      <c r="R15" s="198"/>
      <c r="S15" s="198"/>
      <c r="T15" s="198"/>
      <c r="U15" s="198"/>
    </row>
    <row r="16" spans="1:21" s="12" customFormat="1" x14ac:dyDescent="0.25">
      <c r="A16" s="211" t="s">
        <v>3145</v>
      </c>
      <c r="B16" s="64">
        <v>1.79</v>
      </c>
      <c r="C16" s="64">
        <v>44.36</v>
      </c>
      <c r="D16" s="64">
        <v>26.56</v>
      </c>
      <c r="E16" s="64">
        <v>2.02</v>
      </c>
      <c r="F16" s="64">
        <v>9.1</v>
      </c>
      <c r="G16" s="64">
        <v>43.24</v>
      </c>
      <c r="H16" s="64">
        <v>27.92</v>
      </c>
      <c r="I16" s="64">
        <v>0.6</v>
      </c>
      <c r="J16" s="64">
        <v>0.28000000000000003</v>
      </c>
      <c r="K16" s="64">
        <v>174.9</v>
      </c>
      <c r="L16" s="64">
        <v>27.12</v>
      </c>
      <c r="M16" s="64">
        <v>49.99</v>
      </c>
      <c r="N16" s="64">
        <v>4.5999999999999996</v>
      </c>
      <c r="O16" s="64">
        <v>0</v>
      </c>
      <c r="P16" s="64">
        <v>0.71</v>
      </c>
      <c r="Q16" s="64">
        <v>27.06</v>
      </c>
      <c r="R16" s="198"/>
      <c r="S16" s="198"/>
      <c r="T16" s="198"/>
      <c r="U16" s="198"/>
    </row>
    <row r="17" spans="1:21" s="12" customFormat="1" x14ac:dyDescent="0.25">
      <c r="A17" s="211" t="s">
        <v>3146</v>
      </c>
      <c r="B17" s="64">
        <v>1.45</v>
      </c>
      <c r="C17" s="64">
        <v>45.31</v>
      </c>
      <c r="D17" s="64">
        <v>26.81</v>
      </c>
      <c r="E17" s="64">
        <v>1.77</v>
      </c>
      <c r="F17" s="64">
        <v>6.64</v>
      </c>
      <c r="G17" s="64">
        <v>43.24</v>
      </c>
      <c r="H17" s="64">
        <v>27.92</v>
      </c>
      <c r="I17" s="64">
        <v>0.75</v>
      </c>
      <c r="J17" s="64">
        <v>0.12</v>
      </c>
      <c r="K17" s="64">
        <v>186.32</v>
      </c>
      <c r="L17" s="64">
        <v>26.96</v>
      </c>
      <c r="M17" s="64">
        <v>50.58</v>
      </c>
      <c r="N17" s="64">
        <v>5</v>
      </c>
      <c r="O17" s="64">
        <v>0</v>
      </c>
      <c r="P17" s="64">
        <v>0.7</v>
      </c>
      <c r="Q17" s="64">
        <v>26.74</v>
      </c>
      <c r="R17" s="198"/>
      <c r="S17" s="198"/>
      <c r="T17" s="198"/>
      <c r="U17" s="198"/>
    </row>
    <row r="18" spans="1:21" s="12" customFormat="1" x14ac:dyDescent="0.25">
      <c r="A18" s="211" t="s">
        <v>3147</v>
      </c>
      <c r="B18" s="64">
        <v>1.3</v>
      </c>
      <c r="C18" s="64">
        <v>46.08</v>
      </c>
      <c r="D18" s="64">
        <v>27.12</v>
      </c>
      <c r="E18" s="64">
        <v>1.75</v>
      </c>
      <c r="F18" s="64">
        <v>6.7</v>
      </c>
      <c r="G18" s="64">
        <v>43.24</v>
      </c>
      <c r="H18" s="64">
        <v>27.92</v>
      </c>
      <c r="I18" s="64">
        <v>0.68</v>
      </c>
      <c r="J18" s="64">
        <v>0.14000000000000001</v>
      </c>
      <c r="K18" s="64">
        <v>213.64</v>
      </c>
      <c r="L18" s="64">
        <v>26.75</v>
      </c>
      <c r="M18" s="64">
        <v>50.92</v>
      </c>
      <c r="N18" s="64">
        <v>4.8</v>
      </c>
      <c r="O18" s="64">
        <v>0</v>
      </c>
      <c r="P18" s="64">
        <v>0.7</v>
      </c>
      <c r="Q18" s="64">
        <v>26.34</v>
      </c>
      <c r="R18" s="198"/>
      <c r="S18" s="198"/>
      <c r="T18" s="198"/>
      <c r="U18" s="198"/>
    </row>
    <row r="19" spans="1:21" s="12" customFormat="1" x14ac:dyDescent="0.25">
      <c r="A19" s="211" t="s">
        <v>3148</v>
      </c>
      <c r="B19" s="64">
        <v>1.24</v>
      </c>
      <c r="C19" s="64">
        <v>46.49</v>
      </c>
      <c r="D19" s="64">
        <v>27.3</v>
      </c>
      <c r="E19" s="64">
        <v>1.31</v>
      </c>
      <c r="F19" s="64">
        <v>5.78</v>
      </c>
      <c r="G19" s="64">
        <v>43.01</v>
      </c>
      <c r="H19" s="64">
        <v>27.85</v>
      </c>
      <c r="I19" s="64">
        <v>0.66</v>
      </c>
      <c r="J19" s="64">
        <v>0.02</v>
      </c>
      <c r="K19" s="64">
        <v>260.20999999999998</v>
      </c>
      <c r="L19" s="64">
        <v>26.67</v>
      </c>
      <c r="M19" s="64">
        <v>51.08</v>
      </c>
      <c r="N19" s="64">
        <v>4.8</v>
      </c>
      <c r="O19" s="64">
        <v>0</v>
      </c>
      <c r="P19" s="64">
        <v>0.7</v>
      </c>
      <c r="Q19" s="64">
        <v>25.92</v>
      </c>
      <c r="R19" s="198"/>
      <c r="S19" s="198"/>
      <c r="T19" s="198"/>
      <c r="U19" s="198"/>
    </row>
    <row r="20" spans="1:21" s="12" customFormat="1" x14ac:dyDescent="0.25">
      <c r="A20" s="211" t="s">
        <v>3149</v>
      </c>
      <c r="B20" s="64">
        <v>1.17</v>
      </c>
      <c r="C20" s="64">
        <v>46.59</v>
      </c>
      <c r="D20" s="64">
        <v>27.3</v>
      </c>
      <c r="E20" s="64">
        <v>1.34</v>
      </c>
      <c r="F20" s="64">
        <v>5.67</v>
      </c>
      <c r="G20" s="64">
        <v>41.2</v>
      </c>
      <c r="H20" s="64">
        <v>27.37</v>
      </c>
      <c r="I20" s="64">
        <v>0.59</v>
      </c>
      <c r="J20" s="64">
        <v>0.03</v>
      </c>
      <c r="K20" s="64">
        <v>32.880000000000003</v>
      </c>
      <c r="L20" s="64">
        <v>26.77</v>
      </c>
      <c r="M20" s="64">
        <v>50.69</v>
      </c>
      <c r="N20" s="64">
        <v>4.7</v>
      </c>
      <c r="O20" s="64">
        <v>0</v>
      </c>
      <c r="P20" s="64">
        <v>0.7</v>
      </c>
      <c r="Q20" s="64">
        <v>25.82</v>
      </c>
      <c r="R20" s="198"/>
      <c r="S20" s="198"/>
      <c r="T20" s="198"/>
      <c r="U20" s="198"/>
    </row>
    <row r="21" spans="1:21" s="12" customFormat="1" x14ac:dyDescent="0.25">
      <c r="A21" s="211" t="s">
        <v>3150</v>
      </c>
      <c r="B21" s="64">
        <v>1.08</v>
      </c>
      <c r="C21" s="64">
        <v>46.19</v>
      </c>
      <c r="D21" s="64">
        <v>27</v>
      </c>
      <c r="E21" s="64">
        <v>1.1399999999999999</v>
      </c>
      <c r="F21" s="64">
        <v>6.27</v>
      </c>
      <c r="G21" s="64">
        <v>41.2</v>
      </c>
      <c r="H21" s="64">
        <v>27.37</v>
      </c>
      <c r="I21" s="64">
        <v>0.6</v>
      </c>
      <c r="J21" s="64">
        <v>0.02</v>
      </c>
      <c r="K21" s="64">
        <v>210.99</v>
      </c>
      <c r="L21" s="64">
        <v>26.76</v>
      </c>
      <c r="M21" s="64">
        <v>50.25</v>
      </c>
      <c r="N21" s="64">
        <v>4.3</v>
      </c>
      <c r="O21" s="64">
        <v>0</v>
      </c>
      <c r="P21" s="64">
        <v>0.69</v>
      </c>
      <c r="Q21" s="64">
        <v>25.69</v>
      </c>
      <c r="R21" s="198"/>
      <c r="S21" s="198"/>
      <c r="T21" s="198"/>
      <c r="U21" s="198"/>
    </row>
    <row r="22" spans="1:21" s="12" customFormat="1" x14ac:dyDescent="0.25">
      <c r="A22" s="211" t="s">
        <v>3151</v>
      </c>
      <c r="B22" s="64">
        <v>1</v>
      </c>
      <c r="C22" s="64">
        <v>37.69</v>
      </c>
      <c r="D22" s="64">
        <v>22.25</v>
      </c>
      <c r="E22" s="64">
        <v>1.7</v>
      </c>
      <c r="F22" s="64">
        <v>18.97</v>
      </c>
      <c r="G22" s="64">
        <v>41.2</v>
      </c>
      <c r="H22" s="64">
        <v>27.37</v>
      </c>
      <c r="I22" s="64">
        <v>0.74</v>
      </c>
      <c r="J22" s="64">
        <v>0.03</v>
      </c>
      <c r="K22" s="64">
        <v>271.16000000000003</v>
      </c>
      <c r="L22" s="64">
        <v>26.74</v>
      </c>
      <c r="M22" s="64">
        <v>50.5</v>
      </c>
      <c r="N22" s="64">
        <v>4.5999999999999996</v>
      </c>
      <c r="O22" s="64">
        <v>0</v>
      </c>
      <c r="P22" s="64">
        <v>0.68</v>
      </c>
      <c r="Q22" s="64">
        <v>26.42</v>
      </c>
      <c r="R22" s="198"/>
      <c r="S22" s="198"/>
      <c r="T22" s="198"/>
      <c r="U22" s="198"/>
    </row>
    <row r="23" spans="1:21" s="12" customFormat="1" x14ac:dyDescent="0.25">
      <c r="A23" s="211" t="s">
        <v>3152</v>
      </c>
      <c r="B23" s="64">
        <v>1.07</v>
      </c>
      <c r="C23" s="64">
        <v>37.44</v>
      </c>
      <c r="D23" s="64">
        <v>22.16</v>
      </c>
      <c r="E23" s="64">
        <v>1.53</v>
      </c>
      <c r="F23" s="64">
        <v>14.63</v>
      </c>
      <c r="G23" s="64">
        <v>40.58</v>
      </c>
      <c r="H23" s="64">
        <v>27.38</v>
      </c>
      <c r="I23" s="64">
        <v>0.56999999999999995</v>
      </c>
      <c r="J23" s="64">
        <v>0.04</v>
      </c>
      <c r="K23" s="64">
        <v>53.91</v>
      </c>
      <c r="L23" s="64">
        <v>26.69</v>
      </c>
      <c r="M23" s="64">
        <v>49.79</v>
      </c>
      <c r="N23" s="64">
        <v>4.5999999999999996</v>
      </c>
      <c r="O23" s="64">
        <v>0</v>
      </c>
      <c r="P23" s="64">
        <v>0.67</v>
      </c>
      <c r="Q23" s="64">
        <v>26.12</v>
      </c>
      <c r="R23" s="198"/>
      <c r="S23" s="198"/>
      <c r="T23" s="198"/>
      <c r="U23" s="198"/>
    </row>
    <row r="24" spans="1:21" s="12" customFormat="1" x14ac:dyDescent="0.25">
      <c r="A24" s="211" t="s">
        <v>3153</v>
      </c>
      <c r="B24" s="64">
        <v>1.22</v>
      </c>
      <c r="C24" s="64">
        <v>38.86</v>
      </c>
      <c r="D24" s="64">
        <v>23.07</v>
      </c>
      <c r="E24" s="64">
        <v>1.44</v>
      </c>
      <c r="F24" s="64">
        <v>15.45</v>
      </c>
      <c r="G24" s="64">
        <v>34.99</v>
      </c>
      <c r="H24" s="64">
        <v>27.45</v>
      </c>
      <c r="I24" s="64">
        <v>0.53</v>
      </c>
      <c r="J24" s="64">
        <v>0.1</v>
      </c>
      <c r="K24" s="64">
        <v>212.29</v>
      </c>
      <c r="L24" s="64">
        <v>26.58</v>
      </c>
      <c r="M24" s="64">
        <v>49.15</v>
      </c>
      <c r="N24" s="64">
        <v>4.5</v>
      </c>
      <c r="O24" s="64">
        <v>0</v>
      </c>
      <c r="P24" s="64">
        <v>0.67</v>
      </c>
      <c r="Q24" s="64">
        <v>25.9</v>
      </c>
      <c r="R24" s="198"/>
      <c r="S24" s="198"/>
      <c r="T24" s="198"/>
      <c r="U24" s="198"/>
    </row>
    <row r="25" spans="1:21" s="12" customFormat="1" x14ac:dyDescent="0.25">
      <c r="A25" s="211" t="s">
        <v>3154</v>
      </c>
      <c r="B25" s="64">
        <v>1.1100000000000001</v>
      </c>
      <c r="C25" s="64">
        <v>32.96</v>
      </c>
      <c r="D25" s="64">
        <v>19.72</v>
      </c>
      <c r="E25" s="64">
        <v>2.39</v>
      </c>
      <c r="F25" s="64">
        <v>19.53</v>
      </c>
      <c r="G25" s="64">
        <v>34.99</v>
      </c>
      <c r="H25" s="64">
        <v>27.45</v>
      </c>
      <c r="I25" s="64">
        <v>0.55000000000000004</v>
      </c>
      <c r="J25" s="64">
        <v>0.11</v>
      </c>
      <c r="K25" s="64">
        <v>217.47</v>
      </c>
      <c r="L25" s="64">
        <v>26.51</v>
      </c>
      <c r="M25" s="64">
        <v>48.42</v>
      </c>
      <c r="N25" s="64">
        <v>4.5999999999999996</v>
      </c>
      <c r="O25" s="64">
        <v>0</v>
      </c>
      <c r="P25" s="64">
        <v>0.67</v>
      </c>
      <c r="Q25" s="64">
        <v>26.24</v>
      </c>
      <c r="R25" s="198"/>
      <c r="S25" s="198"/>
      <c r="T25" s="198"/>
      <c r="U25" s="198"/>
    </row>
    <row r="26" spans="1:21" s="12" customFormat="1" x14ac:dyDescent="0.25">
      <c r="A26" s="211" t="s">
        <v>3155</v>
      </c>
      <c r="B26" s="64">
        <v>1.34</v>
      </c>
      <c r="C26" s="64">
        <v>35.770000000000003</v>
      </c>
      <c r="D26" s="64">
        <v>21.46</v>
      </c>
      <c r="E26" s="64">
        <v>2.14</v>
      </c>
      <c r="F26" s="64">
        <v>12.77</v>
      </c>
      <c r="G26" s="64">
        <v>34.99</v>
      </c>
      <c r="H26" s="64">
        <v>27.45</v>
      </c>
      <c r="I26" s="64">
        <v>0.62</v>
      </c>
      <c r="J26" s="64">
        <v>0.02</v>
      </c>
      <c r="K26" s="64">
        <v>263.56</v>
      </c>
      <c r="L26" s="64">
        <v>26.38</v>
      </c>
      <c r="M26" s="64">
        <v>48</v>
      </c>
      <c r="N26" s="64">
        <v>4.5999999999999996</v>
      </c>
      <c r="O26" s="64">
        <v>0</v>
      </c>
      <c r="P26" s="64">
        <v>0.66</v>
      </c>
      <c r="Q26" s="64">
        <v>26.08</v>
      </c>
      <c r="R26" s="198"/>
      <c r="S26" s="198"/>
      <c r="T26" s="198"/>
      <c r="U26" s="198"/>
    </row>
    <row r="27" spans="1:21" s="12" customFormat="1" x14ac:dyDescent="0.25">
      <c r="A27" s="211" t="s">
        <v>3156</v>
      </c>
      <c r="B27" s="64">
        <v>1.64</v>
      </c>
      <c r="C27" s="64">
        <v>42.4</v>
      </c>
      <c r="D27" s="64">
        <v>25.36</v>
      </c>
      <c r="E27" s="64">
        <v>1.78</v>
      </c>
      <c r="F27" s="64">
        <v>5.99</v>
      </c>
      <c r="G27" s="64">
        <v>35.19</v>
      </c>
      <c r="H27" s="64">
        <v>27.48</v>
      </c>
      <c r="I27" s="64">
        <v>0.8</v>
      </c>
      <c r="J27" s="64">
        <v>0.06</v>
      </c>
      <c r="K27" s="64">
        <v>65.25</v>
      </c>
      <c r="L27" s="64">
        <v>26.23</v>
      </c>
      <c r="M27" s="64">
        <v>48</v>
      </c>
      <c r="N27" s="64">
        <v>4.7</v>
      </c>
      <c r="O27" s="64">
        <v>0</v>
      </c>
      <c r="P27" s="64">
        <v>0.65</v>
      </c>
      <c r="Q27" s="64">
        <v>24.91</v>
      </c>
      <c r="R27" s="198"/>
      <c r="S27" s="198"/>
      <c r="T27" s="198"/>
      <c r="U27" s="198"/>
    </row>
    <row r="28" spans="1:21" s="12" customFormat="1" x14ac:dyDescent="0.25">
      <c r="A28" s="211" t="s">
        <v>3157</v>
      </c>
      <c r="B28" s="64">
        <v>1.42</v>
      </c>
      <c r="C28" s="64">
        <v>45.11</v>
      </c>
      <c r="D28" s="64">
        <v>26.68</v>
      </c>
      <c r="E28" s="64">
        <v>1.5</v>
      </c>
      <c r="F28" s="64">
        <v>5.21</v>
      </c>
      <c r="G28" s="64">
        <v>36.94</v>
      </c>
      <c r="H28" s="64">
        <v>27.71</v>
      </c>
      <c r="I28" s="64">
        <v>0.61</v>
      </c>
      <c r="J28" s="64">
        <v>0.03</v>
      </c>
      <c r="K28" s="64">
        <v>26.74</v>
      </c>
      <c r="L28" s="64">
        <v>26.16</v>
      </c>
      <c r="M28" s="64">
        <v>47.7</v>
      </c>
      <c r="N28" s="64">
        <v>4.7</v>
      </c>
      <c r="O28" s="64">
        <v>0</v>
      </c>
      <c r="P28" s="64">
        <v>0.64</v>
      </c>
      <c r="Q28" s="64">
        <v>24.69</v>
      </c>
      <c r="R28" s="198"/>
      <c r="S28" s="198"/>
      <c r="T28" s="198"/>
      <c r="U28" s="198"/>
    </row>
    <row r="29" spans="1:21" s="12" customFormat="1" x14ac:dyDescent="0.25">
      <c r="A29" s="211" t="s">
        <v>3158</v>
      </c>
      <c r="B29" s="64">
        <v>1.1499999999999999</v>
      </c>
      <c r="C29" s="64">
        <v>45.97</v>
      </c>
      <c r="D29" s="64">
        <v>26.94</v>
      </c>
      <c r="E29" s="64">
        <v>1.8</v>
      </c>
      <c r="F29" s="64">
        <v>5.7</v>
      </c>
      <c r="G29" s="64">
        <v>36.94</v>
      </c>
      <c r="H29" s="64">
        <v>27.71</v>
      </c>
      <c r="I29" s="64">
        <v>0.62</v>
      </c>
      <c r="J29" s="64">
        <v>0.05</v>
      </c>
      <c r="K29" s="64">
        <v>232.83</v>
      </c>
      <c r="L29" s="64">
        <v>26.06</v>
      </c>
      <c r="M29" s="64">
        <v>47.96</v>
      </c>
      <c r="N29" s="64">
        <v>6.7</v>
      </c>
      <c r="O29" s="64">
        <v>0</v>
      </c>
      <c r="P29" s="64">
        <v>0.62</v>
      </c>
      <c r="Q29" s="64">
        <v>24.73</v>
      </c>
      <c r="R29" s="198"/>
      <c r="S29" s="198"/>
      <c r="T29" s="198"/>
      <c r="U29" s="198"/>
    </row>
    <row r="30" spans="1:21" s="12" customFormat="1" x14ac:dyDescent="0.25">
      <c r="A30" s="211" t="s">
        <v>3159</v>
      </c>
      <c r="B30" s="64">
        <v>1.17</v>
      </c>
      <c r="C30" s="64">
        <v>46.68</v>
      </c>
      <c r="D30" s="64">
        <v>27.35</v>
      </c>
      <c r="E30" s="64">
        <v>1.52</v>
      </c>
      <c r="F30" s="64">
        <v>5.33</v>
      </c>
      <c r="G30" s="64">
        <v>36.94</v>
      </c>
      <c r="H30" s="64">
        <v>27.71</v>
      </c>
      <c r="I30" s="64">
        <v>0.62</v>
      </c>
      <c r="J30" s="64">
        <v>7.0000000000000007E-2</v>
      </c>
      <c r="K30" s="64">
        <v>247.53</v>
      </c>
      <c r="L30" s="64">
        <v>25.97</v>
      </c>
      <c r="M30" s="64">
        <v>48.19</v>
      </c>
      <c r="N30" s="64">
        <v>16.2</v>
      </c>
      <c r="O30" s="64">
        <v>0</v>
      </c>
      <c r="P30" s="64">
        <v>0.62</v>
      </c>
      <c r="Q30" s="64">
        <v>24.48</v>
      </c>
      <c r="R30" s="198"/>
      <c r="S30" s="198"/>
      <c r="T30" s="198"/>
      <c r="U30" s="198"/>
    </row>
    <row r="31" spans="1:21" s="12" customFormat="1" x14ac:dyDescent="0.25">
      <c r="A31" s="211" t="s">
        <v>3160</v>
      </c>
      <c r="B31" s="64">
        <v>1.25</v>
      </c>
      <c r="C31" s="64">
        <v>47.48</v>
      </c>
      <c r="D31" s="64">
        <v>27.85</v>
      </c>
      <c r="E31" s="64">
        <v>1.71</v>
      </c>
      <c r="F31" s="64">
        <v>5.72</v>
      </c>
      <c r="G31" s="64">
        <v>36.770000000000003</v>
      </c>
      <c r="H31" s="64">
        <v>27.26</v>
      </c>
      <c r="I31" s="64">
        <v>0.65</v>
      </c>
      <c r="J31" s="64">
        <v>0.02</v>
      </c>
      <c r="K31" s="64">
        <v>252.52</v>
      </c>
      <c r="L31" s="64">
        <v>26.14</v>
      </c>
      <c r="M31" s="64">
        <v>47.31</v>
      </c>
      <c r="N31" s="64">
        <v>21.9</v>
      </c>
      <c r="O31" s="64">
        <v>0</v>
      </c>
      <c r="P31" s="64">
        <v>0.62</v>
      </c>
      <c r="Q31" s="64">
        <v>24.21</v>
      </c>
      <c r="R31" s="198"/>
      <c r="S31" s="198"/>
      <c r="T31" s="198"/>
      <c r="U31" s="198"/>
    </row>
    <row r="32" spans="1:21" s="12" customFormat="1" x14ac:dyDescent="0.25">
      <c r="A32" s="211" t="s">
        <v>3161</v>
      </c>
      <c r="B32" s="64">
        <v>1.23</v>
      </c>
      <c r="C32" s="64">
        <v>47.85</v>
      </c>
      <c r="D32" s="64">
        <v>28.04</v>
      </c>
      <c r="E32" s="64">
        <v>1.1399999999999999</v>
      </c>
      <c r="F32" s="64">
        <v>6.02</v>
      </c>
      <c r="G32" s="64">
        <v>35.380000000000003</v>
      </c>
      <c r="H32" s="64">
        <v>24.35</v>
      </c>
      <c r="I32" s="64">
        <v>0.57999999999999996</v>
      </c>
      <c r="J32" s="64">
        <v>0.04</v>
      </c>
      <c r="K32" s="64">
        <v>253.54</v>
      </c>
      <c r="L32" s="64">
        <v>26.25</v>
      </c>
      <c r="M32" s="64">
        <v>47.29</v>
      </c>
      <c r="N32" s="214" t="s">
        <v>42</v>
      </c>
      <c r="O32" s="64">
        <v>0</v>
      </c>
      <c r="P32" s="64">
        <v>0.6</v>
      </c>
      <c r="Q32" s="64">
        <v>24.06</v>
      </c>
      <c r="R32" s="198"/>
      <c r="S32" s="198"/>
      <c r="T32" s="198"/>
      <c r="U32" s="198"/>
    </row>
    <row r="33" spans="1:21" s="12" customFormat="1" x14ac:dyDescent="0.25">
      <c r="A33" s="211" t="s">
        <v>3162</v>
      </c>
      <c r="B33" s="64">
        <v>1.69</v>
      </c>
      <c r="C33" s="64">
        <v>47.18</v>
      </c>
      <c r="D33" s="64">
        <v>28.03</v>
      </c>
      <c r="E33" s="64">
        <v>1.53</v>
      </c>
      <c r="F33" s="64">
        <v>10.28</v>
      </c>
      <c r="G33" s="64">
        <v>35.380000000000003</v>
      </c>
      <c r="H33" s="64">
        <v>24.35</v>
      </c>
      <c r="I33" s="64">
        <v>0.63</v>
      </c>
      <c r="J33" s="64">
        <v>0.03</v>
      </c>
      <c r="K33" s="64">
        <v>238.61</v>
      </c>
      <c r="L33" s="64">
        <v>26.32</v>
      </c>
      <c r="M33" s="64">
        <v>47.09</v>
      </c>
      <c r="N33" s="214" t="s">
        <v>42</v>
      </c>
      <c r="O33" s="64">
        <v>0</v>
      </c>
      <c r="P33" s="64">
        <v>0.6</v>
      </c>
      <c r="Q33" s="64">
        <v>24.17</v>
      </c>
      <c r="R33" s="198"/>
      <c r="S33" s="198"/>
      <c r="T33" s="198"/>
      <c r="U33" s="198"/>
    </row>
    <row r="34" spans="1:21" s="12" customFormat="1" x14ac:dyDescent="0.25">
      <c r="A34" s="211" t="s">
        <v>3163</v>
      </c>
      <c r="B34" s="64">
        <v>3.21</v>
      </c>
      <c r="C34" s="64">
        <v>40.79</v>
      </c>
      <c r="D34" s="64">
        <v>25.73</v>
      </c>
      <c r="E34" s="64">
        <v>2.23</v>
      </c>
      <c r="F34" s="64">
        <v>19.38</v>
      </c>
      <c r="G34" s="64">
        <v>35.380000000000003</v>
      </c>
      <c r="H34" s="64">
        <v>24.35</v>
      </c>
      <c r="I34" s="64">
        <v>0.54</v>
      </c>
      <c r="J34" s="64">
        <v>0.01</v>
      </c>
      <c r="K34" s="64">
        <v>294</v>
      </c>
      <c r="L34" s="64">
        <v>26.53</v>
      </c>
      <c r="M34" s="64">
        <v>46.92</v>
      </c>
      <c r="N34" s="214" t="s">
        <v>42</v>
      </c>
      <c r="O34" s="64">
        <v>0</v>
      </c>
      <c r="P34" s="64">
        <v>0.61</v>
      </c>
      <c r="Q34" s="64">
        <v>25.17</v>
      </c>
      <c r="R34" s="198"/>
      <c r="S34" s="198"/>
      <c r="T34" s="198"/>
      <c r="U34" s="198"/>
    </row>
    <row r="35" spans="1:21" s="12" customFormat="1" x14ac:dyDescent="0.25">
      <c r="A35" s="211" t="s">
        <v>3164</v>
      </c>
      <c r="B35" s="64">
        <v>5.55</v>
      </c>
      <c r="C35" s="64">
        <v>47.74</v>
      </c>
      <c r="D35" s="64">
        <v>31.45</v>
      </c>
      <c r="E35" s="64">
        <v>2.46</v>
      </c>
      <c r="F35" s="64">
        <v>14.71</v>
      </c>
      <c r="G35" s="64">
        <v>36.04</v>
      </c>
      <c r="H35" s="64">
        <v>24.52</v>
      </c>
      <c r="I35" s="64">
        <v>0.53</v>
      </c>
      <c r="J35" s="64">
        <v>0.01</v>
      </c>
      <c r="K35" s="64">
        <v>292.58999999999997</v>
      </c>
      <c r="L35" s="64">
        <v>27.23</v>
      </c>
      <c r="M35" s="64">
        <v>46.09</v>
      </c>
      <c r="N35" s="214" t="s">
        <v>42</v>
      </c>
      <c r="O35" s="64">
        <v>0</v>
      </c>
      <c r="P35" s="64">
        <v>0.62</v>
      </c>
      <c r="Q35" s="64">
        <v>24.48</v>
      </c>
      <c r="R35" s="198"/>
      <c r="S35" s="198"/>
      <c r="T35" s="198"/>
      <c r="U35" s="198"/>
    </row>
    <row r="36" spans="1:21" s="12" customFormat="1" x14ac:dyDescent="0.25">
      <c r="A36" s="211" t="s">
        <v>3165</v>
      </c>
      <c r="B36" s="64">
        <v>3.34</v>
      </c>
      <c r="C36" s="64">
        <v>44.86</v>
      </c>
      <c r="D36" s="64">
        <v>28.08</v>
      </c>
      <c r="E36" s="64">
        <v>2.84</v>
      </c>
      <c r="F36" s="64">
        <v>9.35</v>
      </c>
      <c r="G36" s="64">
        <v>41.3</v>
      </c>
      <c r="H36" s="64">
        <v>25.63</v>
      </c>
      <c r="I36" s="64">
        <v>0.53</v>
      </c>
      <c r="J36" s="64">
        <v>0.02</v>
      </c>
      <c r="K36" s="64">
        <v>0.13</v>
      </c>
      <c r="L36" s="64">
        <v>27.82</v>
      </c>
      <c r="M36" s="64">
        <v>44.92</v>
      </c>
      <c r="N36" s="214" t="s">
        <v>42</v>
      </c>
      <c r="O36" s="64">
        <v>0</v>
      </c>
      <c r="P36" s="64">
        <v>0.64</v>
      </c>
      <c r="Q36" s="64">
        <v>24.54</v>
      </c>
      <c r="R36" s="198"/>
      <c r="S36" s="198"/>
      <c r="T36" s="198"/>
      <c r="U36" s="198"/>
    </row>
    <row r="37" spans="1:21" s="12" customFormat="1" x14ac:dyDescent="0.25">
      <c r="A37" s="211" t="s">
        <v>3166</v>
      </c>
      <c r="B37" s="64">
        <v>5.29</v>
      </c>
      <c r="C37" s="64">
        <v>50.02</v>
      </c>
      <c r="D37" s="64">
        <v>32.49</v>
      </c>
      <c r="E37" s="64">
        <v>3.7</v>
      </c>
      <c r="F37" s="64">
        <v>12.12</v>
      </c>
      <c r="G37" s="64">
        <v>41.3</v>
      </c>
      <c r="H37" s="64">
        <v>25.63</v>
      </c>
      <c r="I37" s="64">
        <v>0.53</v>
      </c>
      <c r="J37" s="64">
        <v>0.01</v>
      </c>
      <c r="K37" s="64">
        <v>46.85</v>
      </c>
      <c r="L37" s="64">
        <v>28.87</v>
      </c>
      <c r="M37" s="64">
        <v>43.41</v>
      </c>
      <c r="N37" s="64">
        <v>18.7</v>
      </c>
      <c r="O37" s="64">
        <v>0</v>
      </c>
      <c r="P37" s="64">
        <v>0.65</v>
      </c>
      <c r="Q37" s="64">
        <v>24.43</v>
      </c>
      <c r="R37" s="198"/>
      <c r="S37" s="198"/>
      <c r="T37" s="198"/>
      <c r="U37" s="198"/>
    </row>
    <row r="38" spans="1:21" s="12" customFormat="1" x14ac:dyDescent="0.25">
      <c r="A38" s="211" t="s">
        <v>3167</v>
      </c>
      <c r="B38" s="64">
        <v>4.4800000000000004</v>
      </c>
      <c r="C38" s="64">
        <v>50.46</v>
      </c>
      <c r="D38" s="64">
        <v>32.090000000000003</v>
      </c>
      <c r="E38" s="64">
        <v>3.72</v>
      </c>
      <c r="F38" s="64">
        <v>6.4</v>
      </c>
      <c r="G38" s="64">
        <v>41.3</v>
      </c>
      <c r="H38" s="64">
        <v>25.63</v>
      </c>
      <c r="I38" s="64">
        <v>0.57999999999999996</v>
      </c>
      <c r="J38" s="64">
        <v>0.1</v>
      </c>
      <c r="K38" s="64">
        <v>251.66</v>
      </c>
      <c r="L38" s="64">
        <v>30.36</v>
      </c>
      <c r="M38" s="64">
        <v>40.880000000000003</v>
      </c>
      <c r="N38" s="64">
        <v>304.5</v>
      </c>
      <c r="O38" s="64">
        <v>0</v>
      </c>
      <c r="P38" s="64">
        <v>0.74</v>
      </c>
      <c r="Q38" s="64">
        <v>24.14</v>
      </c>
      <c r="R38" s="198"/>
      <c r="S38" s="198"/>
      <c r="T38" s="198"/>
      <c r="U38" s="198"/>
    </row>
    <row r="39" spans="1:21" s="12" customFormat="1" x14ac:dyDescent="0.25">
      <c r="A39" s="211" t="s">
        <v>3168</v>
      </c>
      <c r="B39" s="64">
        <v>4.68</v>
      </c>
      <c r="C39" s="64">
        <v>53.35</v>
      </c>
      <c r="D39" s="64">
        <v>33.840000000000003</v>
      </c>
      <c r="E39" s="64">
        <v>2.81</v>
      </c>
      <c r="F39" s="64">
        <v>5.17</v>
      </c>
      <c r="G39" s="64">
        <v>42.08</v>
      </c>
      <c r="H39" s="64">
        <v>25.94</v>
      </c>
      <c r="I39" s="64">
        <v>0.7</v>
      </c>
      <c r="J39" s="64">
        <v>0.04</v>
      </c>
      <c r="K39" s="64">
        <v>29</v>
      </c>
      <c r="L39" s="64">
        <v>31.02</v>
      </c>
      <c r="M39" s="64">
        <v>39.409999999999997</v>
      </c>
      <c r="N39" s="64">
        <v>350.2</v>
      </c>
      <c r="O39" s="64">
        <v>0</v>
      </c>
      <c r="P39" s="64">
        <v>0.86</v>
      </c>
      <c r="Q39" s="64">
        <v>23.82</v>
      </c>
      <c r="R39" s="198"/>
      <c r="S39" s="198"/>
      <c r="T39" s="198"/>
      <c r="U39" s="198"/>
    </row>
    <row r="40" spans="1:21" s="12" customFormat="1" x14ac:dyDescent="0.25">
      <c r="A40" s="211" t="s">
        <v>3169</v>
      </c>
      <c r="B40" s="64">
        <v>4.1100000000000003</v>
      </c>
      <c r="C40" s="64">
        <v>56.23</v>
      </c>
      <c r="D40" s="64">
        <v>34.97</v>
      </c>
      <c r="E40" s="64">
        <v>2.2599999999999998</v>
      </c>
      <c r="F40" s="64">
        <v>4.91</v>
      </c>
      <c r="G40" s="64">
        <v>48.34</v>
      </c>
      <c r="H40" s="64">
        <v>28.2</v>
      </c>
      <c r="I40" s="64">
        <v>0.68</v>
      </c>
      <c r="J40" s="64">
        <v>0.02</v>
      </c>
      <c r="K40" s="64">
        <v>283.39999999999998</v>
      </c>
      <c r="L40" s="64">
        <v>30.99</v>
      </c>
      <c r="M40" s="64">
        <v>39.47</v>
      </c>
      <c r="N40" s="64">
        <v>400.3</v>
      </c>
      <c r="O40" s="64">
        <v>0</v>
      </c>
      <c r="P40" s="64">
        <v>1</v>
      </c>
      <c r="Q40" s="64">
        <v>24.14</v>
      </c>
      <c r="R40" s="198"/>
      <c r="S40" s="198"/>
      <c r="T40" s="198"/>
      <c r="U40" s="198"/>
    </row>
    <row r="41" spans="1:21" s="12" customFormat="1" x14ac:dyDescent="0.25">
      <c r="A41" s="211" t="s">
        <v>3170</v>
      </c>
      <c r="B41" s="64">
        <v>3.22</v>
      </c>
      <c r="C41" s="64">
        <v>59.45</v>
      </c>
      <c r="D41" s="64">
        <v>36.04</v>
      </c>
      <c r="E41" s="64">
        <v>2.5</v>
      </c>
      <c r="F41" s="64">
        <v>5.0599999999999996</v>
      </c>
      <c r="G41" s="64">
        <v>48.34</v>
      </c>
      <c r="H41" s="64">
        <v>28.2</v>
      </c>
      <c r="I41" s="64">
        <v>0.56999999999999995</v>
      </c>
      <c r="J41" s="64">
        <v>0.34</v>
      </c>
      <c r="K41" s="64">
        <v>242.31</v>
      </c>
      <c r="L41" s="64">
        <v>31.47</v>
      </c>
      <c r="M41" s="64">
        <v>37.93</v>
      </c>
      <c r="N41" s="64">
        <v>463.7</v>
      </c>
      <c r="O41" s="64">
        <v>0</v>
      </c>
      <c r="P41" s="64">
        <v>1.1399999999999999</v>
      </c>
      <c r="Q41" s="64">
        <v>24.27</v>
      </c>
      <c r="R41" s="198"/>
      <c r="S41" s="198"/>
      <c r="T41" s="198"/>
      <c r="U41" s="198"/>
    </row>
    <row r="42" spans="1:21" s="12" customFormat="1" x14ac:dyDescent="0.25">
      <c r="A42" s="211" t="s">
        <v>3171</v>
      </c>
      <c r="B42" s="64">
        <v>2.44</v>
      </c>
      <c r="C42" s="64">
        <v>60.24</v>
      </c>
      <c r="D42" s="64">
        <v>35.85</v>
      </c>
      <c r="E42" s="64">
        <v>2.4900000000000002</v>
      </c>
      <c r="F42" s="64">
        <v>5.95</v>
      </c>
      <c r="G42" s="64">
        <v>48.34</v>
      </c>
      <c r="H42" s="64">
        <v>28.2</v>
      </c>
      <c r="I42" s="64">
        <v>0.66</v>
      </c>
      <c r="J42" s="64">
        <v>0.74</v>
      </c>
      <c r="K42" s="64">
        <v>239.11</v>
      </c>
      <c r="L42" s="64">
        <v>34.03</v>
      </c>
      <c r="M42" s="64">
        <v>32.39</v>
      </c>
      <c r="N42" s="64">
        <v>517.6</v>
      </c>
      <c r="O42" s="64">
        <v>0</v>
      </c>
      <c r="P42" s="64">
        <v>1.1200000000000001</v>
      </c>
      <c r="Q42" s="64">
        <v>24.1</v>
      </c>
      <c r="R42" s="198"/>
      <c r="S42" s="198"/>
      <c r="T42" s="198"/>
      <c r="U42" s="198"/>
    </row>
    <row r="43" spans="1:21" s="12" customFormat="1" x14ac:dyDescent="0.25">
      <c r="A43" s="211" t="s">
        <v>3172</v>
      </c>
      <c r="B43" s="64">
        <v>1.75</v>
      </c>
      <c r="C43" s="64">
        <v>59.72</v>
      </c>
      <c r="D43" s="64">
        <v>35.01</v>
      </c>
      <c r="E43" s="64">
        <v>2.36</v>
      </c>
      <c r="F43" s="64">
        <v>7.22</v>
      </c>
      <c r="G43" s="64">
        <v>49.44</v>
      </c>
      <c r="H43" s="64">
        <v>28.24</v>
      </c>
      <c r="I43" s="64">
        <v>0.68</v>
      </c>
      <c r="J43" s="64">
        <v>0.45</v>
      </c>
      <c r="K43" s="64">
        <v>243.24</v>
      </c>
      <c r="L43" s="64">
        <v>35.340000000000003</v>
      </c>
      <c r="M43" s="64">
        <v>30.5</v>
      </c>
      <c r="N43" s="64">
        <v>552.6</v>
      </c>
      <c r="O43" s="64">
        <v>0</v>
      </c>
      <c r="P43" s="64">
        <v>1.05</v>
      </c>
      <c r="Q43" s="64">
        <v>23.73</v>
      </c>
      <c r="R43" s="198"/>
      <c r="S43" s="198"/>
      <c r="T43" s="198"/>
      <c r="U43" s="198"/>
    </row>
    <row r="44" spans="1:21" s="12" customFormat="1" x14ac:dyDescent="0.25">
      <c r="A44" s="211" t="s">
        <v>3173</v>
      </c>
      <c r="B44" s="64">
        <v>1.31</v>
      </c>
      <c r="C44" s="64">
        <v>59.64</v>
      </c>
      <c r="D44" s="64">
        <v>34.61</v>
      </c>
      <c r="E44" s="64">
        <v>1.99</v>
      </c>
      <c r="F44" s="64">
        <v>9.3699999999999992</v>
      </c>
      <c r="G44" s="64">
        <v>59.28</v>
      </c>
      <c r="H44" s="64">
        <v>28.46</v>
      </c>
      <c r="I44" s="64">
        <v>0.54</v>
      </c>
      <c r="J44" s="64">
        <v>0.09</v>
      </c>
      <c r="K44" s="64">
        <v>265.43</v>
      </c>
      <c r="L44" s="64">
        <v>35.14</v>
      </c>
      <c r="M44" s="64">
        <v>30.64</v>
      </c>
      <c r="N44" s="64">
        <v>586.29999999999995</v>
      </c>
      <c r="O44" s="64">
        <v>0</v>
      </c>
      <c r="P44" s="64">
        <v>1</v>
      </c>
      <c r="Q44" s="64">
        <v>23.44</v>
      </c>
      <c r="R44" s="198"/>
      <c r="S44" s="198"/>
      <c r="T44" s="198"/>
      <c r="U44" s="198"/>
    </row>
    <row r="45" spans="1:21" s="12" customFormat="1" x14ac:dyDescent="0.25">
      <c r="A45" s="211" t="s">
        <v>3174</v>
      </c>
      <c r="B45" s="64">
        <v>3.29</v>
      </c>
      <c r="C45" s="64">
        <v>57.71</v>
      </c>
      <c r="D45" s="64">
        <v>35.130000000000003</v>
      </c>
      <c r="E45" s="64">
        <v>2.48</v>
      </c>
      <c r="F45" s="64">
        <v>13.26</v>
      </c>
      <c r="G45" s="64">
        <v>59.28</v>
      </c>
      <c r="H45" s="64">
        <v>28.46</v>
      </c>
      <c r="I45" s="64">
        <v>0.6</v>
      </c>
      <c r="J45" s="64">
        <v>0.76</v>
      </c>
      <c r="K45" s="64">
        <v>241.9</v>
      </c>
      <c r="L45" s="64">
        <v>35.9</v>
      </c>
      <c r="M45" s="64">
        <v>29.17</v>
      </c>
      <c r="N45" s="64">
        <v>636.4</v>
      </c>
      <c r="O45" s="64">
        <v>0</v>
      </c>
      <c r="P45" s="64">
        <v>0.96</v>
      </c>
      <c r="Q45" s="64">
        <v>23.62</v>
      </c>
      <c r="R45" s="198"/>
      <c r="S45" s="198"/>
      <c r="T45" s="198"/>
      <c r="U45" s="198"/>
    </row>
    <row r="46" spans="1:21" s="12" customFormat="1" x14ac:dyDescent="0.25">
      <c r="A46" s="211" t="s">
        <v>3175</v>
      </c>
      <c r="B46" s="64">
        <v>3.03</v>
      </c>
      <c r="C46" s="64">
        <v>55.34</v>
      </c>
      <c r="D46" s="64">
        <v>33.619999999999997</v>
      </c>
      <c r="E46" s="64">
        <v>2.85</v>
      </c>
      <c r="F46" s="64">
        <v>15.07</v>
      </c>
      <c r="G46" s="64">
        <v>59.28</v>
      </c>
      <c r="H46" s="64">
        <v>28.46</v>
      </c>
      <c r="I46" s="64">
        <v>0.53</v>
      </c>
      <c r="J46" s="64">
        <v>0.45</v>
      </c>
      <c r="K46" s="64">
        <v>243.5</v>
      </c>
      <c r="L46" s="64">
        <v>36.83</v>
      </c>
      <c r="M46" s="64">
        <v>27.99</v>
      </c>
      <c r="N46" s="64">
        <v>676.2</v>
      </c>
      <c r="O46" s="64">
        <v>0</v>
      </c>
      <c r="P46" s="64">
        <v>0.94</v>
      </c>
      <c r="Q46" s="64">
        <v>24.24</v>
      </c>
      <c r="R46" s="198"/>
      <c r="S46" s="198"/>
      <c r="T46" s="198"/>
      <c r="U46" s="198"/>
    </row>
    <row r="47" spans="1:21" s="12" customFormat="1" x14ac:dyDescent="0.25">
      <c r="A47" s="211" t="s">
        <v>3176</v>
      </c>
      <c r="B47" s="64">
        <v>2.65</v>
      </c>
      <c r="C47" s="64">
        <v>47.92</v>
      </c>
      <c r="D47" s="64">
        <v>29.22</v>
      </c>
      <c r="E47" s="64">
        <v>3.17</v>
      </c>
      <c r="F47" s="64">
        <v>26.79</v>
      </c>
      <c r="G47" s="64">
        <v>59.14</v>
      </c>
      <c r="H47" s="64">
        <v>28.38</v>
      </c>
      <c r="I47" s="64">
        <v>0.53</v>
      </c>
      <c r="J47" s="64">
        <v>0.42</v>
      </c>
      <c r="K47" s="64">
        <v>243.23</v>
      </c>
      <c r="L47" s="64">
        <v>37.51</v>
      </c>
      <c r="M47" s="64">
        <v>27.06</v>
      </c>
      <c r="N47" s="64">
        <v>717.5</v>
      </c>
      <c r="O47" s="64">
        <v>0</v>
      </c>
      <c r="P47" s="64">
        <v>0.92</v>
      </c>
      <c r="Q47" s="64">
        <v>23.88</v>
      </c>
      <c r="R47" s="198"/>
      <c r="S47" s="198"/>
      <c r="T47" s="198"/>
      <c r="U47" s="198"/>
    </row>
    <row r="48" spans="1:21" s="12" customFormat="1" x14ac:dyDescent="0.25">
      <c r="A48" s="211" t="s">
        <v>3177</v>
      </c>
      <c r="B48" s="64">
        <v>4.22</v>
      </c>
      <c r="C48" s="64">
        <v>48.47</v>
      </c>
      <c r="D48" s="64">
        <v>30.78</v>
      </c>
      <c r="E48" s="64">
        <v>3.84</v>
      </c>
      <c r="F48" s="64">
        <v>28.49</v>
      </c>
      <c r="G48" s="64">
        <v>57.85</v>
      </c>
      <c r="H48" s="64">
        <v>27.88</v>
      </c>
      <c r="I48" s="64">
        <v>0.53</v>
      </c>
      <c r="J48" s="64">
        <v>0.96</v>
      </c>
      <c r="K48" s="64">
        <v>246.59</v>
      </c>
      <c r="L48" s="64">
        <v>38.51</v>
      </c>
      <c r="M48" s="64">
        <v>25.36</v>
      </c>
      <c r="N48" s="64">
        <v>754.8</v>
      </c>
      <c r="O48" s="64">
        <v>0</v>
      </c>
      <c r="P48" s="64">
        <v>0.92</v>
      </c>
      <c r="Q48" s="64">
        <v>23.92</v>
      </c>
      <c r="R48" s="198"/>
      <c r="S48" s="198"/>
      <c r="T48" s="198"/>
      <c r="U48" s="198"/>
    </row>
    <row r="49" spans="1:21" s="12" customFormat="1" x14ac:dyDescent="0.25">
      <c r="A49" s="211" t="s">
        <v>3178</v>
      </c>
      <c r="B49" s="64">
        <v>2.21</v>
      </c>
      <c r="C49" s="64">
        <v>41.01</v>
      </c>
      <c r="D49" s="64">
        <v>25.05</v>
      </c>
      <c r="E49" s="64">
        <v>4.99</v>
      </c>
      <c r="F49" s="64">
        <v>61.73</v>
      </c>
      <c r="G49" s="64">
        <v>57.85</v>
      </c>
      <c r="H49" s="64">
        <v>27.88</v>
      </c>
      <c r="I49" s="64">
        <v>0.54</v>
      </c>
      <c r="J49" s="64">
        <v>0.56000000000000005</v>
      </c>
      <c r="K49" s="64">
        <v>236.66</v>
      </c>
      <c r="L49" s="64">
        <v>37.9</v>
      </c>
      <c r="M49" s="64">
        <v>25.61</v>
      </c>
      <c r="N49" s="64">
        <v>779.8</v>
      </c>
      <c r="O49" s="64">
        <v>0</v>
      </c>
      <c r="P49" s="64">
        <v>0.91</v>
      </c>
      <c r="Q49" s="64">
        <v>24.11</v>
      </c>
      <c r="R49" s="198"/>
      <c r="S49" s="198"/>
      <c r="T49" s="198"/>
      <c r="U49" s="198"/>
    </row>
    <row r="50" spans="1:21" s="12" customFormat="1" x14ac:dyDescent="0.25">
      <c r="A50" s="211" t="s">
        <v>3179</v>
      </c>
      <c r="B50" s="64">
        <v>2.04</v>
      </c>
      <c r="C50" s="64">
        <v>45.98</v>
      </c>
      <c r="D50" s="64">
        <v>27.66</v>
      </c>
      <c r="E50" s="64">
        <v>6.38</v>
      </c>
      <c r="F50" s="64">
        <v>53.6</v>
      </c>
      <c r="G50" s="64">
        <v>57.85</v>
      </c>
      <c r="H50" s="64">
        <v>27.88</v>
      </c>
      <c r="I50" s="64">
        <v>0.57999999999999996</v>
      </c>
      <c r="J50" s="64">
        <v>0.81</v>
      </c>
      <c r="K50" s="64">
        <v>240.83</v>
      </c>
      <c r="L50" s="64">
        <v>39.42</v>
      </c>
      <c r="M50" s="64">
        <v>24.12</v>
      </c>
      <c r="N50" s="64">
        <v>798.7</v>
      </c>
      <c r="O50" s="64">
        <v>0</v>
      </c>
      <c r="P50" s="64">
        <v>0.81</v>
      </c>
      <c r="Q50" s="64">
        <v>22.97</v>
      </c>
      <c r="R50" s="198"/>
      <c r="S50" s="198"/>
      <c r="T50" s="198"/>
      <c r="U50" s="198"/>
    </row>
    <row r="51" spans="1:21" s="12" customFormat="1" x14ac:dyDescent="0.25">
      <c r="A51" s="211" t="s">
        <v>3180</v>
      </c>
      <c r="B51" s="64">
        <v>2.68</v>
      </c>
      <c r="C51" s="64">
        <v>50.69</v>
      </c>
      <c r="D51" s="64">
        <v>30.77</v>
      </c>
      <c r="E51" s="64">
        <v>4.63</v>
      </c>
      <c r="F51" s="64">
        <v>26.06</v>
      </c>
      <c r="G51" s="64">
        <v>58.14</v>
      </c>
      <c r="H51" s="64">
        <v>28.11</v>
      </c>
      <c r="I51" s="64">
        <v>0.56000000000000005</v>
      </c>
      <c r="J51" s="64">
        <v>0.39</v>
      </c>
      <c r="K51" s="64">
        <v>246.5</v>
      </c>
      <c r="L51" s="64">
        <v>39.729999999999997</v>
      </c>
      <c r="M51" s="64">
        <v>23.77</v>
      </c>
      <c r="N51" s="64">
        <v>812</v>
      </c>
      <c r="O51" s="64">
        <v>0</v>
      </c>
      <c r="P51" s="64">
        <v>0.8</v>
      </c>
      <c r="Q51" s="64">
        <v>23.08</v>
      </c>
      <c r="R51" s="198"/>
      <c r="S51" s="198"/>
      <c r="T51" s="198"/>
      <c r="U51" s="198"/>
    </row>
    <row r="52" spans="1:21" s="12" customFormat="1" x14ac:dyDescent="0.25">
      <c r="A52" s="211" t="s">
        <v>3181</v>
      </c>
      <c r="B52" s="64">
        <v>1.74</v>
      </c>
      <c r="C52" s="64">
        <v>43.62</v>
      </c>
      <c r="D52" s="64">
        <v>26.11</v>
      </c>
      <c r="E52" s="64">
        <v>4.22</v>
      </c>
      <c r="F52" s="64">
        <v>22.29</v>
      </c>
      <c r="G52" s="64">
        <v>60.49</v>
      </c>
      <c r="H52" s="64">
        <v>29.58</v>
      </c>
      <c r="I52" s="64">
        <v>0.66</v>
      </c>
      <c r="J52" s="64">
        <v>0.36</v>
      </c>
      <c r="K52" s="64">
        <v>193.04</v>
      </c>
      <c r="L52" s="214" t="s">
        <v>42</v>
      </c>
      <c r="M52" s="214" t="s">
        <v>42</v>
      </c>
      <c r="N52" s="64">
        <v>761.7</v>
      </c>
      <c r="O52" s="64">
        <v>0</v>
      </c>
      <c r="P52" s="64">
        <v>0.78</v>
      </c>
      <c r="Q52" s="64">
        <v>23.9</v>
      </c>
      <c r="R52" s="198"/>
      <c r="S52" s="198"/>
      <c r="T52" s="198"/>
      <c r="U52" s="198"/>
    </row>
    <row r="53" spans="1:21" s="12" customFormat="1" x14ac:dyDescent="0.25">
      <c r="A53" s="211" t="s">
        <v>3182</v>
      </c>
      <c r="B53" s="64">
        <v>2.37</v>
      </c>
      <c r="C53" s="64">
        <v>47.57</v>
      </c>
      <c r="D53" s="64">
        <v>28.8</v>
      </c>
      <c r="E53" s="64">
        <v>3.95</v>
      </c>
      <c r="F53" s="64">
        <v>15.07</v>
      </c>
      <c r="G53" s="64">
        <v>60.49</v>
      </c>
      <c r="H53" s="64">
        <v>29.58</v>
      </c>
      <c r="I53" s="64">
        <v>0.59</v>
      </c>
      <c r="J53" s="64">
        <v>0.84</v>
      </c>
      <c r="K53" s="64">
        <v>240.17</v>
      </c>
      <c r="L53" s="214" t="s">
        <v>42</v>
      </c>
      <c r="M53" s="214" t="s">
        <v>42</v>
      </c>
      <c r="N53" s="64">
        <v>828.1</v>
      </c>
      <c r="O53" s="64">
        <v>0</v>
      </c>
      <c r="P53" s="64">
        <v>0.76</v>
      </c>
      <c r="Q53" s="64">
        <v>23</v>
      </c>
      <c r="R53" s="198"/>
      <c r="S53" s="198"/>
      <c r="T53" s="198"/>
      <c r="U53" s="198"/>
    </row>
    <row r="54" spans="1:21" s="12" customFormat="1" x14ac:dyDescent="0.25">
      <c r="A54" s="211" t="s">
        <v>3183</v>
      </c>
      <c r="B54" s="64">
        <v>1.23</v>
      </c>
      <c r="C54" s="64">
        <v>44.89</v>
      </c>
      <c r="D54" s="64">
        <v>26.4</v>
      </c>
      <c r="E54" s="64">
        <v>3.44</v>
      </c>
      <c r="F54" s="64">
        <v>16.86</v>
      </c>
      <c r="G54" s="64">
        <v>60.49</v>
      </c>
      <c r="H54" s="64">
        <v>29.58</v>
      </c>
      <c r="I54" s="64">
        <v>0.56999999999999995</v>
      </c>
      <c r="J54" s="64">
        <v>0.44</v>
      </c>
      <c r="K54" s="64">
        <v>160.19999999999999</v>
      </c>
      <c r="L54" s="214" t="s">
        <v>42</v>
      </c>
      <c r="M54" s="214" t="s">
        <v>42</v>
      </c>
      <c r="N54" s="64">
        <v>812.3</v>
      </c>
      <c r="O54" s="64">
        <v>0</v>
      </c>
      <c r="P54" s="64">
        <v>0.74</v>
      </c>
      <c r="Q54" s="64">
        <v>23.42</v>
      </c>
      <c r="R54" s="198"/>
      <c r="S54" s="198"/>
      <c r="T54" s="198"/>
      <c r="U54" s="198"/>
    </row>
    <row r="55" spans="1:21" s="12" customFormat="1" x14ac:dyDescent="0.25">
      <c r="A55" s="211" t="s">
        <v>3184</v>
      </c>
      <c r="B55" s="64">
        <v>1</v>
      </c>
      <c r="C55" s="64">
        <v>43.56</v>
      </c>
      <c r="D55" s="64">
        <v>25.49</v>
      </c>
      <c r="E55" s="64">
        <v>3.16</v>
      </c>
      <c r="F55" s="64">
        <v>15.56</v>
      </c>
      <c r="G55" s="64">
        <v>59.93</v>
      </c>
      <c r="H55" s="64">
        <v>29.42</v>
      </c>
      <c r="I55" s="64">
        <v>0.56000000000000005</v>
      </c>
      <c r="J55" s="64">
        <v>0.31</v>
      </c>
      <c r="K55" s="64">
        <v>234.11</v>
      </c>
      <c r="L55" s="214" t="s">
        <v>42</v>
      </c>
      <c r="M55" s="214" t="s">
        <v>42</v>
      </c>
      <c r="N55" s="64">
        <v>797.2</v>
      </c>
      <c r="O55" s="64">
        <v>0</v>
      </c>
      <c r="P55" s="64">
        <v>0.67</v>
      </c>
      <c r="Q55" s="64">
        <v>23.79</v>
      </c>
      <c r="R55" s="198"/>
      <c r="S55" s="198"/>
      <c r="T55" s="198"/>
      <c r="U55" s="198"/>
    </row>
    <row r="56" spans="1:21" s="12" customFormat="1" x14ac:dyDescent="0.25">
      <c r="A56" s="211" t="s">
        <v>3185</v>
      </c>
      <c r="B56" s="64">
        <v>1.1399999999999999</v>
      </c>
      <c r="C56" s="64">
        <v>40.99</v>
      </c>
      <c r="D56" s="64">
        <v>24.18</v>
      </c>
      <c r="E56" s="64">
        <v>2.35</v>
      </c>
      <c r="F56" s="64">
        <v>59.49</v>
      </c>
      <c r="G56" s="64">
        <v>55.43</v>
      </c>
      <c r="H56" s="64">
        <v>28.38</v>
      </c>
      <c r="I56" s="64">
        <v>0.56999999999999995</v>
      </c>
      <c r="J56" s="64">
        <v>0.17</v>
      </c>
      <c r="K56" s="64">
        <v>236.74</v>
      </c>
      <c r="L56" s="214" t="s">
        <v>42</v>
      </c>
      <c r="M56" s="214" t="s">
        <v>42</v>
      </c>
      <c r="N56" s="64">
        <v>690.1</v>
      </c>
      <c r="O56" s="64">
        <v>0</v>
      </c>
      <c r="P56" s="64">
        <v>0.57999999999999996</v>
      </c>
      <c r="Q56" s="64">
        <v>24.08</v>
      </c>
      <c r="R56" s="198"/>
      <c r="S56" s="198"/>
      <c r="T56" s="198"/>
      <c r="U56" s="198"/>
    </row>
    <row r="57" spans="1:21" s="12" customFormat="1" x14ac:dyDescent="0.25">
      <c r="A57" s="211" t="s">
        <v>3186</v>
      </c>
      <c r="B57" s="64">
        <v>3.21</v>
      </c>
      <c r="C57" s="64">
        <v>37.79</v>
      </c>
      <c r="D57" s="64">
        <v>24.07</v>
      </c>
      <c r="E57" s="64">
        <v>9.1999999999999993</v>
      </c>
      <c r="F57" s="64">
        <v>48</v>
      </c>
      <c r="G57" s="64">
        <v>55.43</v>
      </c>
      <c r="H57" s="64">
        <v>28.38</v>
      </c>
      <c r="I57" s="64">
        <v>0.69</v>
      </c>
      <c r="J57" s="64">
        <v>0.71</v>
      </c>
      <c r="K57" s="64">
        <v>229.64</v>
      </c>
      <c r="L57" s="214" t="s">
        <v>42</v>
      </c>
      <c r="M57" s="214" t="s">
        <v>42</v>
      </c>
      <c r="N57" s="64">
        <v>670.5</v>
      </c>
      <c r="O57" s="64">
        <v>0</v>
      </c>
      <c r="P57" s="64">
        <v>0.54</v>
      </c>
      <c r="Q57" s="64">
        <v>24.11</v>
      </c>
      <c r="R57" s="198"/>
      <c r="S57" s="198"/>
      <c r="T57" s="198"/>
      <c r="U57" s="198"/>
    </row>
    <row r="58" spans="1:21" s="12" customFormat="1" x14ac:dyDescent="0.25">
      <c r="A58" s="211" t="s">
        <v>3187</v>
      </c>
      <c r="B58" s="64">
        <v>3.12</v>
      </c>
      <c r="C58" s="64">
        <v>33.49</v>
      </c>
      <c r="D58" s="64">
        <v>21.63</v>
      </c>
      <c r="E58" s="64">
        <v>6.89</v>
      </c>
      <c r="F58" s="64">
        <v>39.380000000000003</v>
      </c>
      <c r="G58" s="64">
        <v>55.43</v>
      </c>
      <c r="H58" s="64">
        <v>28.38</v>
      </c>
      <c r="I58" s="64">
        <v>0.55000000000000004</v>
      </c>
      <c r="J58" s="64">
        <v>1.37</v>
      </c>
      <c r="K58" s="64">
        <v>237.28</v>
      </c>
      <c r="L58" s="214" t="s">
        <v>42</v>
      </c>
      <c r="M58" s="214" t="s">
        <v>42</v>
      </c>
      <c r="N58" s="64">
        <v>704.6</v>
      </c>
      <c r="O58" s="64">
        <v>0</v>
      </c>
      <c r="P58" s="64">
        <v>0.56000000000000005</v>
      </c>
      <c r="Q58" s="64">
        <v>24.46</v>
      </c>
      <c r="R58" s="198"/>
      <c r="S58" s="198"/>
      <c r="T58" s="198"/>
      <c r="U58" s="198"/>
    </row>
    <row r="59" spans="1:21" s="12" customFormat="1" x14ac:dyDescent="0.25">
      <c r="A59" s="211" t="s">
        <v>3188</v>
      </c>
      <c r="B59" s="64">
        <v>2.0699999999999998</v>
      </c>
      <c r="C59" s="64">
        <v>22.45</v>
      </c>
      <c r="D59" s="64">
        <v>14.7</v>
      </c>
      <c r="E59" s="64">
        <v>9.48</v>
      </c>
      <c r="F59" s="64">
        <v>95.43</v>
      </c>
      <c r="G59" s="64">
        <v>55.41</v>
      </c>
      <c r="H59" s="64">
        <v>28.44</v>
      </c>
      <c r="I59" s="64">
        <v>0.5</v>
      </c>
      <c r="J59" s="64">
        <v>0.33</v>
      </c>
      <c r="K59" s="64">
        <v>226.04</v>
      </c>
      <c r="L59" s="214" t="s">
        <v>42</v>
      </c>
      <c r="M59" s="214" t="s">
        <v>42</v>
      </c>
      <c r="N59" s="64">
        <v>546.20000000000005</v>
      </c>
      <c r="O59" s="64">
        <v>0</v>
      </c>
      <c r="P59" s="64">
        <v>0.54</v>
      </c>
      <c r="Q59" s="64">
        <v>24.38</v>
      </c>
      <c r="R59" s="198"/>
      <c r="S59" s="198"/>
      <c r="T59" s="198"/>
      <c r="U59" s="198"/>
    </row>
    <row r="60" spans="1:21" s="12" customFormat="1" x14ac:dyDescent="0.25">
      <c r="A60" s="211" t="s">
        <v>3189</v>
      </c>
      <c r="B60" s="64">
        <v>3.46</v>
      </c>
      <c r="C60" s="64">
        <v>27.83</v>
      </c>
      <c r="D60" s="64">
        <v>18.78</v>
      </c>
      <c r="E60" s="64">
        <v>12.28</v>
      </c>
      <c r="F60" s="64">
        <v>57.98</v>
      </c>
      <c r="G60" s="64">
        <v>55.25</v>
      </c>
      <c r="H60" s="64">
        <v>28.85</v>
      </c>
      <c r="I60" s="64">
        <v>0.53</v>
      </c>
      <c r="J60" s="64">
        <v>0.44</v>
      </c>
      <c r="K60" s="64">
        <v>238.41</v>
      </c>
      <c r="L60" s="214" t="s">
        <v>42</v>
      </c>
      <c r="M60" s="214" t="s">
        <v>42</v>
      </c>
      <c r="N60" s="64">
        <v>637.29999999999995</v>
      </c>
      <c r="O60" s="64">
        <v>0</v>
      </c>
      <c r="P60" s="64">
        <v>0.54</v>
      </c>
      <c r="Q60" s="64">
        <v>23.13</v>
      </c>
      <c r="R60" s="198"/>
      <c r="S60" s="198"/>
      <c r="T60" s="198"/>
      <c r="U60" s="198"/>
    </row>
    <row r="61" spans="1:21" s="12" customFormat="1" x14ac:dyDescent="0.25">
      <c r="A61" s="211" t="s">
        <v>3190</v>
      </c>
      <c r="B61" s="64">
        <v>3.51</v>
      </c>
      <c r="C61" s="64">
        <v>34.19</v>
      </c>
      <c r="D61" s="64">
        <v>22.33</v>
      </c>
      <c r="E61" s="64">
        <v>7.26</v>
      </c>
      <c r="F61" s="64">
        <v>32.61</v>
      </c>
      <c r="G61" s="64">
        <v>55.25</v>
      </c>
      <c r="H61" s="64">
        <v>28.85</v>
      </c>
      <c r="I61" s="64">
        <v>0.53</v>
      </c>
      <c r="J61" s="64">
        <v>0.61</v>
      </c>
      <c r="K61" s="64">
        <v>218.41</v>
      </c>
      <c r="L61" s="214" t="s">
        <v>42</v>
      </c>
      <c r="M61" s="214" t="s">
        <v>42</v>
      </c>
      <c r="N61" s="64">
        <v>346</v>
      </c>
      <c r="O61" s="64">
        <v>0</v>
      </c>
      <c r="P61" s="64">
        <v>0.53</v>
      </c>
      <c r="Q61" s="64">
        <v>23.37</v>
      </c>
      <c r="R61" s="198"/>
      <c r="S61" s="198"/>
      <c r="T61" s="198"/>
      <c r="U61" s="198"/>
    </row>
    <row r="62" spans="1:21" s="12" customFormat="1" x14ac:dyDescent="0.25">
      <c r="A62" s="211" t="s">
        <v>3191</v>
      </c>
      <c r="B62" s="64">
        <v>1.71</v>
      </c>
      <c r="C62" s="64">
        <v>31.06</v>
      </c>
      <c r="D62" s="64">
        <v>19.16</v>
      </c>
      <c r="E62" s="64">
        <v>4.8600000000000003</v>
      </c>
      <c r="F62" s="64">
        <v>13.26</v>
      </c>
      <c r="G62" s="64">
        <v>55.25</v>
      </c>
      <c r="H62" s="64">
        <v>28.85</v>
      </c>
      <c r="I62" s="64">
        <v>0.63</v>
      </c>
      <c r="J62" s="64">
        <v>0.63</v>
      </c>
      <c r="K62" s="64">
        <v>128.21</v>
      </c>
      <c r="L62" s="214" t="s">
        <v>42</v>
      </c>
      <c r="M62" s="214" t="s">
        <v>42</v>
      </c>
      <c r="N62" s="64">
        <v>657.1</v>
      </c>
      <c r="O62" s="64">
        <v>0</v>
      </c>
      <c r="P62" s="64">
        <v>0.53</v>
      </c>
      <c r="Q62" s="64">
        <v>24.1</v>
      </c>
      <c r="R62" s="198"/>
      <c r="S62" s="198"/>
      <c r="T62" s="198"/>
      <c r="U62" s="198"/>
    </row>
    <row r="63" spans="1:21" s="12" customFormat="1" x14ac:dyDescent="0.25">
      <c r="A63" s="211" t="s">
        <v>3192</v>
      </c>
      <c r="B63" s="64">
        <v>1.18</v>
      </c>
      <c r="C63" s="64">
        <v>29.93</v>
      </c>
      <c r="D63" s="64">
        <v>18.11</v>
      </c>
      <c r="E63" s="64">
        <v>4.2</v>
      </c>
      <c r="F63" s="64">
        <v>33.880000000000003</v>
      </c>
      <c r="G63" s="64">
        <v>54.2</v>
      </c>
      <c r="H63" s="64">
        <v>28.43</v>
      </c>
      <c r="I63" s="64">
        <v>0.76</v>
      </c>
      <c r="J63" s="64">
        <v>0.22</v>
      </c>
      <c r="K63" s="64">
        <v>220.1</v>
      </c>
      <c r="L63" s="214" t="s">
        <v>42</v>
      </c>
      <c r="M63" s="214" t="s">
        <v>42</v>
      </c>
      <c r="N63" s="64">
        <v>624.5</v>
      </c>
      <c r="O63" s="64">
        <v>0</v>
      </c>
      <c r="P63" s="64">
        <v>0.53</v>
      </c>
      <c r="Q63" s="64">
        <v>25.32</v>
      </c>
      <c r="R63" s="198"/>
      <c r="S63" s="198"/>
      <c r="T63" s="198"/>
      <c r="U63" s="198"/>
    </row>
    <row r="64" spans="1:21" s="12" customFormat="1" x14ac:dyDescent="0.25">
      <c r="A64" s="211" t="s">
        <v>3193</v>
      </c>
      <c r="B64" s="64">
        <v>1.5</v>
      </c>
      <c r="C64" s="64">
        <v>33.119999999999997</v>
      </c>
      <c r="D64" s="64">
        <v>20.13</v>
      </c>
      <c r="E64" s="64">
        <v>4.38</v>
      </c>
      <c r="F64" s="64">
        <v>20.63</v>
      </c>
      <c r="G64" s="64">
        <v>44.83</v>
      </c>
      <c r="H64" s="64">
        <v>25.76</v>
      </c>
      <c r="I64" s="64">
        <v>0.94</v>
      </c>
      <c r="J64" s="64">
        <v>0.56999999999999995</v>
      </c>
      <c r="K64" s="64">
        <v>224.94</v>
      </c>
      <c r="L64" s="214" t="s">
        <v>42</v>
      </c>
      <c r="M64" s="214" t="s">
        <v>42</v>
      </c>
      <c r="N64" s="64">
        <v>606.29999999999995</v>
      </c>
      <c r="O64" s="64">
        <v>0</v>
      </c>
      <c r="P64" s="64">
        <v>0.49</v>
      </c>
      <c r="Q64" s="64">
        <v>25.19</v>
      </c>
      <c r="R64" s="198"/>
      <c r="S64" s="198"/>
      <c r="T64" s="198"/>
      <c r="U64" s="198"/>
    </row>
    <row r="65" spans="1:21" s="12" customFormat="1" x14ac:dyDescent="0.25">
      <c r="A65" s="211" t="s">
        <v>3194</v>
      </c>
      <c r="B65" s="64">
        <v>1.3</v>
      </c>
      <c r="C65" s="64">
        <v>31.16</v>
      </c>
      <c r="D65" s="64">
        <v>18.89</v>
      </c>
      <c r="E65" s="64">
        <v>3.82</v>
      </c>
      <c r="F65" s="64">
        <v>30.01</v>
      </c>
      <c r="G65" s="64">
        <v>44.83</v>
      </c>
      <c r="H65" s="64">
        <v>25.76</v>
      </c>
      <c r="I65" s="64">
        <v>0.71</v>
      </c>
      <c r="J65" s="64">
        <v>0.61</v>
      </c>
      <c r="K65" s="64">
        <v>236.19</v>
      </c>
      <c r="L65" s="214" t="s">
        <v>42</v>
      </c>
      <c r="M65" s="214" t="s">
        <v>42</v>
      </c>
      <c r="N65" s="64">
        <v>529</v>
      </c>
      <c r="O65" s="64">
        <v>0</v>
      </c>
      <c r="P65" s="64">
        <v>0.46</v>
      </c>
      <c r="Q65" s="64">
        <v>25.21</v>
      </c>
      <c r="R65" s="198"/>
      <c r="S65" s="198"/>
      <c r="T65" s="198"/>
      <c r="U65" s="198"/>
    </row>
    <row r="66" spans="1:21" s="12" customFormat="1" x14ac:dyDescent="0.25">
      <c r="A66" s="211" t="s">
        <v>3195</v>
      </c>
      <c r="B66" s="64">
        <v>1.01</v>
      </c>
      <c r="C66" s="64">
        <v>31.53</v>
      </c>
      <c r="D66" s="64">
        <v>18.86</v>
      </c>
      <c r="E66" s="64">
        <v>3.45</v>
      </c>
      <c r="F66" s="64">
        <v>27.83</v>
      </c>
      <c r="G66" s="64">
        <v>44.83</v>
      </c>
      <c r="H66" s="64">
        <v>25.76</v>
      </c>
      <c r="I66" s="64">
        <v>0.65</v>
      </c>
      <c r="J66" s="64">
        <v>0.59</v>
      </c>
      <c r="K66" s="64">
        <v>207.4</v>
      </c>
      <c r="L66" s="214" t="s">
        <v>42</v>
      </c>
      <c r="M66" s="214" t="s">
        <v>42</v>
      </c>
      <c r="N66" s="64">
        <v>406.1</v>
      </c>
      <c r="O66" s="64">
        <v>0</v>
      </c>
      <c r="P66" s="64">
        <v>0.44</v>
      </c>
      <c r="Q66" s="64">
        <v>24.7</v>
      </c>
      <c r="R66" s="198"/>
      <c r="S66" s="198"/>
      <c r="T66" s="198"/>
      <c r="U66" s="198"/>
    </row>
    <row r="67" spans="1:21" s="12" customFormat="1" x14ac:dyDescent="0.25">
      <c r="A67" s="211" t="s">
        <v>3196</v>
      </c>
      <c r="B67" s="64">
        <v>1.1200000000000001</v>
      </c>
      <c r="C67" s="64">
        <v>31.16</v>
      </c>
      <c r="D67" s="64">
        <v>18.75</v>
      </c>
      <c r="E67" s="64">
        <v>3.13</v>
      </c>
      <c r="F67" s="64">
        <v>27.31</v>
      </c>
      <c r="G67" s="64">
        <v>44.49</v>
      </c>
      <c r="H67" s="64">
        <v>25.66</v>
      </c>
      <c r="I67" s="64">
        <v>0.59</v>
      </c>
      <c r="J67" s="64">
        <v>0.81</v>
      </c>
      <c r="K67" s="64">
        <v>236.08</v>
      </c>
      <c r="L67" s="214" t="s">
        <v>42</v>
      </c>
      <c r="M67" s="214" t="s">
        <v>42</v>
      </c>
      <c r="N67" s="64">
        <v>484.9</v>
      </c>
      <c r="O67" s="64">
        <v>0</v>
      </c>
      <c r="P67" s="64">
        <v>0.43</v>
      </c>
      <c r="Q67" s="64">
        <v>24.84</v>
      </c>
      <c r="R67" s="198"/>
      <c r="S67" s="198"/>
      <c r="T67" s="198"/>
      <c r="U67" s="198"/>
    </row>
    <row r="68" spans="1:21" s="12" customFormat="1" x14ac:dyDescent="0.25">
      <c r="A68" s="211" t="s">
        <v>3197</v>
      </c>
      <c r="B68" s="64">
        <v>1.0900000000000001</v>
      </c>
      <c r="C68" s="64">
        <v>33.04</v>
      </c>
      <c r="D68" s="64">
        <v>19.760000000000002</v>
      </c>
      <c r="E68" s="64">
        <v>2.72</v>
      </c>
      <c r="F68" s="64">
        <v>31.25</v>
      </c>
      <c r="G68" s="64">
        <v>41.79</v>
      </c>
      <c r="H68" s="64">
        <v>25.07</v>
      </c>
      <c r="I68" s="64">
        <v>0.51</v>
      </c>
      <c r="J68" s="64">
        <v>0.47</v>
      </c>
      <c r="K68" s="64">
        <v>222.5</v>
      </c>
      <c r="L68" s="214" t="s">
        <v>42</v>
      </c>
      <c r="M68" s="214" t="s">
        <v>42</v>
      </c>
      <c r="N68" s="64">
        <v>285.8</v>
      </c>
      <c r="O68" s="64">
        <v>0</v>
      </c>
      <c r="P68" s="64">
        <v>0.43</v>
      </c>
      <c r="Q68" s="64">
        <v>24.8</v>
      </c>
      <c r="R68" s="198"/>
      <c r="S68" s="198"/>
      <c r="T68" s="198"/>
      <c r="U68" s="198"/>
    </row>
    <row r="69" spans="1:21" s="12" customFormat="1" x14ac:dyDescent="0.25">
      <c r="A69" s="211" t="s">
        <v>3198</v>
      </c>
      <c r="B69" s="64">
        <v>1.81</v>
      </c>
      <c r="C69" s="64">
        <v>32</v>
      </c>
      <c r="D69" s="64">
        <v>19.760000000000002</v>
      </c>
      <c r="E69" s="64">
        <v>4.87</v>
      </c>
      <c r="F69" s="64">
        <v>50.76</v>
      </c>
      <c r="G69" s="64">
        <v>41.79</v>
      </c>
      <c r="H69" s="64">
        <v>25.07</v>
      </c>
      <c r="I69" s="64">
        <v>0.55000000000000004</v>
      </c>
      <c r="J69" s="64">
        <v>0.28999999999999998</v>
      </c>
      <c r="K69" s="64">
        <v>227.82</v>
      </c>
      <c r="L69" s="214" t="s">
        <v>42</v>
      </c>
      <c r="M69" s="214" t="s">
        <v>42</v>
      </c>
      <c r="N69" s="64">
        <v>199.6</v>
      </c>
      <c r="O69" s="64">
        <v>0</v>
      </c>
      <c r="P69" s="64">
        <v>0.42</v>
      </c>
      <c r="Q69" s="64">
        <v>25.97</v>
      </c>
      <c r="R69" s="198"/>
      <c r="S69" s="198"/>
      <c r="T69" s="198"/>
      <c r="U69" s="198"/>
    </row>
    <row r="70" spans="1:21" s="12" customFormat="1" x14ac:dyDescent="0.25">
      <c r="A70" s="211" t="s">
        <v>3199</v>
      </c>
      <c r="B70" s="64">
        <v>3.11</v>
      </c>
      <c r="C70" s="64">
        <v>30.12</v>
      </c>
      <c r="D70" s="64">
        <v>19.760000000000002</v>
      </c>
      <c r="E70" s="64">
        <v>5.13</v>
      </c>
      <c r="F70" s="64">
        <v>49.5</v>
      </c>
      <c r="G70" s="64">
        <v>41.79</v>
      </c>
      <c r="H70" s="64">
        <v>25.07</v>
      </c>
      <c r="I70" s="64">
        <v>0.89</v>
      </c>
      <c r="J70" s="64">
        <v>0.84</v>
      </c>
      <c r="K70" s="64">
        <v>240.71</v>
      </c>
      <c r="L70" s="214" t="s">
        <v>42</v>
      </c>
      <c r="M70" s="214" t="s">
        <v>42</v>
      </c>
      <c r="N70" s="64">
        <v>260.10000000000002</v>
      </c>
      <c r="O70" s="64">
        <v>0</v>
      </c>
      <c r="P70" s="64">
        <v>0.44</v>
      </c>
      <c r="Q70" s="64">
        <v>25.85</v>
      </c>
      <c r="R70" s="198"/>
      <c r="S70" s="198"/>
      <c r="T70" s="198"/>
      <c r="U70" s="198"/>
    </row>
    <row r="71" spans="1:21" s="12" customFormat="1" x14ac:dyDescent="0.25">
      <c r="A71" s="211" t="s">
        <v>3200</v>
      </c>
      <c r="B71" s="64">
        <v>7.5</v>
      </c>
      <c r="C71" s="64">
        <v>33.479999999999997</v>
      </c>
      <c r="D71" s="64">
        <v>25.14</v>
      </c>
      <c r="E71" s="64">
        <v>4.7300000000000004</v>
      </c>
      <c r="F71" s="64">
        <v>61.46</v>
      </c>
      <c r="G71" s="64">
        <v>42.16</v>
      </c>
      <c r="H71" s="64">
        <v>24.89</v>
      </c>
      <c r="I71" s="64">
        <v>0.55000000000000004</v>
      </c>
      <c r="J71" s="64">
        <v>0.87</v>
      </c>
      <c r="K71" s="64">
        <v>237.75</v>
      </c>
      <c r="L71" s="214" t="s">
        <v>42</v>
      </c>
      <c r="M71" s="214" t="s">
        <v>42</v>
      </c>
      <c r="N71" s="64">
        <v>92.6</v>
      </c>
      <c r="O71" s="64">
        <v>0</v>
      </c>
      <c r="P71" s="64">
        <v>0.43</v>
      </c>
      <c r="Q71" s="64">
        <v>23.31</v>
      </c>
      <c r="R71" s="198"/>
      <c r="S71" s="198"/>
      <c r="T71" s="198"/>
      <c r="U71" s="198"/>
    </row>
    <row r="72" spans="1:21" s="12" customFormat="1" x14ac:dyDescent="0.25">
      <c r="A72" s="211" t="s">
        <v>3201</v>
      </c>
      <c r="B72" s="64">
        <v>5.42</v>
      </c>
      <c r="C72" s="64">
        <v>27.81</v>
      </c>
      <c r="D72" s="64">
        <v>20.34</v>
      </c>
      <c r="E72" s="64">
        <v>3</v>
      </c>
      <c r="F72" s="64">
        <v>73.599999999999994</v>
      </c>
      <c r="G72" s="64">
        <v>45.5</v>
      </c>
      <c r="H72" s="64">
        <v>23.78</v>
      </c>
      <c r="I72" s="64">
        <v>0.53</v>
      </c>
      <c r="J72" s="64">
        <v>0.91</v>
      </c>
      <c r="K72" s="64">
        <v>243.83</v>
      </c>
      <c r="L72" s="214" t="s">
        <v>42</v>
      </c>
      <c r="M72" s="214" t="s">
        <v>42</v>
      </c>
      <c r="N72" s="64">
        <v>116.4</v>
      </c>
      <c r="O72" s="64">
        <v>0</v>
      </c>
      <c r="P72" s="64">
        <v>0.44</v>
      </c>
      <c r="Q72" s="64">
        <v>23.91</v>
      </c>
      <c r="R72" s="198"/>
      <c r="S72" s="198"/>
      <c r="T72" s="198"/>
      <c r="U72" s="198"/>
    </row>
    <row r="73" spans="1:21" s="12" customFormat="1" x14ac:dyDescent="0.25">
      <c r="A73" s="211" t="s">
        <v>3202</v>
      </c>
      <c r="B73" s="64">
        <v>6.94</v>
      </c>
      <c r="C73" s="64">
        <v>37.51</v>
      </c>
      <c r="D73" s="64">
        <v>26.91</v>
      </c>
      <c r="E73" s="64">
        <v>6.21</v>
      </c>
      <c r="F73" s="64">
        <v>41.06</v>
      </c>
      <c r="G73" s="64">
        <v>45.5</v>
      </c>
      <c r="H73" s="64">
        <v>23.78</v>
      </c>
      <c r="I73" s="64">
        <v>0.56000000000000005</v>
      </c>
      <c r="J73" s="64">
        <v>0.71</v>
      </c>
      <c r="K73" s="64">
        <v>241.89</v>
      </c>
      <c r="L73" s="214" t="s">
        <v>42</v>
      </c>
      <c r="M73" s="214" t="s">
        <v>42</v>
      </c>
      <c r="N73" s="64">
        <v>113.2</v>
      </c>
      <c r="O73" s="64">
        <v>0</v>
      </c>
      <c r="P73" s="64">
        <v>0.47</v>
      </c>
      <c r="Q73" s="64">
        <v>24.41</v>
      </c>
      <c r="R73" s="198"/>
      <c r="S73" s="198"/>
      <c r="T73" s="198"/>
      <c r="U73" s="198"/>
    </row>
    <row r="74" spans="1:21" s="12" customFormat="1" x14ac:dyDescent="0.25">
      <c r="A74" s="211" t="s">
        <v>3203</v>
      </c>
      <c r="B74" s="64">
        <v>4.0199999999999996</v>
      </c>
      <c r="C74" s="64">
        <v>37.94</v>
      </c>
      <c r="D74" s="64">
        <v>24.8</v>
      </c>
      <c r="E74" s="64">
        <v>3.4</v>
      </c>
      <c r="F74" s="64">
        <v>14.11</v>
      </c>
      <c r="G74" s="64">
        <v>45.5</v>
      </c>
      <c r="H74" s="64">
        <v>23.78</v>
      </c>
      <c r="I74" s="64">
        <v>0.6</v>
      </c>
      <c r="J74" s="64">
        <v>1.26</v>
      </c>
      <c r="K74" s="64">
        <v>239.93</v>
      </c>
      <c r="L74" s="214" t="s">
        <v>42</v>
      </c>
      <c r="M74" s="214" t="s">
        <v>42</v>
      </c>
      <c r="N74" s="64">
        <v>98.3</v>
      </c>
      <c r="O74" s="64">
        <v>0</v>
      </c>
      <c r="P74" s="64">
        <v>0.48</v>
      </c>
      <c r="Q74" s="64">
        <v>25.32</v>
      </c>
      <c r="R74" s="198"/>
      <c r="S74" s="198"/>
      <c r="T74" s="198"/>
      <c r="U74" s="198"/>
    </row>
    <row r="75" spans="1:21" s="12" customFormat="1" x14ac:dyDescent="0.25">
      <c r="A75" s="211" t="s">
        <v>3204</v>
      </c>
      <c r="B75" s="64">
        <v>3.95</v>
      </c>
      <c r="C75" s="64">
        <v>43.18</v>
      </c>
      <c r="D75" s="64">
        <v>27.64</v>
      </c>
      <c r="E75" s="64">
        <v>3.63</v>
      </c>
      <c r="F75" s="64">
        <v>30.33</v>
      </c>
      <c r="G75" s="64">
        <v>45.99</v>
      </c>
      <c r="H75" s="64">
        <v>23.96</v>
      </c>
      <c r="I75" s="64">
        <v>0.7</v>
      </c>
      <c r="J75" s="64">
        <v>1.02</v>
      </c>
      <c r="K75" s="64">
        <v>241.75</v>
      </c>
      <c r="L75" s="214" t="s">
        <v>42</v>
      </c>
      <c r="M75" s="214" t="s">
        <v>42</v>
      </c>
      <c r="N75" s="64">
        <v>97.9</v>
      </c>
      <c r="O75" s="64">
        <v>0</v>
      </c>
      <c r="P75" s="64">
        <v>0.52</v>
      </c>
      <c r="Q75" s="64">
        <v>25.16</v>
      </c>
      <c r="R75" s="198"/>
      <c r="S75" s="198"/>
      <c r="T75" s="198"/>
      <c r="U75" s="198"/>
    </row>
    <row r="76" spans="1:21" s="12" customFormat="1" x14ac:dyDescent="0.25">
      <c r="A76" s="211" t="s">
        <v>3205</v>
      </c>
      <c r="B76" s="64">
        <v>4.6900000000000004</v>
      </c>
      <c r="C76" s="64">
        <v>43.19</v>
      </c>
      <c r="D76" s="64">
        <v>28.24</v>
      </c>
      <c r="E76" s="64">
        <v>4.05</v>
      </c>
      <c r="F76" s="64">
        <v>29.39</v>
      </c>
      <c r="G76" s="64">
        <v>49.97</v>
      </c>
      <c r="H76" s="64">
        <v>25.11</v>
      </c>
      <c r="I76" s="64">
        <v>0.69</v>
      </c>
      <c r="J76" s="64">
        <v>0.87</v>
      </c>
      <c r="K76" s="64">
        <v>238.36</v>
      </c>
      <c r="L76" s="214" t="s">
        <v>42</v>
      </c>
      <c r="M76" s="214" t="s">
        <v>42</v>
      </c>
      <c r="N76" s="64">
        <v>105</v>
      </c>
      <c r="O76" s="64">
        <v>0</v>
      </c>
      <c r="P76" s="64">
        <v>0.56000000000000005</v>
      </c>
      <c r="Q76" s="64">
        <v>25.28</v>
      </c>
      <c r="R76" s="198"/>
      <c r="S76" s="198"/>
      <c r="T76" s="198"/>
      <c r="U76" s="198"/>
    </row>
    <row r="77" spans="1:21" s="12" customFormat="1" x14ac:dyDescent="0.25">
      <c r="A77" s="211" t="s">
        <v>3206</v>
      </c>
      <c r="B77" s="64">
        <v>8.24</v>
      </c>
      <c r="C77" s="64">
        <v>44.6</v>
      </c>
      <c r="D77" s="64">
        <v>31.87</v>
      </c>
      <c r="E77" s="64">
        <v>3.9</v>
      </c>
      <c r="F77" s="64">
        <v>17</v>
      </c>
      <c r="G77" s="64">
        <v>49.97</v>
      </c>
      <c r="H77" s="64">
        <v>25.11</v>
      </c>
      <c r="I77" s="64">
        <v>0.6</v>
      </c>
      <c r="J77" s="64">
        <v>0.99</v>
      </c>
      <c r="K77" s="64">
        <v>240.52</v>
      </c>
      <c r="L77" s="214" t="s">
        <v>42</v>
      </c>
      <c r="M77" s="214" t="s">
        <v>42</v>
      </c>
      <c r="N77" s="64">
        <v>76.900000000000006</v>
      </c>
      <c r="O77" s="64">
        <v>0</v>
      </c>
      <c r="P77" s="64">
        <v>0.63</v>
      </c>
      <c r="Q77" s="64">
        <v>25.11</v>
      </c>
      <c r="R77" s="198"/>
      <c r="S77" s="198"/>
      <c r="T77" s="198"/>
      <c r="U77" s="198"/>
    </row>
    <row r="78" spans="1:21" s="12" customFormat="1" x14ac:dyDescent="0.25">
      <c r="A78" s="211" t="s">
        <v>3207</v>
      </c>
      <c r="B78" s="64">
        <v>8.23</v>
      </c>
      <c r="C78" s="64">
        <v>48.9</v>
      </c>
      <c r="D78" s="64">
        <v>34.24</v>
      </c>
      <c r="E78" s="64">
        <v>3.94</v>
      </c>
      <c r="F78" s="64">
        <v>17.8</v>
      </c>
      <c r="G78" s="64">
        <v>49.97</v>
      </c>
      <c r="H78" s="64">
        <v>25.11</v>
      </c>
      <c r="I78" s="64">
        <v>0.68</v>
      </c>
      <c r="J78" s="64">
        <v>0.94</v>
      </c>
      <c r="K78" s="64">
        <v>244.18</v>
      </c>
      <c r="L78" s="64">
        <v>36.18</v>
      </c>
      <c r="M78" s="64">
        <v>21.47</v>
      </c>
      <c r="N78" s="64">
        <v>53.8</v>
      </c>
      <c r="O78" s="64">
        <v>0</v>
      </c>
      <c r="P78" s="64">
        <v>0.67</v>
      </c>
      <c r="Q78" s="64">
        <v>26.01</v>
      </c>
      <c r="R78" s="198"/>
      <c r="S78" s="198"/>
      <c r="T78" s="198"/>
      <c r="U78" s="198"/>
    </row>
    <row r="79" spans="1:21" s="12" customFormat="1" x14ac:dyDescent="0.25">
      <c r="A79" s="211" t="s">
        <v>3208</v>
      </c>
      <c r="B79" s="64">
        <v>8.67</v>
      </c>
      <c r="C79" s="64">
        <v>53.47</v>
      </c>
      <c r="D79" s="64">
        <v>37.1</v>
      </c>
      <c r="E79" s="64">
        <v>4.2300000000000004</v>
      </c>
      <c r="F79" s="64">
        <v>23.04</v>
      </c>
      <c r="G79" s="64">
        <v>50.15</v>
      </c>
      <c r="H79" s="64">
        <v>24.95</v>
      </c>
      <c r="I79" s="64">
        <v>0.57999999999999996</v>
      </c>
      <c r="J79" s="64">
        <v>0.8</v>
      </c>
      <c r="K79" s="64">
        <v>243.88</v>
      </c>
      <c r="L79" s="64">
        <v>36.06</v>
      </c>
      <c r="M79" s="64">
        <v>22.06</v>
      </c>
      <c r="N79" s="64">
        <v>57.5</v>
      </c>
      <c r="O79" s="64">
        <v>0</v>
      </c>
      <c r="P79" s="64">
        <v>0.74</v>
      </c>
      <c r="Q79" s="64">
        <v>25.66</v>
      </c>
      <c r="R79" s="198"/>
      <c r="S79" s="198"/>
      <c r="T79" s="198"/>
      <c r="U79" s="198"/>
    </row>
    <row r="80" spans="1:21" s="12" customFormat="1" x14ac:dyDescent="0.25">
      <c r="A80" s="211" t="s">
        <v>3209</v>
      </c>
      <c r="B80" s="64">
        <v>11.58</v>
      </c>
      <c r="C80" s="64">
        <v>51.41</v>
      </c>
      <c r="D80" s="64">
        <v>38.31</v>
      </c>
      <c r="E80" s="64">
        <v>6.5</v>
      </c>
      <c r="F80" s="64">
        <v>38.76</v>
      </c>
      <c r="G80" s="64">
        <v>51.61</v>
      </c>
      <c r="H80" s="64">
        <v>23.96</v>
      </c>
      <c r="I80" s="64">
        <v>0.8</v>
      </c>
      <c r="J80" s="64">
        <v>0.72</v>
      </c>
      <c r="K80" s="64">
        <v>244.13</v>
      </c>
      <c r="L80" s="64">
        <v>35.799999999999997</v>
      </c>
      <c r="M80" s="64">
        <v>22.74</v>
      </c>
      <c r="N80" s="64">
        <v>41.8</v>
      </c>
      <c r="O80" s="64">
        <v>0</v>
      </c>
      <c r="P80" s="64">
        <v>0.81</v>
      </c>
      <c r="Q80" s="64">
        <v>25.65</v>
      </c>
      <c r="R80" s="198"/>
      <c r="S80" s="198"/>
      <c r="T80" s="198"/>
      <c r="U80" s="198"/>
    </row>
    <row r="81" spans="1:26" s="12" customFormat="1" x14ac:dyDescent="0.25">
      <c r="A81" s="211" t="s">
        <v>3210</v>
      </c>
      <c r="B81" s="64">
        <v>14.03</v>
      </c>
      <c r="C81" s="64">
        <v>52.55</v>
      </c>
      <c r="D81" s="64">
        <v>40.9</v>
      </c>
      <c r="E81" s="64">
        <v>10.06</v>
      </c>
      <c r="F81" s="64">
        <v>48.29</v>
      </c>
      <c r="G81" s="64">
        <v>51.61</v>
      </c>
      <c r="H81" s="64">
        <v>23.96</v>
      </c>
      <c r="I81" s="64">
        <v>0.66</v>
      </c>
      <c r="J81" s="64">
        <v>0.77</v>
      </c>
      <c r="K81" s="64">
        <v>242.93</v>
      </c>
      <c r="L81" s="64">
        <v>35.43</v>
      </c>
      <c r="M81" s="64">
        <v>23.33</v>
      </c>
      <c r="N81" s="64">
        <v>29.4</v>
      </c>
      <c r="O81" s="64">
        <v>0</v>
      </c>
      <c r="P81" s="64">
        <v>0.86</v>
      </c>
      <c r="Q81" s="64">
        <v>25.55</v>
      </c>
      <c r="R81" s="198"/>
      <c r="S81" s="198"/>
      <c r="T81" s="198"/>
      <c r="U81" s="198"/>
    </row>
    <row r="82" spans="1:26" s="12" customFormat="1" x14ac:dyDescent="0.25">
      <c r="A82" s="211" t="s">
        <v>3211</v>
      </c>
      <c r="B82" s="64">
        <v>14.19</v>
      </c>
      <c r="C82" s="64">
        <v>49.88</v>
      </c>
      <c r="D82" s="64">
        <v>39.549999999999997</v>
      </c>
      <c r="E82" s="64">
        <v>10.02</v>
      </c>
      <c r="F82" s="64">
        <v>52.19</v>
      </c>
      <c r="G82" s="64">
        <v>51.61</v>
      </c>
      <c r="H82" s="64">
        <v>23.96</v>
      </c>
      <c r="I82" s="64">
        <v>0.66</v>
      </c>
      <c r="J82" s="64">
        <v>0.64</v>
      </c>
      <c r="K82" s="64">
        <v>244.21</v>
      </c>
      <c r="L82" s="64">
        <v>34.97</v>
      </c>
      <c r="M82" s="64">
        <v>23.74</v>
      </c>
      <c r="N82" s="64">
        <v>15.9</v>
      </c>
      <c r="O82" s="64">
        <v>0</v>
      </c>
      <c r="P82" s="64">
        <v>0.88</v>
      </c>
      <c r="Q82" s="64">
        <v>25.29</v>
      </c>
      <c r="R82" s="198"/>
      <c r="S82" s="198"/>
      <c r="T82" s="198"/>
      <c r="U82" s="198"/>
    </row>
    <row r="83" spans="1:26" s="12" customFormat="1" x14ac:dyDescent="0.25">
      <c r="A83" s="211" t="s">
        <v>3212</v>
      </c>
      <c r="B83" s="64">
        <v>19.760000000000002</v>
      </c>
      <c r="C83" s="64">
        <v>64.239999999999995</v>
      </c>
      <c r="D83" s="64">
        <v>51.95</v>
      </c>
      <c r="E83" s="64">
        <v>9.6</v>
      </c>
      <c r="F83" s="64">
        <v>40.9</v>
      </c>
      <c r="G83" s="64">
        <v>53.01</v>
      </c>
      <c r="H83" s="64">
        <v>24.33</v>
      </c>
      <c r="I83" s="64">
        <v>0.57999999999999996</v>
      </c>
      <c r="J83" s="64">
        <v>0.36</v>
      </c>
      <c r="K83" s="64">
        <v>253.03</v>
      </c>
      <c r="L83" s="64">
        <v>34.51</v>
      </c>
      <c r="M83" s="64">
        <v>24.41</v>
      </c>
      <c r="N83" s="64">
        <v>6.8</v>
      </c>
      <c r="O83" s="64">
        <v>0</v>
      </c>
      <c r="P83" s="64">
        <v>0.93</v>
      </c>
      <c r="Q83" s="64">
        <v>24.11</v>
      </c>
      <c r="R83" s="198"/>
      <c r="S83" s="198"/>
      <c r="T83" s="198"/>
      <c r="U83" s="198"/>
    </row>
    <row r="84" spans="1:26" s="12" customFormat="1" x14ac:dyDescent="0.25">
      <c r="A84" s="211" t="s">
        <v>3213</v>
      </c>
      <c r="B84" s="64">
        <v>35.479999999999997</v>
      </c>
      <c r="C84" s="64">
        <v>93.92</v>
      </c>
      <c r="D84" s="64">
        <v>80.930000000000007</v>
      </c>
      <c r="E84" s="64">
        <v>12.73</v>
      </c>
      <c r="F84" s="64">
        <v>25.11</v>
      </c>
      <c r="G84" s="64">
        <v>64.28</v>
      </c>
      <c r="H84" s="64">
        <v>26.73</v>
      </c>
      <c r="I84" s="64">
        <v>0.59</v>
      </c>
      <c r="J84" s="64">
        <v>0.16</v>
      </c>
      <c r="K84" s="64">
        <v>238.6</v>
      </c>
      <c r="L84" s="64">
        <v>34.04</v>
      </c>
      <c r="M84" s="64">
        <v>24.96</v>
      </c>
      <c r="N84" s="64">
        <v>5</v>
      </c>
      <c r="O84" s="64">
        <v>0</v>
      </c>
      <c r="P84" s="64">
        <v>0.97</v>
      </c>
      <c r="Q84" s="64">
        <v>21.72</v>
      </c>
      <c r="R84" s="198"/>
      <c r="S84" s="198"/>
      <c r="T84" s="198"/>
      <c r="U84" s="198"/>
    </row>
    <row r="85" spans="1:26" s="12" customFormat="1" x14ac:dyDescent="0.25">
      <c r="A85" s="211" t="s">
        <v>3214</v>
      </c>
      <c r="B85" s="64">
        <v>26.7</v>
      </c>
      <c r="C85" s="64">
        <v>80.16</v>
      </c>
      <c r="D85" s="64">
        <v>66.3</v>
      </c>
      <c r="E85" s="64">
        <v>11.87</v>
      </c>
      <c r="F85" s="64">
        <v>8.74</v>
      </c>
      <c r="G85" s="64">
        <v>64.28</v>
      </c>
      <c r="H85" s="64">
        <v>26.73</v>
      </c>
      <c r="I85" s="64">
        <v>0.71</v>
      </c>
      <c r="J85" s="64">
        <v>0.06</v>
      </c>
      <c r="K85" s="64">
        <v>181.82</v>
      </c>
      <c r="L85" s="64">
        <v>33.67</v>
      </c>
      <c r="M85" s="64">
        <v>26.18</v>
      </c>
      <c r="N85" s="64">
        <v>5.0999999999999996</v>
      </c>
      <c r="O85" s="64">
        <v>0</v>
      </c>
      <c r="P85" s="64">
        <v>0.98</v>
      </c>
      <c r="Q85" s="64">
        <v>22.4</v>
      </c>
      <c r="R85" s="198"/>
      <c r="S85" s="198"/>
      <c r="T85" s="198"/>
      <c r="U85" s="198"/>
    </row>
    <row r="86" spans="1:26" s="12" customFormat="1" x14ac:dyDescent="0.25">
      <c r="A86" s="211" t="s">
        <v>3215</v>
      </c>
      <c r="B86" s="64">
        <v>46.51</v>
      </c>
      <c r="C86" s="64">
        <v>86.54</v>
      </c>
      <c r="D86" s="64">
        <v>85.7</v>
      </c>
      <c r="E86" s="64">
        <v>9</v>
      </c>
      <c r="F86" s="64">
        <v>5.56</v>
      </c>
      <c r="G86" s="64">
        <v>64.28</v>
      </c>
      <c r="H86" s="64">
        <v>26.73</v>
      </c>
      <c r="I86" s="64">
        <v>0.92</v>
      </c>
      <c r="J86" s="64">
        <v>0.04</v>
      </c>
      <c r="K86" s="64">
        <v>255.49</v>
      </c>
      <c r="L86" s="64">
        <v>33.29</v>
      </c>
      <c r="M86" s="64">
        <v>30.01</v>
      </c>
      <c r="N86" s="64">
        <v>5.0999999999999996</v>
      </c>
      <c r="O86" s="64">
        <v>0</v>
      </c>
      <c r="P86" s="64">
        <v>1.24</v>
      </c>
      <c r="Q86" s="64">
        <v>20.38</v>
      </c>
      <c r="R86" s="198"/>
      <c r="S86" s="198"/>
      <c r="T86" s="198"/>
      <c r="U86" s="198"/>
    </row>
    <row r="87" spans="1:26" s="12" customFormat="1" x14ac:dyDescent="0.25">
      <c r="A87" s="211" t="s">
        <v>3216</v>
      </c>
      <c r="B87" s="64">
        <v>45.01</v>
      </c>
      <c r="C87" s="64">
        <v>94.72</v>
      </c>
      <c r="D87" s="64">
        <v>89.02</v>
      </c>
      <c r="E87" s="64">
        <v>9.5299999999999994</v>
      </c>
      <c r="F87" s="64">
        <v>4.59</v>
      </c>
      <c r="G87" s="64">
        <v>65.989999999999995</v>
      </c>
      <c r="H87" s="64">
        <v>28.01</v>
      </c>
      <c r="I87" s="64">
        <v>0.86</v>
      </c>
      <c r="J87" s="64">
        <v>0.09</v>
      </c>
      <c r="K87" s="64">
        <v>163.19</v>
      </c>
      <c r="L87" s="64">
        <v>32.75</v>
      </c>
      <c r="M87" s="64">
        <v>29.52</v>
      </c>
      <c r="N87" s="64">
        <v>4.8</v>
      </c>
      <c r="O87" s="64">
        <v>0</v>
      </c>
      <c r="P87" s="64">
        <v>1.42</v>
      </c>
      <c r="Q87" s="64">
        <v>22.48</v>
      </c>
      <c r="R87" s="198"/>
      <c r="S87" s="198"/>
      <c r="T87" s="198"/>
      <c r="U87" s="198"/>
    </row>
    <row r="88" spans="1:26" s="12" customFormat="1" x14ac:dyDescent="0.25">
      <c r="A88" s="211" t="s">
        <v>3217</v>
      </c>
      <c r="B88" s="64">
        <v>24.17</v>
      </c>
      <c r="C88" s="64">
        <v>65.95</v>
      </c>
      <c r="D88" s="64">
        <v>56.42</v>
      </c>
      <c r="E88" s="64">
        <v>2.96</v>
      </c>
      <c r="F88" s="64">
        <v>9.4499999999999993</v>
      </c>
      <c r="G88" s="64">
        <v>79.650000000000006</v>
      </c>
      <c r="H88" s="64">
        <v>36.24</v>
      </c>
      <c r="I88" s="64">
        <v>1.33</v>
      </c>
      <c r="J88" s="64">
        <v>0.92</v>
      </c>
      <c r="K88" s="64">
        <v>101.05</v>
      </c>
      <c r="L88" s="64">
        <v>33.08</v>
      </c>
      <c r="M88" s="64">
        <v>28.82</v>
      </c>
      <c r="N88" s="64">
        <v>2.9</v>
      </c>
      <c r="O88" s="64">
        <v>0</v>
      </c>
      <c r="P88" s="64">
        <v>1.51</v>
      </c>
      <c r="Q88" s="64">
        <v>25.85</v>
      </c>
      <c r="R88" s="198"/>
      <c r="S88" s="198"/>
      <c r="T88" s="198"/>
      <c r="U88" s="198"/>
    </row>
    <row r="89" spans="1:26" s="12" customFormat="1" x14ac:dyDescent="0.25">
      <c r="A89" s="211" t="s">
        <v>3218</v>
      </c>
      <c r="B89" s="64">
        <v>19.22</v>
      </c>
      <c r="C89" s="64">
        <v>62.34</v>
      </c>
      <c r="D89" s="64">
        <v>50.46</v>
      </c>
      <c r="E89" s="64">
        <v>4.5</v>
      </c>
      <c r="F89" s="64">
        <v>13.84</v>
      </c>
      <c r="G89" s="64">
        <v>79.650000000000006</v>
      </c>
      <c r="H89" s="64">
        <v>36.24</v>
      </c>
      <c r="I89" s="64">
        <v>1.1200000000000001</v>
      </c>
      <c r="J89" s="64">
        <v>0.4</v>
      </c>
      <c r="K89" s="64">
        <v>175.18</v>
      </c>
      <c r="L89" s="64">
        <v>33.409999999999997</v>
      </c>
      <c r="M89" s="64">
        <v>27.6</v>
      </c>
      <c r="N89" s="64">
        <v>4.5</v>
      </c>
      <c r="O89" s="64">
        <v>0</v>
      </c>
      <c r="P89" s="64">
        <v>1.44</v>
      </c>
      <c r="Q89" s="64">
        <v>28.19</v>
      </c>
      <c r="R89" s="198"/>
      <c r="S89" s="198"/>
      <c r="T89" s="198"/>
      <c r="U89" s="198"/>
    </row>
    <row r="90" spans="1:26" s="12" customFormat="1" x14ac:dyDescent="0.25">
      <c r="A90" s="211" t="s">
        <v>3219</v>
      </c>
      <c r="B90" s="64">
        <v>22.48</v>
      </c>
      <c r="C90" s="64">
        <v>74.37</v>
      </c>
      <c r="D90" s="64">
        <v>59.72</v>
      </c>
      <c r="E90" s="64">
        <v>4.76</v>
      </c>
      <c r="F90" s="64">
        <v>13.61</v>
      </c>
      <c r="G90" s="64">
        <v>79.650000000000006</v>
      </c>
      <c r="H90" s="64">
        <v>36.24</v>
      </c>
      <c r="I90" s="64">
        <v>0.83</v>
      </c>
      <c r="J90" s="64">
        <v>0.16</v>
      </c>
      <c r="K90" s="64">
        <v>132.49</v>
      </c>
      <c r="L90" s="64">
        <v>32.450000000000003</v>
      </c>
      <c r="M90" s="64">
        <v>30.69</v>
      </c>
      <c r="N90" s="64">
        <v>4.7</v>
      </c>
      <c r="O90" s="64">
        <v>0</v>
      </c>
      <c r="P90" s="64">
        <v>1.45</v>
      </c>
      <c r="Q90" s="64">
        <v>26.83</v>
      </c>
      <c r="R90" s="198"/>
      <c r="S90" s="198"/>
      <c r="T90" s="198"/>
      <c r="U90" s="198"/>
    </row>
    <row r="91" spans="1:26" s="12" customFormat="1" x14ac:dyDescent="0.25">
      <c r="A91" s="211" t="s">
        <v>3220</v>
      </c>
      <c r="B91" s="64">
        <v>20.079999999999998</v>
      </c>
      <c r="C91" s="64">
        <v>81.34</v>
      </c>
      <c r="D91" s="64">
        <v>61.64</v>
      </c>
      <c r="E91" s="64">
        <v>4.83</v>
      </c>
      <c r="F91" s="64">
        <v>8.01</v>
      </c>
      <c r="G91" s="64">
        <v>80.05</v>
      </c>
      <c r="H91" s="64">
        <v>36.49</v>
      </c>
      <c r="I91" s="64">
        <v>0.8</v>
      </c>
      <c r="J91" s="64">
        <v>0.34</v>
      </c>
      <c r="K91" s="64">
        <v>138.87</v>
      </c>
      <c r="L91" s="64">
        <v>32.33</v>
      </c>
      <c r="M91" s="64">
        <v>30.77</v>
      </c>
      <c r="N91" s="64">
        <v>3.9</v>
      </c>
      <c r="O91" s="64">
        <v>0</v>
      </c>
      <c r="P91" s="64">
        <v>1.56</v>
      </c>
      <c r="Q91" s="64">
        <v>25.45</v>
      </c>
      <c r="R91" s="198"/>
      <c r="S91" s="198"/>
      <c r="T91" s="198"/>
      <c r="U91" s="198"/>
    </row>
    <row r="92" spans="1:26" s="12" customFormat="1" x14ac:dyDescent="0.25">
      <c r="A92" s="211" t="s">
        <v>3221</v>
      </c>
      <c r="B92" s="64">
        <v>17.07</v>
      </c>
      <c r="C92" s="64">
        <v>72.37</v>
      </c>
      <c r="D92" s="64">
        <v>54.27</v>
      </c>
      <c r="E92" s="64">
        <v>4.84</v>
      </c>
      <c r="F92" s="64">
        <v>16.39</v>
      </c>
      <c r="G92" s="64">
        <v>83.3</v>
      </c>
      <c r="H92" s="64">
        <v>38.159999999999997</v>
      </c>
      <c r="I92" s="64">
        <v>0.87</v>
      </c>
      <c r="J92" s="64">
        <v>0.4</v>
      </c>
      <c r="K92" s="64">
        <v>221.68</v>
      </c>
      <c r="L92" s="64">
        <v>31.78</v>
      </c>
      <c r="M92" s="64">
        <v>32.04</v>
      </c>
      <c r="N92" s="64">
        <v>4</v>
      </c>
      <c r="O92" s="64">
        <v>0</v>
      </c>
      <c r="P92" s="64">
        <v>1.61</v>
      </c>
      <c r="Q92" s="64">
        <v>27.6</v>
      </c>
      <c r="R92" s="198"/>
      <c r="S92" s="198"/>
      <c r="T92" s="198"/>
      <c r="U92" s="198"/>
    </row>
    <row r="93" spans="1:26" s="12" customFormat="1" x14ac:dyDescent="0.25">
      <c r="A93" s="211" t="s">
        <v>3222</v>
      </c>
      <c r="B93" s="64">
        <v>25.8</v>
      </c>
      <c r="C93" s="64">
        <v>69.069999999999993</v>
      </c>
      <c r="D93" s="64">
        <v>59.45</v>
      </c>
      <c r="E93" s="64">
        <v>7.81</v>
      </c>
      <c r="F93" s="64">
        <v>17.2</v>
      </c>
      <c r="G93" s="64">
        <v>83.3</v>
      </c>
      <c r="H93" s="64">
        <v>38.159999999999997</v>
      </c>
      <c r="I93" s="64">
        <v>1.1299999999999999</v>
      </c>
      <c r="J93" s="64">
        <v>0.85</v>
      </c>
      <c r="K93" s="64">
        <v>238.4</v>
      </c>
      <c r="L93" s="64">
        <v>31.89</v>
      </c>
      <c r="M93" s="64">
        <v>29.39</v>
      </c>
      <c r="N93" s="64">
        <v>3.1</v>
      </c>
      <c r="O93" s="64">
        <v>0</v>
      </c>
      <c r="P93" s="64">
        <v>1.64</v>
      </c>
      <c r="Q93" s="64">
        <v>26.34</v>
      </c>
      <c r="R93" s="198"/>
      <c r="S93" s="198"/>
      <c r="T93" s="198"/>
      <c r="U93" s="198"/>
    </row>
    <row r="94" spans="1:26" s="12" customFormat="1" x14ac:dyDescent="0.25">
      <c r="A94" s="211" t="s">
        <v>3223</v>
      </c>
      <c r="B94" s="64">
        <v>20.45</v>
      </c>
      <c r="C94" s="64">
        <v>61.26</v>
      </c>
      <c r="D94" s="64">
        <v>50.85</v>
      </c>
      <c r="E94" s="64">
        <v>14.97</v>
      </c>
      <c r="F94" s="64">
        <v>23.36</v>
      </c>
      <c r="G94" s="64">
        <v>83.3</v>
      </c>
      <c r="H94" s="64">
        <v>38.159999999999997</v>
      </c>
      <c r="I94" s="64">
        <v>0.89</v>
      </c>
      <c r="J94" s="64">
        <v>0.87</v>
      </c>
      <c r="K94" s="64">
        <v>242.61</v>
      </c>
      <c r="L94" s="64">
        <v>32.1</v>
      </c>
      <c r="M94" s="64">
        <v>29.2</v>
      </c>
      <c r="N94" s="64">
        <v>4.5999999999999996</v>
      </c>
      <c r="O94" s="64">
        <v>0</v>
      </c>
      <c r="P94" s="64">
        <v>1.64</v>
      </c>
      <c r="Q94" s="64">
        <v>28.37</v>
      </c>
      <c r="R94" s="198"/>
      <c r="S94" s="198"/>
      <c r="T94" s="198"/>
      <c r="U94" s="198"/>
    </row>
    <row r="95" spans="1:26" s="12" customFormat="1" x14ac:dyDescent="0.25">
      <c r="A95" s="211" t="s">
        <v>3224</v>
      </c>
      <c r="B95" s="64">
        <v>14.31</v>
      </c>
      <c r="C95" s="64">
        <v>75.739999999999995</v>
      </c>
      <c r="D95" s="64">
        <v>53.92</v>
      </c>
      <c r="E95" s="64">
        <v>25.08</v>
      </c>
      <c r="F95" s="64">
        <v>25.39</v>
      </c>
      <c r="G95" s="64">
        <v>84.35</v>
      </c>
      <c r="H95" s="64">
        <v>38.14</v>
      </c>
      <c r="I95" s="64">
        <v>0.99</v>
      </c>
      <c r="J95" s="64">
        <v>0.09</v>
      </c>
      <c r="K95" s="64">
        <v>211.81</v>
      </c>
      <c r="L95" s="64">
        <v>31.17</v>
      </c>
      <c r="M95" s="64">
        <v>33.409999999999997</v>
      </c>
      <c r="N95" s="64">
        <v>5.9</v>
      </c>
      <c r="O95" s="64">
        <v>0</v>
      </c>
      <c r="P95" s="64">
        <v>1.65</v>
      </c>
      <c r="Q95" s="64">
        <v>26.37</v>
      </c>
      <c r="R95" s="198"/>
      <c r="S95" s="198"/>
      <c r="T95" s="198"/>
      <c r="U95" s="198"/>
    </row>
    <row r="96" spans="1:26" s="12" customFormat="1" x14ac:dyDescent="0.25">
      <c r="A96" s="211" t="s">
        <v>3225</v>
      </c>
      <c r="B96" s="64">
        <v>31.67</v>
      </c>
      <c r="C96" s="64">
        <v>80.92</v>
      </c>
      <c r="D96" s="64">
        <v>70.7</v>
      </c>
      <c r="E96" s="64">
        <v>21.79</v>
      </c>
      <c r="F96" s="64">
        <v>14.52</v>
      </c>
      <c r="G96" s="64">
        <v>92.74</v>
      </c>
      <c r="H96" s="64">
        <v>38.03</v>
      </c>
      <c r="I96" s="64">
        <v>0.78</v>
      </c>
      <c r="J96" s="64">
        <v>0.35</v>
      </c>
      <c r="K96" s="64">
        <v>240.74</v>
      </c>
      <c r="L96" s="64">
        <v>30.25</v>
      </c>
      <c r="M96" s="64">
        <v>37.94</v>
      </c>
      <c r="N96" s="64">
        <v>5.8</v>
      </c>
      <c r="O96" s="64">
        <v>0</v>
      </c>
      <c r="P96" s="64">
        <v>1.66</v>
      </c>
      <c r="Q96" s="64">
        <v>25.3</v>
      </c>
      <c r="R96" s="198"/>
      <c r="S96" s="198"/>
      <c r="T96" s="210"/>
      <c r="U96" s="198"/>
      <c r="Z96" s="109"/>
    </row>
    <row r="97" spans="1:33" s="12" customFormat="1" x14ac:dyDescent="0.25">
      <c r="A97" s="211" t="s">
        <v>3226</v>
      </c>
      <c r="B97" s="64">
        <v>17</v>
      </c>
      <c r="C97" s="64">
        <v>60.72</v>
      </c>
      <c r="D97" s="64">
        <v>47.79</v>
      </c>
      <c r="E97" s="64">
        <v>9.83</v>
      </c>
      <c r="F97" s="64">
        <v>9.49</v>
      </c>
      <c r="G97" s="64">
        <v>92.74</v>
      </c>
      <c r="H97" s="64">
        <v>38.03</v>
      </c>
      <c r="I97" s="64">
        <v>0.76</v>
      </c>
      <c r="J97" s="64">
        <v>0.1</v>
      </c>
      <c r="K97" s="64">
        <v>211.81</v>
      </c>
      <c r="L97" s="64">
        <v>30</v>
      </c>
      <c r="M97" s="64">
        <v>36.81</v>
      </c>
      <c r="N97" s="64">
        <v>5.5</v>
      </c>
      <c r="O97" s="64">
        <v>0</v>
      </c>
      <c r="P97" s="64">
        <v>1.68</v>
      </c>
      <c r="Q97" s="64">
        <v>27.57</v>
      </c>
      <c r="R97" s="198"/>
      <c r="S97" s="198"/>
      <c r="T97" s="198"/>
      <c r="U97" s="198"/>
    </row>
    <row r="98" spans="1:33" s="12" customFormat="1" x14ac:dyDescent="0.25">
      <c r="A98" s="211" t="s">
        <v>3227</v>
      </c>
      <c r="B98" s="64">
        <v>36.29</v>
      </c>
      <c r="C98" s="64">
        <v>83.37</v>
      </c>
      <c r="D98" s="64">
        <v>75.760000000000005</v>
      </c>
      <c r="E98" s="64">
        <v>11.36</v>
      </c>
      <c r="F98" s="64">
        <v>7.01</v>
      </c>
      <c r="G98" s="64">
        <v>92.74</v>
      </c>
      <c r="H98" s="64">
        <v>38.03</v>
      </c>
      <c r="I98" s="64">
        <v>0.87</v>
      </c>
      <c r="J98" s="64">
        <v>0.21</v>
      </c>
      <c r="K98" s="64">
        <v>88.81</v>
      </c>
      <c r="L98" s="64">
        <v>30.53</v>
      </c>
      <c r="M98" s="64">
        <v>33.31</v>
      </c>
      <c r="N98" s="64">
        <v>5</v>
      </c>
      <c r="O98" s="64">
        <v>0</v>
      </c>
      <c r="P98" s="64">
        <v>1.7</v>
      </c>
      <c r="Q98" s="64">
        <v>25.03</v>
      </c>
      <c r="R98" s="198"/>
      <c r="S98" s="198"/>
      <c r="T98" s="198"/>
      <c r="U98" s="198"/>
    </row>
    <row r="99" spans="1:33" s="12" customFormat="1" x14ac:dyDescent="0.25">
      <c r="A99" s="211" t="s">
        <v>3228</v>
      </c>
      <c r="B99" s="64">
        <v>45.44</v>
      </c>
      <c r="C99" s="64">
        <v>90.6</v>
      </c>
      <c r="D99" s="64">
        <v>87.08</v>
      </c>
      <c r="E99" s="64">
        <v>11.7</v>
      </c>
      <c r="F99" s="64">
        <v>5.15</v>
      </c>
      <c r="G99" s="64">
        <v>93.26</v>
      </c>
      <c r="H99" s="64">
        <v>38.65</v>
      </c>
      <c r="I99" s="64">
        <v>0.9</v>
      </c>
      <c r="J99" s="64">
        <v>0.27</v>
      </c>
      <c r="K99" s="64">
        <v>73.28</v>
      </c>
      <c r="L99" s="64">
        <v>30.56</v>
      </c>
      <c r="M99" s="64">
        <v>36.65</v>
      </c>
      <c r="N99" s="64">
        <v>5.0999999999999996</v>
      </c>
      <c r="O99" s="64">
        <v>0</v>
      </c>
      <c r="P99" s="64">
        <v>1.7</v>
      </c>
      <c r="Q99" s="64">
        <v>23.5</v>
      </c>
      <c r="R99" s="198"/>
      <c r="S99" s="198"/>
      <c r="T99" s="198"/>
      <c r="U99" s="198"/>
    </row>
    <row r="100" spans="1:33" s="12" customFormat="1" x14ac:dyDescent="0.25">
      <c r="A100" s="211" t="s">
        <v>3229</v>
      </c>
      <c r="B100" s="64">
        <v>38.25</v>
      </c>
      <c r="C100" s="64">
        <v>78.989999999999995</v>
      </c>
      <c r="D100" s="64">
        <v>74.91</v>
      </c>
      <c r="E100" s="64">
        <v>10.25</v>
      </c>
      <c r="F100" s="64">
        <v>5.16</v>
      </c>
      <c r="G100" s="64">
        <v>97.36</v>
      </c>
      <c r="H100" s="64">
        <v>42.64</v>
      </c>
      <c r="I100" s="64">
        <v>0.99</v>
      </c>
      <c r="J100" s="64">
        <v>0.04</v>
      </c>
      <c r="K100" s="64">
        <v>177.2</v>
      </c>
      <c r="L100" s="64">
        <v>29.92</v>
      </c>
      <c r="M100" s="64">
        <v>42.47</v>
      </c>
      <c r="N100" s="64">
        <v>5.6</v>
      </c>
      <c r="O100" s="64">
        <v>0</v>
      </c>
      <c r="P100" s="64">
        <v>1.74</v>
      </c>
      <c r="Q100" s="64">
        <v>25.15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3230</v>
      </c>
      <c r="B101" s="64">
        <v>26.29</v>
      </c>
      <c r="C101" s="64">
        <v>73.83</v>
      </c>
      <c r="D101" s="64">
        <v>62.47</v>
      </c>
      <c r="E101" s="64">
        <v>7.27</v>
      </c>
      <c r="F101" s="64">
        <v>4.8099999999999996</v>
      </c>
      <c r="G101" s="64">
        <v>97.36</v>
      </c>
      <c r="H101" s="64">
        <v>42.64</v>
      </c>
      <c r="I101" s="64">
        <v>1.06</v>
      </c>
      <c r="J101" s="64">
        <v>0.18</v>
      </c>
      <c r="K101" s="64">
        <v>143.33000000000001</v>
      </c>
      <c r="L101" s="64">
        <v>28.52</v>
      </c>
      <c r="M101" s="64">
        <v>44.76</v>
      </c>
      <c r="N101" s="64">
        <v>5.4</v>
      </c>
      <c r="O101" s="64">
        <v>0</v>
      </c>
      <c r="P101" s="64">
        <v>1.82</v>
      </c>
      <c r="Q101" s="64">
        <v>27.47</v>
      </c>
      <c r="R101" s="198"/>
      <c r="S101" s="198"/>
      <c r="T101" s="198"/>
      <c r="U101" s="198"/>
    </row>
    <row r="102" spans="1:33" s="12" customFormat="1" x14ac:dyDescent="0.25">
      <c r="A102" s="211" t="s">
        <v>3231</v>
      </c>
      <c r="B102" s="64">
        <v>29.9</v>
      </c>
      <c r="C102" s="64">
        <v>67.05</v>
      </c>
      <c r="D102" s="64">
        <v>61.62</v>
      </c>
      <c r="E102" s="64">
        <v>5.7</v>
      </c>
      <c r="F102" s="64">
        <v>5.21</v>
      </c>
      <c r="G102" s="64">
        <v>97.36</v>
      </c>
      <c r="H102" s="64">
        <v>42.64</v>
      </c>
      <c r="I102" s="64">
        <v>1.1499999999999999</v>
      </c>
      <c r="J102" s="64">
        <v>0.1</v>
      </c>
      <c r="K102" s="64">
        <v>177.13</v>
      </c>
      <c r="L102" s="64">
        <v>29.47</v>
      </c>
      <c r="M102" s="64">
        <v>42.12</v>
      </c>
      <c r="N102" s="64">
        <v>5.0999999999999996</v>
      </c>
      <c r="O102" s="64">
        <v>0</v>
      </c>
      <c r="P102" s="64">
        <v>1.86</v>
      </c>
      <c r="Q102" s="64">
        <v>29.32</v>
      </c>
      <c r="R102" s="198"/>
      <c r="S102" s="198"/>
      <c r="T102" s="198"/>
      <c r="U102" s="198"/>
    </row>
    <row r="103" spans="1:33" s="12" customFormat="1" x14ac:dyDescent="0.25">
      <c r="A103" s="211" t="s">
        <v>3232</v>
      </c>
      <c r="B103" s="64">
        <v>32.700000000000003</v>
      </c>
      <c r="C103" s="64">
        <v>71.91</v>
      </c>
      <c r="D103" s="64">
        <v>66.55</v>
      </c>
      <c r="E103" s="64">
        <v>5.0999999999999996</v>
      </c>
      <c r="F103" s="64">
        <v>4.29</v>
      </c>
      <c r="G103" s="64">
        <v>99.2</v>
      </c>
      <c r="H103" s="64">
        <v>43.5</v>
      </c>
      <c r="I103" s="64">
        <v>1.04</v>
      </c>
      <c r="J103" s="64">
        <v>0.03</v>
      </c>
      <c r="K103" s="64">
        <v>234.77</v>
      </c>
      <c r="L103" s="64">
        <v>28.51</v>
      </c>
      <c r="M103" s="64">
        <v>43.41</v>
      </c>
      <c r="N103" s="64">
        <v>5.4</v>
      </c>
      <c r="O103" s="64">
        <v>0</v>
      </c>
      <c r="P103" s="64">
        <v>1.9</v>
      </c>
      <c r="Q103" s="64">
        <v>29.18</v>
      </c>
      <c r="R103" s="198"/>
      <c r="S103" s="198"/>
      <c r="T103" s="198"/>
      <c r="U103" s="198"/>
    </row>
    <row r="104" spans="1:33" s="12" customFormat="1" x14ac:dyDescent="0.25">
      <c r="A104" s="211" t="s">
        <v>3233</v>
      </c>
      <c r="B104" s="64">
        <v>29.32</v>
      </c>
      <c r="C104" s="64">
        <v>88.76</v>
      </c>
      <c r="D104" s="64">
        <v>73.14</v>
      </c>
      <c r="E104" s="64">
        <v>3.85</v>
      </c>
      <c r="F104" s="64">
        <v>3.94</v>
      </c>
      <c r="G104" s="64">
        <v>113.94</v>
      </c>
      <c r="H104" s="64">
        <v>49.03</v>
      </c>
      <c r="I104" s="64">
        <v>1.08</v>
      </c>
      <c r="J104" s="64">
        <v>0.16</v>
      </c>
      <c r="K104" s="64">
        <v>240.51</v>
      </c>
      <c r="L104" s="64">
        <v>28.35</v>
      </c>
      <c r="M104" s="64">
        <v>45.28</v>
      </c>
      <c r="N104" s="64">
        <v>5.2</v>
      </c>
      <c r="O104" s="64">
        <v>0</v>
      </c>
      <c r="P104" s="64">
        <v>1.92</v>
      </c>
      <c r="Q104" s="64">
        <v>29.28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22.45</v>
      </c>
      <c r="D106" s="67">
        <f t="shared" ref="D106:Q106" si="0">MIN(D9:D104)</f>
        <v>14.7</v>
      </c>
      <c r="E106" s="67">
        <f t="shared" si="0"/>
        <v>1.1399999999999999</v>
      </c>
      <c r="F106" s="67">
        <f t="shared" si="0"/>
        <v>3.94</v>
      </c>
      <c r="G106" s="67">
        <f t="shared" si="0"/>
        <v>34.99</v>
      </c>
      <c r="H106" s="67">
        <f t="shared" si="0"/>
        <v>23.78</v>
      </c>
      <c r="I106" s="67">
        <f t="shared" si="0"/>
        <v>0.5</v>
      </c>
      <c r="J106" s="67">
        <f t="shared" si="0"/>
        <v>0.01</v>
      </c>
      <c r="K106" s="67">
        <f t="shared" si="0"/>
        <v>0.13</v>
      </c>
      <c r="L106" s="67">
        <f t="shared" si="0"/>
        <v>25.97</v>
      </c>
      <c r="M106" s="67">
        <f t="shared" si="0"/>
        <v>21.47</v>
      </c>
      <c r="N106" s="67">
        <f t="shared" si="0"/>
        <v>2.9</v>
      </c>
      <c r="O106" s="67">
        <f t="shared" si="0"/>
        <v>0</v>
      </c>
      <c r="P106" s="67">
        <f t="shared" si="0"/>
        <v>0.42</v>
      </c>
      <c r="Q106" s="67">
        <f t="shared" si="0"/>
        <v>20.38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46.51</v>
      </c>
      <c r="C107" s="66">
        <f t="shared" ref="C107:Q107" si="1">MAX(C9:C104)</f>
        <v>94.72</v>
      </c>
      <c r="D107" s="66">
        <f t="shared" si="1"/>
        <v>89.02</v>
      </c>
      <c r="E107" s="66">
        <f t="shared" si="1"/>
        <v>25.08</v>
      </c>
      <c r="F107" s="66">
        <f t="shared" si="1"/>
        <v>95.43</v>
      </c>
      <c r="G107" s="66">
        <f t="shared" si="1"/>
        <v>113.94</v>
      </c>
      <c r="H107" s="66">
        <f t="shared" si="1"/>
        <v>49.03</v>
      </c>
      <c r="I107" s="66">
        <f t="shared" si="1"/>
        <v>1.33</v>
      </c>
      <c r="J107" s="66">
        <f t="shared" si="1"/>
        <v>1.37</v>
      </c>
      <c r="K107" s="66">
        <f t="shared" si="1"/>
        <v>294</v>
      </c>
      <c r="L107" s="66">
        <f t="shared" si="1"/>
        <v>39.729999999999997</v>
      </c>
      <c r="M107" s="66">
        <f t="shared" si="1"/>
        <v>51.08</v>
      </c>
      <c r="N107" s="66">
        <f t="shared" si="1"/>
        <v>828.1</v>
      </c>
      <c r="O107" s="66">
        <f t="shared" si="1"/>
        <v>0</v>
      </c>
      <c r="P107" s="66">
        <f t="shared" si="1"/>
        <v>1.92</v>
      </c>
      <c r="Q107" s="66">
        <f t="shared" si="1"/>
        <v>29.32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8.8590624999999985</v>
      </c>
      <c r="C108" s="67">
        <f t="shared" ref="C108:Q108" si="2">AVERAGE(C9:C104)</f>
        <v>50.384791666666665</v>
      </c>
      <c r="D108" s="67">
        <f t="shared" si="2"/>
        <v>35.556354166666658</v>
      </c>
      <c r="E108" s="67">
        <f t="shared" si="2"/>
        <v>4.9943749999999989</v>
      </c>
      <c r="F108" s="67">
        <f t="shared" si="2"/>
        <v>21.372708333333325</v>
      </c>
      <c r="G108" s="67">
        <f t="shared" si="2"/>
        <v>55.372291666666634</v>
      </c>
      <c r="H108" s="67">
        <f t="shared" si="2"/>
        <v>29.15645833333333</v>
      </c>
      <c r="I108" s="67">
        <f t="shared" si="2"/>
        <v>0.68458333333333321</v>
      </c>
      <c r="J108" s="67">
        <f t="shared" si="2"/>
        <v>0.39781249999999996</v>
      </c>
      <c r="K108" s="67">
        <f t="shared" si="2"/>
        <v>206.19864583333342</v>
      </c>
      <c r="L108" s="67">
        <f t="shared" si="2"/>
        <v>30.687142857142863</v>
      </c>
      <c r="M108" s="67">
        <f t="shared" si="2"/>
        <v>38.304000000000002</v>
      </c>
      <c r="N108" s="67">
        <f t="shared" si="2"/>
        <v>242.01428571428573</v>
      </c>
      <c r="O108" s="67">
        <f t="shared" si="2"/>
        <v>0</v>
      </c>
      <c r="P108" s="67">
        <f t="shared" si="2"/>
        <v>0.88250000000000028</v>
      </c>
      <c r="Q108" s="67">
        <f t="shared" si="2"/>
        <v>25.158229166666672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11.873402392532647</v>
      </c>
      <c r="C109" s="67">
        <f t="shared" ref="C109:Q109" si="3">STDEV(C9:C104)</f>
        <v>16.939501513772122</v>
      </c>
      <c r="D109" s="67">
        <f t="shared" si="3"/>
        <v>18.199970972781479</v>
      </c>
      <c r="E109" s="67">
        <f t="shared" si="3"/>
        <v>4.127888159567159</v>
      </c>
      <c r="F109" s="67">
        <f t="shared" si="3"/>
        <v>17.991885450430253</v>
      </c>
      <c r="G109" s="67">
        <f t="shared" si="3"/>
        <v>18.321327317991663</v>
      </c>
      <c r="H109" s="67">
        <f t="shared" si="3"/>
        <v>5.2513146181978305</v>
      </c>
      <c r="I109" s="67">
        <f t="shared" si="3"/>
        <v>0.17339894169935538</v>
      </c>
      <c r="J109" s="67">
        <f t="shared" si="3"/>
        <v>0.34278488919898142</v>
      </c>
      <c r="K109" s="67">
        <f t="shared" si="3"/>
        <v>63.005882058236182</v>
      </c>
      <c r="L109" s="67">
        <f t="shared" si="3"/>
        <v>3.9219461092222812</v>
      </c>
      <c r="M109" s="67">
        <f t="shared" si="3"/>
        <v>9.8564847189295755</v>
      </c>
      <c r="N109" s="67">
        <f t="shared" si="3"/>
        <v>298.35262558095565</v>
      </c>
      <c r="O109" s="67">
        <f t="shared" si="3"/>
        <v>0</v>
      </c>
      <c r="P109" s="67">
        <f t="shared" si="3"/>
        <v>0.41587700610940953</v>
      </c>
      <c r="Q109" s="67">
        <f t="shared" si="3"/>
        <v>1.6766771617769958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>COUNT(L9:L104)+26</f>
        <v>96</v>
      </c>
      <c r="M110" s="66">
        <f>COUNT(M9:M104)+26</f>
        <v>96</v>
      </c>
      <c r="N110" s="66">
        <f>COUNT(N9:N104)+12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tabSelected="1"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R32" sqref="R32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01-05-2023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2745</v>
      </c>
      <c r="C7" s="198" t="s">
        <v>2746</v>
      </c>
      <c r="D7" s="198" t="s">
        <v>2</v>
      </c>
      <c r="E7" s="198" t="s">
        <v>1</v>
      </c>
      <c r="F7" s="198" t="s">
        <v>4</v>
      </c>
      <c r="G7" s="198" t="s">
        <v>184</v>
      </c>
      <c r="H7" s="198" t="s">
        <v>71</v>
      </c>
      <c r="I7" s="198" t="s">
        <v>2747</v>
      </c>
      <c r="J7" s="198" t="s">
        <v>2748</v>
      </c>
      <c r="K7" s="198" t="s">
        <v>2749</v>
      </c>
      <c r="L7" s="198" t="s">
        <v>2750</v>
      </c>
      <c r="M7" s="198" t="s">
        <v>2751</v>
      </c>
      <c r="N7" s="198" t="s">
        <v>2752</v>
      </c>
      <c r="O7" s="198" t="s">
        <v>2753</v>
      </c>
      <c r="P7" s="198" t="s">
        <v>3</v>
      </c>
      <c r="Q7" s="198" t="s">
        <v>23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244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01-05-2023 00:15</v>
      </c>
      <c r="B9" s="61">
        <f>'01'!B108</f>
        <v>5.2273958333333335</v>
      </c>
      <c r="C9" s="61">
        <f>'01'!C108</f>
        <v>25.142708333333331</v>
      </c>
      <c r="D9" s="61">
        <f>'01'!D108</f>
        <v>18.713750000000005</v>
      </c>
      <c r="E9" s="61">
        <f>'01'!E108</f>
        <v>1.5376041666666669</v>
      </c>
      <c r="F9" s="61">
        <f>'01'!F108</f>
        <v>4.3712500000000007</v>
      </c>
      <c r="G9" s="99">
        <f>'01'!$G$108</f>
        <v>23.04264150943397</v>
      </c>
      <c r="H9" s="61">
        <f>'01'!H108</f>
        <v>7.1030188679245239</v>
      </c>
      <c r="I9" s="61">
        <f>'01'!I108</f>
        <v>0.52031249999999996</v>
      </c>
      <c r="J9" s="61">
        <f>'01'!J108</f>
        <v>0.71468750000000003</v>
      </c>
      <c r="K9" s="61">
        <f>'01'!K108</f>
        <v>192.6766666666667</v>
      </c>
      <c r="L9" s="61">
        <f>'01'!L108</f>
        <v>21.450833333333335</v>
      </c>
      <c r="M9" s="61">
        <f>'01'!M108</f>
        <v>75.4479166666667</v>
      </c>
      <c r="N9" s="61">
        <f>'01'!N108</f>
        <v>33.133333333333333</v>
      </c>
      <c r="O9" s="61">
        <f>'01'!O108</f>
        <v>7.7083333333333351E-2</v>
      </c>
      <c r="P9" s="201">
        <f>'01'!P108</f>
        <v>0.50020833333333325</v>
      </c>
      <c r="Q9" s="61">
        <f>'01'!Q108</f>
        <v>28.912604166666664</v>
      </c>
      <c r="R9" s="118"/>
      <c r="S9" s="118"/>
      <c r="T9" s="118"/>
      <c r="U9" s="118"/>
    </row>
    <row r="10" spans="1:21" x14ac:dyDescent="0.25">
      <c r="A10" s="94" t="str">
        <f>'02'!$B$2</f>
        <v>02-05-2023 00:15</v>
      </c>
      <c r="B10" s="61">
        <f>'02'!B108</f>
        <v>5.0260416666666661</v>
      </c>
      <c r="C10" s="61">
        <f>'02'!C108</f>
        <v>25.131041666666658</v>
      </c>
      <c r="D10" s="61">
        <f>'02'!D108</f>
        <v>18.545625000000001</v>
      </c>
      <c r="E10" s="61">
        <f>'02'!E108</f>
        <v>1.3435416666666669</v>
      </c>
      <c r="F10" s="61">
        <f>'02'!F108</f>
        <v>6.4466666666666654</v>
      </c>
      <c r="G10" s="61">
        <f>'02'!G108</f>
        <v>32.88562499999999</v>
      </c>
      <c r="H10" s="61">
        <f>'02'!H108</f>
        <v>7.9265624999999993</v>
      </c>
      <c r="I10" s="61">
        <f>'02'!I108</f>
        <v>0.51052083333333298</v>
      </c>
      <c r="J10" s="61">
        <f>'02'!J108</f>
        <v>0.75437499999999991</v>
      </c>
      <c r="K10" s="61">
        <f>'02'!K108</f>
        <v>242.60708333333324</v>
      </c>
      <c r="L10" s="61">
        <f>'02'!L108</f>
        <v>22.645937499999988</v>
      </c>
      <c r="M10" s="61">
        <f>'02'!M108</f>
        <v>72.581145833333366</v>
      </c>
      <c r="N10" s="61">
        <f>'02'!N108</f>
        <v>247.00104166666679</v>
      </c>
      <c r="O10" s="61">
        <f>'02'!O108</f>
        <v>0.3562499999999999</v>
      </c>
      <c r="P10" s="201">
        <f>'02'!P108</f>
        <v>0.48385416666666675</v>
      </c>
      <c r="Q10" s="61">
        <f>'02'!Q108</f>
        <v>27.340208333333354</v>
      </c>
      <c r="R10" s="118"/>
      <c r="S10" s="118"/>
      <c r="T10" s="118"/>
      <c r="U10" s="118"/>
    </row>
    <row r="11" spans="1:21" x14ac:dyDescent="0.25">
      <c r="A11" s="94" t="str">
        <f>'03'!$B$2</f>
        <v>03-05-2023 00:15</v>
      </c>
      <c r="B11" s="61">
        <f>'03'!B108</f>
        <v>6.4654166666666661</v>
      </c>
      <c r="C11" s="61">
        <f>'03'!C108</f>
        <v>21.381979166666657</v>
      </c>
      <c r="D11" s="61">
        <f>'03'!D108</f>
        <v>17.631145833333342</v>
      </c>
      <c r="E11" s="61">
        <f>'03'!E108</f>
        <v>0.83760416666666637</v>
      </c>
      <c r="F11" s="61">
        <f>'03'!F108</f>
        <v>4.7895833333333337</v>
      </c>
      <c r="G11" s="61">
        <f>'03'!G108</f>
        <v>25.179791666666688</v>
      </c>
      <c r="H11" s="61">
        <f>'03'!H108</f>
        <v>6.7190624999999962</v>
      </c>
      <c r="I11" s="61">
        <f>'03'!I108</f>
        <v>0.50624999999999976</v>
      </c>
      <c r="J11" s="61">
        <f>'03'!J108</f>
        <v>0.46812499999999996</v>
      </c>
      <c r="K11" s="61">
        <f>'03'!K108</f>
        <v>238.7934375000001</v>
      </c>
      <c r="L11" s="61">
        <f>'03'!L108</f>
        <v>22.060000000000002</v>
      </c>
      <c r="M11" s="61">
        <f>'03'!M108</f>
        <v>78.071770833333318</v>
      </c>
      <c r="N11" s="61">
        <f>'03'!N108</f>
        <v>112.91011235955054</v>
      </c>
      <c r="O11" s="61">
        <f>'03'!O108</f>
        <v>6.8750000000000019E-2</v>
      </c>
      <c r="P11" s="201">
        <f>'03'!P108</f>
        <v>0.52843749999999989</v>
      </c>
      <c r="Q11" s="61">
        <f>'03'!Q108</f>
        <v>24.426041666666666</v>
      </c>
      <c r="R11" s="118"/>
      <c r="S11" s="118"/>
      <c r="T11" s="118"/>
      <c r="U11" s="118"/>
    </row>
    <row r="12" spans="1:21" x14ac:dyDescent="0.25">
      <c r="A12" s="94" t="str">
        <f>'04'!$B$2</f>
        <v>04-05-2023 00:15</v>
      </c>
      <c r="B12" s="61">
        <f>'04'!B108</f>
        <v>16.052750000000007</v>
      </c>
      <c r="C12" s="61">
        <f>'04'!C108</f>
        <v>26.884000000000004</v>
      </c>
      <c r="D12" s="61">
        <f>'04'!D108</f>
        <v>28.352000000000011</v>
      </c>
      <c r="E12" s="61">
        <f>'04'!E108</f>
        <v>2.0638571428571426</v>
      </c>
      <c r="F12" s="61">
        <f>'04'!F108</f>
        <v>7.4758536585365851</v>
      </c>
      <c r="G12" s="61">
        <f>'04'!G108</f>
        <v>87.079512195121936</v>
      </c>
      <c r="H12" s="61">
        <f>'04'!H108</f>
        <v>24.036585365853671</v>
      </c>
      <c r="I12" s="61">
        <f>'04'!I108</f>
        <v>0.64403846153846156</v>
      </c>
      <c r="J12" s="61">
        <f>'04'!J108</f>
        <v>0.29802469135802467</v>
      </c>
      <c r="K12" s="61">
        <f>'04'!K108</f>
        <v>253.94963414634154</v>
      </c>
      <c r="L12" s="61">
        <f>'04'!L108</f>
        <v>25.748048780487807</v>
      </c>
      <c r="M12" s="61">
        <f>'04'!M108</f>
        <v>62.292804878048806</v>
      </c>
      <c r="N12" s="61">
        <f>'04'!N108</f>
        <v>44.801785714285714</v>
      </c>
      <c r="O12" s="61">
        <f>'04'!O108</f>
        <v>0</v>
      </c>
      <c r="P12" s="201">
        <f>'04'!P108</f>
        <v>0.91456790123456788</v>
      </c>
      <c r="Q12" s="61">
        <f>'04'!Q108</f>
        <v>27.046410256410262</v>
      </c>
      <c r="R12" s="118"/>
      <c r="S12" s="118"/>
      <c r="T12" s="118"/>
      <c r="U12" s="118"/>
    </row>
    <row r="13" spans="1:21" x14ac:dyDescent="0.25">
      <c r="A13" s="94" t="str">
        <f>'05'!$B$2</f>
        <v>05-05-2023 00:15</v>
      </c>
      <c r="B13" s="61">
        <f>'05'!B108</f>
        <v>18.148645833333337</v>
      </c>
      <c r="C13" s="61">
        <f>'05'!C108</f>
        <v>25.708437499999999</v>
      </c>
      <c r="D13" s="61">
        <f>'05'!D108</f>
        <v>30.622604166666662</v>
      </c>
      <c r="E13" s="61">
        <f>'05'!E108</f>
        <v>4.8426086956521743</v>
      </c>
      <c r="F13" s="61">
        <f>'05'!F108</f>
        <v>9.5604166666666668</v>
      </c>
      <c r="G13" s="61">
        <f>'05'!G108</f>
        <v>65.111290322580615</v>
      </c>
      <c r="H13" s="61">
        <f>'05'!H108</f>
        <v>18.961290322580645</v>
      </c>
      <c r="I13" s="61">
        <f>'05'!I108</f>
        <v>0.50282608695652176</v>
      </c>
      <c r="J13" s="61">
        <f>'05'!J108</f>
        <v>0.37937499999999996</v>
      </c>
      <c r="K13" s="61">
        <f>'05'!K108</f>
        <v>272.39749999999998</v>
      </c>
      <c r="L13" s="61">
        <f>'05'!L108</f>
        <v>28.630208333333343</v>
      </c>
      <c r="M13" s="61">
        <f>'05'!M108</f>
        <v>52.761250000000018</v>
      </c>
      <c r="N13" s="61">
        <f>'05'!N108</f>
        <v>254.19895833333325</v>
      </c>
      <c r="O13" s="61">
        <f>'05'!O108</f>
        <v>0</v>
      </c>
      <c r="P13" s="201">
        <f>'05'!P108</f>
        <v>0.64479166666666676</v>
      </c>
      <c r="Q13" s="61">
        <f>'05'!Q108</f>
        <v>20.267684210526316</v>
      </c>
      <c r="R13" s="118"/>
      <c r="S13" s="118"/>
      <c r="T13" s="118"/>
      <c r="U13" s="118"/>
    </row>
    <row r="14" spans="1:21" x14ac:dyDescent="0.25">
      <c r="A14" s="94" t="str">
        <f>'06'!$B$2</f>
        <v>06-05-2023 00:15</v>
      </c>
      <c r="B14" s="61">
        <f>'06'!B108</f>
        <v>14.669473684210525</v>
      </c>
      <c r="C14" s="61">
        <f>'06'!C108</f>
        <v>29.285894736842103</v>
      </c>
      <c r="D14" s="61">
        <f>'06'!D108</f>
        <v>28.571999999999996</v>
      </c>
      <c r="E14" s="61">
        <f>'06'!E108</f>
        <v>2.8150526315789479</v>
      </c>
      <c r="F14" s="61">
        <f>'06'!F108</f>
        <v>12.639263157894739</v>
      </c>
      <c r="G14" s="61">
        <f>'06'!G108</f>
        <v>40.864623655913988</v>
      </c>
      <c r="H14" s="61">
        <f>'06'!H108</f>
        <v>18.705483870967743</v>
      </c>
      <c r="I14" s="61">
        <f>'06'!I108</f>
        <v>0.58305263157894749</v>
      </c>
      <c r="J14" s="61">
        <f>'06'!J108</f>
        <v>0.22684210526315771</v>
      </c>
      <c r="K14" s="61">
        <f>'06'!K108</f>
        <v>245.07147368421045</v>
      </c>
      <c r="L14" s="61">
        <f>'06'!L108</f>
        <v>28.476526315789478</v>
      </c>
      <c r="M14" s="61">
        <f>'06'!M108</f>
        <v>55.424210526315804</v>
      </c>
      <c r="N14" s="61">
        <f>'06'!N108</f>
        <v>225.61473684210529</v>
      </c>
      <c r="O14" s="61">
        <f>'06'!O108</f>
        <v>0</v>
      </c>
      <c r="P14" s="201">
        <f>'06'!P108</f>
        <v>0.71368421052631559</v>
      </c>
      <c r="Q14" s="61">
        <f>'06'!Q108</f>
        <v>20.858297872340422</v>
      </c>
      <c r="R14" s="118"/>
      <c r="S14" s="118"/>
      <c r="T14" s="118"/>
      <c r="U14" s="118"/>
    </row>
    <row r="15" spans="1:21" x14ac:dyDescent="0.25">
      <c r="A15" s="94" t="str">
        <f>'07'!$B$2</f>
        <v>07-05-2023 00:15</v>
      </c>
      <c r="B15" s="61">
        <f>'07'!B108</f>
        <v>21.111041666666658</v>
      </c>
      <c r="C15" s="61">
        <f>'07'!C108</f>
        <v>34.091875000000009</v>
      </c>
      <c r="D15" s="61">
        <f>'07'!D108</f>
        <v>36.389999999999986</v>
      </c>
      <c r="E15" s="61">
        <f>'07'!E108</f>
        <v>3.0283333333333329</v>
      </c>
      <c r="F15" s="61">
        <f>'07'!F108</f>
        <v>8.9127083333333363</v>
      </c>
      <c r="G15" s="100">
        <f>'07'!$G$108</f>
        <v>66.773750000000021</v>
      </c>
      <c r="H15" s="61">
        <f>'07'!H108</f>
        <v>27.398020833333344</v>
      </c>
      <c r="I15" s="61">
        <f>'07'!I108</f>
        <v>0.68427083333333327</v>
      </c>
      <c r="J15" s="61">
        <f>'07'!J108</f>
        <v>0.29052083333333328</v>
      </c>
      <c r="K15" s="61">
        <f>'07'!K108</f>
        <v>236.27937499999999</v>
      </c>
      <c r="L15" s="61">
        <f>'07'!L108</f>
        <v>28.908125000000009</v>
      </c>
      <c r="M15" s="61">
        <f>'07'!M108</f>
        <v>52.990000000000009</v>
      </c>
      <c r="N15" s="61">
        <f>'07'!N108</f>
        <v>218.68437500000005</v>
      </c>
      <c r="O15" s="61">
        <f>'07'!O108</f>
        <v>1.8749999999999999E-2</v>
      </c>
      <c r="P15" s="201">
        <f>'07'!P108</f>
        <v>1.1164583333333336</v>
      </c>
      <c r="Q15" s="61">
        <f>'07'!Q108</f>
        <v>23.309479166666645</v>
      </c>
      <c r="R15" s="118"/>
      <c r="S15" s="118"/>
      <c r="T15" s="118"/>
      <c r="U15" s="118"/>
    </row>
    <row r="16" spans="1:21" x14ac:dyDescent="0.25">
      <c r="A16" s="94" t="str">
        <f>'08'!$B$2</f>
        <v>08-05-2023 00:15</v>
      </c>
      <c r="B16" s="61">
        <f>'08'!B108</f>
        <v>14.085729166666669</v>
      </c>
      <c r="C16" s="61">
        <f>'08'!C108</f>
        <v>33.545000000000009</v>
      </c>
      <c r="D16" s="61">
        <f>'08'!D108</f>
        <v>30.455312500000002</v>
      </c>
      <c r="E16" s="61">
        <f>'08'!E108</f>
        <v>5.751875000000001</v>
      </c>
      <c r="F16" s="61">
        <f>'08'!F108</f>
        <v>15.442187499999996</v>
      </c>
      <c r="G16" s="100">
        <f>'08'!$G$108</f>
        <v>72.522187500000015</v>
      </c>
      <c r="H16" s="61">
        <f>'08'!H108</f>
        <v>27.208958333333328</v>
      </c>
      <c r="I16" s="61">
        <f>'08'!I108</f>
        <v>0.65604166666666663</v>
      </c>
      <c r="J16" s="61">
        <f>'08'!J108</f>
        <v>0.21354166666666663</v>
      </c>
      <c r="K16" s="61">
        <f>'08'!K108</f>
        <v>241.28020833333338</v>
      </c>
      <c r="L16" s="61">
        <f>'08'!L108</f>
        <v>30.146145833333332</v>
      </c>
      <c r="M16" s="61">
        <f>'08'!M108</f>
        <v>48.399791666666658</v>
      </c>
      <c r="N16" s="61">
        <f>'08'!N108</f>
        <v>248.38437499999995</v>
      </c>
      <c r="O16" s="61">
        <f>'08'!O108</f>
        <v>0</v>
      </c>
      <c r="P16" s="201">
        <f>'08'!P108</f>
        <v>1.0896875000000001</v>
      </c>
      <c r="Q16" s="61">
        <f>'08'!Q108</f>
        <v>23.298229166666662</v>
      </c>
      <c r="R16" s="118"/>
      <c r="S16" s="118"/>
      <c r="T16" s="118"/>
      <c r="U16" s="118"/>
    </row>
    <row r="17" spans="1:21" x14ac:dyDescent="0.25">
      <c r="A17" s="94" t="str">
        <f>'09'!$B$2</f>
        <v>09-05-2023 00:15</v>
      </c>
      <c r="B17" s="61">
        <f>'09'!B108</f>
        <v>5.8151041666666687</v>
      </c>
      <c r="C17" s="61">
        <f>'09'!C108</f>
        <v>31.845833333333331</v>
      </c>
      <c r="D17" s="61">
        <f>'09'!D108</f>
        <v>22.884374999999995</v>
      </c>
      <c r="E17" s="61">
        <f>'09'!E108</f>
        <v>9.3207291666666645</v>
      </c>
      <c r="F17" s="61">
        <f>'09'!F108</f>
        <v>18.969895833333336</v>
      </c>
      <c r="G17" s="100">
        <f>'09'!$G$108</f>
        <v>72.326354166666661</v>
      </c>
      <c r="H17" s="61">
        <f>'09'!H108</f>
        <v>31.003333333333305</v>
      </c>
      <c r="I17" s="61">
        <f>'09'!I108</f>
        <v>0.60770833333333341</v>
      </c>
      <c r="J17" s="61">
        <f>'09'!J108</f>
        <v>0.45062499999999989</v>
      </c>
      <c r="K17" s="61">
        <f>'09'!K108</f>
        <v>226.26020833333325</v>
      </c>
      <c r="L17" s="61">
        <f>'09'!L108</f>
        <v>29.999062499999997</v>
      </c>
      <c r="M17" s="61">
        <f>'09'!M108</f>
        <v>48.076666666666661</v>
      </c>
      <c r="N17" s="61">
        <f>'09'!N108</f>
        <v>235.859375</v>
      </c>
      <c r="O17" s="61">
        <f>'09'!O108</f>
        <v>1.0416666666666666E-2</v>
      </c>
      <c r="P17" s="201">
        <f>'09'!P108</f>
        <v>0.80749999999999977</v>
      </c>
      <c r="Q17" s="61">
        <f>'09'!Q108</f>
        <v>23.08260416666667</v>
      </c>
      <c r="R17" s="118"/>
      <c r="S17" s="118"/>
      <c r="T17" s="118"/>
      <c r="U17" s="118"/>
    </row>
    <row r="18" spans="1:21" x14ac:dyDescent="0.25">
      <c r="A18" s="94" t="str">
        <f>'10'!$B$2</f>
        <v>10-05-2023 00:15</v>
      </c>
      <c r="B18" s="61">
        <f>'10'!B108</f>
        <v>12.1409375</v>
      </c>
      <c r="C18" s="61">
        <f>'10'!C108</f>
        <v>32.87479166666666</v>
      </c>
      <c r="D18" s="61">
        <f>'10'!D108</f>
        <v>28.525729166666665</v>
      </c>
      <c r="E18" s="61">
        <f>'10'!E108</f>
        <v>5.9118750000000011</v>
      </c>
      <c r="F18" s="61">
        <f>'10'!F108</f>
        <v>15.086875000000001</v>
      </c>
      <c r="G18" s="101">
        <f>'10'!$G$108</f>
        <v>52.903478260869527</v>
      </c>
      <c r="H18" s="61">
        <f>'10'!H108</f>
        <v>23.096086956521752</v>
      </c>
      <c r="I18" s="61">
        <f>'10'!I108</f>
        <v>0.64291666666666636</v>
      </c>
      <c r="J18" s="61">
        <f>'10'!J108</f>
        <v>0.33718750000000003</v>
      </c>
      <c r="K18" s="61">
        <f>'10'!K108</f>
        <v>258.00135416666677</v>
      </c>
      <c r="L18" s="61">
        <f>'10'!L108</f>
        <v>30.543333333333333</v>
      </c>
      <c r="M18" s="61">
        <f>'10'!M108</f>
        <v>46.758333333333347</v>
      </c>
      <c r="N18" s="61">
        <f>'10'!N108</f>
        <v>245.58749999999998</v>
      </c>
      <c r="O18" s="61">
        <f>'10'!O108</f>
        <v>0</v>
      </c>
      <c r="P18" s="201">
        <f>'10'!P108</f>
        <v>0.89197916666666677</v>
      </c>
      <c r="Q18" s="61">
        <f>'10'!Q108</f>
        <v>21.550104166666674</v>
      </c>
      <c r="R18" s="118"/>
      <c r="S18" s="118"/>
      <c r="T18" s="118"/>
      <c r="U18" s="118"/>
    </row>
    <row r="19" spans="1:21" x14ac:dyDescent="0.25">
      <c r="A19" s="94" t="str">
        <f>'11'!$B$2</f>
        <v>11-05-2023 00:15</v>
      </c>
      <c r="B19" s="61">
        <f>'11'!B108</f>
        <v>43.021249999999988</v>
      </c>
      <c r="C19" s="61">
        <f>'11'!C108</f>
        <v>55.694375000000015</v>
      </c>
      <c r="D19" s="61">
        <f>'11'!D108</f>
        <v>65.88239583333332</v>
      </c>
      <c r="E19" s="61">
        <f>'11'!E108</f>
        <v>11.544895833333333</v>
      </c>
      <c r="F19" s="61">
        <f>'11'!F108</f>
        <v>13.470104166666664</v>
      </c>
      <c r="G19" s="99">
        <f>'11'!$G$108</f>
        <v>118.33403508771927</v>
      </c>
      <c r="H19" s="61">
        <f>'11'!H108</f>
        <v>45.194912280701772</v>
      </c>
      <c r="I19" s="61">
        <f>'11'!I108</f>
        <v>0.87645833333333334</v>
      </c>
      <c r="J19" s="61">
        <f>'11'!J108</f>
        <v>0.4557291666666668</v>
      </c>
      <c r="K19" s="61">
        <f>'11'!K108</f>
        <v>199.92822916666663</v>
      </c>
      <c r="L19" s="61">
        <f>'11'!L108</f>
        <v>30.07833333333333</v>
      </c>
      <c r="M19" s="61">
        <f>'11'!M108</f>
        <v>28.299062500000005</v>
      </c>
      <c r="N19" s="61">
        <f>'11'!N108</f>
        <v>270.89583333333326</v>
      </c>
      <c r="O19" s="61">
        <f>'11'!O108</f>
        <v>0</v>
      </c>
      <c r="P19" s="201">
        <f>'11'!P108</f>
        <v>1.5865625000000003</v>
      </c>
      <c r="Q19" s="61">
        <f>'11'!Q108</f>
        <v>25.333541666666672</v>
      </c>
      <c r="R19" s="118"/>
      <c r="S19" s="118"/>
      <c r="T19" s="118"/>
      <c r="U19" s="118"/>
    </row>
    <row r="20" spans="1:21" x14ac:dyDescent="0.25">
      <c r="A20" s="94" t="str">
        <f>'12'!$B$2</f>
        <v>12-05-2023 00:15</v>
      </c>
      <c r="B20" s="61">
        <f>'12'!B108</f>
        <v>53.738124999999975</v>
      </c>
      <c r="C20" s="61">
        <f>'12'!C108</f>
        <v>59.756666666666682</v>
      </c>
      <c r="D20" s="61">
        <f>'12'!D108</f>
        <v>76.717916666666682</v>
      </c>
      <c r="E20" s="61">
        <f>'12'!E108</f>
        <v>12.094166666666672</v>
      </c>
      <c r="F20" s="61">
        <f>'12'!F108</f>
        <v>17.353333333333328</v>
      </c>
      <c r="G20" s="101">
        <f>'12'!$G$108</f>
        <v>132.26040816326528</v>
      </c>
      <c r="H20" s="61">
        <f>'12'!H108</f>
        <v>43.868163265306123</v>
      </c>
      <c r="I20" s="61">
        <f>'12'!I108</f>
        <v>0.91406250000000011</v>
      </c>
      <c r="J20" s="61">
        <f>'12'!J108</f>
        <v>0.34656249999999994</v>
      </c>
      <c r="K20" s="61">
        <f>'12'!K108</f>
        <v>235.85312499999986</v>
      </c>
      <c r="L20" s="61">
        <f>'12'!L108</f>
        <v>29.759166666666662</v>
      </c>
      <c r="M20" s="61">
        <f>'12'!M108</f>
        <v>29.420937499999997</v>
      </c>
      <c r="N20" s="61">
        <f>'12'!N108</f>
        <v>257.64895833333327</v>
      </c>
      <c r="O20" s="61">
        <f>'12'!O108</f>
        <v>0</v>
      </c>
      <c r="P20" s="201">
        <f>'12'!P108</f>
        <v>1.5706250000000006</v>
      </c>
      <c r="Q20" s="61">
        <f>'12'!Q108</f>
        <v>27.081979166666667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13-05-2023 00:15</v>
      </c>
      <c r="B21" s="91">
        <f>'13'!B108</f>
        <v>42.67052083333332</v>
      </c>
      <c r="C21" s="91">
        <f>'13'!C108</f>
        <v>66.983437499999994</v>
      </c>
      <c r="D21" s="91">
        <f>'13'!D108</f>
        <v>71.830833333333331</v>
      </c>
      <c r="E21" s="91">
        <f>'13'!E108</f>
        <v>12.320833333333331</v>
      </c>
      <c r="F21" s="91">
        <f>'13'!F108</f>
        <v>16.175104166666667</v>
      </c>
      <c r="G21" s="100">
        <f>'13'!$G$108</f>
        <v>128.70979166666669</v>
      </c>
      <c r="H21" s="91">
        <f>'13'!H108</f>
        <v>51.376458333333325</v>
      </c>
      <c r="I21" s="91">
        <f>'13'!I108</f>
        <v>0.88604166666666651</v>
      </c>
      <c r="J21" s="91">
        <f>'13'!J108</f>
        <v>0.43416666666666687</v>
      </c>
      <c r="K21" s="91">
        <f>'13'!K108</f>
        <v>247.81635416666674</v>
      </c>
      <c r="L21" s="91">
        <f>'13'!L108</f>
        <v>29.870625</v>
      </c>
      <c r="M21" s="91">
        <f>'13'!M108</f>
        <v>29.508125000000007</v>
      </c>
      <c r="N21" s="91">
        <f>'13'!N108</f>
        <v>245.41145833333346</v>
      </c>
      <c r="O21" s="91">
        <f>'13'!O108</f>
        <v>0</v>
      </c>
      <c r="P21" s="202">
        <f>'13'!P108</f>
        <v>1.7376041666666671</v>
      </c>
      <c r="Q21" s="91">
        <f>'13'!Q108</f>
        <v>26.814479166666672</v>
      </c>
      <c r="R21" s="204"/>
      <c r="S21" s="204"/>
      <c r="T21" s="204"/>
      <c r="U21" s="204"/>
    </row>
    <row r="22" spans="1:21" s="89" customFormat="1" x14ac:dyDescent="0.25">
      <c r="A22" s="94" t="str">
        <f>'14'!$B$2</f>
        <v>14-05-2023 00:15</v>
      </c>
      <c r="B22" s="90">
        <f>'14'!B108</f>
        <v>28.625833333333343</v>
      </c>
      <c r="C22" s="90">
        <f>'14'!C108</f>
        <v>64.891979166666687</v>
      </c>
      <c r="D22" s="90">
        <f>'14'!D108</f>
        <v>59.414479166666666</v>
      </c>
      <c r="E22" s="90">
        <f>'14'!E108</f>
        <v>12.043645833333334</v>
      </c>
      <c r="F22" s="90">
        <f>'14'!F108</f>
        <v>17.930104166666677</v>
      </c>
      <c r="G22" s="100">
        <f>'14'!$G$108</f>
        <v>103.50510416666663</v>
      </c>
      <c r="H22" s="100">
        <f>'14'!$G$108</f>
        <v>103.50510416666663</v>
      </c>
      <c r="I22" s="90">
        <f>'14'!I108</f>
        <v>0.83791666666666675</v>
      </c>
      <c r="J22" s="90">
        <f>'14'!J108</f>
        <v>0.2256250000000001</v>
      </c>
      <c r="K22" s="90">
        <f>'14'!K108</f>
        <v>247.57593749999992</v>
      </c>
      <c r="L22" s="90">
        <f>'14'!L108</f>
        <v>31.532083333333347</v>
      </c>
      <c r="M22" s="90">
        <f>'14'!M108</f>
        <v>28.571979166666665</v>
      </c>
      <c r="N22" s="90">
        <f>'14'!N108</f>
        <v>245.99687500000002</v>
      </c>
      <c r="O22" s="90">
        <f>'14'!O108</f>
        <v>0</v>
      </c>
      <c r="P22" s="203">
        <f>'14'!P108</f>
        <v>1.436354166666667</v>
      </c>
      <c r="Q22" s="90">
        <f>'14'!Q108</f>
        <v>26.125208333333333</v>
      </c>
      <c r="R22" s="205"/>
      <c r="S22" s="205"/>
      <c r="T22" s="205"/>
      <c r="U22" s="205"/>
    </row>
    <row r="23" spans="1:21" x14ac:dyDescent="0.25">
      <c r="A23" s="94" t="str">
        <f>'15'!$B$2</f>
        <v>15-05-2023 00:15</v>
      </c>
      <c r="B23" s="61">
        <f>'15'!B108</f>
        <v>13.211630434782606</v>
      </c>
      <c r="C23" s="61">
        <f>'15'!C108</f>
        <v>48.164239130434758</v>
      </c>
      <c r="D23" s="61">
        <f>'15'!D108</f>
        <v>37.818478260869554</v>
      </c>
      <c r="E23" s="61">
        <f>'15'!E108</f>
        <v>5.5428260869565227</v>
      </c>
      <c r="F23" s="61">
        <f>'15'!F108</f>
        <v>13.897187500000003</v>
      </c>
      <c r="G23" s="100">
        <f>'15'!$G$108</f>
        <v>68.637444444444426</v>
      </c>
      <c r="H23" s="61">
        <f>'15'!H108</f>
        <v>32.909111111111095</v>
      </c>
      <c r="I23" s="61">
        <f>'15'!I108</f>
        <v>0.62385416666666671</v>
      </c>
      <c r="J23" s="61">
        <f>'15'!J108</f>
        <v>0.49531250000000021</v>
      </c>
      <c r="K23" s="61">
        <f>'15'!K108</f>
        <v>258.73552083333334</v>
      </c>
      <c r="L23" s="61">
        <f>'15'!L108</f>
        <v>32.376874999999977</v>
      </c>
      <c r="M23" s="61">
        <f>'15'!M108</f>
        <v>28.053854166666671</v>
      </c>
      <c r="N23" s="61">
        <f>'15'!N108</f>
        <v>245.6791666666667</v>
      </c>
      <c r="O23" s="61">
        <f>'15'!O108</f>
        <v>0</v>
      </c>
      <c r="P23" s="201">
        <f>'15'!P108</f>
        <v>1.0158947368421058</v>
      </c>
      <c r="Q23" s="61">
        <f>'15'!Q108</f>
        <v>24.14520833333334</v>
      </c>
      <c r="R23" s="118"/>
      <c r="S23" s="118"/>
      <c r="T23" s="118"/>
      <c r="U23" s="118"/>
    </row>
    <row r="24" spans="1:21" x14ac:dyDescent="0.25">
      <c r="A24" s="94" t="str">
        <f>'16'!$B$2</f>
        <v>16-05-2023 00:15</v>
      </c>
      <c r="B24" s="61">
        <f>'16'!B108</f>
        <v>11.848541666666664</v>
      </c>
      <c r="C24" s="61">
        <f>'16'!C108</f>
        <v>48.523541666666659</v>
      </c>
      <c r="D24" s="61">
        <f>'16'!D108</f>
        <v>36.904895833333335</v>
      </c>
      <c r="E24" s="61">
        <f>'16'!E108</f>
        <v>5.3351041666666674</v>
      </c>
      <c r="F24" s="61">
        <f>'16'!F108</f>
        <v>13.336041666666667</v>
      </c>
      <c r="G24" s="100">
        <f>'16'!$G$108</f>
        <v>65.246770833333343</v>
      </c>
      <c r="H24" s="61">
        <f>'16'!H108</f>
        <v>29.473749999999999</v>
      </c>
      <c r="I24" s="61">
        <f>'16'!I108</f>
        <v>0.63193181818181832</v>
      </c>
      <c r="J24" s="61">
        <f>'16'!J108</f>
        <v>0.17135416666666667</v>
      </c>
      <c r="K24" s="61">
        <f>'16'!K108</f>
        <v>238.29114583333327</v>
      </c>
      <c r="L24" s="61">
        <f>'16'!L108</f>
        <v>32.44583333333334</v>
      </c>
      <c r="M24" s="61">
        <f>'16'!M108</f>
        <v>29.690937500000004</v>
      </c>
      <c r="N24" s="61">
        <f>'16'!N108</f>
        <v>225.80937500000007</v>
      </c>
      <c r="O24" s="61">
        <f>'16'!O108</f>
        <v>0</v>
      </c>
      <c r="P24" s="201">
        <f>'16'!P108</f>
        <v>0.9596874999999998</v>
      </c>
      <c r="Q24" s="61">
        <f>'16'!Q108</f>
        <v>25.920520833333338</v>
      </c>
      <c r="R24" s="118"/>
      <c r="S24" s="118"/>
      <c r="T24" s="118"/>
      <c r="U24" s="118"/>
    </row>
    <row r="25" spans="1:21" x14ac:dyDescent="0.25">
      <c r="A25" s="94" t="str">
        <f>'17'!$B$2</f>
        <v>17-05-2023 00:15</v>
      </c>
      <c r="B25" s="61">
        <f>'17'!B108</f>
        <v>8.3278125000000021</v>
      </c>
      <c r="C25" s="61">
        <f>'17'!C108</f>
        <v>42.440833333333337</v>
      </c>
      <c r="D25" s="61">
        <f>'17'!D108</f>
        <v>30.739791666666662</v>
      </c>
      <c r="E25" s="61">
        <f>'17'!E108</f>
        <v>3.9914583333333327</v>
      </c>
      <c r="F25" s="61">
        <f>'17'!F108</f>
        <v>16.855312500000004</v>
      </c>
      <c r="G25" s="101">
        <f>'17'!$G$108</f>
        <v>55.48228915662655</v>
      </c>
      <c r="H25" s="61">
        <f>'17'!H108</f>
        <v>24.429069767441856</v>
      </c>
      <c r="I25" s="61">
        <f>'17'!I108</f>
        <v>0.64322916666666663</v>
      </c>
      <c r="J25" s="61">
        <f>'17'!J108</f>
        <v>0.18552083333333325</v>
      </c>
      <c r="K25" s="61">
        <f>'17'!K108</f>
        <v>231.70062499999995</v>
      </c>
      <c r="L25" s="61">
        <f>'17'!L108</f>
        <v>32.521458333333349</v>
      </c>
      <c r="M25" s="61">
        <f>'17'!M108</f>
        <v>29.289479166666652</v>
      </c>
      <c r="N25" s="61">
        <f>'17'!N108</f>
        <v>239.1635416666667</v>
      </c>
      <c r="O25" s="61">
        <f>'17'!O108</f>
        <v>0</v>
      </c>
      <c r="P25" s="201">
        <f>'17'!P108</f>
        <v>0.7886458333333336</v>
      </c>
      <c r="Q25" s="61">
        <f>'17'!Q108</f>
        <v>18.041354166666665</v>
      </c>
      <c r="R25" s="118"/>
      <c r="S25" s="118"/>
      <c r="T25" s="118"/>
      <c r="U25" s="118"/>
    </row>
    <row r="26" spans="1:21" x14ac:dyDescent="0.25">
      <c r="A26" s="94" t="str">
        <f>'18'!$B$2</f>
        <v>18-05-2023 00:15</v>
      </c>
      <c r="B26" s="61">
        <f>'18'!B108</f>
        <v>5.8569791666666662</v>
      </c>
      <c r="C26" s="61">
        <f>'18'!C108</f>
        <v>40.638958333333349</v>
      </c>
      <c r="D26" s="61">
        <f>'18'!D108</f>
        <v>27.771145833333335</v>
      </c>
      <c r="E26" s="61">
        <f>'18'!E108</f>
        <v>5.4240625000000007</v>
      </c>
      <c r="F26" s="61">
        <f>'18'!F108</f>
        <v>17.68739583333333</v>
      </c>
      <c r="G26" s="99">
        <f>'18'!$G$108</f>
        <v>64.133563218390776</v>
      </c>
      <c r="H26" s="61">
        <f>'18'!H108</f>
        <v>26.447586206896553</v>
      </c>
      <c r="I26" s="61">
        <f>'18'!I108</f>
        <v>0.58791666666666675</v>
      </c>
      <c r="J26" s="61">
        <f>'18'!J108</f>
        <v>0.32739583333333333</v>
      </c>
      <c r="K26" s="61">
        <f>'18'!K108</f>
        <v>232.58645833333321</v>
      </c>
      <c r="L26" s="61">
        <f>'18'!L108</f>
        <v>32.023541666666652</v>
      </c>
      <c r="M26" s="61">
        <f>'18'!M108</f>
        <v>33.787395833333335</v>
      </c>
      <c r="N26" s="61">
        <f>'18'!N108</f>
        <v>216.27604166666671</v>
      </c>
      <c r="O26" s="61">
        <f>'18'!O108</f>
        <v>0</v>
      </c>
      <c r="P26" s="201">
        <f>'18'!P108</f>
        <v>0.82791666666666652</v>
      </c>
      <c r="Q26" s="61">
        <f>'18'!Q108</f>
        <v>22.837083333333339</v>
      </c>
      <c r="R26" s="118"/>
      <c r="S26" s="118"/>
      <c r="T26" s="118"/>
      <c r="U26" s="118"/>
    </row>
    <row r="27" spans="1:21" x14ac:dyDescent="0.25">
      <c r="A27" s="94" t="str">
        <f>'19'!$B$2</f>
        <v>19-05-2023 00:15</v>
      </c>
      <c r="B27" s="61">
        <f>'19'!B108</f>
        <v>3.6124999999999985</v>
      </c>
      <c r="C27" s="61">
        <f>'19'!C108</f>
        <v>38.727083333333319</v>
      </c>
      <c r="D27" s="61">
        <f>'19'!D108</f>
        <v>24.915729166666665</v>
      </c>
      <c r="E27" s="61">
        <f>'19'!E108</f>
        <v>3.3721875000000026</v>
      </c>
      <c r="F27" s="61">
        <f>'19'!F108</f>
        <v>13.276666666666666</v>
      </c>
      <c r="G27" s="61">
        <f>'19'!G108</f>
        <v>51.15010989010991</v>
      </c>
      <c r="H27" s="61">
        <f>'19'!H108</f>
        <v>25.234505494505491</v>
      </c>
      <c r="I27" s="61">
        <f>'19'!I108</f>
        <v>0.63416666666666666</v>
      </c>
      <c r="J27" s="61">
        <f>'19'!J108</f>
        <v>0.49749999999999989</v>
      </c>
      <c r="K27" s="61">
        <f>'19'!K108</f>
        <v>203.61906250000001</v>
      </c>
      <c r="L27" s="61">
        <f>'19'!L108</f>
        <v>32.009583333333332</v>
      </c>
      <c r="M27" s="61">
        <f>'19'!M108</f>
        <v>36.034479166666678</v>
      </c>
      <c r="N27" s="61">
        <f>'19'!N108</f>
        <v>224.10937500000011</v>
      </c>
      <c r="O27" s="61">
        <f>'19'!O108</f>
        <v>0</v>
      </c>
      <c r="P27" s="201">
        <f>'19'!P108</f>
        <v>0.84312499999999979</v>
      </c>
      <c r="Q27" s="61">
        <f>'19'!Q108</f>
        <v>31.453229166666659</v>
      </c>
      <c r="R27" s="118"/>
      <c r="S27" s="118"/>
      <c r="T27" s="118"/>
      <c r="U27" s="118"/>
    </row>
    <row r="28" spans="1:21" x14ac:dyDescent="0.25">
      <c r="A28" s="94" t="str">
        <f>'20'!$B$2</f>
        <v>20-05-2023 00:15</v>
      </c>
      <c r="B28" s="61">
        <f>'20'!B108</f>
        <v>2.8705208333333325</v>
      </c>
      <c r="C28" s="61">
        <f>'20'!C108</f>
        <v>35.197083333333332</v>
      </c>
      <c r="D28" s="61">
        <f>'20'!D108</f>
        <v>22.372604166666665</v>
      </c>
      <c r="E28" s="61">
        <f>'20'!E108</f>
        <v>3.6277083333333326</v>
      </c>
      <c r="F28" s="61">
        <f>'20'!F108</f>
        <v>17.000526315789472</v>
      </c>
      <c r="G28" s="61">
        <f>'20'!G108</f>
        <v>35.523437500000007</v>
      </c>
      <c r="H28" s="61">
        <f>'20'!H108</f>
        <v>20.332916666666673</v>
      </c>
      <c r="I28" s="61">
        <f>'20'!I108</f>
        <v>0.60416666666666674</v>
      </c>
      <c r="J28" s="61">
        <f>'20'!J108</f>
        <v>0.5491666666666668</v>
      </c>
      <c r="K28" s="61">
        <f>'20'!K108</f>
        <v>208.72968749999995</v>
      </c>
      <c r="L28" s="61">
        <f>'20'!L108</f>
        <v>29.97208333333333</v>
      </c>
      <c r="M28" s="61">
        <f>'20'!M108</f>
        <v>43.421875</v>
      </c>
      <c r="N28" s="61">
        <f>'20'!N108</f>
        <v>252.36562499999994</v>
      </c>
      <c r="O28" s="61">
        <f>'20'!O108</f>
        <v>2.7083333333333334E-2</v>
      </c>
      <c r="P28" s="201">
        <f>'20'!P108</f>
        <v>0.59</v>
      </c>
      <c r="Q28" s="61">
        <f>'20'!Q108</f>
        <v>30.085729166666653</v>
      </c>
      <c r="R28" s="118"/>
      <c r="S28" s="118"/>
      <c r="T28" s="118"/>
      <c r="U28" s="118"/>
    </row>
    <row r="29" spans="1:21" x14ac:dyDescent="0.25">
      <c r="A29" s="94" t="str">
        <f>'21'!$B$2</f>
        <v>21-05-2023 00:15</v>
      </c>
      <c r="B29" s="61">
        <f>'21'!B108</f>
        <v>21.531145833333337</v>
      </c>
      <c r="C29" s="61">
        <f>'21'!C108</f>
        <v>44.862604166666664</v>
      </c>
      <c r="D29" s="61">
        <f>'21'!D108</f>
        <v>42.671458333333334</v>
      </c>
      <c r="E29" s="61">
        <f>'21'!E108</f>
        <v>4.2768749999999995</v>
      </c>
      <c r="F29" s="61">
        <f>'21'!F108</f>
        <v>14.671979166666672</v>
      </c>
      <c r="G29" s="61">
        <f>'21'!G108</f>
        <v>53.690312499999997</v>
      </c>
      <c r="H29" s="61">
        <f>'21'!H108</f>
        <v>24.861354166666668</v>
      </c>
      <c r="I29" s="61">
        <f>'21'!I108</f>
        <v>0.7388541666666667</v>
      </c>
      <c r="J29" s="61">
        <f>'21'!J108</f>
        <v>0.36729166666666674</v>
      </c>
      <c r="K29" s="61">
        <f>'21'!K108</f>
        <v>211.92697916666677</v>
      </c>
      <c r="L29" s="61">
        <f>'21'!L108</f>
        <v>30.849062499999992</v>
      </c>
      <c r="M29" s="61">
        <f>'21'!M108</f>
        <v>37.592083333333335</v>
      </c>
      <c r="N29" s="61">
        <f>'21'!N108</f>
        <v>136.375</v>
      </c>
      <c r="O29" s="61">
        <f>'21'!O108</f>
        <v>0</v>
      </c>
      <c r="P29" s="201">
        <f>'21'!P108</f>
        <v>1.0268750000000002</v>
      </c>
      <c r="Q29" s="61">
        <f>'21'!Q108</f>
        <v>29.242812499999999</v>
      </c>
      <c r="R29" s="118"/>
      <c r="S29" s="118"/>
      <c r="T29" s="118"/>
      <c r="U29" s="118"/>
    </row>
    <row r="30" spans="1:21" x14ac:dyDescent="0.25">
      <c r="A30" s="94" t="str">
        <f>'22'!$B$2</f>
        <v>22-05-2023 00:15</v>
      </c>
      <c r="B30" s="61">
        <f>'22'!B108</f>
        <v>2.2318750000000001</v>
      </c>
      <c r="C30" s="61">
        <f>'22'!C108</f>
        <v>33.073541666666664</v>
      </c>
      <c r="D30" s="61">
        <f>'22'!D108</f>
        <v>20.688229166666662</v>
      </c>
      <c r="E30" s="61">
        <f>'22'!E108</f>
        <v>1.8304166666666666</v>
      </c>
      <c r="F30" s="61">
        <f>'22'!F108</f>
        <v>12.980312500000002</v>
      </c>
      <c r="G30" s="61">
        <f>'22'!G108</f>
        <v>38.000568181818203</v>
      </c>
      <c r="H30" s="61">
        <f>'22'!H108</f>
        <v>22.75409090909092</v>
      </c>
      <c r="I30" s="61">
        <f>'22'!I108</f>
        <v>0.60812500000000003</v>
      </c>
      <c r="J30" s="61">
        <f>'22'!J108</f>
        <v>0.48399999999999999</v>
      </c>
      <c r="K30" s="61">
        <f>'22'!K108</f>
        <v>213.38833333333346</v>
      </c>
      <c r="L30" s="61">
        <f>'22'!L108</f>
        <v>30.686562499999997</v>
      </c>
      <c r="M30" s="61">
        <f>'22'!M108</f>
        <v>38.587812499999991</v>
      </c>
      <c r="N30" s="61">
        <f>'22'!N108</f>
        <v>252.60937499999991</v>
      </c>
      <c r="O30" s="61">
        <f>'22'!O108</f>
        <v>0</v>
      </c>
      <c r="P30" s="201">
        <f>'22'!P108</f>
        <v>0.54625000000000035</v>
      </c>
      <c r="Q30" s="61">
        <f>'22'!Q108</f>
        <v>25.835520833333334</v>
      </c>
      <c r="R30" s="118"/>
      <c r="S30" s="118"/>
      <c r="T30" s="118"/>
      <c r="U30" s="118"/>
    </row>
    <row r="31" spans="1:21" x14ac:dyDescent="0.25">
      <c r="A31" s="94" t="str">
        <f>'23'!$B$2</f>
        <v>23-05-2023 00:15</v>
      </c>
      <c r="B31" s="61">
        <f>'23'!B108</f>
        <v>1.9998958333333334</v>
      </c>
      <c r="C31" s="61">
        <f>'23'!C108</f>
        <v>34.995416666666664</v>
      </c>
      <c r="D31" s="61">
        <f>'23'!D108</f>
        <v>21.581145833333334</v>
      </c>
      <c r="E31" s="61">
        <f>'23'!E108</f>
        <v>3.3400000000000003</v>
      </c>
      <c r="F31" s="61">
        <f>'23'!F108</f>
        <v>20.124375000000004</v>
      </c>
      <c r="G31" s="61">
        <f>'23'!G108</f>
        <v>43.590352941176477</v>
      </c>
      <c r="H31" s="61">
        <f>'23'!H108</f>
        <v>23.557764705882366</v>
      </c>
      <c r="I31" s="61">
        <f>'23'!I108</f>
        <v>0.60229166666666656</v>
      </c>
      <c r="J31" s="61">
        <f>'23'!J108</f>
        <v>0.22479166666666675</v>
      </c>
      <c r="K31" s="61">
        <f>'23'!K108</f>
        <v>214.079375</v>
      </c>
      <c r="L31" s="61">
        <f>'23'!L108</f>
        <v>30.908750000000012</v>
      </c>
      <c r="M31" s="61">
        <f>'23'!M108</f>
        <v>35.166666666666664</v>
      </c>
      <c r="N31" s="61">
        <f>'23'!N108</f>
        <v>254.56562500000015</v>
      </c>
      <c r="O31" s="61">
        <f>'23'!O108</f>
        <v>0</v>
      </c>
      <c r="P31" s="201">
        <f>'23'!P108</f>
        <v>0.57145833333333329</v>
      </c>
      <c r="Q31" s="61">
        <f>'23'!Q108</f>
        <v>24.491145833333338</v>
      </c>
      <c r="R31" s="118"/>
      <c r="S31" s="206"/>
      <c r="T31" s="118"/>
      <c r="U31" s="118"/>
    </row>
    <row r="32" spans="1:21" x14ac:dyDescent="0.25">
      <c r="A32" s="94" t="str">
        <f>'24'!$B$2</f>
        <v>24-05-2023 00:15</v>
      </c>
      <c r="B32" s="61">
        <f>'24'!B108</f>
        <v>7.4917708333333328</v>
      </c>
      <c r="C32" s="61">
        <f>'24'!C108</f>
        <v>40.985520833333332</v>
      </c>
      <c r="D32" s="61">
        <f>'24'!D108</f>
        <v>29.273229166666663</v>
      </c>
      <c r="E32" s="61">
        <f>'24'!E108</f>
        <v>3.4606250000000003</v>
      </c>
      <c r="F32" s="61">
        <f>'24'!F108</f>
        <v>17.17625</v>
      </c>
      <c r="G32" s="61">
        <f>'24'!G108</f>
        <v>97.807083333333324</v>
      </c>
      <c r="H32" s="61">
        <f>'24'!H108</f>
        <v>39.398333333333326</v>
      </c>
      <c r="I32" s="61">
        <f>'24'!I108</f>
        <v>0.66968749999999988</v>
      </c>
      <c r="J32" s="61">
        <f>'24'!J108</f>
        <v>0.31656250000000008</v>
      </c>
      <c r="K32" s="61">
        <f>'24'!K108</f>
        <v>210.23125000000005</v>
      </c>
      <c r="L32" s="61">
        <f>'24'!L108</f>
        <v>32.668854166666655</v>
      </c>
      <c r="M32" s="61">
        <f>'24'!M108</f>
        <v>33.146145833333343</v>
      </c>
      <c r="N32" s="61">
        <f>'24'!N108</f>
        <v>241.31145833333323</v>
      </c>
      <c r="O32" s="61">
        <f>'24'!O108</f>
        <v>2.0833333333333333E-3</v>
      </c>
      <c r="P32" s="201">
        <f>'24'!P108</f>
        <v>0.78927083333333348</v>
      </c>
      <c r="Q32" s="61">
        <f>'24'!Q108</f>
        <v>27.005312500000002</v>
      </c>
      <c r="R32" s="118"/>
      <c r="S32" s="118"/>
      <c r="T32" s="118"/>
      <c r="U32" s="118"/>
    </row>
    <row r="33" spans="1:21" x14ac:dyDescent="0.25">
      <c r="A33" s="94" t="str">
        <f>'25'!$B$2</f>
        <v>25-05-2023 00:15</v>
      </c>
      <c r="B33" s="61">
        <f>'25'!B108</f>
        <v>4.5644791666666666</v>
      </c>
      <c r="C33" s="61">
        <f>'25'!C108</f>
        <v>36.990416666666668</v>
      </c>
      <c r="D33" s="61">
        <f>'25'!D108</f>
        <v>24.720416666666662</v>
      </c>
      <c r="E33" s="61">
        <f>'25'!E108</f>
        <v>3.7406250000000028</v>
      </c>
      <c r="F33" s="61">
        <f>'25'!F108</f>
        <v>15.788645833333341</v>
      </c>
      <c r="G33" s="61">
        <f>'25'!G108</f>
        <v>60.472159090909038</v>
      </c>
      <c r="H33" s="61">
        <f>'25'!H108</f>
        <v>27.67454545454547</v>
      </c>
      <c r="I33" s="61">
        <f>'25'!I108</f>
        <v>0.61666666666666681</v>
      </c>
      <c r="J33" s="61">
        <f>'25'!J108</f>
        <v>0.18229166666666671</v>
      </c>
      <c r="K33" s="61">
        <f>'25'!K108</f>
        <v>217.3926041666667</v>
      </c>
      <c r="L33" s="61">
        <f>'25'!L108</f>
        <v>31.643749999999994</v>
      </c>
      <c r="M33" s="61">
        <f>'25'!M108</f>
        <v>34.180208333333319</v>
      </c>
      <c r="N33" s="61">
        <f>'25'!N108</f>
        <v>244.19298245614038</v>
      </c>
      <c r="O33" s="61">
        <f>'25'!O108</f>
        <v>1.0416666666666666E-2</v>
      </c>
      <c r="P33" s="201">
        <f>'25'!P108</f>
        <v>0.67635416666666648</v>
      </c>
      <c r="Q33" s="61">
        <f>'25'!Q108</f>
        <v>26.818125000000009</v>
      </c>
      <c r="R33" s="118"/>
      <c r="S33" s="206"/>
      <c r="T33" s="118"/>
      <c r="U33" s="118"/>
    </row>
    <row r="34" spans="1:21" x14ac:dyDescent="0.25">
      <c r="A34" s="94" t="str">
        <f>'26'!$B$2</f>
        <v>26-05-2023 00:15</v>
      </c>
      <c r="B34" s="61">
        <f>'26'!B108</f>
        <v>5.0905208333333336</v>
      </c>
      <c r="C34" s="61">
        <f>'26'!C108</f>
        <v>33.543750000000017</v>
      </c>
      <c r="D34" s="61">
        <f>'26'!D108</f>
        <v>23.240937500000005</v>
      </c>
      <c r="E34" s="61">
        <f>'26'!E108</f>
        <v>3.9996875000000007</v>
      </c>
      <c r="F34" s="61">
        <f>'26'!F108</f>
        <v>15.104791666666662</v>
      </c>
      <c r="G34" s="61">
        <f>'26'!G108</f>
        <v>68.69322916666664</v>
      </c>
      <c r="H34" s="61">
        <f>'26'!H108</f>
        <v>29.963229166666668</v>
      </c>
      <c r="I34" s="61">
        <f>'26'!I108</f>
        <v>0.65687499999999988</v>
      </c>
      <c r="J34" s="61">
        <f>'26'!J108</f>
        <v>0.44281249999999989</v>
      </c>
      <c r="K34" s="61">
        <f>'26'!K108</f>
        <v>225.32718749999992</v>
      </c>
      <c r="L34" s="61">
        <f>'26'!L108</f>
        <v>31.267812499999987</v>
      </c>
      <c r="M34" s="61">
        <f>'26'!M108</f>
        <v>33.594062499999986</v>
      </c>
      <c r="N34" s="61">
        <f>'26'!N108</f>
        <v>200.12738095238083</v>
      </c>
      <c r="O34" s="61">
        <f>'26'!O108</f>
        <v>0</v>
      </c>
      <c r="P34" s="201">
        <f>'26'!P108</f>
        <v>0.69791666666666685</v>
      </c>
      <c r="Q34" s="61">
        <f>'26'!Q108</f>
        <v>26.148750000000003</v>
      </c>
      <c r="R34" s="118"/>
      <c r="S34" s="118"/>
      <c r="T34" s="118"/>
      <c r="U34" s="118"/>
    </row>
    <row r="35" spans="1:21" x14ac:dyDescent="0.25">
      <c r="A35" s="94" t="str">
        <f>'27'!$B$2</f>
        <v>27-05-2023 00:15</v>
      </c>
      <c r="B35" s="61">
        <f>'27'!B108</f>
        <v>5.1358333333333315</v>
      </c>
      <c r="C35" s="61">
        <f>'27'!C108</f>
        <v>37.445833333333319</v>
      </c>
      <c r="D35" s="61">
        <f>'27'!D108</f>
        <v>25.430624999999988</v>
      </c>
      <c r="E35" s="61">
        <f>'27'!E108</f>
        <v>6.2314583333333315</v>
      </c>
      <c r="F35" s="61">
        <f>'27'!F108</f>
        <v>15.422187500000005</v>
      </c>
      <c r="G35" s="61">
        <f>'27'!G108</f>
        <v>94.236904761904754</v>
      </c>
      <c r="H35" s="61">
        <f>'27'!H108</f>
        <v>33.976904761904756</v>
      </c>
      <c r="I35" s="61">
        <f>'27'!I108</f>
        <v>0.61041666666666672</v>
      </c>
      <c r="J35" s="61">
        <f>'27'!J108</f>
        <v>0.4251063829787235</v>
      </c>
      <c r="K35" s="61">
        <f>'27'!K108</f>
        <v>209.59638297872345</v>
      </c>
      <c r="L35" s="61">
        <f>'27'!L108</f>
        <v>29.166595744680851</v>
      </c>
      <c r="M35" s="61">
        <f>'27'!M108</f>
        <v>40.585106382978729</v>
      </c>
      <c r="N35" s="61">
        <f>'27'!N108</f>
        <v>288.85106382978722</v>
      </c>
      <c r="O35" s="61">
        <f>'27'!O108</f>
        <v>0</v>
      </c>
      <c r="P35" s="201">
        <f>'27'!P108</f>
        <v>0.75614583333333307</v>
      </c>
      <c r="Q35" s="61">
        <f>'27'!Q108</f>
        <v>25.478750000000002</v>
      </c>
      <c r="R35" s="118"/>
      <c r="S35" s="118"/>
      <c r="T35" s="118"/>
      <c r="U35" s="118"/>
    </row>
    <row r="36" spans="1:21" x14ac:dyDescent="0.25">
      <c r="A36" s="94" t="str">
        <f>'28'!$B$2</f>
        <v>28-05-2023 00:15</v>
      </c>
      <c r="B36" s="61">
        <f>'28'!B108</f>
        <v>5.6717894736842096</v>
      </c>
      <c r="C36" s="61">
        <f>'28'!C108</f>
        <v>43.065894736842111</v>
      </c>
      <c r="D36" s="61">
        <f>'28'!D108</f>
        <v>28.961263157894749</v>
      </c>
      <c r="E36" s="61">
        <f>'28'!E108</f>
        <v>7.3816666666666686</v>
      </c>
      <c r="F36" s="61">
        <f>'28'!F108</f>
        <v>21.38270833333333</v>
      </c>
      <c r="G36" s="61">
        <f>'28'!G108</f>
        <v>122.20319444444446</v>
      </c>
      <c r="H36" s="61">
        <f>'28'!H108</f>
        <v>28.569583333333338</v>
      </c>
      <c r="I36" s="61">
        <f>'28'!I108</f>
        <v>0.6384375000000001</v>
      </c>
      <c r="J36" s="61">
        <f>'28'!J108</f>
        <v>0.59464285714285725</v>
      </c>
      <c r="K36" s="61">
        <f>'28'!K108</f>
        <v>165.30749999999998</v>
      </c>
      <c r="L36" s="61">
        <f>'28'!L108</f>
        <v>32.848214285714285</v>
      </c>
      <c r="M36" s="61">
        <f>'28'!M108</f>
        <v>31.734642857142862</v>
      </c>
      <c r="N36" s="61">
        <f>'28'!N108</f>
        <v>265.92142857142852</v>
      </c>
      <c r="O36" s="61">
        <f>'28'!O108</f>
        <v>0</v>
      </c>
      <c r="P36" s="201">
        <f>'28'!P108</f>
        <v>0.72479166666666661</v>
      </c>
      <c r="Q36" s="61">
        <f>'28'!Q108</f>
        <v>27.361041666666662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29-05-2023 00:15</v>
      </c>
      <c r="B37" s="61">
        <f>'29'!B108</f>
        <v>15.455104166666663</v>
      </c>
      <c r="C37" s="61">
        <f>'29'!C108</f>
        <v>61.030208333333299</v>
      </c>
      <c r="D37" s="61">
        <f>'29'!D108</f>
        <v>46.720520833333332</v>
      </c>
      <c r="E37" s="61">
        <f>'29'!E108</f>
        <v>12.602916666666664</v>
      </c>
      <c r="F37" s="61">
        <f>'29'!F108</f>
        <v>23.709687499999998</v>
      </c>
      <c r="G37" s="61">
        <f>'29'!G108</f>
        <v>97.574494382022479</v>
      </c>
      <c r="H37" s="61">
        <f>'29'!H108</f>
        <v>39.439325842696647</v>
      </c>
      <c r="I37" s="61">
        <f>'29'!I108</f>
        <v>0.71906250000000027</v>
      </c>
      <c r="J37" s="61">
        <f>'29'!J108</f>
        <v>0.39083333333333353</v>
      </c>
      <c r="K37" s="61">
        <f>'29'!K108</f>
        <v>212.34489583333331</v>
      </c>
      <c r="L37" s="61">
        <f>'29'!L108</f>
        <v>30.420104166666658</v>
      </c>
      <c r="M37" s="61">
        <f>'29'!M108</f>
        <v>38.499999999999979</v>
      </c>
      <c r="N37" s="61">
        <f>'29'!N108</f>
        <v>9.2740740740740737</v>
      </c>
      <c r="O37" s="61">
        <f>'29'!O108</f>
        <v>0</v>
      </c>
      <c r="P37" s="201">
        <f>'29'!P108</f>
        <v>1.1132291666666665</v>
      </c>
      <c r="Q37" s="61">
        <f>'29'!Q108</f>
        <v>28.033333333333317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30-05-2023 00:15</v>
      </c>
      <c r="B38" s="61">
        <f>'30'!B108</f>
        <v>3.9341666666666648</v>
      </c>
      <c r="C38" s="61">
        <f>'30'!C108</f>
        <v>50.012916666666655</v>
      </c>
      <c r="D38" s="61">
        <f>'30'!D108</f>
        <v>31.401562499999983</v>
      </c>
      <c r="E38" s="61">
        <f>'30'!E108</f>
        <v>3.1281249999999994</v>
      </c>
      <c r="F38" s="61">
        <f>'30'!F108</f>
        <v>15.880208333333327</v>
      </c>
      <c r="G38" s="61">
        <f>'30'!G108</f>
        <v>51.479374999999997</v>
      </c>
      <c r="H38" s="61">
        <f>'30'!H108</f>
        <v>30.495937499999982</v>
      </c>
      <c r="I38" s="61">
        <f>'30'!I108</f>
        <v>0.666875</v>
      </c>
      <c r="J38" s="61">
        <f>'30'!J108</f>
        <v>0.30395833333333339</v>
      </c>
      <c r="K38" s="61">
        <f>'30'!K108</f>
        <v>197.52083333333326</v>
      </c>
      <c r="L38" s="61">
        <f>'30'!L108</f>
        <v>32.067083333333336</v>
      </c>
      <c r="M38" s="61">
        <f>'30'!M108</f>
        <v>36.093333333333327</v>
      </c>
      <c r="N38" s="61">
        <f>'30'!N108</f>
        <v>3.7250000000000001</v>
      </c>
      <c r="O38" s="61">
        <f>'30'!O108</f>
        <v>0</v>
      </c>
      <c r="P38" s="201">
        <f>'30'!P108</f>
        <v>0.89177083333333329</v>
      </c>
      <c r="Q38" s="61">
        <f>'30'!Q108</f>
        <v>25.358020833333342</v>
      </c>
      <c r="R38" s="118"/>
      <c r="S38" s="118"/>
      <c r="T38" s="118"/>
      <c r="U38" s="118"/>
    </row>
    <row r="39" spans="1:21" s="54" customFormat="1" x14ac:dyDescent="0.25">
      <c r="A39" s="94" t="str">
        <f>'31'!$B$2</f>
        <v>31-05-2023 00:15</v>
      </c>
      <c r="B39" s="61">
        <f>'31'!B109</f>
        <v>11.873402392532647</v>
      </c>
      <c r="C39" s="61">
        <f>'31'!C109</f>
        <v>16.939501513772122</v>
      </c>
      <c r="D39" s="61">
        <f>'31'!D109</f>
        <v>18.199970972781479</v>
      </c>
      <c r="E39" s="61">
        <f>'31'!E109</f>
        <v>4.127888159567159</v>
      </c>
      <c r="F39" s="61">
        <f>'31'!F109</f>
        <v>17.991885450430253</v>
      </c>
      <c r="G39" s="61">
        <f>'31'!G109</f>
        <v>18.321327317991663</v>
      </c>
      <c r="H39" s="61">
        <f>'31'!H109</f>
        <v>5.2513146181978305</v>
      </c>
      <c r="I39" s="61">
        <f>'31'!I109</f>
        <v>0.17339894169935538</v>
      </c>
      <c r="J39" s="61">
        <f>'31'!J109</f>
        <v>0.34278488919898142</v>
      </c>
      <c r="K39" s="61">
        <f>'31'!K109</f>
        <v>63.005882058236182</v>
      </c>
      <c r="L39" s="61">
        <f>'31'!L109</f>
        <v>3.9219461092222812</v>
      </c>
      <c r="M39" s="61">
        <f>'31'!M109</f>
        <v>9.8564847189295755</v>
      </c>
      <c r="N39" s="61">
        <f>'31'!N109</f>
        <v>298.35262558095565</v>
      </c>
      <c r="O39" s="61">
        <f>'31'!O109</f>
        <v>0</v>
      </c>
      <c r="P39" s="61">
        <f>'31'!P109</f>
        <v>0.41587700610940953</v>
      </c>
      <c r="Q39" s="61">
        <f>'31'!Q109</f>
        <v>1.6766771617769958</v>
      </c>
      <c r="R39" s="118"/>
      <c r="S39" s="118"/>
      <c r="T39" s="118"/>
      <c r="U39" s="118"/>
    </row>
    <row r="40" spans="1:21" s="54" customFormat="1" x14ac:dyDescent="0.25">
      <c r="A40" s="94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</row>
    <row r="41" spans="1:21" s="54" customFormat="1" x14ac:dyDescent="0.25">
      <c r="A41" s="94" t="s">
        <v>59</v>
      </c>
      <c r="B41" s="16">
        <f t="shared" ref="B41:Q41" si="0">MIN(B9:B38)</f>
        <v>1.9998958333333334</v>
      </c>
      <c r="C41" s="16">
        <f t="shared" si="0"/>
        <v>21.381979166666657</v>
      </c>
      <c r="D41" s="16">
        <f t="shared" si="0"/>
        <v>17.631145833333342</v>
      </c>
      <c r="E41" s="16">
        <f t="shared" si="0"/>
        <v>0.83760416666666637</v>
      </c>
      <c r="F41" s="16">
        <f t="shared" si="0"/>
        <v>4.3712500000000007</v>
      </c>
      <c r="G41" s="16">
        <f t="shared" si="0"/>
        <v>23.04264150943397</v>
      </c>
      <c r="H41" s="16">
        <f t="shared" si="0"/>
        <v>6.7190624999999962</v>
      </c>
      <c r="I41" s="16">
        <f t="shared" si="0"/>
        <v>0.50282608695652176</v>
      </c>
      <c r="J41" s="16">
        <f t="shared" si="0"/>
        <v>0.17135416666666667</v>
      </c>
      <c r="K41" s="16">
        <f t="shared" si="0"/>
        <v>165.30749999999998</v>
      </c>
      <c r="L41" s="16">
        <f t="shared" si="0"/>
        <v>21.450833333333335</v>
      </c>
      <c r="M41" s="16">
        <f t="shared" si="0"/>
        <v>28.053854166666671</v>
      </c>
      <c r="N41" s="16">
        <f t="shared" si="0"/>
        <v>3.7250000000000001</v>
      </c>
      <c r="O41" s="16">
        <f t="shared" si="0"/>
        <v>0</v>
      </c>
      <c r="P41" s="16">
        <f t="shared" si="0"/>
        <v>0.48385416666666675</v>
      </c>
      <c r="Q41" s="16">
        <f t="shared" si="0"/>
        <v>18.041354166666665</v>
      </c>
      <c r="R41" s="16"/>
      <c r="S41" s="16"/>
      <c r="T41" s="16"/>
      <c r="U41" s="16"/>
    </row>
    <row r="42" spans="1:21" s="54" customFormat="1" x14ac:dyDescent="0.25">
      <c r="A42" s="94" t="s">
        <v>60</v>
      </c>
      <c r="B42" s="16">
        <f t="shared" ref="B42:Q42" si="1">MAX(B9:B38)</f>
        <v>53.738124999999975</v>
      </c>
      <c r="C42" s="16">
        <f t="shared" si="1"/>
        <v>66.983437499999994</v>
      </c>
      <c r="D42" s="16">
        <f t="shared" si="1"/>
        <v>76.717916666666682</v>
      </c>
      <c r="E42" s="16">
        <f t="shared" si="1"/>
        <v>12.602916666666664</v>
      </c>
      <c r="F42" s="16">
        <f t="shared" si="1"/>
        <v>23.709687499999998</v>
      </c>
      <c r="G42" s="16">
        <f t="shared" si="1"/>
        <v>132.26040816326528</v>
      </c>
      <c r="H42" s="16">
        <f t="shared" si="1"/>
        <v>103.50510416666663</v>
      </c>
      <c r="I42" s="16">
        <f t="shared" si="1"/>
        <v>0.91406250000000011</v>
      </c>
      <c r="J42" s="16">
        <f t="shared" si="1"/>
        <v>0.75437499999999991</v>
      </c>
      <c r="K42" s="16">
        <f t="shared" si="1"/>
        <v>272.39749999999998</v>
      </c>
      <c r="L42" s="16">
        <f t="shared" si="1"/>
        <v>32.848214285714285</v>
      </c>
      <c r="M42" s="16">
        <f t="shared" si="1"/>
        <v>78.071770833333318</v>
      </c>
      <c r="N42" s="16">
        <f t="shared" si="1"/>
        <v>288.85106382978722</v>
      </c>
      <c r="O42" s="16">
        <f t="shared" si="1"/>
        <v>0.3562499999999999</v>
      </c>
      <c r="P42" s="16">
        <f t="shared" si="1"/>
        <v>1.7376041666666671</v>
      </c>
      <c r="Q42" s="16">
        <f t="shared" si="1"/>
        <v>31.453229166666659</v>
      </c>
      <c r="R42" s="16"/>
      <c r="S42" s="16"/>
      <c r="T42" s="16"/>
      <c r="U42" s="16"/>
    </row>
    <row r="43" spans="1:21" s="54" customFormat="1" x14ac:dyDescent="0.25">
      <c r="A43" s="94" t="s">
        <v>61</v>
      </c>
      <c r="B43" s="16">
        <f t="shared" ref="B43:Q43" si="2">AVERAGE(B9:B38)</f>
        <v>13.521094369755909</v>
      </c>
      <c r="C43" s="16">
        <f t="shared" si="2"/>
        <v>40.09719539791508</v>
      </c>
      <c r="D43" s="16">
        <f t="shared" si="2"/>
        <v>33.658339991736582</v>
      </c>
      <c r="E43" s="16">
        <f t="shared" si="2"/>
        <v>5.4247455130126045</v>
      </c>
      <c r="F43" s="16">
        <f t="shared" si="2"/>
        <v>14.430587409962916</v>
      </c>
      <c r="G43" s="16">
        <f t="shared" si="2"/>
        <v>69.647329406891714</v>
      </c>
      <c r="H43" s="16">
        <f t="shared" si="2"/>
        <v>29.854034978353262</v>
      </c>
      <c r="I43" s="16">
        <f t="shared" si="2"/>
        <v>0.65416579994185808</v>
      </c>
      <c r="J43" s="16">
        <f t="shared" si="2"/>
        <v>0.38513095122475871</v>
      </c>
      <c r="K43" s="16">
        <f t="shared" si="2"/>
        <v>226.30894761030913</v>
      </c>
      <c r="L43" s="16">
        <f t="shared" si="2"/>
        <v>29.790819782000192</v>
      </c>
      <c r="M43" s="16">
        <f t="shared" si="2"/>
        <v>42.268735904816211</v>
      </c>
      <c r="N43" s="16">
        <f t="shared" si="2"/>
        <v>206.21617438221401</v>
      </c>
      <c r="O43" s="16">
        <f t="shared" si="2"/>
        <v>1.9027777777777772E-2</v>
      </c>
      <c r="P43" s="16">
        <f t="shared" si="2"/>
        <v>0.89472156162009986</v>
      </c>
      <c r="Q43" s="16">
        <f t="shared" si="2"/>
        <v>25.456760300198123</v>
      </c>
      <c r="R43" s="16"/>
      <c r="S43" s="16"/>
      <c r="T43" s="16"/>
      <c r="U43" s="16"/>
    </row>
    <row r="44" spans="1:21" s="54" customFormat="1" x14ac:dyDescent="0.25">
      <c r="A44" s="94" t="s">
        <v>77</v>
      </c>
      <c r="B44" s="16">
        <f t="shared" ref="B44:Q44" si="3">STDEV(B9:B38)</f>
        <v>13.057412805849571</v>
      </c>
      <c r="C44" s="16">
        <f t="shared" si="3"/>
        <v>12.225778967837014</v>
      </c>
      <c r="D44" s="16">
        <f t="shared" si="3"/>
        <v>15.634048735916608</v>
      </c>
      <c r="E44" s="16">
        <f t="shared" si="3"/>
        <v>3.5424973577090366</v>
      </c>
      <c r="F44" s="16">
        <f t="shared" si="3"/>
        <v>4.6173610454657767</v>
      </c>
      <c r="G44" s="16">
        <f t="shared" si="3"/>
        <v>30.473968386190755</v>
      </c>
      <c r="H44" s="16">
        <f t="shared" si="3"/>
        <v>17.294770233815552</v>
      </c>
      <c r="I44" s="16">
        <f t="shared" si="3"/>
        <v>0.10589064897132307</v>
      </c>
      <c r="J44" s="16">
        <f t="shared" si="3"/>
        <v>0.14872502888488012</v>
      </c>
      <c r="K44" s="16">
        <f t="shared" si="3"/>
        <v>23.33902820103847</v>
      </c>
      <c r="L44" s="16">
        <f t="shared" si="3"/>
        <v>3.0396481722476207</v>
      </c>
      <c r="M44" s="16">
        <f t="shared" si="3"/>
        <v>14.407261354398219</v>
      </c>
      <c r="N44" s="16">
        <f t="shared" si="3"/>
        <v>81.199865768151625</v>
      </c>
      <c r="O44" s="16">
        <f t="shared" si="3"/>
        <v>6.6443442133549011E-2</v>
      </c>
      <c r="P44" s="16">
        <f t="shared" si="3"/>
        <v>0.32985118958799026</v>
      </c>
      <c r="Q44" s="16">
        <f t="shared" si="3"/>
        <v>2.9586462525851354</v>
      </c>
      <c r="R44" s="16"/>
      <c r="S44" s="16"/>
      <c r="T44" s="16"/>
      <c r="U44" s="16"/>
    </row>
    <row r="45" spans="1:21" s="54" customFormat="1" x14ac:dyDescent="0.25">
      <c r="A45" s="94" t="s">
        <v>62</v>
      </c>
      <c r="B45" s="13">
        <f>COUNT(B9:B39)</f>
        <v>31</v>
      </c>
      <c r="C45" s="13">
        <f t="shared" ref="C45:Q45" si="4">COUNT(C9:C39)</f>
        <v>31</v>
      </c>
      <c r="D45" s="13">
        <f t="shared" si="4"/>
        <v>31</v>
      </c>
      <c r="E45" s="13">
        <f t="shared" si="4"/>
        <v>31</v>
      </c>
      <c r="F45" s="13">
        <f t="shared" si="4"/>
        <v>31</v>
      </c>
      <c r="G45" s="13">
        <f t="shared" si="4"/>
        <v>31</v>
      </c>
      <c r="H45" s="13">
        <f t="shared" si="4"/>
        <v>31</v>
      </c>
      <c r="I45" s="13">
        <f t="shared" si="4"/>
        <v>31</v>
      </c>
      <c r="J45" s="13">
        <f t="shared" si="4"/>
        <v>31</v>
      </c>
      <c r="K45" s="13">
        <f t="shared" si="4"/>
        <v>31</v>
      </c>
      <c r="L45" s="13">
        <f t="shared" si="4"/>
        <v>31</v>
      </c>
      <c r="M45" s="13">
        <f t="shared" si="4"/>
        <v>31</v>
      </c>
      <c r="N45" s="13">
        <f t="shared" si="4"/>
        <v>31</v>
      </c>
      <c r="O45" s="13">
        <f t="shared" si="4"/>
        <v>31</v>
      </c>
      <c r="P45" s="13">
        <f t="shared" si="4"/>
        <v>31</v>
      </c>
      <c r="Q45" s="13">
        <f t="shared" si="4"/>
        <v>31</v>
      </c>
      <c r="R45" s="13"/>
      <c r="S45" s="13"/>
      <c r="T45" s="13"/>
      <c r="U45" s="13"/>
    </row>
    <row r="46" spans="1:21" s="54" customFormat="1" x14ac:dyDescent="0.25">
      <c r="A46" s="94" t="s">
        <v>63</v>
      </c>
      <c r="B46" s="13" t="str">
        <f>IF(B45&gt;=28,"&gt;90%",IF(B45&lt;=28,"&lt;90%"))</f>
        <v>&gt;90%</v>
      </c>
      <c r="C46" s="13" t="str">
        <f t="shared" ref="C46:Q46" si="5">IF(C45&gt;=28,"&gt;90%",IF(C45&lt;=28,"&lt;90%"))</f>
        <v>&gt;90%</v>
      </c>
      <c r="D46" s="13" t="str">
        <f t="shared" si="5"/>
        <v>&gt;90%</v>
      </c>
      <c r="E46" s="13" t="str">
        <f t="shared" si="5"/>
        <v>&gt;90%</v>
      </c>
      <c r="F46" s="13" t="str">
        <f t="shared" si="5"/>
        <v>&gt;90%</v>
      </c>
      <c r="G46" s="13" t="str">
        <f t="shared" si="5"/>
        <v>&gt;90%</v>
      </c>
      <c r="H46" s="13" t="str">
        <f t="shared" si="5"/>
        <v>&gt;90%</v>
      </c>
      <c r="I46" s="13" t="str">
        <f t="shared" si="5"/>
        <v>&gt;90%</v>
      </c>
      <c r="J46" s="13" t="str">
        <f t="shared" si="5"/>
        <v>&gt;90%</v>
      </c>
      <c r="K46" s="13" t="str">
        <f t="shared" si="5"/>
        <v>&gt;90%</v>
      </c>
      <c r="L46" s="13" t="str">
        <f t="shared" si="5"/>
        <v>&gt;90%</v>
      </c>
      <c r="M46" s="13" t="str">
        <f t="shared" si="5"/>
        <v>&gt;90%</v>
      </c>
      <c r="N46" s="13" t="str">
        <f t="shared" si="5"/>
        <v>&gt;90%</v>
      </c>
      <c r="O46" s="13" t="str">
        <f t="shared" si="5"/>
        <v>&gt;90%</v>
      </c>
      <c r="P46" s="13" t="str">
        <f t="shared" si="5"/>
        <v>&gt;90%</v>
      </c>
      <c r="Q46" s="13" t="str">
        <f t="shared" si="5"/>
        <v>&gt;90%</v>
      </c>
      <c r="R46" s="13"/>
      <c r="S46" s="13"/>
      <c r="T46" s="13"/>
      <c r="U46" s="13"/>
    </row>
    <row r="47" spans="1:21" x14ac:dyDescent="0.25">
      <c r="A47" s="94" t="s">
        <v>5</v>
      </c>
      <c r="B47" s="13" t="str">
        <f>IF(B45&gt;=28,"OK",IF(B45&lt;=28,"LESS"))</f>
        <v>OK</v>
      </c>
      <c r="C47" s="13" t="str">
        <f t="shared" ref="C47:Q47" si="6">IF(C45&gt;=28,"OK",IF(C45&lt;=28,"LESS"))</f>
        <v>OK</v>
      </c>
      <c r="D47" s="13" t="str">
        <f t="shared" si="6"/>
        <v>OK</v>
      </c>
      <c r="E47" s="13" t="str">
        <f t="shared" si="6"/>
        <v>OK</v>
      </c>
      <c r="F47" s="13" t="str">
        <f t="shared" si="6"/>
        <v>OK</v>
      </c>
      <c r="G47" s="13" t="str">
        <f t="shared" si="6"/>
        <v>OK</v>
      </c>
      <c r="H47" s="13" t="str">
        <f t="shared" si="6"/>
        <v>OK</v>
      </c>
      <c r="I47" s="13" t="str">
        <f t="shared" si="6"/>
        <v>OK</v>
      </c>
      <c r="J47" s="13" t="str">
        <f t="shared" si="6"/>
        <v>OK</v>
      </c>
      <c r="K47" s="13" t="str">
        <f t="shared" si="6"/>
        <v>OK</v>
      </c>
      <c r="L47" s="13" t="str">
        <f t="shared" si="6"/>
        <v>OK</v>
      </c>
      <c r="M47" s="13" t="str">
        <f t="shared" si="6"/>
        <v>OK</v>
      </c>
      <c r="N47" s="13" t="str">
        <f t="shared" si="6"/>
        <v>OK</v>
      </c>
      <c r="O47" s="13" t="str">
        <f t="shared" si="6"/>
        <v>OK</v>
      </c>
      <c r="P47" s="13" t="str">
        <f t="shared" si="6"/>
        <v>OK</v>
      </c>
      <c r="Q47" s="13" t="str">
        <f t="shared" si="6"/>
        <v>OK</v>
      </c>
      <c r="R47" s="13"/>
      <c r="S47" s="13"/>
      <c r="T47" s="13"/>
      <c r="U47" s="13"/>
    </row>
    <row r="48" spans="1:21" x14ac:dyDescent="0.25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50" spans="1:16" x14ac:dyDescent="0.25">
      <c r="A50" s="94" t="s">
        <v>64</v>
      </c>
      <c r="B50" s="107" t="s">
        <v>215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 spans="1:16" x14ac:dyDescent="0.25">
      <c r="A51" s="97"/>
      <c r="B51" s="54"/>
      <c r="C51" s="54"/>
      <c r="D51" s="2"/>
      <c r="E51" s="2"/>
      <c r="F51" s="2"/>
      <c r="G51" s="2"/>
      <c r="H51" s="2"/>
      <c r="I51" s="2"/>
      <c r="J51" s="54"/>
      <c r="K51" s="54"/>
      <c r="L51" s="54"/>
      <c r="M51" s="54"/>
      <c r="N51" s="54"/>
      <c r="O51" s="54"/>
      <c r="P51" s="54"/>
    </row>
    <row r="52" spans="1:16" ht="15.75" x14ac:dyDescent="0.25">
      <c r="A52" s="98" t="s">
        <v>65</v>
      </c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  <row r="55" spans="1:16" x14ac:dyDescent="0.25">
      <c r="A55" s="97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</row>
  </sheetData>
  <mergeCells count="1">
    <mergeCell ref="B52:P52"/>
  </mergeCells>
  <pageMargins left="0.17" right="0.17" top="0.19" bottom="0.16" header="0.17" footer="0.16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zoomScale="85" zoomScaleNormal="85" workbookViewId="0">
      <selection activeCell="H110" sqref="H110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2" t="s">
        <v>241</v>
      </c>
      <c r="E1" s="222"/>
      <c r="F1" s="222"/>
      <c r="G1" s="222"/>
      <c r="H1" s="222"/>
      <c r="I1" s="222"/>
      <c r="J1" s="223"/>
    </row>
    <row r="2" spans="2:24" ht="22.5" customHeight="1" thickBot="1" x14ac:dyDescent="0.3">
      <c r="B2" s="54"/>
      <c r="C2" s="111" t="s">
        <v>0</v>
      </c>
      <c r="D2" s="112" t="s">
        <v>1686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6" t="s">
        <v>1</v>
      </c>
      <c r="H5" s="226"/>
      <c r="I5" s="40"/>
      <c r="J5" s="40"/>
      <c r="K5" s="40"/>
      <c r="L5" s="40"/>
      <c r="M5" s="41"/>
      <c r="O5" s="68"/>
      <c r="P5" s="69"/>
      <c r="Q5" s="69"/>
      <c r="R5" s="69"/>
      <c r="S5" s="207" t="s">
        <v>238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45051.533333333333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198.5</v>
      </c>
      <c r="I8" s="60">
        <v>0</v>
      </c>
      <c r="J8" s="61">
        <f>F8/H8</f>
        <v>1.0075566750629723</v>
      </c>
      <c r="K8" s="61">
        <f>(H8-F8)*100/F8</f>
        <v>-0.75</v>
      </c>
      <c r="L8" s="60" t="s">
        <v>67</v>
      </c>
      <c r="M8" s="78" t="s">
        <v>215</v>
      </c>
      <c r="O8" s="63" t="s">
        <v>725</v>
      </c>
      <c r="P8" s="64" t="s">
        <v>70</v>
      </c>
      <c r="Q8" s="64">
        <v>4527.5600000000004</v>
      </c>
      <c r="R8" s="64">
        <v>3520.27</v>
      </c>
      <c r="S8" s="77" t="s">
        <v>1975</v>
      </c>
      <c r="T8" s="77">
        <v>845.43</v>
      </c>
      <c r="U8" s="86">
        <v>0.90310000000000001</v>
      </c>
      <c r="V8" s="86">
        <v>0.91210000000000002</v>
      </c>
      <c r="W8" s="60" t="s">
        <v>67</v>
      </c>
      <c r="X8" s="78" t="s">
        <v>215</v>
      </c>
    </row>
    <row r="9" spans="2:24" ht="15.75" x14ac:dyDescent="0.25">
      <c r="B9" s="63">
        <v>45061.520833333336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199.13</v>
      </c>
      <c r="I9" s="60">
        <v>0</v>
      </c>
      <c r="J9" s="61">
        <f t="shared" ref="J9:J14" si="0">F9/H9</f>
        <v>1.0043690051725005</v>
      </c>
      <c r="K9" s="61">
        <f t="shared" ref="K9:K14" si="1">(H9-F9)*100/F9</f>
        <v>-0.43500000000000227</v>
      </c>
      <c r="L9" s="60" t="s">
        <v>67</v>
      </c>
      <c r="M9" s="62" t="s">
        <v>215</v>
      </c>
      <c r="O9" s="63">
        <v>45061.475694444445</v>
      </c>
      <c r="P9" s="64" t="s">
        <v>70</v>
      </c>
      <c r="Q9" s="64">
        <v>4628.08</v>
      </c>
      <c r="R9" s="64">
        <v>3500.62</v>
      </c>
      <c r="S9" s="77" t="s">
        <v>1975</v>
      </c>
      <c r="T9" s="77">
        <v>838.75</v>
      </c>
      <c r="U9" s="86">
        <v>0.88419999999999999</v>
      </c>
      <c r="V9" s="86">
        <v>0.88019999999999998</v>
      </c>
      <c r="W9" s="60" t="s">
        <v>67</v>
      </c>
      <c r="X9" s="62" t="s">
        <v>215</v>
      </c>
    </row>
    <row r="10" spans="2:24" ht="15.75" x14ac:dyDescent="0.25">
      <c r="B10" s="63"/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/>
      <c r="I10" s="60">
        <v>0</v>
      </c>
      <c r="J10" s="61" t="e">
        <f t="shared" si="0"/>
        <v>#DIV/0!</v>
      </c>
      <c r="K10" s="61">
        <f t="shared" si="1"/>
        <v>-100</v>
      </c>
      <c r="L10" s="60" t="s">
        <v>67</v>
      </c>
      <c r="M10" s="62" t="s">
        <v>215</v>
      </c>
      <c r="O10" s="63">
        <v>45065.445833333331</v>
      </c>
      <c r="P10" s="64" t="s">
        <v>70</v>
      </c>
      <c r="Q10" s="64">
        <v>4759.67</v>
      </c>
      <c r="R10" s="64">
        <v>3602.69</v>
      </c>
      <c r="S10" s="77" t="s">
        <v>1975</v>
      </c>
      <c r="T10" s="77">
        <v>832.82</v>
      </c>
      <c r="U10" s="86">
        <v>0.88019999999999998</v>
      </c>
      <c r="V10" s="86">
        <v>0.88249999999999995</v>
      </c>
      <c r="W10" s="60" t="s">
        <v>67</v>
      </c>
      <c r="X10" s="62" t="s">
        <v>215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215</v>
      </c>
      <c r="O11" s="63"/>
      <c r="P11" s="64" t="s">
        <v>70</v>
      </c>
      <c r="Q11" s="64"/>
      <c r="R11" s="64"/>
      <c r="S11" s="77" t="s">
        <v>1975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1975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5" t="s">
        <v>25</v>
      </c>
      <c r="D21" s="225"/>
      <c r="E21" s="225"/>
      <c r="F21" s="225"/>
      <c r="G21" s="225"/>
      <c r="H21" s="225"/>
      <c r="I21" s="45">
        <f>COUNT(B8:B20)</f>
        <v>2</v>
      </c>
      <c r="J21" s="46"/>
      <c r="K21" s="46"/>
      <c r="L21" s="47"/>
      <c r="M21" s="48"/>
      <c r="O21" s="80"/>
      <c r="P21" s="227" t="s">
        <v>84</v>
      </c>
      <c r="Q21" s="227"/>
      <c r="R21" s="227"/>
      <c r="S21" s="227"/>
      <c r="T21" s="81">
        <f>COUNT(O8:O20)</f>
        <v>2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4" t="s">
        <v>2</v>
      </c>
      <c r="H24" s="224"/>
      <c r="I24" s="40"/>
      <c r="J24" s="51"/>
      <c r="K24" s="51"/>
      <c r="L24" s="40"/>
      <c r="M24" s="41"/>
      <c r="O24" s="68"/>
      <c r="P24" s="69"/>
      <c r="Q24" s="69"/>
      <c r="R24" s="69"/>
      <c r="S24" s="207" t="s">
        <v>1976</v>
      </c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45051.055555555555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199.32</v>
      </c>
      <c r="I27" s="60">
        <v>0</v>
      </c>
      <c r="J27" s="61">
        <f>F27/H27</f>
        <v>1.0034115994380894</v>
      </c>
      <c r="K27" s="61">
        <f>(H27-F27)*100/F27</f>
        <v>-0.34000000000000341</v>
      </c>
      <c r="L27" s="60" t="s">
        <v>67</v>
      </c>
      <c r="M27" s="78" t="s">
        <v>215</v>
      </c>
      <c r="O27" s="63" t="s">
        <v>725</v>
      </c>
      <c r="P27" s="64" t="s">
        <v>71</v>
      </c>
      <c r="Q27" s="64">
        <v>4316.04</v>
      </c>
      <c r="R27" s="64">
        <v>3337.51</v>
      </c>
      <c r="S27" s="77" t="s">
        <v>243</v>
      </c>
      <c r="T27" s="77">
        <v>850.7</v>
      </c>
      <c r="U27" s="86">
        <v>0.98319999999999996</v>
      </c>
      <c r="V27" s="86">
        <v>0.97889999999999999</v>
      </c>
      <c r="W27" s="60" t="s">
        <v>67</v>
      </c>
      <c r="X27" s="78" t="s">
        <v>215</v>
      </c>
    </row>
    <row r="28" spans="2:24" s="24" customFormat="1" ht="15.75" x14ac:dyDescent="0.25">
      <c r="B28" s="63">
        <v>45061.59375</v>
      </c>
      <c r="C28" s="60" t="s">
        <v>68</v>
      </c>
      <c r="D28" s="60" t="s">
        <v>51</v>
      </c>
      <c r="E28" s="60">
        <v>0</v>
      </c>
      <c r="F28" s="60">
        <v>200</v>
      </c>
      <c r="G28" s="60"/>
      <c r="H28" s="61">
        <v>200.14</v>
      </c>
      <c r="I28" s="60">
        <v>0</v>
      </c>
      <c r="J28" s="61">
        <f t="shared" ref="J28:J33" si="2">F28/H28</f>
        <v>0.99930048965724005</v>
      </c>
      <c r="K28" s="61">
        <f t="shared" ref="K28:K33" si="3">(H28-F28)*100/F28</f>
        <v>6.9999999999993179E-2</v>
      </c>
      <c r="L28" s="60" t="s">
        <v>67</v>
      </c>
      <c r="M28" s="62" t="s">
        <v>239</v>
      </c>
      <c r="O28" s="63">
        <v>45061.475694444445</v>
      </c>
      <c r="P28" s="64" t="s">
        <v>71</v>
      </c>
      <c r="Q28" s="64">
        <v>4303.28</v>
      </c>
      <c r="R28" s="64">
        <v>3334.83</v>
      </c>
      <c r="S28" s="77" t="s">
        <v>243</v>
      </c>
      <c r="T28" s="77">
        <v>849.51</v>
      </c>
      <c r="U28" s="86">
        <v>0.97889999999999999</v>
      </c>
      <c r="V28" s="86">
        <v>0.97599999999999998</v>
      </c>
      <c r="W28" s="60" t="s">
        <v>67</v>
      </c>
      <c r="X28" s="62" t="s">
        <v>215</v>
      </c>
    </row>
    <row r="29" spans="2:24" s="24" customFormat="1" ht="15.75" x14ac:dyDescent="0.25">
      <c r="B29" s="63"/>
      <c r="C29" s="60" t="s">
        <v>68</v>
      </c>
      <c r="D29" s="60" t="s">
        <v>51</v>
      </c>
      <c r="E29" s="60">
        <v>0</v>
      </c>
      <c r="F29" s="60">
        <v>200</v>
      </c>
      <c r="G29" s="60"/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62" t="s">
        <v>240</v>
      </c>
      <c r="O29" s="63">
        <v>45065.445833333331</v>
      </c>
      <c r="P29" s="64" t="s">
        <v>71</v>
      </c>
      <c r="Q29" s="64">
        <v>4128.62</v>
      </c>
      <c r="R29" s="64">
        <v>3201.2</v>
      </c>
      <c r="S29" s="77" t="s">
        <v>243</v>
      </c>
      <c r="T29" s="77">
        <v>842.4</v>
      </c>
      <c r="U29" s="86">
        <v>0.97599999999999998</v>
      </c>
      <c r="V29" s="86">
        <v>0.98129999999999995</v>
      </c>
      <c r="W29" s="60" t="s">
        <v>67</v>
      </c>
      <c r="X29" s="62" t="s">
        <v>215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240</v>
      </c>
      <c r="O30" s="63"/>
      <c r="P30" s="64" t="s">
        <v>71</v>
      </c>
      <c r="Q30" s="64"/>
      <c r="R30" s="64"/>
      <c r="S30" s="77" t="s">
        <v>243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7" t="s">
        <v>85</v>
      </c>
      <c r="Q40" s="227"/>
      <c r="R40" s="227"/>
      <c r="S40" s="227"/>
      <c r="T40" s="81">
        <f>COUNT(O27:O39)</f>
        <v>2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5" t="s">
        <v>26</v>
      </c>
      <c r="E41" s="225"/>
      <c r="F41" s="225"/>
      <c r="G41" s="225"/>
      <c r="H41" s="225"/>
      <c r="I41" s="225"/>
      <c r="J41" s="52">
        <f>COUNT(B27:B39)</f>
        <v>2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4" t="s">
        <v>23</v>
      </c>
      <c r="H44" s="224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239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5" t="s">
        <v>27</v>
      </c>
      <c r="E61" s="225"/>
      <c r="F61" s="225"/>
      <c r="G61" s="225"/>
      <c r="H61" s="225"/>
      <c r="I61" s="225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4" t="s">
        <v>3</v>
      </c>
      <c r="H64" s="224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45051.506944444445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5.14</v>
      </c>
      <c r="I67" s="60">
        <v>0</v>
      </c>
      <c r="J67" s="61">
        <f>F67/H67</f>
        <v>0.97276264591439698</v>
      </c>
      <c r="K67" s="61">
        <f>(H67-F67)*100/F67</f>
        <v>2.7999999999999936</v>
      </c>
      <c r="L67" s="60" t="s">
        <v>67</v>
      </c>
      <c r="M67" s="78" t="s">
        <v>239</v>
      </c>
    </row>
    <row r="68" spans="2:13" ht="15.75" x14ac:dyDescent="0.25">
      <c r="B68" s="63">
        <v>45061.604166666664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4.9909999999999997</v>
      </c>
      <c r="I68" s="60">
        <v>0</v>
      </c>
      <c r="J68" s="61">
        <f t="shared" ref="J68:J73" si="4">F68/H68</f>
        <v>1.0018032458425166</v>
      </c>
      <c r="K68" s="61">
        <f t="shared" ref="K68:K73" si="5">(H68-F68)*100/F68</f>
        <v>-0.18000000000000682</v>
      </c>
      <c r="L68" s="60" t="s">
        <v>67</v>
      </c>
      <c r="M68" s="62" t="s">
        <v>240</v>
      </c>
    </row>
    <row r="69" spans="2:13" ht="15.75" x14ac:dyDescent="0.25">
      <c r="B69" s="63"/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/>
      <c r="I69" s="60">
        <v>0</v>
      </c>
      <c r="J69" s="61" t="e">
        <f t="shared" si="4"/>
        <v>#DIV/0!</v>
      </c>
      <c r="K69" s="61">
        <f t="shared" si="5"/>
        <v>-100</v>
      </c>
      <c r="L69" s="60" t="s">
        <v>67</v>
      </c>
      <c r="M69" s="62" t="s">
        <v>240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240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5" t="s">
        <v>28</v>
      </c>
      <c r="E81" s="225"/>
      <c r="F81" s="225"/>
      <c r="G81" s="225"/>
      <c r="H81" s="225"/>
      <c r="I81" s="225"/>
      <c r="J81" s="52">
        <f>COUNT(B67:B79)</f>
        <v>2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4" t="s">
        <v>24</v>
      </c>
      <c r="H84" s="224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5" t="s">
        <v>29</v>
      </c>
      <c r="E101" s="225"/>
      <c r="F101" s="225"/>
      <c r="G101" s="225"/>
      <c r="H101" s="225"/>
      <c r="I101" s="225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6" t="s">
        <v>4</v>
      </c>
      <c r="H104" s="226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>
        <v>45051.274305555555</v>
      </c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>
        <v>319.26</v>
      </c>
      <c r="I107" s="60">
        <f>G107-E107</f>
        <v>0</v>
      </c>
      <c r="J107" s="61">
        <f>F107/H107</f>
        <v>1.0023178600513689</v>
      </c>
      <c r="K107" s="61">
        <f>(H107-F107)*100/F107</f>
        <v>-0.23125000000000284</v>
      </c>
      <c r="L107" s="60" t="s">
        <v>67</v>
      </c>
      <c r="M107" s="62" t="s">
        <v>239</v>
      </c>
    </row>
    <row r="108" spans="2:13" ht="15.75" x14ac:dyDescent="0.25">
      <c r="B108" s="63">
        <v>45061.275694444441</v>
      </c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>
        <v>320.20999999999998</v>
      </c>
      <c r="I108" s="60">
        <f>G108-E108</f>
        <v>0</v>
      </c>
      <c r="J108" s="61">
        <f>F108/H108</f>
        <v>0.99934418038162465</v>
      </c>
      <c r="K108" s="61">
        <f>(H108-F108)*100/F108</f>
        <v>6.5624999999993605E-2</v>
      </c>
      <c r="L108" s="60" t="s">
        <v>67</v>
      </c>
      <c r="M108" s="62" t="s">
        <v>240</v>
      </c>
    </row>
    <row r="109" spans="2:13" ht="15.75" x14ac:dyDescent="0.25">
      <c r="B109" s="63">
        <v>45066.263888888891</v>
      </c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>
        <v>316.14</v>
      </c>
      <c r="I109" s="60">
        <f t="shared" ref="I109:I114" si="8">G109-E109</f>
        <v>0</v>
      </c>
      <c r="J109" s="61">
        <f t="shared" ref="J109:J114" si="9">F109/H109</f>
        <v>1.0122097804770038</v>
      </c>
      <c r="K109" s="61">
        <f t="shared" ref="K109:K114" si="10">(H109-F109)*100/F109</f>
        <v>-1.2062500000000043</v>
      </c>
      <c r="L109" s="60" t="s">
        <v>67</v>
      </c>
      <c r="M109" s="62" t="s">
        <v>240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240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5" t="s">
        <v>69</v>
      </c>
      <c r="D119" s="225"/>
      <c r="E119" s="225"/>
      <c r="F119" s="225"/>
      <c r="G119" s="225"/>
      <c r="H119" s="225"/>
      <c r="I119" s="52">
        <f>COUNT(B107:B118)</f>
        <v>3</v>
      </c>
      <c r="J119" s="46"/>
      <c r="K119" s="46"/>
      <c r="L119" s="47"/>
      <c r="M119" s="48"/>
    </row>
  </sheetData>
  <mergeCells count="15">
    <mergeCell ref="C119:H119"/>
    <mergeCell ref="G64:H64"/>
    <mergeCell ref="D81:I81"/>
    <mergeCell ref="G84:H84"/>
    <mergeCell ref="D101:I101"/>
    <mergeCell ref="G104:H104"/>
    <mergeCell ref="D61:I61"/>
    <mergeCell ref="P21:S21"/>
    <mergeCell ref="P40:S40"/>
    <mergeCell ref="D41:I4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G11" sqref="G11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8" t="s">
        <v>242</v>
      </c>
      <c r="C2" s="228"/>
      <c r="D2" s="229">
        <v>45047</v>
      </c>
      <c r="E2" s="229"/>
    </row>
    <row r="3" spans="1:5" x14ac:dyDescent="0.25">
      <c r="B3" s="228" t="s">
        <v>21</v>
      </c>
      <c r="C3" s="228"/>
      <c r="D3" s="229"/>
      <c r="E3" s="229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11" t="s">
        <v>585</v>
      </c>
      <c r="C8" s="211" t="s">
        <v>598</v>
      </c>
      <c r="D8" s="33">
        <f t="shared" ref="D8:D13" si="0">C8-B8</f>
        <v>0.13541666666424135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0.13541666666424135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30" t="s">
        <v>22</v>
      </c>
      <c r="C44" s="230"/>
      <c r="D44" s="20">
        <f>SUM(D11:D42)</f>
        <v>0.13541666666424135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31" t="s">
        <v>219</v>
      </c>
      <c r="C2" s="231"/>
      <c r="D2" s="231"/>
      <c r="E2" s="231"/>
      <c r="F2" s="232">
        <v>44713</v>
      </c>
      <c r="G2" s="233"/>
      <c r="H2" s="233"/>
    </row>
    <row r="3" spans="2:24" s="12" customFormat="1" ht="15" customHeight="1" x14ac:dyDescent="0.25">
      <c r="B3" s="231"/>
      <c r="C3" s="231"/>
      <c r="D3" s="231"/>
      <c r="E3" s="231"/>
      <c r="F3" s="233"/>
      <c r="G3" s="233"/>
      <c r="H3" s="233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34" t="s">
        <v>4</v>
      </c>
      <c r="C12" s="236" t="s">
        <v>133</v>
      </c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7"/>
      <c r="P12" s="237"/>
      <c r="Q12" s="237"/>
      <c r="R12" s="127"/>
      <c r="U12" s="125"/>
    </row>
    <row r="13" spans="2:24" ht="15" customHeight="1" x14ac:dyDescent="0.25">
      <c r="B13" s="235"/>
      <c r="C13" s="128" t="s">
        <v>78</v>
      </c>
      <c r="D13" s="129" t="s">
        <v>83</v>
      </c>
      <c r="E13" s="129" t="s">
        <v>134</v>
      </c>
      <c r="F13" s="129" t="s">
        <v>216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35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35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35"/>
      <c r="C16" s="195">
        <v>2425504512</v>
      </c>
      <c r="D16" s="195">
        <v>2513962496</v>
      </c>
      <c r="E16" s="60">
        <v>1445.7</v>
      </c>
      <c r="F16" s="60" t="s">
        <v>217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217</v>
      </c>
      <c r="L16" s="60" t="s">
        <v>218</v>
      </c>
      <c r="M16" s="60">
        <v>485</v>
      </c>
      <c r="N16" s="60" t="s">
        <v>218</v>
      </c>
      <c r="O16" s="60">
        <v>30</v>
      </c>
      <c r="P16" s="60">
        <v>49.5</v>
      </c>
      <c r="Q16" s="60">
        <v>50</v>
      </c>
      <c r="R16" s="150" t="s">
        <v>215</v>
      </c>
      <c r="X16" s="11"/>
    </row>
    <row r="17" spans="2:28" ht="15.75" customHeight="1" x14ac:dyDescent="0.25">
      <c r="B17" s="235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35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8" t="s">
        <v>2</v>
      </c>
      <c r="C25" s="240" t="s">
        <v>133</v>
      </c>
      <c r="D25" s="241"/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241"/>
      <c r="Q25" s="241"/>
      <c r="R25" s="242"/>
      <c r="S25" s="188"/>
      <c r="T25" s="189"/>
    </row>
    <row r="26" spans="2:28" ht="15" customHeight="1" x14ac:dyDescent="0.3">
      <c r="B26" s="238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38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8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9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46" t="s">
        <v>3</v>
      </c>
      <c r="C36" s="248" t="s">
        <v>133</v>
      </c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9"/>
    </row>
    <row r="37" spans="2:25" ht="15.75" customHeight="1" x14ac:dyDescent="0.25">
      <c r="B37" s="247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47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47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47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50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51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51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51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51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8" t="s">
        <v>184</v>
      </c>
      <c r="C61" s="240" t="s">
        <v>133</v>
      </c>
      <c r="D61" s="241"/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241"/>
      <c r="Q61" s="241"/>
      <c r="R61" s="242"/>
      <c r="S61" s="166"/>
      <c r="T61" s="167"/>
    </row>
    <row r="62" spans="2:20" ht="15.75" x14ac:dyDescent="0.3">
      <c r="B62" s="238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52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52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9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8" t="s">
        <v>201</v>
      </c>
      <c r="C69" s="240" t="s">
        <v>133</v>
      </c>
      <c r="D69" s="241"/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241"/>
      <c r="Q69" s="241"/>
      <c r="R69" s="242"/>
      <c r="S69" s="166"/>
      <c r="T69" s="167"/>
    </row>
    <row r="70" spans="2:20" ht="15.75" x14ac:dyDescent="0.3">
      <c r="B70" s="238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38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52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9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43" t="s">
        <v>24</v>
      </c>
      <c r="C77" s="242" t="s">
        <v>133</v>
      </c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5"/>
      <c r="Q77" s="245"/>
      <c r="R77" s="177"/>
      <c r="S77" s="177"/>
      <c r="T77" s="178"/>
    </row>
    <row r="78" spans="2:20" x14ac:dyDescent="0.25">
      <c r="B78" s="244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44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44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44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44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44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2024-08-28T14:08:49Z</dcterms:modified>
</cp:coreProperties>
</file>