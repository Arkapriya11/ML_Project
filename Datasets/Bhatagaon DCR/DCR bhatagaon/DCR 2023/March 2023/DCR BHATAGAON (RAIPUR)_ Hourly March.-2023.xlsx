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24226"/>
  <bookViews>
    <workbookView xWindow="4155" yWindow="510" windowWidth="20730" windowHeight="11760" tabRatio="913" activeTab="31"/>
  </bookViews>
  <sheets>
    <sheet name="01" sheetId="2" r:id="rId3"/>
    <sheet name="02" sheetId="3" r:id="rId4"/>
    <sheet name="03" sheetId="8" r:id="rId5"/>
    <sheet name="04" sheetId="9" r:id="rId6"/>
    <sheet name="05" sheetId="10" r:id="rId7"/>
    <sheet name="06" sheetId="11" r:id="rId8"/>
    <sheet name="07" sheetId="12" r:id="rId9"/>
    <sheet name="08" sheetId="13" r:id="rId10"/>
    <sheet name="09" sheetId="14" r:id="rId11"/>
    <sheet name="10" sheetId="15" r:id="rId12"/>
    <sheet name="11" sheetId="16" r:id="rId13"/>
    <sheet name="12" sheetId="17" r:id="rId14"/>
    <sheet name="13" sheetId="18" r:id="rId15"/>
    <sheet name="14" sheetId="19" r:id="rId16"/>
    <sheet name="15" sheetId="20" r:id="rId17"/>
    <sheet name="16" sheetId="21" r:id="rId18"/>
    <sheet name="17" sheetId="22" r:id="rId19"/>
    <sheet name="18" sheetId="23" r:id="rId20"/>
    <sheet name="19" sheetId="24" r:id="rId21"/>
    <sheet name="20" sheetId="25" r:id="rId22"/>
    <sheet name="21" sheetId="26" r:id="rId23"/>
    <sheet name="22" sheetId="27" r:id="rId24"/>
    <sheet name="23" sheetId="28" r:id="rId25"/>
    <sheet name="24" sheetId="29" r:id="rId26"/>
    <sheet name="25" sheetId="30" r:id="rId27"/>
    <sheet name="26" sheetId="31" r:id="rId28"/>
    <sheet name="27" sheetId="32" r:id="rId29"/>
    <sheet name="28" sheetId="33" r:id="rId30"/>
    <sheet name="29" sheetId="40" r:id="rId31"/>
    <sheet name="30" sheetId="41" r:id="rId32"/>
    <sheet name="31" sheetId="42" r:id="rId33"/>
    <sheet name="MONTHLY 31" sheetId="39" r:id="rId34"/>
  </sheets>
  <definedNames/>
  <calcPr calcId="124519"/>
</workbook>
</file>

<file path=xl/calcChain.xml><?xml version="1.0" encoding="utf-8"?>
<calcChain xmlns="http://schemas.openxmlformats.org/spreadsheetml/2006/main">
  <c r="B2" i="16" l="1"/>
</calcChain>
</file>

<file path=xl/sharedStrings.xml><?xml version="1.0" encoding="utf-8"?>
<sst xmlns="http://schemas.openxmlformats.org/spreadsheetml/2006/main" count="2989" uniqueCount="808">
  <si>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</si>
  <si>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</si>
  <si>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</si>
  <si>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</si>
  <si>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</si>
  <si>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</si>
  <si>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</si>
  <si>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</si>
  <si>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</si>
  <si>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</si>
  <si>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</si>
  <si>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</si>
  <si>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</si>
  <si>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</si>
  <si>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</si>
  <si>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</si>
  <si>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</si>
  <si>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</si>
  <si>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</si>
  <si>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</si>
  <si>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</si>
  <si>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</si>
  <si>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</si>
  <si>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</si>
  <si>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</si>
  <si>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</si>
  <si>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</si>
  <si>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</si>
  <si>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</si>
  <si>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</si>
  <si>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</si>
  <si>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</si>
  <si>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</si>
  <si>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</si>
  <si>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</si>
  <si>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</si>
  <si>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</si>
  <si>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</si>
  <si>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</si>
  <si>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</si>
  <si>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BHATAGAON ,RAIPUR</t>
  </si>
  <si>
    <t>RAHUL</t>
  </si>
  <si>
    <t>BHATAGAON RAIPUR</t>
  </si>
  <si>
    <t>NO2_BHATAGAON</t>
  </si>
  <si>
    <t>NOX_BHATAGAON</t>
  </si>
  <si>
    <t>SO2_BHATAGAON</t>
  </si>
  <si>
    <t>O3_BHATAGAON</t>
  </si>
  <si>
    <t>PM10_BHATAGAON</t>
  </si>
  <si>
    <t>PM2_5_BHATAGAON</t>
  </si>
  <si>
    <t>BENZ_BHATAGAON</t>
  </si>
  <si>
    <t>WS_BHATAGAON</t>
  </si>
  <si>
    <t>WD_BHATAGAON</t>
  </si>
  <si>
    <t>TEMP_BHATAGAON</t>
  </si>
  <si>
    <t>HUM BHATAGAON</t>
  </si>
  <si>
    <t>SR_BHATAGAON</t>
  </si>
  <si>
    <t>RG_BHATAGAON</t>
  </si>
  <si>
    <t>CO_BHATAGAON</t>
  </si>
  <si>
    <t>NH3_BHATAGAON</t>
  </si>
  <si>
    <t>NO_BHATAGAON</t>
  </si>
  <si>
    <t xml:space="preserve">BHATAGAON RAIPUR </t>
  </si>
  <si>
    <t>surojit</t>
  </si>
  <si>
    <t>rahul</t>
  </si>
  <si>
    <t>ppb</t>
  </si>
  <si>
    <t>01-03-2023 01:00</t>
  </si>
  <si>
    <t>01-03-2023 02:00</t>
  </si>
  <si>
    <t>01-03-2023 03:00</t>
  </si>
  <si>
    <t>01-03-2023 04:00</t>
  </si>
  <si>
    <t>01-03-2023 05:00</t>
  </si>
  <si>
    <t>01-03-2023 06:00</t>
  </si>
  <si>
    <t>01-03-2023 07:00</t>
  </si>
  <si>
    <t>01-03-2023 08:00</t>
  </si>
  <si>
    <t>01-03-2023 09:00</t>
  </si>
  <si>
    <t>01-03-2023 10:00</t>
  </si>
  <si>
    <t>01-03-2023 11:00</t>
  </si>
  <si>
    <t>01-03-2023 12:00</t>
  </si>
  <si>
    <t>01-03-2023 13:00</t>
  </si>
  <si>
    <t>01-03-2023 14:00</t>
  </si>
  <si>
    <t>01-03-2023 15:00</t>
  </si>
  <si>
    <t>01-03-2023 16:00</t>
  </si>
  <si>
    <t>01-03-2023 17:00</t>
  </si>
  <si>
    <t>01-03-2023 18:00</t>
  </si>
  <si>
    <t>01-03-2023 19:00</t>
  </si>
  <si>
    <t>01-03-2023 20:00</t>
  </si>
  <si>
    <t>01-03-2023 21:00</t>
  </si>
  <si>
    <t>01-03-2023 22:00</t>
  </si>
  <si>
    <t>01-03-2023 23:00</t>
  </si>
  <si>
    <t>01-03-2023 24:00</t>
  </si>
  <si>
    <t>02-03-2023 01:00</t>
  </si>
  <si>
    <t>02-03-2023 02:00</t>
  </si>
  <si>
    <t>02-03-2023 03:00</t>
  </si>
  <si>
    <t>02-03-2023 04:00</t>
  </si>
  <si>
    <t>02-03-2023 05:00</t>
  </si>
  <si>
    <t>02-03-2023 06:00</t>
  </si>
  <si>
    <t>02-03-2023 07:00</t>
  </si>
  <si>
    <t>02-03-2023 08:00</t>
  </si>
  <si>
    <t>02-03-2023 09:00</t>
  </si>
  <si>
    <t>02-03-2023 10:00</t>
  </si>
  <si>
    <t>02-03-2023 11:00</t>
  </si>
  <si>
    <t>02-03-2023 12:00</t>
  </si>
  <si>
    <t>02-03-2023 13:00</t>
  </si>
  <si>
    <t>02-03-2023 14:00</t>
  </si>
  <si>
    <t>02-03-2023 15:00</t>
  </si>
  <si>
    <t>02-03-2023 16:00</t>
  </si>
  <si>
    <t>02-03-2023 17:00</t>
  </si>
  <si>
    <t>02-03-2023 18:00</t>
  </si>
  <si>
    <t>02-03-2023 19:00</t>
  </si>
  <si>
    <t>02-03-2023 20:00</t>
  </si>
  <si>
    <t>02-03-2023 21:00</t>
  </si>
  <si>
    <t>02-03-2023 22:00</t>
  </si>
  <si>
    <t>02-03-2023 23:00</t>
  </si>
  <si>
    <t>02-03-2023 24:00</t>
  </si>
  <si>
    <t>03-03-2023 01:00</t>
  </si>
  <si>
    <t>03-03-2023 02:00</t>
  </si>
  <si>
    <t>03-03-2023 03:00</t>
  </si>
  <si>
    <t>03-03-2023 04:00</t>
  </si>
  <si>
    <t>03-03-2023 05:00</t>
  </si>
  <si>
    <t>03-03-2023 06:00</t>
  </si>
  <si>
    <t>03-03-2023 07:00</t>
  </si>
  <si>
    <t>03-03-2023 08:00</t>
  </si>
  <si>
    <t>03-03-2023 09:00</t>
  </si>
  <si>
    <t>03-03-2023 10:00</t>
  </si>
  <si>
    <t>03-03-2023 11:00</t>
  </si>
  <si>
    <t>03-03-2023 12:00</t>
  </si>
  <si>
    <t>03-03-2023 13:00</t>
  </si>
  <si>
    <t>03-03-2023 14:00</t>
  </si>
  <si>
    <t>03-03-2023 15:00</t>
  </si>
  <si>
    <t>03-03-2023 16:00</t>
  </si>
  <si>
    <t>03-03-2023 17:00</t>
  </si>
  <si>
    <t>03-03-2023 18:00</t>
  </si>
  <si>
    <t>03-03-2023 19:00</t>
  </si>
  <si>
    <t>03-03-2023 20:00</t>
  </si>
  <si>
    <t>03-03-2023 21:00</t>
  </si>
  <si>
    <t>03-03-2023 22:00</t>
  </si>
  <si>
    <t>03-03-2023 23:00</t>
  </si>
  <si>
    <t>03-03-2023 24:00</t>
  </si>
  <si>
    <t>04-03-2023 01:00</t>
  </si>
  <si>
    <t>04-03-2023 02:00</t>
  </si>
  <si>
    <t>04-03-2023 03:00</t>
  </si>
  <si>
    <t>04-03-2023 04:00</t>
  </si>
  <si>
    <t>04-03-2023 05:00</t>
  </si>
  <si>
    <t>04-03-2023 06:00</t>
  </si>
  <si>
    <t>04-03-2023 07:00</t>
  </si>
  <si>
    <t>04-03-2023 08:00</t>
  </si>
  <si>
    <t>04-03-2023 09:00</t>
  </si>
  <si>
    <t>04-03-2023 10:00</t>
  </si>
  <si>
    <t>04-03-2023 11:00</t>
  </si>
  <si>
    <t>04-03-2023 12:00</t>
  </si>
  <si>
    <t>04-03-2023 13:00</t>
  </si>
  <si>
    <t>04-03-2023 14:00</t>
  </si>
  <si>
    <t>04-03-2023 15:00</t>
  </si>
  <si>
    <t>04-03-2023 16:00</t>
  </si>
  <si>
    <t>04-03-2023 17:00</t>
  </si>
  <si>
    <t>04-03-2023 18:00</t>
  </si>
  <si>
    <t>04-03-2023 19:00</t>
  </si>
  <si>
    <t>04-03-2023 20:00</t>
  </si>
  <si>
    <t>04-03-2023 21:00</t>
  </si>
  <si>
    <t>04-03-2023 22:00</t>
  </si>
  <si>
    <t>04-03-2023 23:00</t>
  </si>
  <si>
    <t>04-03-2023 24:00</t>
  </si>
  <si>
    <t>05-03-2023 01:00</t>
  </si>
  <si>
    <t>05-03-2023 02:00</t>
  </si>
  <si>
    <t>05-03-2023 03:00</t>
  </si>
  <si>
    <t>05-03-2023 04:00</t>
  </si>
  <si>
    <t>05-03-2023 05:00</t>
  </si>
  <si>
    <t>05-03-2023 06:00</t>
  </si>
  <si>
    <t>05-03-2023 07:00</t>
  </si>
  <si>
    <t>05-03-2023 08:00</t>
  </si>
  <si>
    <t>05-03-2023 09:00</t>
  </si>
  <si>
    <t>05-03-2023 10:00</t>
  </si>
  <si>
    <t>05-03-2023 11:00</t>
  </si>
  <si>
    <t>05-03-2023 12:00</t>
  </si>
  <si>
    <t>05-03-2023 13:00</t>
  </si>
  <si>
    <t>05-03-2023 14:00</t>
  </si>
  <si>
    <t>05-03-2023 15:00</t>
  </si>
  <si>
    <t>05-03-2023 16:00</t>
  </si>
  <si>
    <t>05-03-2023 17:00</t>
  </si>
  <si>
    <t>05-03-2023 18:00</t>
  </si>
  <si>
    <t>05-03-2023 19:00</t>
  </si>
  <si>
    <t>05-03-2023 20:00</t>
  </si>
  <si>
    <t>05-03-2023 21:00</t>
  </si>
  <si>
    <t>05-03-2023 22:00</t>
  </si>
  <si>
    <t>05-03-2023 23:00</t>
  </si>
  <si>
    <t>05-03-2023 24:00</t>
  </si>
  <si>
    <t>06-03-2023 01:00</t>
  </si>
  <si>
    <t>06-03-2023 02:00</t>
  </si>
  <si>
    <t>06-03-2023 03:00</t>
  </si>
  <si>
    <t>06-03-2023 04:00</t>
  </si>
  <si>
    <t>06-03-2023 05:00</t>
  </si>
  <si>
    <t>06-03-2023 06:00</t>
  </si>
  <si>
    <t>06-03-2023 07:00</t>
  </si>
  <si>
    <t>06-03-2023 08:00</t>
  </si>
  <si>
    <t>06-03-2023 09:00</t>
  </si>
  <si>
    <t>06-03-2023 10:00</t>
  </si>
  <si>
    <t>06-03-2023 11:00</t>
  </si>
  <si>
    <t>06-03-2023 12:00</t>
  </si>
  <si>
    <t>06-03-2023 13:00</t>
  </si>
  <si>
    <t>06-03-2023 14:00</t>
  </si>
  <si>
    <t>06-03-2023 15:00</t>
  </si>
  <si>
    <t>06-03-2023 16:00</t>
  </si>
  <si>
    <t>06-03-2023 17:00</t>
  </si>
  <si>
    <t>06-03-2023 18:00</t>
  </si>
  <si>
    <t>06-03-2023 19:00</t>
  </si>
  <si>
    <t>06-03-2023 20:00</t>
  </si>
  <si>
    <t>06-03-2023 21:00</t>
  </si>
  <si>
    <t>06-03-2023 22:00</t>
  </si>
  <si>
    <t>06-03-2023 23:00</t>
  </si>
  <si>
    <t>06-03-2023 24:00</t>
  </si>
  <si>
    <t>07-03-2023 01:00</t>
  </si>
  <si>
    <t>07-03-2023 02:00</t>
  </si>
  <si>
    <t>07-03-2023 03:00</t>
  </si>
  <si>
    <t>07-03-2023 04:00</t>
  </si>
  <si>
    <t>07-03-2023 05:00</t>
  </si>
  <si>
    <t>07-03-2023 06:00</t>
  </si>
  <si>
    <t>07-03-2023 07:00</t>
  </si>
  <si>
    <t>07-03-2023 08:00</t>
  </si>
  <si>
    <t>07-03-2023 09:00</t>
  </si>
  <si>
    <t>07-03-2023 10:00</t>
  </si>
  <si>
    <t>07-03-2023 11:00</t>
  </si>
  <si>
    <t>07-03-2023 12:00</t>
  </si>
  <si>
    <t>07-03-2023 13:00</t>
  </si>
  <si>
    <t>07-03-2023 14:00</t>
  </si>
  <si>
    <t>07-03-2023 15:00</t>
  </si>
  <si>
    <t>07-03-2023 16:00</t>
  </si>
  <si>
    <t>07-03-2023 17:00</t>
  </si>
  <si>
    <t>07-03-2023 18:00</t>
  </si>
  <si>
    <t>07-03-2023 19:00</t>
  </si>
  <si>
    <t>07-03-2023 20:00</t>
  </si>
  <si>
    <t>07-03-2023 21:00</t>
  </si>
  <si>
    <t>07-03-2023 22:00</t>
  </si>
  <si>
    <t>07-03-2023 23:00</t>
  </si>
  <si>
    <t>07-03-2023 24:00</t>
  </si>
  <si>
    <t>08-03-2023 01:00</t>
  </si>
  <si>
    <t>08-03-2023 02:00</t>
  </si>
  <si>
    <t>08-03-2023 03:00</t>
  </si>
  <si>
    <t>08-03-2023 04:00</t>
  </si>
  <si>
    <t>08-03-2023 05:00</t>
  </si>
  <si>
    <t>08-03-2023 06:00</t>
  </si>
  <si>
    <t>08-03-2023 07:00</t>
  </si>
  <si>
    <t>08-03-2023 08:00</t>
  </si>
  <si>
    <t>08-03-2023 09:00</t>
  </si>
  <si>
    <t>08-03-2023 10:00</t>
  </si>
  <si>
    <t>08-03-2023 11:00</t>
  </si>
  <si>
    <t>08-03-2023 12:00</t>
  </si>
  <si>
    <t>08-03-2023 13:00</t>
  </si>
  <si>
    <t>08-03-2023 14:00</t>
  </si>
  <si>
    <t>08-03-2023 15:00</t>
  </si>
  <si>
    <t>08-03-2023 16:00</t>
  </si>
  <si>
    <t>08-03-2023 17:00</t>
  </si>
  <si>
    <t>08-03-2023 18:00</t>
  </si>
  <si>
    <t>08-03-2023 19:00</t>
  </si>
  <si>
    <t>08-03-2023 20:00</t>
  </si>
  <si>
    <t>08-03-2023 21:00</t>
  </si>
  <si>
    <t>08-03-2023 22:00</t>
  </si>
  <si>
    <t>08-03-2023 23:00</t>
  </si>
  <si>
    <t>08-03-2023 24:00</t>
  </si>
  <si>
    <t>09-03-2023 01:00</t>
  </si>
  <si>
    <t>09-03-2023 02:00</t>
  </si>
  <si>
    <t>09-03-2023 03:00</t>
  </si>
  <si>
    <t>09-03-2023 04:00</t>
  </si>
  <si>
    <t>09-03-2023 05:00</t>
  </si>
  <si>
    <t>09-03-2023 06:00</t>
  </si>
  <si>
    <t>09-03-2023 07:00</t>
  </si>
  <si>
    <t>09-03-2023 08:00</t>
  </si>
  <si>
    <t>09-03-2023 09:00</t>
  </si>
  <si>
    <t>09-03-2023 10:00</t>
  </si>
  <si>
    <t>09-03-2023 11:00</t>
  </si>
  <si>
    <t>09-03-2023 12:00</t>
  </si>
  <si>
    <t>09-03-2023 13:00</t>
  </si>
  <si>
    <t>09-03-2023 14:00</t>
  </si>
  <si>
    <t>09-03-2023 15:00</t>
  </si>
  <si>
    <t>09-03-2023 16:00</t>
  </si>
  <si>
    <t>09-03-2023 17:00</t>
  </si>
  <si>
    <t>09-03-2023 18:00</t>
  </si>
  <si>
    <t>09-03-2023 19:00</t>
  </si>
  <si>
    <t>09-03-2023 20:00</t>
  </si>
  <si>
    <t>09-03-2023 21:00</t>
  </si>
  <si>
    <t>09-03-2023 22:00</t>
  </si>
  <si>
    <t>09-03-2023 23:00</t>
  </si>
  <si>
    <t>09-03-2023 24:00</t>
  </si>
  <si>
    <t>10-03-2023 01:00</t>
  </si>
  <si>
    <t>10-03-2023 02:00</t>
  </si>
  <si>
    <t>10-03-2023 03:00</t>
  </si>
  <si>
    <t>10-03-2023 04:00</t>
  </si>
  <si>
    <t>10-03-2023 05:00</t>
  </si>
  <si>
    <t>10-03-2023 06:00</t>
  </si>
  <si>
    <t>10-03-2023 07:00</t>
  </si>
  <si>
    <t>10-03-2023 08:00</t>
  </si>
  <si>
    <t>10-03-2023 09:00</t>
  </si>
  <si>
    <t>10-03-2023 10:00</t>
  </si>
  <si>
    <t>10-03-2023 11:00</t>
  </si>
  <si>
    <t>10-03-2023 12:00</t>
  </si>
  <si>
    <t>10-03-2023 13:00</t>
  </si>
  <si>
    <t>10-03-2023 14:00</t>
  </si>
  <si>
    <t>10-03-2023 15:00</t>
  </si>
  <si>
    <t>10-03-2023 16:00</t>
  </si>
  <si>
    <t>10-03-2023 17:00</t>
  </si>
  <si>
    <t>10-03-2023 18:00</t>
  </si>
  <si>
    <t>10-03-2023 19:00</t>
  </si>
  <si>
    <t>10-03-2023 20:00</t>
  </si>
  <si>
    <t>10-03-2023 21:00</t>
  </si>
  <si>
    <t>10-03-2023 22:00</t>
  </si>
  <si>
    <t>10-03-2023 23:00</t>
  </si>
  <si>
    <t>10-03-2023 24:00</t>
  </si>
  <si>
    <t>11-03-2023 01:00</t>
  </si>
  <si>
    <t>11-03-2023 02:00</t>
  </si>
  <si>
    <t>11-03-2023 03:00</t>
  </si>
  <si>
    <t>11-03-2023 04:00</t>
  </si>
  <si>
    <t>11-03-2023 05:00</t>
  </si>
  <si>
    <t>11-03-2023 06:00</t>
  </si>
  <si>
    <t>11-03-2023 07:00</t>
  </si>
  <si>
    <t>11-03-2023 08:00</t>
  </si>
  <si>
    <t>11-03-2023 09:00</t>
  </si>
  <si>
    <t>11-03-2023 10:00</t>
  </si>
  <si>
    <t>11-03-2023 11:00</t>
  </si>
  <si>
    <t>11-03-2023 12:00</t>
  </si>
  <si>
    <t>11-03-2023 13:00</t>
  </si>
  <si>
    <t>11-03-2023 14:00</t>
  </si>
  <si>
    <t>11-03-2023 15:00</t>
  </si>
  <si>
    <t>11-03-2023 16:00</t>
  </si>
  <si>
    <t>11-03-2023 17:00</t>
  </si>
  <si>
    <t>11-03-2023 18:00</t>
  </si>
  <si>
    <t>11-03-2023 19:00</t>
  </si>
  <si>
    <t>11-03-2023 20:00</t>
  </si>
  <si>
    <t>11-03-2023 21:00</t>
  </si>
  <si>
    <t>11-03-2023 22:00</t>
  </si>
  <si>
    <t>11-03-2023 23:00</t>
  </si>
  <si>
    <t>11-03-2023 24:00</t>
  </si>
  <si>
    <t>12-03-2023 01:00</t>
  </si>
  <si>
    <t>12-03-2023 02:00</t>
  </si>
  <si>
    <t>12-03-2023 03:00</t>
  </si>
  <si>
    <t>12-03-2023 04:00</t>
  </si>
  <si>
    <t>12-03-2023 05:00</t>
  </si>
  <si>
    <t>12-03-2023 06:00</t>
  </si>
  <si>
    <t>12-03-2023 07:00</t>
  </si>
  <si>
    <t>12-03-2023 08:00</t>
  </si>
  <si>
    <t>12-03-2023 09:00</t>
  </si>
  <si>
    <t>12-03-2023 10:00</t>
  </si>
  <si>
    <t>12-03-2023 11:00</t>
  </si>
  <si>
    <t>12-03-2023 12:00</t>
  </si>
  <si>
    <t>12-03-2023 13:00</t>
  </si>
  <si>
    <t>12-03-2023 14:00</t>
  </si>
  <si>
    <t>12-03-2023 15:00</t>
  </si>
  <si>
    <t>12-03-2023 16:00</t>
  </si>
  <si>
    <t>12-03-2023 17:00</t>
  </si>
  <si>
    <t>12-03-2023 18:00</t>
  </si>
  <si>
    <t>12-03-2023 19:00</t>
  </si>
  <si>
    <t>12-03-2023 20:00</t>
  </si>
  <si>
    <t>12-03-2023 21:00</t>
  </si>
  <si>
    <t>12-03-2023 22:00</t>
  </si>
  <si>
    <t>12-03-2023 23:00</t>
  </si>
  <si>
    <t>12-03-2023 24:00</t>
  </si>
  <si>
    <t>13-03-2023 01:00</t>
  </si>
  <si>
    <t>13-03-2023 02:00</t>
  </si>
  <si>
    <t>13-03-2023 03:00</t>
  </si>
  <si>
    <t>13-03-2023 04:00</t>
  </si>
  <si>
    <t>13-03-2023 05:00</t>
  </si>
  <si>
    <t>13-03-2023 06:00</t>
  </si>
  <si>
    <t>13-03-2023 07:00</t>
  </si>
  <si>
    <t>13-03-2023 08:00</t>
  </si>
  <si>
    <t>13-03-2023 09:00</t>
  </si>
  <si>
    <t>13-03-2023 10:00</t>
  </si>
  <si>
    <t>13-03-2023 11:00</t>
  </si>
  <si>
    <t>13-03-2023 12:00</t>
  </si>
  <si>
    <t>13-03-2023 13:00</t>
  </si>
  <si>
    <t>13-03-2023 14:00</t>
  </si>
  <si>
    <t>13-03-2023 15:00</t>
  </si>
  <si>
    <t>13-03-2023 16:00</t>
  </si>
  <si>
    <t>13-03-2023 17:00</t>
  </si>
  <si>
    <t>13-03-2023 18:00</t>
  </si>
  <si>
    <t>13-03-2023 19:00</t>
  </si>
  <si>
    <t>13-03-2023 20:00</t>
  </si>
  <si>
    <t>13-03-2023 21:00</t>
  </si>
  <si>
    <t>13-03-2023 22:00</t>
  </si>
  <si>
    <t>13-03-2023 23:00</t>
  </si>
  <si>
    <t>13-03-2023 24:00</t>
  </si>
  <si>
    <t>14-03-2023 01:00</t>
  </si>
  <si>
    <t>14-03-2023 02:00</t>
  </si>
  <si>
    <t>14-03-2023 03:00</t>
  </si>
  <si>
    <t>14-03-2023 04:00</t>
  </si>
  <si>
    <t>14-03-2023 05:00</t>
  </si>
  <si>
    <t>14-03-2023 06:00</t>
  </si>
  <si>
    <t>14-03-2023 07:00</t>
  </si>
  <si>
    <t>14-03-2023 08:00</t>
  </si>
  <si>
    <t>14-03-2023 09:00</t>
  </si>
  <si>
    <t>14-03-2023 10:00</t>
  </si>
  <si>
    <t>14-03-2023 11:00</t>
  </si>
  <si>
    <t>14-03-2023 12:00</t>
  </si>
  <si>
    <t>14-03-2023 13:00</t>
  </si>
  <si>
    <t>14-03-2023 14:00</t>
  </si>
  <si>
    <t>14-03-2023 15:00</t>
  </si>
  <si>
    <t>14-03-2023 16:00</t>
  </si>
  <si>
    <t>14-03-2023 17:00</t>
  </si>
  <si>
    <t>14-03-2023 18:00</t>
  </si>
  <si>
    <t>14-03-2023 19:00</t>
  </si>
  <si>
    <t>14-03-2023 20:00</t>
  </si>
  <si>
    <t>14-03-2023 21:00</t>
  </si>
  <si>
    <t>14-03-2023 22:00</t>
  </si>
  <si>
    <t>14-03-2023 23:00</t>
  </si>
  <si>
    <t>14-03-2023 24:00</t>
  </si>
  <si>
    <t>15-03-2023 01:00</t>
  </si>
  <si>
    <t>15-03-2023 02:00</t>
  </si>
  <si>
    <t>15-03-2023 03:00</t>
  </si>
  <si>
    <t>15-03-2023 04:00</t>
  </si>
  <si>
    <t>15-03-2023 05:00</t>
  </si>
  <si>
    <t>15-03-2023 06:00</t>
  </si>
  <si>
    <t>15-03-2023 07:00</t>
  </si>
  <si>
    <t>15-03-2023 08:00</t>
  </si>
  <si>
    <t>15-03-2023 09:00</t>
  </si>
  <si>
    <t>15-03-2023 10:00</t>
  </si>
  <si>
    <t>15-03-2023 11:00</t>
  </si>
  <si>
    <t>15-03-2023 12:00</t>
  </si>
  <si>
    <t>15-03-2023 13:00</t>
  </si>
  <si>
    <t>15-03-2023 14:00</t>
  </si>
  <si>
    <t>15-03-2023 15:00</t>
  </si>
  <si>
    <t>15-03-2023 16:00</t>
  </si>
  <si>
    <t>15-03-2023 17:00</t>
  </si>
  <si>
    <t>15-03-2023 18:00</t>
  </si>
  <si>
    <t>15-03-2023 19:00</t>
  </si>
  <si>
    <t>15-03-2023 20:00</t>
  </si>
  <si>
    <t>15-03-2023 21:00</t>
  </si>
  <si>
    <t>15-03-2023 22:00</t>
  </si>
  <si>
    <t>15-03-2023 23:00</t>
  </si>
  <si>
    <t>15-03-2023 24:00</t>
  </si>
  <si>
    <t>16-03-2023 01:00</t>
  </si>
  <si>
    <t>16-03-2023 02:00</t>
  </si>
  <si>
    <t>16-03-2023 03:00</t>
  </si>
  <si>
    <t>16-03-2023 04:00</t>
  </si>
  <si>
    <t>16-03-2023 05:00</t>
  </si>
  <si>
    <t>16-03-2023 06:00</t>
  </si>
  <si>
    <t>16-03-2023 07:00</t>
  </si>
  <si>
    <t>16-03-2023 08:00</t>
  </si>
  <si>
    <t>16-03-2023 09:00</t>
  </si>
  <si>
    <t>16-03-2023 10:00</t>
  </si>
  <si>
    <t>16-03-2023 11:00</t>
  </si>
  <si>
    <t>16-03-2023 12:00</t>
  </si>
  <si>
    <t>16-03-2023 13:00</t>
  </si>
  <si>
    <t>16-03-2023 14:00</t>
  </si>
  <si>
    <t>16-03-2023 15:00</t>
  </si>
  <si>
    <t>16-03-2023 16:00</t>
  </si>
  <si>
    <t>16-03-2023 17:00</t>
  </si>
  <si>
    <t>16-03-2023 18:00</t>
  </si>
  <si>
    <t>16-03-2023 19:00</t>
  </si>
  <si>
    <t>16-03-2023 20:00</t>
  </si>
  <si>
    <t>16-03-2023 21:00</t>
  </si>
  <si>
    <t>16-03-2023 22:00</t>
  </si>
  <si>
    <t>16-03-2023 23:00</t>
  </si>
  <si>
    <t>16-03-2023 24:00</t>
  </si>
  <si>
    <t>17-03-2023 01:00</t>
  </si>
  <si>
    <t>17-03-2023 02:00</t>
  </si>
  <si>
    <t>17-03-2023 03:00</t>
  </si>
  <si>
    <t>17-03-2023 04:00</t>
  </si>
  <si>
    <t>17-03-2023 05:00</t>
  </si>
  <si>
    <t>17-03-2023 06:00</t>
  </si>
  <si>
    <t>17-03-2023 07:00</t>
  </si>
  <si>
    <t>17-03-2023 08:00</t>
  </si>
  <si>
    <t>17-03-2023 09:00</t>
  </si>
  <si>
    <t>17-03-2023 10:00</t>
  </si>
  <si>
    <t>17-03-2023 11:00</t>
  </si>
  <si>
    <t>17-03-2023 12:00</t>
  </si>
  <si>
    <t>17-03-2023 13:00</t>
  </si>
  <si>
    <t>17-03-2023 14:00</t>
  </si>
  <si>
    <t>17-03-2023 15:00</t>
  </si>
  <si>
    <t>17-03-2023 16:00</t>
  </si>
  <si>
    <t>17-03-2023 17:00</t>
  </si>
  <si>
    <t>17-03-2023 18:00</t>
  </si>
  <si>
    <t>17-03-2023 19:00</t>
  </si>
  <si>
    <t>17-03-2023 20:00</t>
  </si>
  <si>
    <t>17-03-2023 21:00</t>
  </si>
  <si>
    <t>17-03-2023 22:00</t>
  </si>
  <si>
    <t>17-03-2023 23:00</t>
  </si>
  <si>
    <t>17-03-2023 24:00</t>
  </si>
  <si>
    <t>18-03-2023 01:00</t>
  </si>
  <si>
    <t>18-03-2023 02:00</t>
  </si>
  <si>
    <t>18-03-2023 03:00</t>
  </si>
  <si>
    <t>18-03-2023 04:00</t>
  </si>
  <si>
    <t>18-03-2023 05:00</t>
  </si>
  <si>
    <t>18-03-2023 06:00</t>
  </si>
  <si>
    <t>18-03-2023 07:00</t>
  </si>
  <si>
    <t>18-03-2023 08:00</t>
  </si>
  <si>
    <t>18-03-2023 09:00</t>
  </si>
  <si>
    <t>18-03-2023 10:00</t>
  </si>
  <si>
    <t>18-03-2023 11:00</t>
  </si>
  <si>
    <t>18-03-2023 12:00</t>
  </si>
  <si>
    <t>18-03-2023 13:00</t>
  </si>
  <si>
    <t>18-03-2023 14:00</t>
  </si>
  <si>
    <t>18-03-2023 15:00</t>
  </si>
  <si>
    <t>18-03-2023 16:00</t>
  </si>
  <si>
    <t>18-03-2023 17:00</t>
  </si>
  <si>
    <t>18-03-2023 18:00</t>
  </si>
  <si>
    <t>18-03-2023 19:00</t>
  </si>
  <si>
    <t>18-03-2023 20:00</t>
  </si>
  <si>
    <t>18-03-2023 21:00</t>
  </si>
  <si>
    <t>18-03-2023 22:00</t>
  </si>
  <si>
    <t>18-03-2023 23:00</t>
  </si>
  <si>
    <t>18-03-2023 24:00</t>
  </si>
  <si>
    <t>19-03-2023 01:00</t>
  </si>
  <si>
    <t>19-03-2023 02:00</t>
  </si>
  <si>
    <t>19-03-2023 03:00</t>
  </si>
  <si>
    <t>19-03-2023 04:00</t>
  </si>
  <si>
    <t>19-03-2023 05:00</t>
  </si>
  <si>
    <t>19-03-2023 06:00</t>
  </si>
  <si>
    <t>19-03-2023 07:00</t>
  </si>
  <si>
    <t>19-03-2023 08:00</t>
  </si>
  <si>
    <t>19-03-2023 09:00</t>
  </si>
  <si>
    <t>19-03-2023 10:00</t>
  </si>
  <si>
    <t>19-03-2023 11:00</t>
  </si>
  <si>
    <t>19-03-2023 12:00</t>
  </si>
  <si>
    <t>19-03-2023 13:00</t>
  </si>
  <si>
    <t>19-03-2023 14:00</t>
  </si>
  <si>
    <t>19-03-2023 15:00</t>
  </si>
  <si>
    <t>19-03-2023 16:00</t>
  </si>
  <si>
    <t>19-03-2023 17:00</t>
  </si>
  <si>
    <t>19-03-2023 18:00</t>
  </si>
  <si>
    <t>19-03-2023 19:00</t>
  </si>
  <si>
    <t>19-03-2023 20:00</t>
  </si>
  <si>
    <t>19-03-2023 21:00</t>
  </si>
  <si>
    <t>19-03-2023 22:00</t>
  </si>
  <si>
    <t>19-03-2023 23:00</t>
  </si>
  <si>
    <t>19-03-2023 24:00</t>
  </si>
  <si>
    <t>20-03-2023 01:00</t>
  </si>
  <si>
    <t>20-03-2023 02:00</t>
  </si>
  <si>
    <t>20-03-2023 03:00</t>
  </si>
  <si>
    <t>20-03-2023 04:00</t>
  </si>
  <si>
    <t>20-03-2023 05:00</t>
  </si>
  <si>
    <t>20-03-2023 06:00</t>
  </si>
  <si>
    <t>20-03-2023 07:00</t>
  </si>
  <si>
    <t>20-03-2023 08:00</t>
  </si>
  <si>
    <t>20-03-2023 09:00</t>
  </si>
  <si>
    <t>20-03-2023 10:00</t>
  </si>
  <si>
    <t>20-03-2023 11:00</t>
  </si>
  <si>
    <t>20-03-2023 12:00</t>
  </si>
  <si>
    <t>20-03-2023 13:00</t>
  </si>
  <si>
    <t>20-03-2023 14:00</t>
  </si>
  <si>
    <t>20-03-2023 15:00</t>
  </si>
  <si>
    <t>20-03-2023 16:00</t>
  </si>
  <si>
    <t>20-03-2023 17:00</t>
  </si>
  <si>
    <t>20-03-2023 18:00</t>
  </si>
  <si>
    <t>20-03-2023 19:00</t>
  </si>
  <si>
    <t>20-03-2023 20:00</t>
  </si>
  <si>
    <t>20-03-2023 21:00</t>
  </si>
  <si>
    <t>20-03-2023 22:00</t>
  </si>
  <si>
    <t>20-03-2023 23:00</t>
  </si>
  <si>
    <t>20-03-2023 24:00</t>
  </si>
  <si>
    <t>21-03-2023 01:00</t>
  </si>
  <si>
    <t>21-03-2023 02:00</t>
  </si>
  <si>
    <t>21-03-2023 03:00</t>
  </si>
  <si>
    <t>21-03-2023 04:00</t>
  </si>
  <si>
    <t>21-03-2023 05:00</t>
  </si>
  <si>
    <t>21-03-2023 06:00</t>
  </si>
  <si>
    <t>21-03-2023 07:00</t>
  </si>
  <si>
    <t>21-03-2023 08:00</t>
  </si>
  <si>
    <t>21-03-2023 09:00</t>
  </si>
  <si>
    <t>21-03-2023 10:00</t>
  </si>
  <si>
    <t>21-03-2023 11:00</t>
  </si>
  <si>
    <t>21-03-2023 12:00</t>
  </si>
  <si>
    <t>21-03-2023 13:00</t>
  </si>
  <si>
    <t>21-03-2023 14:00</t>
  </si>
  <si>
    <t>21-03-2023 15:00</t>
  </si>
  <si>
    <t>21-03-2023 16:00</t>
  </si>
  <si>
    <t>21-03-2023 17:00</t>
  </si>
  <si>
    <t>21-03-2023 18:00</t>
  </si>
  <si>
    <t>21-03-2023 19:00</t>
  </si>
  <si>
    <t>21-03-2023 20:00</t>
  </si>
  <si>
    <t>21-03-2023 21:00</t>
  </si>
  <si>
    <t>21-03-2023 22:00</t>
  </si>
  <si>
    <t>21-03-2023 23:00</t>
  </si>
  <si>
    <t>21-03-2023 24:00</t>
  </si>
  <si>
    <t>22-03-2023 01:00</t>
  </si>
  <si>
    <t>22-03-2023 02:00</t>
  </si>
  <si>
    <t>22-03-2023 03:00</t>
  </si>
  <si>
    <t>22-03-2023 04:00</t>
  </si>
  <si>
    <t>22-03-2023 05:00</t>
  </si>
  <si>
    <t>22-03-2023 06:00</t>
  </si>
  <si>
    <t>22-03-2023 07:00</t>
  </si>
  <si>
    <t>22-03-2023 08:00</t>
  </si>
  <si>
    <t>22-03-2023 09:00</t>
  </si>
  <si>
    <t>22-03-2023 10:00</t>
  </si>
  <si>
    <t>22-03-2023 11:00</t>
  </si>
  <si>
    <t>22-03-2023 12:00</t>
  </si>
  <si>
    <t>22-03-2023 13:00</t>
  </si>
  <si>
    <t>22-03-2023 14:00</t>
  </si>
  <si>
    <t>22-03-2023 15:00</t>
  </si>
  <si>
    <t>22-03-2023 16:00</t>
  </si>
  <si>
    <t>22-03-2023 17:00</t>
  </si>
  <si>
    <t>22-03-2023 18:00</t>
  </si>
  <si>
    <t>22-03-2023 19:00</t>
  </si>
  <si>
    <t>22-03-2023 20:00</t>
  </si>
  <si>
    <t>22-03-2023 21:00</t>
  </si>
  <si>
    <t>22-03-2023 22:00</t>
  </si>
  <si>
    <t>22-03-2023 23:00</t>
  </si>
  <si>
    <t>22-03-2023 24:00</t>
  </si>
  <si>
    <t>23-03-2023 01:00</t>
  </si>
  <si>
    <t>23-03-2023 02:00</t>
  </si>
  <si>
    <t>23-03-2023 03:00</t>
  </si>
  <si>
    <t>23-03-2023 04:00</t>
  </si>
  <si>
    <t>23-03-2023 05:00</t>
  </si>
  <si>
    <t>23-03-2023 06:00</t>
  </si>
  <si>
    <t>23-03-2023 07:00</t>
  </si>
  <si>
    <t>23-03-2023 08:00</t>
  </si>
  <si>
    <t>23-03-2023 09:00</t>
  </si>
  <si>
    <t>23-03-2023 10:00</t>
  </si>
  <si>
    <t>23-03-2023 11:00</t>
  </si>
  <si>
    <t>23-03-2023 12:00</t>
  </si>
  <si>
    <t>23-03-2023 13:00</t>
  </si>
  <si>
    <t>23-03-2023 14:00</t>
  </si>
  <si>
    <t>23-03-2023 15:00</t>
  </si>
  <si>
    <t>23-03-2023 16:00</t>
  </si>
  <si>
    <t>23-03-2023 17:00</t>
  </si>
  <si>
    <t>23-03-2023 18:00</t>
  </si>
  <si>
    <t>23-03-2023 19:00</t>
  </si>
  <si>
    <t>23-03-2023 20:00</t>
  </si>
  <si>
    <t>23-03-2023 21:00</t>
  </si>
  <si>
    <t>23-03-2023 22:00</t>
  </si>
  <si>
    <t>23-03-2023 23:00</t>
  </si>
  <si>
    <t>23-03-2023 24:00</t>
  </si>
  <si>
    <t>RK</t>
  </si>
  <si>
    <t>24-03-2023 01:00</t>
  </si>
  <si>
    <t>24-03-2023 02:00</t>
  </si>
  <si>
    <t>24-03-2023 03:00</t>
  </si>
  <si>
    <t>24-03-2023 04:00</t>
  </si>
  <si>
    <t>24-03-2023 05:00</t>
  </si>
  <si>
    <t>24-03-2023 06:00</t>
  </si>
  <si>
    <t>24-03-2023 07:00</t>
  </si>
  <si>
    <t>24-03-2023 08:00</t>
  </si>
  <si>
    <t>24-03-2023 09:00</t>
  </si>
  <si>
    <t>24-03-2023 10:00</t>
  </si>
  <si>
    <t>24-03-2023 11:00</t>
  </si>
  <si>
    <t>24-03-2023 12:00</t>
  </si>
  <si>
    <t>24-03-2023 13:00</t>
  </si>
  <si>
    <t>24-03-2023 14:00</t>
  </si>
  <si>
    <t>24-03-2023 15:00</t>
  </si>
  <si>
    <t>24-03-2023 16:00</t>
  </si>
  <si>
    <t>24-03-2023 17:00</t>
  </si>
  <si>
    <t>24-03-2023 18:00</t>
  </si>
  <si>
    <t>24-03-2023 19:00</t>
  </si>
  <si>
    <t>24-03-2023 20:00</t>
  </si>
  <si>
    <t>24-03-2023 21:00</t>
  </si>
  <si>
    <t>24-03-2023 22:00</t>
  </si>
  <si>
    <t>24-03-2023 23:00</t>
  </si>
  <si>
    <t>24-03-2023 24:00</t>
  </si>
  <si>
    <t>25-03-2023 01:00</t>
  </si>
  <si>
    <t>25-03-2023 02:00</t>
  </si>
  <si>
    <t>25-03-2023 03:00</t>
  </si>
  <si>
    <t>25-03-2023 04:00</t>
  </si>
  <si>
    <t>25-03-2023 05:00</t>
  </si>
  <si>
    <t>25-03-2023 06:00</t>
  </si>
  <si>
    <t>25-03-2023 07:00</t>
  </si>
  <si>
    <t>25-03-2023 08:00</t>
  </si>
  <si>
    <t>25-03-2023 09:00</t>
  </si>
  <si>
    <t>25-03-2023 10:00</t>
  </si>
  <si>
    <t>25-03-2023 11:00</t>
  </si>
  <si>
    <t>25-03-2023 12:00</t>
  </si>
  <si>
    <t>25-03-2023 13:00</t>
  </si>
  <si>
    <t>25-03-2023 14:00</t>
  </si>
  <si>
    <t>25-03-2023 15:00</t>
  </si>
  <si>
    <t>25-03-2023 16:00</t>
  </si>
  <si>
    <t>25-03-2023 17:00</t>
  </si>
  <si>
    <t>25-03-2023 18:00</t>
  </si>
  <si>
    <t>25-03-2023 19:00</t>
  </si>
  <si>
    <t>25-03-2023 20:00</t>
  </si>
  <si>
    <t>25-03-2023 21:00</t>
  </si>
  <si>
    <t>25-03-2023 22:00</t>
  </si>
  <si>
    <t>25-03-2023 23:00</t>
  </si>
  <si>
    <t>25-03-2023 24:00</t>
  </si>
  <si>
    <t>26-03-2023 01:00</t>
  </si>
  <si>
    <t>26-03-2023 02:00</t>
  </si>
  <si>
    <t>26-03-2023 03:00</t>
  </si>
  <si>
    <t>26-03-2023 04:00</t>
  </si>
  <si>
    <t>26-03-2023 05:00</t>
  </si>
  <si>
    <t>26-03-2023 06:00</t>
  </si>
  <si>
    <t>26-03-2023 07:00</t>
  </si>
  <si>
    <t>26-03-2023 08:00</t>
  </si>
  <si>
    <t>26-03-2023 09:00</t>
  </si>
  <si>
    <t>26-03-2023 10:00</t>
  </si>
  <si>
    <t>26-03-2023 11:00</t>
  </si>
  <si>
    <t>26-03-2023 12:00</t>
  </si>
  <si>
    <t>26-03-2023 13:00</t>
  </si>
  <si>
    <t>26-03-2023 14:00</t>
  </si>
  <si>
    <t>26-03-2023 15:00</t>
  </si>
  <si>
    <t>26-03-2023 16:00</t>
  </si>
  <si>
    <t>26-03-2023 17:00</t>
  </si>
  <si>
    <t>26-03-2023 18:00</t>
  </si>
  <si>
    <t>26-03-2023 19:00</t>
  </si>
  <si>
    <t>26-03-2023 20:00</t>
  </si>
  <si>
    <t>26-03-2023 21:00</t>
  </si>
  <si>
    <t>26-03-2023 22:00</t>
  </si>
  <si>
    <t>26-03-2023 23:00</t>
  </si>
  <si>
    <t>26-03-2023 24:00</t>
  </si>
  <si>
    <t>27-03-2023 01:00</t>
  </si>
  <si>
    <t>27-03-2023 02:00</t>
  </si>
  <si>
    <t>27-03-2023 03:00</t>
  </si>
  <si>
    <t>27-03-2023 04:00</t>
  </si>
  <si>
    <t>27-03-2023 05:00</t>
  </si>
  <si>
    <t>27-03-2023 06:00</t>
  </si>
  <si>
    <t>27-03-2023 07:00</t>
  </si>
  <si>
    <t>27-03-2023 08:00</t>
  </si>
  <si>
    <t>27-03-2023 09:00</t>
  </si>
  <si>
    <t>27-03-2023 10:00</t>
  </si>
  <si>
    <t>27-03-2023 11:00</t>
  </si>
  <si>
    <t>27-03-2023 12:00</t>
  </si>
  <si>
    <t>27-03-2023 13:00</t>
  </si>
  <si>
    <t>27-03-2023 14:00</t>
  </si>
  <si>
    <t>27-03-2023 15:00</t>
  </si>
  <si>
    <t>27-03-2023 16:00</t>
  </si>
  <si>
    <t>27-03-2023 17:00</t>
  </si>
  <si>
    <t>27-03-2023 18:00</t>
  </si>
  <si>
    <t>27-03-2023 19:00</t>
  </si>
  <si>
    <t>27-03-2023 20:00</t>
  </si>
  <si>
    <t>27-03-2023 21:00</t>
  </si>
  <si>
    <t>27-03-2023 22:00</t>
  </si>
  <si>
    <t>27-03-2023 23:00</t>
  </si>
  <si>
    <t>27-03-2023 24:00</t>
  </si>
  <si>
    <t>28-03-2023 01:00</t>
  </si>
  <si>
    <t>28-03-2023 02:00</t>
  </si>
  <si>
    <t>28-03-2023 03:00</t>
  </si>
  <si>
    <t>28-03-2023 04:00</t>
  </si>
  <si>
    <t>28-03-2023 05:00</t>
  </si>
  <si>
    <t>28-03-2023 06:00</t>
  </si>
  <si>
    <t>28-03-2023 07:00</t>
  </si>
  <si>
    <t>28-03-2023 08:00</t>
  </si>
  <si>
    <t>28-03-2023 09:00</t>
  </si>
  <si>
    <t>28-03-2023 10:00</t>
  </si>
  <si>
    <t>28-03-2023 11:00</t>
  </si>
  <si>
    <t>28-03-2023 12:00</t>
  </si>
  <si>
    <t>28-03-2023 13:00</t>
  </si>
  <si>
    <t>28-03-2023 14:00</t>
  </si>
  <si>
    <t>28-03-2023 15:00</t>
  </si>
  <si>
    <t>28-03-2023 16:00</t>
  </si>
  <si>
    <t>28-03-2023 17:00</t>
  </si>
  <si>
    <t>28-03-2023 18:00</t>
  </si>
  <si>
    <t>28-03-2023 19:00</t>
  </si>
  <si>
    <t>28-03-2023 20:00</t>
  </si>
  <si>
    <t>28-03-2023 21:00</t>
  </si>
  <si>
    <t>28-03-2023 22:00</t>
  </si>
  <si>
    <t>28-03-2023 23:00</t>
  </si>
  <si>
    <t>28-03-2023 24:00</t>
  </si>
  <si>
    <t>29-03-2023 01:00</t>
  </si>
  <si>
    <t>29-03-2023 02:00</t>
  </si>
  <si>
    <t>29-03-2023 03:00</t>
  </si>
  <si>
    <t>29-03-2023 04:00</t>
  </si>
  <si>
    <t>29-03-2023 05:00</t>
  </si>
  <si>
    <t>29-03-2023 06:00</t>
  </si>
  <si>
    <t>29-03-2023 07:00</t>
  </si>
  <si>
    <t>29-03-2023 08:00</t>
  </si>
  <si>
    <t>29-03-2023 09:00</t>
  </si>
  <si>
    <t>29-03-2023 10:00</t>
  </si>
  <si>
    <t>29-03-2023 11:00</t>
  </si>
  <si>
    <t>29-03-2023 12:00</t>
  </si>
  <si>
    <t>29-03-2023 13:00</t>
  </si>
  <si>
    <t>29-03-2023 14:00</t>
  </si>
  <si>
    <t>29-03-2023 15:00</t>
  </si>
  <si>
    <t>29-03-2023 16:00</t>
  </si>
  <si>
    <t>29-03-2023 17:00</t>
  </si>
  <si>
    <t>29-03-2023 18:00</t>
  </si>
  <si>
    <t>29-03-2023 19:00</t>
  </si>
  <si>
    <t>29-03-2023 20:00</t>
  </si>
  <si>
    <t>29-03-2023 21:00</t>
  </si>
  <si>
    <t>29-03-2023 22:00</t>
  </si>
  <si>
    <t>29-03-2023 23:00</t>
  </si>
  <si>
    <t>29-03-2023 24:00</t>
  </si>
  <si>
    <t>30-03-2023 01:00</t>
  </si>
  <si>
    <t>30-03-2023 02:00</t>
  </si>
  <si>
    <t>30-03-2023 03:00</t>
  </si>
  <si>
    <t>30-03-2023 04:00</t>
  </si>
  <si>
    <t>30-03-2023 05:00</t>
  </si>
  <si>
    <t>30-03-2023 06:00</t>
  </si>
  <si>
    <t>30-03-2023 07:00</t>
  </si>
  <si>
    <t>30-03-2023 08:00</t>
  </si>
  <si>
    <t>30-03-2023 09:00</t>
  </si>
  <si>
    <t>30-03-2023 10:00</t>
  </si>
  <si>
    <t>30-03-2023 11:00</t>
  </si>
  <si>
    <t>30-03-2023 12:00</t>
  </si>
  <si>
    <t>30-03-2023 13:00</t>
  </si>
  <si>
    <t>30-03-2023 14:00</t>
  </si>
  <si>
    <t>30-03-2023 15:00</t>
  </si>
  <si>
    <t>30-03-2023 16:00</t>
  </si>
  <si>
    <t>30-03-2023 17:00</t>
  </si>
  <si>
    <t>30-03-2023 18:00</t>
  </si>
  <si>
    <t>30-03-2023 19:00</t>
  </si>
  <si>
    <t>30-03-2023 20:00</t>
  </si>
  <si>
    <t>30-03-2023 21:00</t>
  </si>
  <si>
    <t>30-03-2023 22:00</t>
  </si>
  <si>
    <t>30-03-2023 23:00</t>
  </si>
  <si>
    <t>30-03-2023 24:00</t>
  </si>
  <si>
    <t>31-03-2023 01:00</t>
  </si>
  <si>
    <t>31-03-2023 02:00</t>
  </si>
  <si>
    <t>31-03-2023 03:00</t>
  </si>
  <si>
    <t>31-03-2023 04:00</t>
  </si>
  <si>
    <t>31-03-2023 05:00</t>
  </si>
  <si>
    <t>31-03-2023 06:00</t>
  </si>
  <si>
    <t>31-03-2023 07:00</t>
  </si>
  <si>
    <t>31-03-2023 08:00</t>
  </si>
  <si>
    <t>31-03-2023 09:00</t>
  </si>
  <si>
    <t>31-03-2023 10:00</t>
  </si>
  <si>
    <t>31-03-2023 11:00</t>
  </si>
  <si>
    <t>31-03-2023 12:00</t>
  </si>
  <si>
    <t>31-03-2023 13:00</t>
  </si>
  <si>
    <t>31-03-2023 14:00</t>
  </si>
  <si>
    <t>31-03-2023 15:00</t>
  </si>
  <si>
    <t>31-03-2023 16:00</t>
  </si>
  <si>
    <t>31-03-2023 17:00</t>
  </si>
  <si>
    <t>31-03-2023 18:00</t>
  </si>
  <si>
    <t>31-03-2023 19:00</t>
  </si>
  <si>
    <t>31-03-2023 20:00</t>
  </si>
  <si>
    <t>31-03-2023 21:00</t>
  </si>
  <si>
    <t>31-03-2023 22:00</t>
  </si>
  <si>
    <t>31-03-2023 23:00</t>
  </si>
  <si>
    <t>31-03-2023 24:00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</si>
</sst>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0003962517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theme="0" tint="-0.249970003962517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6">
    <xf numFmtId="0" fontId="0" fillId="0" borderId="0" xfId="0"/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2" fontId="13" fillId="0" borderId="1" xfId="0" applyNumberFormat="1" applyFont="1" applyFill="1" applyBorder="1" applyAlignment="1">
      <alignment horizontal="center"/>
    </xf>
    <xf numFmtId="0" fontId="13" fillId="0" borderId="0" xfId="0" applyFont="1" applyFill="1"/>
    <xf numFmtId="2" fontId="13" fillId="0" borderId="0" xfId="0" applyNumberFormat="1" applyFont="1" applyFill="1"/>
    <xf numFmtId="14" fontId="5" fillId="0" borderId="1" xfId="0" applyNumberFormat="1" applyFont="1" applyFill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/>
    </xf>
    <xf numFmtId="0" fontId="14" fillId="0" borderId="0" xfId="0" applyFont="1" applyFill="1" applyAlignment="1">
      <alignment vertic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/>
    <xf numFmtId="0" fontId="8" fillId="7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/>
    </xf>
    <xf numFmtId="0" fontId="7" fillId="0" borderId="1" xfId="0" applyFont="1" applyBorder="1" applyAlignment="1">
      <alignment/>
    </xf>
    <xf numFmtId="1" fontId="2" fillId="0" borderId="1" xfId="0" applyNumberFormat="1" applyFont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/>
    </xf>
    <xf numFmtId="0" fontId="2" fillId="0" borderId="2" xfId="0" applyFont="1" applyBorder="1" applyAlignment="1">
      <alignment/>
    </xf>
    <xf numFmtId="0" fontId="15" fillId="9" borderId="0" xfId="0" applyFont="1" applyFill="1" applyAlignment="1">
      <alignment horizontal="left"/>
    </xf>
  </cellXfs>
  <cellStyles count="6">
    <cellStyle name="Normal" xf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10" Type="http://schemas.openxmlformats.org/officeDocument/2006/relationships/worksheet" Target="worksheets/sheet8.xml" /><Relationship Id="rId28" Type="http://schemas.openxmlformats.org/officeDocument/2006/relationships/worksheet" Target="worksheets/sheet26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29" Type="http://schemas.openxmlformats.org/officeDocument/2006/relationships/worksheet" Target="worksheets/sheet27.xml" /><Relationship Id="rId26" Type="http://schemas.openxmlformats.org/officeDocument/2006/relationships/worksheet" Target="worksheets/sheet24.xml" /><Relationship Id="rId31" Type="http://schemas.openxmlformats.org/officeDocument/2006/relationships/worksheet" Target="worksheets/sheet29.xml" /><Relationship Id="rId21" Type="http://schemas.openxmlformats.org/officeDocument/2006/relationships/worksheet" Target="worksheets/sheet19.xml" /><Relationship Id="rId27" Type="http://schemas.openxmlformats.org/officeDocument/2006/relationships/worksheet" Target="worksheets/sheet25.xml" /><Relationship Id="rId8" Type="http://schemas.openxmlformats.org/officeDocument/2006/relationships/worksheet" Target="worksheets/sheet6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6" Type="http://schemas.openxmlformats.org/officeDocument/2006/relationships/worksheet" Target="worksheets/sheet14.xml" /><Relationship Id="rId25" Type="http://schemas.openxmlformats.org/officeDocument/2006/relationships/worksheet" Target="worksheets/sheet23.xml" /><Relationship Id="rId17" Type="http://schemas.openxmlformats.org/officeDocument/2006/relationships/worksheet" Target="worksheets/sheet15.xml" /><Relationship Id="rId35" Type="http://schemas.openxmlformats.org/officeDocument/2006/relationships/sharedStrings" Target="sharedStrings.xml" /><Relationship Id="rId22" Type="http://schemas.openxmlformats.org/officeDocument/2006/relationships/worksheet" Target="worksheets/sheet20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3" Type="http://schemas.openxmlformats.org/officeDocument/2006/relationships/worksheet" Target="worksheets/sheet21.xml" /><Relationship Id="rId20" Type="http://schemas.openxmlformats.org/officeDocument/2006/relationships/worksheet" Target="worksheets/sheet18.xml" /><Relationship Id="rId33" Type="http://schemas.openxmlformats.org/officeDocument/2006/relationships/worksheet" Target="worksheets/sheet31.xml" /><Relationship Id="rId11" Type="http://schemas.openxmlformats.org/officeDocument/2006/relationships/worksheet" Target="worksheets/sheet9.xml" /><Relationship Id="rId34" Type="http://schemas.openxmlformats.org/officeDocument/2006/relationships/worksheet" Target="worksheets/sheet32.xml" /><Relationship Id="rId36" Type="http://schemas.openxmlformats.org/officeDocument/2006/relationships/calcChain" Target="calcChain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32" Type="http://schemas.openxmlformats.org/officeDocument/2006/relationships/worksheet" Target="worksheets/sheet30.xml" /><Relationship Id="rId30" Type="http://schemas.openxmlformats.org/officeDocument/2006/relationships/worksheet" Target="worksheets/sheet28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24" Type="http://schemas.openxmlformats.org/officeDocument/2006/relationships/worksheet" Target="worksheets/sheet2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c5dc702-b788-45b4-bf06-359ee0c72d9a}">
  <sheetPr codeName=""/>
  <dimension ref="A1:U119"/>
  <sheetViews>
    <sheetView workbookViewId="0" topLeftCell="A1">
      <pane xSplit="2" ySplit="8" topLeftCell="C9" activePane="bottomRight" state="frozen"/>
      <selection pane="topLeft" activeCell="U32" sqref="A9:U32"/>
      <selection pane="topRight" activeCell="U32" sqref="A9:U32"/>
      <selection pane="bottomLeft" activeCell="U32" sqref="A9:U32"/>
      <selection pane="bottomRight" activeCell="A9" sqref="A9:Q32"/>
    </sheetView>
  </sheetViews>
  <sheetFormatPr defaultColWidth="8.85881696428571" defaultRowHeight="15"/>
  <cols>
    <col min="1" max="1" width="18.2857142857143" style="26" customWidth="1"/>
    <col min="2" max="2" width="14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40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49" t="s">
        <v>63</v>
      </c>
      <c r="B9" s="50">
        <v>113.61</v>
      </c>
      <c r="C9" s="50">
        <v>128.97</v>
      </c>
      <c r="D9" s="50">
        <v>161.25</v>
      </c>
      <c r="E9" s="50">
        <v>3.83</v>
      </c>
      <c r="F9" s="50">
        <v>4.30</v>
      </c>
      <c r="G9" s="50">
        <v>174.34</v>
      </c>
      <c r="H9" s="50">
        <v>66.95</v>
      </c>
      <c r="I9" s="50">
        <v>1.53</v>
      </c>
      <c r="J9" s="50">
        <v>0.06</v>
      </c>
      <c r="K9" s="50">
        <v>346.95</v>
      </c>
      <c r="L9" s="50">
        <v>22.82</v>
      </c>
      <c r="M9" s="50">
        <v>57.24</v>
      </c>
      <c r="N9" s="50">
        <v>4.5</v>
      </c>
      <c r="O9" s="50">
        <v>0</v>
      </c>
      <c r="P9" s="50">
        <v>3.29</v>
      </c>
      <c r="Q9" s="50">
        <v>37.31</v>
      </c>
      <c r="R9" s="43"/>
      <c r="S9" s="43"/>
      <c r="T9" s="43"/>
      <c r="U9" s="43"/>
    </row>
    <row r="10" spans="1:21" s="11" customFormat="1" ht="15">
      <c r="A10" s="49" t="s">
        <v>64</v>
      </c>
      <c r="B10" s="50">
        <v>94.16</v>
      </c>
      <c r="C10" s="50">
        <v>123.72</v>
      </c>
      <c r="D10" s="50">
        <v>142.74</v>
      </c>
      <c r="E10" s="50">
        <v>3.65</v>
      </c>
      <c r="F10" s="50">
        <v>4.84</v>
      </c>
      <c r="G10" s="50">
        <v>143.63999999999999</v>
      </c>
      <c r="H10" s="50">
        <v>60.07</v>
      </c>
      <c r="I10" s="50">
        <v>1.48</v>
      </c>
      <c r="J10" s="50">
        <v>0.28999999999999998</v>
      </c>
      <c r="K10" s="50">
        <v>357.70</v>
      </c>
      <c r="L10" s="50">
        <v>23.12</v>
      </c>
      <c r="M10" s="50">
        <v>56.58</v>
      </c>
      <c r="N10" s="50">
        <v>4.5</v>
      </c>
      <c r="O10" s="50">
        <v>0</v>
      </c>
      <c r="P10" s="50">
        <v>2.65</v>
      </c>
      <c r="Q10" s="50">
        <v>35.450000000000003</v>
      </c>
      <c r="R10" s="43"/>
      <c r="S10" s="43"/>
      <c r="T10" s="43"/>
      <c r="U10" s="43"/>
    </row>
    <row r="11" spans="1:21" s="11" customFormat="1" ht="15">
      <c r="A11" s="49" t="s">
        <v>65</v>
      </c>
      <c r="B11" s="50">
        <v>76.78</v>
      </c>
      <c r="C11" s="50">
        <v>113.66</v>
      </c>
      <c r="D11" s="50">
        <v>121.44</v>
      </c>
      <c r="E11" s="50">
        <v>4.4000000000000004</v>
      </c>
      <c r="F11" s="50">
        <v>5.29</v>
      </c>
      <c r="G11" s="50">
        <v>103.76</v>
      </c>
      <c r="H11" s="50">
        <v>56.37</v>
      </c>
      <c r="I11" s="50">
        <v>1.39</v>
      </c>
      <c r="J11" s="50">
        <v>0.30</v>
      </c>
      <c r="K11" s="50">
        <v>258.39999999999998</v>
      </c>
      <c r="L11" s="50">
        <v>22.07</v>
      </c>
      <c r="M11" s="50">
        <v>55.28</v>
      </c>
      <c r="N11" s="50">
        <v>4.4000000000000004</v>
      </c>
      <c r="O11" s="50">
        <v>0</v>
      </c>
      <c r="P11" s="50">
        <v>2.40</v>
      </c>
      <c r="Q11" s="50">
        <v>35.93</v>
      </c>
      <c r="R11" s="43"/>
      <c r="S11" s="43"/>
      <c r="T11" s="43"/>
      <c r="U11" s="43"/>
    </row>
    <row r="12" spans="1:21" s="11" customFormat="1" ht="15">
      <c r="A12" s="49" t="s">
        <v>66</v>
      </c>
      <c r="B12" s="50">
        <v>68.95</v>
      </c>
      <c r="C12" s="50">
        <v>113.09</v>
      </c>
      <c r="D12" s="50">
        <v>116.64</v>
      </c>
      <c r="E12" s="50">
        <v>3.73</v>
      </c>
      <c r="F12" s="50">
        <v>4.30</v>
      </c>
      <c r="G12" s="50">
        <v>134.19999999999999</v>
      </c>
      <c r="H12" s="50">
        <v>65.319999999999993</v>
      </c>
      <c r="I12" s="50">
        <v>1.25</v>
      </c>
      <c r="J12" s="50">
        <v>0.12</v>
      </c>
      <c r="K12" s="50">
        <v>348.12</v>
      </c>
      <c r="L12" s="50">
        <v>21.57</v>
      </c>
      <c r="M12" s="50">
        <v>64.069999999999993</v>
      </c>
      <c r="N12" s="50">
        <v>4.70</v>
      </c>
      <c r="O12" s="50">
        <v>0</v>
      </c>
      <c r="P12" s="50">
        <v>2.2599999999999998</v>
      </c>
      <c r="Q12" s="50">
        <v>35.99</v>
      </c>
      <c r="R12" s="43"/>
      <c r="S12" s="43"/>
      <c r="T12" s="43"/>
      <c r="U12" s="43"/>
    </row>
    <row r="13" spans="1:21" s="11" customFormat="1" ht="15">
      <c r="A13" s="49" t="s">
        <v>67</v>
      </c>
      <c r="B13" s="50">
        <v>63.03</v>
      </c>
      <c r="C13" s="50">
        <v>114.87</v>
      </c>
      <c r="D13" s="50">
        <v>112.49</v>
      </c>
      <c r="E13" s="50">
        <v>4.55</v>
      </c>
      <c r="F13" s="50">
        <v>4.3099999999999996</v>
      </c>
      <c r="G13" s="50">
        <v>169.76</v>
      </c>
      <c r="H13" s="50">
        <v>79.58</v>
      </c>
      <c r="I13" s="50">
        <v>1.22</v>
      </c>
      <c r="J13" s="50">
        <v>0.14000000000000001</v>
      </c>
      <c r="K13" s="50">
        <v>334.89</v>
      </c>
      <c r="L13" s="50">
        <v>21.22</v>
      </c>
      <c r="M13" s="50">
        <v>62.73</v>
      </c>
      <c r="N13" s="50">
        <v>4.5</v>
      </c>
      <c r="O13" s="50">
        <v>0</v>
      </c>
      <c r="P13" s="50">
        <v>2.13</v>
      </c>
      <c r="Q13" s="50">
        <v>34.99</v>
      </c>
      <c r="R13" s="43"/>
      <c r="S13" s="43"/>
      <c r="T13" s="43"/>
      <c r="U13" s="43"/>
    </row>
    <row r="14" spans="1:21" s="11" customFormat="1" ht="15">
      <c r="A14" s="49" t="s">
        <v>68</v>
      </c>
      <c r="B14" s="50">
        <v>81.349999999999994</v>
      </c>
      <c r="C14" s="50">
        <v>115.07</v>
      </c>
      <c r="D14" s="50">
        <v>125.96</v>
      </c>
      <c r="E14" s="50">
        <v>4.99</v>
      </c>
      <c r="F14" s="50">
        <v>4.91</v>
      </c>
      <c r="G14" s="50">
        <v>173.73</v>
      </c>
      <c r="H14" s="50">
        <v>82.43</v>
      </c>
      <c r="I14" s="50">
        <v>1.1000000000000001</v>
      </c>
      <c r="J14" s="50">
        <v>0.15</v>
      </c>
      <c r="K14" s="50">
        <v>357.20</v>
      </c>
      <c r="L14" s="50">
        <v>20.55</v>
      </c>
      <c r="M14" s="50">
        <v>70.099999999999994</v>
      </c>
      <c r="N14" s="50">
        <v>4.70</v>
      </c>
      <c r="O14" s="50">
        <v>0</v>
      </c>
      <c r="P14" s="50">
        <v>2.09</v>
      </c>
      <c r="Q14" s="50">
        <v>33.96</v>
      </c>
      <c r="R14" s="43"/>
      <c r="S14" s="43"/>
      <c r="T14" s="43"/>
      <c r="U14" s="43"/>
    </row>
    <row r="15" spans="1:21" s="11" customFormat="1" ht="15">
      <c r="A15" s="49" t="s">
        <v>69</v>
      </c>
      <c r="B15" s="50">
        <v>102.61</v>
      </c>
      <c r="C15" s="50">
        <v>114.79</v>
      </c>
      <c r="D15" s="50">
        <v>144.32</v>
      </c>
      <c r="E15" s="50">
        <v>5.44</v>
      </c>
      <c r="F15" s="50">
        <v>4.30</v>
      </c>
      <c r="G15" s="50">
        <v>176.56</v>
      </c>
      <c r="H15" s="50">
        <v>82.43</v>
      </c>
      <c r="I15" s="50">
        <v>1.1200000000000001</v>
      </c>
      <c r="J15" s="50">
        <v>0.33</v>
      </c>
      <c r="K15" s="50">
        <v>281.57</v>
      </c>
      <c r="L15" s="50">
        <v>20.80</v>
      </c>
      <c r="M15" s="50">
        <v>67.70</v>
      </c>
      <c r="N15" s="50">
        <v>36.40</v>
      </c>
      <c r="O15" s="50">
        <v>0</v>
      </c>
      <c r="P15" s="50">
        <v>2.09</v>
      </c>
      <c r="Q15" s="50">
        <v>36.799999999999997</v>
      </c>
      <c r="R15" s="43"/>
      <c r="S15" s="43"/>
      <c r="T15" s="43"/>
      <c r="U15" s="43"/>
    </row>
    <row r="16" spans="1:21" s="11" customFormat="1" ht="15">
      <c r="A16" s="49" t="s">
        <v>70</v>
      </c>
      <c r="B16" s="50">
        <v>95.80</v>
      </c>
      <c r="C16" s="50">
        <v>113.62</v>
      </c>
      <c r="D16" s="50">
        <v>136.94</v>
      </c>
      <c r="E16" s="50">
        <v>5.03</v>
      </c>
      <c r="F16" s="50">
        <v>4.30</v>
      </c>
      <c r="G16" s="50">
        <v>176.56</v>
      </c>
      <c r="H16" s="50">
        <v>80.67</v>
      </c>
      <c r="I16" s="50">
        <v>1.07</v>
      </c>
      <c r="J16" s="50">
        <v>0.23</v>
      </c>
      <c r="K16" s="50">
        <v>359.36</v>
      </c>
      <c r="L16" s="50">
        <v>25.49</v>
      </c>
      <c r="M16" s="50">
        <v>64.13</v>
      </c>
      <c r="N16" s="50">
        <v>148.60</v>
      </c>
      <c r="O16" s="50">
        <v>0</v>
      </c>
      <c r="P16" s="50">
        <v>2.12</v>
      </c>
      <c r="Q16" s="50">
        <v>36.04</v>
      </c>
      <c r="R16" s="43"/>
      <c r="S16" s="43"/>
      <c r="T16" s="43"/>
      <c r="U16" s="43"/>
    </row>
    <row r="17" spans="1:21" s="11" customFormat="1" ht="15">
      <c r="A17" s="49" t="s">
        <v>71</v>
      </c>
      <c r="B17" s="50">
        <v>85.69</v>
      </c>
      <c r="C17" s="50">
        <v>121.28</v>
      </c>
      <c r="D17" s="50">
        <v>131.61000000000001</v>
      </c>
      <c r="E17" s="50">
        <v>17.79</v>
      </c>
      <c r="F17" s="50">
        <v>6.44</v>
      </c>
      <c r="G17" s="50">
        <v>128.86000000000001</v>
      </c>
      <c r="H17" s="50">
        <v>136.25</v>
      </c>
      <c r="I17" s="50">
        <v>0.97</v>
      </c>
      <c r="J17" s="50">
        <v>0.45</v>
      </c>
      <c r="K17" s="50">
        <v>113.91</v>
      </c>
      <c r="L17" s="50">
        <v>27.76</v>
      </c>
      <c r="M17" s="50">
        <v>44.94</v>
      </c>
      <c r="N17" s="50">
        <v>281.89999999999998</v>
      </c>
      <c r="O17" s="50">
        <v>0</v>
      </c>
      <c r="P17" s="50">
        <v>2.31</v>
      </c>
      <c r="Q17" s="50">
        <v>34.49</v>
      </c>
      <c r="R17" s="43"/>
      <c r="S17" s="43"/>
      <c r="T17" s="43"/>
      <c r="U17" s="43"/>
    </row>
    <row r="18" spans="1:21" s="11" customFormat="1" ht="15">
      <c r="A18" s="49" t="s">
        <v>72</v>
      </c>
      <c r="B18" s="50">
        <v>73.70</v>
      </c>
      <c r="C18" s="50">
        <v>126.92</v>
      </c>
      <c r="D18" s="50">
        <v>126.93</v>
      </c>
      <c r="E18" s="50">
        <v>19.239999999999998</v>
      </c>
      <c r="F18" s="50">
        <v>8.59</v>
      </c>
      <c r="G18" s="50">
        <v>233.38</v>
      </c>
      <c r="H18" s="50">
        <v>136.25</v>
      </c>
      <c r="I18" s="50">
        <v>0.96</v>
      </c>
      <c r="J18" s="50">
        <v>0.39</v>
      </c>
      <c r="K18" s="50">
        <v>142.30000000000001</v>
      </c>
      <c r="L18" s="50">
        <v>33.68</v>
      </c>
      <c r="M18" s="50">
        <v>36.64</v>
      </c>
      <c r="N18" s="50">
        <v>402.20</v>
      </c>
      <c r="O18" s="50">
        <v>0</v>
      </c>
      <c r="P18" s="50">
        <v>2.34</v>
      </c>
      <c r="Q18" s="50">
        <v>35.67</v>
      </c>
      <c r="R18" s="43"/>
      <c r="S18" s="43"/>
      <c r="T18" s="43"/>
      <c r="U18" s="43"/>
    </row>
    <row r="19" spans="1:21" s="11" customFormat="1" ht="15">
      <c r="A19" s="49" t="s">
        <v>73</v>
      </c>
      <c r="B19" s="50">
        <v>57.36</v>
      </c>
      <c r="C19" s="50">
        <v>147.63999999999999</v>
      </c>
      <c r="D19" s="50">
        <v>117.67</v>
      </c>
      <c r="E19" s="50">
        <v>8.17</v>
      </c>
      <c r="F19" s="50">
        <v>7.84</v>
      </c>
      <c r="G19" s="50">
        <v>233.38</v>
      </c>
      <c r="H19" s="50">
        <v>105</v>
      </c>
      <c r="I19" s="50">
        <v>0.95</v>
      </c>
      <c r="J19" s="50">
        <v>0.65</v>
      </c>
      <c r="K19" s="50">
        <v>352.66</v>
      </c>
      <c r="L19" s="50">
        <v>35.86</v>
      </c>
      <c r="M19" s="50">
        <v>25.99</v>
      </c>
      <c r="N19" s="50">
        <v>466.80</v>
      </c>
      <c r="O19" s="50">
        <v>0</v>
      </c>
      <c r="P19" s="50">
        <v>2.29</v>
      </c>
      <c r="Q19" s="50">
        <v>36.39</v>
      </c>
      <c r="R19" s="43"/>
      <c r="S19" s="43"/>
      <c r="T19" s="43"/>
      <c r="U19" s="43"/>
    </row>
    <row r="20" spans="1:21" s="11" customFormat="1" ht="15">
      <c r="A20" s="49" t="s">
        <v>74</v>
      </c>
      <c r="B20" s="50">
        <v>2.90</v>
      </c>
      <c r="C20" s="50">
        <v>93.42</v>
      </c>
      <c r="D20" s="50">
        <v>52.84</v>
      </c>
      <c r="E20" s="50">
        <v>24.03</v>
      </c>
      <c r="F20" s="50">
        <v>63.33</v>
      </c>
      <c r="G20" s="50">
        <v>146.41</v>
      </c>
      <c r="H20" s="50">
        <v>79.39</v>
      </c>
      <c r="I20" s="50">
        <v>0.81</v>
      </c>
      <c r="J20" s="50">
        <v>0.49</v>
      </c>
      <c r="K20" s="50">
        <v>359.51</v>
      </c>
      <c r="L20" s="50">
        <v>36.380000000000003</v>
      </c>
      <c r="M20" s="50">
        <v>24.22</v>
      </c>
      <c r="N20" s="50">
        <v>497.70</v>
      </c>
      <c r="O20" s="50">
        <v>0</v>
      </c>
      <c r="P20" s="50">
        <v>1.1599999999999999</v>
      </c>
      <c r="Q20" s="50">
        <v>22.79</v>
      </c>
      <c r="R20" s="43"/>
      <c r="S20" s="43"/>
      <c r="T20" s="43"/>
      <c r="U20" s="43"/>
    </row>
    <row r="21" spans="1:21" s="11" customFormat="1" ht="15">
      <c r="A21" s="49" t="s">
        <v>75</v>
      </c>
      <c r="B21" s="50">
        <v>3.46</v>
      </c>
      <c r="C21" s="50">
        <v>70.94</v>
      </c>
      <c r="D21" s="50">
        <v>40.049999999999997</v>
      </c>
      <c r="E21" s="50">
        <v>11.10</v>
      </c>
      <c r="F21" s="50">
        <v>27.03</v>
      </c>
      <c r="G21" s="50">
        <v>70.760000000000005</v>
      </c>
      <c r="H21" s="50">
        <v>34.880000000000003</v>
      </c>
      <c r="I21" s="50">
        <v>0.49</v>
      </c>
      <c r="J21" s="50">
        <v>0.71</v>
      </c>
      <c r="K21" s="50">
        <v>341.52</v>
      </c>
      <c r="L21" s="50">
        <v>37.08</v>
      </c>
      <c r="M21" s="50">
        <v>22.49</v>
      </c>
      <c r="N21" s="50">
        <v>492.20</v>
      </c>
      <c r="O21" s="50">
        <v>0</v>
      </c>
      <c r="P21" s="50">
        <v>0.75</v>
      </c>
      <c r="Q21" s="50">
        <v>18.39</v>
      </c>
      <c r="R21" s="43"/>
      <c r="S21" s="43"/>
      <c r="T21" s="43"/>
      <c r="U21" s="43"/>
    </row>
    <row r="22" spans="1:21" s="11" customFormat="1" ht="15">
      <c r="A22" s="49" t="s">
        <v>76</v>
      </c>
      <c r="B22" s="50">
        <v>2.1800000000000002</v>
      </c>
      <c r="C22" s="50">
        <v>76.790000000000006</v>
      </c>
      <c r="D22" s="50">
        <v>42.60</v>
      </c>
      <c r="E22" s="50">
        <v>14.61</v>
      </c>
      <c r="F22" s="50">
        <v>27.06</v>
      </c>
      <c r="G22" s="50">
        <v>70.760000000000005</v>
      </c>
      <c r="H22" s="50">
        <v>38.36</v>
      </c>
      <c r="I22" s="50">
        <v>0.56999999999999995</v>
      </c>
      <c r="J22" s="50">
        <v>0.75</v>
      </c>
      <c r="K22" s="50">
        <v>166.31</v>
      </c>
      <c r="L22" s="50">
        <v>36.909999999999997</v>
      </c>
      <c r="M22" s="50">
        <v>23.76</v>
      </c>
      <c r="N22" s="50">
        <v>454.30</v>
      </c>
      <c r="O22" s="50">
        <v>0</v>
      </c>
      <c r="P22" s="50">
        <v>0.96</v>
      </c>
      <c r="Q22" s="50">
        <v>22.54</v>
      </c>
      <c r="R22" s="43"/>
      <c r="S22" s="43"/>
      <c r="T22" s="43"/>
      <c r="U22" s="43"/>
    </row>
    <row r="23" spans="1:21" s="11" customFormat="1" ht="15">
      <c r="A23" s="49" t="s">
        <v>77</v>
      </c>
      <c r="B23" s="50">
        <v>1.55</v>
      </c>
      <c r="C23" s="50">
        <v>68.239999999999995</v>
      </c>
      <c r="D23" s="50">
        <v>37.869999999999997</v>
      </c>
      <c r="E23" s="50">
        <v>8.83</v>
      </c>
      <c r="F23" s="50">
        <v>27.15</v>
      </c>
      <c r="G23" s="50">
        <v>60.07</v>
      </c>
      <c r="H23" s="50">
        <v>38.36</v>
      </c>
      <c r="I23" s="50">
        <v>0.56000000000000005</v>
      </c>
      <c r="J23" s="50">
        <v>1.1599999999999999</v>
      </c>
      <c r="K23" s="50">
        <v>202.97</v>
      </c>
      <c r="L23" s="50">
        <v>34.96</v>
      </c>
      <c r="M23" s="50">
        <v>20.41</v>
      </c>
      <c r="N23" s="50">
        <v>412.40</v>
      </c>
      <c r="O23" s="50">
        <v>0</v>
      </c>
      <c r="P23" s="50">
        <v>0.86</v>
      </c>
      <c r="Q23" s="50">
        <v>22.40</v>
      </c>
      <c r="R23" s="43"/>
      <c r="S23" s="43"/>
      <c r="T23" s="43"/>
      <c r="U23" s="43"/>
    </row>
    <row r="24" spans="1:21" s="11" customFormat="1" ht="15">
      <c r="A24" s="49" t="s">
        <v>78</v>
      </c>
      <c r="B24" s="50">
        <v>2.04</v>
      </c>
      <c r="C24" s="50">
        <v>63.23</v>
      </c>
      <c r="D24" s="50">
        <v>34.97</v>
      </c>
      <c r="E24" s="50">
        <v>8.2100000000000009</v>
      </c>
      <c r="F24" s="50">
        <v>32.42</v>
      </c>
      <c r="G24" s="50">
        <v>42.13</v>
      </c>
      <c r="H24" s="50">
        <v>20.25</v>
      </c>
      <c r="I24" s="50">
        <v>0.53</v>
      </c>
      <c r="J24" s="50">
        <v>0.98</v>
      </c>
      <c r="K24" s="50">
        <v>183.78</v>
      </c>
      <c r="L24" s="50">
        <v>34.49</v>
      </c>
      <c r="M24" s="50">
        <v>17.649999999999999</v>
      </c>
      <c r="N24" s="50">
        <v>326.89999999999998</v>
      </c>
      <c r="O24" s="50">
        <v>0</v>
      </c>
      <c r="P24" s="50">
        <v>0.65</v>
      </c>
      <c r="Q24" s="50">
        <v>23.05</v>
      </c>
      <c r="R24" s="43"/>
      <c r="S24" s="43"/>
      <c r="T24" s="43"/>
      <c r="U24" s="43"/>
    </row>
    <row r="25" spans="1:21" s="11" customFormat="1" ht="15">
      <c r="A25" s="49" t="s">
        <v>79</v>
      </c>
      <c r="B25" s="50">
        <v>3.12</v>
      </c>
      <c r="C25" s="50">
        <v>65.56</v>
      </c>
      <c r="D25" s="50">
        <v>37.64</v>
      </c>
      <c r="E25" s="50">
        <v>8.76</v>
      </c>
      <c r="F25" s="50">
        <v>45.70</v>
      </c>
      <c r="G25" s="50">
        <v>42.13</v>
      </c>
      <c r="H25" s="50">
        <v>19.899999999999999</v>
      </c>
      <c r="I25" s="50">
        <v>0.54</v>
      </c>
      <c r="J25" s="50">
        <v>0.63</v>
      </c>
      <c r="K25" s="50">
        <v>214.09</v>
      </c>
      <c r="L25" s="50">
        <v>33.81</v>
      </c>
      <c r="M25" s="50">
        <v>18.07</v>
      </c>
      <c r="N25" s="50">
        <v>136.40</v>
      </c>
      <c r="O25" s="50">
        <v>0</v>
      </c>
      <c r="P25" s="50">
        <v>0.60</v>
      </c>
      <c r="Q25" s="50">
        <v>23.51</v>
      </c>
      <c r="R25" s="43"/>
      <c r="S25" s="43"/>
      <c r="T25" s="43"/>
      <c r="U25" s="43"/>
    </row>
    <row r="26" spans="1:21" s="11" customFormat="1" ht="15">
      <c r="A26" s="49" t="s">
        <v>80</v>
      </c>
      <c r="B26" s="50">
        <v>45.18</v>
      </c>
      <c r="C26" s="50">
        <v>123.30</v>
      </c>
      <c r="D26" s="50">
        <v>103.24</v>
      </c>
      <c r="E26" s="50">
        <v>7.68</v>
      </c>
      <c r="F26" s="50">
        <v>26.23</v>
      </c>
      <c r="G26" s="50">
        <v>46.39</v>
      </c>
      <c r="H26" s="50">
        <v>23.48</v>
      </c>
      <c r="I26" s="50">
        <v>0.56999999999999995</v>
      </c>
      <c r="J26" s="50">
        <v>0.25</v>
      </c>
      <c r="K26" s="50">
        <v>228.32</v>
      </c>
      <c r="L26" s="50">
        <v>32.85</v>
      </c>
      <c r="M26" s="50">
        <v>27.83</v>
      </c>
      <c r="N26" s="50">
        <v>42.10</v>
      </c>
      <c r="O26" s="50">
        <v>0</v>
      </c>
      <c r="P26" s="50">
        <v>1.64</v>
      </c>
      <c r="Q26" s="50">
        <v>25.63</v>
      </c>
      <c r="R26" s="43"/>
      <c r="S26" s="43"/>
      <c r="T26" s="43"/>
      <c r="U26" s="43"/>
    </row>
    <row r="27" spans="1:21" s="11" customFormat="1" ht="15">
      <c r="A27" s="49" t="s">
        <v>81</v>
      </c>
      <c r="B27" s="50">
        <v>46.93</v>
      </c>
      <c r="C27" s="50">
        <v>134.55000000000001</v>
      </c>
      <c r="D27" s="50">
        <v>102.99</v>
      </c>
      <c r="E27" s="50">
        <v>23.31</v>
      </c>
      <c r="F27" s="50">
        <v>11.81</v>
      </c>
      <c r="G27" s="50">
        <v>154.69999999999999</v>
      </c>
      <c r="H27" s="50">
        <v>52.25</v>
      </c>
      <c r="I27" s="50">
        <v>0.80</v>
      </c>
      <c r="J27" s="50">
        <v>0.23</v>
      </c>
      <c r="K27" s="50">
        <v>55</v>
      </c>
      <c r="L27" s="50">
        <v>29.51</v>
      </c>
      <c r="M27" s="50">
        <v>34.200000000000003</v>
      </c>
      <c r="N27" s="50">
        <v>5.70</v>
      </c>
      <c r="O27" s="50">
        <v>0</v>
      </c>
      <c r="P27" s="50">
        <v>2.16</v>
      </c>
      <c r="Q27" s="50">
        <v>28.34</v>
      </c>
      <c r="R27" s="43"/>
      <c r="S27" s="43"/>
      <c r="T27" s="43"/>
      <c r="U27" s="43"/>
    </row>
    <row r="28" spans="1:21" s="11" customFormat="1" ht="15">
      <c r="A28" s="49" t="s">
        <v>82</v>
      </c>
      <c r="B28" s="50">
        <v>78</v>
      </c>
      <c r="C28" s="50">
        <v>148.32</v>
      </c>
      <c r="D28" s="50">
        <v>142.01</v>
      </c>
      <c r="E28" s="50">
        <v>22.75</v>
      </c>
      <c r="F28" s="50">
        <v>9.8000000000000007</v>
      </c>
      <c r="G28" s="50">
        <v>154.69999999999999</v>
      </c>
      <c r="H28" s="50">
        <v>63.23</v>
      </c>
      <c r="I28" s="50">
        <v>1.1299999999999999</v>
      </c>
      <c r="J28" s="50">
        <v>0.36</v>
      </c>
      <c r="K28" s="50">
        <v>110.71</v>
      </c>
      <c r="L28" s="50">
        <v>28.97</v>
      </c>
      <c r="M28" s="50">
        <v>42.61</v>
      </c>
      <c r="N28" s="50">
        <v>4.80</v>
      </c>
      <c r="O28" s="50">
        <v>0</v>
      </c>
      <c r="P28" s="50">
        <v>2.71</v>
      </c>
      <c r="Q28" s="50">
        <v>27.55</v>
      </c>
      <c r="R28" s="43"/>
      <c r="S28" s="43"/>
      <c r="T28" s="43"/>
      <c r="U28" s="43"/>
    </row>
    <row r="29" spans="1:21" s="11" customFormat="1" ht="15">
      <c r="A29" s="49" t="s">
        <v>83</v>
      </c>
      <c r="B29" s="50">
        <v>94.53</v>
      </c>
      <c r="C29" s="50">
        <v>144.80000000000001</v>
      </c>
      <c r="D29" s="50">
        <v>153.13999999999999</v>
      </c>
      <c r="E29" s="50">
        <v>12.35</v>
      </c>
      <c r="F29" s="50">
        <v>4.72</v>
      </c>
      <c r="G29" s="50">
        <v>205.30</v>
      </c>
      <c r="H29" s="50">
        <v>67.70</v>
      </c>
      <c r="I29" s="50">
        <v>1.42</v>
      </c>
      <c r="J29" s="50">
        <v>0.15</v>
      </c>
      <c r="K29" s="50">
        <v>67.56</v>
      </c>
      <c r="L29" s="50">
        <v>26.93</v>
      </c>
      <c r="M29" s="50">
        <v>47.44</v>
      </c>
      <c r="N29" s="50">
        <v>4.70</v>
      </c>
      <c r="O29" s="50">
        <v>0</v>
      </c>
      <c r="P29" s="50">
        <v>3.5</v>
      </c>
      <c r="Q29" s="50">
        <v>32.58</v>
      </c>
      <c r="R29" s="43"/>
      <c r="S29" s="43"/>
      <c r="T29" s="43"/>
      <c r="U29" s="43"/>
    </row>
    <row r="30" spans="1:21" s="11" customFormat="1" ht="15">
      <c r="A30" s="49" t="s">
        <v>84</v>
      </c>
      <c r="B30" s="50">
        <v>86.32</v>
      </c>
      <c r="C30" s="50">
        <v>141.80000000000001</v>
      </c>
      <c r="D30" s="50">
        <v>146.10</v>
      </c>
      <c r="E30" s="50">
        <v>5.88</v>
      </c>
      <c r="F30" s="50">
        <v>4.75</v>
      </c>
      <c r="G30" s="50">
        <v>211.07</v>
      </c>
      <c r="H30" s="50">
        <v>70.92</v>
      </c>
      <c r="I30" s="50">
        <v>1.36</v>
      </c>
      <c r="J30" s="50">
        <v>0.37</v>
      </c>
      <c r="K30" s="50">
        <v>47.65</v>
      </c>
      <c r="L30" s="50">
        <v>26.57</v>
      </c>
      <c r="M30" s="50">
        <v>48.48</v>
      </c>
      <c r="N30" s="50">
        <v>4.30</v>
      </c>
      <c r="O30" s="50">
        <v>0</v>
      </c>
      <c r="P30" s="50">
        <v>3</v>
      </c>
      <c r="Q30" s="50">
        <v>35.729999999999997</v>
      </c>
      <c r="R30" s="43"/>
      <c r="S30" s="43"/>
      <c r="T30" s="43"/>
      <c r="U30" s="43"/>
    </row>
    <row r="31" spans="1:21" s="11" customFormat="1" ht="15">
      <c r="A31" s="49" t="s">
        <v>85</v>
      </c>
      <c r="B31" s="50">
        <v>78.849999999999994</v>
      </c>
      <c r="C31" s="50">
        <v>137.31</v>
      </c>
      <c r="D31" s="50">
        <v>137.97</v>
      </c>
      <c r="E31" s="50">
        <v>18.20</v>
      </c>
      <c r="F31" s="50">
        <v>9.24</v>
      </c>
      <c r="G31" s="50">
        <v>211.07</v>
      </c>
      <c r="H31" s="50">
        <v>71.92</v>
      </c>
      <c r="I31" s="50">
        <v>1.35</v>
      </c>
      <c r="J31" s="50">
        <v>1.74</v>
      </c>
      <c r="K31" s="50">
        <v>21.55</v>
      </c>
      <c r="L31" s="50">
        <v>26.87</v>
      </c>
      <c r="M31" s="50">
        <v>44.78</v>
      </c>
      <c r="N31" s="50">
        <v>4.0999999999999996</v>
      </c>
      <c r="O31" s="50">
        <v>0</v>
      </c>
      <c r="P31" s="50">
        <v>2.95</v>
      </c>
      <c r="Q31" s="50">
        <v>35.75</v>
      </c>
      <c r="R31" s="43"/>
      <c r="S31" s="43"/>
      <c r="T31" s="43"/>
      <c r="U31" s="43"/>
    </row>
    <row r="32" spans="1:21" s="11" customFormat="1" ht="15">
      <c r="A32" s="49" t="s">
        <v>86</v>
      </c>
      <c r="B32" s="50">
        <v>53.19</v>
      </c>
      <c r="C32" s="50">
        <v>129.66</v>
      </c>
      <c r="D32" s="50">
        <v>113.17</v>
      </c>
      <c r="E32" s="50">
        <v>31.95</v>
      </c>
      <c r="F32" s="50">
        <v>12.52</v>
      </c>
      <c r="G32" s="50">
        <v>145.81</v>
      </c>
      <c r="H32" s="50">
        <v>71.92</v>
      </c>
      <c r="I32" s="50">
        <v>1.23</v>
      </c>
      <c r="J32" s="50">
        <v>1.1499999999999999</v>
      </c>
      <c r="K32" s="50">
        <v>18.55</v>
      </c>
      <c r="L32" s="50">
        <v>27.01</v>
      </c>
      <c r="M32" s="50">
        <v>38.03</v>
      </c>
      <c r="N32" s="50">
        <v>4.5</v>
      </c>
      <c r="O32" s="50">
        <v>0</v>
      </c>
      <c r="P32" s="50">
        <v>2.4900000000000002</v>
      </c>
      <c r="Q32" s="50">
        <v>33.11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1.55</v>
      </c>
      <c r="C34" s="28">
        <f t="shared" si="0"/>
        <v>63.229999999999997</v>
      </c>
      <c r="D34" s="28">
        <f t="shared" si="0"/>
        <v>34.969999999999999</v>
      </c>
      <c r="E34" s="28">
        <f t="shared" si="0"/>
        <v>3.6499999999999999</v>
      </c>
      <c r="F34" s="28">
        <f t="shared" si="0"/>
        <v>4.2999999999999998</v>
      </c>
      <c r="G34" s="28">
        <f t="shared" si="0"/>
        <v>42.130000000000003</v>
      </c>
      <c r="H34" s="28">
        <f t="shared" si="0"/>
        <v>19.899999999999999</v>
      </c>
      <c r="I34" s="28">
        <f t="shared" si="0"/>
        <v>0.48999999999999999</v>
      </c>
      <c r="J34" s="28">
        <f t="shared" si="0"/>
        <v>0.059999999999999998</v>
      </c>
      <c r="K34" s="28">
        <f t="shared" si="0"/>
        <v>18.550000000000001</v>
      </c>
      <c r="L34" s="28">
        <f t="shared" si="0"/>
        <v>20.550000000000001</v>
      </c>
      <c r="M34" s="28">
        <f t="shared" si="0"/>
        <v>17.649999999999999</v>
      </c>
      <c r="N34" s="28">
        <f t="shared" si="0"/>
        <v>4.0999999999999996</v>
      </c>
      <c r="O34" s="28">
        <f t="shared" si="0"/>
        <v>0</v>
      </c>
      <c r="P34" s="28">
        <f t="shared" si="0"/>
        <v>0.59999999999999998</v>
      </c>
      <c r="Q34" s="28">
        <f t="shared" si="0"/>
        <v>18.390000000000001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113.61</v>
      </c>
      <c r="C35" s="29">
        <f t="shared" si="1"/>
        <v>148.31999999999999</v>
      </c>
      <c r="D35" s="29">
        <f t="shared" si="1"/>
        <v>161.25</v>
      </c>
      <c r="E35" s="29">
        <f t="shared" si="1"/>
        <v>31.949999999999999</v>
      </c>
      <c r="F35" s="29">
        <f t="shared" si="1"/>
        <v>63.329999999999998</v>
      </c>
      <c r="G35" s="29">
        <f t="shared" si="1"/>
        <v>233.38</v>
      </c>
      <c r="H35" s="29">
        <f t="shared" si="1"/>
        <v>136.25</v>
      </c>
      <c r="I35" s="29">
        <f t="shared" si="1"/>
        <v>1.53</v>
      </c>
      <c r="J35" s="29">
        <f t="shared" si="1"/>
        <v>1.74</v>
      </c>
      <c r="K35" s="29">
        <f t="shared" si="1"/>
        <v>359.50999999999999</v>
      </c>
      <c r="L35" s="29">
        <f t="shared" si="1"/>
        <v>37.079999999999998</v>
      </c>
      <c r="M35" s="29">
        <f t="shared" si="1"/>
        <v>70.099999999999994</v>
      </c>
      <c r="N35" s="29">
        <f t="shared" si="1"/>
        <v>497.69999999999999</v>
      </c>
      <c r="O35" s="29">
        <f t="shared" si="1"/>
        <v>0</v>
      </c>
      <c r="P35" s="29">
        <f t="shared" si="1"/>
        <v>3.5</v>
      </c>
      <c r="Q35" s="29">
        <f t="shared" si="1"/>
        <v>37.310000000000002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58.803749999999987</v>
      </c>
      <c r="C36" s="28">
        <f t="shared" si="2"/>
        <v>113.81458333333335</v>
      </c>
      <c r="D36" s="28">
        <f t="shared" si="2"/>
        <v>107.6075</v>
      </c>
      <c r="E36" s="28">
        <f t="shared" si="2"/>
        <v>11.603333333333333</v>
      </c>
      <c r="F36" s="28">
        <f t="shared" si="2"/>
        <v>15.04916666666667</v>
      </c>
      <c r="G36" s="28">
        <f t="shared" si="2"/>
        <v>142.06125000000003</v>
      </c>
      <c r="H36" s="28">
        <f t="shared" si="2"/>
        <v>66.828333333333347</v>
      </c>
      <c r="I36" s="28">
        <f t="shared" si="2"/>
        <v>1.0166666666666668</v>
      </c>
      <c r="J36" s="28">
        <f t="shared" si="2"/>
        <v>0.5033333333333333</v>
      </c>
      <c r="K36" s="28">
        <f t="shared" si="2"/>
        <v>219.60749999999999</v>
      </c>
      <c r="L36" s="28">
        <f t="shared" si="2"/>
        <v>28.636666666666667</v>
      </c>
      <c r="M36" s="28">
        <f t="shared" si="2"/>
        <v>42.307083333333338</v>
      </c>
      <c r="N36" s="28">
        <f t="shared" si="2"/>
        <v>156.38750000000002</v>
      </c>
      <c r="O36" s="28">
        <f t="shared" si="2"/>
        <v>0</v>
      </c>
      <c r="P36" s="28">
        <f t="shared" si="2"/>
        <v>2.0583333333333336</v>
      </c>
      <c r="Q36" s="28">
        <f t="shared" si="2"/>
        <v>31.016250000000003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37.065046913735209</v>
      </c>
      <c r="C37" s="28">
        <f t="shared" si="3" ref="C37:Q37">STDEV(C9:C32)</f>
        <v>26.824678283927835</v>
      </c>
      <c r="D37" s="28">
        <f t="shared" si="3"/>
        <v>41.993996594751543</v>
      </c>
      <c r="E37" s="28">
        <f t="shared" si="3"/>
        <v>8.019350871847239</v>
      </c>
      <c r="F37" s="28">
        <f t="shared" si="3"/>
        <v>15.42167219170495</v>
      </c>
      <c r="G37" s="28">
        <f t="shared" si="3"/>
        <v>60.241524340701154</v>
      </c>
      <c r="H37" s="28">
        <f t="shared" si="3"/>
        <v>30.531005433061331</v>
      </c>
      <c r="I37" s="28">
        <f t="shared" si="3"/>
        <v>0.33830352549495912</v>
      </c>
      <c r="J37" s="28">
        <f t="shared" si="3"/>
        <v>0.4095030569155601</v>
      </c>
      <c r="K37" s="28">
        <f t="shared" si="3"/>
        <v>124.05906402754813</v>
      </c>
      <c r="L37" s="28">
        <f t="shared" si="3"/>
        <v>5.7472334869590158</v>
      </c>
      <c r="M37" s="28">
        <f t="shared" si="3"/>
        <v>17.178744571016558</v>
      </c>
      <c r="N37" s="28">
        <f t="shared" si="3"/>
        <v>196.65675529249924</v>
      </c>
      <c r="O37" s="28">
        <f t="shared" si="3"/>
        <v>0</v>
      </c>
      <c r="P37" s="28">
        <f t="shared" si="3"/>
        <v>0.83560791027260095</v>
      </c>
      <c r="Q37" s="28">
        <f t="shared" si="3"/>
        <v>6.0667696529321677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dcff878-d745-4fb7-bdbc-8f5434c28bd1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13" sqref="I13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3" width="1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02-03-2023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51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49" t="s">
        <v>87</v>
      </c>
      <c r="B9" s="50">
        <v>39.32</v>
      </c>
      <c r="C9" s="50">
        <v>130.41999999999999</v>
      </c>
      <c r="D9" s="50">
        <v>101.97</v>
      </c>
      <c r="E9" s="50">
        <v>10.57</v>
      </c>
      <c r="F9" s="50">
        <v>6.96</v>
      </c>
      <c r="G9" s="50">
        <v>114.24</v>
      </c>
      <c r="H9" s="50">
        <v>60.41</v>
      </c>
      <c r="I9" s="50">
        <v>1.03</v>
      </c>
      <c r="J9" s="50">
        <v>0.81</v>
      </c>
      <c r="K9" s="50">
        <v>17.96</v>
      </c>
      <c r="L9" s="50">
        <v>26.47</v>
      </c>
      <c r="M9" s="50">
        <v>43.24</v>
      </c>
      <c r="N9" s="50">
        <v>4.5999999999999996</v>
      </c>
      <c r="O9" s="50">
        <v>0</v>
      </c>
      <c r="P9" s="50">
        <v>2.36</v>
      </c>
      <c r="Q9" s="50">
        <v>33.049999999999997</v>
      </c>
      <c r="R9" s="43"/>
      <c r="S9" s="43"/>
      <c r="T9" s="43"/>
      <c r="U9" s="43"/>
    </row>
    <row r="10" spans="1:21" s="11" customFormat="1" ht="15">
      <c r="A10" s="49" t="s">
        <v>88</v>
      </c>
      <c r="B10" s="50">
        <v>28.29</v>
      </c>
      <c r="C10" s="50">
        <v>128.05000000000001</v>
      </c>
      <c r="D10" s="50">
        <v>92.31</v>
      </c>
      <c r="E10" s="50">
        <v>10.02</v>
      </c>
      <c r="F10" s="50">
        <v>4.54</v>
      </c>
      <c r="G10" s="50">
        <v>150.80000000000001</v>
      </c>
      <c r="H10" s="50">
        <v>61.53</v>
      </c>
      <c r="I10" s="50">
        <v>0.90</v>
      </c>
      <c r="J10" s="50">
        <v>0.59</v>
      </c>
      <c r="K10" s="50">
        <v>231.07</v>
      </c>
      <c r="L10" s="50">
        <v>25.19</v>
      </c>
      <c r="M10" s="50">
        <v>50.39</v>
      </c>
      <c r="N10" s="50">
        <v>5.0999999999999996</v>
      </c>
      <c r="O10" s="50">
        <v>0</v>
      </c>
      <c r="P10" s="50">
        <v>2.04</v>
      </c>
      <c r="Q10" s="50">
        <v>32.97</v>
      </c>
      <c r="R10" s="43"/>
      <c r="S10" s="43"/>
      <c r="T10" s="43"/>
      <c r="U10" s="43"/>
    </row>
    <row r="11" spans="1:21" s="11" customFormat="1" ht="15">
      <c r="A11" s="49" t="s">
        <v>89</v>
      </c>
      <c r="B11" s="50">
        <v>20.60</v>
      </c>
      <c r="C11" s="50">
        <v>117.39</v>
      </c>
      <c r="D11" s="50">
        <v>80.260000000000005</v>
      </c>
      <c r="E11" s="50">
        <v>5.83</v>
      </c>
      <c r="F11" s="50">
        <v>5.87</v>
      </c>
      <c r="G11" s="50">
        <v>150.80000000000001</v>
      </c>
      <c r="H11" s="50">
        <v>61.53</v>
      </c>
      <c r="I11" s="50">
        <v>0.82</v>
      </c>
      <c r="J11" s="50">
        <v>0.18</v>
      </c>
      <c r="K11" s="50">
        <v>331.80</v>
      </c>
      <c r="L11" s="50">
        <v>23.30</v>
      </c>
      <c r="M11" s="50">
        <v>58.61</v>
      </c>
      <c r="N11" s="50">
        <v>4.80</v>
      </c>
      <c r="O11" s="50">
        <v>0</v>
      </c>
      <c r="P11" s="50">
        <v>1.89</v>
      </c>
      <c r="Q11" s="50">
        <v>31.16</v>
      </c>
      <c r="R11" s="43"/>
      <c r="S11" s="43"/>
      <c r="T11" s="43"/>
      <c r="U11" s="43"/>
    </row>
    <row r="12" spans="1:21" s="11" customFormat="1" ht="15">
      <c r="A12" s="49" t="s">
        <v>90</v>
      </c>
      <c r="B12" s="50">
        <v>21.32</v>
      </c>
      <c r="C12" s="50">
        <v>109.81</v>
      </c>
      <c r="D12" s="50">
        <v>76.290000000000006</v>
      </c>
      <c r="E12" s="50">
        <v>4.82</v>
      </c>
      <c r="F12" s="50">
        <v>6.33</v>
      </c>
      <c r="G12" s="50">
        <v>104.57</v>
      </c>
      <c r="H12" s="50">
        <v>53.72</v>
      </c>
      <c r="I12" s="50">
        <v>0.77</v>
      </c>
      <c r="J12" s="50">
        <v>0.20</v>
      </c>
      <c r="K12" s="50">
        <v>358.70</v>
      </c>
      <c r="L12" s="50">
        <v>22.27</v>
      </c>
      <c r="M12" s="50">
        <v>59.39</v>
      </c>
      <c r="N12" s="50">
        <v>4.70</v>
      </c>
      <c r="O12" s="50">
        <v>0</v>
      </c>
      <c r="P12" s="50">
        <v>1.76</v>
      </c>
      <c r="Q12" s="50">
        <v>33.090000000000003</v>
      </c>
      <c r="R12" s="43"/>
      <c r="S12" s="43"/>
      <c r="T12" s="43"/>
      <c r="U12" s="43"/>
    </row>
    <row r="13" spans="1:21" s="11" customFormat="1" ht="15">
      <c r="A13" s="49" t="s">
        <v>91</v>
      </c>
      <c r="B13" s="50">
        <v>21.23</v>
      </c>
      <c r="C13" s="50">
        <v>109.48</v>
      </c>
      <c r="D13" s="50">
        <v>76.400000000000006</v>
      </c>
      <c r="E13" s="50">
        <v>4.80</v>
      </c>
      <c r="F13" s="50">
        <v>4.8499999999999996</v>
      </c>
      <c r="G13" s="50">
        <v>104.57</v>
      </c>
      <c r="H13" s="50">
        <v>48.17</v>
      </c>
      <c r="I13" s="50">
        <v>0.76</v>
      </c>
      <c r="J13" s="50">
        <v>0.16</v>
      </c>
      <c r="K13" s="50">
        <v>310.5</v>
      </c>
      <c r="L13" s="50">
        <v>22.21</v>
      </c>
      <c r="M13" s="50">
        <v>58</v>
      </c>
      <c r="N13" s="50">
        <v>4.5999999999999996</v>
      </c>
      <c r="O13" s="50">
        <v>0</v>
      </c>
      <c r="P13" s="50">
        <v>1.66</v>
      </c>
      <c r="Q13" s="50">
        <v>33.61</v>
      </c>
      <c r="R13" s="43"/>
      <c r="S13" s="43"/>
      <c r="T13" s="43"/>
      <c r="U13" s="43"/>
    </row>
    <row r="14" spans="1:21" s="11" customFormat="1" ht="15">
      <c r="A14" s="49" t="s">
        <v>92</v>
      </c>
      <c r="B14" s="50">
        <v>29.53</v>
      </c>
      <c r="C14" s="50">
        <v>108.39</v>
      </c>
      <c r="D14" s="50">
        <v>82.39</v>
      </c>
      <c r="E14" s="50">
        <v>4.71</v>
      </c>
      <c r="F14" s="50">
        <v>4.30</v>
      </c>
      <c r="G14" s="50">
        <v>102.92</v>
      </c>
      <c r="H14" s="50">
        <v>46.79</v>
      </c>
      <c r="I14" s="50">
        <v>0.73</v>
      </c>
      <c r="J14" s="50">
        <v>0.06</v>
      </c>
      <c r="K14" s="50">
        <v>150.49</v>
      </c>
      <c r="L14" s="50">
        <v>22.03</v>
      </c>
      <c r="M14" s="50">
        <v>62.15</v>
      </c>
      <c r="N14" s="50">
        <v>4.5999999999999996</v>
      </c>
      <c r="O14" s="50">
        <v>0</v>
      </c>
      <c r="P14" s="50">
        <v>1.5</v>
      </c>
      <c r="Q14" s="50">
        <v>33.57</v>
      </c>
      <c r="R14" s="43"/>
      <c r="S14" s="43"/>
      <c r="T14" s="43"/>
      <c r="U14" s="43"/>
    </row>
    <row r="15" spans="1:21" s="11" customFormat="1" ht="15">
      <c r="A15" s="49" t="s">
        <v>93</v>
      </c>
      <c r="B15" s="50">
        <v>50.39</v>
      </c>
      <c r="C15" s="50">
        <v>109.41</v>
      </c>
      <c r="D15" s="50">
        <v>99.71</v>
      </c>
      <c r="E15" s="50">
        <v>5.39</v>
      </c>
      <c r="F15" s="50">
        <v>4.41</v>
      </c>
      <c r="G15" s="50">
        <v>135.68</v>
      </c>
      <c r="H15" s="50">
        <v>64.819999999999993</v>
      </c>
      <c r="I15" s="50">
        <v>0.75</v>
      </c>
      <c r="J15" s="50">
        <v>0.15</v>
      </c>
      <c r="K15" s="50">
        <v>280.33999999999997</v>
      </c>
      <c r="L15" s="50">
        <v>21.87</v>
      </c>
      <c r="M15" s="50">
        <v>64.930000000000007</v>
      </c>
      <c r="N15" s="50">
        <v>33.40</v>
      </c>
      <c r="O15" s="50">
        <v>0</v>
      </c>
      <c r="P15" s="50">
        <v>1.63</v>
      </c>
      <c r="Q15" s="50">
        <v>32.880000000000003</v>
      </c>
      <c r="R15" s="43"/>
      <c r="S15" s="43"/>
      <c r="T15" s="43"/>
      <c r="U15" s="43"/>
    </row>
    <row r="16" spans="1:21" s="11" customFormat="1" ht="15">
      <c r="A16" s="49" t="s">
        <v>94</v>
      </c>
      <c r="B16" s="50">
        <v>65.62</v>
      </c>
      <c r="C16" s="50">
        <v>119.09</v>
      </c>
      <c r="D16" s="50">
        <v>117.30</v>
      </c>
      <c r="E16" s="50">
        <v>7</v>
      </c>
      <c r="F16" s="50">
        <v>4.37</v>
      </c>
      <c r="G16" s="50">
        <v>135.68</v>
      </c>
      <c r="H16" s="50">
        <v>134.31</v>
      </c>
      <c r="I16" s="50">
        <v>0.81</v>
      </c>
      <c r="J16" s="50">
        <v>0.15</v>
      </c>
      <c r="K16" s="50">
        <v>269.20999999999998</v>
      </c>
      <c r="L16" s="50">
        <v>27.21</v>
      </c>
      <c r="M16" s="50">
        <v>60.27</v>
      </c>
      <c r="N16" s="50">
        <v>143.10</v>
      </c>
      <c r="O16" s="50">
        <v>0</v>
      </c>
      <c r="P16" s="50">
        <v>1.84</v>
      </c>
      <c r="Q16" s="50">
        <v>35.979999999999997</v>
      </c>
      <c r="R16" s="43"/>
      <c r="S16" s="43"/>
      <c r="T16" s="43"/>
      <c r="U16" s="43"/>
    </row>
    <row r="17" spans="1:21" s="11" customFormat="1" ht="15">
      <c r="A17" s="49" t="s">
        <v>95</v>
      </c>
      <c r="B17" s="50">
        <v>70.58</v>
      </c>
      <c r="C17" s="50">
        <v>124.12</v>
      </c>
      <c r="D17" s="50">
        <v>123.07</v>
      </c>
      <c r="E17" s="50">
        <v>4.5599999999999996</v>
      </c>
      <c r="F17" s="50">
        <v>4.32</v>
      </c>
      <c r="G17" s="50">
        <v>196.53</v>
      </c>
      <c r="H17" s="50">
        <v>134.31</v>
      </c>
      <c r="I17" s="50">
        <v>0.88</v>
      </c>
      <c r="J17" s="50">
        <v>1.69</v>
      </c>
      <c r="K17" s="50">
        <v>217.39</v>
      </c>
      <c r="L17" s="50">
        <v>27.04</v>
      </c>
      <c r="M17" s="50">
        <v>56.25</v>
      </c>
      <c r="N17" s="50">
        <v>265.30</v>
      </c>
      <c r="O17" s="50">
        <v>0</v>
      </c>
      <c r="P17" s="50">
        <v>1.93</v>
      </c>
      <c r="Q17" s="50">
        <v>36.64</v>
      </c>
      <c r="R17" s="43"/>
      <c r="S17" s="43"/>
      <c r="T17" s="43"/>
      <c r="U17" s="43"/>
    </row>
    <row r="18" spans="1:21" s="11" customFormat="1" ht="15">
      <c r="A18" s="49" t="s">
        <v>96</v>
      </c>
      <c r="B18" s="50">
        <v>50.21</v>
      </c>
      <c r="C18" s="50">
        <v>120.02</v>
      </c>
      <c r="D18" s="50">
        <v>104.93</v>
      </c>
      <c r="E18" s="50">
        <v>4.3600000000000003</v>
      </c>
      <c r="F18" s="50">
        <v>5.71</v>
      </c>
      <c r="G18" s="50">
        <v>196.53</v>
      </c>
      <c r="H18" s="50">
        <v>95.52</v>
      </c>
      <c r="I18" s="50">
        <v>0.84</v>
      </c>
      <c r="J18" s="50">
        <v>0.68</v>
      </c>
      <c r="K18" s="50">
        <v>240.32</v>
      </c>
      <c r="L18" s="50">
        <v>28.56</v>
      </c>
      <c r="M18" s="50">
        <v>48.55</v>
      </c>
      <c r="N18" s="50">
        <v>362.70</v>
      </c>
      <c r="O18" s="50">
        <v>0</v>
      </c>
      <c r="P18" s="50">
        <v>1.80</v>
      </c>
      <c r="Q18" s="50">
        <v>34.409999999999997</v>
      </c>
      <c r="R18" s="43"/>
      <c r="S18" s="43"/>
      <c r="T18" s="43"/>
      <c r="U18" s="43"/>
    </row>
    <row r="19" spans="1:21" s="11" customFormat="1" ht="15">
      <c r="A19" s="49" t="s">
        <v>97</v>
      </c>
      <c r="B19" s="50">
        <v>32.76</v>
      </c>
      <c r="C19" s="50">
        <v>121.24</v>
      </c>
      <c r="D19" s="50">
        <v>88.85</v>
      </c>
      <c r="E19" s="50">
        <v>7.35</v>
      </c>
      <c r="F19" s="50">
        <v>7.99</v>
      </c>
      <c r="G19" s="50">
        <v>89.69</v>
      </c>
      <c r="H19" s="50">
        <v>55.26</v>
      </c>
      <c r="I19" s="50">
        <v>0.79</v>
      </c>
      <c r="J19" s="50">
        <v>0.47</v>
      </c>
      <c r="K19" s="50">
        <v>354.29</v>
      </c>
      <c r="L19" s="50">
        <v>33.31</v>
      </c>
      <c r="M19" s="50">
        <v>37.26</v>
      </c>
      <c r="N19" s="50">
        <v>393.90</v>
      </c>
      <c r="O19" s="50">
        <v>0</v>
      </c>
      <c r="P19" s="50">
        <v>1.60</v>
      </c>
      <c r="Q19" s="50">
        <v>32.64</v>
      </c>
      <c r="R19" s="43"/>
      <c r="S19" s="43"/>
      <c r="T19" s="43"/>
      <c r="U19" s="43"/>
    </row>
    <row r="20" spans="1:21" s="11" customFormat="1" ht="15">
      <c r="A20" s="49" t="s">
        <v>98</v>
      </c>
      <c r="B20" s="50">
        <v>23.07</v>
      </c>
      <c r="C20" s="50">
        <v>137.72</v>
      </c>
      <c r="D20" s="50">
        <v>88.28</v>
      </c>
      <c r="E20" s="50">
        <v>5.93</v>
      </c>
      <c r="F20" s="50">
        <v>6.03</v>
      </c>
      <c r="G20" s="50">
        <v>157.25</v>
      </c>
      <c r="H20" s="50">
        <v>70.33</v>
      </c>
      <c r="I20" s="50">
        <v>0.76</v>
      </c>
      <c r="J20" s="50">
        <v>0.65</v>
      </c>
      <c r="K20" s="50">
        <v>359.78</v>
      </c>
      <c r="L20" s="50">
        <v>34.92</v>
      </c>
      <c r="M20" s="50">
        <v>30.96</v>
      </c>
      <c r="N20" s="50">
        <v>438.90</v>
      </c>
      <c r="O20" s="50">
        <v>0</v>
      </c>
      <c r="P20" s="50">
        <v>1.64</v>
      </c>
      <c r="Q20" s="50">
        <v>34.380000000000003</v>
      </c>
      <c r="R20" s="43"/>
      <c r="S20" s="43"/>
      <c r="T20" s="43"/>
      <c r="U20" s="43"/>
    </row>
    <row r="21" spans="1:21" s="11" customFormat="1" ht="15">
      <c r="A21" s="49" t="s">
        <v>99</v>
      </c>
      <c r="B21" s="50">
        <v>7.52</v>
      </c>
      <c r="C21" s="50">
        <v>140.77000000000001</v>
      </c>
      <c r="D21" s="50">
        <v>82.68</v>
      </c>
      <c r="E21" s="50">
        <v>11.58</v>
      </c>
      <c r="F21" s="50">
        <v>18.04</v>
      </c>
      <c r="G21" s="50">
        <v>157.25</v>
      </c>
      <c r="H21" s="50">
        <v>70.33</v>
      </c>
      <c r="I21" s="50">
        <v>0.73</v>
      </c>
      <c r="J21" s="50">
        <v>0.84</v>
      </c>
      <c r="K21" s="50">
        <v>357.91</v>
      </c>
      <c r="L21" s="50">
        <v>37.270000000000003</v>
      </c>
      <c r="M21" s="50">
        <v>23.80</v>
      </c>
      <c r="N21" s="50">
        <v>446</v>
      </c>
      <c r="O21" s="50">
        <v>0</v>
      </c>
      <c r="P21" s="50">
        <v>1.56</v>
      </c>
      <c r="Q21" s="50">
        <v>33.130000000000003</v>
      </c>
      <c r="R21" s="43"/>
      <c r="S21" s="43"/>
      <c r="T21" s="43"/>
      <c r="U21" s="43"/>
    </row>
    <row r="22" spans="1:21" s="11" customFormat="1" ht="15">
      <c r="A22" s="49" t="s">
        <v>100</v>
      </c>
      <c r="B22" s="50">
        <v>6.53</v>
      </c>
      <c r="C22" s="50">
        <v>122.81</v>
      </c>
      <c r="D22" s="50">
        <v>70.52</v>
      </c>
      <c r="E22" s="50">
        <v>11.66</v>
      </c>
      <c r="F22" s="50">
        <v>12.28</v>
      </c>
      <c r="G22" s="50">
        <v>85.85</v>
      </c>
      <c r="H22" s="50">
        <v>50.48</v>
      </c>
      <c r="I22" s="50">
        <v>0.66</v>
      </c>
      <c r="J22" s="50">
        <v>0.94</v>
      </c>
      <c r="K22" s="50">
        <v>355.95</v>
      </c>
      <c r="L22" s="50">
        <v>37.96</v>
      </c>
      <c r="M22" s="50">
        <v>24.69</v>
      </c>
      <c r="N22" s="50">
        <v>385.40</v>
      </c>
      <c r="O22" s="50">
        <v>0</v>
      </c>
      <c r="P22" s="50">
        <v>1.38</v>
      </c>
      <c r="Q22" s="50">
        <v>30.40</v>
      </c>
      <c r="R22" s="43"/>
      <c r="S22" s="43"/>
      <c r="T22" s="43"/>
      <c r="U22" s="43"/>
    </row>
    <row r="23" spans="1:21" s="11" customFormat="1" ht="15">
      <c r="A23" s="49" t="s">
        <v>101</v>
      </c>
      <c r="B23" s="50">
        <v>5.59</v>
      </c>
      <c r="C23" s="50">
        <v>116.99</v>
      </c>
      <c r="D23" s="50">
        <v>68.010000000000005</v>
      </c>
      <c r="E23" s="50">
        <v>17.71</v>
      </c>
      <c r="F23" s="50">
        <v>27.55</v>
      </c>
      <c r="G23" s="50">
        <v>85.85</v>
      </c>
      <c r="H23" s="50">
        <v>48.35</v>
      </c>
      <c r="I23" s="50">
        <v>0.67</v>
      </c>
      <c r="J23" s="50">
        <v>0.97</v>
      </c>
      <c r="K23" s="50">
        <v>14.92</v>
      </c>
      <c r="L23" s="50">
        <v>37.729999999999997</v>
      </c>
      <c r="M23" s="50">
        <v>21.87</v>
      </c>
      <c r="N23" s="50">
        <v>362.30</v>
      </c>
      <c r="O23" s="50">
        <v>0</v>
      </c>
      <c r="P23" s="50">
        <v>1.25</v>
      </c>
      <c r="Q23" s="50">
        <v>32.94</v>
      </c>
      <c r="R23" s="43"/>
      <c r="S23" s="43"/>
      <c r="T23" s="43"/>
      <c r="U23" s="43"/>
    </row>
    <row r="24" spans="1:21" s="11" customFormat="1" ht="15">
      <c r="A24" s="49" t="s">
        <v>102</v>
      </c>
      <c r="B24" s="50">
        <v>4.24</v>
      </c>
      <c r="C24" s="50">
        <v>112.95</v>
      </c>
      <c r="D24" s="50">
        <v>64.61</v>
      </c>
      <c r="E24" s="50">
        <v>12.17</v>
      </c>
      <c r="F24" s="50">
        <v>22.29</v>
      </c>
      <c r="G24" s="50">
        <v>76.33</v>
      </c>
      <c r="H24" s="50">
        <v>38.07</v>
      </c>
      <c r="I24" s="50">
        <v>0.65</v>
      </c>
      <c r="J24" s="50">
        <v>1.22</v>
      </c>
      <c r="K24" s="50">
        <v>15.42</v>
      </c>
      <c r="L24" s="50">
        <v>37.19</v>
      </c>
      <c r="M24" s="50">
        <v>21.51</v>
      </c>
      <c r="N24" s="50">
        <v>289.20</v>
      </c>
      <c r="O24" s="50">
        <v>0</v>
      </c>
      <c r="P24" s="50">
        <v>1.19</v>
      </c>
      <c r="Q24" s="50">
        <v>32.97</v>
      </c>
      <c r="R24" s="43"/>
      <c r="S24" s="43"/>
      <c r="T24" s="43"/>
      <c r="U24" s="43"/>
    </row>
    <row r="25" spans="1:21" s="11" customFormat="1" ht="15">
      <c r="A25" s="49" t="s">
        <v>103</v>
      </c>
      <c r="B25" s="50">
        <v>5.79</v>
      </c>
      <c r="C25" s="50">
        <v>109.38</v>
      </c>
      <c r="D25" s="50">
        <v>62.96</v>
      </c>
      <c r="E25" s="50">
        <v>15.39</v>
      </c>
      <c r="F25" s="50">
        <v>23.45</v>
      </c>
      <c r="G25" s="50">
        <v>59.60</v>
      </c>
      <c r="H25" s="50">
        <v>27.31</v>
      </c>
      <c r="I25" s="50">
        <v>0.63</v>
      </c>
      <c r="J25" s="50">
        <v>1.23</v>
      </c>
      <c r="K25" s="50">
        <v>349.52</v>
      </c>
      <c r="L25" s="50">
        <v>35.40</v>
      </c>
      <c r="M25" s="50">
        <v>28.20</v>
      </c>
      <c r="N25" s="50">
        <v>138.5</v>
      </c>
      <c r="O25" s="50">
        <v>0</v>
      </c>
      <c r="P25" s="50">
        <v>1.0900000000000001</v>
      </c>
      <c r="Q25" s="50">
        <v>31.47</v>
      </c>
      <c r="R25" s="43"/>
      <c r="S25" s="43"/>
      <c r="T25" s="43"/>
      <c r="U25" s="43"/>
    </row>
    <row r="26" spans="1:21" s="11" customFormat="1" ht="15">
      <c r="A26" s="49" t="s">
        <v>104</v>
      </c>
      <c r="B26" s="50">
        <v>12.46</v>
      </c>
      <c r="C26" s="50">
        <v>110.55</v>
      </c>
      <c r="D26" s="50">
        <v>69.959999999999994</v>
      </c>
      <c r="E26" s="50">
        <v>29.69</v>
      </c>
      <c r="F26" s="50">
        <v>25.70</v>
      </c>
      <c r="G26" s="50">
        <v>72.349999999999994</v>
      </c>
      <c r="H26" s="50">
        <v>29.73</v>
      </c>
      <c r="I26" s="50">
        <v>0.61</v>
      </c>
      <c r="J26" s="50">
        <v>1</v>
      </c>
      <c r="K26" s="50">
        <v>15.18</v>
      </c>
      <c r="L26" s="50">
        <v>32.380000000000003</v>
      </c>
      <c r="M26" s="50">
        <v>31.5</v>
      </c>
      <c r="N26" s="50">
        <v>43.10</v>
      </c>
      <c r="O26" s="50">
        <v>0</v>
      </c>
      <c r="P26" s="50">
        <v>1.38</v>
      </c>
      <c r="Q26" s="50">
        <v>30.35</v>
      </c>
      <c r="R26" s="43"/>
      <c r="S26" s="43"/>
      <c r="T26" s="43"/>
      <c r="U26" s="43"/>
    </row>
    <row r="27" spans="1:21" s="11" customFormat="1" ht="15">
      <c r="A27" s="49" t="s">
        <v>105</v>
      </c>
      <c r="B27" s="50">
        <v>27.63</v>
      </c>
      <c r="C27" s="50">
        <v>142.72999999999999</v>
      </c>
      <c r="D27" s="50">
        <v>97.01</v>
      </c>
      <c r="E27" s="50">
        <v>18.45</v>
      </c>
      <c r="F27" s="50">
        <v>8.17</v>
      </c>
      <c r="G27" s="50">
        <v>103.79</v>
      </c>
      <c r="H27" s="50">
        <v>46.42</v>
      </c>
      <c r="I27" s="50">
        <v>0.79</v>
      </c>
      <c r="J27" s="50">
        <v>0.28000000000000003</v>
      </c>
      <c r="K27" s="50">
        <v>320.41000000000003</v>
      </c>
      <c r="L27" s="50">
        <v>29.91</v>
      </c>
      <c r="M27" s="50">
        <v>36.68</v>
      </c>
      <c r="N27" s="50">
        <v>5.70</v>
      </c>
      <c r="O27" s="50">
        <v>0</v>
      </c>
      <c r="P27" s="50">
        <v>1.71</v>
      </c>
      <c r="Q27" s="50">
        <v>33.58</v>
      </c>
      <c r="R27" s="43"/>
      <c r="S27" s="43"/>
      <c r="T27" s="43"/>
      <c r="U27" s="43"/>
    </row>
    <row r="28" spans="1:21" s="11" customFormat="1" ht="15">
      <c r="A28" s="49" t="s">
        <v>106</v>
      </c>
      <c r="B28" s="50">
        <v>47.87</v>
      </c>
      <c r="C28" s="50">
        <v>153.13</v>
      </c>
      <c r="D28" s="50">
        <v>118.12</v>
      </c>
      <c r="E28" s="50">
        <v>15.93</v>
      </c>
      <c r="F28" s="50">
        <v>6.43</v>
      </c>
      <c r="G28" s="50">
        <v>140.56</v>
      </c>
      <c r="H28" s="50">
        <v>53.08</v>
      </c>
      <c r="I28" s="50">
        <v>1.03</v>
      </c>
      <c r="J28" s="50">
        <v>0.27</v>
      </c>
      <c r="K28" s="50">
        <v>116.22</v>
      </c>
      <c r="L28" s="50">
        <v>28.24</v>
      </c>
      <c r="M28" s="50">
        <v>40.630000000000003</v>
      </c>
      <c r="N28" s="50">
        <v>4.4000000000000004</v>
      </c>
      <c r="O28" s="50">
        <v>0</v>
      </c>
      <c r="P28" s="50">
        <v>2.56</v>
      </c>
      <c r="Q28" s="50">
        <v>33.5</v>
      </c>
      <c r="R28" s="43"/>
      <c r="S28" s="43"/>
      <c r="T28" s="43"/>
      <c r="U28" s="43"/>
    </row>
    <row r="29" spans="1:21" s="11" customFormat="1" ht="15">
      <c r="A29" s="49" t="s">
        <v>107</v>
      </c>
      <c r="B29" s="50">
        <v>119.66</v>
      </c>
      <c r="C29" s="50">
        <v>159.53</v>
      </c>
      <c r="D29" s="50">
        <v>182.96</v>
      </c>
      <c r="E29" s="50">
        <v>19.440000000000001</v>
      </c>
      <c r="F29" s="50">
        <v>6.85</v>
      </c>
      <c r="G29" s="50">
        <v>149.69</v>
      </c>
      <c r="H29" s="50">
        <v>62.87</v>
      </c>
      <c r="I29" s="50">
        <v>1.37</v>
      </c>
      <c r="J29" s="50">
        <v>0.33</v>
      </c>
      <c r="K29" s="50">
        <v>89.31</v>
      </c>
      <c r="L29" s="50">
        <v>26.88</v>
      </c>
      <c r="M29" s="50">
        <v>46.10</v>
      </c>
      <c r="N29" s="50">
        <v>4.5</v>
      </c>
      <c r="O29" s="50">
        <v>0</v>
      </c>
      <c r="P29" s="50">
        <v>3.58</v>
      </c>
      <c r="Q29" s="50">
        <v>32.68</v>
      </c>
      <c r="R29" s="43"/>
      <c r="S29" s="43"/>
      <c r="T29" s="43"/>
      <c r="U29" s="43"/>
    </row>
    <row r="30" spans="1:21" s="11" customFormat="1" ht="15">
      <c r="A30" s="49" t="s">
        <v>108</v>
      </c>
      <c r="B30" s="50">
        <v>63.67</v>
      </c>
      <c r="C30" s="50">
        <v>150.10</v>
      </c>
      <c r="D30" s="50">
        <v>129.43</v>
      </c>
      <c r="E30" s="50">
        <v>20.20</v>
      </c>
      <c r="F30" s="50">
        <v>5.60</v>
      </c>
      <c r="G30" s="50">
        <v>159.21</v>
      </c>
      <c r="H30" s="50">
        <v>62.87</v>
      </c>
      <c r="I30" s="50">
        <v>1.51</v>
      </c>
      <c r="J30" s="50">
        <v>0.23</v>
      </c>
      <c r="K30" s="50">
        <v>255.63</v>
      </c>
      <c r="L30" s="50">
        <v>26.64</v>
      </c>
      <c r="M30" s="50">
        <v>44.38</v>
      </c>
      <c r="N30" s="50">
        <v>4.5</v>
      </c>
      <c r="O30" s="50">
        <v>0</v>
      </c>
      <c r="P30" s="50">
        <v>3</v>
      </c>
      <c r="Q30" s="50">
        <v>36.659999999999997</v>
      </c>
      <c r="R30" s="43"/>
      <c r="S30" s="43"/>
      <c r="T30" s="43"/>
      <c r="U30" s="43"/>
    </row>
    <row r="31" spans="1:21" s="11" customFormat="1" ht="15">
      <c r="A31" s="49" t="s">
        <v>109</v>
      </c>
      <c r="B31" s="50">
        <v>86.56</v>
      </c>
      <c r="C31" s="50">
        <v>144.83000000000001</v>
      </c>
      <c r="D31" s="50">
        <v>148.30000000000001</v>
      </c>
      <c r="E31" s="50">
        <v>6.96</v>
      </c>
      <c r="F31" s="50">
        <v>4.4400000000000004</v>
      </c>
      <c r="G31" s="50">
        <v>165.58</v>
      </c>
      <c r="H31" s="50">
        <v>67.319999999999993</v>
      </c>
      <c r="I31" s="50">
        <v>1.35</v>
      </c>
      <c r="J31" s="50">
        <v>0.17</v>
      </c>
      <c r="K31" s="50">
        <v>343.82</v>
      </c>
      <c r="L31" s="50">
        <v>25.66</v>
      </c>
      <c r="M31" s="50">
        <v>55.65</v>
      </c>
      <c r="N31" s="50">
        <v>4.70</v>
      </c>
      <c r="O31" s="50">
        <v>0</v>
      </c>
      <c r="P31" s="50">
        <v>3.01</v>
      </c>
      <c r="Q31" s="50">
        <v>38.01</v>
      </c>
      <c r="R31" s="43"/>
      <c r="S31" s="43"/>
      <c r="T31" s="43"/>
      <c r="U31" s="43"/>
    </row>
    <row r="32" spans="1:21" s="11" customFormat="1" ht="15">
      <c r="A32" s="49" t="s">
        <v>110</v>
      </c>
      <c r="B32" s="50">
        <v>127.69</v>
      </c>
      <c r="C32" s="50">
        <v>149.49</v>
      </c>
      <c r="D32" s="50">
        <v>181.69</v>
      </c>
      <c r="E32" s="50">
        <v>11.31</v>
      </c>
      <c r="F32" s="50">
        <v>4.32</v>
      </c>
      <c r="G32" s="50">
        <v>196.63</v>
      </c>
      <c r="H32" s="50">
        <v>76.91</v>
      </c>
      <c r="I32" s="50">
        <v>1.47</v>
      </c>
      <c r="J32" s="50">
        <v>0.16</v>
      </c>
      <c r="K32" s="50">
        <v>70.38</v>
      </c>
      <c r="L32" s="50">
        <v>24.20</v>
      </c>
      <c r="M32" s="50">
        <v>63.52</v>
      </c>
      <c r="N32" s="50">
        <v>4.5999999999999996</v>
      </c>
      <c r="O32" s="50">
        <v>0</v>
      </c>
      <c r="P32" s="50">
        <v>3.5</v>
      </c>
      <c r="Q32" s="50">
        <v>38.26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4.2400000000000002</v>
      </c>
      <c r="C34" s="28">
        <f t="shared" si="0"/>
        <v>108.39</v>
      </c>
      <c r="D34" s="28">
        <f t="shared" si="0"/>
        <v>62.960000000000001</v>
      </c>
      <c r="E34" s="28">
        <f t="shared" si="0"/>
        <v>4.3600000000000003</v>
      </c>
      <c r="F34" s="28">
        <f t="shared" si="0"/>
        <v>4.2999999999999998</v>
      </c>
      <c r="G34" s="28">
        <f t="shared" si="0"/>
        <v>59.600000000000001</v>
      </c>
      <c r="H34" s="28">
        <f t="shared" si="0"/>
        <v>27.309999999999999</v>
      </c>
      <c r="I34" s="28">
        <f t="shared" si="0"/>
        <v>0.60999999999999999</v>
      </c>
      <c r="J34" s="28">
        <f t="shared" si="0"/>
        <v>0.059999999999999998</v>
      </c>
      <c r="K34" s="28">
        <f t="shared" si="0"/>
        <v>14.92</v>
      </c>
      <c r="L34" s="28">
        <f t="shared" si="0"/>
        <v>21.870000000000001</v>
      </c>
      <c r="M34" s="28">
        <f t="shared" si="0"/>
        <v>21.510000000000002</v>
      </c>
      <c r="N34" s="28">
        <f t="shared" si="0"/>
        <v>4.4000000000000004</v>
      </c>
      <c r="O34" s="28">
        <f t="shared" si="0"/>
        <v>0</v>
      </c>
      <c r="P34" s="28">
        <f t="shared" si="0"/>
        <v>1.0900000000000001</v>
      </c>
      <c r="Q34" s="28">
        <f t="shared" si="0"/>
        <v>30.350000000000001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127.69</v>
      </c>
      <c r="C35" s="29">
        <f t="shared" si="1"/>
        <v>159.53</v>
      </c>
      <c r="D35" s="29">
        <f t="shared" si="1"/>
        <v>182.96000000000001</v>
      </c>
      <c r="E35" s="29">
        <f t="shared" si="1"/>
        <v>29.690000000000001</v>
      </c>
      <c r="F35" s="29">
        <f t="shared" si="1"/>
        <v>27.550000000000001</v>
      </c>
      <c r="G35" s="29">
        <f t="shared" si="1"/>
        <v>196.63</v>
      </c>
      <c r="H35" s="29">
        <f t="shared" si="1"/>
        <v>134.31</v>
      </c>
      <c r="I35" s="29">
        <f t="shared" si="1"/>
        <v>1.51</v>
      </c>
      <c r="J35" s="29">
        <f t="shared" si="1"/>
        <v>1.6899999999999999</v>
      </c>
      <c r="K35" s="29">
        <f t="shared" si="1"/>
        <v>359.77999999999997</v>
      </c>
      <c r="L35" s="29">
        <f t="shared" si="1"/>
        <v>37.960000000000001</v>
      </c>
      <c r="M35" s="29">
        <f t="shared" si="1"/>
        <v>64.930000000000007</v>
      </c>
      <c r="N35" s="29">
        <f t="shared" si="1"/>
        <v>446</v>
      </c>
      <c r="O35" s="29">
        <f t="shared" si="1"/>
        <v>0</v>
      </c>
      <c r="P35" s="29">
        <f t="shared" si="1"/>
        <v>3.5800000000000001</v>
      </c>
      <c r="Q35" s="29">
        <f t="shared" si="1"/>
        <v>38.259999999999998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40.338749999999997</v>
      </c>
      <c r="C36" s="28">
        <f t="shared" si="2"/>
        <v>127.01666666666669</v>
      </c>
      <c r="D36" s="28">
        <f t="shared" si="2"/>
        <v>100.33375000000001</v>
      </c>
      <c r="E36" s="28">
        <f t="shared" si="2"/>
        <v>11.076249999999996</v>
      </c>
      <c r="F36" s="28">
        <f t="shared" si="2"/>
        <v>9.6166666666666654</v>
      </c>
      <c r="G36" s="28">
        <f t="shared" si="2"/>
        <v>128.83124999999998</v>
      </c>
      <c r="H36" s="28">
        <f t="shared" si="2"/>
        <v>63.351666666666652</v>
      </c>
      <c r="I36" s="28">
        <f t="shared" si="2"/>
        <v>0.8879166666666668</v>
      </c>
      <c r="J36" s="28">
        <f t="shared" si="2"/>
        <v>0.55958333333333343</v>
      </c>
      <c r="K36" s="28">
        <f t="shared" si="2"/>
        <v>226.10500000000002</v>
      </c>
      <c r="L36" s="28">
        <f t="shared" si="2"/>
        <v>28.91</v>
      </c>
      <c r="M36" s="28">
        <f t="shared" si="2"/>
        <v>44.522083333333335</v>
      </c>
      <c r="N36" s="28">
        <f t="shared" si="2"/>
        <v>139.94166666666663</v>
      </c>
      <c r="O36" s="28">
        <f t="shared" si="2"/>
        <v>0</v>
      </c>
      <c r="P36" s="28">
        <f t="shared" si="2"/>
        <v>1.9524999999999999</v>
      </c>
      <c r="Q36" s="28">
        <f t="shared" si="2"/>
        <v>33.680416666666666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34.26871361974613</v>
      </c>
      <c r="C37" s="28">
        <f t="shared" si="3" ref="C37:Q37">STDEV(C9:C32)</f>
        <v>16.235465919497948</v>
      </c>
      <c r="D37" s="28">
        <f t="shared" si="3"/>
        <v>33.497545375678648</v>
      </c>
      <c r="E37" s="28">
        <f t="shared" si="3"/>
        <v>6.5403289456564329</v>
      </c>
      <c r="F37" s="28">
        <f t="shared" si="3"/>
        <v>7.5851936243474132</v>
      </c>
      <c r="G37" s="28">
        <f t="shared" si="3"/>
        <v>40.613815202786469</v>
      </c>
      <c r="H37" s="28">
        <f t="shared" si="3"/>
        <v>26.321067387281236</v>
      </c>
      <c r="I37" s="28">
        <f t="shared" si="3"/>
        <v>0.26863550813673948</v>
      </c>
      <c r="J37" s="28">
        <f t="shared" si="3"/>
        <v>0.44215361452845742</v>
      </c>
      <c r="K37" s="28">
        <f t="shared" si="3"/>
        <v>129.5342679522027</v>
      </c>
      <c r="L37" s="28">
        <f t="shared" si="3"/>
        <v>5.4966487814018929</v>
      </c>
      <c r="M37" s="28">
        <f t="shared" si="3"/>
        <v>14.54856394501943</v>
      </c>
      <c r="N37" s="28">
        <f t="shared" si="3"/>
        <v>172.57236142423341</v>
      </c>
      <c r="O37" s="28">
        <f t="shared" si="3"/>
        <v>0</v>
      </c>
      <c r="P37" s="28">
        <f t="shared" si="3"/>
        <v>0.69728199023999216</v>
      </c>
      <c r="Q37" s="28">
        <f t="shared" si="3"/>
        <v>2.1074020255047965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66be6f5-161c-430e-85b5-d3930e3c181d}">
  <sheetPr codeName=""/>
  <dimension ref="A1:U119"/>
  <sheetViews>
    <sheetView workbookViewId="0" topLeftCell="A1">
      <pane xSplit="2" ySplit="8" topLeftCell="C27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Q39" sqref="Q39"/>
    </sheetView>
  </sheetViews>
  <sheetFormatPr defaultColWidth="8.85881696428571" defaultRowHeight="15"/>
  <cols>
    <col min="1" max="1" width="18.2857142857143" style="26" customWidth="1"/>
    <col min="2" max="2" width="13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03-03-2023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49" t="s">
        <v>111</v>
      </c>
      <c r="B9" s="50">
        <v>105.39</v>
      </c>
      <c r="C9" s="50">
        <v>139.24</v>
      </c>
      <c r="D9" s="50">
        <v>160.32</v>
      </c>
      <c r="E9" s="50">
        <v>15.03</v>
      </c>
      <c r="F9" s="50">
        <v>5.20</v>
      </c>
      <c r="G9" s="50">
        <v>204.80</v>
      </c>
      <c r="H9" s="50">
        <v>88.42</v>
      </c>
      <c r="I9" s="50">
        <v>1.51</v>
      </c>
      <c r="J9" s="50">
        <v>0.66</v>
      </c>
      <c r="K9" s="50">
        <v>40.229999999999997</v>
      </c>
      <c r="L9" s="50">
        <v>23.78</v>
      </c>
      <c r="M9" s="50">
        <v>62.17</v>
      </c>
      <c r="N9" s="50">
        <v>4.4000000000000004</v>
      </c>
      <c r="O9" s="50">
        <v>0</v>
      </c>
      <c r="P9" s="50">
        <v>3.41</v>
      </c>
      <c r="Q9" s="50">
        <v>38.93</v>
      </c>
      <c r="R9" s="43"/>
      <c r="S9" s="43"/>
      <c r="T9" s="43"/>
      <c r="U9" s="43"/>
    </row>
    <row r="10" spans="1:21" s="11" customFormat="1" ht="15">
      <c r="A10" s="49" t="s">
        <v>112</v>
      </c>
      <c r="B10" s="50">
        <v>97.93</v>
      </c>
      <c r="C10" s="50">
        <v>129.35</v>
      </c>
      <c r="D10" s="50">
        <v>148.47999999999999</v>
      </c>
      <c r="E10" s="50">
        <v>14.98</v>
      </c>
      <c r="F10" s="50">
        <v>6.11</v>
      </c>
      <c r="G10" s="50">
        <v>204.80</v>
      </c>
      <c r="H10" s="50">
        <v>92.33</v>
      </c>
      <c r="I10" s="50">
        <v>1.43</v>
      </c>
      <c r="J10" s="50">
        <v>0.66</v>
      </c>
      <c r="K10" s="50">
        <v>13.79</v>
      </c>
      <c r="L10" s="50">
        <v>24.14</v>
      </c>
      <c r="M10" s="50">
        <v>52.39</v>
      </c>
      <c r="N10" s="50">
        <v>4.5</v>
      </c>
      <c r="O10" s="50">
        <v>0</v>
      </c>
      <c r="P10" s="50">
        <v>3.03</v>
      </c>
      <c r="Q10" s="50">
        <v>39.42</v>
      </c>
      <c r="R10" s="43"/>
      <c r="S10" s="43"/>
      <c r="T10" s="43"/>
      <c r="U10" s="43"/>
    </row>
    <row r="11" spans="1:21" s="11" customFormat="1" ht="15">
      <c r="A11" s="49" t="s">
        <v>113</v>
      </c>
      <c r="B11" s="50">
        <v>76.930000000000007</v>
      </c>
      <c r="C11" s="50">
        <v>129</v>
      </c>
      <c r="D11" s="50">
        <v>131.84</v>
      </c>
      <c r="E11" s="50">
        <v>17.62</v>
      </c>
      <c r="F11" s="50">
        <v>4.5599999999999996</v>
      </c>
      <c r="G11" s="50">
        <v>196.78</v>
      </c>
      <c r="H11" s="50">
        <v>92.33</v>
      </c>
      <c r="I11" s="50">
        <v>1.37</v>
      </c>
      <c r="J11" s="50">
        <v>0.44</v>
      </c>
      <c r="K11" s="50">
        <v>66.39</v>
      </c>
      <c r="L11" s="50">
        <v>24.49</v>
      </c>
      <c r="M11" s="50">
        <v>49.74</v>
      </c>
      <c r="N11" s="50">
        <v>4.5999999999999996</v>
      </c>
      <c r="O11" s="50">
        <v>0</v>
      </c>
      <c r="P11" s="50">
        <v>2.67</v>
      </c>
      <c r="Q11" s="50">
        <v>38.590000000000003</v>
      </c>
      <c r="R11" s="43"/>
      <c r="S11" s="43"/>
      <c r="T11" s="43"/>
      <c r="U11" s="43"/>
    </row>
    <row r="12" spans="1:21" s="11" customFormat="1" ht="15">
      <c r="A12" s="49" t="s">
        <v>114</v>
      </c>
      <c r="B12" s="50">
        <v>49.69</v>
      </c>
      <c r="C12" s="50">
        <v>120.74</v>
      </c>
      <c r="D12" s="50">
        <v>105.44</v>
      </c>
      <c r="E12" s="50">
        <v>19.440000000000001</v>
      </c>
      <c r="F12" s="50">
        <v>5.69</v>
      </c>
      <c r="G12" s="50">
        <v>165.31</v>
      </c>
      <c r="H12" s="50">
        <v>86.05</v>
      </c>
      <c r="I12" s="50">
        <v>1.1599999999999999</v>
      </c>
      <c r="J12" s="50">
        <v>0.39</v>
      </c>
      <c r="K12" s="50">
        <v>94.43</v>
      </c>
      <c r="L12" s="50">
        <v>23.64</v>
      </c>
      <c r="M12" s="50">
        <v>52.34</v>
      </c>
      <c r="N12" s="50">
        <v>4.5</v>
      </c>
      <c r="O12" s="50">
        <v>0</v>
      </c>
      <c r="P12" s="50">
        <v>2.31</v>
      </c>
      <c r="Q12" s="50">
        <v>35.92</v>
      </c>
      <c r="R12" s="43"/>
      <c r="S12" s="43"/>
      <c r="T12" s="43"/>
      <c r="U12" s="43"/>
    </row>
    <row r="13" spans="1:21" s="11" customFormat="1" ht="15">
      <c r="A13" s="49" t="s">
        <v>115</v>
      </c>
      <c r="B13" s="50">
        <v>49.03</v>
      </c>
      <c r="C13" s="50">
        <v>115.82</v>
      </c>
      <c r="D13" s="50">
        <v>101.60</v>
      </c>
      <c r="E13" s="50">
        <v>8.67</v>
      </c>
      <c r="F13" s="50">
        <v>5.19</v>
      </c>
      <c r="G13" s="50">
        <v>165.31</v>
      </c>
      <c r="H13" s="50">
        <v>86.05</v>
      </c>
      <c r="I13" s="50">
        <v>0.95</v>
      </c>
      <c r="J13" s="50">
        <v>0.28999999999999998</v>
      </c>
      <c r="K13" s="50">
        <v>283.69</v>
      </c>
      <c r="L13" s="50">
        <v>22.93</v>
      </c>
      <c r="M13" s="50">
        <v>65.52</v>
      </c>
      <c r="N13" s="50">
        <v>4.80</v>
      </c>
      <c r="O13" s="50">
        <v>0</v>
      </c>
      <c r="P13" s="50">
        <v>2.2799999999999998</v>
      </c>
      <c r="Q13" s="50">
        <v>36.32</v>
      </c>
      <c r="R13" s="43"/>
      <c r="S13" s="43"/>
      <c r="T13" s="43"/>
      <c r="U13" s="43"/>
    </row>
    <row r="14" spans="1:21" s="11" customFormat="1" ht="15">
      <c r="A14" s="49" t="s">
        <v>116</v>
      </c>
      <c r="B14" s="50">
        <v>53.76</v>
      </c>
      <c r="C14" s="50">
        <v>114.78</v>
      </c>
      <c r="D14" s="50">
        <v>103.82</v>
      </c>
      <c r="E14" s="50">
        <v>5.84</v>
      </c>
      <c r="F14" s="50">
        <v>4.32</v>
      </c>
      <c r="G14" s="50">
        <v>149.37</v>
      </c>
      <c r="H14" s="50">
        <v>70.70</v>
      </c>
      <c r="I14" s="50">
        <v>0.94</v>
      </c>
      <c r="J14" s="50">
        <v>0.24</v>
      </c>
      <c r="K14" s="50">
        <v>284.86</v>
      </c>
      <c r="L14" s="50">
        <v>21.19</v>
      </c>
      <c r="M14" s="50">
        <v>72.22</v>
      </c>
      <c r="N14" s="50">
        <v>4.70</v>
      </c>
      <c r="O14" s="50">
        <v>0</v>
      </c>
      <c r="P14" s="50">
        <v>2.23</v>
      </c>
      <c r="Q14" s="50">
        <v>36.99</v>
      </c>
      <c r="R14" s="43"/>
      <c r="S14" s="43"/>
      <c r="T14" s="43"/>
      <c r="U14" s="43"/>
    </row>
    <row r="15" spans="1:21" s="11" customFormat="1" ht="15">
      <c r="A15" s="49" t="s">
        <v>117</v>
      </c>
      <c r="B15" s="50">
        <v>67.92</v>
      </c>
      <c r="C15" s="50">
        <v>111.47</v>
      </c>
      <c r="D15" s="50">
        <v>114.02</v>
      </c>
      <c r="E15" s="50">
        <v>5.0199999999999996</v>
      </c>
      <c r="F15" s="50">
        <v>4.3099999999999996</v>
      </c>
      <c r="G15" s="50">
        <v>149.37</v>
      </c>
      <c r="H15" s="50">
        <v>69.14</v>
      </c>
      <c r="I15" s="50">
        <v>0.91</v>
      </c>
      <c r="J15" s="50">
        <v>0.18</v>
      </c>
      <c r="K15" s="50">
        <v>333.40</v>
      </c>
      <c r="L15" s="50">
        <v>20.97</v>
      </c>
      <c r="M15" s="50">
        <v>73.760000000000005</v>
      </c>
      <c r="N15" s="50">
        <v>40.90</v>
      </c>
      <c r="O15" s="50">
        <v>0</v>
      </c>
      <c r="P15" s="50">
        <v>2.12</v>
      </c>
      <c r="Q15" s="50">
        <v>36.53</v>
      </c>
      <c r="R15" s="43"/>
      <c r="S15" s="43"/>
      <c r="T15" s="43"/>
      <c r="U15" s="43"/>
    </row>
    <row r="16" spans="1:21" s="11" customFormat="1" ht="15">
      <c r="A16" s="49" t="s">
        <v>118</v>
      </c>
      <c r="B16" s="50">
        <v>72.25</v>
      </c>
      <c r="C16" s="50">
        <v>112.31</v>
      </c>
      <c r="D16" s="50">
        <v>117.72</v>
      </c>
      <c r="E16" s="50">
        <v>5.29</v>
      </c>
      <c r="F16" s="50">
        <v>4.4000000000000004</v>
      </c>
      <c r="G16" s="50">
        <v>147.91</v>
      </c>
      <c r="H16" s="50">
        <v>69.14</v>
      </c>
      <c r="I16" s="50">
        <v>0.90</v>
      </c>
      <c r="J16" s="50">
        <v>0.17</v>
      </c>
      <c r="K16" s="50">
        <v>353.06</v>
      </c>
      <c r="L16" s="50">
        <v>26.51</v>
      </c>
      <c r="M16" s="50">
        <v>69.70</v>
      </c>
      <c r="N16" s="50">
        <v>175.10</v>
      </c>
      <c r="O16" s="50">
        <v>0</v>
      </c>
      <c r="P16" s="50">
        <v>2.0699999999999998</v>
      </c>
      <c r="Q16" s="50">
        <v>35.08</v>
      </c>
      <c r="R16" s="43"/>
      <c r="S16" s="43"/>
      <c r="T16" s="43"/>
      <c r="U16" s="43"/>
    </row>
    <row r="17" spans="1:21" s="11" customFormat="1" ht="15">
      <c r="A17" s="49" t="s">
        <v>119</v>
      </c>
      <c r="B17" s="50">
        <v>68.430000000000007</v>
      </c>
      <c r="C17" s="50">
        <v>118.53</v>
      </c>
      <c r="D17" s="50">
        <v>117.16</v>
      </c>
      <c r="E17" s="50">
        <v>5.89</v>
      </c>
      <c r="F17" s="50">
        <v>4.42</v>
      </c>
      <c r="G17" s="50">
        <v>147.91</v>
      </c>
      <c r="H17" s="50">
        <v>67.58</v>
      </c>
      <c r="I17" s="50">
        <v>0.90</v>
      </c>
      <c r="J17" s="50">
        <v>1.27</v>
      </c>
      <c r="K17" s="50">
        <v>111.41</v>
      </c>
      <c r="L17" s="50">
        <v>27.92</v>
      </c>
      <c r="M17" s="50">
        <v>46.71</v>
      </c>
      <c r="N17" s="50">
        <v>342.20</v>
      </c>
      <c r="O17" s="50">
        <v>0</v>
      </c>
      <c r="P17" s="50">
        <v>2.0299999999999998</v>
      </c>
      <c r="Q17" s="50">
        <v>37.090000000000003</v>
      </c>
      <c r="R17" s="43"/>
      <c r="S17" s="43"/>
      <c r="T17" s="43"/>
      <c r="U17" s="43"/>
    </row>
    <row r="18" spans="1:21" s="11" customFormat="1" ht="15">
      <c r="A18" s="49" t="s">
        <v>120</v>
      </c>
      <c r="B18" s="50">
        <v>56.93</v>
      </c>
      <c r="C18" s="50">
        <v>129.26</v>
      </c>
      <c r="D18" s="50">
        <v>111.53</v>
      </c>
      <c r="E18" s="50">
        <v>5.94</v>
      </c>
      <c r="F18" s="50">
        <v>4.8099999999999996</v>
      </c>
      <c r="G18" s="50">
        <v>146</v>
      </c>
      <c r="H18" s="50">
        <v>64.48</v>
      </c>
      <c r="I18" s="50">
        <v>0.89</v>
      </c>
      <c r="J18" s="50">
        <v>1.34</v>
      </c>
      <c r="K18" s="50">
        <v>112.59</v>
      </c>
      <c r="L18" s="50">
        <v>30.84</v>
      </c>
      <c r="M18" s="50">
        <v>32.92</v>
      </c>
      <c r="N18" s="50">
        <v>468.20</v>
      </c>
      <c r="O18" s="50">
        <v>0</v>
      </c>
      <c r="P18" s="50">
        <v>1.87</v>
      </c>
      <c r="Q18" s="50">
        <v>36.82</v>
      </c>
      <c r="R18" s="43"/>
      <c r="S18" s="43"/>
      <c r="T18" s="43"/>
      <c r="U18" s="43"/>
    </row>
    <row r="19" spans="1:21" s="11" customFormat="1" ht="15">
      <c r="A19" s="49" t="s">
        <v>121</v>
      </c>
      <c r="B19" s="50">
        <v>33.880000000000003</v>
      </c>
      <c r="C19" s="50">
        <v>124.07</v>
      </c>
      <c r="D19" s="50">
        <v>94.59</v>
      </c>
      <c r="E19" s="50">
        <v>15.13</v>
      </c>
      <c r="F19" s="50">
        <v>58.27</v>
      </c>
      <c r="G19" s="50">
        <v>113.45</v>
      </c>
      <c r="H19" s="50">
        <v>54.68</v>
      </c>
      <c r="I19" s="50">
        <v>0.80</v>
      </c>
      <c r="J19" s="50">
        <v>1.27</v>
      </c>
      <c r="K19" s="50">
        <v>120.88</v>
      </c>
      <c r="L19" s="50">
        <v>32.06</v>
      </c>
      <c r="M19" s="50">
        <v>29.48</v>
      </c>
      <c r="N19" s="50">
        <v>490.40</v>
      </c>
      <c r="O19" s="50">
        <v>0</v>
      </c>
      <c r="P19" s="50">
        <v>1.53</v>
      </c>
      <c r="Q19" s="50">
        <v>34.369999999999997</v>
      </c>
      <c r="R19" s="43"/>
      <c r="S19" s="43"/>
      <c r="T19" s="43"/>
      <c r="U19" s="43"/>
    </row>
    <row r="20" spans="1:21" s="11" customFormat="1" ht="15">
      <c r="A20" s="49" t="s">
        <v>122</v>
      </c>
      <c r="B20" s="50">
        <v>3.06</v>
      </c>
      <c r="C20" s="50">
        <v>59.99</v>
      </c>
      <c r="D20" s="50">
        <v>34.51</v>
      </c>
      <c r="E20" s="50">
        <v>17.29</v>
      </c>
      <c r="F20" s="50">
        <v>61.89</v>
      </c>
      <c r="G20" s="18" t="s">
        <v>12</v>
      </c>
      <c r="H20" s="18" t="s">
        <v>12</v>
      </c>
      <c r="I20" s="50">
        <v>0.47</v>
      </c>
      <c r="J20" s="50">
        <v>0.74</v>
      </c>
      <c r="K20" s="50">
        <v>158.28</v>
      </c>
      <c r="L20" s="50">
        <v>35.33</v>
      </c>
      <c r="M20" s="50">
        <v>24.06</v>
      </c>
      <c r="N20" s="50">
        <v>511.80</v>
      </c>
      <c r="O20" s="50">
        <v>0</v>
      </c>
      <c r="P20" s="50">
        <v>0.53</v>
      </c>
      <c r="Q20" s="18" t="s">
        <v>12</v>
      </c>
      <c r="R20" s="43"/>
      <c r="S20" s="43"/>
      <c r="T20" s="43"/>
      <c r="U20" s="43"/>
    </row>
    <row r="21" spans="1:21" s="11" customFormat="1" ht="15">
      <c r="A21" s="49" t="s">
        <v>123</v>
      </c>
      <c r="B21" s="50">
        <v>3.86</v>
      </c>
      <c r="C21" s="50">
        <v>71.84</v>
      </c>
      <c r="D21" s="50">
        <v>41.70</v>
      </c>
      <c r="E21" s="50">
        <v>37.10</v>
      </c>
      <c r="F21" s="50">
        <v>55.08</v>
      </c>
      <c r="G21" s="50">
        <v>64.180000000000007</v>
      </c>
      <c r="H21" s="50">
        <v>39.369999999999997</v>
      </c>
      <c r="I21" s="50">
        <v>0.5</v>
      </c>
      <c r="J21" s="50">
        <v>1.24</v>
      </c>
      <c r="K21" s="50">
        <v>43.13</v>
      </c>
      <c r="L21" s="50">
        <v>39</v>
      </c>
      <c r="M21" s="50">
        <v>20.34</v>
      </c>
      <c r="N21" s="50">
        <v>497.20</v>
      </c>
      <c r="O21" s="50">
        <v>0</v>
      </c>
      <c r="P21" s="50">
        <v>0.82</v>
      </c>
      <c r="Q21" s="18" t="s">
        <v>12</v>
      </c>
      <c r="R21" s="43"/>
      <c r="S21" s="43"/>
      <c r="T21" s="43"/>
      <c r="U21" s="43"/>
    </row>
    <row r="22" spans="1:21" s="11" customFormat="1" ht="15">
      <c r="A22" s="49" t="s">
        <v>124</v>
      </c>
      <c r="B22" s="50">
        <v>4.34</v>
      </c>
      <c r="C22" s="50">
        <v>66.010000000000005</v>
      </c>
      <c r="D22" s="50">
        <v>39.840000000000003</v>
      </c>
      <c r="E22" s="50">
        <v>44.27</v>
      </c>
      <c r="F22" s="50">
        <v>49.42</v>
      </c>
      <c r="G22" s="50">
        <v>67.12</v>
      </c>
      <c r="H22" s="50">
        <v>39.369999999999997</v>
      </c>
      <c r="I22" s="50">
        <v>0.5</v>
      </c>
      <c r="J22" s="50">
        <v>0.99</v>
      </c>
      <c r="K22" s="50">
        <v>95.23</v>
      </c>
      <c r="L22" s="50">
        <v>37.58</v>
      </c>
      <c r="M22" s="50">
        <v>20.13</v>
      </c>
      <c r="N22" s="50">
        <v>445.20</v>
      </c>
      <c r="O22" s="50">
        <v>0</v>
      </c>
      <c r="P22" s="50">
        <v>0.79</v>
      </c>
      <c r="Q22" s="50">
        <v>19.34</v>
      </c>
      <c r="R22" s="43"/>
      <c r="S22" s="43"/>
      <c r="T22" s="43"/>
      <c r="U22" s="43"/>
    </row>
    <row r="23" spans="1:21" s="11" customFormat="1" ht="15">
      <c r="A23" s="49" t="s">
        <v>125</v>
      </c>
      <c r="B23" s="50">
        <v>4.5999999999999996</v>
      </c>
      <c r="C23" s="50">
        <v>74.900000000000006</v>
      </c>
      <c r="D23" s="50">
        <v>45.02</v>
      </c>
      <c r="E23" s="50">
        <v>19.16</v>
      </c>
      <c r="F23" s="50">
        <v>23.63</v>
      </c>
      <c r="G23" s="50">
        <v>67.12</v>
      </c>
      <c r="H23" s="50">
        <v>36.25</v>
      </c>
      <c r="I23" s="50">
        <v>0.55000000000000004</v>
      </c>
      <c r="J23" s="50">
        <v>1.85</v>
      </c>
      <c r="K23" s="50">
        <v>13.20</v>
      </c>
      <c r="L23" s="50">
        <v>39.119999999999997</v>
      </c>
      <c r="M23" s="50">
        <v>12.49</v>
      </c>
      <c r="N23" s="50">
        <v>437.60</v>
      </c>
      <c r="O23" s="50">
        <v>0</v>
      </c>
      <c r="P23" s="50">
        <v>0.77</v>
      </c>
      <c r="Q23" s="50">
        <v>17.93</v>
      </c>
      <c r="R23" s="43"/>
      <c r="S23" s="43"/>
      <c r="T23" s="43"/>
      <c r="U23" s="43"/>
    </row>
    <row r="24" spans="1:21" s="11" customFormat="1" ht="15">
      <c r="A24" s="49" t="s">
        <v>126</v>
      </c>
      <c r="B24" s="50">
        <v>6.68</v>
      </c>
      <c r="C24" s="50">
        <v>72.13</v>
      </c>
      <c r="D24" s="50">
        <v>44.32</v>
      </c>
      <c r="E24" s="50">
        <v>9.3699999999999992</v>
      </c>
      <c r="F24" s="50">
        <v>15.03</v>
      </c>
      <c r="G24" s="50">
        <v>63.54</v>
      </c>
      <c r="H24" s="50">
        <v>36.25</v>
      </c>
      <c r="I24" s="50">
        <v>0.56999999999999995</v>
      </c>
      <c r="J24" s="50">
        <v>2.10</v>
      </c>
      <c r="K24" s="50">
        <v>27.37</v>
      </c>
      <c r="L24" s="50">
        <v>38.409999999999997</v>
      </c>
      <c r="M24" s="50">
        <v>13.18</v>
      </c>
      <c r="N24" s="50">
        <v>366.30</v>
      </c>
      <c r="O24" s="50">
        <v>0</v>
      </c>
      <c r="P24" s="50">
        <v>0.72</v>
      </c>
      <c r="Q24" s="50">
        <v>22.76</v>
      </c>
      <c r="R24" s="43"/>
      <c r="S24" s="43"/>
      <c r="T24" s="43"/>
      <c r="U24" s="43"/>
    </row>
    <row r="25" spans="1:21" s="11" customFormat="1" ht="15">
      <c r="A25" s="49" t="s">
        <v>127</v>
      </c>
      <c r="B25" s="50">
        <v>7.51</v>
      </c>
      <c r="C25" s="50">
        <v>77.099999999999994</v>
      </c>
      <c r="D25" s="50">
        <v>47.63</v>
      </c>
      <c r="E25" s="50">
        <v>9.16</v>
      </c>
      <c r="F25" s="50">
        <v>22.07</v>
      </c>
      <c r="G25" s="50">
        <v>61.74</v>
      </c>
      <c r="H25" s="50">
        <v>31.84</v>
      </c>
      <c r="I25" s="50">
        <v>0.57999999999999996</v>
      </c>
      <c r="J25" s="50">
        <v>1.84</v>
      </c>
      <c r="K25" s="50">
        <v>34.450000000000003</v>
      </c>
      <c r="L25" s="50">
        <v>35.64</v>
      </c>
      <c r="M25" s="50">
        <v>15.06</v>
      </c>
      <c r="N25" s="50">
        <v>119.20</v>
      </c>
      <c r="O25" s="50">
        <v>0</v>
      </c>
      <c r="P25" s="50">
        <v>0.75</v>
      </c>
      <c r="Q25" s="50">
        <v>23.49</v>
      </c>
      <c r="R25" s="43"/>
      <c r="S25" s="43"/>
      <c r="T25" s="43"/>
      <c r="U25" s="43"/>
    </row>
    <row r="26" spans="1:21" s="11" customFormat="1" ht="15">
      <c r="A26" s="49" t="s">
        <v>128</v>
      </c>
      <c r="B26" s="50">
        <v>24.71</v>
      </c>
      <c r="C26" s="50">
        <v>112.5</v>
      </c>
      <c r="D26" s="50">
        <v>81.900000000000006</v>
      </c>
      <c r="E26" s="50">
        <v>17.34</v>
      </c>
      <c r="F26" s="50">
        <v>21.92</v>
      </c>
      <c r="G26" s="50">
        <v>60.42</v>
      </c>
      <c r="H26" s="50">
        <v>29.68</v>
      </c>
      <c r="I26" s="50">
        <v>0.54</v>
      </c>
      <c r="J26" s="50">
        <v>1.60</v>
      </c>
      <c r="K26" s="50">
        <v>29.70</v>
      </c>
      <c r="L26" s="50">
        <v>33.33</v>
      </c>
      <c r="M26" s="50">
        <v>18.71</v>
      </c>
      <c r="N26" s="50">
        <v>43.30</v>
      </c>
      <c r="O26" s="50">
        <v>0</v>
      </c>
      <c r="P26" s="50">
        <v>1.36</v>
      </c>
      <c r="Q26" s="50">
        <v>22.19</v>
      </c>
      <c r="R26" s="43"/>
      <c r="S26" s="43"/>
      <c r="T26" s="43"/>
      <c r="U26" s="43"/>
    </row>
    <row r="27" spans="1:21" s="11" customFormat="1" ht="15">
      <c r="A27" s="49" t="s">
        <v>129</v>
      </c>
      <c r="B27" s="50">
        <v>64.739999999999995</v>
      </c>
      <c r="C27" s="50">
        <v>133.11000000000001</v>
      </c>
      <c r="D27" s="50">
        <v>123.23</v>
      </c>
      <c r="E27" s="50">
        <v>22.72</v>
      </c>
      <c r="F27" s="50">
        <v>8.19</v>
      </c>
      <c r="G27" s="50">
        <v>76.010000000000005</v>
      </c>
      <c r="H27" s="50">
        <v>30.66</v>
      </c>
      <c r="I27" s="50">
        <v>0.84</v>
      </c>
      <c r="J27" s="50">
        <v>0.36</v>
      </c>
      <c r="K27" s="50">
        <v>93.5</v>
      </c>
      <c r="L27" s="50">
        <v>30.75</v>
      </c>
      <c r="M27" s="50">
        <v>24.48</v>
      </c>
      <c r="N27" s="50">
        <v>5.40</v>
      </c>
      <c r="O27" s="50">
        <v>0</v>
      </c>
      <c r="P27" s="50">
        <v>2.5099999999999998</v>
      </c>
      <c r="Q27" s="50">
        <v>21.33</v>
      </c>
      <c r="R27" s="43"/>
      <c r="S27" s="43"/>
      <c r="T27" s="43"/>
      <c r="U27" s="43"/>
    </row>
    <row r="28" spans="1:21" s="11" customFormat="1" ht="15">
      <c r="A28" s="49" t="s">
        <v>130</v>
      </c>
      <c r="B28" s="50">
        <v>69.62</v>
      </c>
      <c r="C28" s="50">
        <v>124.27</v>
      </c>
      <c r="D28" s="50">
        <v>124.41</v>
      </c>
      <c r="E28" s="50">
        <v>14.55</v>
      </c>
      <c r="F28" s="50">
        <v>4.24</v>
      </c>
      <c r="G28" s="50">
        <v>156.69999999999999</v>
      </c>
      <c r="H28" s="50">
        <v>41.14</v>
      </c>
      <c r="I28" s="50">
        <v>1.07</v>
      </c>
      <c r="J28" s="50">
        <v>0.27</v>
      </c>
      <c r="K28" s="50">
        <v>281.89</v>
      </c>
      <c r="L28" s="50">
        <v>27.63</v>
      </c>
      <c r="M28" s="50">
        <v>31.69</v>
      </c>
      <c r="N28" s="50">
        <v>4.80</v>
      </c>
      <c r="O28" s="50">
        <v>0</v>
      </c>
      <c r="P28" s="50">
        <v>2.31</v>
      </c>
      <c r="Q28" s="50">
        <v>28.64</v>
      </c>
      <c r="R28" s="43"/>
      <c r="S28" s="43"/>
      <c r="T28" s="43"/>
      <c r="U28" s="43"/>
    </row>
    <row r="29" spans="1:21" s="11" customFormat="1" ht="15">
      <c r="A29" s="49" t="s">
        <v>131</v>
      </c>
      <c r="B29" s="50">
        <v>165.18</v>
      </c>
      <c r="C29" s="50">
        <v>131.5</v>
      </c>
      <c r="D29" s="50">
        <v>205.03</v>
      </c>
      <c r="E29" s="50">
        <v>8.5</v>
      </c>
      <c r="F29" s="50">
        <v>3.22</v>
      </c>
      <c r="G29" s="50">
        <v>156.69999999999999</v>
      </c>
      <c r="H29" s="50">
        <v>44.51</v>
      </c>
      <c r="I29" s="50">
        <v>1.1200000000000001</v>
      </c>
      <c r="J29" s="50">
        <v>0.18</v>
      </c>
      <c r="K29" s="50">
        <v>323.69</v>
      </c>
      <c r="L29" s="50">
        <v>26.46</v>
      </c>
      <c r="M29" s="50">
        <v>39.64</v>
      </c>
      <c r="N29" s="50">
        <v>4.4000000000000004</v>
      </c>
      <c r="O29" s="50">
        <v>0</v>
      </c>
      <c r="P29" s="50">
        <v>3.28</v>
      </c>
      <c r="Q29" s="50">
        <v>30.88</v>
      </c>
      <c r="R29" s="43"/>
      <c r="S29" s="43"/>
      <c r="T29" s="43"/>
      <c r="U29" s="43"/>
    </row>
    <row r="30" spans="1:21" s="11" customFormat="1" ht="15">
      <c r="A30" s="49" t="s">
        <v>132</v>
      </c>
      <c r="B30" s="50">
        <v>176.66</v>
      </c>
      <c r="C30" s="50">
        <v>129.31</v>
      </c>
      <c r="D30" s="50">
        <v>210.56</v>
      </c>
      <c r="E30" s="50">
        <v>10.220000000000001</v>
      </c>
      <c r="F30" s="50">
        <v>3.30</v>
      </c>
      <c r="G30" s="50">
        <v>205.04</v>
      </c>
      <c r="H30" s="50">
        <v>53.85</v>
      </c>
      <c r="I30" s="50">
        <v>1.42</v>
      </c>
      <c r="J30" s="50">
        <v>0.23</v>
      </c>
      <c r="K30" s="50">
        <v>305.19</v>
      </c>
      <c r="L30" s="50">
        <v>25.34</v>
      </c>
      <c r="M30" s="50">
        <v>45.09</v>
      </c>
      <c r="N30" s="50">
        <v>4.70</v>
      </c>
      <c r="O30" s="50">
        <v>0</v>
      </c>
      <c r="P30" s="50">
        <v>3.44</v>
      </c>
      <c r="Q30" s="50">
        <v>29.36</v>
      </c>
      <c r="R30" s="43"/>
      <c r="S30" s="43"/>
      <c r="T30" s="43"/>
      <c r="U30" s="43"/>
    </row>
    <row r="31" spans="1:21" s="11" customFormat="1" ht="15">
      <c r="A31" s="49" t="s">
        <v>133</v>
      </c>
      <c r="B31" s="50">
        <v>167.40</v>
      </c>
      <c r="C31" s="50">
        <v>121.83</v>
      </c>
      <c r="D31" s="50">
        <v>199.63</v>
      </c>
      <c r="E31" s="50">
        <v>8.0399999999999991</v>
      </c>
      <c r="F31" s="50">
        <v>3.25</v>
      </c>
      <c r="G31" s="50">
        <v>211.96</v>
      </c>
      <c r="H31" s="50">
        <v>63.48</v>
      </c>
      <c r="I31" s="50">
        <v>1.66</v>
      </c>
      <c r="J31" s="50">
        <v>0.24</v>
      </c>
      <c r="K31" s="50">
        <v>287.70</v>
      </c>
      <c r="L31" s="50">
        <v>24.41</v>
      </c>
      <c r="M31" s="50">
        <v>49.67</v>
      </c>
      <c r="N31" s="50">
        <v>4.5</v>
      </c>
      <c r="O31" s="50">
        <v>0</v>
      </c>
      <c r="P31" s="50">
        <v>3.45</v>
      </c>
      <c r="Q31" s="50">
        <v>36.76</v>
      </c>
      <c r="R31" s="43"/>
      <c r="S31" s="43"/>
      <c r="T31" s="43"/>
      <c r="U31" s="43"/>
    </row>
    <row r="32" spans="1:21" s="11" customFormat="1" ht="15">
      <c r="A32" s="49" t="s">
        <v>134</v>
      </c>
      <c r="B32" s="50">
        <v>191.89</v>
      </c>
      <c r="C32" s="50">
        <v>115.18</v>
      </c>
      <c r="D32" s="50">
        <v>217.05</v>
      </c>
      <c r="E32" s="50">
        <v>6.31</v>
      </c>
      <c r="F32" s="50">
        <v>3.02</v>
      </c>
      <c r="G32" s="50">
        <v>211.96</v>
      </c>
      <c r="H32" s="50">
        <v>67.78</v>
      </c>
      <c r="I32" s="50">
        <v>1.72</v>
      </c>
      <c r="J32" s="50">
        <v>0.13</v>
      </c>
      <c r="K32" s="50">
        <v>324.39999999999998</v>
      </c>
      <c r="L32" s="50">
        <v>23.55</v>
      </c>
      <c r="M32" s="50">
        <v>55.52</v>
      </c>
      <c r="N32" s="50">
        <v>4.4000000000000004</v>
      </c>
      <c r="O32" s="50">
        <v>0</v>
      </c>
      <c r="P32" s="50">
        <v>3.70</v>
      </c>
      <c r="Q32" s="50">
        <v>40.049999999999997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3.0600000000000001</v>
      </c>
      <c r="C34" s="28">
        <f t="shared" si="0"/>
        <v>59.990000000000002</v>
      </c>
      <c r="D34" s="28">
        <f t="shared" si="0"/>
        <v>34.509999999999998</v>
      </c>
      <c r="E34" s="28">
        <f t="shared" si="0"/>
        <v>5.0199999999999996</v>
      </c>
      <c r="F34" s="28">
        <f t="shared" si="0"/>
        <v>3.02</v>
      </c>
      <c r="G34" s="28">
        <f t="shared" si="0"/>
        <v>60.420000000000002</v>
      </c>
      <c r="H34" s="28">
        <f t="shared" si="0"/>
        <v>29.68</v>
      </c>
      <c r="I34" s="28">
        <f t="shared" si="0"/>
        <v>0.46999999999999997</v>
      </c>
      <c r="J34" s="28">
        <f t="shared" si="0"/>
        <v>0.13</v>
      </c>
      <c r="K34" s="28">
        <f t="shared" si="0"/>
        <v>13.199999999999999</v>
      </c>
      <c r="L34" s="28">
        <f t="shared" si="0"/>
        <v>20.969999999999999</v>
      </c>
      <c r="M34" s="28">
        <f t="shared" si="0"/>
        <v>12.49</v>
      </c>
      <c r="N34" s="28">
        <f t="shared" si="0"/>
        <v>4.4000000000000004</v>
      </c>
      <c r="O34" s="28">
        <f t="shared" si="0"/>
        <v>0</v>
      </c>
      <c r="P34" s="28">
        <f t="shared" si="0"/>
        <v>0.53000000000000003</v>
      </c>
      <c r="Q34" s="28">
        <f t="shared" si="0"/>
        <v>17.93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191.88999999999999</v>
      </c>
      <c r="C35" s="29">
        <f t="shared" si="1"/>
        <v>139.24000000000001</v>
      </c>
      <c r="D35" s="29">
        <f t="shared" si="1"/>
        <v>217.05000000000001</v>
      </c>
      <c r="E35" s="29">
        <f t="shared" si="1"/>
        <v>44.270000000000003</v>
      </c>
      <c r="F35" s="29">
        <f t="shared" si="1"/>
        <v>61.890000000000001</v>
      </c>
      <c r="G35" s="29">
        <f t="shared" si="1"/>
        <v>211.96000000000001</v>
      </c>
      <c r="H35" s="29">
        <f t="shared" si="1"/>
        <v>92.329999999999998</v>
      </c>
      <c r="I35" s="29">
        <f t="shared" si="1"/>
        <v>1.72</v>
      </c>
      <c r="J35" s="29">
        <f t="shared" si="1"/>
        <v>2.1000000000000001</v>
      </c>
      <c r="K35" s="29">
        <f t="shared" si="1"/>
        <v>353.06</v>
      </c>
      <c r="L35" s="29">
        <f t="shared" si="1"/>
        <v>39.119999999999997</v>
      </c>
      <c r="M35" s="29">
        <f t="shared" si="1"/>
        <v>73.760000000000005</v>
      </c>
      <c r="N35" s="29">
        <f t="shared" si="1"/>
        <v>511.80000000000001</v>
      </c>
      <c r="O35" s="29">
        <f t="shared" si="1"/>
        <v>0</v>
      </c>
      <c r="P35" s="29">
        <f t="shared" si="1"/>
        <v>3.7000000000000002</v>
      </c>
      <c r="Q35" s="29">
        <f t="shared" si="1"/>
        <v>40.049999999999997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67.599583333333342</v>
      </c>
      <c r="C36" s="28">
        <f t="shared" si="2"/>
        <v>109.75999999999999</v>
      </c>
      <c r="D36" s="28">
        <f t="shared" si="2"/>
        <v>113.38958333333335</v>
      </c>
      <c r="E36" s="28">
        <f t="shared" si="2"/>
        <v>14.286666666666669</v>
      </c>
      <c r="F36" s="28">
        <f t="shared" si="2"/>
        <v>15.897500000000001</v>
      </c>
      <c r="G36" s="28">
        <f t="shared" si="2"/>
        <v>138.8478260869565</v>
      </c>
      <c r="H36" s="28">
        <f t="shared" si="2"/>
        <v>58.916521739130438</v>
      </c>
      <c r="I36" s="28">
        <f t="shared" si="2"/>
        <v>0.97083333333333366</v>
      </c>
      <c r="J36" s="28">
        <f t="shared" si="2"/>
        <v>0.77833333333333321</v>
      </c>
      <c r="K36" s="28">
        <f t="shared" si="2"/>
        <v>159.68583333333331</v>
      </c>
      <c r="L36" s="28">
        <f t="shared" si="2"/>
        <v>28.959166666666665</v>
      </c>
      <c r="M36" s="28">
        <f t="shared" si="2"/>
        <v>40.708749999999995</v>
      </c>
      <c r="N36" s="28">
        <f t="shared" si="2"/>
        <v>166.37916666666669</v>
      </c>
      <c r="O36" s="28">
        <f t="shared" si="2"/>
        <v>0</v>
      </c>
      <c r="P36" s="28">
        <f t="shared" si="2"/>
        <v>2.0825000000000005</v>
      </c>
      <c r="Q36" s="28">
        <f t="shared" si="2"/>
        <v>31.763181818181817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57.771054545482372</v>
      </c>
      <c r="C37" s="28">
        <f t="shared" si="3" ref="C37:Q37">STDEV(C9:C32)</f>
        <v>24.492218462552319</v>
      </c>
      <c r="D37" s="28">
        <f t="shared" si="3"/>
        <v>56.040092595209977</v>
      </c>
      <c r="E37" s="28">
        <f t="shared" si="3"/>
        <v>9.7471207194145553</v>
      </c>
      <c r="F37" s="28">
        <f t="shared" si="3"/>
        <v>19.513616929010723</v>
      </c>
      <c r="G37" s="28">
        <f t="shared" si="3"/>
        <v>55.525965339447119</v>
      </c>
      <c r="H37" s="28">
        <f t="shared" si="3"/>
        <v>21.185652007623982</v>
      </c>
      <c r="I37" s="28">
        <f t="shared" si="3"/>
        <v>0.38476324359687475</v>
      </c>
      <c r="J37" s="28">
        <f t="shared" si="3"/>
        <v>0.62927609663573092</v>
      </c>
      <c r="K37" s="28">
        <f t="shared" si="3"/>
        <v>123.95253596917013</v>
      </c>
      <c r="L37" s="28">
        <f t="shared" si="3"/>
        <v>5.9904953099030989</v>
      </c>
      <c r="M37" s="28">
        <f t="shared" si="3"/>
        <v>19.840993425448627</v>
      </c>
      <c r="N37" s="28">
        <f t="shared" si="3"/>
        <v>207.90161966695914</v>
      </c>
      <c r="O37" s="28">
        <f t="shared" si="3"/>
        <v>0</v>
      </c>
      <c r="P37" s="28">
        <f t="shared" si="3"/>
        <v>1.0004661956786196</v>
      </c>
      <c r="Q37" s="28">
        <f t="shared" si="3"/>
        <v>7.3097002650839364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P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COUNT(Q9:Q32)+2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495a20a-799f-4bd0-ae71-ba1ac92ed01d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881696428571" defaultRowHeight="15"/>
  <cols>
    <col min="1" max="1" width="18.2857142857143" style="26" customWidth="1"/>
    <col min="2" max="2" width="18.4285714285714" style="20" customWidth="1"/>
    <col min="3" max="3" width="10.142857142857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04-03-2023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49" t="s">
        <v>135</v>
      </c>
      <c r="B9" s="50">
        <v>202.05</v>
      </c>
      <c r="C9" s="50">
        <v>114.89</v>
      </c>
      <c r="D9" s="50">
        <v>224.45</v>
      </c>
      <c r="E9" s="50">
        <v>7.31</v>
      </c>
      <c r="F9" s="50">
        <v>2.95</v>
      </c>
      <c r="G9" s="50">
        <v>189.74</v>
      </c>
      <c r="H9" s="50">
        <v>71.98</v>
      </c>
      <c r="I9" s="50">
        <v>1.93</v>
      </c>
      <c r="J9" s="50">
        <v>0.18</v>
      </c>
      <c r="K9" s="50">
        <v>321.69</v>
      </c>
      <c r="L9" s="50">
        <v>22.60</v>
      </c>
      <c r="M9" s="50">
        <v>56.57</v>
      </c>
      <c r="N9" s="50">
        <v>4.4000000000000004</v>
      </c>
      <c r="O9" s="50">
        <v>0</v>
      </c>
      <c r="P9" s="50">
        <v>4.0599999999999996</v>
      </c>
      <c r="Q9" s="50">
        <v>40.340000000000003</v>
      </c>
      <c r="R9" s="43"/>
      <c r="S9" s="43"/>
      <c r="T9" s="43"/>
      <c r="U9" s="43"/>
    </row>
    <row r="10" spans="1:21" s="11" customFormat="1" ht="15">
      <c r="A10" s="49" t="s">
        <v>136</v>
      </c>
      <c r="B10" s="50">
        <v>194.74</v>
      </c>
      <c r="C10" s="50">
        <v>109.97</v>
      </c>
      <c r="D10" s="50">
        <v>216.86</v>
      </c>
      <c r="E10" s="50">
        <v>7.42</v>
      </c>
      <c r="F10" s="50">
        <v>3.11</v>
      </c>
      <c r="G10" s="50">
        <v>187.60</v>
      </c>
      <c r="H10" s="50">
        <v>71.98</v>
      </c>
      <c r="I10" s="50">
        <v>1.97</v>
      </c>
      <c r="J10" s="50">
        <v>0.38</v>
      </c>
      <c r="K10" s="50">
        <v>352.12</v>
      </c>
      <c r="L10" s="50">
        <v>22.73</v>
      </c>
      <c r="M10" s="50">
        <v>56.93</v>
      </c>
      <c r="N10" s="50">
        <v>4.5999999999999996</v>
      </c>
      <c r="O10" s="50">
        <v>0</v>
      </c>
      <c r="P10" s="50">
        <v>3.75</v>
      </c>
      <c r="Q10" s="50">
        <v>39.729999999999997</v>
      </c>
      <c r="R10" s="43"/>
      <c r="S10" s="43"/>
      <c r="T10" s="43"/>
      <c r="U10" s="43"/>
    </row>
    <row r="11" spans="1:21" s="11" customFormat="1" ht="15">
      <c r="A11" s="49" t="s">
        <v>137</v>
      </c>
      <c r="B11" s="50">
        <v>182.94</v>
      </c>
      <c r="C11" s="50">
        <v>105.71</v>
      </c>
      <c r="D11" s="50">
        <v>205.04</v>
      </c>
      <c r="E11" s="50">
        <v>6.90</v>
      </c>
      <c r="F11" s="50">
        <v>3.07</v>
      </c>
      <c r="G11" s="50">
        <v>164.33</v>
      </c>
      <c r="H11" s="50">
        <v>70.72</v>
      </c>
      <c r="I11" s="50">
        <v>1.95</v>
      </c>
      <c r="J11" s="50">
        <v>0.15</v>
      </c>
      <c r="K11" s="50">
        <v>343.18</v>
      </c>
      <c r="L11" s="50">
        <v>21.14</v>
      </c>
      <c r="M11" s="50">
        <v>59.70</v>
      </c>
      <c r="N11" s="50">
        <v>4.70</v>
      </c>
      <c r="O11" s="50">
        <v>0</v>
      </c>
      <c r="P11" s="50">
        <v>3.60</v>
      </c>
      <c r="Q11" s="50">
        <v>40.71</v>
      </c>
      <c r="R11" s="43"/>
      <c r="S11" s="43"/>
      <c r="T11" s="43"/>
      <c r="U11" s="43"/>
    </row>
    <row r="12" spans="1:21" s="11" customFormat="1" ht="15">
      <c r="A12" s="49" t="s">
        <v>138</v>
      </c>
      <c r="B12" s="50">
        <v>168.68</v>
      </c>
      <c r="C12" s="50">
        <v>100.90</v>
      </c>
      <c r="D12" s="50">
        <v>190.95</v>
      </c>
      <c r="E12" s="50">
        <v>6.32</v>
      </c>
      <c r="F12" s="50">
        <v>3.02</v>
      </c>
      <c r="G12" s="50">
        <v>179.47</v>
      </c>
      <c r="H12" s="50">
        <v>73.680000000000007</v>
      </c>
      <c r="I12" s="50">
        <v>1.88</v>
      </c>
      <c r="J12" s="50">
        <v>0.15</v>
      </c>
      <c r="K12" s="50">
        <v>290.58</v>
      </c>
      <c r="L12" s="50">
        <v>20.76</v>
      </c>
      <c r="M12" s="50">
        <v>67.680000000000007</v>
      </c>
      <c r="N12" s="50">
        <v>4.4000000000000004</v>
      </c>
      <c r="O12" s="50">
        <v>0</v>
      </c>
      <c r="P12" s="50">
        <v>3.33</v>
      </c>
      <c r="Q12" s="50">
        <v>40.15</v>
      </c>
      <c r="R12" s="43"/>
      <c r="S12" s="43"/>
      <c r="T12" s="43"/>
      <c r="U12" s="43"/>
    </row>
    <row r="13" spans="1:21" s="11" customFormat="1" ht="15">
      <c r="A13" s="49" t="s">
        <v>139</v>
      </c>
      <c r="B13" s="50">
        <v>146.47</v>
      </c>
      <c r="C13" s="50">
        <v>96.18</v>
      </c>
      <c r="D13" s="50">
        <v>170.43</v>
      </c>
      <c r="E13" s="50">
        <v>6.42</v>
      </c>
      <c r="F13" s="50">
        <v>3.05</v>
      </c>
      <c r="G13" s="50">
        <v>179.47</v>
      </c>
      <c r="H13" s="50">
        <v>75.78</v>
      </c>
      <c r="I13" s="50">
        <v>1.74</v>
      </c>
      <c r="J13" s="50">
        <v>0.11</v>
      </c>
      <c r="K13" s="50">
        <v>325.97000000000003</v>
      </c>
      <c r="L13" s="50">
        <v>20.399999999999999</v>
      </c>
      <c r="M13" s="50">
        <v>69.09</v>
      </c>
      <c r="N13" s="50">
        <v>4.4000000000000004</v>
      </c>
      <c r="O13" s="50">
        <v>0</v>
      </c>
      <c r="P13" s="50">
        <v>2.98</v>
      </c>
      <c r="Q13" s="50">
        <v>37.75</v>
      </c>
      <c r="R13" s="43"/>
      <c r="S13" s="43"/>
      <c r="T13" s="43"/>
      <c r="U13" s="43"/>
    </row>
    <row r="14" spans="1:21" s="11" customFormat="1" ht="15">
      <c r="A14" s="49" t="s">
        <v>140</v>
      </c>
      <c r="B14" s="50">
        <v>149.5</v>
      </c>
      <c r="C14" s="50">
        <v>93.52</v>
      </c>
      <c r="D14" s="50">
        <v>170.42</v>
      </c>
      <c r="E14" s="50">
        <v>6.76</v>
      </c>
      <c r="F14" s="50">
        <v>3.06</v>
      </c>
      <c r="G14" s="50">
        <v>184.89</v>
      </c>
      <c r="H14" s="50">
        <v>75.78</v>
      </c>
      <c r="I14" s="50">
        <v>1.63</v>
      </c>
      <c r="J14" s="50">
        <v>0.16</v>
      </c>
      <c r="K14" s="50">
        <v>307.06</v>
      </c>
      <c r="L14" s="50">
        <v>19.71</v>
      </c>
      <c r="M14" s="50">
        <v>67.930000000000007</v>
      </c>
      <c r="N14" s="50">
        <v>4.4000000000000004</v>
      </c>
      <c r="O14" s="50">
        <v>0</v>
      </c>
      <c r="P14" s="50">
        <v>2.79</v>
      </c>
      <c r="Q14" s="50">
        <v>37.31</v>
      </c>
      <c r="R14" s="43"/>
      <c r="S14" s="43"/>
      <c r="T14" s="43"/>
      <c r="U14" s="43"/>
    </row>
    <row r="15" spans="1:21" s="11" customFormat="1" ht="15">
      <c r="A15" s="49" t="s">
        <v>141</v>
      </c>
      <c r="B15" s="50">
        <v>160.59</v>
      </c>
      <c r="C15" s="50">
        <v>93.70</v>
      </c>
      <c r="D15" s="50">
        <v>180.49</v>
      </c>
      <c r="E15" s="50">
        <v>6.47</v>
      </c>
      <c r="F15" s="50">
        <v>2.89</v>
      </c>
      <c r="G15" s="50">
        <v>184.89</v>
      </c>
      <c r="H15" s="50">
        <v>75.25</v>
      </c>
      <c r="I15" s="50">
        <v>1.55</v>
      </c>
      <c r="J15" s="50">
        <v>0.14000000000000001</v>
      </c>
      <c r="K15" s="50">
        <v>335.06</v>
      </c>
      <c r="L15" s="50">
        <v>19.79</v>
      </c>
      <c r="M15" s="50">
        <v>67.31</v>
      </c>
      <c r="N15" s="50">
        <v>44.40</v>
      </c>
      <c r="O15" s="50">
        <v>0</v>
      </c>
      <c r="P15" s="50">
        <v>2.54</v>
      </c>
      <c r="Q15" s="50">
        <v>38.82</v>
      </c>
      <c r="R15" s="43"/>
      <c r="S15" s="43"/>
      <c r="T15" s="43"/>
      <c r="U15" s="43"/>
    </row>
    <row r="16" spans="1:21" s="11" customFormat="1" ht="15">
      <c r="A16" s="49" t="s">
        <v>142</v>
      </c>
      <c r="B16" s="50">
        <v>168.73</v>
      </c>
      <c r="C16" s="50">
        <v>103.12</v>
      </c>
      <c r="D16" s="50">
        <v>191.32</v>
      </c>
      <c r="E16" s="50">
        <v>7.5</v>
      </c>
      <c r="F16" s="50">
        <v>3.19</v>
      </c>
      <c r="G16" s="50">
        <v>156.63</v>
      </c>
      <c r="H16" s="50">
        <v>73.040000000000006</v>
      </c>
      <c r="I16" s="50">
        <v>1.42</v>
      </c>
      <c r="J16" s="50">
        <v>0.32</v>
      </c>
      <c r="K16" s="50">
        <v>358.79</v>
      </c>
      <c r="L16" s="50">
        <v>28.97</v>
      </c>
      <c r="M16" s="50">
        <v>59.20</v>
      </c>
      <c r="N16" s="50">
        <v>242</v>
      </c>
      <c r="O16" s="50">
        <v>0</v>
      </c>
      <c r="P16" s="50">
        <v>2.4300000000000002</v>
      </c>
      <c r="Q16" s="50">
        <v>38.90</v>
      </c>
      <c r="R16" s="43"/>
      <c r="S16" s="43"/>
      <c r="T16" s="43"/>
      <c r="U16" s="43"/>
    </row>
    <row r="17" spans="1:21" s="11" customFormat="1" ht="15">
      <c r="A17" s="49" t="s">
        <v>143</v>
      </c>
      <c r="B17" s="50">
        <v>155.96</v>
      </c>
      <c r="C17" s="50">
        <v>106.95</v>
      </c>
      <c r="D17" s="50">
        <v>183.13</v>
      </c>
      <c r="E17" s="50">
        <v>9.19</v>
      </c>
      <c r="F17" s="50">
        <v>5.53</v>
      </c>
      <c r="G17" s="50">
        <v>156.63</v>
      </c>
      <c r="H17" s="50">
        <v>69.040000000000006</v>
      </c>
      <c r="I17" s="50">
        <v>1.35</v>
      </c>
      <c r="J17" s="50">
        <v>0.67</v>
      </c>
      <c r="K17" s="50">
        <v>119.01</v>
      </c>
      <c r="L17" s="50">
        <v>31.76</v>
      </c>
      <c r="M17" s="50">
        <v>31.36</v>
      </c>
      <c r="N17" s="50">
        <v>402.40</v>
      </c>
      <c r="O17" s="50">
        <v>0</v>
      </c>
      <c r="P17" s="50">
        <v>2.38</v>
      </c>
      <c r="Q17" s="50">
        <v>37.74</v>
      </c>
      <c r="R17" s="43"/>
      <c r="S17" s="43"/>
      <c r="T17" s="43"/>
      <c r="U17" s="43"/>
    </row>
    <row r="18" spans="1:21" s="11" customFormat="1" ht="15">
      <c r="A18" s="49" t="s">
        <v>144</v>
      </c>
      <c r="B18" s="50">
        <v>133.56</v>
      </c>
      <c r="C18" s="50">
        <v>115.44</v>
      </c>
      <c r="D18" s="50">
        <v>165.90</v>
      </c>
      <c r="E18" s="50">
        <v>6.97</v>
      </c>
      <c r="F18" s="50">
        <v>4.43</v>
      </c>
      <c r="G18" s="50">
        <v>144.97999999999999</v>
      </c>
      <c r="H18" s="50">
        <v>68.23</v>
      </c>
      <c r="I18" s="50">
        <v>1.25</v>
      </c>
      <c r="J18" s="50">
        <v>1.23</v>
      </c>
      <c r="K18" s="50">
        <v>114.13</v>
      </c>
      <c r="L18" s="50">
        <v>32.68</v>
      </c>
      <c r="M18" s="50">
        <v>23.22</v>
      </c>
      <c r="N18" s="50">
        <v>549.90</v>
      </c>
      <c r="O18" s="50">
        <v>0</v>
      </c>
      <c r="P18" s="50">
        <v>2.21</v>
      </c>
      <c r="Q18" s="50">
        <v>37.57</v>
      </c>
      <c r="R18" s="43"/>
      <c r="S18" s="43"/>
      <c r="T18" s="43"/>
      <c r="U18" s="43"/>
    </row>
    <row r="19" spans="1:21" s="11" customFormat="1" ht="15">
      <c r="A19" s="49" t="s">
        <v>145</v>
      </c>
      <c r="B19" s="50">
        <v>91.76</v>
      </c>
      <c r="C19" s="50">
        <v>140.65</v>
      </c>
      <c r="D19" s="50">
        <v>140.02000000000001</v>
      </c>
      <c r="E19" s="50">
        <v>38.01</v>
      </c>
      <c r="F19" s="50">
        <v>37.549999999999997</v>
      </c>
      <c r="G19" s="50">
        <v>99.43</v>
      </c>
      <c r="H19" s="50">
        <v>59.03</v>
      </c>
      <c r="I19" s="50">
        <v>1.1299999999999999</v>
      </c>
      <c r="J19" s="50">
        <v>1</v>
      </c>
      <c r="K19" s="50">
        <v>124.89</v>
      </c>
      <c r="L19" s="50">
        <v>34.31</v>
      </c>
      <c r="M19" s="50">
        <v>20.14</v>
      </c>
      <c r="N19" s="50">
        <v>549.5</v>
      </c>
      <c r="O19" s="50">
        <v>0</v>
      </c>
      <c r="P19" s="50">
        <v>1.95</v>
      </c>
      <c r="Q19" s="50">
        <v>37.090000000000003</v>
      </c>
      <c r="R19" s="43"/>
      <c r="S19" s="43"/>
      <c r="T19" s="43"/>
      <c r="U19" s="43"/>
    </row>
    <row r="20" spans="1:21" s="11" customFormat="1" ht="15">
      <c r="A20" s="49" t="s">
        <v>146</v>
      </c>
      <c r="B20" s="50">
        <v>0.31</v>
      </c>
      <c r="C20" s="50">
        <v>62.55</v>
      </c>
      <c r="D20" s="50">
        <v>34.630000000000003</v>
      </c>
      <c r="E20" s="50">
        <v>43.45</v>
      </c>
      <c r="F20" s="50">
        <v>44.25</v>
      </c>
      <c r="G20" s="50">
        <v>84.21</v>
      </c>
      <c r="H20" s="50">
        <v>55.52</v>
      </c>
      <c r="I20" s="50">
        <v>0.79</v>
      </c>
      <c r="J20" s="50">
        <v>1.0900000000000001</v>
      </c>
      <c r="K20" s="50">
        <v>125.36</v>
      </c>
      <c r="L20" s="50">
        <v>35</v>
      </c>
      <c r="M20" s="50">
        <v>16.690000000000001</v>
      </c>
      <c r="N20" s="50">
        <v>571</v>
      </c>
      <c r="O20" s="50">
        <v>0</v>
      </c>
      <c r="P20" s="50">
        <v>0.55000000000000004</v>
      </c>
      <c r="Q20" s="50">
        <v>16.41</v>
      </c>
      <c r="R20" s="43"/>
      <c r="S20" s="43"/>
      <c r="T20" s="43"/>
      <c r="U20" s="43"/>
    </row>
    <row r="21" spans="1:21" s="11" customFormat="1" ht="15">
      <c r="A21" s="49" t="s">
        <v>147</v>
      </c>
      <c r="B21" s="50">
        <v>2.4300000000000002</v>
      </c>
      <c r="C21" s="50">
        <v>71.11</v>
      </c>
      <c r="D21" s="50">
        <v>41.19</v>
      </c>
      <c r="E21" s="50">
        <v>16.88</v>
      </c>
      <c r="F21" s="50">
        <v>24.64</v>
      </c>
      <c r="G21" s="50">
        <v>69.87</v>
      </c>
      <c r="H21" s="50">
        <v>45.81</v>
      </c>
      <c r="I21" s="50">
        <v>0.55000000000000004</v>
      </c>
      <c r="J21" s="50">
        <v>1.22</v>
      </c>
      <c r="K21" s="50">
        <v>122.75</v>
      </c>
      <c r="L21" s="50">
        <v>39.24</v>
      </c>
      <c r="M21" s="50">
        <v>13.64</v>
      </c>
      <c r="N21" s="50">
        <v>557.40</v>
      </c>
      <c r="O21" s="50">
        <v>0</v>
      </c>
      <c r="P21" s="50">
        <v>0.5</v>
      </c>
      <c r="Q21" s="50">
        <v>18.559999999999999</v>
      </c>
      <c r="R21" s="43"/>
      <c r="S21" s="43"/>
      <c r="T21" s="43"/>
      <c r="U21" s="43"/>
    </row>
    <row r="22" spans="1:21" s="11" customFormat="1" ht="15">
      <c r="A22" s="49" t="s">
        <v>148</v>
      </c>
      <c r="B22" s="50">
        <v>2.69</v>
      </c>
      <c r="C22" s="50">
        <v>81.13</v>
      </c>
      <c r="D22" s="50">
        <v>46.92</v>
      </c>
      <c r="E22" s="50">
        <v>7.33</v>
      </c>
      <c r="F22" s="50">
        <v>13.18</v>
      </c>
      <c r="G22" s="50">
        <v>48.80</v>
      </c>
      <c r="H22" s="50">
        <v>37.82</v>
      </c>
      <c r="I22" s="50">
        <v>0.62</v>
      </c>
      <c r="J22" s="50">
        <v>1.07</v>
      </c>
      <c r="K22" s="50">
        <v>84.90</v>
      </c>
      <c r="L22" s="50">
        <v>40.049999999999997</v>
      </c>
      <c r="M22" s="50">
        <v>11.45</v>
      </c>
      <c r="N22" s="50">
        <v>496.70</v>
      </c>
      <c r="O22" s="50">
        <v>0</v>
      </c>
      <c r="P22" s="50">
        <v>0.62</v>
      </c>
      <c r="Q22" s="50">
        <v>23.24</v>
      </c>
      <c r="R22" s="43"/>
      <c r="S22" s="43"/>
      <c r="T22" s="43"/>
      <c r="U22" s="43"/>
    </row>
    <row r="23" spans="1:21" s="11" customFormat="1" ht="15">
      <c r="A23" s="49" t="s">
        <v>149</v>
      </c>
      <c r="B23" s="50">
        <v>2.98</v>
      </c>
      <c r="C23" s="50">
        <v>87.86</v>
      </c>
      <c r="D23" s="50">
        <v>50.87</v>
      </c>
      <c r="E23" s="50">
        <v>16.84</v>
      </c>
      <c r="F23" s="50">
        <v>25.89</v>
      </c>
      <c r="G23" s="50">
        <v>42.63</v>
      </c>
      <c r="H23" s="50">
        <v>27.07</v>
      </c>
      <c r="I23" s="50">
        <v>0.63</v>
      </c>
      <c r="J23" s="50">
        <v>1.59</v>
      </c>
      <c r="K23" s="50">
        <v>60.07</v>
      </c>
      <c r="L23" s="50">
        <v>40.229999999999997</v>
      </c>
      <c r="M23" s="50">
        <v>10.130000000000001</v>
      </c>
      <c r="N23" s="50">
        <v>430</v>
      </c>
      <c r="O23" s="50">
        <v>0</v>
      </c>
      <c r="P23" s="50">
        <v>0.64</v>
      </c>
      <c r="Q23" s="50">
        <v>23.84</v>
      </c>
      <c r="R23" s="43"/>
      <c r="S23" s="43"/>
      <c r="T23" s="43"/>
      <c r="U23" s="43"/>
    </row>
    <row r="24" spans="1:21" s="11" customFormat="1" ht="15">
      <c r="A24" s="49" t="s">
        <v>150</v>
      </c>
      <c r="B24" s="50">
        <v>2.87</v>
      </c>
      <c r="C24" s="50">
        <v>84.38</v>
      </c>
      <c r="D24" s="50">
        <v>48.65</v>
      </c>
      <c r="E24" s="50">
        <v>20.47</v>
      </c>
      <c r="F24" s="50">
        <v>33.33</v>
      </c>
      <c r="G24" s="50">
        <v>45.22</v>
      </c>
      <c r="H24" s="50">
        <v>24.51</v>
      </c>
      <c r="I24" s="50">
        <v>0.60</v>
      </c>
      <c r="J24" s="50">
        <v>1.37</v>
      </c>
      <c r="K24" s="50">
        <v>115.81</v>
      </c>
      <c r="L24" s="50">
        <v>37.32</v>
      </c>
      <c r="M24" s="50">
        <v>10.76</v>
      </c>
      <c r="N24" s="50">
        <v>355.5</v>
      </c>
      <c r="O24" s="50">
        <v>0</v>
      </c>
      <c r="P24" s="50">
        <v>0.59</v>
      </c>
      <c r="Q24" s="50">
        <v>22.94</v>
      </c>
      <c r="R24" s="43"/>
      <c r="S24" s="43"/>
      <c r="T24" s="43"/>
      <c r="U24" s="43"/>
    </row>
    <row r="25" spans="1:21" s="11" customFormat="1" ht="15">
      <c r="A25" s="49" t="s">
        <v>151</v>
      </c>
      <c r="B25" s="50">
        <v>5.32</v>
      </c>
      <c r="C25" s="50">
        <v>87.78</v>
      </c>
      <c r="D25" s="50">
        <v>52.71</v>
      </c>
      <c r="E25" s="50">
        <v>21.99</v>
      </c>
      <c r="F25" s="50">
        <v>24.25</v>
      </c>
      <c r="G25" s="50">
        <v>45.22</v>
      </c>
      <c r="H25" s="50">
        <v>17.38</v>
      </c>
      <c r="I25" s="50">
        <v>0.56999999999999995</v>
      </c>
      <c r="J25" s="50">
        <v>0.77</v>
      </c>
      <c r="K25" s="50">
        <v>105.54</v>
      </c>
      <c r="L25" s="50">
        <v>35.14</v>
      </c>
      <c r="M25" s="50">
        <v>11.88</v>
      </c>
      <c r="N25" s="50">
        <v>111</v>
      </c>
      <c r="O25" s="50">
        <v>0</v>
      </c>
      <c r="P25" s="50">
        <v>0.66</v>
      </c>
      <c r="Q25" s="50">
        <v>23.24</v>
      </c>
      <c r="R25" s="43"/>
      <c r="S25" s="43"/>
      <c r="T25" s="43"/>
      <c r="U25" s="43"/>
    </row>
    <row r="26" spans="1:21" s="11" customFormat="1" ht="15">
      <c r="A26" s="49" t="s">
        <v>152</v>
      </c>
      <c r="B26" s="50">
        <v>4.6500000000000004</v>
      </c>
      <c r="C26" s="50">
        <v>95.21</v>
      </c>
      <c r="D26" s="50">
        <v>56.11</v>
      </c>
      <c r="E26" s="50">
        <v>20.399999999999999</v>
      </c>
      <c r="F26" s="50">
        <v>26.23</v>
      </c>
      <c r="G26" s="50">
        <v>43.87</v>
      </c>
      <c r="H26" s="50">
        <v>14.75</v>
      </c>
      <c r="I26" s="50">
        <v>0.60</v>
      </c>
      <c r="J26" s="50">
        <v>0.55000000000000004</v>
      </c>
      <c r="K26" s="50">
        <v>96.22</v>
      </c>
      <c r="L26" s="50">
        <v>33.61</v>
      </c>
      <c r="M26" s="50">
        <v>17.489999999999998</v>
      </c>
      <c r="N26" s="50">
        <v>42.70</v>
      </c>
      <c r="O26" s="50">
        <v>0</v>
      </c>
      <c r="P26" s="50">
        <v>2</v>
      </c>
      <c r="Q26" s="50">
        <v>22.67</v>
      </c>
      <c r="R26" s="43"/>
      <c r="S26" s="43"/>
      <c r="T26" s="43"/>
      <c r="U26" s="43"/>
    </row>
    <row r="27" spans="1:21" s="11" customFormat="1" ht="15">
      <c r="A27" s="49" t="s">
        <v>153</v>
      </c>
      <c r="B27" s="50">
        <v>31.77</v>
      </c>
      <c r="C27" s="50">
        <v>111.36</v>
      </c>
      <c r="D27" s="50">
        <v>86.93</v>
      </c>
      <c r="E27" s="50">
        <v>5.78</v>
      </c>
      <c r="F27" s="50">
        <v>4.04</v>
      </c>
      <c r="G27" s="50">
        <v>139.88</v>
      </c>
      <c r="H27" s="50">
        <v>30.07</v>
      </c>
      <c r="I27" s="50">
        <v>1.26</v>
      </c>
      <c r="J27" s="50">
        <v>0.23</v>
      </c>
      <c r="K27" s="50">
        <v>144.96</v>
      </c>
      <c r="L27" s="50">
        <v>31.05</v>
      </c>
      <c r="M27" s="50">
        <v>27.14</v>
      </c>
      <c r="N27" s="50">
        <v>5.80</v>
      </c>
      <c r="O27" s="50">
        <v>0</v>
      </c>
      <c r="P27" s="50">
        <v>4.1500000000000004</v>
      </c>
      <c r="Q27" s="50">
        <v>22.82</v>
      </c>
      <c r="R27" s="43"/>
      <c r="S27" s="43"/>
      <c r="T27" s="43"/>
      <c r="U27" s="43"/>
    </row>
    <row r="28" spans="1:21" s="11" customFormat="1" ht="15">
      <c r="A28" s="49" t="s">
        <v>154</v>
      </c>
      <c r="B28" s="50">
        <v>59.66</v>
      </c>
      <c r="C28" s="50">
        <v>113.91</v>
      </c>
      <c r="D28" s="50">
        <v>110.49</v>
      </c>
      <c r="E28" s="50">
        <v>4.72</v>
      </c>
      <c r="F28" s="50">
        <v>3.27</v>
      </c>
      <c r="G28" s="50">
        <v>182.69</v>
      </c>
      <c r="H28" s="50">
        <v>41.52</v>
      </c>
      <c r="I28" s="50">
        <v>1.72</v>
      </c>
      <c r="J28" s="50">
        <v>0.14000000000000001</v>
      </c>
      <c r="K28" s="50">
        <v>321.27999999999997</v>
      </c>
      <c r="L28" s="50">
        <v>27.79</v>
      </c>
      <c r="M28" s="50">
        <v>32.79</v>
      </c>
      <c r="N28" s="50">
        <v>4.30</v>
      </c>
      <c r="O28" s="50">
        <v>0</v>
      </c>
      <c r="P28" s="50">
        <v>4.22</v>
      </c>
      <c r="Q28" s="50">
        <v>27.15</v>
      </c>
      <c r="R28" s="43"/>
      <c r="S28" s="43"/>
      <c r="T28" s="43"/>
      <c r="U28" s="43"/>
    </row>
    <row r="29" spans="1:21" s="11" customFormat="1" ht="15">
      <c r="A29" s="49" t="s">
        <v>155</v>
      </c>
      <c r="B29" s="50">
        <v>94.62</v>
      </c>
      <c r="C29" s="50">
        <v>115.29</v>
      </c>
      <c r="D29" s="50">
        <v>139.51</v>
      </c>
      <c r="E29" s="50">
        <v>4.88</v>
      </c>
      <c r="F29" s="50">
        <v>3.16</v>
      </c>
      <c r="G29" s="50">
        <v>202.43</v>
      </c>
      <c r="H29" s="50">
        <v>55.31</v>
      </c>
      <c r="I29" s="50">
        <v>1.89</v>
      </c>
      <c r="J29" s="50">
        <v>0.41</v>
      </c>
      <c r="K29" s="50">
        <v>228.39</v>
      </c>
      <c r="L29" s="50">
        <v>27.68</v>
      </c>
      <c r="M29" s="50">
        <v>40.04</v>
      </c>
      <c r="N29" s="50">
        <v>4.5999999999999996</v>
      </c>
      <c r="O29" s="50">
        <v>0</v>
      </c>
      <c r="P29" s="50">
        <v>4.66</v>
      </c>
      <c r="Q29" s="50">
        <v>32.700000000000003</v>
      </c>
      <c r="R29" s="43"/>
      <c r="S29" s="43"/>
      <c r="T29" s="43"/>
      <c r="U29" s="43"/>
    </row>
    <row r="30" spans="1:21" s="11" customFormat="1" ht="15">
      <c r="A30" s="49" t="s">
        <v>156</v>
      </c>
      <c r="B30" s="50">
        <v>123.48</v>
      </c>
      <c r="C30" s="50">
        <v>116.56</v>
      </c>
      <c r="D30" s="50">
        <v>163.30000000000001</v>
      </c>
      <c r="E30" s="50">
        <v>4.8499999999999996</v>
      </c>
      <c r="F30" s="50">
        <v>2.90</v>
      </c>
      <c r="G30" s="50">
        <v>202.43</v>
      </c>
      <c r="H30" s="50">
        <v>55.31</v>
      </c>
      <c r="I30" s="50">
        <v>1.28</v>
      </c>
      <c r="J30" s="50">
        <v>0.15</v>
      </c>
      <c r="K30" s="50">
        <v>340.49</v>
      </c>
      <c r="L30" s="50">
        <v>25.55</v>
      </c>
      <c r="M30" s="50">
        <v>39.74</v>
      </c>
      <c r="N30" s="50">
        <v>4.80</v>
      </c>
      <c r="O30" s="50">
        <v>0</v>
      </c>
      <c r="P30" s="50">
        <v>3.39</v>
      </c>
      <c r="Q30" s="50">
        <v>34.659999999999997</v>
      </c>
      <c r="R30" s="43"/>
      <c r="S30" s="43"/>
      <c r="T30" s="43"/>
      <c r="U30" s="43"/>
    </row>
    <row r="31" spans="1:21" s="11" customFormat="1" ht="15">
      <c r="A31" s="49" t="s">
        <v>157</v>
      </c>
      <c r="B31" s="50">
        <v>151.05000000000001</v>
      </c>
      <c r="C31" s="50">
        <v>114.83</v>
      </c>
      <c r="D31" s="50">
        <v>184.18</v>
      </c>
      <c r="E31" s="50">
        <v>4.91</v>
      </c>
      <c r="F31" s="50">
        <v>3.58</v>
      </c>
      <c r="G31" s="50">
        <v>207.57</v>
      </c>
      <c r="H31" s="50">
        <v>62.82</v>
      </c>
      <c r="I31" s="50">
        <v>1.74</v>
      </c>
      <c r="J31" s="50">
        <v>0.14000000000000001</v>
      </c>
      <c r="K31" s="50">
        <v>134.57</v>
      </c>
      <c r="L31" s="50">
        <v>24.37</v>
      </c>
      <c r="M31" s="50">
        <v>43.32</v>
      </c>
      <c r="N31" s="50">
        <v>4.4000000000000004</v>
      </c>
      <c r="O31" s="50">
        <v>0</v>
      </c>
      <c r="P31" s="50">
        <v>3.93</v>
      </c>
      <c r="Q31" s="50">
        <v>36.01</v>
      </c>
      <c r="R31" s="43"/>
      <c r="S31" s="43"/>
      <c r="T31" s="43"/>
      <c r="U31" s="43"/>
    </row>
    <row r="32" spans="1:21" s="11" customFormat="1" ht="15">
      <c r="A32" s="49" t="s">
        <v>158</v>
      </c>
      <c r="B32" s="50">
        <v>176.80</v>
      </c>
      <c r="C32" s="50">
        <v>113.77</v>
      </c>
      <c r="D32" s="50">
        <v>203.45</v>
      </c>
      <c r="E32" s="50">
        <v>5.18</v>
      </c>
      <c r="F32" s="50">
        <v>3.09</v>
      </c>
      <c r="G32" s="50">
        <v>207.57</v>
      </c>
      <c r="H32" s="50">
        <v>62.82</v>
      </c>
      <c r="I32" s="50">
        <v>1.52</v>
      </c>
      <c r="J32" s="50">
        <v>0.14000000000000001</v>
      </c>
      <c r="K32" s="50">
        <v>306.5</v>
      </c>
      <c r="L32" s="50">
        <v>23.29</v>
      </c>
      <c r="M32" s="50">
        <v>51.01</v>
      </c>
      <c r="N32" s="50">
        <v>4.4000000000000004</v>
      </c>
      <c r="O32" s="50">
        <v>0</v>
      </c>
      <c r="P32" s="50">
        <v>2.97</v>
      </c>
      <c r="Q32" s="50">
        <v>39.31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0.31</v>
      </c>
      <c r="C34" s="28">
        <f t="shared" si="0"/>
        <v>62.549999999999997</v>
      </c>
      <c r="D34" s="28">
        <f t="shared" si="0"/>
        <v>34.630000000000003</v>
      </c>
      <c r="E34" s="28">
        <f t="shared" si="0"/>
        <v>4.7199999999999998</v>
      </c>
      <c r="F34" s="28">
        <f t="shared" si="0"/>
        <v>2.8900000000000001</v>
      </c>
      <c r="G34" s="28">
        <f t="shared" si="0"/>
        <v>42.630000000000003</v>
      </c>
      <c r="H34" s="28">
        <f t="shared" si="0"/>
        <v>14.75</v>
      </c>
      <c r="I34" s="28">
        <f t="shared" si="0"/>
        <v>0.55000000000000004</v>
      </c>
      <c r="J34" s="28">
        <f t="shared" si="0"/>
        <v>0.11</v>
      </c>
      <c r="K34" s="28">
        <f t="shared" si="0"/>
        <v>60.07</v>
      </c>
      <c r="L34" s="28">
        <f t="shared" si="0"/>
        <v>19.710000000000001</v>
      </c>
      <c r="M34" s="28">
        <f t="shared" si="0"/>
        <v>10.130000000000001</v>
      </c>
      <c r="N34" s="28">
        <f t="shared" si="0"/>
        <v>4.2999999999999998</v>
      </c>
      <c r="O34" s="28">
        <f t="shared" si="0"/>
        <v>0</v>
      </c>
      <c r="P34" s="28">
        <f t="shared" si="0"/>
        <v>0.5</v>
      </c>
      <c r="Q34" s="28">
        <f t="shared" si="0"/>
        <v>16.41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202.05000000000001</v>
      </c>
      <c r="C35" s="29">
        <f t="shared" si="1"/>
        <v>140.65000000000001</v>
      </c>
      <c r="D35" s="29">
        <f t="shared" si="1"/>
        <v>224.44999999999999</v>
      </c>
      <c r="E35" s="29">
        <f t="shared" si="1"/>
        <v>43.450000000000003</v>
      </c>
      <c r="F35" s="29">
        <f t="shared" si="1"/>
        <v>44.25</v>
      </c>
      <c r="G35" s="29">
        <f t="shared" si="1"/>
        <v>207.56999999999999</v>
      </c>
      <c r="H35" s="29">
        <f t="shared" si="1"/>
        <v>75.780000000000001</v>
      </c>
      <c r="I35" s="29">
        <f t="shared" si="1"/>
        <v>1.97</v>
      </c>
      <c r="J35" s="29">
        <f t="shared" si="1"/>
        <v>1.5900000000000001</v>
      </c>
      <c r="K35" s="29">
        <f t="shared" si="1"/>
        <v>358.79000000000002</v>
      </c>
      <c r="L35" s="29">
        <f t="shared" si="1"/>
        <v>40.229999999999997</v>
      </c>
      <c r="M35" s="29">
        <f t="shared" si="1"/>
        <v>69.090000000000003</v>
      </c>
      <c r="N35" s="29">
        <f t="shared" si="1"/>
        <v>571</v>
      </c>
      <c r="O35" s="29">
        <f t="shared" si="1"/>
        <v>0</v>
      </c>
      <c r="P35" s="29">
        <f t="shared" si="1"/>
        <v>4.6600000000000001</v>
      </c>
      <c r="Q35" s="29">
        <f t="shared" si="1"/>
        <v>40.710000000000001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100.56708333333336</v>
      </c>
      <c r="C36" s="28">
        <f t="shared" si="2"/>
        <v>101.53208333333333</v>
      </c>
      <c r="D36" s="28">
        <f t="shared" si="2"/>
        <v>135.74791666666667</v>
      </c>
      <c r="E36" s="28">
        <f t="shared" si="2"/>
        <v>11.956250000000004</v>
      </c>
      <c r="F36" s="28">
        <f t="shared" si="2"/>
        <v>11.819166666666666</v>
      </c>
      <c r="G36" s="28">
        <f t="shared" si="2"/>
        <v>139.60208333333333</v>
      </c>
      <c r="H36" s="28">
        <f t="shared" si="2"/>
        <v>54.800833333333323</v>
      </c>
      <c r="I36" s="28">
        <f t="shared" si="2"/>
        <v>1.3154166666666667</v>
      </c>
      <c r="J36" s="28">
        <f t="shared" si="2"/>
        <v>0.55666666666666687</v>
      </c>
      <c r="K36" s="28">
        <f t="shared" si="2"/>
        <v>215.80499999999998</v>
      </c>
      <c r="L36" s="28">
        <f t="shared" si="2"/>
        <v>28.965416666666659</v>
      </c>
      <c r="M36" s="28">
        <f t="shared" si="2"/>
        <v>37.717083333333335</v>
      </c>
      <c r="N36" s="28">
        <f t="shared" si="2"/>
        <v>183.65416666666667</v>
      </c>
      <c r="O36" s="28">
        <f t="shared" si="2"/>
        <v>0</v>
      </c>
      <c r="P36" s="28">
        <f t="shared" si="2"/>
        <v>2.5374999999999992</v>
      </c>
      <c r="Q36" s="28">
        <f t="shared" si="2"/>
        <v>32.069166666666668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75.037969489027532</v>
      </c>
      <c r="C37" s="28">
        <f t="shared" si="3" ref="C37:Q37">STDEV(C9:C32)</f>
        <v>17.118847223268933</v>
      </c>
      <c r="D37" s="28">
        <f t="shared" si="3"/>
        <v>65.531723879365799</v>
      </c>
      <c r="E37" s="28">
        <f t="shared" si="3"/>
        <v>10.44837737038211</v>
      </c>
      <c r="F37" s="28">
        <f t="shared" si="3"/>
        <v>13.262620213499902</v>
      </c>
      <c r="G37" s="28">
        <f t="shared" si="3"/>
        <v>61.31998865390058</v>
      </c>
      <c r="H37" s="28">
        <f t="shared" si="3"/>
        <v>20.010767735454841</v>
      </c>
      <c r="I37" s="28">
        <f t="shared" si="3"/>
        <v>0.51192712768319948</v>
      </c>
      <c r="J37" s="28">
        <f t="shared" si="3"/>
        <v>0.48140795920757862</v>
      </c>
      <c r="K37" s="28">
        <f t="shared" si="3"/>
        <v>109.55887799638181</v>
      </c>
      <c r="L37" s="28">
        <f t="shared" si="3"/>
        <v>6.8997989757526836</v>
      </c>
      <c r="M37" s="28">
        <f t="shared" si="3"/>
        <v>21.396282179929965</v>
      </c>
      <c r="N37" s="28">
        <f t="shared" si="3"/>
        <v>230.91837816247627</v>
      </c>
      <c r="O37" s="28">
        <f t="shared" si="3"/>
        <v>0</v>
      </c>
      <c r="P37" s="28">
        <f t="shared" si="3"/>
        <v>1.3524189278924417</v>
      </c>
      <c r="Q37" s="28">
        <f t="shared" si="3"/>
        <v>8.1146501527452859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8582102-1a6c-4938-9241-144c9dacaa37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39" sqref="G39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05-03-2023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49" t="s">
        <v>159</v>
      </c>
      <c r="B9" s="50">
        <v>180.90</v>
      </c>
      <c r="C9" s="50">
        <v>111.58</v>
      </c>
      <c r="D9" s="50">
        <v>206.35</v>
      </c>
      <c r="E9" s="50">
        <v>6.98</v>
      </c>
      <c r="F9" s="50">
        <v>2.95</v>
      </c>
      <c r="G9" s="50">
        <v>158.53</v>
      </c>
      <c r="H9" s="50">
        <v>61.56</v>
      </c>
      <c r="I9" s="50">
        <v>1.49</v>
      </c>
      <c r="J9" s="50">
        <v>0.48</v>
      </c>
      <c r="K9" s="50">
        <v>60.62</v>
      </c>
      <c r="L9" s="50">
        <v>24.77</v>
      </c>
      <c r="M9" s="50">
        <v>52.80</v>
      </c>
      <c r="N9" s="50">
        <v>4.20</v>
      </c>
      <c r="O9" s="50">
        <v>0</v>
      </c>
      <c r="P9" s="50">
        <v>2.87</v>
      </c>
      <c r="Q9" s="50">
        <v>40.549999999999997</v>
      </c>
      <c r="R9" s="43"/>
      <c r="S9" s="43"/>
      <c r="T9" s="43"/>
      <c r="U9" s="43"/>
    </row>
    <row r="10" spans="1:21" s="11" customFormat="1" ht="15">
      <c r="A10" s="49" t="s">
        <v>160</v>
      </c>
      <c r="B10" s="50">
        <v>163.11000000000001</v>
      </c>
      <c r="C10" s="50">
        <v>110.63</v>
      </c>
      <c r="D10" s="50">
        <v>191.84</v>
      </c>
      <c r="E10" s="50">
        <v>7.46</v>
      </c>
      <c r="F10" s="50">
        <v>3.85</v>
      </c>
      <c r="G10" s="50">
        <v>158.53</v>
      </c>
      <c r="H10" s="50">
        <v>74.92</v>
      </c>
      <c r="I10" s="50">
        <v>1.48</v>
      </c>
      <c r="J10" s="50">
        <v>0.27</v>
      </c>
      <c r="K10" s="50">
        <v>151.38999999999999</v>
      </c>
      <c r="L10" s="50">
        <v>24.36</v>
      </c>
      <c r="M10" s="50">
        <v>38.74</v>
      </c>
      <c r="N10" s="50">
        <v>4.70</v>
      </c>
      <c r="O10" s="50">
        <v>0</v>
      </c>
      <c r="P10" s="50">
        <v>2.76</v>
      </c>
      <c r="Q10" s="50">
        <v>39.840000000000003</v>
      </c>
      <c r="R10" s="43"/>
      <c r="S10" s="43"/>
      <c r="T10" s="43"/>
      <c r="U10" s="43"/>
    </row>
    <row r="11" spans="1:21" s="11" customFormat="1" ht="15">
      <c r="A11" s="49" t="s">
        <v>161</v>
      </c>
      <c r="B11" s="50">
        <v>144.83000000000001</v>
      </c>
      <c r="C11" s="50">
        <v>108</v>
      </c>
      <c r="D11" s="50">
        <v>175.75</v>
      </c>
      <c r="E11" s="50">
        <v>5.91</v>
      </c>
      <c r="F11" s="50">
        <v>3.02</v>
      </c>
      <c r="G11" s="8" t="s">
        <v>8</v>
      </c>
      <c r="H11" s="50">
        <v>77.58</v>
      </c>
      <c r="I11" s="50">
        <v>1.23</v>
      </c>
      <c r="J11" s="50">
        <v>0.17</v>
      </c>
      <c r="K11" s="50">
        <v>341.36</v>
      </c>
      <c r="L11" s="50">
        <v>21.95</v>
      </c>
      <c r="M11" s="50">
        <v>51.56</v>
      </c>
      <c r="N11" s="50">
        <v>4.80</v>
      </c>
      <c r="O11" s="50">
        <v>0</v>
      </c>
      <c r="P11" s="50">
        <v>2.5099999999999998</v>
      </c>
      <c r="Q11" s="50">
        <v>37.82</v>
      </c>
      <c r="R11" s="43"/>
      <c r="S11" s="43"/>
      <c r="T11" s="43"/>
      <c r="U11" s="43"/>
    </row>
    <row r="12" spans="1:21" s="11" customFormat="1" ht="15">
      <c r="A12" s="49" t="s">
        <v>162</v>
      </c>
      <c r="B12" s="50">
        <v>134.61000000000001</v>
      </c>
      <c r="C12" s="50">
        <v>105.30</v>
      </c>
      <c r="D12" s="50">
        <v>165.73</v>
      </c>
      <c r="E12" s="50">
        <v>5.68</v>
      </c>
      <c r="F12" s="50">
        <v>3.08</v>
      </c>
      <c r="G12" s="50">
        <v>136.96</v>
      </c>
      <c r="H12" s="50">
        <v>77.58</v>
      </c>
      <c r="I12" s="50">
        <v>1.21</v>
      </c>
      <c r="J12" s="50">
        <v>0.35</v>
      </c>
      <c r="K12" s="50">
        <v>86.93</v>
      </c>
      <c r="L12" s="50">
        <v>23.62</v>
      </c>
      <c r="M12" s="50">
        <v>42.78</v>
      </c>
      <c r="N12" s="50">
        <v>4</v>
      </c>
      <c r="O12" s="50">
        <v>0</v>
      </c>
      <c r="P12" s="50">
        <v>2.2999999999999998</v>
      </c>
      <c r="Q12" s="50">
        <v>38.67</v>
      </c>
      <c r="R12" s="43"/>
      <c r="S12" s="43"/>
      <c r="T12" s="43"/>
      <c r="U12" s="43"/>
    </row>
    <row r="13" spans="1:21" s="11" customFormat="1" ht="15">
      <c r="A13" s="49" t="s">
        <v>163</v>
      </c>
      <c r="B13" s="50">
        <v>109.19</v>
      </c>
      <c r="C13" s="50">
        <v>105.71</v>
      </c>
      <c r="D13" s="50">
        <v>145.05000000000001</v>
      </c>
      <c r="E13" s="50">
        <v>7.09</v>
      </c>
      <c r="F13" s="50">
        <v>3.10</v>
      </c>
      <c r="G13" s="50">
        <v>136.96</v>
      </c>
      <c r="H13" s="50">
        <v>73.53</v>
      </c>
      <c r="I13" s="50">
        <v>1.20</v>
      </c>
      <c r="J13" s="50">
        <v>0.49</v>
      </c>
      <c r="K13" s="50">
        <v>43.27</v>
      </c>
      <c r="L13" s="50">
        <v>23.47</v>
      </c>
      <c r="M13" s="50">
        <v>36.090000000000003</v>
      </c>
      <c r="N13" s="50">
        <v>4.30</v>
      </c>
      <c r="O13" s="50">
        <v>0</v>
      </c>
      <c r="P13" s="50">
        <v>2.16</v>
      </c>
      <c r="Q13" s="50">
        <v>38.340000000000003</v>
      </c>
      <c r="R13" s="43"/>
      <c r="S13" s="43"/>
      <c r="T13" s="43"/>
      <c r="U13" s="43"/>
    </row>
    <row r="14" spans="1:21" s="11" customFormat="1" ht="15">
      <c r="A14" s="49" t="s">
        <v>164</v>
      </c>
      <c r="B14" s="50">
        <v>87.5</v>
      </c>
      <c r="C14" s="50">
        <v>105.35</v>
      </c>
      <c r="D14" s="50">
        <v>128.31</v>
      </c>
      <c r="E14" s="50">
        <v>6.63</v>
      </c>
      <c r="F14" s="50">
        <v>3</v>
      </c>
      <c r="G14" s="50">
        <v>130.66999999999999</v>
      </c>
      <c r="H14" s="50">
        <v>65.31</v>
      </c>
      <c r="I14" s="50">
        <v>1.08</v>
      </c>
      <c r="J14" s="50">
        <v>0.59</v>
      </c>
      <c r="K14" s="50">
        <v>35.10</v>
      </c>
      <c r="L14" s="50">
        <v>23.40</v>
      </c>
      <c r="M14" s="50">
        <v>36.44</v>
      </c>
      <c r="N14" s="50">
        <v>4.5999999999999996</v>
      </c>
      <c r="O14" s="50">
        <v>0</v>
      </c>
      <c r="P14" s="50">
        <v>2.17</v>
      </c>
      <c r="Q14" s="50">
        <v>36.17</v>
      </c>
      <c r="R14" s="43"/>
      <c r="S14" s="43"/>
      <c r="T14" s="43"/>
      <c r="U14" s="43"/>
    </row>
    <row r="15" spans="1:21" s="11" customFormat="1" ht="15">
      <c r="A15" s="49" t="s">
        <v>165</v>
      </c>
      <c r="B15" s="50">
        <v>76.39</v>
      </c>
      <c r="C15" s="50">
        <v>103.43</v>
      </c>
      <c r="D15" s="50">
        <v>118.34</v>
      </c>
      <c r="E15" s="50">
        <v>6.59</v>
      </c>
      <c r="F15" s="50">
        <v>3.14</v>
      </c>
      <c r="G15" s="50">
        <v>130.66999999999999</v>
      </c>
      <c r="H15" s="50">
        <v>63.81</v>
      </c>
      <c r="I15" s="50">
        <v>0.89</v>
      </c>
      <c r="J15" s="50">
        <v>0.42</v>
      </c>
      <c r="K15" s="50">
        <v>62.49</v>
      </c>
      <c r="L15" s="50">
        <v>23.08</v>
      </c>
      <c r="M15" s="50">
        <v>41.34</v>
      </c>
      <c r="N15" s="50">
        <v>51.10</v>
      </c>
      <c r="O15" s="50">
        <v>0</v>
      </c>
      <c r="P15" s="50">
        <v>2.14</v>
      </c>
      <c r="Q15" s="50">
        <v>34.86</v>
      </c>
      <c r="R15" s="43"/>
      <c r="S15" s="43"/>
      <c r="T15" s="43"/>
      <c r="U15" s="43"/>
    </row>
    <row r="16" spans="1:21" s="11" customFormat="1" ht="15">
      <c r="A16" s="49" t="s">
        <v>166</v>
      </c>
      <c r="B16" s="50">
        <v>76.069999999999993</v>
      </c>
      <c r="C16" s="50">
        <v>106.67</v>
      </c>
      <c r="D16" s="50">
        <v>118.60</v>
      </c>
      <c r="E16" s="50">
        <v>7.48</v>
      </c>
      <c r="F16" s="50">
        <v>3.25</v>
      </c>
      <c r="G16" s="8" t="s">
        <v>8</v>
      </c>
      <c r="H16" s="50">
        <v>60.13</v>
      </c>
      <c r="I16" s="50">
        <v>0.87</v>
      </c>
      <c r="J16" s="50">
        <v>0.72</v>
      </c>
      <c r="K16" s="50">
        <v>30.71</v>
      </c>
      <c r="L16" s="50">
        <v>26.98</v>
      </c>
      <c r="M16" s="50">
        <v>39.79</v>
      </c>
      <c r="N16" s="50">
        <v>205.70</v>
      </c>
      <c r="O16" s="50">
        <v>0</v>
      </c>
      <c r="P16" s="50">
        <v>2.0499999999999998</v>
      </c>
      <c r="Q16" s="50">
        <v>36.130000000000003</v>
      </c>
      <c r="R16" s="43"/>
      <c r="S16" s="43"/>
      <c r="T16" s="43"/>
      <c r="U16" s="43"/>
    </row>
    <row r="17" spans="1:21" s="11" customFormat="1" ht="15">
      <c r="A17" s="49" t="s">
        <v>167</v>
      </c>
      <c r="B17" s="50">
        <v>69.459999999999994</v>
      </c>
      <c r="C17" s="50">
        <v>111.52</v>
      </c>
      <c r="D17" s="50">
        <v>115.41</v>
      </c>
      <c r="E17" s="50">
        <v>7.32</v>
      </c>
      <c r="F17" s="50">
        <v>3.74</v>
      </c>
      <c r="G17" s="50">
        <v>114.71</v>
      </c>
      <c r="H17" s="50">
        <v>60.13</v>
      </c>
      <c r="I17" s="50">
        <v>0.82</v>
      </c>
      <c r="J17" s="50">
        <v>1.5</v>
      </c>
      <c r="K17" s="50">
        <v>102.11</v>
      </c>
      <c r="L17" s="50">
        <v>27.66</v>
      </c>
      <c r="M17" s="50">
        <v>34.270000000000003</v>
      </c>
      <c r="N17" s="50">
        <v>375.70</v>
      </c>
      <c r="O17" s="50">
        <v>0</v>
      </c>
      <c r="P17" s="50">
        <v>1.94</v>
      </c>
      <c r="Q17" s="50">
        <v>35.29</v>
      </c>
      <c r="R17" s="43"/>
      <c r="S17" s="43"/>
      <c r="T17" s="43"/>
      <c r="U17" s="43"/>
    </row>
    <row r="18" spans="1:21" s="11" customFormat="1" ht="15">
      <c r="A18" s="49" t="s">
        <v>168</v>
      </c>
      <c r="B18" s="50">
        <v>57.71</v>
      </c>
      <c r="C18" s="50">
        <v>113.29</v>
      </c>
      <c r="D18" s="50">
        <v>108.05</v>
      </c>
      <c r="E18" s="50">
        <v>5.52</v>
      </c>
      <c r="F18" s="50">
        <v>3.20</v>
      </c>
      <c r="G18" s="50">
        <v>114.71</v>
      </c>
      <c r="H18" s="50">
        <v>54.13</v>
      </c>
      <c r="I18" s="50">
        <v>0.75</v>
      </c>
      <c r="J18" s="50">
        <v>1.37</v>
      </c>
      <c r="K18" s="50">
        <v>99.55</v>
      </c>
      <c r="L18" s="50">
        <v>30.36</v>
      </c>
      <c r="M18" s="50">
        <v>32.159999999999997</v>
      </c>
      <c r="N18" s="50">
        <v>497.10</v>
      </c>
      <c r="O18" s="50">
        <v>0</v>
      </c>
      <c r="P18" s="50">
        <v>1.62</v>
      </c>
      <c r="Q18" s="50">
        <v>32.299999999999997</v>
      </c>
      <c r="R18" s="43"/>
      <c r="S18" s="43"/>
      <c r="T18" s="43"/>
      <c r="U18" s="43"/>
    </row>
    <row r="19" spans="1:21" s="11" customFormat="1" ht="15">
      <c r="A19" s="49" t="s">
        <v>169</v>
      </c>
      <c r="B19" s="50">
        <v>41.63</v>
      </c>
      <c r="C19" s="50">
        <v>113.66</v>
      </c>
      <c r="D19" s="50">
        <v>95.80</v>
      </c>
      <c r="E19" s="50">
        <v>5.65</v>
      </c>
      <c r="F19" s="50">
        <v>3.60</v>
      </c>
      <c r="G19" s="50">
        <v>77.30</v>
      </c>
      <c r="H19" s="50">
        <v>45.73</v>
      </c>
      <c r="I19" s="50">
        <v>0.66</v>
      </c>
      <c r="J19" s="50">
        <v>1.78</v>
      </c>
      <c r="K19" s="50">
        <v>116.45</v>
      </c>
      <c r="L19" s="50">
        <v>31.99</v>
      </c>
      <c r="M19" s="50">
        <v>26.63</v>
      </c>
      <c r="N19" s="50">
        <v>533</v>
      </c>
      <c r="O19" s="50">
        <v>0</v>
      </c>
      <c r="P19" s="50">
        <v>1.29</v>
      </c>
      <c r="Q19" s="50">
        <v>30.58</v>
      </c>
      <c r="R19" s="43"/>
      <c r="S19" s="43"/>
      <c r="T19" s="43"/>
      <c r="U19" s="43"/>
    </row>
    <row r="20" spans="1:21" s="11" customFormat="1" ht="15">
      <c r="A20" s="49" t="s">
        <v>170</v>
      </c>
      <c r="B20" s="50">
        <v>24.32</v>
      </c>
      <c r="C20" s="50">
        <v>116.75</v>
      </c>
      <c r="D20" s="50">
        <v>82.45</v>
      </c>
      <c r="E20" s="50">
        <v>5.96</v>
      </c>
      <c r="F20" s="50">
        <v>3.54</v>
      </c>
      <c r="G20" s="50">
        <v>63.52</v>
      </c>
      <c r="H20" s="50">
        <v>37.549999999999997</v>
      </c>
      <c r="I20" s="50">
        <v>0.63</v>
      </c>
      <c r="J20" s="50">
        <v>1.31</v>
      </c>
      <c r="K20" s="50">
        <v>129.16</v>
      </c>
      <c r="L20" s="50">
        <v>33.82</v>
      </c>
      <c r="M20" s="50">
        <v>22.19</v>
      </c>
      <c r="N20" s="50">
        <v>532.29999999999995</v>
      </c>
      <c r="O20" s="50">
        <v>0</v>
      </c>
      <c r="P20" s="50">
        <v>1.04</v>
      </c>
      <c r="Q20" s="50">
        <v>30.24</v>
      </c>
      <c r="R20" s="43"/>
      <c r="S20" s="43"/>
      <c r="T20" s="43"/>
      <c r="U20" s="43"/>
    </row>
    <row r="21" spans="1:21" s="11" customFormat="1" ht="15">
      <c r="A21" s="49" t="s">
        <v>171</v>
      </c>
      <c r="B21" s="50">
        <v>7.96</v>
      </c>
      <c r="C21" s="50">
        <v>117.29</v>
      </c>
      <c r="D21" s="50">
        <v>71.11</v>
      </c>
      <c r="E21" s="50">
        <v>6.14</v>
      </c>
      <c r="F21" s="50">
        <v>4.78</v>
      </c>
      <c r="G21" s="50">
        <v>59.75</v>
      </c>
      <c r="H21" s="50">
        <v>33.5</v>
      </c>
      <c r="I21" s="50">
        <v>0.59</v>
      </c>
      <c r="J21" s="50">
        <v>0.71</v>
      </c>
      <c r="K21" s="50">
        <v>351.36</v>
      </c>
      <c r="L21" s="50">
        <v>36.25</v>
      </c>
      <c r="M21" s="50">
        <v>18.059999999999999</v>
      </c>
      <c r="N21" s="50">
        <v>511.90</v>
      </c>
      <c r="O21" s="50">
        <v>0</v>
      </c>
      <c r="P21" s="50">
        <v>0.83</v>
      </c>
      <c r="Q21" s="50">
        <v>28.71</v>
      </c>
      <c r="R21" s="43"/>
      <c r="S21" s="43"/>
      <c r="T21" s="43"/>
      <c r="U21" s="43"/>
    </row>
    <row r="22" spans="1:21" s="11" customFormat="1" ht="15">
      <c r="A22" s="49" t="s">
        <v>172</v>
      </c>
      <c r="B22" s="50">
        <v>4.1100000000000003</v>
      </c>
      <c r="C22" s="50">
        <v>114.98</v>
      </c>
      <c r="D22" s="50">
        <v>66.75</v>
      </c>
      <c r="E22" s="50">
        <v>7.76</v>
      </c>
      <c r="F22" s="50">
        <v>4.0599999999999996</v>
      </c>
      <c r="G22" s="50">
        <v>49.63</v>
      </c>
      <c r="H22" s="50">
        <v>27.53</v>
      </c>
      <c r="I22" s="50">
        <v>0.60</v>
      </c>
      <c r="J22" s="50">
        <v>0.56999999999999995</v>
      </c>
      <c r="K22" s="50">
        <v>353.69</v>
      </c>
      <c r="L22" s="50">
        <v>39.21</v>
      </c>
      <c r="M22" s="50">
        <v>15.20</v>
      </c>
      <c r="N22" s="50">
        <v>463.60</v>
      </c>
      <c r="O22" s="50">
        <v>0</v>
      </c>
      <c r="P22" s="50">
        <v>0.80</v>
      </c>
      <c r="Q22" s="50">
        <v>27.93</v>
      </c>
      <c r="R22" s="43"/>
      <c r="S22" s="43"/>
      <c r="T22" s="43"/>
      <c r="U22" s="43"/>
    </row>
    <row r="23" spans="1:21" s="11" customFormat="1" ht="15">
      <c r="A23" s="49" t="s">
        <v>173</v>
      </c>
      <c r="B23" s="50">
        <v>2.38</v>
      </c>
      <c r="C23" s="50">
        <v>110.69</v>
      </c>
      <c r="D23" s="50">
        <v>63</v>
      </c>
      <c r="E23" s="50">
        <v>6.57</v>
      </c>
      <c r="F23" s="50">
        <v>5.16</v>
      </c>
      <c r="G23" s="50">
        <v>50.38</v>
      </c>
      <c r="H23" s="50">
        <v>26.92</v>
      </c>
      <c r="I23" s="50">
        <v>0.68</v>
      </c>
      <c r="J23" s="50">
        <v>0.69</v>
      </c>
      <c r="K23" s="50">
        <v>261.12</v>
      </c>
      <c r="L23" s="50">
        <v>38.07</v>
      </c>
      <c r="M23" s="50">
        <v>15.21</v>
      </c>
      <c r="N23" s="50">
        <v>404</v>
      </c>
      <c r="O23" s="50">
        <v>0</v>
      </c>
      <c r="P23" s="50">
        <v>0.79</v>
      </c>
      <c r="Q23" s="50">
        <v>29.88</v>
      </c>
      <c r="R23" s="43"/>
      <c r="S23" s="43"/>
      <c r="T23" s="43"/>
      <c r="U23" s="43"/>
    </row>
    <row r="24" spans="1:21" s="11" customFormat="1" ht="15">
      <c r="A24" s="49" t="s">
        <v>174</v>
      </c>
      <c r="B24" s="50">
        <v>1.5</v>
      </c>
      <c r="C24" s="50">
        <v>104.78</v>
      </c>
      <c r="D24" s="50">
        <v>58.82</v>
      </c>
      <c r="E24" s="50">
        <v>5.92</v>
      </c>
      <c r="F24" s="50">
        <v>5</v>
      </c>
      <c r="G24" s="50">
        <v>52.83</v>
      </c>
      <c r="H24" s="50">
        <v>27.31</v>
      </c>
      <c r="I24" s="50">
        <v>0.63</v>
      </c>
      <c r="J24" s="50">
        <v>0.84</v>
      </c>
      <c r="K24" s="50">
        <v>349.11</v>
      </c>
      <c r="L24" s="50">
        <v>37.46</v>
      </c>
      <c r="M24" s="50">
        <v>14.93</v>
      </c>
      <c r="N24" s="50">
        <v>342.70</v>
      </c>
      <c r="O24" s="50">
        <v>0</v>
      </c>
      <c r="P24" s="50">
        <v>0.76</v>
      </c>
      <c r="Q24" s="50">
        <v>29.89</v>
      </c>
      <c r="R24" s="43"/>
      <c r="S24" s="43"/>
      <c r="T24" s="43"/>
      <c r="U24" s="43"/>
    </row>
    <row r="25" spans="1:21" s="11" customFormat="1" ht="15">
      <c r="A25" s="49" t="s">
        <v>175</v>
      </c>
      <c r="B25" s="50">
        <v>2.29</v>
      </c>
      <c r="C25" s="50">
        <v>104.99</v>
      </c>
      <c r="D25" s="50">
        <v>59.74</v>
      </c>
      <c r="E25" s="50">
        <v>6.17</v>
      </c>
      <c r="F25" s="50">
        <v>4.75</v>
      </c>
      <c r="G25" s="50">
        <v>52.83</v>
      </c>
      <c r="H25" s="50">
        <v>27.31</v>
      </c>
      <c r="I25" s="50">
        <v>0.59</v>
      </c>
      <c r="J25" s="50">
        <v>1.46</v>
      </c>
      <c r="K25" s="50">
        <v>356.60</v>
      </c>
      <c r="L25" s="50">
        <v>36.06</v>
      </c>
      <c r="M25" s="50">
        <v>17.53</v>
      </c>
      <c r="N25" s="50">
        <v>112.60</v>
      </c>
      <c r="O25" s="50">
        <v>0</v>
      </c>
      <c r="P25" s="50">
        <v>0.75</v>
      </c>
      <c r="Q25" s="50">
        <v>28.35</v>
      </c>
      <c r="R25" s="43"/>
      <c r="S25" s="43"/>
      <c r="T25" s="43"/>
      <c r="U25" s="43"/>
    </row>
    <row r="26" spans="1:21" s="11" customFormat="1" ht="15">
      <c r="A26" s="49" t="s">
        <v>176</v>
      </c>
      <c r="B26" s="50">
        <v>3.79</v>
      </c>
      <c r="C26" s="50">
        <v>106.87</v>
      </c>
      <c r="D26" s="50">
        <v>62.01</v>
      </c>
      <c r="E26" s="50">
        <v>5.85</v>
      </c>
      <c r="F26" s="50">
        <v>4.46</v>
      </c>
      <c r="G26" s="50">
        <v>51.13</v>
      </c>
      <c r="H26" s="50">
        <v>24.45</v>
      </c>
      <c r="I26" s="50">
        <v>0.57999999999999996</v>
      </c>
      <c r="J26" s="50">
        <v>0.86</v>
      </c>
      <c r="K26" s="50">
        <v>19.39</v>
      </c>
      <c r="L26" s="50">
        <v>33.36</v>
      </c>
      <c r="M26" s="50">
        <v>21.46</v>
      </c>
      <c r="N26" s="50">
        <v>44.60</v>
      </c>
      <c r="O26" s="50">
        <v>0</v>
      </c>
      <c r="P26" s="50">
        <v>1.26</v>
      </c>
      <c r="Q26" s="50">
        <v>29.52</v>
      </c>
      <c r="R26" s="43"/>
      <c r="S26" s="43"/>
      <c r="T26" s="43"/>
      <c r="U26" s="43"/>
    </row>
    <row r="27" spans="1:21" s="11" customFormat="1" ht="15">
      <c r="A27" s="49" t="s">
        <v>177</v>
      </c>
      <c r="B27" s="50">
        <v>11.13</v>
      </c>
      <c r="C27" s="50">
        <v>122.68</v>
      </c>
      <c r="D27" s="50">
        <v>76.63</v>
      </c>
      <c r="E27" s="50">
        <v>6.59</v>
      </c>
      <c r="F27" s="50">
        <v>3.92</v>
      </c>
      <c r="G27" s="50">
        <v>79.14</v>
      </c>
      <c r="H27" s="50">
        <v>27.08</v>
      </c>
      <c r="I27" s="50">
        <v>0.83</v>
      </c>
      <c r="J27" s="50">
        <v>0.36</v>
      </c>
      <c r="K27" s="50">
        <v>95.37</v>
      </c>
      <c r="L27" s="50">
        <v>30.58</v>
      </c>
      <c r="M27" s="50">
        <v>27.96</v>
      </c>
      <c r="N27" s="50">
        <v>5.90</v>
      </c>
      <c r="O27" s="50">
        <v>0</v>
      </c>
      <c r="P27" s="50">
        <v>2.09</v>
      </c>
      <c r="Q27" s="50">
        <v>31.28</v>
      </c>
      <c r="R27" s="43"/>
      <c r="S27" s="43"/>
      <c r="T27" s="43"/>
      <c r="U27" s="43"/>
    </row>
    <row r="28" spans="1:21" s="11" customFormat="1" ht="15">
      <c r="A28" s="49" t="s">
        <v>178</v>
      </c>
      <c r="B28" s="50">
        <v>23.66</v>
      </c>
      <c r="C28" s="50">
        <v>129.41999999999999</v>
      </c>
      <c r="D28" s="50">
        <v>90.40</v>
      </c>
      <c r="E28" s="50">
        <v>6.93</v>
      </c>
      <c r="F28" s="50">
        <v>3.30</v>
      </c>
      <c r="G28" s="50">
        <v>135.47</v>
      </c>
      <c r="H28" s="50">
        <v>38.25</v>
      </c>
      <c r="I28" s="50">
        <v>1.08</v>
      </c>
      <c r="J28" s="50">
        <v>0.19</v>
      </c>
      <c r="K28" s="50">
        <v>239.32</v>
      </c>
      <c r="L28" s="50">
        <v>28.59</v>
      </c>
      <c r="M28" s="50">
        <v>41.27</v>
      </c>
      <c r="N28" s="50">
        <v>4.5999999999999996</v>
      </c>
      <c r="O28" s="50">
        <v>0</v>
      </c>
      <c r="P28" s="50">
        <v>3.28</v>
      </c>
      <c r="Q28" s="50">
        <v>31.45</v>
      </c>
      <c r="R28" s="43"/>
      <c r="S28" s="43"/>
      <c r="T28" s="43"/>
      <c r="U28" s="43"/>
    </row>
    <row r="29" spans="1:21" s="11" customFormat="1" ht="15">
      <c r="A29" s="49" t="s">
        <v>179</v>
      </c>
      <c r="B29" s="50">
        <v>49.23</v>
      </c>
      <c r="C29" s="50">
        <v>129.55000000000001</v>
      </c>
      <c r="D29" s="50">
        <v>110.35</v>
      </c>
      <c r="E29" s="50">
        <v>5.55</v>
      </c>
      <c r="F29" s="50">
        <v>3.12</v>
      </c>
      <c r="G29" s="50">
        <v>199.83</v>
      </c>
      <c r="H29" s="50">
        <v>51.98</v>
      </c>
      <c r="I29" s="50">
        <v>1.80</v>
      </c>
      <c r="J29" s="50">
        <v>0.11</v>
      </c>
      <c r="K29" s="50">
        <v>352.12</v>
      </c>
      <c r="L29" s="50">
        <v>26.64</v>
      </c>
      <c r="M29" s="50">
        <v>46.06</v>
      </c>
      <c r="N29" s="50">
        <v>4.5</v>
      </c>
      <c r="O29" s="50">
        <v>0</v>
      </c>
      <c r="P29" s="50">
        <v>5.60</v>
      </c>
      <c r="Q29" s="50">
        <v>33.65</v>
      </c>
      <c r="R29" s="43"/>
      <c r="S29" s="43"/>
      <c r="T29" s="43"/>
      <c r="U29" s="43"/>
    </row>
    <row r="30" spans="1:21" s="11" customFormat="1" ht="15">
      <c r="A30" s="49" t="s">
        <v>180</v>
      </c>
      <c r="B30" s="50">
        <v>100.73</v>
      </c>
      <c r="C30" s="50">
        <v>132.40</v>
      </c>
      <c r="D30" s="50">
        <v>153.85</v>
      </c>
      <c r="E30" s="50">
        <v>6.85</v>
      </c>
      <c r="F30" s="50">
        <v>3.05</v>
      </c>
      <c r="G30" s="50">
        <v>240.29</v>
      </c>
      <c r="H30" s="50">
        <v>74.20</v>
      </c>
      <c r="I30" s="50">
        <v>2.0699999999999998</v>
      </c>
      <c r="J30" s="50">
        <v>0.36</v>
      </c>
      <c r="K30" s="50">
        <v>328.61</v>
      </c>
      <c r="L30" s="50">
        <v>26.74</v>
      </c>
      <c r="M30" s="50">
        <v>44.33</v>
      </c>
      <c r="N30" s="50">
        <v>4.30</v>
      </c>
      <c r="O30" s="50">
        <v>0</v>
      </c>
      <c r="P30" s="50">
        <v>5.63</v>
      </c>
      <c r="Q30" s="50">
        <v>38.450000000000003</v>
      </c>
      <c r="R30" s="43"/>
      <c r="S30" s="43"/>
      <c r="T30" s="43"/>
      <c r="U30" s="43"/>
    </row>
    <row r="31" spans="1:21" s="11" customFormat="1" ht="15">
      <c r="A31" s="49" t="s">
        <v>181</v>
      </c>
      <c r="B31" s="50">
        <v>110.28</v>
      </c>
      <c r="C31" s="50">
        <v>135.47</v>
      </c>
      <c r="D31" s="50">
        <v>162.59</v>
      </c>
      <c r="E31" s="50">
        <v>7.63</v>
      </c>
      <c r="F31" s="50">
        <v>3.43</v>
      </c>
      <c r="G31" s="50">
        <v>240.29</v>
      </c>
      <c r="H31" s="50">
        <v>78.510000000000005</v>
      </c>
      <c r="I31" s="50">
        <v>1.95</v>
      </c>
      <c r="J31" s="50">
        <v>0.28000000000000003</v>
      </c>
      <c r="K31" s="50">
        <v>357.90</v>
      </c>
      <c r="L31" s="50">
        <v>26.64</v>
      </c>
      <c r="M31" s="50">
        <v>42.35</v>
      </c>
      <c r="N31" s="50">
        <v>4.70</v>
      </c>
      <c r="O31" s="50">
        <v>0</v>
      </c>
      <c r="P31" s="50">
        <v>3.40</v>
      </c>
      <c r="Q31" s="50">
        <v>38.869999999999997</v>
      </c>
      <c r="R31" s="43"/>
      <c r="S31" s="43"/>
      <c r="T31" s="43"/>
      <c r="U31" s="43"/>
    </row>
    <row r="32" spans="1:21" s="11" customFormat="1" ht="15">
      <c r="A32" s="49" t="s">
        <v>182</v>
      </c>
      <c r="B32" s="50">
        <v>103.09</v>
      </c>
      <c r="C32" s="50">
        <v>134.16</v>
      </c>
      <c r="D32" s="50">
        <v>156.71</v>
      </c>
      <c r="E32" s="50">
        <v>6.69</v>
      </c>
      <c r="F32" s="50">
        <v>3.49</v>
      </c>
      <c r="G32" s="50">
        <v>234.48</v>
      </c>
      <c r="H32" s="50">
        <v>78.510000000000005</v>
      </c>
      <c r="I32" s="50">
        <v>1.46</v>
      </c>
      <c r="J32" s="50">
        <v>0.55000000000000004</v>
      </c>
      <c r="K32" s="50">
        <v>352.65</v>
      </c>
      <c r="L32" s="50">
        <v>25.36</v>
      </c>
      <c r="M32" s="50">
        <v>44.11</v>
      </c>
      <c r="N32" s="50">
        <v>4.5</v>
      </c>
      <c r="O32" s="50">
        <v>0</v>
      </c>
      <c r="P32" s="50">
        <v>2.34</v>
      </c>
      <c r="Q32" s="50">
        <v>37.79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1.5</v>
      </c>
      <c r="C34" s="28">
        <f t="shared" si="0"/>
        <v>103.43000000000001</v>
      </c>
      <c r="D34" s="28">
        <f t="shared" si="0"/>
        <v>58.82</v>
      </c>
      <c r="E34" s="28">
        <f t="shared" si="0"/>
        <v>5.5199999999999996</v>
      </c>
      <c r="F34" s="28">
        <f t="shared" si="0"/>
        <v>2.9500000000000002</v>
      </c>
      <c r="G34" s="28">
        <f t="shared" si="0"/>
        <v>49.630000000000003</v>
      </c>
      <c r="H34" s="28">
        <f t="shared" si="0"/>
        <v>24.449999999999999</v>
      </c>
      <c r="I34" s="28">
        <f t="shared" si="0"/>
        <v>0.57999999999999996</v>
      </c>
      <c r="J34" s="28">
        <f t="shared" si="0"/>
        <v>0.11</v>
      </c>
      <c r="K34" s="28">
        <f t="shared" si="0"/>
        <v>19.390000000000001</v>
      </c>
      <c r="L34" s="28">
        <f t="shared" si="0"/>
        <v>21.949999999999999</v>
      </c>
      <c r="M34" s="28">
        <f t="shared" si="0"/>
        <v>14.93</v>
      </c>
      <c r="N34" s="28">
        <f t="shared" si="0"/>
        <v>4</v>
      </c>
      <c r="O34" s="28">
        <f t="shared" si="0"/>
        <v>0</v>
      </c>
      <c r="P34" s="28">
        <f t="shared" si="0"/>
        <v>0.75</v>
      </c>
      <c r="Q34" s="28">
        <f t="shared" si="0"/>
        <v>27.93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180.90000000000001</v>
      </c>
      <c r="C35" s="29">
        <f t="shared" si="1"/>
        <v>135.47</v>
      </c>
      <c r="D35" s="29">
        <f t="shared" si="1"/>
        <v>206.34999999999999</v>
      </c>
      <c r="E35" s="29">
        <f t="shared" si="1"/>
        <v>7.7599999999999998</v>
      </c>
      <c r="F35" s="29">
        <f t="shared" si="1"/>
        <v>5.1600000000000001</v>
      </c>
      <c r="G35" s="29">
        <f t="shared" si="1"/>
        <v>240.28999999999999</v>
      </c>
      <c r="H35" s="29">
        <f t="shared" si="1"/>
        <v>78.510000000000005</v>
      </c>
      <c r="I35" s="29">
        <f t="shared" si="1"/>
        <v>2.0699999999999998</v>
      </c>
      <c r="J35" s="29">
        <f t="shared" si="1"/>
        <v>1.78</v>
      </c>
      <c r="K35" s="29">
        <f t="shared" si="1"/>
        <v>357.89999999999998</v>
      </c>
      <c r="L35" s="29">
        <f t="shared" si="1"/>
        <v>39.210000000000001</v>
      </c>
      <c r="M35" s="29">
        <f t="shared" si="1"/>
        <v>52.799999999999997</v>
      </c>
      <c r="N35" s="29">
        <f t="shared" si="1"/>
        <v>533</v>
      </c>
      <c r="O35" s="29">
        <f t="shared" si="1"/>
        <v>0</v>
      </c>
      <c r="P35" s="29">
        <f t="shared" si="1"/>
        <v>5.6299999999999999</v>
      </c>
      <c r="Q35" s="29">
        <f t="shared" si="1"/>
        <v>40.549999999999997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66.077916666666681</v>
      </c>
      <c r="C36" s="28">
        <f t="shared" si="2"/>
        <v>114.79875</v>
      </c>
      <c r="D36" s="28">
        <f t="shared" si="2"/>
        <v>115.985</v>
      </c>
      <c r="E36" s="28">
        <f t="shared" si="2"/>
        <v>6.538333333333334</v>
      </c>
      <c r="F36" s="28">
        <f t="shared" si="2"/>
        <v>3.6662500000000002</v>
      </c>
      <c r="G36" s="28">
        <f t="shared" si="2"/>
        <v>121.30045454545456</v>
      </c>
      <c r="H36" s="28">
        <f t="shared" si="2"/>
        <v>52.812916666666659</v>
      </c>
      <c r="I36" s="28">
        <f t="shared" si="2"/>
        <v>1.0487500000000001</v>
      </c>
      <c r="J36" s="28">
        <f t="shared" si="2"/>
        <v>0.68458333333333321</v>
      </c>
      <c r="K36" s="28">
        <f t="shared" si="2"/>
        <v>194.84916666666663</v>
      </c>
      <c r="L36" s="28">
        <f t="shared" si="2"/>
        <v>29.184166666666666</v>
      </c>
      <c r="M36" s="28">
        <f t="shared" si="2"/>
        <v>33.469166666666673</v>
      </c>
      <c r="N36" s="28">
        <f t="shared" si="2"/>
        <v>172.05833333333331</v>
      </c>
      <c r="O36" s="28">
        <f t="shared" si="2"/>
        <v>0</v>
      </c>
      <c r="P36" s="28">
        <f t="shared" si="2"/>
        <v>2.1825000000000006</v>
      </c>
      <c r="Q36" s="28">
        <f t="shared" si="2"/>
        <v>34.023333333333333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55.742231510156479</v>
      </c>
      <c r="C37" s="28">
        <f t="shared" si="3" ref="C37:Q37">STDEV(C9:C32)</f>
        <v>10.294696951639018</v>
      </c>
      <c r="D37" s="28">
        <f t="shared" si="3"/>
        <v>45.041041284588445</v>
      </c>
      <c r="E37" s="28">
        <f t="shared" si="3"/>
        <v>0.69902209125173898</v>
      </c>
      <c r="F37" s="28">
        <f t="shared" si="3"/>
        <v>0.68966792576288716</v>
      </c>
      <c r="G37" s="28">
        <f t="shared" si="3"/>
        <v>64.115413753136849</v>
      </c>
      <c r="H37" s="28">
        <f t="shared" si="3"/>
        <v>20.142161595317546</v>
      </c>
      <c r="I37" s="28">
        <f t="shared" si="3"/>
        <v>0.45585383336251994</v>
      </c>
      <c r="J37" s="28">
        <f t="shared" si="3"/>
        <v>0.46957871189680955</v>
      </c>
      <c r="K37" s="28">
        <f t="shared" si="3"/>
        <v>134.32096818787284</v>
      </c>
      <c r="L37" s="28">
        <f t="shared" si="3"/>
        <v>5.3803102518160868</v>
      </c>
      <c r="M37" s="28">
        <f t="shared" si="3"/>
        <v>12.006785008147837</v>
      </c>
      <c r="N37" s="28">
        <f t="shared" si="3"/>
        <v>214.94857406541135</v>
      </c>
      <c r="O37" s="28">
        <f t="shared" si="3"/>
        <v>0</v>
      </c>
      <c r="P37" s="28">
        <f t="shared" si="3"/>
        <v>1.3239474900923134</v>
      </c>
      <c r="Q37" s="28">
        <f t="shared" si="3"/>
        <v>4.1451948783754302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</f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8c16ad8-ff6c-4a00-aecc-13c7ba6cf94a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14" sqref="G14"/>
    </sheetView>
  </sheetViews>
  <sheetFormatPr defaultColWidth="8.85881696428571" defaultRowHeight="15"/>
  <cols>
    <col min="1" max="1" width="18.2857142857143" style="26" customWidth="1"/>
    <col min="2" max="2" width="13.5714285714286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06-03-2023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49" t="s">
        <v>183</v>
      </c>
      <c r="B9" s="50">
        <v>92.62</v>
      </c>
      <c r="C9" s="50">
        <v>128.94999999999999</v>
      </c>
      <c r="D9" s="50">
        <v>145.43</v>
      </c>
      <c r="E9" s="50">
        <v>6.44</v>
      </c>
      <c r="F9" s="50">
        <v>3.71</v>
      </c>
      <c r="G9" s="50">
        <v>129.19999999999999</v>
      </c>
      <c r="H9" s="50">
        <v>72.84</v>
      </c>
      <c r="I9" s="50">
        <v>1.06</v>
      </c>
      <c r="J9" s="50">
        <v>0.90</v>
      </c>
      <c r="K9" s="50">
        <v>358.22</v>
      </c>
      <c r="L9" s="50">
        <v>25.13</v>
      </c>
      <c r="M9" s="50">
        <v>42.82</v>
      </c>
      <c r="N9" s="50">
        <v>4.5999999999999996</v>
      </c>
      <c r="O9" s="50">
        <v>0</v>
      </c>
      <c r="P9" s="50">
        <v>2.40</v>
      </c>
      <c r="Q9" s="50">
        <v>37.17</v>
      </c>
      <c r="R9" s="43"/>
      <c r="S9" s="43"/>
      <c r="T9" s="43"/>
      <c r="U9" s="43"/>
    </row>
    <row r="10" spans="1:21" s="11" customFormat="1" ht="15">
      <c r="A10" s="49" t="s">
        <v>184</v>
      </c>
      <c r="B10" s="50">
        <v>74.260000000000005</v>
      </c>
      <c r="C10" s="50">
        <v>123.55</v>
      </c>
      <c r="D10" s="50">
        <v>127.74</v>
      </c>
      <c r="E10" s="50">
        <v>6.79</v>
      </c>
      <c r="F10" s="50">
        <v>3.02</v>
      </c>
      <c r="G10" s="50">
        <v>111.58</v>
      </c>
      <c r="H10" s="50">
        <v>69.02</v>
      </c>
      <c r="I10" s="50">
        <v>1.25</v>
      </c>
      <c r="J10" s="50">
        <v>0.57999999999999996</v>
      </c>
      <c r="K10" s="50">
        <v>64.12</v>
      </c>
      <c r="L10" s="50">
        <v>24.30</v>
      </c>
      <c r="M10" s="50">
        <v>44.21</v>
      </c>
      <c r="N10" s="50">
        <v>4.80</v>
      </c>
      <c r="O10" s="50">
        <v>0</v>
      </c>
      <c r="P10" s="50">
        <v>2.41</v>
      </c>
      <c r="Q10" s="50">
        <v>37.74</v>
      </c>
      <c r="R10" s="43"/>
      <c r="S10" s="43"/>
      <c r="T10" s="43"/>
      <c r="U10" s="43"/>
    </row>
    <row r="11" spans="1:21" s="11" customFormat="1" ht="15">
      <c r="A11" s="49" t="s">
        <v>185</v>
      </c>
      <c r="B11" s="50">
        <v>54.32</v>
      </c>
      <c r="C11" s="50">
        <v>119.62</v>
      </c>
      <c r="D11" s="50">
        <v>109.58</v>
      </c>
      <c r="E11" s="50">
        <v>6.74</v>
      </c>
      <c r="F11" s="50">
        <v>3.06</v>
      </c>
      <c r="G11" s="50">
        <v>111.58</v>
      </c>
      <c r="H11" s="50">
        <v>62.86</v>
      </c>
      <c r="I11" s="50">
        <v>1.17</v>
      </c>
      <c r="J11" s="50">
        <v>0.16</v>
      </c>
      <c r="K11" s="50">
        <v>213.81</v>
      </c>
      <c r="L11" s="50">
        <v>24.16</v>
      </c>
      <c r="M11" s="50">
        <v>44.10</v>
      </c>
      <c r="N11" s="50">
        <v>4.70</v>
      </c>
      <c r="O11" s="50">
        <v>0</v>
      </c>
      <c r="P11" s="50">
        <v>2.08</v>
      </c>
      <c r="Q11" s="50">
        <v>36.65</v>
      </c>
      <c r="R11" s="43"/>
      <c r="S11" s="43"/>
      <c r="T11" s="43"/>
      <c r="U11" s="43"/>
    </row>
    <row r="12" spans="1:21" s="11" customFormat="1" ht="15">
      <c r="A12" s="49" t="s">
        <v>186</v>
      </c>
      <c r="B12" s="50">
        <v>44.60</v>
      </c>
      <c r="C12" s="50">
        <v>115.62</v>
      </c>
      <c r="D12" s="50">
        <v>99.57</v>
      </c>
      <c r="E12" s="50">
        <v>5.87</v>
      </c>
      <c r="F12" s="50">
        <v>3.34</v>
      </c>
      <c r="G12" s="50">
        <v>140.85</v>
      </c>
      <c r="H12" s="50">
        <v>64.87</v>
      </c>
      <c r="I12" s="50">
        <v>0.73</v>
      </c>
      <c r="J12" s="50">
        <v>0.34</v>
      </c>
      <c r="K12" s="50">
        <v>116.05</v>
      </c>
      <c r="L12" s="50">
        <v>23.54</v>
      </c>
      <c r="M12" s="50">
        <v>46.58</v>
      </c>
      <c r="N12" s="50">
        <v>4.5999999999999996</v>
      </c>
      <c r="O12" s="50">
        <v>0</v>
      </c>
      <c r="P12" s="50">
        <v>1.86</v>
      </c>
      <c r="Q12" s="50">
        <v>34.93</v>
      </c>
      <c r="R12" s="43"/>
      <c r="S12" s="43"/>
      <c r="T12" s="43"/>
      <c r="U12" s="43"/>
    </row>
    <row r="13" spans="1:21" s="11" customFormat="1" ht="15">
      <c r="A13" s="49" t="s">
        <v>187</v>
      </c>
      <c r="B13" s="50">
        <v>41.64</v>
      </c>
      <c r="C13" s="50">
        <v>112.65</v>
      </c>
      <c r="D13" s="50">
        <v>95.56</v>
      </c>
      <c r="E13" s="50">
        <v>7.62</v>
      </c>
      <c r="F13" s="50">
        <v>3.11</v>
      </c>
      <c r="G13" s="50">
        <v>146.19</v>
      </c>
      <c r="H13" s="50">
        <v>66.31</v>
      </c>
      <c r="I13" s="50">
        <v>0.79</v>
      </c>
      <c r="J13" s="50">
        <v>0.23</v>
      </c>
      <c r="K13" s="50">
        <v>86.77</v>
      </c>
      <c r="L13" s="50">
        <v>23.34</v>
      </c>
      <c r="M13" s="50">
        <v>47.36</v>
      </c>
      <c r="N13" s="50">
        <v>4.5</v>
      </c>
      <c r="O13" s="50">
        <v>0</v>
      </c>
      <c r="P13" s="50">
        <v>1.81</v>
      </c>
      <c r="Q13" s="50">
        <v>36.79</v>
      </c>
      <c r="R13" s="43"/>
      <c r="S13" s="43"/>
      <c r="T13" s="43"/>
      <c r="U13" s="43"/>
    </row>
    <row r="14" spans="1:21" s="11" customFormat="1" ht="15">
      <c r="A14" s="49" t="s">
        <v>188</v>
      </c>
      <c r="B14" s="50">
        <v>44.23</v>
      </c>
      <c r="C14" s="50">
        <v>110.12</v>
      </c>
      <c r="D14" s="50">
        <v>96.16</v>
      </c>
      <c r="E14" s="50">
        <v>7.58</v>
      </c>
      <c r="F14" s="50">
        <v>3.05</v>
      </c>
      <c r="G14" s="50">
        <v>146.19</v>
      </c>
      <c r="H14" s="50">
        <v>66.31</v>
      </c>
      <c r="I14" s="50">
        <v>0.83</v>
      </c>
      <c r="J14" s="50">
        <v>0.19</v>
      </c>
      <c r="K14" s="50">
        <v>258.95999999999998</v>
      </c>
      <c r="L14" s="50">
        <v>22.70</v>
      </c>
      <c r="M14" s="50">
        <v>46.85</v>
      </c>
      <c r="N14" s="50">
        <v>4.5</v>
      </c>
      <c r="O14" s="50">
        <v>0</v>
      </c>
      <c r="P14" s="50">
        <v>1.75</v>
      </c>
      <c r="Q14" s="50">
        <v>36.76</v>
      </c>
      <c r="R14" s="43"/>
      <c r="S14" s="43"/>
      <c r="T14" s="43"/>
      <c r="U14" s="43"/>
    </row>
    <row r="15" spans="1:21" s="11" customFormat="1" ht="15">
      <c r="A15" s="49" t="s">
        <v>189</v>
      </c>
      <c r="B15" s="50">
        <v>45.58</v>
      </c>
      <c r="C15" s="50">
        <v>110.26</v>
      </c>
      <c r="D15" s="50">
        <v>96.52</v>
      </c>
      <c r="E15" s="50">
        <v>7.32</v>
      </c>
      <c r="F15" s="50">
        <v>3.57</v>
      </c>
      <c r="G15" s="50">
        <v>124.24</v>
      </c>
      <c r="H15" s="50">
        <v>60.79</v>
      </c>
      <c r="I15" s="50">
        <v>0.80</v>
      </c>
      <c r="J15" s="50">
        <v>0.66</v>
      </c>
      <c r="K15" s="50">
        <v>266.69</v>
      </c>
      <c r="L15" s="50">
        <v>22.38</v>
      </c>
      <c r="M15" s="50">
        <v>61.30</v>
      </c>
      <c r="N15" s="50">
        <v>48.5</v>
      </c>
      <c r="O15" s="50">
        <v>0</v>
      </c>
      <c r="P15" s="50">
        <v>1.65</v>
      </c>
      <c r="Q15" s="50">
        <v>35.89</v>
      </c>
      <c r="R15" s="43"/>
      <c r="S15" s="43"/>
      <c r="T15" s="43"/>
      <c r="U15" s="43"/>
    </row>
    <row r="16" spans="1:21" s="11" customFormat="1" ht="15">
      <c r="A16" s="49" t="s">
        <v>190</v>
      </c>
      <c r="B16" s="50">
        <v>44.88</v>
      </c>
      <c r="C16" s="50">
        <v>106.30</v>
      </c>
      <c r="D16" s="50">
        <v>94.65</v>
      </c>
      <c r="E16" s="50">
        <v>6.07</v>
      </c>
      <c r="F16" s="50">
        <v>3.12</v>
      </c>
      <c r="G16" s="50">
        <v>123.57</v>
      </c>
      <c r="H16" s="50">
        <v>58.48</v>
      </c>
      <c r="I16" s="50">
        <v>0.74</v>
      </c>
      <c r="J16" s="50">
        <v>0.38</v>
      </c>
      <c r="K16" s="50">
        <v>286.99</v>
      </c>
      <c r="L16" s="50">
        <v>24.55</v>
      </c>
      <c r="M16" s="50">
        <v>59.43</v>
      </c>
      <c r="N16" s="50">
        <v>199.90</v>
      </c>
      <c r="O16" s="50">
        <v>0</v>
      </c>
      <c r="P16" s="50">
        <v>1.58</v>
      </c>
      <c r="Q16" s="50">
        <v>33.72</v>
      </c>
      <c r="R16" s="43"/>
      <c r="S16" s="43"/>
      <c r="T16" s="43"/>
      <c r="U16" s="43"/>
    </row>
    <row r="17" spans="1:21" s="11" customFormat="1" ht="15">
      <c r="A17" s="49" t="s">
        <v>191</v>
      </c>
      <c r="B17" s="50">
        <v>41.49</v>
      </c>
      <c r="C17" s="50">
        <v>114.43</v>
      </c>
      <c r="D17" s="50">
        <v>92.15</v>
      </c>
      <c r="E17" s="50">
        <v>5.67</v>
      </c>
      <c r="F17" s="50">
        <v>3.03</v>
      </c>
      <c r="G17" s="50">
        <v>102.97</v>
      </c>
      <c r="H17" s="50">
        <v>56.08</v>
      </c>
      <c r="I17" s="50">
        <v>0.72</v>
      </c>
      <c r="J17" s="50">
        <v>0.39</v>
      </c>
      <c r="K17" s="50">
        <v>352.5</v>
      </c>
      <c r="L17" s="50">
        <v>29.72</v>
      </c>
      <c r="M17" s="50">
        <v>47.42</v>
      </c>
      <c r="N17" s="50">
        <v>360</v>
      </c>
      <c r="O17" s="50">
        <v>0</v>
      </c>
      <c r="P17" s="50">
        <v>1.61</v>
      </c>
      <c r="Q17" s="50">
        <v>35.47</v>
      </c>
      <c r="R17" s="43"/>
      <c r="S17" s="43"/>
      <c r="T17" s="43"/>
      <c r="U17" s="43"/>
    </row>
    <row r="18" spans="1:21" s="11" customFormat="1" ht="15">
      <c r="A18" s="49" t="s">
        <v>192</v>
      </c>
      <c r="B18" s="50">
        <v>33.81</v>
      </c>
      <c r="C18" s="50">
        <v>119.19</v>
      </c>
      <c r="D18" s="50">
        <v>91.81</v>
      </c>
      <c r="E18" s="50">
        <v>5.38</v>
      </c>
      <c r="F18" s="50">
        <v>2.90</v>
      </c>
      <c r="G18" s="50">
        <v>90.52</v>
      </c>
      <c r="H18" s="50">
        <v>54.24</v>
      </c>
      <c r="I18" s="50">
        <v>0.72</v>
      </c>
      <c r="J18" s="50">
        <v>1.77</v>
      </c>
      <c r="K18" s="50">
        <v>119.14</v>
      </c>
      <c r="L18" s="50">
        <v>30.07</v>
      </c>
      <c r="M18" s="50">
        <v>30.87</v>
      </c>
      <c r="N18" s="50">
        <v>525.70000000000005</v>
      </c>
      <c r="O18" s="50">
        <v>0</v>
      </c>
      <c r="P18" s="50">
        <v>1.56</v>
      </c>
      <c r="Q18" s="50">
        <v>35.29</v>
      </c>
      <c r="R18" s="43"/>
      <c r="S18" s="43"/>
      <c r="T18" s="43"/>
      <c r="U18" s="43"/>
    </row>
    <row r="19" spans="1:21" s="11" customFormat="1" ht="15">
      <c r="A19" s="49" t="s">
        <v>193</v>
      </c>
      <c r="B19" s="50">
        <v>18.97</v>
      </c>
      <c r="C19" s="50">
        <v>115.93</v>
      </c>
      <c r="D19" s="50">
        <v>79.20</v>
      </c>
      <c r="E19" s="50">
        <v>10.74</v>
      </c>
      <c r="F19" s="50">
        <v>10.18</v>
      </c>
      <c r="G19" s="50">
        <v>89.52</v>
      </c>
      <c r="H19" s="50">
        <v>51.80</v>
      </c>
      <c r="I19" s="50">
        <v>0.68</v>
      </c>
      <c r="J19" s="50">
        <v>1.84</v>
      </c>
      <c r="K19" s="50">
        <v>115.17</v>
      </c>
      <c r="L19" s="50">
        <v>32.56</v>
      </c>
      <c r="M19" s="50">
        <v>28.02</v>
      </c>
      <c r="N19" s="50">
        <v>584.5</v>
      </c>
      <c r="O19" s="50">
        <v>0</v>
      </c>
      <c r="P19" s="50">
        <v>1.26</v>
      </c>
      <c r="Q19" s="50">
        <v>31.56</v>
      </c>
      <c r="R19" s="43"/>
      <c r="S19" s="43"/>
      <c r="T19" s="43"/>
      <c r="U19" s="43"/>
    </row>
    <row r="20" spans="1:21" s="11" customFormat="1" ht="15">
      <c r="A20" s="49" t="s">
        <v>194</v>
      </c>
      <c r="B20" s="50">
        <v>2.63</v>
      </c>
      <c r="C20" s="50">
        <v>90.04</v>
      </c>
      <c r="D20" s="50">
        <v>51.80</v>
      </c>
      <c r="E20" s="50">
        <v>9.18</v>
      </c>
      <c r="F20" s="50">
        <v>7.68</v>
      </c>
      <c r="G20" s="50">
        <v>58.21</v>
      </c>
      <c r="H20" s="50">
        <v>41.39</v>
      </c>
      <c r="I20" s="50">
        <v>0.56999999999999995</v>
      </c>
      <c r="J20" s="50">
        <v>1.0900000000000001</v>
      </c>
      <c r="K20" s="50">
        <v>119.63</v>
      </c>
      <c r="L20" s="50">
        <v>35.700000000000003</v>
      </c>
      <c r="M20" s="50">
        <v>23.55</v>
      </c>
      <c r="N20" s="50">
        <v>586.10</v>
      </c>
      <c r="O20" s="50">
        <v>0</v>
      </c>
      <c r="P20" s="50">
        <v>0.68</v>
      </c>
      <c r="Q20" s="50">
        <v>19.30</v>
      </c>
      <c r="R20" s="43"/>
      <c r="S20" s="43"/>
      <c r="T20" s="43"/>
      <c r="U20" s="43"/>
    </row>
    <row r="21" spans="1:21" s="11" customFormat="1" ht="15">
      <c r="A21" s="49" t="s">
        <v>195</v>
      </c>
      <c r="B21" s="50">
        <v>2.5499999999999998</v>
      </c>
      <c r="C21" s="50">
        <v>90.64</v>
      </c>
      <c r="D21" s="50">
        <v>52.07</v>
      </c>
      <c r="E21" s="50">
        <v>6.47</v>
      </c>
      <c r="F21" s="50">
        <v>4.80</v>
      </c>
      <c r="G21" s="50">
        <v>58.85</v>
      </c>
      <c r="H21" s="50">
        <v>25.53</v>
      </c>
      <c r="I21" s="50">
        <v>0.54</v>
      </c>
      <c r="J21" s="50">
        <v>0.95</v>
      </c>
      <c r="K21" s="50">
        <v>50.09</v>
      </c>
      <c r="L21" s="50">
        <v>37.700000000000003</v>
      </c>
      <c r="M21" s="50">
        <v>21.60</v>
      </c>
      <c r="N21" s="50">
        <v>555.79999999999995</v>
      </c>
      <c r="O21" s="50">
        <v>0</v>
      </c>
      <c r="P21" s="50">
        <v>0.63</v>
      </c>
      <c r="Q21" s="50">
        <v>21.55</v>
      </c>
      <c r="R21" s="43"/>
      <c r="S21" s="43"/>
      <c r="T21" s="43"/>
      <c r="U21" s="43"/>
    </row>
    <row r="22" spans="1:21" s="11" customFormat="1" ht="15">
      <c r="A22" s="49" t="s">
        <v>196</v>
      </c>
      <c r="B22" s="50">
        <v>3.83</v>
      </c>
      <c r="C22" s="50">
        <v>93.47</v>
      </c>
      <c r="D22" s="50">
        <v>54.49</v>
      </c>
      <c r="E22" s="50">
        <v>6.04</v>
      </c>
      <c r="F22" s="50">
        <v>6.37</v>
      </c>
      <c r="G22" s="50">
        <v>122.10</v>
      </c>
      <c r="H22" s="50">
        <v>25.53</v>
      </c>
      <c r="I22" s="50">
        <v>0.56000000000000005</v>
      </c>
      <c r="J22" s="50">
        <v>0.75</v>
      </c>
      <c r="K22" s="50">
        <v>162.58000000000001</v>
      </c>
      <c r="L22" s="50">
        <v>37.32</v>
      </c>
      <c r="M22" s="50">
        <v>19.82</v>
      </c>
      <c r="N22" s="50">
        <v>496.80</v>
      </c>
      <c r="O22" s="50">
        <v>0</v>
      </c>
      <c r="P22" s="50">
        <v>0.74</v>
      </c>
      <c r="Q22" s="50">
        <v>23.64</v>
      </c>
      <c r="R22" s="43"/>
      <c r="S22" s="43"/>
      <c r="T22" s="43"/>
      <c r="U22" s="43"/>
    </row>
    <row r="23" spans="1:21" s="11" customFormat="1" ht="15">
      <c r="A23" s="49" t="s">
        <v>197</v>
      </c>
      <c r="B23" s="50">
        <v>0.90</v>
      </c>
      <c r="C23" s="50">
        <v>96.19</v>
      </c>
      <c r="D23" s="50">
        <v>53.51</v>
      </c>
      <c r="E23" s="50">
        <v>19.13</v>
      </c>
      <c r="F23" s="50">
        <v>22.91</v>
      </c>
      <c r="G23" s="50">
        <v>135.78</v>
      </c>
      <c r="H23" s="50">
        <v>25.16</v>
      </c>
      <c r="I23" s="50">
        <v>0.54</v>
      </c>
      <c r="J23" s="50">
        <v>1.35</v>
      </c>
      <c r="K23" s="50">
        <v>350.98</v>
      </c>
      <c r="L23" s="50">
        <v>38.74</v>
      </c>
      <c r="M23" s="50">
        <v>18.899999999999999</v>
      </c>
      <c r="N23" s="50">
        <v>505.60</v>
      </c>
      <c r="O23" s="50">
        <v>0</v>
      </c>
      <c r="P23" s="50">
        <v>0.74</v>
      </c>
      <c r="Q23" s="50">
        <v>20.32</v>
      </c>
      <c r="R23" s="43"/>
      <c r="S23" s="43"/>
      <c r="T23" s="43"/>
      <c r="U23" s="43"/>
    </row>
    <row r="24" spans="1:21" s="11" customFormat="1" ht="15">
      <c r="A24" s="49" t="s">
        <v>198</v>
      </c>
      <c r="B24" s="50">
        <v>2.76</v>
      </c>
      <c r="C24" s="50">
        <v>84.48</v>
      </c>
      <c r="D24" s="50">
        <v>48.76</v>
      </c>
      <c r="E24" s="50">
        <v>7.98</v>
      </c>
      <c r="F24" s="50">
        <v>5.26</v>
      </c>
      <c r="G24" s="50">
        <v>50.78</v>
      </c>
      <c r="H24" s="50">
        <v>22.22</v>
      </c>
      <c r="I24" s="50">
        <v>0.5</v>
      </c>
      <c r="J24" s="50">
        <v>1.18</v>
      </c>
      <c r="K24" s="50">
        <v>359.64</v>
      </c>
      <c r="L24" s="50">
        <v>38.40</v>
      </c>
      <c r="M24" s="50">
        <v>15.26</v>
      </c>
      <c r="N24" s="50">
        <v>427.70</v>
      </c>
      <c r="O24" s="50">
        <v>0</v>
      </c>
      <c r="P24" s="50">
        <v>0.72</v>
      </c>
      <c r="Q24" s="50">
        <v>20.95</v>
      </c>
      <c r="R24" s="43"/>
      <c r="S24" s="43"/>
      <c r="T24" s="43"/>
      <c r="U24" s="43"/>
    </row>
    <row r="25" spans="1:21" s="11" customFormat="1" ht="15">
      <c r="A25" s="49" t="s">
        <v>199</v>
      </c>
      <c r="B25" s="50">
        <v>5.55</v>
      </c>
      <c r="C25" s="50">
        <v>89.53</v>
      </c>
      <c r="D25" s="50">
        <v>53.86</v>
      </c>
      <c r="E25" s="50">
        <v>5.16</v>
      </c>
      <c r="F25" s="50">
        <v>3.65</v>
      </c>
      <c r="G25" s="52" t="s">
        <v>8</v>
      </c>
      <c r="H25" s="52" t="s">
        <v>8</v>
      </c>
      <c r="I25" s="50">
        <v>0.53</v>
      </c>
      <c r="J25" s="50">
        <v>1.1499999999999999</v>
      </c>
      <c r="K25" s="50">
        <v>354.95</v>
      </c>
      <c r="L25" s="50">
        <v>36.04</v>
      </c>
      <c r="M25" s="50">
        <v>18.03</v>
      </c>
      <c r="N25" s="50">
        <v>106.20</v>
      </c>
      <c r="O25" s="50">
        <v>0</v>
      </c>
      <c r="P25" s="50">
        <v>0.79</v>
      </c>
      <c r="Q25" s="50">
        <v>24.06</v>
      </c>
      <c r="R25" s="43"/>
      <c r="S25" s="43"/>
      <c r="T25" s="43"/>
      <c r="U25" s="43"/>
    </row>
    <row r="26" spans="1:21" s="11" customFormat="1" ht="15">
      <c r="A26" s="49" t="s">
        <v>200</v>
      </c>
      <c r="B26" s="50">
        <v>15.61</v>
      </c>
      <c r="C26" s="50">
        <v>117.78</v>
      </c>
      <c r="D26" s="50">
        <v>76.59</v>
      </c>
      <c r="E26" s="50">
        <v>5.51</v>
      </c>
      <c r="F26" s="50">
        <v>4.3600000000000003</v>
      </c>
      <c r="G26" s="50">
        <v>63.05</v>
      </c>
      <c r="H26" s="50">
        <v>20.55</v>
      </c>
      <c r="I26" s="50">
        <v>0.55000000000000004</v>
      </c>
      <c r="J26" s="50">
        <v>0.74</v>
      </c>
      <c r="K26" s="50">
        <v>84.65</v>
      </c>
      <c r="L26" s="50">
        <v>33.47</v>
      </c>
      <c r="M26" s="50">
        <v>22.02</v>
      </c>
      <c r="N26" s="50">
        <v>45.80</v>
      </c>
      <c r="O26" s="50">
        <v>0</v>
      </c>
      <c r="P26" s="50">
        <v>1.40</v>
      </c>
      <c r="Q26" s="50">
        <v>24.32</v>
      </c>
      <c r="R26" s="43"/>
      <c r="S26" s="43"/>
      <c r="T26" s="43"/>
      <c r="U26" s="43"/>
    </row>
    <row r="27" spans="1:21" s="11" customFormat="1" ht="15">
      <c r="A27" s="49" t="s">
        <v>201</v>
      </c>
      <c r="B27" s="50">
        <v>19.579999999999998</v>
      </c>
      <c r="C27" s="50">
        <v>119.47</v>
      </c>
      <c r="D27" s="50">
        <v>81.64</v>
      </c>
      <c r="E27" s="50">
        <v>4.96</v>
      </c>
      <c r="F27" s="50">
        <v>3.65</v>
      </c>
      <c r="G27" s="50">
        <v>62.23</v>
      </c>
      <c r="H27" s="50">
        <v>21.55</v>
      </c>
      <c r="I27" s="50">
        <v>0.99</v>
      </c>
      <c r="J27" s="50">
        <v>0.44</v>
      </c>
      <c r="K27" s="50">
        <v>87.5</v>
      </c>
      <c r="L27" s="50">
        <v>31.07</v>
      </c>
      <c r="M27" s="50">
        <v>25.79</v>
      </c>
      <c r="N27" s="50">
        <v>5.5</v>
      </c>
      <c r="O27" s="50">
        <v>0</v>
      </c>
      <c r="P27" s="50">
        <v>2.76</v>
      </c>
      <c r="Q27" s="50">
        <v>22.99</v>
      </c>
      <c r="R27" s="43"/>
      <c r="S27" s="43"/>
      <c r="T27" s="43"/>
      <c r="U27" s="43"/>
    </row>
    <row r="28" spans="1:21" s="11" customFormat="1" ht="15">
      <c r="A28" s="49" t="s">
        <v>202</v>
      </c>
      <c r="B28" s="50">
        <v>55.78</v>
      </c>
      <c r="C28" s="50">
        <v>122.40</v>
      </c>
      <c r="D28" s="50">
        <v>112.28</v>
      </c>
      <c r="E28" s="50">
        <v>5.05</v>
      </c>
      <c r="F28" s="50">
        <v>3.27</v>
      </c>
      <c r="G28" s="50">
        <v>77.91</v>
      </c>
      <c r="H28" s="50">
        <v>28.67</v>
      </c>
      <c r="I28" s="50">
        <v>1.21</v>
      </c>
      <c r="J28" s="50">
        <v>0.20</v>
      </c>
      <c r="K28" s="50">
        <v>340.43</v>
      </c>
      <c r="L28" s="50">
        <v>29.19</v>
      </c>
      <c r="M28" s="50">
        <v>37.369999999999997</v>
      </c>
      <c r="N28" s="50">
        <v>4.5999999999999996</v>
      </c>
      <c r="O28" s="50">
        <v>0</v>
      </c>
      <c r="P28" s="50">
        <v>3.52</v>
      </c>
      <c r="Q28" s="50">
        <v>29.74</v>
      </c>
      <c r="R28" s="43"/>
      <c r="S28" s="43"/>
      <c r="T28" s="43"/>
      <c r="U28" s="43"/>
    </row>
    <row r="29" spans="1:21" s="11" customFormat="1" ht="15">
      <c r="A29" s="49" t="s">
        <v>203</v>
      </c>
      <c r="B29" s="50">
        <v>96.93</v>
      </c>
      <c r="C29" s="50">
        <v>123.94</v>
      </c>
      <c r="D29" s="50">
        <v>144.21</v>
      </c>
      <c r="E29" s="50">
        <v>6.25</v>
      </c>
      <c r="F29" s="50">
        <v>3.15</v>
      </c>
      <c r="G29" s="50">
        <v>167.43</v>
      </c>
      <c r="H29" s="50">
        <v>39.08</v>
      </c>
      <c r="I29" s="50">
        <v>1.59</v>
      </c>
      <c r="J29" s="50">
        <v>0.17</v>
      </c>
      <c r="K29" s="50">
        <v>343.73</v>
      </c>
      <c r="L29" s="50">
        <v>27.16</v>
      </c>
      <c r="M29" s="50">
        <v>40.65</v>
      </c>
      <c r="N29" s="50">
        <v>4.4000000000000004</v>
      </c>
      <c r="O29" s="50">
        <v>0</v>
      </c>
      <c r="P29" s="50">
        <v>4.5999999999999996</v>
      </c>
      <c r="Q29" s="50">
        <v>32.46</v>
      </c>
      <c r="R29" s="43"/>
      <c r="S29" s="43"/>
      <c r="T29" s="43"/>
      <c r="U29" s="43"/>
    </row>
    <row r="30" spans="1:21" s="11" customFormat="1" ht="15">
      <c r="A30" s="49" t="s">
        <v>204</v>
      </c>
      <c r="B30" s="50">
        <v>109.16</v>
      </c>
      <c r="C30" s="50">
        <v>118.99</v>
      </c>
      <c r="D30" s="50">
        <v>150.91</v>
      </c>
      <c r="E30" s="50">
        <v>6.56</v>
      </c>
      <c r="F30" s="50">
        <v>3.21</v>
      </c>
      <c r="G30" s="50">
        <v>163.59</v>
      </c>
      <c r="H30" s="50">
        <v>49.40</v>
      </c>
      <c r="I30" s="50">
        <v>1.48</v>
      </c>
      <c r="J30" s="50">
        <v>0.22</v>
      </c>
      <c r="K30" s="50">
        <v>313.19</v>
      </c>
      <c r="L30" s="50">
        <v>26.43</v>
      </c>
      <c r="M30" s="50">
        <v>44.86</v>
      </c>
      <c r="N30" s="50">
        <v>4.5999999999999996</v>
      </c>
      <c r="O30" s="50">
        <v>0</v>
      </c>
      <c r="P30" s="50">
        <v>3.86</v>
      </c>
      <c r="Q30" s="50">
        <v>34.450000000000003</v>
      </c>
      <c r="R30" s="43"/>
      <c r="S30" s="43"/>
      <c r="T30" s="43"/>
      <c r="U30" s="43"/>
    </row>
    <row r="31" spans="1:21" s="11" customFormat="1" ht="15">
      <c r="A31" s="49" t="s">
        <v>205</v>
      </c>
      <c r="B31" s="50">
        <v>137.16</v>
      </c>
      <c r="C31" s="50">
        <v>113.69</v>
      </c>
      <c r="D31" s="50">
        <v>172.32</v>
      </c>
      <c r="E31" s="50">
        <v>7.20</v>
      </c>
      <c r="F31" s="50">
        <v>3.03</v>
      </c>
      <c r="G31" s="50">
        <v>164.70</v>
      </c>
      <c r="H31" s="50">
        <v>52.72</v>
      </c>
      <c r="I31" s="50">
        <v>1.68</v>
      </c>
      <c r="J31" s="50">
        <v>0.12</v>
      </c>
      <c r="K31" s="50">
        <v>352.62</v>
      </c>
      <c r="L31" s="50">
        <v>24.87</v>
      </c>
      <c r="M31" s="50">
        <v>49.98</v>
      </c>
      <c r="N31" s="50">
        <v>4.5999999999999996</v>
      </c>
      <c r="O31" s="50">
        <v>0</v>
      </c>
      <c r="P31" s="50">
        <v>3.92</v>
      </c>
      <c r="Q31" s="50">
        <v>38.60</v>
      </c>
      <c r="R31" s="43"/>
      <c r="S31" s="43"/>
      <c r="T31" s="43"/>
      <c r="U31" s="43"/>
    </row>
    <row r="32" spans="1:21" s="11" customFormat="1" ht="15">
      <c r="A32" s="49" t="s">
        <v>206</v>
      </c>
      <c r="B32" s="50">
        <v>160.01</v>
      </c>
      <c r="C32" s="50">
        <v>116.64</v>
      </c>
      <c r="D32" s="50">
        <v>192.69</v>
      </c>
      <c r="E32" s="50">
        <v>7.82</v>
      </c>
      <c r="F32" s="50">
        <v>3.05</v>
      </c>
      <c r="G32" s="50">
        <v>228.95</v>
      </c>
      <c r="H32" s="50">
        <v>61.58</v>
      </c>
      <c r="I32" s="50">
        <v>1.54</v>
      </c>
      <c r="J32" s="50">
        <v>0.77</v>
      </c>
      <c r="K32" s="50">
        <v>307.69</v>
      </c>
      <c r="L32" s="50">
        <v>24.26</v>
      </c>
      <c r="M32" s="50">
        <v>53.42</v>
      </c>
      <c r="N32" s="50">
        <v>4.5999999999999996</v>
      </c>
      <c r="O32" s="50">
        <v>0</v>
      </c>
      <c r="P32" s="50">
        <v>3.28</v>
      </c>
      <c r="Q32" s="50">
        <v>40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0.90000000000000002</v>
      </c>
      <c r="C34" s="28">
        <f t="shared" si="0"/>
        <v>84.480000000000004</v>
      </c>
      <c r="D34" s="28">
        <f t="shared" si="0"/>
        <v>48.759999999999998</v>
      </c>
      <c r="E34" s="28">
        <f t="shared" si="0"/>
        <v>4.96</v>
      </c>
      <c r="F34" s="28">
        <f t="shared" si="0"/>
        <v>2.8999999999999999</v>
      </c>
      <c r="G34" s="28">
        <f t="shared" si="0"/>
        <v>50.780000000000001</v>
      </c>
      <c r="H34" s="28">
        <f t="shared" si="0"/>
        <v>20.550000000000001</v>
      </c>
      <c r="I34" s="28">
        <f t="shared" si="0"/>
        <v>0.5</v>
      </c>
      <c r="J34" s="28">
        <f t="shared" si="0"/>
        <v>0.12</v>
      </c>
      <c r="K34" s="28">
        <f t="shared" si="0"/>
        <v>50.090000000000003</v>
      </c>
      <c r="L34" s="28">
        <f t="shared" si="0"/>
        <v>22.379999999999999</v>
      </c>
      <c r="M34" s="28">
        <f t="shared" si="0"/>
        <v>15.26</v>
      </c>
      <c r="N34" s="28">
        <f t="shared" si="0"/>
        <v>4.4000000000000004</v>
      </c>
      <c r="O34" s="28">
        <f t="shared" si="0"/>
        <v>0</v>
      </c>
      <c r="P34" s="28">
        <f t="shared" si="0"/>
        <v>0.63</v>
      </c>
      <c r="Q34" s="28">
        <f t="shared" si="0"/>
        <v>19.300000000000001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160.00999999999999</v>
      </c>
      <c r="C35" s="29">
        <f t="shared" si="1"/>
        <v>128.94999999999999</v>
      </c>
      <c r="D35" s="29">
        <f t="shared" si="1"/>
        <v>192.69</v>
      </c>
      <c r="E35" s="29">
        <f t="shared" si="1"/>
        <v>19.129999999999999</v>
      </c>
      <c r="F35" s="29">
        <f t="shared" si="1"/>
        <v>22.91</v>
      </c>
      <c r="G35" s="29">
        <f t="shared" si="1"/>
        <v>228.94999999999999</v>
      </c>
      <c r="H35" s="29">
        <f t="shared" si="1"/>
        <v>72.840000000000003</v>
      </c>
      <c r="I35" s="29">
        <f t="shared" si="1"/>
        <v>1.6799999999999999</v>
      </c>
      <c r="J35" s="29">
        <f t="shared" si="1"/>
        <v>1.8400000000000001</v>
      </c>
      <c r="K35" s="29">
        <f t="shared" si="1"/>
        <v>359.63999999999999</v>
      </c>
      <c r="L35" s="29">
        <f t="shared" si="1"/>
        <v>38.740000000000002</v>
      </c>
      <c r="M35" s="29">
        <f t="shared" si="1"/>
        <v>61.299999999999997</v>
      </c>
      <c r="N35" s="29">
        <f t="shared" si="1"/>
        <v>586.10000000000002</v>
      </c>
      <c r="O35" s="29">
        <f t="shared" si="1"/>
        <v>0</v>
      </c>
      <c r="P35" s="29">
        <f t="shared" si="1"/>
        <v>4.5999999999999996</v>
      </c>
      <c r="Q35" s="29">
        <f t="shared" si="1"/>
        <v>40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47.868749999999999</v>
      </c>
      <c r="C36" s="28">
        <f t="shared" si="2"/>
        <v>110.57833333333333</v>
      </c>
      <c r="D36" s="28">
        <f t="shared" si="2"/>
        <v>98.895833333333329</v>
      </c>
      <c r="E36" s="28">
        <f t="shared" si="2"/>
        <v>7.2304166666666667</v>
      </c>
      <c r="F36" s="28">
        <f t="shared" si="2"/>
        <v>4.8533333333333335</v>
      </c>
      <c r="G36" s="28">
        <f t="shared" si="2"/>
        <v>116.0865217391304</v>
      </c>
      <c r="H36" s="28">
        <f t="shared" si="2"/>
        <v>47.69478260869564</v>
      </c>
      <c r="I36" s="28">
        <f t="shared" si="2"/>
        <v>0.90708333333333346</v>
      </c>
      <c r="J36" s="28">
        <f t="shared" si="2"/>
        <v>0.69041666666666657</v>
      </c>
      <c r="K36" s="28">
        <f t="shared" si="2"/>
        <v>227.75416666666663</v>
      </c>
      <c r="L36" s="28">
        <f t="shared" si="2"/>
        <v>29.283333333333331</v>
      </c>
      <c r="M36" s="28">
        <f t="shared" si="2"/>
        <v>37.092083333333328</v>
      </c>
      <c r="N36" s="28">
        <f t="shared" si="2"/>
        <v>187.44166666666672</v>
      </c>
      <c r="O36" s="28">
        <f t="shared" si="2"/>
        <v>0</v>
      </c>
      <c r="P36" s="28">
        <f t="shared" si="2"/>
        <v>1.9837499999999997</v>
      </c>
      <c r="Q36" s="28">
        <f t="shared" si="2"/>
        <v>31.014583333333338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44.024856053637237</v>
      </c>
      <c r="C37" s="28">
        <f t="shared" si="3" ref="C37:Q37">STDEV(C9:C32)</f>
        <v>12.791174153762565</v>
      </c>
      <c r="D37" s="28">
        <f t="shared" si="3"/>
        <v>39.860601221132455</v>
      </c>
      <c r="E37" s="28">
        <f t="shared" si="3"/>
        <v>2.8710511318068299</v>
      </c>
      <c r="F37" s="28">
        <f t="shared" si="3"/>
        <v>4.2270203984929333</v>
      </c>
      <c r="G37" s="28">
        <f t="shared" si="3"/>
        <v>44.092806010700151</v>
      </c>
      <c r="H37" s="28">
        <f t="shared" si="3"/>
        <v>17.811479411161493</v>
      </c>
      <c r="I37" s="28">
        <f t="shared" si="3"/>
        <v>0.3760374538083493</v>
      </c>
      <c r="J37" s="28">
        <f t="shared" si="3"/>
        <v>0.50404001882758309</v>
      </c>
      <c r="K37" s="28">
        <f t="shared" si="3"/>
        <v>116.88266152211273</v>
      </c>
      <c r="L37" s="28">
        <f t="shared" si="3"/>
        <v>5.6509919611452109</v>
      </c>
      <c r="M37" s="28">
        <f t="shared" si="3"/>
        <v>13.970922903493625</v>
      </c>
      <c r="N37" s="28">
        <f t="shared" si="3"/>
        <v>237.57121937507986</v>
      </c>
      <c r="O37" s="28">
        <f t="shared" si="3"/>
        <v>0</v>
      </c>
      <c r="P37" s="28">
        <f t="shared" si="3"/>
        <v>1.1483061722456218</v>
      </c>
      <c r="Q37" s="28">
        <f t="shared" si="3"/>
        <v>6.8344536241443175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55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0837db6-959c-45b6-aaca-85297a4d3e9b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L44" sqref="L44"/>
    </sheetView>
  </sheetViews>
  <sheetFormatPr defaultColWidth="8.85881696428571" defaultRowHeight="15"/>
  <cols>
    <col min="1" max="1" width="18.2857142857143" style="26" customWidth="1"/>
    <col min="2" max="2" width="15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07-03-2023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49" t="s">
        <v>207</v>
      </c>
      <c r="B9" s="50">
        <v>156.19</v>
      </c>
      <c r="C9" s="50">
        <v>117.34</v>
      </c>
      <c r="D9" s="50">
        <v>190.01</v>
      </c>
      <c r="E9" s="50">
        <v>5.07</v>
      </c>
      <c r="F9" s="50">
        <v>2.96</v>
      </c>
      <c r="G9" s="50">
        <v>197.63</v>
      </c>
      <c r="H9" s="50">
        <v>65.19</v>
      </c>
      <c r="I9" s="50">
        <v>1.54</v>
      </c>
      <c r="J9" s="50">
        <v>0.92</v>
      </c>
      <c r="K9" s="50">
        <v>37.200000000000003</v>
      </c>
      <c r="L9" s="50">
        <v>24.64</v>
      </c>
      <c r="M9" s="50">
        <v>46.60</v>
      </c>
      <c r="N9" s="50">
        <v>4.0999999999999996</v>
      </c>
      <c r="O9" s="50">
        <v>0</v>
      </c>
      <c r="P9" s="50">
        <v>2.70</v>
      </c>
      <c r="Q9" s="50">
        <v>39.36</v>
      </c>
      <c r="R9" s="43"/>
      <c r="S9" s="43"/>
      <c r="T9" s="43"/>
      <c r="U9" s="43"/>
    </row>
    <row r="10" spans="1:21" s="11" customFormat="1" ht="15">
      <c r="A10" s="49" t="s">
        <v>208</v>
      </c>
      <c r="B10" s="50">
        <v>127.77</v>
      </c>
      <c r="C10" s="50">
        <v>112.42</v>
      </c>
      <c r="D10" s="50">
        <v>164.5</v>
      </c>
      <c r="E10" s="50">
        <v>5.23</v>
      </c>
      <c r="F10" s="50">
        <v>3.30</v>
      </c>
      <c r="G10" s="50">
        <v>72.180000000000007</v>
      </c>
      <c r="H10" s="50">
        <v>58.5</v>
      </c>
      <c r="I10" s="50">
        <v>1.17</v>
      </c>
      <c r="J10" s="50">
        <v>0.66</v>
      </c>
      <c r="K10" s="50">
        <v>78.239999999999995</v>
      </c>
      <c r="L10" s="50">
        <v>25.27</v>
      </c>
      <c r="M10" s="50">
        <v>43.70</v>
      </c>
      <c r="N10" s="50">
        <v>4.70</v>
      </c>
      <c r="O10" s="50">
        <v>0</v>
      </c>
      <c r="P10" s="50">
        <v>2.27</v>
      </c>
      <c r="Q10" s="50">
        <v>37.06</v>
      </c>
      <c r="R10" s="43"/>
      <c r="S10" s="43"/>
      <c r="T10" s="43"/>
      <c r="U10" s="43"/>
    </row>
    <row r="11" spans="1:21" s="11" customFormat="1" ht="15">
      <c r="A11" s="49" t="s">
        <v>209</v>
      </c>
      <c r="B11" s="50">
        <v>105.88</v>
      </c>
      <c r="C11" s="50">
        <v>110.94</v>
      </c>
      <c r="D11" s="50">
        <v>145.88999999999999</v>
      </c>
      <c r="E11" s="50">
        <v>5.91</v>
      </c>
      <c r="F11" s="50">
        <v>3.10</v>
      </c>
      <c r="G11" s="50">
        <v>143.26</v>
      </c>
      <c r="H11" s="50">
        <v>58.5</v>
      </c>
      <c r="I11" s="50">
        <v>1.20</v>
      </c>
      <c r="J11" s="50">
        <v>0.51</v>
      </c>
      <c r="K11" s="50">
        <v>195.31</v>
      </c>
      <c r="L11" s="50">
        <v>24.16</v>
      </c>
      <c r="M11" s="50">
        <v>46.45</v>
      </c>
      <c r="N11" s="50">
        <v>4.5</v>
      </c>
      <c r="O11" s="50">
        <v>0</v>
      </c>
      <c r="P11" s="50">
        <v>2.44</v>
      </c>
      <c r="Q11" s="50">
        <v>38</v>
      </c>
      <c r="R11" s="43"/>
      <c r="S11" s="43"/>
      <c r="T11" s="43"/>
      <c r="U11" s="43"/>
    </row>
    <row r="12" spans="1:21" s="11" customFormat="1" ht="15">
      <c r="A12" s="49" t="s">
        <v>210</v>
      </c>
      <c r="B12" s="50">
        <v>78.77</v>
      </c>
      <c r="C12" s="50">
        <v>111.31</v>
      </c>
      <c r="D12" s="50">
        <v>124.60</v>
      </c>
      <c r="E12" s="50">
        <v>5.64</v>
      </c>
      <c r="F12" s="50">
        <v>2.88</v>
      </c>
      <c r="G12" s="50">
        <v>68.650000000000006</v>
      </c>
      <c r="H12" s="50">
        <v>58.59</v>
      </c>
      <c r="I12" s="50">
        <v>1.1599999999999999</v>
      </c>
      <c r="J12" s="50">
        <v>0.36</v>
      </c>
      <c r="K12" s="50">
        <v>353.38</v>
      </c>
      <c r="L12" s="50">
        <v>23.46</v>
      </c>
      <c r="M12" s="50">
        <v>57.46</v>
      </c>
      <c r="N12" s="50">
        <v>4.9000000000000004</v>
      </c>
      <c r="O12" s="50">
        <v>0</v>
      </c>
      <c r="P12" s="50">
        <v>2.34</v>
      </c>
      <c r="Q12" s="50">
        <v>37.22</v>
      </c>
      <c r="R12" s="43"/>
      <c r="S12" s="43"/>
      <c r="T12" s="43"/>
      <c r="U12" s="43"/>
    </row>
    <row r="13" spans="1:21" s="11" customFormat="1" ht="15">
      <c r="A13" s="49" t="s">
        <v>211</v>
      </c>
      <c r="B13" s="50">
        <v>64.17</v>
      </c>
      <c r="C13" s="50">
        <v>107.26</v>
      </c>
      <c r="D13" s="50">
        <v>110.65</v>
      </c>
      <c r="E13" s="50">
        <v>4.95</v>
      </c>
      <c r="F13" s="50">
        <v>3.23</v>
      </c>
      <c r="G13" s="50">
        <v>131.88</v>
      </c>
      <c r="H13" s="50">
        <v>52.78</v>
      </c>
      <c r="I13" s="50">
        <v>0.88</v>
      </c>
      <c r="J13" s="50">
        <v>0.65</v>
      </c>
      <c r="K13" s="50">
        <v>359.35</v>
      </c>
      <c r="L13" s="50">
        <v>22</v>
      </c>
      <c r="M13" s="50">
        <v>58.64</v>
      </c>
      <c r="N13" s="50">
        <v>4.4000000000000004</v>
      </c>
      <c r="O13" s="50">
        <v>0</v>
      </c>
      <c r="P13" s="50">
        <v>2.09</v>
      </c>
      <c r="Q13" s="50">
        <v>34.85</v>
      </c>
      <c r="R13" s="43"/>
      <c r="S13" s="43"/>
      <c r="T13" s="43"/>
      <c r="U13" s="43"/>
    </row>
    <row r="14" spans="1:21" s="11" customFormat="1" ht="15">
      <c r="A14" s="49" t="s">
        <v>212</v>
      </c>
      <c r="B14" s="50">
        <v>57.33</v>
      </c>
      <c r="C14" s="50">
        <v>104.42</v>
      </c>
      <c r="D14" s="50">
        <v>103.60</v>
      </c>
      <c r="E14" s="50">
        <v>5.92</v>
      </c>
      <c r="F14" s="50">
        <v>3.08</v>
      </c>
      <c r="G14" s="50">
        <v>188.65</v>
      </c>
      <c r="H14" s="50">
        <v>49.95</v>
      </c>
      <c r="I14" s="50">
        <v>0.81</v>
      </c>
      <c r="J14" s="50">
        <v>0.69</v>
      </c>
      <c r="K14" s="50">
        <v>348.09</v>
      </c>
      <c r="L14" s="50">
        <v>21.59</v>
      </c>
      <c r="M14" s="50">
        <v>57.03</v>
      </c>
      <c r="N14" s="50">
        <v>4.5</v>
      </c>
      <c r="O14" s="50">
        <v>0</v>
      </c>
      <c r="P14" s="50">
        <v>1.88</v>
      </c>
      <c r="Q14" s="50">
        <v>36.39</v>
      </c>
      <c r="R14" s="43"/>
      <c r="S14" s="43"/>
      <c r="T14" s="43"/>
      <c r="U14" s="43"/>
    </row>
    <row r="15" spans="1:21" s="11" customFormat="1" ht="15">
      <c r="A15" s="49" t="s">
        <v>213</v>
      </c>
      <c r="B15" s="50">
        <v>58.89</v>
      </c>
      <c r="C15" s="50">
        <v>106.12</v>
      </c>
      <c r="D15" s="50">
        <v>105.79</v>
      </c>
      <c r="E15" s="50">
        <v>7.70</v>
      </c>
      <c r="F15" s="50">
        <v>3.14</v>
      </c>
      <c r="G15" s="50">
        <v>55.63</v>
      </c>
      <c r="H15" s="50">
        <v>53.04</v>
      </c>
      <c r="I15" s="50">
        <v>0.82</v>
      </c>
      <c r="J15" s="50">
        <v>0.80</v>
      </c>
      <c r="K15" s="50">
        <v>358.82</v>
      </c>
      <c r="L15" s="50">
        <v>22.32</v>
      </c>
      <c r="M15" s="50">
        <v>51.87</v>
      </c>
      <c r="N15" s="50">
        <v>48.90</v>
      </c>
      <c r="O15" s="50">
        <v>0</v>
      </c>
      <c r="P15" s="50">
        <v>1.83</v>
      </c>
      <c r="Q15" s="50">
        <v>36.090000000000003</v>
      </c>
      <c r="R15" s="43"/>
      <c r="S15" s="43"/>
      <c r="T15" s="43"/>
      <c r="U15" s="43"/>
    </row>
    <row r="16" spans="1:21" s="11" customFormat="1" ht="15">
      <c r="A16" s="49" t="s">
        <v>214</v>
      </c>
      <c r="B16" s="50">
        <v>65.14</v>
      </c>
      <c r="C16" s="50">
        <v>107.10</v>
      </c>
      <c r="D16" s="50">
        <v>110.70</v>
      </c>
      <c r="E16" s="50">
        <v>7.29</v>
      </c>
      <c r="F16" s="50">
        <v>3.55</v>
      </c>
      <c r="G16" s="56" t="s">
        <v>15</v>
      </c>
      <c r="H16" s="56" t="s">
        <v>15</v>
      </c>
      <c r="I16" s="50">
        <v>0.77</v>
      </c>
      <c r="J16" s="50">
        <v>1.08</v>
      </c>
      <c r="K16" s="50">
        <v>23.19</v>
      </c>
      <c r="L16" s="50">
        <v>27.20</v>
      </c>
      <c r="M16" s="50">
        <v>41.65</v>
      </c>
      <c r="N16" s="50">
        <v>170.90</v>
      </c>
      <c r="O16" s="50">
        <v>0</v>
      </c>
      <c r="P16" s="50">
        <v>1.89</v>
      </c>
      <c r="Q16" s="50">
        <v>35.44</v>
      </c>
      <c r="R16" s="43"/>
      <c r="S16" s="43"/>
      <c r="T16" s="43"/>
      <c r="U16" s="43"/>
    </row>
    <row r="17" spans="1:21" s="11" customFormat="1" ht="15">
      <c r="A17" s="49" t="s">
        <v>215</v>
      </c>
      <c r="B17" s="50">
        <v>64.58</v>
      </c>
      <c r="C17" s="50">
        <v>106.17</v>
      </c>
      <c r="D17" s="50">
        <v>110.38</v>
      </c>
      <c r="E17" s="50">
        <v>7.07</v>
      </c>
      <c r="F17" s="50">
        <v>3.41</v>
      </c>
      <c r="G17" s="56" t="s">
        <v>15</v>
      </c>
      <c r="H17" s="56" t="s">
        <v>15</v>
      </c>
      <c r="I17" s="50">
        <v>0.71</v>
      </c>
      <c r="J17" s="50">
        <v>1.01</v>
      </c>
      <c r="K17" s="50">
        <v>29.46</v>
      </c>
      <c r="L17" s="50">
        <v>29.54</v>
      </c>
      <c r="M17" s="50">
        <v>29.80</v>
      </c>
      <c r="N17" s="50">
        <v>312.39999999999998</v>
      </c>
      <c r="O17" s="50">
        <v>0</v>
      </c>
      <c r="P17" s="50">
        <v>1.97</v>
      </c>
      <c r="Q17" s="50">
        <v>33.32</v>
      </c>
      <c r="R17" s="43"/>
      <c r="S17" s="43"/>
      <c r="T17" s="43"/>
      <c r="U17" s="43"/>
    </row>
    <row r="18" spans="1:21" s="11" customFormat="1" ht="15">
      <c r="A18" s="49" t="s">
        <v>216</v>
      </c>
      <c r="B18" s="50">
        <v>55.98</v>
      </c>
      <c r="C18" s="50">
        <v>111.19</v>
      </c>
      <c r="D18" s="50">
        <v>103.72</v>
      </c>
      <c r="E18" s="50">
        <v>6.77</v>
      </c>
      <c r="F18" s="50">
        <v>3.26</v>
      </c>
      <c r="G18" s="56" t="s">
        <v>15</v>
      </c>
      <c r="H18" s="56" t="s">
        <v>15</v>
      </c>
      <c r="I18" s="50">
        <v>0.69</v>
      </c>
      <c r="J18" s="50">
        <v>1.31</v>
      </c>
      <c r="K18" s="50">
        <v>47.64</v>
      </c>
      <c r="L18" s="50">
        <v>31.16</v>
      </c>
      <c r="M18" s="50">
        <v>28.38</v>
      </c>
      <c r="N18" s="50">
        <v>379.20</v>
      </c>
      <c r="O18" s="50">
        <v>0</v>
      </c>
      <c r="P18" s="50">
        <v>1.79</v>
      </c>
      <c r="Q18" s="50">
        <v>33.14</v>
      </c>
      <c r="R18" s="43"/>
      <c r="S18" s="43"/>
      <c r="T18" s="43"/>
      <c r="U18" s="43"/>
    </row>
    <row r="19" spans="1:21" s="11" customFormat="1" ht="15">
      <c r="A19" s="49" t="s">
        <v>217</v>
      </c>
      <c r="B19" s="50">
        <v>32.71</v>
      </c>
      <c r="C19" s="50">
        <v>115.85</v>
      </c>
      <c r="D19" s="50">
        <v>88.08</v>
      </c>
      <c r="E19" s="50">
        <v>6.02</v>
      </c>
      <c r="F19" s="50">
        <v>3.20</v>
      </c>
      <c r="G19" s="56" t="s">
        <v>15</v>
      </c>
      <c r="H19" s="56" t="s">
        <v>15</v>
      </c>
      <c r="I19" s="50">
        <v>0.68</v>
      </c>
      <c r="J19" s="50">
        <v>1.98</v>
      </c>
      <c r="K19" s="50">
        <v>29.28</v>
      </c>
      <c r="L19" s="50">
        <v>34.049999999999997</v>
      </c>
      <c r="M19" s="50">
        <v>26.09</v>
      </c>
      <c r="N19" s="50">
        <v>528.90</v>
      </c>
      <c r="O19" s="50">
        <v>0</v>
      </c>
      <c r="P19" s="50">
        <v>1.5</v>
      </c>
      <c r="Q19" s="50">
        <v>31.52</v>
      </c>
      <c r="R19" s="43"/>
      <c r="S19" s="43"/>
      <c r="T19" s="43"/>
      <c r="U19" s="43"/>
    </row>
    <row r="20" spans="1:21" s="11" customFormat="1" ht="15">
      <c r="A20" s="49" t="s">
        <v>218</v>
      </c>
      <c r="B20" s="50">
        <v>11.73</v>
      </c>
      <c r="C20" s="50">
        <v>116.20</v>
      </c>
      <c r="D20" s="50">
        <v>73.349999999999994</v>
      </c>
      <c r="E20" s="50">
        <v>4.8099999999999996</v>
      </c>
      <c r="F20" s="50">
        <v>3.46</v>
      </c>
      <c r="G20" s="50">
        <v>86.24</v>
      </c>
      <c r="H20" s="50">
        <v>39.450000000000003</v>
      </c>
      <c r="I20" s="50">
        <v>0.61</v>
      </c>
      <c r="J20" s="50">
        <v>1.95</v>
      </c>
      <c r="K20" s="50">
        <v>36</v>
      </c>
      <c r="L20" s="50">
        <v>35.67</v>
      </c>
      <c r="M20" s="50">
        <v>21.55</v>
      </c>
      <c r="N20" s="50">
        <v>529.29999999999995</v>
      </c>
      <c r="O20" s="50">
        <v>0</v>
      </c>
      <c r="P20" s="50">
        <v>1.21</v>
      </c>
      <c r="Q20" s="50">
        <v>28.08</v>
      </c>
      <c r="R20" s="43"/>
      <c r="S20" s="43"/>
      <c r="T20" s="43"/>
      <c r="U20" s="43"/>
    </row>
    <row r="21" spans="1:21" s="11" customFormat="1" ht="15">
      <c r="A21" s="49" t="s">
        <v>219</v>
      </c>
      <c r="B21" s="50">
        <v>4.5599999999999996</v>
      </c>
      <c r="C21" s="50">
        <v>113.13</v>
      </c>
      <c r="D21" s="50">
        <v>66.09</v>
      </c>
      <c r="E21" s="50">
        <v>6.26</v>
      </c>
      <c r="F21" s="50">
        <v>4.0599999999999996</v>
      </c>
      <c r="G21" s="50">
        <v>71.61</v>
      </c>
      <c r="H21" s="50">
        <v>32.53</v>
      </c>
      <c r="I21" s="50">
        <v>0.57999999999999996</v>
      </c>
      <c r="J21" s="50">
        <v>1.78</v>
      </c>
      <c r="K21" s="50">
        <v>33.68</v>
      </c>
      <c r="L21" s="50">
        <v>36.79</v>
      </c>
      <c r="M21" s="50">
        <v>19.87</v>
      </c>
      <c r="N21" s="50">
        <v>475.20</v>
      </c>
      <c r="O21" s="50">
        <v>0</v>
      </c>
      <c r="P21" s="50">
        <v>1.05</v>
      </c>
      <c r="Q21" s="50">
        <v>27.86</v>
      </c>
      <c r="R21" s="43"/>
      <c r="S21" s="43"/>
      <c r="T21" s="43"/>
      <c r="U21" s="43"/>
    </row>
    <row r="22" spans="1:21" s="11" customFormat="1" ht="15">
      <c r="A22" s="49" t="s">
        <v>220</v>
      </c>
      <c r="B22" s="50">
        <v>2.52</v>
      </c>
      <c r="C22" s="50">
        <v>110.44</v>
      </c>
      <c r="D22" s="50">
        <v>62.97</v>
      </c>
      <c r="E22" s="50">
        <v>6.90</v>
      </c>
      <c r="F22" s="50">
        <v>4.54</v>
      </c>
      <c r="G22" s="50">
        <v>3.96</v>
      </c>
      <c r="H22" s="50">
        <v>28.12</v>
      </c>
      <c r="I22" s="50">
        <v>0.60</v>
      </c>
      <c r="J22" s="50">
        <v>1.45</v>
      </c>
      <c r="K22" s="50">
        <v>27.49</v>
      </c>
      <c r="L22" s="50">
        <v>36.96</v>
      </c>
      <c r="M22" s="50">
        <v>20.37</v>
      </c>
      <c r="N22" s="50">
        <v>473.40</v>
      </c>
      <c r="O22" s="50">
        <v>0</v>
      </c>
      <c r="P22" s="50">
        <v>0.98</v>
      </c>
      <c r="Q22" s="50">
        <v>28.71</v>
      </c>
      <c r="R22" s="43"/>
      <c r="S22" s="43"/>
      <c r="T22" s="43"/>
      <c r="U22" s="43"/>
    </row>
    <row r="23" spans="1:21" s="11" customFormat="1" ht="15">
      <c r="A23" s="49" t="s">
        <v>221</v>
      </c>
      <c r="B23" s="50">
        <v>1.46</v>
      </c>
      <c r="C23" s="50">
        <v>102.15</v>
      </c>
      <c r="D23" s="50">
        <v>57.29</v>
      </c>
      <c r="E23" s="50">
        <v>5.99</v>
      </c>
      <c r="F23" s="50">
        <v>4.74</v>
      </c>
      <c r="G23" s="50">
        <v>162.38999999999999</v>
      </c>
      <c r="H23" s="50">
        <v>27.28</v>
      </c>
      <c r="I23" s="50">
        <v>0.56999999999999995</v>
      </c>
      <c r="J23" s="50">
        <v>1.48</v>
      </c>
      <c r="K23" s="50">
        <v>32.65</v>
      </c>
      <c r="L23" s="50">
        <v>36.39</v>
      </c>
      <c r="M23" s="50">
        <v>19.88</v>
      </c>
      <c r="N23" s="50">
        <v>468.5</v>
      </c>
      <c r="O23" s="50">
        <v>0</v>
      </c>
      <c r="P23" s="50">
        <v>0.89</v>
      </c>
      <c r="Q23" s="50">
        <v>27.81</v>
      </c>
      <c r="R23" s="43"/>
      <c r="S23" s="43"/>
      <c r="T23" s="43"/>
      <c r="U23" s="43"/>
    </row>
    <row r="24" spans="1:21" s="11" customFormat="1" ht="15">
      <c r="A24" s="49" t="s">
        <v>222</v>
      </c>
      <c r="B24" s="50">
        <v>2.04</v>
      </c>
      <c r="C24" s="50">
        <v>99.58</v>
      </c>
      <c r="D24" s="50">
        <v>56.30</v>
      </c>
      <c r="E24" s="50">
        <v>5.49</v>
      </c>
      <c r="F24" s="50">
        <v>4.3899999999999997</v>
      </c>
      <c r="G24" s="50">
        <v>40.78</v>
      </c>
      <c r="H24" s="50">
        <v>23.62</v>
      </c>
      <c r="I24" s="50">
        <v>0.55000000000000004</v>
      </c>
      <c r="J24" s="50">
        <v>1.71</v>
      </c>
      <c r="K24" s="50">
        <v>31.94</v>
      </c>
      <c r="L24" s="50">
        <v>35.700000000000003</v>
      </c>
      <c r="M24" s="50">
        <v>21.97</v>
      </c>
      <c r="N24" s="50">
        <v>373.20</v>
      </c>
      <c r="O24" s="50">
        <v>0</v>
      </c>
      <c r="P24" s="50">
        <v>0.81</v>
      </c>
      <c r="Q24" s="50">
        <v>26.25</v>
      </c>
      <c r="R24" s="43"/>
      <c r="S24" s="43"/>
      <c r="T24" s="43"/>
      <c r="U24" s="43"/>
    </row>
    <row r="25" spans="1:21" s="11" customFormat="1" ht="15">
      <c r="A25" s="49" t="s">
        <v>223</v>
      </c>
      <c r="B25" s="50">
        <v>1.98</v>
      </c>
      <c r="C25" s="50">
        <v>99.42</v>
      </c>
      <c r="D25" s="50">
        <v>56.45</v>
      </c>
      <c r="E25" s="50">
        <v>6.18</v>
      </c>
      <c r="F25" s="50">
        <v>4.74</v>
      </c>
      <c r="G25" s="56" t="s">
        <v>15</v>
      </c>
      <c r="H25" s="56" t="s">
        <v>15</v>
      </c>
      <c r="I25" s="50">
        <v>0.56999999999999995</v>
      </c>
      <c r="J25" s="50">
        <v>1.48</v>
      </c>
      <c r="K25" s="50">
        <v>23.56</v>
      </c>
      <c r="L25" s="50">
        <v>33.549999999999997</v>
      </c>
      <c r="M25" s="50">
        <v>23.73</v>
      </c>
      <c r="N25" s="50">
        <v>128</v>
      </c>
      <c r="O25" s="50">
        <v>0</v>
      </c>
      <c r="P25" s="50">
        <v>0.79</v>
      </c>
      <c r="Q25" s="50">
        <v>28.63</v>
      </c>
      <c r="R25" s="43"/>
      <c r="S25" s="43"/>
      <c r="T25" s="43"/>
      <c r="U25" s="43"/>
    </row>
    <row r="26" spans="1:21" s="11" customFormat="1" ht="15">
      <c r="A26" s="49" t="s">
        <v>224</v>
      </c>
      <c r="B26" s="50">
        <v>1.54</v>
      </c>
      <c r="C26" s="50">
        <v>98.57</v>
      </c>
      <c r="D26" s="50">
        <v>55.58</v>
      </c>
      <c r="E26" s="50">
        <v>5.89</v>
      </c>
      <c r="F26" s="50">
        <v>4.71</v>
      </c>
      <c r="G26" s="56" t="s">
        <v>15</v>
      </c>
      <c r="H26" s="56" t="s">
        <v>15</v>
      </c>
      <c r="I26" s="50">
        <v>0.56999999999999995</v>
      </c>
      <c r="J26" s="50">
        <v>1.20</v>
      </c>
      <c r="K26" s="50">
        <v>20.39</v>
      </c>
      <c r="L26" s="50">
        <v>31.10</v>
      </c>
      <c r="M26" s="50">
        <v>27.83</v>
      </c>
      <c r="N26" s="50">
        <v>42.5</v>
      </c>
      <c r="O26" s="50">
        <v>0</v>
      </c>
      <c r="P26" s="50">
        <v>0.79</v>
      </c>
      <c r="Q26" s="50">
        <v>28.44</v>
      </c>
      <c r="R26" s="43"/>
      <c r="S26" s="43"/>
      <c r="T26" s="43"/>
      <c r="U26" s="43"/>
    </row>
    <row r="27" spans="1:21" s="11" customFormat="1" ht="15">
      <c r="A27" s="49" t="s">
        <v>225</v>
      </c>
      <c r="B27" s="50">
        <v>3.45</v>
      </c>
      <c r="C27" s="50">
        <v>103.03</v>
      </c>
      <c r="D27" s="50">
        <v>59.63</v>
      </c>
      <c r="E27" s="50">
        <v>5.1100000000000003</v>
      </c>
      <c r="F27" s="50">
        <v>4.41</v>
      </c>
      <c r="G27" s="56" t="s">
        <v>15</v>
      </c>
      <c r="H27" s="56" t="s">
        <v>15</v>
      </c>
      <c r="I27" s="50">
        <v>0.57999999999999996</v>
      </c>
      <c r="J27" s="50">
        <v>1.01</v>
      </c>
      <c r="K27" s="50">
        <v>36.39</v>
      </c>
      <c r="L27" s="50">
        <v>29.37</v>
      </c>
      <c r="M27" s="50">
        <v>31.02</v>
      </c>
      <c r="N27" s="50">
        <v>5.0999999999999996</v>
      </c>
      <c r="O27" s="50">
        <v>0</v>
      </c>
      <c r="P27" s="50">
        <v>1</v>
      </c>
      <c r="Q27" s="50">
        <v>27.74</v>
      </c>
      <c r="R27" s="43"/>
      <c r="S27" s="43"/>
      <c r="T27" s="43"/>
      <c r="U27" s="43"/>
    </row>
    <row r="28" spans="1:21" s="11" customFormat="1" ht="15">
      <c r="A28" s="49" t="s">
        <v>226</v>
      </c>
      <c r="B28" s="50">
        <v>3.59</v>
      </c>
      <c r="C28" s="50">
        <v>103.19</v>
      </c>
      <c r="D28" s="50">
        <v>59.82</v>
      </c>
      <c r="E28" s="50">
        <v>5.21</v>
      </c>
      <c r="F28" s="50">
        <v>3.51</v>
      </c>
      <c r="G28" s="56" t="s">
        <v>15</v>
      </c>
      <c r="H28" s="56" t="s">
        <v>15</v>
      </c>
      <c r="I28" s="50">
        <v>0.57999999999999996</v>
      </c>
      <c r="J28" s="50">
        <v>0.92</v>
      </c>
      <c r="K28" s="50">
        <v>19.55</v>
      </c>
      <c r="L28" s="50">
        <v>27.98</v>
      </c>
      <c r="M28" s="50">
        <v>37.450000000000003</v>
      </c>
      <c r="N28" s="50">
        <v>4.30</v>
      </c>
      <c r="O28" s="50">
        <v>0</v>
      </c>
      <c r="P28" s="50">
        <v>0.84</v>
      </c>
      <c r="Q28" s="50">
        <v>28.20</v>
      </c>
      <c r="R28" s="43"/>
      <c r="S28" s="43"/>
      <c r="T28" s="43"/>
      <c r="U28" s="43"/>
    </row>
    <row r="29" spans="1:21" s="11" customFormat="1" ht="15">
      <c r="A29" s="49" t="s">
        <v>227</v>
      </c>
      <c r="B29" s="50">
        <v>3.20</v>
      </c>
      <c r="C29" s="50">
        <v>101.91</v>
      </c>
      <c r="D29" s="50">
        <v>58.41</v>
      </c>
      <c r="E29" s="50">
        <v>5.62</v>
      </c>
      <c r="F29" s="50">
        <v>3.71</v>
      </c>
      <c r="G29" s="56" t="s">
        <v>15</v>
      </c>
      <c r="H29" s="56" t="s">
        <v>15</v>
      </c>
      <c r="I29" s="50">
        <v>0.57999999999999996</v>
      </c>
      <c r="J29" s="50">
        <v>1.34</v>
      </c>
      <c r="K29" s="50">
        <v>13.65</v>
      </c>
      <c r="L29" s="50">
        <v>26.60</v>
      </c>
      <c r="M29" s="50">
        <v>38.47</v>
      </c>
      <c r="N29" s="50">
        <v>4.30</v>
      </c>
      <c r="O29" s="50">
        <v>0</v>
      </c>
      <c r="P29" s="50">
        <v>0.85</v>
      </c>
      <c r="Q29" s="50">
        <v>29.08</v>
      </c>
      <c r="R29" s="43"/>
      <c r="S29" s="43"/>
      <c r="T29" s="43"/>
      <c r="U29" s="43"/>
    </row>
    <row r="30" spans="1:21" s="11" customFormat="1" ht="15">
      <c r="A30" s="49" t="s">
        <v>228</v>
      </c>
      <c r="B30" s="50">
        <v>4.17</v>
      </c>
      <c r="C30" s="50">
        <v>105.22</v>
      </c>
      <c r="D30" s="50">
        <v>61.41</v>
      </c>
      <c r="E30" s="50">
        <v>5.69</v>
      </c>
      <c r="F30" s="50">
        <v>3.38</v>
      </c>
      <c r="G30" s="56" t="s">
        <v>15</v>
      </c>
      <c r="H30" s="56" t="s">
        <v>15</v>
      </c>
      <c r="I30" s="50">
        <v>0.57999999999999996</v>
      </c>
      <c r="J30" s="50">
        <v>1.43</v>
      </c>
      <c r="K30" s="50">
        <v>11.42</v>
      </c>
      <c r="L30" s="50">
        <v>25.86</v>
      </c>
      <c r="M30" s="50">
        <v>42.47</v>
      </c>
      <c r="N30" s="50">
        <v>4.5999999999999996</v>
      </c>
      <c r="O30" s="50">
        <v>0</v>
      </c>
      <c r="P30" s="50">
        <v>0.92</v>
      </c>
      <c r="Q30" s="50">
        <v>28.51</v>
      </c>
      <c r="R30" s="43"/>
      <c r="S30" s="43"/>
      <c r="T30" s="43"/>
      <c r="U30" s="43"/>
    </row>
    <row r="31" spans="1:21" s="11" customFormat="1" ht="15">
      <c r="A31" s="49" t="s">
        <v>229</v>
      </c>
      <c r="B31" s="50">
        <v>4.6399999999999997</v>
      </c>
      <c r="C31" s="50">
        <v>106.41</v>
      </c>
      <c r="D31" s="50">
        <v>62.36</v>
      </c>
      <c r="E31" s="50">
        <v>4.76</v>
      </c>
      <c r="F31" s="50">
        <v>3.22</v>
      </c>
      <c r="G31" s="50">
        <v>37.35</v>
      </c>
      <c r="H31" s="50">
        <v>24.75</v>
      </c>
      <c r="I31" s="50">
        <v>0.57999999999999996</v>
      </c>
      <c r="J31" s="50">
        <v>1.44</v>
      </c>
      <c r="K31" s="50">
        <v>33.270000000000003</v>
      </c>
      <c r="L31" s="50">
        <v>24.88</v>
      </c>
      <c r="M31" s="50">
        <v>43</v>
      </c>
      <c r="N31" s="50">
        <v>4.4000000000000004</v>
      </c>
      <c r="O31" s="50">
        <v>0</v>
      </c>
      <c r="P31" s="50">
        <v>0.99</v>
      </c>
      <c r="Q31" s="50">
        <v>26.95</v>
      </c>
      <c r="R31" s="43"/>
      <c r="S31" s="43"/>
      <c r="T31" s="43"/>
      <c r="U31" s="43"/>
    </row>
    <row r="32" spans="1:21" s="11" customFormat="1" ht="15">
      <c r="A32" s="49" t="s">
        <v>230</v>
      </c>
      <c r="B32" s="50">
        <v>5.42</v>
      </c>
      <c r="C32" s="50">
        <v>104.43</v>
      </c>
      <c r="D32" s="50">
        <v>61.94</v>
      </c>
      <c r="E32" s="50">
        <v>4.88</v>
      </c>
      <c r="F32" s="50">
        <v>3.32</v>
      </c>
      <c r="G32" s="50">
        <v>52.75</v>
      </c>
      <c r="H32" s="50">
        <v>24.48</v>
      </c>
      <c r="I32" s="50">
        <v>0.56000000000000005</v>
      </c>
      <c r="J32" s="50">
        <v>1.0900000000000001</v>
      </c>
      <c r="K32" s="50">
        <v>38.06</v>
      </c>
      <c r="L32" s="50">
        <v>24.35</v>
      </c>
      <c r="M32" s="50">
        <v>43.86</v>
      </c>
      <c r="N32" s="50">
        <v>4.20</v>
      </c>
      <c r="O32" s="50">
        <v>0</v>
      </c>
      <c r="P32" s="50">
        <v>1.08</v>
      </c>
      <c r="Q32" s="50">
        <v>29.46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1.46</v>
      </c>
      <c r="C34" s="28">
        <f t="shared" si="0"/>
        <v>98.569999999999993</v>
      </c>
      <c r="D34" s="28">
        <f t="shared" si="0"/>
        <v>55.579999999999998</v>
      </c>
      <c r="E34" s="28">
        <f t="shared" si="0"/>
        <v>4.7599999999999998</v>
      </c>
      <c r="F34" s="28">
        <f t="shared" si="0"/>
        <v>2.8799999999999999</v>
      </c>
      <c r="G34" s="28">
        <f t="shared" si="0"/>
        <v>3.96</v>
      </c>
      <c r="H34" s="28">
        <f t="shared" si="0"/>
        <v>23.620000000000001</v>
      </c>
      <c r="I34" s="28">
        <f t="shared" si="0"/>
        <v>0.55000000000000004</v>
      </c>
      <c r="J34" s="28">
        <f t="shared" si="0"/>
        <v>0.35999999999999999</v>
      </c>
      <c r="K34" s="28">
        <f t="shared" si="0"/>
        <v>11.42</v>
      </c>
      <c r="L34" s="28">
        <f t="shared" si="0"/>
        <v>21.59</v>
      </c>
      <c r="M34" s="28">
        <f t="shared" si="0"/>
        <v>19.870000000000001</v>
      </c>
      <c r="N34" s="28">
        <f t="shared" si="0"/>
        <v>4.0999999999999996</v>
      </c>
      <c r="O34" s="28">
        <f t="shared" si="0"/>
        <v>0</v>
      </c>
      <c r="P34" s="28">
        <f t="shared" si="0"/>
        <v>0.79000000000000004</v>
      </c>
      <c r="Q34" s="28">
        <f t="shared" si="0"/>
        <v>26.25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156.19</v>
      </c>
      <c r="C35" s="29">
        <f t="shared" si="1"/>
        <v>117.34</v>
      </c>
      <c r="D35" s="29">
        <f t="shared" si="1"/>
        <v>190.00999999999999</v>
      </c>
      <c r="E35" s="29">
        <f t="shared" si="1"/>
        <v>7.7000000000000002</v>
      </c>
      <c r="F35" s="29">
        <f t="shared" si="1"/>
        <v>4.7400000000000002</v>
      </c>
      <c r="G35" s="29">
        <f t="shared" si="1"/>
        <v>197.63</v>
      </c>
      <c r="H35" s="29">
        <f t="shared" si="1"/>
        <v>65.189999999999998</v>
      </c>
      <c r="I35" s="29">
        <f t="shared" si="1"/>
        <v>1.54</v>
      </c>
      <c r="J35" s="29">
        <f t="shared" si="1"/>
        <v>1.98</v>
      </c>
      <c r="K35" s="29">
        <f t="shared" si="1"/>
        <v>359.35000000000002</v>
      </c>
      <c r="L35" s="29">
        <f t="shared" si="1"/>
        <v>36.960000000000001</v>
      </c>
      <c r="M35" s="29">
        <f t="shared" si="1"/>
        <v>58.640000000000001</v>
      </c>
      <c r="N35" s="29">
        <f t="shared" si="1"/>
        <v>529.29999999999995</v>
      </c>
      <c r="O35" s="29">
        <f t="shared" si="1"/>
        <v>0</v>
      </c>
      <c r="P35" s="29">
        <f t="shared" si="1"/>
        <v>2.7000000000000002</v>
      </c>
      <c r="Q35" s="29">
        <f t="shared" si="1"/>
        <v>39.359999999999999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38.237916666666671</v>
      </c>
      <c r="C36" s="28">
        <f t="shared" si="2"/>
        <v>107.24166666666663</v>
      </c>
      <c r="D36" s="28">
        <f t="shared" si="2"/>
        <v>89.563333333333333</v>
      </c>
      <c r="E36" s="28">
        <f t="shared" si="2"/>
        <v>5.8483333333333327</v>
      </c>
      <c r="F36" s="28">
        <f t="shared" si="2"/>
        <v>3.6374999999999993</v>
      </c>
      <c r="G36" s="28">
        <f t="shared" si="2"/>
        <v>93.782857142857125</v>
      </c>
      <c r="H36" s="28">
        <f t="shared" si="2"/>
        <v>42.627142857142857</v>
      </c>
      <c r="I36" s="28">
        <f t="shared" si="2"/>
        <v>0.74749999999999972</v>
      </c>
      <c r="J36" s="28">
        <f t="shared" si="2"/>
        <v>1.1770833333333335</v>
      </c>
      <c r="K36" s="28">
        <f t="shared" si="2"/>
        <v>92.417083333333338</v>
      </c>
      <c r="L36" s="28">
        <f t="shared" si="2"/>
        <v>28.774583333333336</v>
      </c>
      <c r="M36" s="28">
        <f t="shared" si="2"/>
        <v>36.630833333333335</v>
      </c>
      <c r="N36" s="28">
        <f t="shared" si="2"/>
        <v>166.01666666666668</v>
      </c>
      <c r="O36" s="28">
        <f t="shared" si="2"/>
        <v>0</v>
      </c>
      <c r="P36" s="28">
        <f t="shared" si="2"/>
        <v>1.4541666666666666</v>
      </c>
      <c r="Q36" s="28">
        <f t="shared" si="2"/>
        <v>31.587916666666672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45.11586812132267</v>
      </c>
      <c r="C37" s="28">
        <f t="shared" si="3" ref="C37:Q37">STDEV(C9:C32)</f>
        <v>5.4394818060960137</v>
      </c>
      <c r="D37" s="28">
        <f t="shared" si="3"/>
        <v>37.913124338432588</v>
      </c>
      <c r="E37" s="28">
        <f t="shared" si="3"/>
        <v>0.82070312731730455</v>
      </c>
      <c r="F37" s="28">
        <f t="shared" si="3"/>
        <v>0.6145005041212126</v>
      </c>
      <c r="G37" s="28">
        <f t="shared" si="3"/>
        <v>60.280530015097746</v>
      </c>
      <c r="H37" s="28">
        <f t="shared" si="3"/>
        <v>15.445048710519838</v>
      </c>
      <c r="I37" s="28">
        <f t="shared" si="3"/>
        <v>0.26339340720018384</v>
      </c>
      <c r="J37" s="28">
        <f t="shared" si="3"/>
        <v>0.44564051769839341</v>
      </c>
      <c r="K37" s="28">
        <f t="shared" si="3"/>
        <v>125.10028083516131</v>
      </c>
      <c r="L37" s="28">
        <f t="shared" si="3"/>
        <v>5.1776837016655204</v>
      </c>
      <c r="M37" s="28">
        <f t="shared" si="3"/>
        <v>12.748526570162708</v>
      </c>
      <c r="N37" s="28">
        <f t="shared" si="3"/>
        <v>208.36095074917813</v>
      </c>
      <c r="O37" s="28">
        <f t="shared" si="3"/>
        <v>0</v>
      </c>
      <c r="P37" s="28">
        <f t="shared" si="3"/>
        <v>0.62291681813773514</v>
      </c>
      <c r="Q37" s="28">
        <f t="shared" si="3"/>
        <v>4.1775913376080256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14</v>
      </c>
      <c r="H38" s="32">
        <f t="shared" si="4"/>
        <v>14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328df7-90f9-4446-b8ed-2e6c0a264d3e}">
  <sheetPr codeName=""/>
  <dimension ref="A1:U119"/>
  <sheetViews>
    <sheetView workbookViewId="0" topLeftCell="A1">
      <pane xSplit="2" ySplit="8" topLeftCell="C30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08-03-2023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49" t="s">
        <v>231</v>
      </c>
      <c r="B9" s="50">
        <v>5.18</v>
      </c>
      <c r="C9" s="50">
        <v>104.84</v>
      </c>
      <c r="D9" s="50">
        <v>62.02</v>
      </c>
      <c r="E9" s="50">
        <v>6.12</v>
      </c>
      <c r="F9" s="50">
        <v>3.38</v>
      </c>
      <c r="G9" s="50">
        <v>55.84</v>
      </c>
      <c r="H9" s="50">
        <v>26.86</v>
      </c>
      <c r="I9" s="50">
        <v>0.56000000000000005</v>
      </c>
      <c r="J9" s="50">
        <v>0.71</v>
      </c>
      <c r="K9" s="50">
        <v>56.14</v>
      </c>
      <c r="L9" s="50">
        <v>24.58</v>
      </c>
      <c r="M9" s="50">
        <v>43.01</v>
      </c>
      <c r="N9" s="50">
        <v>4.70</v>
      </c>
      <c r="O9" s="50">
        <v>0</v>
      </c>
      <c r="P9" s="50">
        <v>1.1399999999999999</v>
      </c>
      <c r="Q9" s="50">
        <v>30.06</v>
      </c>
      <c r="R9" s="43"/>
      <c r="S9" s="43"/>
      <c r="T9" s="43"/>
      <c r="U9" s="43"/>
    </row>
    <row r="10" spans="1:21" s="11" customFormat="1" ht="15">
      <c r="A10" s="49" t="s">
        <v>232</v>
      </c>
      <c r="B10" s="50">
        <v>4.51</v>
      </c>
      <c r="C10" s="50">
        <v>104.54</v>
      </c>
      <c r="D10" s="50">
        <v>61.19</v>
      </c>
      <c r="E10" s="50">
        <v>5.71</v>
      </c>
      <c r="F10" s="50">
        <v>3.06</v>
      </c>
      <c r="G10" s="50">
        <v>62.07</v>
      </c>
      <c r="H10" s="50">
        <v>25.72</v>
      </c>
      <c r="I10" s="50">
        <v>0.56000000000000005</v>
      </c>
      <c r="J10" s="50">
        <v>1.21</v>
      </c>
      <c r="K10" s="50">
        <v>358.98</v>
      </c>
      <c r="L10" s="50">
        <v>24.20</v>
      </c>
      <c r="M10" s="50">
        <v>46.26</v>
      </c>
      <c r="N10" s="50">
        <v>6.60</v>
      </c>
      <c r="O10" s="50">
        <v>0.60</v>
      </c>
      <c r="P10" s="50">
        <v>1.1399999999999999</v>
      </c>
      <c r="Q10" s="50">
        <v>29.90</v>
      </c>
      <c r="R10" s="43"/>
      <c r="S10" s="43"/>
      <c r="T10" s="43"/>
      <c r="U10" s="43"/>
    </row>
    <row r="11" spans="1:21" s="11" customFormat="1" ht="15">
      <c r="A11" s="49" t="s">
        <v>233</v>
      </c>
      <c r="B11" s="50">
        <v>5.64</v>
      </c>
      <c r="C11" s="50">
        <v>100.15</v>
      </c>
      <c r="D11" s="50">
        <v>59.07</v>
      </c>
      <c r="E11" s="50">
        <v>4.49</v>
      </c>
      <c r="F11" s="50">
        <v>3.11</v>
      </c>
      <c r="G11" s="50">
        <v>48.99</v>
      </c>
      <c r="H11" s="50">
        <v>26.63</v>
      </c>
      <c r="I11" s="50">
        <v>0.54</v>
      </c>
      <c r="J11" s="50">
        <v>1.68</v>
      </c>
      <c r="K11" s="50">
        <v>70.900000000000006</v>
      </c>
      <c r="L11" s="50">
        <v>21.66</v>
      </c>
      <c r="M11" s="50">
        <v>74.25</v>
      </c>
      <c r="N11" s="50">
        <v>8.5</v>
      </c>
      <c r="O11" s="50">
        <v>2</v>
      </c>
      <c r="P11" s="50">
        <v>1.06</v>
      </c>
      <c r="Q11" s="50">
        <v>28.57</v>
      </c>
      <c r="R11" s="43"/>
      <c r="S11" s="43"/>
      <c r="T11" s="43"/>
      <c r="U11" s="43"/>
    </row>
    <row r="12" spans="1:21" s="11" customFormat="1" ht="15">
      <c r="A12" s="49" t="s">
        <v>234</v>
      </c>
      <c r="B12" s="50">
        <v>5.81</v>
      </c>
      <c r="C12" s="50">
        <v>94.25</v>
      </c>
      <c r="D12" s="50">
        <v>56.60</v>
      </c>
      <c r="E12" s="50">
        <v>4.53</v>
      </c>
      <c r="F12" s="50">
        <v>3.06</v>
      </c>
      <c r="G12" s="50">
        <v>67.239999999999995</v>
      </c>
      <c r="H12" s="50">
        <v>26.39</v>
      </c>
      <c r="I12" s="50">
        <v>0.55000000000000004</v>
      </c>
      <c r="J12" s="50">
        <v>0.57999999999999996</v>
      </c>
      <c r="K12" s="50">
        <v>220.90</v>
      </c>
      <c r="L12" s="50">
        <v>21.23</v>
      </c>
      <c r="M12" s="50">
        <v>69.86</v>
      </c>
      <c r="N12" s="50">
        <v>6.70</v>
      </c>
      <c r="O12" s="50">
        <v>0</v>
      </c>
      <c r="P12" s="50">
        <v>1.02</v>
      </c>
      <c r="Q12" s="50">
        <v>30.33</v>
      </c>
      <c r="R12" s="43"/>
      <c r="S12" s="43"/>
      <c r="T12" s="43"/>
      <c r="U12" s="43"/>
    </row>
    <row r="13" spans="1:21" s="11" customFormat="1" ht="15">
      <c r="A13" s="49" t="s">
        <v>235</v>
      </c>
      <c r="B13" s="50">
        <v>7.33</v>
      </c>
      <c r="C13" s="50">
        <v>94.38</v>
      </c>
      <c r="D13" s="50">
        <v>57.61</v>
      </c>
      <c r="E13" s="50">
        <v>4.71</v>
      </c>
      <c r="F13" s="50">
        <v>3.25</v>
      </c>
      <c r="G13" s="50">
        <v>73.13</v>
      </c>
      <c r="H13" s="50">
        <v>28.13</v>
      </c>
      <c r="I13" s="50">
        <v>0.55000000000000004</v>
      </c>
      <c r="J13" s="50">
        <v>0.99</v>
      </c>
      <c r="K13" s="50">
        <v>235.45</v>
      </c>
      <c r="L13" s="50">
        <v>20.97</v>
      </c>
      <c r="M13" s="50">
        <v>72.739999999999995</v>
      </c>
      <c r="N13" s="50">
        <v>5.20</v>
      </c>
      <c r="O13" s="50">
        <v>0</v>
      </c>
      <c r="P13" s="50">
        <v>1</v>
      </c>
      <c r="Q13" s="50">
        <v>30.54</v>
      </c>
      <c r="R13" s="43"/>
      <c r="S13" s="43"/>
      <c r="T13" s="43"/>
      <c r="U13" s="43"/>
    </row>
    <row r="14" spans="1:21" s="11" customFormat="1" ht="15">
      <c r="A14" s="49" t="s">
        <v>236</v>
      </c>
      <c r="B14" s="50">
        <v>8.99</v>
      </c>
      <c r="C14" s="50">
        <v>91.88</v>
      </c>
      <c r="D14" s="50">
        <v>57.73</v>
      </c>
      <c r="E14" s="50">
        <v>4.3899999999999997</v>
      </c>
      <c r="F14" s="50">
        <v>2.95</v>
      </c>
      <c r="G14" s="50">
        <v>46.73</v>
      </c>
      <c r="H14" s="50">
        <v>26.26</v>
      </c>
      <c r="I14" s="50">
        <v>0.54</v>
      </c>
      <c r="J14" s="50">
        <v>0.32</v>
      </c>
      <c r="K14" s="50">
        <v>342.56</v>
      </c>
      <c r="L14" s="50">
        <v>20.80</v>
      </c>
      <c r="M14" s="50">
        <v>74.290000000000006</v>
      </c>
      <c r="N14" s="50">
        <v>5</v>
      </c>
      <c r="O14" s="50">
        <v>0</v>
      </c>
      <c r="P14" s="50">
        <v>0.93</v>
      </c>
      <c r="Q14" s="50">
        <v>29.95</v>
      </c>
      <c r="R14" s="43"/>
      <c r="S14" s="43"/>
      <c r="T14" s="43"/>
      <c r="U14" s="43"/>
    </row>
    <row r="15" spans="1:21" s="11" customFormat="1" ht="15">
      <c r="A15" s="49" t="s">
        <v>237</v>
      </c>
      <c r="B15" s="50">
        <v>14.13</v>
      </c>
      <c r="C15" s="50">
        <v>91.54</v>
      </c>
      <c r="D15" s="50">
        <v>61.77</v>
      </c>
      <c r="E15" s="50">
        <v>4.54</v>
      </c>
      <c r="F15" s="50">
        <v>2.95</v>
      </c>
      <c r="G15" s="50">
        <v>43.20</v>
      </c>
      <c r="H15" s="50">
        <v>25.28</v>
      </c>
      <c r="I15" s="50">
        <v>0.55000000000000004</v>
      </c>
      <c r="J15" s="50">
        <v>0.13</v>
      </c>
      <c r="K15" s="50">
        <v>234.62</v>
      </c>
      <c r="L15" s="50">
        <v>20.61</v>
      </c>
      <c r="M15" s="50">
        <v>80.75</v>
      </c>
      <c r="N15" s="50">
        <v>54.70</v>
      </c>
      <c r="O15" s="50">
        <v>0</v>
      </c>
      <c r="P15" s="50">
        <v>0.95</v>
      </c>
      <c r="Q15" s="50">
        <v>31.74</v>
      </c>
      <c r="R15" s="43"/>
      <c r="S15" s="43"/>
      <c r="T15" s="43"/>
      <c r="U15" s="43"/>
    </row>
    <row r="16" spans="1:21" s="11" customFormat="1" ht="15">
      <c r="A16" s="49" t="s">
        <v>238</v>
      </c>
      <c r="B16" s="50">
        <v>15.90</v>
      </c>
      <c r="C16" s="50">
        <v>91.61</v>
      </c>
      <c r="D16" s="50">
        <v>62.68</v>
      </c>
      <c r="E16" s="50">
        <v>4.6399999999999997</v>
      </c>
      <c r="F16" s="50">
        <v>2.94</v>
      </c>
      <c r="G16" s="50">
        <v>57.56</v>
      </c>
      <c r="H16" s="50">
        <v>25.01</v>
      </c>
      <c r="I16" s="50">
        <v>0.56999999999999995</v>
      </c>
      <c r="J16" s="50">
        <v>0.19</v>
      </c>
      <c r="K16" s="50">
        <v>45.31</v>
      </c>
      <c r="L16" s="50">
        <v>23.99</v>
      </c>
      <c r="M16" s="50">
        <v>75.34</v>
      </c>
      <c r="N16" s="50">
        <v>178.80</v>
      </c>
      <c r="O16" s="50">
        <v>0</v>
      </c>
      <c r="P16" s="50">
        <v>0.99</v>
      </c>
      <c r="Q16" s="50">
        <v>31.94</v>
      </c>
      <c r="R16" s="43"/>
      <c r="S16" s="43"/>
      <c r="T16" s="43"/>
      <c r="U16" s="43"/>
    </row>
    <row r="17" spans="1:21" s="11" customFormat="1" ht="15">
      <c r="A17" s="49" t="s">
        <v>239</v>
      </c>
      <c r="B17" s="50">
        <v>14.21</v>
      </c>
      <c r="C17" s="50">
        <v>95.33</v>
      </c>
      <c r="D17" s="50">
        <v>63.52</v>
      </c>
      <c r="E17" s="50">
        <v>4.03</v>
      </c>
      <c r="F17" s="50">
        <v>3.09</v>
      </c>
      <c r="G17" s="50">
        <v>57.06</v>
      </c>
      <c r="H17" s="50">
        <v>25.73</v>
      </c>
      <c r="I17" s="50">
        <v>0.56999999999999995</v>
      </c>
      <c r="J17" s="50">
        <v>0.28000000000000003</v>
      </c>
      <c r="K17" s="50">
        <v>319.33999999999997</v>
      </c>
      <c r="L17" s="50">
        <v>24.97</v>
      </c>
      <c r="M17" s="50">
        <v>58.51</v>
      </c>
      <c r="N17" s="50">
        <v>444.40</v>
      </c>
      <c r="O17" s="50">
        <v>0</v>
      </c>
      <c r="P17" s="50">
        <v>0.99</v>
      </c>
      <c r="Q17" s="50">
        <v>31.59</v>
      </c>
      <c r="R17" s="43"/>
      <c r="S17" s="43"/>
      <c r="T17" s="43"/>
      <c r="U17" s="43"/>
    </row>
    <row r="18" spans="1:21" s="11" customFormat="1" ht="15">
      <c r="A18" s="49" t="s">
        <v>240</v>
      </c>
      <c r="B18" s="50">
        <v>12.89</v>
      </c>
      <c r="C18" s="50">
        <v>98.26</v>
      </c>
      <c r="D18" s="50">
        <v>63.72</v>
      </c>
      <c r="E18" s="50">
        <v>4.25</v>
      </c>
      <c r="F18" s="50">
        <v>2.96</v>
      </c>
      <c r="G18" s="50">
        <v>14.53</v>
      </c>
      <c r="H18" s="50">
        <v>26.84</v>
      </c>
      <c r="I18" s="50">
        <v>0.56999999999999995</v>
      </c>
      <c r="J18" s="50">
        <v>0.86</v>
      </c>
      <c r="K18" s="50">
        <v>344.60</v>
      </c>
      <c r="L18" s="50">
        <v>29.72</v>
      </c>
      <c r="M18" s="50">
        <v>48.53</v>
      </c>
      <c r="N18" s="50">
        <v>636.29999999999995</v>
      </c>
      <c r="O18" s="50">
        <v>0</v>
      </c>
      <c r="P18" s="50">
        <v>0.98</v>
      </c>
      <c r="Q18" s="50">
        <v>31.48</v>
      </c>
      <c r="R18" s="43"/>
      <c r="S18" s="43"/>
      <c r="T18" s="43"/>
      <c r="U18" s="43"/>
    </row>
    <row r="19" spans="1:21" s="11" customFormat="1" ht="15">
      <c r="A19" s="49" t="s">
        <v>241</v>
      </c>
      <c r="B19" s="50">
        <v>10.93</v>
      </c>
      <c r="C19" s="50">
        <v>104.41</v>
      </c>
      <c r="D19" s="50">
        <v>63.13</v>
      </c>
      <c r="E19" s="50">
        <v>4.9000000000000004</v>
      </c>
      <c r="F19" s="50">
        <v>3.37</v>
      </c>
      <c r="G19" s="50">
        <v>109.94</v>
      </c>
      <c r="H19" s="50">
        <v>27.77</v>
      </c>
      <c r="I19" s="50">
        <v>0.59</v>
      </c>
      <c r="J19" s="50">
        <v>0.52</v>
      </c>
      <c r="K19" s="50">
        <v>232.03</v>
      </c>
      <c r="L19" s="50">
        <v>33.369999999999997</v>
      </c>
      <c r="M19" s="50">
        <v>46.34</v>
      </c>
      <c r="N19" s="50">
        <v>765.20</v>
      </c>
      <c r="O19" s="50">
        <v>0</v>
      </c>
      <c r="P19" s="50">
        <v>1</v>
      </c>
      <c r="Q19" s="50">
        <v>33.56</v>
      </c>
      <c r="R19" s="43"/>
      <c r="S19" s="43"/>
      <c r="T19" s="43"/>
      <c r="U19" s="43"/>
    </row>
    <row r="20" spans="1:21" s="11" customFormat="1" ht="15">
      <c r="A20" s="49" t="s">
        <v>242</v>
      </c>
      <c r="B20" s="50">
        <v>2.78</v>
      </c>
      <c r="C20" s="50">
        <v>105.51</v>
      </c>
      <c r="D20" s="50">
        <v>60.46</v>
      </c>
      <c r="E20" s="50">
        <v>4.5999999999999996</v>
      </c>
      <c r="F20" s="50">
        <v>3.96</v>
      </c>
      <c r="G20" s="50">
        <v>71.47</v>
      </c>
      <c r="H20" s="50">
        <v>31.26</v>
      </c>
      <c r="I20" s="50">
        <v>0.57999999999999996</v>
      </c>
      <c r="J20" s="50">
        <v>0.48</v>
      </c>
      <c r="K20" s="50">
        <v>333.45</v>
      </c>
      <c r="L20" s="50">
        <v>33.76</v>
      </c>
      <c r="M20" s="50">
        <v>33.770000000000003</v>
      </c>
      <c r="N20" s="50">
        <v>829.80</v>
      </c>
      <c r="O20" s="50">
        <v>0</v>
      </c>
      <c r="P20" s="50">
        <v>1</v>
      </c>
      <c r="Q20" s="50">
        <v>33.53</v>
      </c>
      <c r="R20" s="43"/>
      <c r="S20" s="43"/>
      <c r="T20" s="43"/>
      <c r="U20" s="43"/>
    </row>
    <row r="21" spans="1:21" s="11" customFormat="1" ht="15">
      <c r="A21" s="49" t="s">
        <v>243</v>
      </c>
      <c r="B21" s="50">
        <v>1.80</v>
      </c>
      <c r="C21" s="50">
        <v>101.33</v>
      </c>
      <c r="D21" s="50">
        <v>56.88</v>
      </c>
      <c r="E21" s="50">
        <v>3.83</v>
      </c>
      <c r="F21" s="50">
        <v>3.76</v>
      </c>
      <c r="G21" s="50">
        <v>55.35</v>
      </c>
      <c r="H21" s="50">
        <v>33.630000000000003</v>
      </c>
      <c r="I21" s="50">
        <v>0.56999999999999995</v>
      </c>
      <c r="J21" s="50">
        <v>0.48</v>
      </c>
      <c r="K21" s="50">
        <v>78.25</v>
      </c>
      <c r="L21" s="50">
        <v>33.51</v>
      </c>
      <c r="M21" s="50">
        <v>32.450000000000003</v>
      </c>
      <c r="N21" s="50">
        <v>815.30</v>
      </c>
      <c r="O21" s="50">
        <v>0</v>
      </c>
      <c r="P21" s="50">
        <v>0.96</v>
      </c>
      <c r="Q21" s="50">
        <v>31.95</v>
      </c>
      <c r="R21" s="43"/>
      <c r="S21" s="43"/>
      <c r="T21" s="43"/>
      <c r="U21" s="43"/>
    </row>
    <row r="22" spans="1:21" s="11" customFormat="1" ht="15">
      <c r="A22" s="49" t="s">
        <v>244</v>
      </c>
      <c r="B22" s="50">
        <v>2.09</v>
      </c>
      <c r="C22" s="50">
        <v>100.05</v>
      </c>
      <c r="D22" s="50">
        <v>56.81</v>
      </c>
      <c r="E22" s="50">
        <v>4.17</v>
      </c>
      <c r="F22" s="50">
        <v>4.68</v>
      </c>
      <c r="G22" s="50">
        <v>49.68</v>
      </c>
      <c r="H22" s="50">
        <v>33.79</v>
      </c>
      <c r="I22" s="50">
        <v>0.61</v>
      </c>
      <c r="J22" s="50">
        <v>0.94</v>
      </c>
      <c r="K22" s="50">
        <v>128.5</v>
      </c>
      <c r="L22" s="50">
        <v>35.65</v>
      </c>
      <c r="M22" s="50">
        <v>30.5</v>
      </c>
      <c r="N22" s="50">
        <v>733.80</v>
      </c>
      <c r="O22" s="50">
        <v>0</v>
      </c>
      <c r="P22" s="50">
        <v>0.94</v>
      </c>
      <c r="Q22" s="50">
        <v>32.659999999999997</v>
      </c>
      <c r="R22" s="43"/>
      <c r="S22" s="43"/>
      <c r="T22" s="43"/>
      <c r="U22" s="43"/>
    </row>
    <row r="23" spans="1:21" s="11" customFormat="1" ht="15">
      <c r="A23" s="49" t="s">
        <v>245</v>
      </c>
      <c r="B23" s="50">
        <v>1.33</v>
      </c>
      <c r="C23" s="50">
        <v>96.54</v>
      </c>
      <c r="D23" s="50">
        <v>54.34</v>
      </c>
      <c r="E23" s="50">
        <v>4.03</v>
      </c>
      <c r="F23" s="50">
        <v>4.45</v>
      </c>
      <c r="G23" s="50">
        <v>51.77</v>
      </c>
      <c r="H23" s="50">
        <v>31.17</v>
      </c>
      <c r="I23" s="50">
        <v>0.61</v>
      </c>
      <c r="J23" s="50">
        <v>0.60</v>
      </c>
      <c r="K23" s="50">
        <v>298.31</v>
      </c>
      <c r="L23" s="50">
        <v>35.049999999999997</v>
      </c>
      <c r="M23" s="50">
        <v>28.48</v>
      </c>
      <c r="N23" s="50">
        <v>661.90</v>
      </c>
      <c r="O23" s="50">
        <v>0</v>
      </c>
      <c r="P23" s="50">
        <v>0.87</v>
      </c>
      <c r="Q23" s="50">
        <v>33.96</v>
      </c>
      <c r="R23" s="43"/>
      <c r="S23" s="43"/>
      <c r="T23" s="43"/>
      <c r="U23" s="43"/>
    </row>
    <row r="24" spans="1:21" s="11" customFormat="1" ht="15">
      <c r="A24" s="49" t="s">
        <v>246</v>
      </c>
      <c r="B24" s="50">
        <v>1.20</v>
      </c>
      <c r="C24" s="50">
        <v>93.05</v>
      </c>
      <c r="D24" s="50">
        <v>51.99</v>
      </c>
      <c r="E24" s="50">
        <v>3.71</v>
      </c>
      <c r="F24" s="50">
        <v>4.20</v>
      </c>
      <c r="G24" s="50">
        <v>25.96</v>
      </c>
      <c r="H24" s="50">
        <v>27.94</v>
      </c>
      <c r="I24" s="50">
        <v>0.59</v>
      </c>
      <c r="J24" s="50">
        <v>1.08</v>
      </c>
      <c r="K24" s="50">
        <v>122.24</v>
      </c>
      <c r="L24" s="50">
        <v>33.47</v>
      </c>
      <c r="M24" s="50">
        <v>29.75</v>
      </c>
      <c r="N24" s="50">
        <v>486.70</v>
      </c>
      <c r="O24" s="50">
        <v>0</v>
      </c>
      <c r="P24" s="50">
        <v>0.77</v>
      </c>
      <c r="Q24" s="50">
        <v>33.04</v>
      </c>
      <c r="R24" s="43"/>
      <c r="S24" s="43"/>
      <c r="T24" s="43"/>
      <c r="U24" s="43"/>
    </row>
    <row r="25" spans="1:21" s="11" customFormat="1" ht="15">
      <c r="A25" s="49" t="s">
        <v>247</v>
      </c>
      <c r="B25" s="50">
        <v>2.13</v>
      </c>
      <c r="C25" s="50">
        <v>90.39</v>
      </c>
      <c r="D25" s="50">
        <v>51.53</v>
      </c>
      <c r="E25" s="50">
        <v>3.64</v>
      </c>
      <c r="F25" s="50">
        <v>4.66</v>
      </c>
      <c r="G25" s="50">
        <v>31.45</v>
      </c>
      <c r="H25" s="50">
        <v>23.78</v>
      </c>
      <c r="I25" s="50">
        <v>0.51</v>
      </c>
      <c r="J25" s="50">
        <v>0.92</v>
      </c>
      <c r="K25" s="50">
        <v>181.36</v>
      </c>
      <c r="L25" s="50">
        <v>31.64</v>
      </c>
      <c r="M25" s="50">
        <v>29.86</v>
      </c>
      <c r="N25" s="50">
        <v>190.20</v>
      </c>
      <c r="O25" s="50">
        <v>0</v>
      </c>
      <c r="P25" s="50">
        <v>0.81</v>
      </c>
      <c r="Q25" s="50">
        <v>31.54</v>
      </c>
      <c r="R25" s="43"/>
      <c r="S25" s="43"/>
      <c r="T25" s="43"/>
      <c r="U25" s="43"/>
    </row>
    <row r="26" spans="1:21" s="11" customFormat="1" ht="15">
      <c r="A26" s="49" t="s">
        <v>248</v>
      </c>
      <c r="B26" s="50">
        <v>2.10</v>
      </c>
      <c r="C26" s="50">
        <v>90.87</v>
      </c>
      <c r="D26" s="50">
        <v>51.66</v>
      </c>
      <c r="E26" s="50">
        <v>3.80</v>
      </c>
      <c r="F26" s="50">
        <v>4.42</v>
      </c>
      <c r="G26" s="50">
        <v>36.40</v>
      </c>
      <c r="H26" s="50">
        <v>22.95</v>
      </c>
      <c r="I26" s="50">
        <v>0.55000000000000004</v>
      </c>
      <c r="J26" s="50">
        <v>0.75</v>
      </c>
      <c r="K26" s="50">
        <v>206.52</v>
      </c>
      <c r="L26" s="50">
        <v>30.61</v>
      </c>
      <c r="M26" s="50">
        <v>31.71</v>
      </c>
      <c r="N26" s="50">
        <v>86</v>
      </c>
      <c r="O26" s="50">
        <v>0</v>
      </c>
      <c r="P26" s="50">
        <v>0.63</v>
      </c>
      <c r="Q26" s="50">
        <v>34.17</v>
      </c>
      <c r="R26" s="43"/>
      <c r="S26" s="43"/>
      <c r="T26" s="43"/>
      <c r="U26" s="43"/>
    </row>
    <row r="27" spans="1:21" s="11" customFormat="1" ht="15">
      <c r="A27" s="49" t="s">
        <v>249</v>
      </c>
      <c r="B27" s="50">
        <v>1.65</v>
      </c>
      <c r="C27" s="50">
        <v>92.52</v>
      </c>
      <c r="D27" s="50">
        <v>52.38</v>
      </c>
      <c r="E27" s="50">
        <v>3.73</v>
      </c>
      <c r="F27" s="50">
        <v>4.28</v>
      </c>
      <c r="G27" s="50">
        <v>26.13</v>
      </c>
      <c r="H27" s="50">
        <v>17.62</v>
      </c>
      <c r="I27" s="50">
        <v>0.56000000000000005</v>
      </c>
      <c r="J27" s="50">
        <v>0.18</v>
      </c>
      <c r="K27" s="50">
        <v>352.23</v>
      </c>
      <c r="L27" s="50">
        <v>29.10</v>
      </c>
      <c r="M27" s="50">
        <v>44.16</v>
      </c>
      <c r="N27" s="50">
        <v>6.40</v>
      </c>
      <c r="O27" s="50">
        <v>0</v>
      </c>
      <c r="P27" s="50">
        <v>0.94</v>
      </c>
      <c r="Q27" s="50">
        <v>33.82</v>
      </c>
      <c r="R27" s="43"/>
      <c r="S27" s="43"/>
      <c r="T27" s="43"/>
      <c r="U27" s="43"/>
    </row>
    <row r="28" spans="1:21" s="11" customFormat="1" ht="15">
      <c r="A28" s="49" t="s">
        <v>250</v>
      </c>
      <c r="B28" s="50">
        <v>5.68</v>
      </c>
      <c r="C28" s="50">
        <v>97.94</v>
      </c>
      <c r="D28" s="50">
        <v>58.61</v>
      </c>
      <c r="E28" s="50">
        <v>3.42</v>
      </c>
      <c r="F28" s="50">
        <v>3.44</v>
      </c>
      <c r="G28" s="50">
        <v>33.28</v>
      </c>
      <c r="H28" s="50">
        <v>18.38</v>
      </c>
      <c r="I28" s="50">
        <v>0.65</v>
      </c>
      <c r="J28" s="50">
        <v>0.16</v>
      </c>
      <c r="K28" s="50">
        <v>328.67</v>
      </c>
      <c r="L28" s="50">
        <v>26.52</v>
      </c>
      <c r="M28" s="50">
        <v>50.18</v>
      </c>
      <c r="N28" s="50">
        <v>4.9000000000000004</v>
      </c>
      <c r="O28" s="50">
        <v>0</v>
      </c>
      <c r="P28" s="50">
        <v>1.31</v>
      </c>
      <c r="Q28" s="50">
        <v>33.22</v>
      </c>
      <c r="R28" s="43"/>
      <c r="S28" s="43"/>
      <c r="T28" s="43"/>
      <c r="U28" s="43"/>
    </row>
    <row r="29" spans="1:21" s="11" customFormat="1" ht="15">
      <c r="A29" s="49" t="s">
        <v>251</v>
      </c>
      <c r="B29" s="50">
        <v>11.51</v>
      </c>
      <c r="C29" s="50">
        <v>98.70</v>
      </c>
      <c r="D29" s="50">
        <v>63.70</v>
      </c>
      <c r="E29" s="50">
        <v>3.28</v>
      </c>
      <c r="F29" s="50">
        <v>4.20</v>
      </c>
      <c r="G29" s="50">
        <v>43.72</v>
      </c>
      <c r="H29" s="50">
        <v>19.510000000000002</v>
      </c>
      <c r="I29" s="50">
        <v>0.83</v>
      </c>
      <c r="J29" s="50">
        <v>0.21</v>
      </c>
      <c r="K29" s="50">
        <v>250.03</v>
      </c>
      <c r="L29" s="50">
        <v>24.98</v>
      </c>
      <c r="M29" s="50">
        <v>60.02</v>
      </c>
      <c r="N29" s="50">
        <v>4.70</v>
      </c>
      <c r="O29" s="50">
        <v>0</v>
      </c>
      <c r="P29" s="50">
        <v>2.14</v>
      </c>
      <c r="Q29" s="50">
        <v>34.520000000000003</v>
      </c>
      <c r="R29" s="43"/>
      <c r="S29" s="43"/>
      <c r="T29" s="43"/>
      <c r="U29" s="43"/>
    </row>
    <row r="30" spans="1:21" s="11" customFormat="1" ht="15">
      <c r="A30" s="49" t="s">
        <v>252</v>
      </c>
      <c r="B30" s="50">
        <v>12.79</v>
      </c>
      <c r="C30" s="50">
        <v>101.49</v>
      </c>
      <c r="D30" s="50">
        <v>66.08</v>
      </c>
      <c r="E30" s="50">
        <v>4.03</v>
      </c>
      <c r="F30" s="50">
        <v>2.93</v>
      </c>
      <c r="G30" s="50">
        <v>59.94</v>
      </c>
      <c r="H30" s="50">
        <v>22.08</v>
      </c>
      <c r="I30" s="50">
        <v>0.93</v>
      </c>
      <c r="J30" s="50">
        <v>0.38</v>
      </c>
      <c r="K30" s="50">
        <v>305.42</v>
      </c>
      <c r="L30" s="50">
        <v>25.89</v>
      </c>
      <c r="M30" s="50">
        <v>54.10</v>
      </c>
      <c r="N30" s="50">
        <v>5.40</v>
      </c>
      <c r="O30" s="50">
        <v>0</v>
      </c>
      <c r="P30" s="50">
        <v>1.1399999999999999</v>
      </c>
      <c r="Q30" s="50">
        <v>36.53</v>
      </c>
      <c r="R30" s="43"/>
      <c r="S30" s="43"/>
      <c r="T30" s="43"/>
      <c r="U30" s="43"/>
    </row>
    <row r="31" spans="1:21" s="11" customFormat="1" ht="15">
      <c r="A31" s="49" t="s">
        <v>253</v>
      </c>
      <c r="B31" s="50">
        <v>13.37</v>
      </c>
      <c r="C31" s="50">
        <v>102.53</v>
      </c>
      <c r="D31" s="50">
        <v>66.75</v>
      </c>
      <c r="E31" s="50">
        <v>3.58</v>
      </c>
      <c r="F31" s="50">
        <v>3.17</v>
      </c>
      <c r="G31" s="50">
        <v>50.69</v>
      </c>
      <c r="H31" s="50">
        <v>22.25</v>
      </c>
      <c r="I31" s="50">
        <v>0.72</v>
      </c>
      <c r="J31" s="50">
        <v>0.12</v>
      </c>
      <c r="K31" s="50">
        <v>329.49</v>
      </c>
      <c r="L31" s="50">
        <v>23.97</v>
      </c>
      <c r="M31" s="50">
        <v>55.41</v>
      </c>
      <c r="N31" s="50">
        <v>5</v>
      </c>
      <c r="O31" s="50">
        <v>0</v>
      </c>
      <c r="P31" s="50">
        <v>1.20</v>
      </c>
      <c r="Q31" s="50">
        <v>36.03</v>
      </c>
      <c r="R31" s="43"/>
      <c r="S31" s="43"/>
      <c r="T31" s="43"/>
      <c r="U31" s="43"/>
    </row>
    <row r="32" spans="1:21" s="11" customFormat="1" ht="15">
      <c r="A32" s="49" t="s">
        <v>254</v>
      </c>
      <c r="B32" s="50">
        <v>15.73</v>
      </c>
      <c r="C32" s="50">
        <v>101.70</v>
      </c>
      <c r="D32" s="50">
        <v>68.260000000000005</v>
      </c>
      <c r="E32" s="50">
        <v>3.58</v>
      </c>
      <c r="F32" s="50">
        <v>3.22</v>
      </c>
      <c r="G32" s="50">
        <v>51.38</v>
      </c>
      <c r="H32" s="50">
        <v>24.06</v>
      </c>
      <c r="I32" s="50">
        <v>0.71</v>
      </c>
      <c r="J32" s="50">
        <v>0.14000000000000001</v>
      </c>
      <c r="K32" s="50">
        <v>332.52</v>
      </c>
      <c r="L32" s="50">
        <v>23.68</v>
      </c>
      <c r="M32" s="50">
        <v>60.06</v>
      </c>
      <c r="N32" s="50">
        <v>4.9000000000000004</v>
      </c>
      <c r="O32" s="50">
        <v>0</v>
      </c>
      <c r="P32" s="50">
        <v>1.25</v>
      </c>
      <c r="Q32" s="50">
        <v>34.68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1.2</v>
      </c>
      <c r="C34" s="28">
        <f t="shared" si="0"/>
        <v>90.390000000000001</v>
      </c>
      <c r="D34" s="28">
        <f t="shared" si="0"/>
        <v>51.530000000000001</v>
      </c>
      <c r="E34" s="28">
        <f t="shared" si="0"/>
        <v>3.2799999999999998</v>
      </c>
      <c r="F34" s="28">
        <f t="shared" si="0"/>
        <v>2.9300000000000002</v>
      </c>
      <c r="G34" s="28">
        <f t="shared" si="0"/>
        <v>14.529999999999999</v>
      </c>
      <c r="H34" s="28">
        <f t="shared" si="0"/>
        <v>17.620000000000001</v>
      </c>
      <c r="I34" s="28">
        <f t="shared" si="0"/>
        <v>0.51000000000000001</v>
      </c>
      <c r="J34" s="28">
        <f t="shared" si="0"/>
        <v>0.12</v>
      </c>
      <c r="K34" s="28">
        <f t="shared" si="0"/>
        <v>45.310000000000002</v>
      </c>
      <c r="L34" s="28">
        <f t="shared" si="0"/>
        <v>20.609999999999999</v>
      </c>
      <c r="M34" s="28">
        <f t="shared" si="0"/>
        <v>28.48</v>
      </c>
      <c r="N34" s="28">
        <f t="shared" si="0"/>
        <v>4.7000000000000002</v>
      </c>
      <c r="O34" s="28">
        <f t="shared" si="0"/>
        <v>0</v>
      </c>
      <c r="P34" s="28">
        <f t="shared" si="0"/>
        <v>0.63</v>
      </c>
      <c r="Q34" s="28">
        <f t="shared" si="0"/>
        <v>28.57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15.9</v>
      </c>
      <c r="C35" s="29">
        <f t="shared" si="1"/>
        <v>105.51000000000001</v>
      </c>
      <c r="D35" s="29">
        <f t="shared" si="1"/>
        <v>68.260000000000005</v>
      </c>
      <c r="E35" s="29">
        <f t="shared" si="1"/>
        <v>6.1200000000000001</v>
      </c>
      <c r="F35" s="29">
        <f t="shared" si="1"/>
        <v>4.6799999999999997</v>
      </c>
      <c r="G35" s="29">
        <f t="shared" si="1"/>
        <v>109.94</v>
      </c>
      <c r="H35" s="29">
        <f t="shared" si="1"/>
        <v>33.789999999999999</v>
      </c>
      <c r="I35" s="29">
        <f t="shared" si="1"/>
        <v>0.93000000000000005</v>
      </c>
      <c r="J35" s="29">
        <f t="shared" si="1"/>
        <v>1.6799999999999999</v>
      </c>
      <c r="K35" s="29">
        <f t="shared" si="1"/>
        <v>358.98000000000002</v>
      </c>
      <c r="L35" s="29">
        <f t="shared" si="1"/>
        <v>35.649999999999999</v>
      </c>
      <c r="M35" s="29">
        <f t="shared" si="1"/>
        <v>80.75</v>
      </c>
      <c r="N35" s="29">
        <f t="shared" si="1"/>
        <v>829.79999999999995</v>
      </c>
      <c r="O35" s="29">
        <f t="shared" si="1"/>
        <v>2</v>
      </c>
      <c r="P35" s="29">
        <f t="shared" si="1"/>
        <v>2.1400000000000001</v>
      </c>
      <c r="Q35" s="29">
        <f t="shared" si="1"/>
        <v>36.530000000000001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7.4866666666666655</v>
      </c>
      <c r="C36" s="28">
        <f t="shared" si="2"/>
        <v>97.658749999999998</v>
      </c>
      <c r="D36" s="28">
        <f t="shared" si="2"/>
        <v>59.520416666666669</v>
      </c>
      <c r="E36" s="28">
        <f t="shared" si="2"/>
        <v>4.2379166666666661</v>
      </c>
      <c r="F36" s="28">
        <f t="shared" si="2"/>
        <v>3.5620833333333337</v>
      </c>
      <c r="G36" s="28">
        <f t="shared" si="2"/>
        <v>50.979583333333345</v>
      </c>
      <c r="H36" s="28">
        <f t="shared" si="2"/>
        <v>25.793333333333326</v>
      </c>
      <c r="I36" s="28">
        <f t="shared" si="2"/>
        <v>0.60708333333333353</v>
      </c>
      <c r="J36" s="28">
        <f t="shared" si="2"/>
        <v>0.57958333333333345</v>
      </c>
      <c r="K36" s="28">
        <f t="shared" si="2"/>
        <v>237.82583333333332</v>
      </c>
      <c r="L36" s="28">
        <f t="shared" si="2"/>
        <v>27.247083333333332</v>
      </c>
      <c r="M36" s="28">
        <f t="shared" si="2"/>
        <v>51.263749999999995</v>
      </c>
      <c r="N36" s="28">
        <f t="shared" si="2"/>
        <v>247.96249999999995</v>
      </c>
      <c r="O36" s="28">
        <f t="shared" si="2"/>
        <v>0.10833333333333334</v>
      </c>
      <c r="P36" s="28">
        <f t="shared" si="2"/>
        <v>1.0483333333333331</v>
      </c>
      <c r="Q36" s="28">
        <f t="shared" si="2"/>
        <v>32.471249999999998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5.2204536423460448</v>
      </c>
      <c r="C37" s="28">
        <f t="shared" si="3" ref="C37:Q37">STDEV(C9:C32)</f>
        <v>4.9818979380571768</v>
      </c>
      <c r="D37" s="28">
        <f t="shared" si="3"/>
        <v>4.8974913535370543</v>
      </c>
      <c r="E37" s="28">
        <f t="shared" si="3"/>
        <v>0.68415596471708795</v>
      </c>
      <c r="F37" s="28">
        <f t="shared" si="3"/>
        <v>0.61817388271857621</v>
      </c>
      <c r="G37" s="28">
        <f t="shared" si="3"/>
        <v>19.330771027418745</v>
      </c>
      <c r="H37" s="28">
        <f t="shared" si="3"/>
        <v>4.1975652017793301</v>
      </c>
      <c r="I37" s="28">
        <f t="shared" si="3"/>
        <v>0.098708141008982189</v>
      </c>
      <c r="J37" s="28">
        <f t="shared" si="3"/>
        <v>0.40908677900125684</v>
      </c>
      <c r="K37" s="28">
        <f t="shared" si="3"/>
        <v>104.9100657050213</v>
      </c>
      <c r="L37" s="28">
        <f t="shared" si="3"/>
        <v>5.0437671214442847</v>
      </c>
      <c r="M37" s="28">
        <f t="shared" si="3"/>
        <v>16.986655584157315</v>
      </c>
      <c r="N37" s="28">
        <f t="shared" si="3"/>
        <v>320.18453621038736</v>
      </c>
      <c r="O37" s="28">
        <f t="shared" si="3"/>
        <v>0.42109243709631045</v>
      </c>
      <c r="P37" s="28">
        <f t="shared" si="3"/>
        <v>0.2769816610891605</v>
      </c>
      <c r="Q37" s="28">
        <f t="shared" si="3"/>
        <v>2.0258445635468054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848f522-31e3-4cb9-9c21-5c6d2df9e2be}">
  <sheetPr codeName=""/>
  <dimension ref="A1:U119"/>
  <sheetViews>
    <sheetView workbookViewId="0" topLeftCell="A1">
      <pane xSplit="2" ySplit="8" topLeftCell="C30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9" sqref="H39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09-03-2023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49" t="s">
        <v>255</v>
      </c>
      <c r="B9" s="50">
        <v>16.70</v>
      </c>
      <c r="C9" s="50">
        <v>100.84</v>
      </c>
      <c r="D9" s="50">
        <v>68.790000000000006</v>
      </c>
      <c r="E9" s="50">
        <v>3.79</v>
      </c>
      <c r="F9" s="50">
        <v>3.42</v>
      </c>
      <c r="G9" s="50">
        <v>46.81</v>
      </c>
      <c r="H9" s="50">
        <v>24.47</v>
      </c>
      <c r="I9" s="50">
        <v>0.63</v>
      </c>
      <c r="J9" s="50">
        <v>0.28999999999999998</v>
      </c>
      <c r="K9" s="50">
        <v>355.09</v>
      </c>
      <c r="L9" s="50">
        <v>24.04</v>
      </c>
      <c r="M9" s="50">
        <v>57.81</v>
      </c>
      <c r="N9" s="50">
        <v>4.80</v>
      </c>
      <c r="O9" s="50">
        <v>0</v>
      </c>
      <c r="P9" s="50">
        <v>1.19</v>
      </c>
      <c r="Q9" s="50">
        <v>36.909999999999997</v>
      </c>
      <c r="R9" s="43"/>
      <c r="S9" s="43"/>
      <c r="T9" s="43"/>
      <c r="U9" s="43"/>
    </row>
    <row r="10" spans="1:21" s="11" customFormat="1" ht="15">
      <c r="A10" s="49" t="s">
        <v>256</v>
      </c>
      <c r="B10" s="50">
        <v>14.93</v>
      </c>
      <c r="C10" s="50">
        <v>100.82</v>
      </c>
      <c r="D10" s="50">
        <v>67.53</v>
      </c>
      <c r="E10" s="50">
        <v>4.2699999999999996</v>
      </c>
      <c r="F10" s="50">
        <v>3.38</v>
      </c>
      <c r="G10" s="50">
        <v>23.27</v>
      </c>
      <c r="H10" s="50">
        <v>24.78</v>
      </c>
      <c r="I10" s="50">
        <v>0.73</v>
      </c>
      <c r="J10" s="50">
        <v>0.82</v>
      </c>
      <c r="K10" s="50">
        <v>314.77999999999997</v>
      </c>
      <c r="L10" s="50">
        <v>23.87</v>
      </c>
      <c r="M10" s="50">
        <v>58.13</v>
      </c>
      <c r="N10" s="50">
        <v>5.0999999999999996</v>
      </c>
      <c r="O10" s="50">
        <v>0</v>
      </c>
      <c r="P10" s="50">
        <v>1.1200000000000001</v>
      </c>
      <c r="Q10" s="50">
        <v>36.92</v>
      </c>
      <c r="R10" s="43"/>
      <c r="S10" s="43"/>
      <c r="T10" s="43"/>
      <c r="U10" s="43"/>
    </row>
    <row r="11" spans="1:21" s="11" customFormat="1" ht="15">
      <c r="A11" s="49" t="s">
        <v>257</v>
      </c>
      <c r="B11" s="50">
        <v>11.30</v>
      </c>
      <c r="C11" s="50">
        <v>101.25</v>
      </c>
      <c r="D11" s="50">
        <v>64.41</v>
      </c>
      <c r="E11" s="50">
        <v>3.77</v>
      </c>
      <c r="F11" s="50">
        <v>3.08</v>
      </c>
      <c r="G11" s="50">
        <v>43.21</v>
      </c>
      <c r="H11" s="50">
        <v>22.81</v>
      </c>
      <c r="I11" s="50">
        <v>0.71</v>
      </c>
      <c r="J11" s="50">
        <v>1.35</v>
      </c>
      <c r="K11" s="50">
        <v>342.13</v>
      </c>
      <c r="L11" s="50">
        <v>23.87</v>
      </c>
      <c r="M11" s="50">
        <v>63.07</v>
      </c>
      <c r="N11" s="50">
        <v>5.70</v>
      </c>
      <c r="O11" s="50">
        <v>0</v>
      </c>
      <c r="P11" s="50">
        <v>1.05</v>
      </c>
      <c r="Q11" s="50">
        <v>36.24</v>
      </c>
      <c r="R11" s="43"/>
      <c r="S11" s="43"/>
      <c r="T11" s="43"/>
      <c r="U11" s="43"/>
    </row>
    <row r="12" spans="1:21" s="11" customFormat="1" ht="15">
      <c r="A12" s="49" t="s">
        <v>258</v>
      </c>
      <c r="B12" s="50">
        <v>13.48</v>
      </c>
      <c r="C12" s="50">
        <v>97.31</v>
      </c>
      <c r="D12" s="50">
        <v>63.17</v>
      </c>
      <c r="E12" s="50">
        <v>3.71</v>
      </c>
      <c r="F12" s="50">
        <v>3.56</v>
      </c>
      <c r="G12" s="50">
        <v>47.60</v>
      </c>
      <c r="H12" s="50">
        <v>21.43</v>
      </c>
      <c r="I12" s="50">
        <v>0.67</v>
      </c>
      <c r="J12" s="50">
        <v>0.20</v>
      </c>
      <c r="K12" s="50">
        <v>271.39</v>
      </c>
      <c r="L12" s="50">
        <v>21.60</v>
      </c>
      <c r="M12" s="50">
        <v>64.760000000000005</v>
      </c>
      <c r="N12" s="50">
        <v>4.80</v>
      </c>
      <c r="O12" s="50">
        <v>0</v>
      </c>
      <c r="P12" s="50">
        <v>1.06</v>
      </c>
      <c r="Q12" s="50">
        <v>35.090000000000003</v>
      </c>
      <c r="R12" s="43"/>
      <c r="S12" s="43"/>
      <c r="T12" s="43"/>
      <c r="U12" s="43"/>
    </row>
    <row r="13" spans="1:21" s="11" customFormat="1" ht="15">
      <c r="A13" s="49" t="s">
        <v>259</v>
      </c>
      <c r="B13" s="50">
        <v>16.510000000000002</v>
      </c>
      <c r="C13" s="50">
        <v>94.28</v>
      </c>
      <c r="D13" s="50">
        <v>65.27</v>
      </c>
      <c r="E13" s="50">
        <v>3.79</v>
      </c>
      <c r="F13" s="50">
        <v>3.40</v>
      </c>
      <c r="G13" s="50">
        <v>42.40</v>
      </c>
      <c r="H13" s="50">
        <v>23.57</v>
      </c>
      <c r="I13" s="50">
        <v>0.72</v>
      </c>
      <c r="J13" s="50">
        <v>0.12</v>
      </c>
      <c r="K13" s="50">
        <v>301.64</v>
      </c>
      <c r="L13" s="50">
        <v>21.78</v>
      </c>
      <c r="M13" s="50">
        <v>68.52</v>
      </c>
      <c r="N13" s="50">
        <v>4.80</v>
      </c>
      <c r="O13" s="50">
        <v>0</v>
      </c>
      <c r="P13" s="50">
        <v>1.04</v>
      </c>
      <c r="Q13" s="50">
        <v>36.630000000000003</v>
      </c>
      <c r="R13" s="43"/>
      <c r="S13" s="43"/>
      <c r="T13" s="43"/>
      <c r="U13" s="43"/>
    </row>
    <row r="14" spans="1:21" s="11" customFormat="1" ht="15">
      <c r="A14" s="49" t="s">
        <v>260</v>
      </c>
      <c r="B14" s="50">
        <v>21.26</v>
      </c>
      <c r="C14" s="50">
        <v>94.55</v>
      </c>
      <c r="D14" s="50">
        <v>69.010000000000005</v>
      </c>
      <c r="E14" s="50">
        <v>3.86</v>
      </c>
      <c r="F14" s="50">
        <v>3.23</v>
      </c>
      <c r="G14" s="50">
        <v>46.91</v>
      </c>
      <c r="H14" s="50">
        <v>25.76</v>
      </c>
      <c r="I14" s="50">
        <v>0.72</v>
      </c>
      <c r="J14" s="50">
        <v>0.21</v>
      </c>
      <c r="K14" s="50">
        <v>344.34</v>
      </c>
      <c r="L14" s="50">
        <v>21.09</v>
      </c>
      <c r="M14" s="50">
        <v>70.19</v>
      </c>
      <c r="N14" s="50">
        <v>4.70</v>
      </c>
      <c r="O14" s="50">
        <v>0</v>
      </c>
      <c r="P14" s="50">
        <v>1.0900000000000001</v>
      </c>
      <c r="Q14" s="50">
        <v>36.32</v>
      </c>
      <c r="R14" s="43"/>
      <c r="S14" s="43"/>
      <c r="T14" s="43"/>
      <c r="U14" s="43"/>
    </row>
    <row r="15" spans="1:21" s="11" customFormat="1" ht="15">
      <c r="A15" s="49" t="s">
        <v>261</v>
      </c>
      <c r="B15" s="50">
        <v>24.65</v>
      </c>
      <c r="C15" s="50">
        <v>93.89</v>
      </c>
      <c r="D15" s="50">
        <v>71.59</v>
      </c>
      <c r="E15" s="50">
        <v>3.70</v>
      </c>
      <c r="F15" s="50">
        <v>3.21</v>
      </c>
      <c r="G15" s="50">
        <v>46.93</v>
      </c>
      <c r="H15" s="50">
        <v>27.66</v>
      </c>
      <c r="I15" s="50">
        <v>0.72</v>
      </c>
      <c r="J15" s="50">
        <v>1.1499999999999999</v>
      </c>
      <c r="K15" s="50">
        <v>335.24</v>
      </c>
      <c r="L15" s="50">
        <v>21.09</v>
      </c>
      <c r="M15" s="50">
        <v>69.52</v>
      </c>
      <c r="N15" s="50">
        <v>64.5</v>
      </c>
      <c r="O15" s="50">
        <v>0</v>
      </c>
      <c r="P15" s="50">
        <v>1.0900000000000001</v>
      </c>
      <c r="Q15" s="50">
        <v>34.89</v>
      </c>
      <c r="R15" s="43"/>
      <c r="S15" s="43"/>
      <c r="T15" s="43"/>
      <c r="U15" s="43"/>
    </row>
    <row r="16" spans="1:21" s="11" customFormat="1" ht="15">
      <c r="A16" s="49" t="s">
        <v>262</v>
      </c>
      <c r="B16" s="50">
        <v>24.65</v>
      </c>
      <c r="C16" s="50">
        <v>94.37</v>
      </c>
      <c r="D16" s="50">
        <v>71.849999999999994</v>
      </c>
      <c r="E16" s="50">
        <v>3.63</v>
      </c>
      <c r="F16" s="50">
        <v>3.08</v>
      </c>
      <c r="G16" s="50">
        <v>50.62</v>
      </c>
      <c r="H16" s="50">
        <v>26.84</v>
      </c>
      <c r="I16" s="50">
        <v>0.72</v>
      </c>
      <c r="J16" s="50">
        <v>1.04</v>
      </c>
      <c r="K16" s="50">
        <v>26.11</v>
      </c>
      <c r="L16" s="50">
        <v>27.64</v>
      </c>
      <c r="M16" s="50">
        <v>59.80</v>
      </c>
      <c r="N16" s="50">
        <v>241.5</v>
      </c>
      <c r="O16" s="50">
        <v>0</v>
      </c>
      <c r="P16" s="50">
        <v>1.33</v>
      </c>
      <c r="Q16" s="50">
        <v>35.06</v>
      </c>
      <c r="R16" s="43"/>
      <c r="S16" s="43"/>
      <c r="T16" s="43"/>
      <c r="U16" s="43"/>
    </row>
    <row r="17" spans="1:21" s="11" customFormat="1" ht="15">
      <c r="A17" s="49" t="s">
        <v>263</v>
      </c>
      <c r="B17" s="50">
        <v>24.92</v>
      </c>
      <c r="C17" s="50">
        <v>104.12</v>
      </c>
      <c r="D17" s="50">
        <v>75.08</v>
      </c>
      <c r="E17" s="50">
        <v>4.83</v>
      </c>
      <c r="F17" s="50">
        <v>3.89</v>
      </c>
      <c r="G17" s="50">
        <v>164.48</v>
      </c>
      <c r="H17" s="50">
        <v>39.96</v>
      </c>
      <c r="I17" s="50">
        <v>0.72</v>
      </c>
      <c r="J17" s="50">
        <v>1.27</v>
      </c>
      <c r="K17" s="50">
        <v>147.79</v>
      </c>
      <c r="L17" s="50">
        <v>28.57</v>
      </c>
      <c r="M17" s="50">
        <v>40.380000000000003</v>
      </c>
      <c r="N17" s="50">
        <v>503.70</v>
      </c>
      <c r="O17" s="50">
        <v>0</v>
      </c>
      <c r="P17" s="50">
        <v>1.46</v>
      </c>
      <c r="Q17" s="50">
        <v>35.700000000000003</v>
      </c>
      <c r="R17" s="43"/>
      <c r="S17" s="43"/>
      <c r="T17" s="43"/>
      <c r="U17" s="43"/>
    </row>
    <row r="18" spans="1:21" s="11" customFormat="1" ht="15">
      <c r="A18" s="49" t="s">
        <v>264</v>
      </c>
      <c r="B18" s="50">
        <v>17.86</v>
      </c>
      <c r="C18" s="50">
        <v>106.73</v>
      </c>
      <c r="D18" s="50">
        <v>72.86</v>
      </c>
      <c r="E18" s="50">
        <v>5.04</v>
      </c>
      <c r="F18" s="50">
        <v>3.11</v>
      </c>
      <c r="G18" s="50">
        <v>137.82</v>
      </c>
      <c r="H18" s="50">
        <v>49.91</v>
      </c>
      <c r="I18" s="50">
        <v>0.69</v>
      </c>
      <c r="J18" s="50">
        <v>1.48</v>
      </c>
      <c r="K18" s="50">
        <v>123.19</v>
      </c>
      <c r="L18" s="50">
        <v>29.29</v>
      </c>
      <c r="M18" s="50">
        <v>36.94</v>
      </c>
      <c r="N18" s="50">
        <v>660.40</v>
      </c>
      <c r="O18" s="50">
        <v>0</v>
      </c>
      <c r="P18" s="50">
        <v>1.44</v>
      </c>
      <c r="Q18" s="50">
        <v>35.58</v>
      </c>
      <c r="R18" s="43"/>
      <c r="S18" s="43"/>
      <c r="T18" s="43"/>
      <c r="U18" s="43"/>
    </row>
    <row r="19" spans="1:21" s="11" customFormat="1" ht="15">
      <c r="A19" s="49" t="s">
        <v>265</v>
      </c>
      <c r="B19" s="50">
        <v>9.74</v>
      </c>
      <c r="C19" s="50">
        <v>104.87</v>
      </c>
      <c r="D19" s="50">
        <v>65.680000000000007</v>
      </c>
      <c r="E19" s="50">
        <v>5.20</v>
      </c>
      <c r="F19" s="50">
        <v>12.08</v>
      </c>
      <c r="G19" s="50">
        <v>84.21</v>
      </c>
      <c r="H19" s="50">
        <v>48.05</v>
      </c>
      <c r="I19" s="50">
        <v>0.65</v>
      </c>
      <c r="J19" s="50">
        <v>1.38</v>
      </c>
      <c r="K19" s="50">
        <v>126.89</v>
      </c>
      <c r="L19" s="50">
        <v>32.06</v>
      </c>
      <c r="M19" s="50">
        <v>35.03</v>
      </c>
      <c r="N19" s="50">
        <v>786</v>
      </c>
      <c r="O19" s="50">
        <v>0</v>
      </c>
      <c r="P19" s="50">
        <v>1.31</v>
      </c>
      <c r="Q19" s="50">
        <v>32.520000000000003</v>
      </c>
      <c r="R19" s="43"/>
      <c r="S19" s="43"/>
      <c r="T19" s="43"/>
      <c r="U19" s="43"/>
    </row>
    <row r="20" spans="1:21" s="11" customFormat="1" ht="15">
      <c r="A20" s="49" t="s">
        <v>266</v>
      </c>
      <c r="B20" s="50">
        <v>1.94</v>
      </c>
      <c r="C20" s="50">
        <v>67.67</v>
      </c>
      <c r="D20" s="50">
        <v>37.75</v>
      </c>
      <c r="E20" s="50">
        <v>7.52</v>
      </c>
      <c r="F20" s="50">
        <v>20.94</v>
      </c>
      <c r="G20" s="56" t="s">
        <v>15</v>
      </c>
      <c r="H20" s="56" t="s">
        <v>15</v>
      </c>
      <c r="I20" s="50">
        <v>0.51</v>
      </c>
      <c r="J20" s="50">
        <v>1.03</v>
      </c>
      <c r="K20" s="50">
        <v>182.10</v>
      </c>
      <c r="L20" s="50">
        <v>35.78</v>
      </c>
      <c r="M20" s="50">
        <v>27.43</v>
      </c>
      <c r="N20" s="50">
        <v>832.5</v>
      </c>
      <c r="O20" s="50">
        <v>0</v>
      </c>
      <c r="P20" s="50">
        <v>0.79</v>
      </c>
      <c r="Q20" s="50">
        <v>22.88</v>
      </c>
      <c r="R20" s="43"/>
      <c r="S20" s="43"/>
      <c r="T20" s="43"/>
      <c r="U20" s="43"/>
    </row>
    <row r="21" spans="1:21" s="11" customFormat="1" ht="15">
      <c r="A21" s="49" t="s">
        <v>267</v>
      </c>
      <c r="B21" s="50">
        <v>1.38</v>
      </c>
      <c r="C21" s="50">
        <v>72.08</v>
      </c>
      <c r="D21" s="50">
        <v>40.06</v>
      </c>
      <c r="E21" s="50">
        <v>10.210000000000001</v>
      </c>
      <c r="F21" s="50">
        <v>19</v>
      </c>
      <c r="G21" s="52" t="s">
        <v>8</v>
      </c>
      <c r="H21" s="52" t="s">
        <v>8</v>
      </c>
      <c r="I21" s="50">
        <v>0.51</v>
      </c>
      <c r="J21" s="50">
        <v>1.02</v>
      </c>
      <c r="K21" s="50">
        <v>264.49</v>
      </c>
      <c r="L21" s="50">
        <v>37.770000000000003</v>
      </c>
      <c r="M21" s="50">
        <v>20.09</v>
      </c>
      <c r="N21" s="50">
        <v>875.5</v>
      </c>
      <c r="O21" s="50">
        <v>0</v>
      </c>
      <c r="P21" s="50">
        <v>0.87</v>
      </c>
      <c r="Q21" s="50">
        <v>19.510000000000002</v>
      </c>
      <c r="R21" s="43"/>
      <c r="S21" s="43"/>
      <c r="T21" s="43"/>
      <c r="U21" s="43"/>
    </row>
    <row r="22" spans="1:21" s="11" customFormat="1" ht="15">
      <c r="A22" s="49" t="s">
        <v>268</v>
      </c>
      <c r="B22" s="50">
        <v>1.41</v>
      </c>
      <c r="C22" s="50">
        <v>70.650000000000006</v>
      </c>
      <c r="D22" s="50">
        <v>40.119999999999997</v>
      </c>
      <c r="E22" s="50">
        <v>3.62</v>
      </c>
      <c r="F22" s="50">
        <v>5.12</v>
      </c>
      <c r="G22" s="50">
        <v>31.48</v>
      </c>
      <c r="H22" s="50">
        <v>26.08</v>
      </c>
      <c r="I22" s="50">
        <v>0.49</v>
      </c>
      <c r="J22" s="50">
        <v>1.07</v>
      </c>
      <c r="K22" s="50">
        <v>358.48</v>
      </c>
      <c r="L22" s="50">
        <v>36.94</v>
      </c>
      <c r="M22" s="50">
        <v>17.79</v>
      </c>
      <c r="N22" s="50">
        <v>842.30</v>
      </c>
      <c r="O22" s="50">
        <v>0</v>
      </c>
      <c r="P22" s="50">
        <v>0.74</v>
      </c>
      <c r="Q22" s="50">
        <v>21.10</v>
      </c>
      <c r="R22" s="43"/>
      <c r="S22" s="43"/>
      <c r="T22" s="43"/>
      <c r="U22" s="43"/>
    </row>
    <row r="23" spans="1:21" s="11" customFormat="1" ht="15">
      <c r="A23" s="49" t="s">
        <v>269</v>
      </c>
      <c r="B23" s="50">
        <v>1.35</v>
      </c>
      <c r="C23" s="50">
        <v>70.38</v>
      </c>
      <c r="D23" s="50">
        <v>39.86</v>
      </c>
      <c r="E23" s="50">
        <v>4.08</v>
      </c>
      <c r="F23" s="50">
        <v>5.68</v>
      </c>
      <c r="G23" s="50">
        <v>35.97</v>
      </c>
      <c r="H23" s="50">
        <v>26.08</v>
      </c>
      <c r="I23" s="50">
        <v>0.54</v>
      </c>
      <c r="J23" s="50">
        <v>1.1100000000000001</v>
      </c>
      <c r="K23" s="50">
        <v>31.43</v>
      </c>
      <c r="L23" s="50">
        <v>38.21</v>
      </c>
      <c r="M23" s="50">
        <v>14.60</v>
      </c>
      <c r="N23" s="50">
        <v>722.90</v>
      </c>
      <c r="O23" s="50">
        <v>0</v>
      </c>
      <c r="P23" s="50">
        <v>0.69</v>
      </c>
      <c r="Q23" s="50">
        <v>22.62</v>
      </c>
      <c r="R23" s="43"/>
      <c r="S23" s="43"/>
      <c r="T23" s="43"/>
      <c r="U23" s="43"/>
    </row>
    <row r="24" spans="1:21" s="11" customFormat="1" ht="15">
      <c r="A24" s="49" t="s">
        <v>270</v>
      </c>
      <c r="B24" s="50">
        <v>1.1200000000000001</v>
      </c>
      <c r="C24" s="50">
        <v>71.58</v>
      </c>
      <c r="D24" s="50">
        <v>40.40</v>
      </c>
      <c r="E24" s="50">
        <v>3.73</v>
      </c>
      <c r="F24" s="50">
        <v>5.55</v>
      </c>
      <c r="G24" s="50">
        <v>36.17</v>
      </c>
      <c r="H24" s="50">
        <v>22.17</v>
      </c>
      <c r="I24" s="50">
        <v>0.53</v>
      </c>
      <c r="J24" s="50">
        <v>1.07</v>
      </c>
      <c r="K24" s="50">
        <v>27.36</v>
      </c>
      <c r="L24" s="50">
        <v>36.340000000000003</v>
      </c>
      <c r="M24" s="50">
        <v>16.55</v>
      </c>
      <c r="N24" s="50">
        <v>421.70</v>
      </c>
      <c r="O24" s="50">
        <v>0</v>
      </c>
      <c r="P24" s="50">
        <v>0.60</v>
      </c>
      <c r="Q24" s="50">
        <v>25.58</v>
      </c>
      <c r="R24" s="43"/>
      <c r="S24" s="43"/>
      <c r="T24" s="43"/>
      <c r="U24" s="43"/>
    </row>
    <row r="25" spans="1:21" s="11" customFormat="1" ht="15">
      <c r="A25" s="49" t="s">
        <v>271</v>
      </c>
      <c r="B25" s="50">
        <v>1.81</v>
      </c>
      <c r="C25" s="50">
        <v>76.09</v>
      </c>
      <c r="D25" s="50">
        <v>43.45</v>
      </c>
      <c r="E25" s="50">
        <v>3.28</v>
      </c>
      <c r="F25" s="50">
        <v>4.72</v>
      </c>
      <c r="G25" s="50">
        <v>33.82</v>
      </c>
      <c r="H25" s="50">
        <v>19.88</v>
      </c>
      <c r="I25" s="50">
        <v>0.52</v>
      </c>
      <c r="J25" s="50">
        <v>0.78</v>
      </c>
      <c r="K25" s="50">
        <v>32.96</v>
      </c>
      <c r="L25" s="50">
        <v>35.32</v>
      </c>
      <c r="M25" s="50">
        <v>16.43</v>
      </c>
      <c r="N25" s="50">
        <v>191.5</v>
      </c>
      <c r="O25" s="50">
        <v>0</v>
      </c>
      <c r="P25" s="50">
        <v>0.57999999999999996</v>
      </c>
      <c r="Q25" s="50">
        <v>26.45</v>
      </c>
      <c r="R25" s="43"/>
      <c r="S25" s="43"/>
      <c r="T25" s="43"/>
      <c r="U25" s="43"/>
    </row>
    <row r="26" spans="1:21" s="11" customFormat="1" ht="15">
      <c r="A26" s="49" t="s">
        <v>272</v>
      </c>
      <c r="B26" s="50">
        <v>4.75</v>
      </c>
      <c r="C26" s="50">
        <v>86.41</v>
      </c>
      <c r="D26" s="50">
        <v>51.5</v>
      </c>
      <c r="E26" s="50">
        <v>2.80</v>
      </c>
      <c r="F26" s="50">
        <v>4.34</v>
      </c>
      <c r="G26" s="50">
        <v>29.59</v>
      </c>
      <c r="H26" s="50">
        <v>18.190000000000001</v>
      </c>
      <c r="I26" s="50">
        <v>0.53</v>
      </c>
      <c r="J26" s="50">
        <v>0.78</v>
      </c>
      <c r="K26" s="50">
        <v>26.98</v>
      </c>
      <c r="L26" s="50">
        <v>32.75</v>
      </c>
      <c r="M26" s="50">
        <v>21.92</v>
      </c>
      <c r="N26" s="50">
        <v>59.80</v>
      </c>
      <c r="O26" s="50">
        <v>0</v>
      </c>
      <c r="P26" s="50">
        <v>0.85</v>
      </c>
      <c r="Q26" s="50">
        <v>27.63</v>
      </c>
      <c r="R26" s="43"/>
      <c r="S26" s="43"/>
      <c r="T26" s="43"/>
      <c r="U26" s="43"/>
    </row>
    <row r="27" spans="1:21" s="11" customFormat="1" ht="15">
      <c r="A27" s="49" t="s">
        <v>273</v>
      </c>
      <c r="B27" s="50">
        <v>6.60</v>
      </c>
      <c r="C27" s="50">
        <v>92.95</v>
      </c>
      <c r="D27" s="50">
        <v>56.10</v>
      </c>
      <c r="E27" s="50">
        <v>3.23</v>
      </c>
      <c r="F27" s="50">
        <v>4.57</v>
      </c>
      <c r="G27" s="50">
        <v>36.69</v>
      </c>
      <c r="H27" s="50">
        <v>18.079999999999998</v>
      </c>
      <c r="I27" s="50">
        <v>0.65</v>
      </c>
      <c r="J27" s="50">
        <v>0.43</v>
      </c>
      <c r="K27" s="50">
        <v>104.93</v>
      </c>
      <c r="L27" s="50">
        <v>29.82</v>
      </c>
      <c r="M27" s="50">
        <v>25.65</v>
      </c>
      <c r="N27" s="50">
        <v>7.10</v>
      </c>
      <c r="O27" s="50">
        <v>0</v>
      </c>
      <c r="P27" s="50">
        <v>1.22</v>
      </c>
      <c r="Q27" s="50">
        <v>31.40</v>
      </c>
      <c r="R27" s="43"/>
      <c r="S27" s="43"/>
      <c r="T27" s="43"/>
      <c r="U27" s="43"/>
    </row>
    <row r="28" spans="1:21" s="11" customFormat="1" ht="15">
      <c r="A28" s="49" t="s">
        <v>274</v>
      </c>
      <c r="B28" s="50">
        <v>11.79</v>
      </c>
      <c r="C28" s="50">
        <v>104.29</v>
      </c>
      <c r="D28" s="50">
        <v>67.010000000000005</v>
      </c>
      <c r="E28" s="50">
        <v>3.38</v>
      </c>
      <c r="F28" s="50">
        <v>3.41</v>
      </c>
      <c r="G28" s="50">
        <v>51.34</v>
      </c>
      <c r="H28" s="50">
        <v>19.45</v>
      </c>
      <c r="I28" s="50">
        <v>0.77</v>
      </c>
      <c r="J28" s="50">
        <v>0.33</v>
      </c>
      <c r="K28" s="50">
        <v>87.88</v>
      </c>
      <c r="L28" s="50">
        <v>28.37</v>
      </c>
      <c r="M28" s="50">
        <v>28.40</v>
      </c>
      <c r="N28" s="50">
        <v>4.9000000000000004</v>
      </c>
      <c r="O28" s="50">
        <v>0</v>
      </c>
      <c r="P28" s="50">
        <v>1.49</v>
      </c>
      <c r="Q28" s="50">
        <v>32</v>
      </c>
      <c r="R28" s="43"/>
      <c r="S28" s="43"/>
      <c r="T28" s="43"/>
      <c r="U28" s="43"/>
    </row>
    <row r="29" spans="1:21" s="11" customFormat="1" ht="15">
      <c r="A29" s="49" t="s">
        <v>275</v>
      </c>
      <c r="B29" s="50">
        <v>15.96</v>
      </c>
      <c r="C29" s="50">
        <v>107.07</v>
      </c>
      <c r="D29" s="50">
        <v>71.89</v>
      </c>
      <c r="E29" s="50">
        <v>4.24</v>
      </c>
      <c r="F29" s="50">
        <v>3.84</v>
      </c>
      <c r="G29" s="50">
        <v>57.35</v>
      </c>
      <c r="H29" s="50">
        <v>19.510000000000002</v>
      </c>
      <c r="I29" s="50">
        <v>0.84</v>
      </c>
      <c r="J29" s="50">
        <v>0.26</v>
      </c>
      <c r="K29" s="50">
        <v>102.07</v>
      </c>
      <c r="L29" s="50">
        <v>27.37</v>
      </c>
      <c r="M29" s="50">
        <v>41.96</v>
      </c>
      <c r="N29" s="50">
        <v>5.60</v>
      </c>
      <c r="O29" s="50">
        <v>0</v>
      </c>
      <c r="P29" s="50">
        <v>2.27</v>
      </c>
      <c r="Q29" s="50">
        <v>32.049999999999997</v>
      </c>
      <c r="R29" s="43"/>
      <c r="S29" s="43"/>
      <c r="T29" s="43"/>
      <c r="U29" s="43"/>
    </row>
    <row r="30" spans="1:21" s="11" customFormat="1" ht="15">
      <c r="A30" s="49" t="s">
        <v>276</v>
      </c>
      <c r="B30" s="50">
        <v>27.35</v>
      </c>
      <c r="C30" s="50">
        <v>107.5</v>
      </c>
      <c r="D30" s="50">
        <v>81.08</v>
      </c>
      <c r="E30" s="50">
        <v>3.95</v>
      </c>
      <c r="F30" s="50">
        <v>3.33</v>
      </c>
      <c r="G30" s="50">
        <v>73.430000000000007</v>
      </c>
      <c r="H30" s="50">
        <v>26.10</v>
      </c>
      <c r="I30" s="50">
        <v>1.04</v>
      </c>
      <c r="J30" s="50">
        <v>1.18</v>
      </c>
      <c r="K30" s="50">
        <v>355.85</v>
      </c>
      <c r="L30" s="50">
        <v>25.5</v>
      </c>
      <c r="M30" s="50">
        <v>44.82</v>
      </c>
      <c r="N30" s="50">
        <v>5.0999999999999996</v>
      </c>
      <c r="O30" s="50">
        <v>0</v>
      </c>
      <c r="P30" s="50">
        <v>2.27</v>
      </c>
      <c r="Q30" s="50">
        <v>33.51</v>
      </c>
      <c r="R30" s="43"/>
      <c r="S30" s="43"/>
      <c r="T30" s="43"/>
      <c r="U30" s="43"/>
    </row>
    <row r="31" spans="1:21" s="11" customFormat="1" ht="15">
      <c r="A31" s="49" t="s">
        <v>277</v>
      </c>
      <c r="B31" s="50">
        <v>26.82</v>
      </c>
      <c r="C31" s="50">
        <v>106.96</v>
      </c>
      <c r="D31" s="50">
        <v>80.540000000000006</v>
      </c>
      <c r="E31" s="50">
        <v>4.3899999999999997</v>
      </c>
      <c r="F31" s="50">
        <v>3.25</v>
      </c>
      <c r="G31" s="50">
        <v>75.42</v>
      </c>
      <c r="H31" s="50">
        <v>27.18</v>
      </c>
      <c r="I31" s="50">
        <v>0.99</v>
      </c>
      <c r="J31" s="50">
        <v>1.45</v>
      </c>
      <c r="K31" s="50">
        <v>36.630000000000003</v>
      </c>
      <c r="L31" s="50">
        <v>25.91</v>
      </c>
      <c r="M31" s="50">
        <v>36.04</v>
      </c>
      <c r="N31" s="50">
        <v>4.70</v>
      </c>
      <c r="O31" s="50">
        <v>0</v>
      </c>
      <c r="P31" s="50">
        <v>1.44</v>
      </c>
      <c r="Q31" s="50">
        <v>34.75</v>
      </c>
      <c r="R31" s="43"/>
      <c r="S31" s="43"/>
      <c r="T31" s="43"/>
      <c r="U31" s="43"/>
    </row>
    <row r="32" spans="1:21" s="11" customFormat="1" ht="15">
      <c r="A32" s="49" t="s">
        <v>278</v>
      </c>
      <c r="B32" s="50">
        <v>15.92</v>
      </c>
      <c r="C32" s="50">
        <v>104.83</v>
      </c>
      <c r="D32" s="50">
        <v>70.62</v>
      </c>
      <c r="E32" s="50">
        <v>4.34</v>
      </c>
      <c r="F32" s="50">
        <v>3.39</v>
      </c>
      <c r="G32" s="50">
        <v>75.48</v>
      </c>
      <c r="H32" s="50">
        <v>27.21</v>
      </c>
      <c r="I32" s="50">
        <v>0.76</v>
      </c>
      <c r="J32" s="50">
        <v>1.39</v>
      </c>
      <c r="K32" s="50">
        <v>31.16</v>
      </c>
      <c r="L32" s="50">
        <v>26.29</v>
      </c>
      <c r="M32" s="50">
        <v>32.659999999999997</v>
      </c>
      <c r="N32" s="50">
        <v>4.70</v>
      </c>
      <c r="O32" s="50">
        <v>0</v>
      </c>
      <c r="P32" s="50">
        <v>1.18</v>
      </c>
      <c r="Q32" s="50">
        <v>33.61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1.1200000000000001</v>
      </c>
      <c r="C34" s="28">
        <f t="shared" si="0"/>
        <v>67.670000000000002</v>
      </c>
      <c r="D34" s="28">
        <f t="shared" si="0"/>
        <v>37.75</v>
      </c>
      <c r="E34" s="28">
        <f t="shared" si="0"/>
        <v>2.7999999999999998</v>
      </c>
      <c r="F34" s="28">
        <f t="shared" si="0"/>
        <v>3.0800000000000001</v>
      </c>
      <c r="G34" s="28">
        <f t="shared" si="0"/>
        <v>23.27</v>
      </c>
      <c r="H34" s="28">
        <f t="shared" si="0"/>
        <v>18.079999999999998</v>
      </c>
      <c r="I34" s="28">
        <f t="shared" si="0"/>
        <v>0.48999999999999999</v>
      </c>
      <c r="J34" s="28">
        <f t="shared" si="0"/>
        <v>0.12</v>
      </c>
      <c r="K34" s="28">
        <f t="shared" si="0"/>
        <v>26.109999999999999</v>
      </c>
      <c r="L34" s="28">
        <f t="shared" si="0"/>
        <v>21.09</v>
      </c>
      <c r="M34" s="28">
        <f t="shared" si="0"/>
        <v>14.6</v>
      </c>
      <c r="N34" s="28">
        <f t="shared" si="0"/>
        <v>4.7000000000000002</v>
      </c>
      <c r="O34" s="28">
        <f t="shared" si="0"/>
        <v>0</v>
      </c>
      <c r="P34" s="28">
        <f t="shared" si="0"/>
        <v>0.57999999999999996</v>
      </c>
      <c r="Q34" s="28">
        <f t="shared" si="0"/>
        <v>19.510000000000002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27.350000000000001</v>
      </c>
      <c r="C35" s="29">
        <f t="shared" si="1"/>
        <v>107.5</v>
      </c>
      <c r="D35" s="29">
        <f t="shared" si="1"/>
        <v>81.079999999999998</v>
      </c>
      <c r="E35" s="29">
        <f t="shared" si="1"/>
        <v>10.210000000000001</v>
      </c>
      <c r="F35" s="29">
        <f t="shared" si="1"/>
        <v>20.940000000000001</v>
      </c>
      <c r="G35" s="29">
        <f t="shared" si="1"/>
        <v>164.47999999999999</v>
      </c>
      <c r="H35" s="29">
        <f t="shared" si="1"/>
        <v>49.909999999999997</v>
      </c>
      <c r="I35" s="29">
        <f t="shared" si="1"/>
        <v>1.04</v>
      </c>
      <c r="J35" s="29">
        <f t="shared" si="1"/>
        <v>1.48</v>
      </c>
      <c r="K35" s="29">
        <f t="shared" si="1"/>
        <v>358.48000000000002</v>
      </c>
      <c r="L35" s="29">
        <f t="shared" si="1"/>
        <v>38.210000000000001</v>
      </c>
      <c r="M35" s="29">
        <f t="shared" si="1"/>
        <v>70.189999999999998</v>
      </c>
      <c r="N35" s="29">
        <f t="shared" si="1"/>
        <v>875.5</v>
      </c>
      <c r="O35" s="29">
        <f t="shared" si="1"/>
        <v>0</v>
      </c>
      <c r="P35" s="29">
        <f t="shared" si="1"/>
        <v>2.27</v>
      </c>
      <c r="Q35" s="29">
        <f t="shared" si="1"/>
        <v>36.920000000000002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13.091666666666669</v>
      </c>
      <c r="C36" s="28">
        <f t="shared" si="2"/>
        <v>92.978749999999991</v>
      </c>
      <c r="D36" s="28">
        <f t="shared" si="2"/>
        <v>61.48416666666666</v>
      </c>
      <c r="E36" s="28">
        <f t="shared" si="2"/>
        <v>4.3483333333333336</v>
      </c>
      <c r="F36" s="28">
        <f t="shared" si="2"/>
        <v>5.524166666666666</v>
      </c>
      <c r="G36" s="28">
        <f t="shared" si="2"/>
        <v>57.77272727272728</v>
      </c>
      <c r="H36" s="28">
        <f t="shared" si="2"/>
        <v>26.598636363636363</v>
      </c>
      <c r="I36" s="28">
        <f t="shared" si="2"/>
        <v>0.68166666666666664</v>
      </c>
      <c r="J36" s="28">
        <f t="shared" si="2"/>
        <v>0.88375000000000004</v>
      </c>
      <c r="K36" s="28">
        <f t="shared" si="2"/>
        <v>180.45458333333332</v>
      </c>
      <c r="L36" s="28">
        <f t="shared" si="2"/>
        <v>28.802916666666665</v>
      </c>
      <c r="M36" s="28">
        <f t="shared" si="2"/>
        <v>40.353749999999984</v>
      </c>
      <c r="N36" s="28">
        <f t="shared" si="2"/>
        <v>261.01249999999999</v>
      </c>
      <c r="O36" s="28">
        <f t="shared" si="2"/>
        <v>0</v>
      </c>
      <c r="P36" s="28">
        <f t="shared" si="2"/>
        <v>1.1737499999999998</v>
      </c>
      <c r="Q36" s="28">
        <f t="shared" si="2"/>
        <v>31.456249999999997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9.0098944001275214</v>
      </c>
      <c r="C37" s="28">
        <f t="shared" si="3" ref="C37:Q37">STDEV(C9:C32)</f>
        <v>13.859805291467632</v>
      </c>
      <c r="D37" s="28">
        <f t="shared" si="3"/>
        <v>14.030905612926091</v>
      </c>
      <c r="E37" s="28">
        <f t="shared" si="3"/>
        <v>1.5503819071348244</v>
      </c>
      <c r="F37" s="28">
        <f t="shared" si="3"/>
        <v>4.8260154747284902</v>
      </c>
      <c r="G37" s="28">
        <f t="shared" si="3"/>
        <v>34.503048613656766</v>
      </c>
      <c r="H37" s="28">
        <f t="shared" si="3"/>
        <v>8.5994181948573409</v>
      </c>
      <c r="I37" s="28">
        <f t="shared" si="3"/>
        <v>0.14229994856752046</v>
      </c>
      <c r="J37" s="28">
        <f t="shared" si="3"/>
        <v>0.45076565298727339</v>
      </c>
      <c r="K37" s="28">
        <f t="shared" si="3"/>
        <v>132.42860248579447</v>
      </c>
      <c r="L37" s="28">
        <f t="shared" si="3"/>
        <v>5.6387937957522816</v>
      </c>
      <c r="M37" s="28">
        <f t="shared" si="3"/>
        <v>19.079903566546058</v>
      </c>
      <c r="N37" s="28">
        <f t="shared" si="3"/>
        <v>339.12129459184985</v>
      </c>
      <c r="O37" s="28">
        <f t="shared" si="3"/>
        <v>0</v>
      </c>
      <c r="P37" s="28">
        <f t="shared" si="3"/>
        <v>0.43157761657717469</v>
      </c>
      <c r="Q37" s="28">
        <f t="shared" si="3"/>
        <v>5.5294388523374671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23</v>
      </c>
      <c r="H38" s="32">
        <f>COUNT(H9:H32)+1</f>
        <v>23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2fa5782-c9c1-4910-b0a7-6d9a93a89de4}">
  <sheetPr codeName=""/>
  <dimension ref="A1:U119"/>
  <sheetViews>
    <sheetView workbookViewId="0" topLeftCell="A1">
      <pane xSplit="2" ySplit="8" topLeftCell="C27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F42" sqref="F42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10-03-2023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49" t="s">
        <v>279</v>
      </c>
      <c r="B9" s="50">
        <v>9.6199999999999992</v>
      </c>
      <c r="C9" s="50">
        <v>100.28</v>
      </c>
      <c r="D9" s="50">
        <v>63.05</v>
      </c>
      <c r="E9" s="50">
        <v>4.01</v>
      </c>
      <c r="F9" s="50">
        <v>3.77</v>
      </c>
      <c r="G9" s="50">
        <v>71.17</v>
      </c>
      <c r="H9" s="50">
        <v>24.88</v>
      </c>
      <c r="I9" s="50">
        <v>0.60</v>
      </c>
      <c r="J9" s="50">
        <v>1.24</v>
      </c>
      <c r="K9" s="50">
        <v>55.36</v>
      </c>
      <c r="L9" s="50">
        <v>25.65</v>
      </c>
      <c r="M9" s="50">
        <v>34.78</v>
      </c>
      <c r="N9" s="50">
        <v>5.20</v>
      </c>
      <c r="O9" s="50">
        <v>0</v>
      </c>
      <c r="P9" s="50">
        <v>1</v>
      </c>
      <c r="Q9" s="50">
        <v>30.34</v>
      </c>
      <c r="R9" s="43"/>
      <c r="S9" s="43"/>
      <c r="T9" s="43"/>
      <c r="U9" s="43"/>
    </row>
    <row r="10" spans="1:21" s="11" customFormat="1" ht="15">
      <c r="A10" s="49" t="s">
        <v>280</v>
      </c>
      <c r="B10" s="50">
        <v>8.76</v>
      </c>
      <c r="C10" s="50">
        <v>96.24</v>
      </c>
      <c r="D10" s="50">
        <v>60.14</v>
      </c>
      <c r="E10" s="50">
        <v>4.13</v>
      </c>
      <c r="F10" s="50">
        <v>3.58</v>
      </c>
      <c r="G10" s="50">
        <v>71.38</v>
      </c>
      <c r="H10" s="50">
        <v>21.63</v>
      </c>
      <c r="I10" s="50">
        <v>0.59</v>
      </c>
      <c r="J10" s="50">
        <v>1.20</v>
      </c>
      <c r="K10" s="50">
        <v>110.70</v>
      </c>
      <c r="L10" s="50">
        <v>24.65</v>
      </c>
      <c r="M10" s="50">
        <v>39.92</v>
      </c>
      <c r="N10" s="50">
        <v>4.9000000000000004</v>
      </c>
      <c r="O10" s="50">
        <v>0</v>
      </c>
      <c r="P10" s="50">
        <v>0.90</v>
      </c>
      <c r="Q10" s="50">
        <v>31.05</v>
      </c>
      <c r="R10" s="43"/>
      <c r="S10" s="43"/>
      <c r="T10" s="43"/>
      <c r="U10" s="43"/>
    </row>
    <row r="11" spans="1:21" s="11" customFormat="1" ht="15">
      <c r="A11" s="49" t="s">
        <v>281</v>
      </c>
      <c r="B11" s="50">
        <v>6.81</v>
      </c>
      <c r="C11" s="50">
        <v>93.06</v>
      </c>
      <c r="D11" s="50">
        <v>56.65</v>
      </c>
      <c r="E11" s="50">
        <v>3.59</v>
      </c>
      <c r="F11" s="50">
        <v>3.08</v>
      </c>
      <c r="G11" s="50">
        <v>67.760000000000005</v>
      </c>
      <c r="H11" s="50">
        <v>21.01</v>
      </c>
      <c r="I11" s="50">
        <v>0.59</v>
      </c>
      <c r="J11" s="50">
        <v>0.76</v>
      </c>
      <c r="K11" s="50">
        <v>94.80</v>
      </c>
      <c r="L11" s="50">
        <v>24.34</v>
      </c>
      <c r="M11" s="50">
        <v>42.15</v>
      </c>
      <c r="N11" s="50">
        <v>4.80</v>
      </c>
      <c r="O11" s="50">
        <v>0</v>
      </c>
      <c r="P11" s="50">
        <v>0.86</v>
      </c>
      <c r="Q11" s="50">
        <v>31.70</v>
      </c>
      <c r="R11" s="43"/>
      <c r="S11" s="43"/>
      <c r="T11" s="43"/>
      <c r="U11" s="43"/>
    </row>
    <row r="12" spans="1:21" s="11" customFormat="1" ht="15">
      <c r="A12" s="49" t="s">
        <v>282</v>
      </c>
      <c r="B12" s="50">
        <v>3.61</v>
      </c>
      <c r="C12" s="50">
        <v>92.59</v>
      </c>
      <c r="D12" s="50">
        <v>53.99</v>
      </c>
      <c r="E12" s="50">
        <v>3.34</v>
      </c>
      <c r="F12" s="50">
        <v>3.48</v>
      </c>
      <c r="G12" s="50">
        <v>55.07</v>
      </c>
      <c r="H12" s="50">
        <v>19.329999999999998</v>
      </c>
      <c r="I12" s="50">
        <v>0.56999999999999995</v>
      </c>
      <c r="J12" s="50">
        <v>0.93</v>
      </c>
      <c r="K12" s="50">
        <v>35.94</v>
      </c>
      <c r="L12" s="50">
        <v>23.46</v>
      </c>
      <c r="M12" s="50">
        <v>44.55</v>
      </c>
      <c r="N12" s="50">
        <v>4.70</v>
      </c>
      <c r="O12" s="50">
        <v>0</v>
      </c>
      <c r="P12" s="50">
        <v>0.74</v>
      </c>
      <c r="Q12" s="50">
        <v>31.47</v>
      </c>
      <c r="R12" s="43"/>
      <c r="S12" s="43"/>
      <c r="T12" s="43"/>
      <c r="U12" s="43"/>
    </row>
    <row r="13" spans="1:21" s="11" customFormat="1" ht="15">
      <c r="A13" s="49" t="s">
        <v>283</v>
      </c>
      <c r="B13" s="50">
        <v>5.30</v>
      </c>
      <c r="C13" s="50">
        <v>90.72</v>
      </c>
      <c r="D13" s="50">
        <v>54.32</v>
      </c>
      <c r="E13" s="50">
        <v>4.17</v>
      </c>
      <c r="F13" s="50">
        <v>3.31</v>
      </c>
      <c r="G13" s="50">
        <v>51.64</v>
      </c>
      <c r="H13" s="50">
        <v>18.87</v>
      </c>
      <c r="I13" s="50">
        <v>0.55000000000000004</v>
      </c>
      <c r="J13" s="50">
        <v>0.55000000000000004</v>
      </c>
      <c r="K13" s="50">
        <v>86.40</v>
      </c>
      <c r="L13" s="50">
        <v>22.82</v>
      </c>
      <c r="M13" s="50">
        <v>46.74</v>
      </c>
      <c r="N13" s="50">
        <v>4.80</v>
      </c>
      <c r="O13" s="50">
        <v>0</v>
      </c>
      <c r="P13" s="50">
        <v>0.65</v>
      </c>
      <c r="Q13" s="50">
        <v>30.39</v>
      </c>
      <c r="R13" s="43"/>
      <c r="S13" s="43"/>
      <c r="T13" s="43"/>
      <c r="U13" s="43"/>
    </row>
    <row r="14" spans="1:21" s="11" customFormat="1" ht="15">
      <c r="A14" s="49" t="s">
        <v>284</v>
      </c>
      <c r="B14" s="50">
        <v>7.02</v>
      </c>
      <c r="C14" s="50">
        <v>93.27</v>
      </c>
      <c r="D14" s="50">
        <v>57.11</v>
      </c>
      <c r="E14" s="50">
        <v>4.7699999999999996</v>
      </c>
      <c r="F14" s="50">
        <v>3.08</v>
      </c>
      <c r="G14" s="50">
        <v>51.43</v>
      </c>
      <c r="H14" s="50">
        <v>18.940000000000001</v>
      </c>
      <c r="I14" s="50">
        <v>0.56000000000000005</v>
      </c>
      <c r="J14" s="50">
        <v>0.74</v>
      </c>
      <c r="K14" s="50">
        <v>73.430000000000007</v>
      </c>
      <c r="L14" s="50">
        <v>22.28</v>
      </c>
      <c r="M14" s="50">
        <v>50.59</v>
      </c>
      <c r="N14" s="50">
        <v>4.70</v>
      </c>
      <c r="O14" s="50">
        <v>0</v>
      </c>
      <c r="P14" s="50">
        <v>0.63</v>
      </c>
      <c r="Q14" s="50">
        <v>32.409999999999997</v>
      </c>
      <c r="R14" s="43"/>
      <c r="S14" s="43"/>
      <c r="T14" s="43"/>
      <c r="U14" s="43"/>
    </row>
    <row r="15" spans="1:21" s="11" customFormat="1" ht="15">
      <c r="A15" s="49" t="s">
        <v>285</v>
      </c>
      <c r="B15" s="50">
        <v>9.08</v>
      </c>
      <c r="C15" s="50">
        <v>96.07</v>
      </c>
      <c r="D15" s="50">
        <v>60.30</v>
      </c>
      <c r="E15" s="50">
        <v>4.42</v>
      </c>
      <c r="F15" s="50">
        <v>3.24</v>
      </c>
      <c r="G15" s="50">
        <v>50.38</v>
      </c>
      <c r="H15" s="50">
        <v>19.23</v>
      </c>
      <c r="I15" s="50">
        <v>0.55000000000000004</v>
      </c>
      <c r="J15" s="50">
        <v>0.91</v>
      </c>
      <c r="K15" s="50">
        <v>41.97</v>
      </c>
      <c r="L15" s="50">
        <v>22.38</v>
      </c>
      <c r="M15" s="50">
        <v>50.84</v>
      </c>
      <c r="N15" s="50">
        <v>74</v>
      </c>
      <c r="O15" s="50">
        <v>0</v>
      </c>
      <c r="P15" s="50">
        <v>0.62</v>
      </c>
      <c r="Q15" s="50">
        <v>32.42</v>
      </c>
      <c r="R15" s="43"/>
      <c r="S15" s="43"/>
      <c r="T15" s="43"/>
      <c r="U15" s="43"/>
    </row>
    <row r="16" spans="1:21" s="11" customFormat="1" ht="15">
      <c r="A16" s="49" t="s">
        <v>286</v>
      </c>
      <c r="B16" s="50">
        <v>11.73</v>
      </c>
      <c r="C16" s="50">
        <v>97.17</v>
      </c>
      <c r="D16" s="50">
        <v>63.03</v>
      </c>
      <c r="E16" s="50">
        <v>4.3499999999999996</v>
      </c>
      <c r="F16" s="50">
        <v>3.14</v>
      </c>
      <c r="G16" s="50">
        <v>63.03</v>
      </c>
      <c r="H16" s="50">
        <v>22.51</v>
      </c>
      <c r="I16" s="50">
        <v>0.54</v>
      </c>
      <c r="J16" s="50">
        <v>1.25</v>
      </c>
      <c r="K16" s="50">
        <v>31.55</v>
      </c>
      <c r="L16" s="50">
        <v>26.34</v>
      </c>
      <c r="M16" s="50">
        <v>47.17</v>
      </c>
      <c r="N16" s="50">
        <v>276.5</v>
      </c>
      <c r="O16" s="50">
        <v>0</v>
      </c>
      <c r="P16" s="50">
        <v>0.71</v>
      </c>
      <c r="Q16" s="50">
        <v>30.84</v>
      </c>
      <c r="R16" s="43"/>
      <c r="S16" s="43"/>
      <c r="T16" s="43"/>
      <c r="U16" s="43"/>
    </row>
    <row r="17" spans="1:21" s="11" customFormat="1" ht="15">
      <c r="A17" s="49" t="s">
        <v>287</v>
      </c>
      <c r="B17" s="50">
        <v>12.81</v>
      </c>
      <c r="C17" s="50">
        <v>100.14</v>
      </c>
      <c r="D17" s="50">
        <v>65.540000000000006</v>
      </c>
      <c r="E17" s="50">
        <v>3.5</v>
      </c>
      <c r="F17" s="50">
        <v>3.24</v>
      </c>
      <c r="G17" s="50">
        <v>63.61</v>
      </c>
      <c r="H17" s="50">
        <v>22.66</v>
      </c>
      <c r="I17" s="50">
        <v>0.55000000000000004</v>
      </c>
      <c r="J17" s="50">
        <v>1.23</v>
      </c>
      <c r="K17" s="50">
        <v>79.680000000000007</v>
      </c>
      <c r="L17" s="50">
        <v>29.07</v>
      </c>
      <c r="M17" s="50">
        <v>37.40</v>
      </c>
      <c r="N17" s="50">
        <v>499.30</v>
      </c>
      <c r="O17" s="50">
        <v>0</v>
      </c>
      <c r="P17" s="50">
        <v>0.77</v>
      </c>
      <c r="Q17" s="50">
        <v>30.34</v>
      </c>
      <c r="R17" s="43"/>
      <c r="S17" s="43"/>
      <c r="T17" s="43"/>
      <c r="U17" s="43"/>
    </row>
    <row r="18" spans="1:21" s="11" customFormat="1" ht="15">
      <c r="A18" s="49" t="s">
        <v>288</v>
      </c>
      <c r="B18" s="50">
        <v>12.58</v>
      </c>
      <c r="C18" s="50">
        <v>106.25</v>
      </c>
      <c r="D18" s="50">
        <v>66.23</v>
      </c>
      <c r="E18" s="50">
        <v>4.0599999999999996</v>
      </c>
      <c r="F18" s="50">
        <v>3.22</v>
      </c>
      <c r="G18" s="50">
        <v>67.77</v>
      </c>
      <c r="H18" s="50">
        <v>24.22</v>
      </c>
      <c r="I18" s="50">
        <v>0.56000000000000005</v>
      </c>
      <c r="J18" s="50">
        <v>1.23</v>
      </c>
      <c r="K18" s="50">
        <v>115.45</v>
      </c>
      <c r="L18" s="50">
        <v>31.46</v>
      </c>
      <c r="M18" s="50">
        <v>33.75</v>
      </c>
      <c r="N18" s="50">
        <v>695.10</v>
      </c>
      <c r="O18" s="50">
        <v>0</v>
      </c>
      <c r="P18" s="50">
        <v>0.79</v>
      </c>
      <c r="Q18" s="50">
        <v>32.06</v>
      </c>
      <c r="R18" s="43"/>
      <c r="S18" s="43"/>
      <c r="T18" s="43"/>
      <c r="U18" s="43"/>
    </row>
    <row r="19" spans="1:21" s="11" customFormat="1" ht="15">
      <c r="A19" s="49" t="s">
        <v>289</v>
      </c>
      <c r="B19" s="50">
        <v>6.87</v>
      </c>
      <c r="C19" s="50">
        <v>106.34</v>
      </c>
      <c r="D19" s="50">
        <v>64.19</v>
      </c>
      <c r="E19" s="50">
        <v>11.46</v>
      </c>
      <c r="F19" s="50">
        <v>17.21</v>
      </c>
      <c r="G19" s="50">
        <v>68.56</v>
      </c>
      <c r="H19" s="50">
        <v>24.35</v>
      </c>
      <c r="I19" s="50">
        <v>0.56000000000000005</v>
      </c>
      <c r="J19" s="50">
        <v>1.63</v>
      </c>
      <c r="K19" s="50">
        <v>127.18</v>
      </c>
      <c r="L19" s="50">
        <v>31.61</v>
      </c>
      <c r="M19" s="50">
        <v>33.5</v>
      </c>
      <c r="N19" s="50">
        <v>802.90</v>
      </c>
      <c r="O19" s="50">
        <v>0</v>
      </c>
      <c r="P19" s="50">
        <v>0.79</v>
      </c>
      <c r="Q19" s="50">
        <v>32.10</v>
      </c>
      <c r="R19" s="43"/>
      <c r="S19" s="43"/>
      <c r="T19" s="43"/>
      <c r="U19" s="43"/>
    </row>
    <row r="20" spans="1:21" s="11" customFormat="1" ht="15">
      <c r="A20" s="49" t="s">
        <v>290</v>
      </c>
      <c r="B20" s="50">
        <v>2.88</v>
      </c>
      <c r="C20" s="50">
        <v>68.84</v>
      </c>
      <c r="D20" s="50">
        <v>39.340000000000003</v>
      </c>
      <c r="E20" s="50">
        <v>4.1399999999999997</v>
      </c>
      <c r="F20" s="50">
        <v>7.88</v>
      </c>
      <c r="G20" s="50">
        <v>60.30</v>
      </c>
      <c r="H20" s="50">
        <v>24.96</v>
      </c>
      <c r="I20" s="50">
        <v>0.47</v>
      </c>
      <c r="J20" s="50">
        <v>1.25</v>
      </c>
      <c r="K20" s="50">
        <v>57.86</v>
      </c>
      <c r="L20" s="50">
        <v>36.880000000000003</v>
      </c>
      <c r="M20" s="50">
        <v>22.75</v>
      </c>
      <c r="N20" s="50">
        <v>860.30</v>
      </c>
      <c r="O20" s="50">
        <v>0</v>
      </c>
      <c r="P20" s="50">
        <v>0.69</v>
      </c>
      <c r="Q20" s="50">
        <v>20.75</v>
      </c>
      <c r="R20" s="43"/>
      <c r="S20" s="43"/>
      <c r="T20" s="43"/>
      <c r="U20" s="43"/>
    </row>
    <row r="21" spans="1:21" s="11" customFormat="1" ht="15">
      <c r="A21" s="49" t="s">
        <v>291</v>
      </c>
      <c r="B21" s="50">
        <v>3.24</v>
      </c>
      <c r="C21" s="50">
        <v>79.48</v>
      </c>
      <c r="D21" s="50">
        <v>45.5</v>
      </c>
      <c r="E21" s="50">
        <v>5.0999999999999996</v>
      </c>
      <c r="F21" s="50">
        <v>5.76</v>
      </c>
      <c r="G21" s="50">
        <v>67.56</v>
      </c>
      <c r="H21" s="50">
        <v>25</v>
      </c>
      <c r="I21" s="50">
        <v>0.52</v>
      </c>
      <c r="J21" s="50">
        <v>1.48</v>
      </c>
      <c r="K21" s="50">
        <v>35.840000000000003</v>
      </c>
      <c r="L21" s="50">
        <v>37.869999999999997</v>
      </c>
      <c r="M21" s="50">
        <v>21.38</v>
      </c>
      <c r="N21" s="50">
        <v>847.40</v>
      </c>
      <c r="O21" s="50">
        <v>0</v>
      </c>
      <c r="P21" s="50">
        <v>0.76</v>
      </c>
      <c r="Q21" s="50">
        <v>24.56</v>
      </c>
      <c r="R21" s="43"/>
      <c r="S21" s="43"/>
      <c r="T21" s="43"/>
      <c r="U21" s="43"/>
    </row>
    <row r="22" spans="1:21" s="11" customFormat="1" ht="15">
      <c r="A22" s="49" t="s">
        <v>292</v>
      </c>
      <c r="B22" s="50">
        <v>2.64</v>
      </c>
      <c r="C22" s="50">
        <v>87.26</v>
      </c>
      <c r="D22" s="50">
        <v>49.16</v>
      </c>
      <c r="E22" s="50">
        <v>5.23</v>
      </c>
      <c r="F22" s="50">
        <v>6.04</v>
      </c>
      <c r="G22" s="50">
        <v>67.900000000000006</v>
      </c>
      <c r="H22" s="50">
        <v>27.13</v>
      </c>
      <c r="I22" s="50">
        <v>0.55000000000000004</v>
      </c>
      <c r="J22" s="50">
        <v>1.19</v>
      </c>
      <c r="K22" s="50">
        <v>37.31</v>
      </c>
      <c r="L22" s="50">
        <v>37.69</v>
      </c>
      <c r="M22" s="50">
        <v>20.440000000000001</v>
      </c>
      <c r="N22" s="50">
        <v>734.70</v>
      </c>
      <c r="O22" s="50">
        <v>0</v>
      </c>
      <c r="P22" s="50">
        <v>0.79</v>
      </c>
      <c r="Q22" s="50">
        <v>25.11</v>
      </c>
      <c r="R22" s="43"/>
      <c r="S22" s="43"/>
      <c r="T22" s="43"/>
      <c r="U22" s="43"/>
    </row>
    <row r="23" spans="1:21" s="11" customFormat="1" ht="15">
      <c r="A23" s="49" t="s">
        <v>293</v>
      </c>
      <c r="B23" s="50">
        <v>3.80</v>
      </c>
      <c r="C23" s="50">
        <v>86.44</v>
      </c>
      <c r="D23" s="50">
        <v>49.15</v>
      </c>
      <c r="E23" s="50">
        <v>3.90</v>
      </c>
      <c r="F23" s="50">
        <v>5.27</v>
      </c>
      <c r="G23" s="50">
        <v>64.930000000000007</v>
      </c>
      <c r="H23" s="50">
        <v>27.26</v>
      </c>
      <c r="I23" s="50">
        <v>0.53</v>
      </c>
      <c r="J23" s="50">
        <v>1.0900000000000001</v>
      </c>
      <c r="K23" s="50">
        <v>30.59</v>
      </c>
      <c r="L23" s="50">
        <v>38.03</v>
      </c>
      <c r="M23" s="50">
        <v>18.93</v>
      </c>
      <c r="N23" s="50">
        <v>628.70000000000005</v>
      </c>
      <c r="O23" s="50">
        <v>0</v>
      </c>
      <c r="P23" s="50">
        <v>0.75</v>
      </c>
      <c r="Q23" s="50">
        <v>25.47</v>
      </c>
      <c r="R23" s="43"/>
      <c r="S23" s="43"/>
      <c r="T23" s="43"/>
      <c r="U23" s="43"/>
    </row>
    <row r="24" spans="1:21" s="11" customFormat="1" ht="15">
      <c r="A24" s="49" t="s">
        <v>294</v>
      </c>
      <c r="B24" s="50">
        <v>3.71</v>
      </c>
      <c r="C24" s="50">
        <v>84.04</v>
      </c>
      <c r="D24" s="50">
        <v>48.26</v>
      </c>
      <c r="E24" s="50">
        <v>3.44</v>
      </c>
      <c r="F24" s="50">
        <v>4.24</v>
      </c>
      <c r="G24" s="50">
        <v>62.20</v>
      </c>
      <c r="H24" s="50">
        <v>26.41</v>
      </c>
      <c r="I24" s="50">
        <v>0.54</v>
      </c>
      <c r="J24" s="50">
        <v>1.31</v>
      </c>
      <c r="K24" s="50">
        <v>25.33</v>
      </c>
      <c r="L24" s="50">
        <v>36.17</v>
      </c>
      <c r="M24" s="50">
        <v>19.36</v>
      </c>
      <c r="N24" s="50">
        <v>471</v>
      </c>
      <c r="O24" s="50">
        <v>0</v>
      </c>
      <c r="P24" s="50">
        <v>0.73</v>
      </c>
      <c r="Q24" s="50">
        <v>26.99</v>
      </c>
      <c r="R24" s="43"/>
      <c r="S24" s="43"/>
      <c r="T24" s="43"/>
      <c r="U24" s="43"/>
    </row>
    <row r="25" spans="1:21" s="11" customFormat="1" ht="15">
      <c r="A25" s="49" t="s">
        <v>295</v>
      </c>
      <c r="B25" s="50">
        <v>3.93</v>
      </c>
      <c r="C25" s="50">
        <v>87.05</v>
      </c>
      <c r="D25" s="50">
        <v>50.23</v>
      </c>
      <c r="E25" s="50">
        <v>4.01</v>
      </c>
      <c r="F25" s="50">
        <v>5.91</v>
      </c>
      <c r="G25" s="50">
        <v>62.24</v>
      </c>
      <c r="H25" s="50">
        <v>25.61</v>
      </c>
      <c r="I25" s="50">
        <v>0.57999999999999996</v>
      </c>
      <c r="J25" s="50">
        <v>1.02</v>
      </c>
      <c r="K25" s="50">
        <v>32.619999999999997</v>
      </c>
      <c r="L25" s="50">
        <v>35.04</v>
      </c>
      <c r="M25" s="50">
        <v>21.68</v>
      </c>
      <c r="N25" s="50">
        <v>187.20</v>
      </c>
      <c r="O25" s="50">
        <v>0</v>
      </c>
      <c r="P25" s="50">
        <v>0.76</v>
      </c>
      <c r="Q25" s="50">
        <v>30.24</v>
      </c>
      <c r="R25" s="43"/>
      <c r="S25" s="43"/>
      <c r="T25" s="43"/>
      <c r="U25" s="43"/>
    </row>
    <row r="26" spans="1:21" s="11" customFormat="1" ht="15">
      <c r="A26" s="49" t="s">
        <v>296</v>
      </c>
      <c r="B26" s="50">
        <v>3.02</v>
      </c>
      <c r="C26" s="50">
        <v>90.33</v>
      </c>
      <c r="D26" s="50">
        <v>51.31</v>
      </c>
      <c r="E26" s="50">
        <v>4.6399999999999997</v>
      </c>
      <c r="F26" s="50">
        <v>6.80</v>
      </c>
      <c r="G26" s="50">
        <v>57.65</v>
      </c>
      <c r="H26" s="50">
        <v>23.66</v>
      </c>
      <c r="I26" s="50">
        <v>0.57999999999999996</v>
      </c>
      <c r="J26" s="50">
        <v>0.90</v>
      </c>
      <c r="K26" s="50">
        <v>37.229999999999997</v>
      </c>
      <c r="L26" s="50">
        <v>32.729999999999997</v>
      </c>
      <c r="M26" s="50">
        <v>26.64</v>
      </c>
      <c r="N26" s="50">
        <v>65.5</v>
      </c>
      <c r="O26" s="50">
        <v>0</v>
      </c>
      <c r="P26" s="50">
        <v>1.28</v>
      </c>
      <c r="Q26" s="50">
        <v>26.60</v>
      </c>
      <c r="R26" s="43"/>
      <c r="S26" s="43"/>
      <c r="T26" s="43"/>
      <c r="U26" s="43"/>
    </row>
    <row r="27" spans="1:21" s="11" customFormat="1" ht="15">
      <c r="A27" s="49" t="s">
        <v>297</v>
      </c>
      <c r="B27" s="50">
        <v>10.15</v>
      </c>
      <c r="C27" s="50">
        <v>102.13</v>
      </c>
      <c r="D27" s="50">
        <v>63.55</v>
      </c>
      <c r="E27" s="50">
        <v>3.69</v>
      </c>
      <c r="F27" s="50">
        <v>4.28</v>
      </c>
      <c r="G27" s="50">
        <v>60.92</v>
      </c>
      <c r="H27" s="50">
        <v>23.47</v>
      </c>
      <c r="I27" s="50">
        <v>0.70</v>
      </c>
      <c r="J27" s="50">
        <v>0.32</v>
      </c>
      <c r="K27" s="50">
        <v>36.43</v>
      </c>
      <c r="L27" s="50">
        <v>29.72</v>
      </c>
      <c r="M27" s="50">
        <v>32.85</v>
      </c>
      <c r="N27" s="50">
        <v>6.90</v>
      </c>
      <c r="O27" s="50">
        <v>0</v>
      </c>
      <c r="P27" s="50">
        <v>2.38</v>
      </c>
      <c r="Q27" s="50">
        <v>28</v>
      </c>
      <c r="R27" s="43"/>
      <c r="S27" s="43"/>
      <c r="T27" s="43"/>
      <c r="U27" s="43"/>
    </row>
    <row r="28" spans="1:21" s="11" customFormat="1" ht="15">
      <c r="A28" s="49" t="s">
        <v>298</v>
      </c>
      <c r="B28" s="50">
        <v>16.5</v>
      </c>
      <c r="C28" s="50">
        <v>109.59</v>
      </c>
      <c r="D28" s="50">
        <v>72.75</v>
      </c>
      <c r="E28" s="50">
        <v>4.13</v>
      </c>
      <c r="F28" s="50">
        <v>3.62</v>
      </c>
      <c r="G28" s="50">
        <v>79.069999999999993</v>
      </c>
      <c r="H28" s="50">
        <v>27.28</v>
      </c>
      <c r="I28" s="50">
        <v>0.88</v>
      </c>
      <c r="J28" s="50">
        <v>0.38</v>
      </c>
      <c r="K28" s="50">
        <v>97.62</v>
      </c>
      <c r="L28" s="50">
        <v>28.5</v>
      </c>
      <c r="M28" s="50">
        <v>34.04</v>
      </c>
      <c r="N28" s="50">
        <v>5</v>
      </c>
      <c r="O28" s="50">
        <v>0</v>
      </c>
      <c r="P28" s="50">
        <v>2.4500000000000002</v>
      </c>
      <c r="Q28" s="50">
        <v>31.24</v>
      </c>
      <c r="R28" s="43"/>
      <c r="S28" s="43"/>
      <c r="T28" s="43"/>
      <c r="U28" s="43"/>
    </row>
    <row r="29" spans="1:21" s="11" customFormat="1" ht="15">
      <c r="A29" s="49" t="s">
        <v>299</v>
      </c>
      <c r="B29" s="50">
        <v>45.73</v>
      </c>
      <c r="C29" s="50">
        <v>118.73</v>
      </c>
      <c r="D29" s="50">
        <v>101.23</v>
      </c>
      <c r="E29" s="50">
        <v>3.63</v>
      </c>
      <c r="F29" s="50">
        <v>3.21</v>
      </c>
      <c r="G29" s="50">
        <v>172.99</v>
      </c>
      <c r="H29" s="50">
        <v>38.729999999999997</v>
      </c>
      <c r="I29" s="50">
        <v>1.0900000000000001</v>
      </c>
      <c r="J29" s="50">
        <v>0.27</v>
      </c>
      <c r="K29" s="50">
        <v>318.12</v>
      </c>
      <c r="L29" s="50">
        <v>27.55</v>
      </c>
      <c r="M29" s="50">
        <v>41.17</v>
      </c>
      <c r="N29" s="50">
        <v>5.20</v>
      </c>
      <c r="O29" s="50">
        <v>0</v>
      </c>
      <c r="P29" s="50">
        <v>2.91</v>
      </c>
      <c r="Q29" s="50">
        <v>34.479999999999997</v>
      </c>
      <c r="R29" s="43"/>
      <c r="S29" s="43"/>
      <c r="T29" s="43"/>
      <c r="U29" s="43"/>
    </row>
    <row r="30" spans="1:21" s="11" customFormat="1" ht="15">
      <c r="A30" s="49" t="s">
        <v>300</v>
      </c>
      <c r="B30" s="50">
        <v>77.34</v>
      </c>
      <c r="C30" s="50">
        <v>120.24</v>
      </c>
      <c r="D30" s="50">
        <v>127.22</v>
      </c>
      <c r="E30" s="50">
        <v>3.49</v>
      </c>
      <c r="F30" s="50">
        <v>2.99</v>
      </c>
      <c r="G30" s="50">
        <v>177.32</v>
      </c>
      <c r="H30" s="50">
        <v>45.25</v>
      </c>
      <c r="I30" s="50">
        <v>1.26</v>
      </c>
      <c r="J30" s="50">
        <v>0.19</v>
      </c>
      <c r="K30" s="50">
        <v>288.54000000000002</v>
      </c>
      <c r="L30" s="50">
        <v>26.06</v>
      </c>
      <c r="M30" s="50">
        <v>53.32</v>
      </c>
      <c r="N30" s="50">
        <v>5</v>
      </c>
      <c r="O30" s="50">
        <v>0</v>
      </c>
      <c r="P30" s="50">
        <v>4.74</v>
      </c>
      <c r="Q30" s="50">
        <v>35.700000000000003</v>
      </c>
      <c r="R30" s="43"/>
      <c r="S30" s="43"/>
      <c r="T30" s="43"/>
      <c r="U30" s="43"/>
    </row>
    <row r="31" spans="1:21" s="11" customFormat="1" ht="15">
      <c r="A31" s="49" t="s">
        <v>301</v>
      </c>
      <c r="B31" s="50">
        <v>83.90</v>
      </c>
      <c r="C31" s="50">
        <v>118.31</v>
      </c>
      <c r="D31" s="50">
        <v>130.79</v>
      </c>
      <c r="E31" s="50">
        <v>3.58</v>
      </c>
      <c r="F31" s="50">
        <v>3.80</v>
      </c>
      <c r="G31" s="50">
        <v>173.19</v>
      </c>
      <c r="H31" s="50">
        <v>48.96</v>
      </c>
      <c r="I31" s="50">
        <v>1.48</v>
      </c>
      <c r="J31" s="50">
        <v>0.87</v>
      </c>
      <c r="K31" s="50">
        <v>325.74</v>
      </c>
      <c r="L31" s="50">
        <v>25.46</v>
      </c>
      <c r="M31" s="50">
        <v>50.30</v>
      </c>
      <c r="N31" s="50">
        <v>4.80</v>
      </c>
      <c r="O31" s="50">
        <v>0</v>
      </c>
      <c r="P31" s="50">
        <v>3.53</v>
      </c>
      <c r="Q31" s="50">
        <v>37.18</v>
      </c>
      <c r="R31" s="43"/>
      <c r="S31" s="43"/>
      <c r="T31" s="43"/>
      <c r="U31" s="43"/>
    </row>
    <row r="32" spans="1:21" s="11" customFormat="1" ht="15">
      <c r="A32" s="49" t="s">
        <v>302</v>
      </c>
      <c r="B32" s="50">
        <v>79.59</v>
      </c>
      <c r="C32" s="50">
        <v>111.76</v>
      </c>
      <c r="D32" s="50">
        <v>124.55</v>
      </c>
      <c r="E32" s="50">
        <v>3.73</v>
      </c>
      <c r="F32" s="50">
        <v>3.37</v>
      </c>
      <c r="G32" s="50">
        <v>148.35</v>
      </c>
      <c r="H32" s="50">
        <v>49.12</v>
      </c>
      <c r="I32" s="50">
        <v>1.08</v>
      </c>
      <c r="J32" s="50">
        <v>0.84</v>
      </c>
      <c r="K32" s="50">
        <v>200.70</v>
      </c>
      <c r="L32" s="50">
        <v>25.86</v>
      </c>
      <c r="M32" s="50">
        <v>42.43</v>
      </c>
      <c r="N32" s="50">
        <v>4.5999999999999996</v>
      </c>
      <c r="O32" s="50">
        <v>0</v>
      </c>
      <c r="P32" s="50">
        <v>2.4900000000000002</v>
      </c>
      <c r="Q32" s="50">
        <v>38.06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2.6400000000000001</v>
      </c>
      <c r="C34" s="28">
        <f t="shared" si="0"/>
        <v>68.840000000000003</v>
      </c>
      <c r="D34" s="28">
        <f t="shared" si="0"/>
        <v>39.340000000000003</v>
      </c>
      <c r="E34" s="28">
        <f t="shared" si="0"/>
        <v>3.3399999999999999</v>
      </c>
      <c r="F34" s="28">
        <f t="shared" si="0"/>
        <v>2.9900000000000002</v>
      </c>
      <c r="G34" s="28">
        <f t="shared" si="0"/>
        <v>50.380000000000003</v>
      </c>
      <c r="H34" s="28">
        <f t="shared" si="0"/>
        <v>18.870000000000001</v>
      </c>
      <c r="I34" s="28">
        <f t="shared" si="0"/>
        <v>0.46999999999999997</v>
      </c>
      <c r="J34" s="28">
        <f t="shared" si="0"/>
        <v>0.19</v>
      </c>
      <c r="K34" s="28">
        <f t="shared" si="0"/>
        <v>25.329999999999998</v>
      </c>
      <c r="L34" s="28">
        <f t="shared" si="0"/>
        <v>22.280000000000001</v>
      </c>
      <c r="M34" s="28">
        <f t="shared" si="0"/>
        <v>18.93</v>
      </c>
      <c r="N34" s="28">
        <f t="shared" si="0"/>
        <v>4.5999999999999996</v>
      </c>
      <c r="O34" s="28">
        <f t="shared" si="0"/>
        <v>0</v>
      </c>
      <c r="P34" s="28">
        <f t="shared" si="0"/>
        <v>0.62</v>
      </c>
      <c r="Q34" s="28">
        <f t="shared" si="0"/>
        <v>20.75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83.900000000000006</v>
      </c>
      <c r="C35" s="29">
        <f t="shared" si="1"/>
        <v>120.23999999999999</v>
      </c>
      <c r="D35" s="29">
        <f t="shared" si="1"/>
        <v>130.78999999999999</v>
      </c>
      <c r="E35" s="29">
        <f t="shared" si="1"/>
        <v>11.460000000000001</v>
      </c>
      <c r="F35" s="29">
        <f t="shared" si="1"/>
        <v>17.210000000000001</v>
      </c>
      <c r="G35" s="29">
        <f t="shared" si="1"/>
        <v>177.31999999999999</v>
      </c>
      <c r="H35" s="29">
        <f t="shared" si="1"/>
        <v>49.119999999999997</v>
      </c>
      <c r="I35" s="29">
        <f t="shared" si="1"/>
        <v>1.48</v>
      </c>
      <c r="J35" s="29">
        <f t="shared" si="1"/>
        <v>1.6299999999999999</v>
      </c>
      <c r="K35" s="29">
        <f t="shared" si="1"/>
        <v>325.74000000000001</v>
      </c>
      <c r="L35" s="29">
        <f t="shared" si="1"/>
        <v>38.030000000000001</v>
      </c>
      <c r="M35" s="29">
        <f t="shared" si="1"/>
        <v>53.32</v>
      </c>
      <c r="N35" s="29">
        <f t="shared" si="1"/>
        <v>860.29999999999995</v>
      </c>
      <c r="O35" s="29">
        <f t="shared" si="1"/>
        <v>0</v>
      </c>
      <c r="P35" s="29">
        <f t="shared" si="1"/>
        <v>4.7400000000000002</v>
      </c>
      <c r="Q35" s="29">
        <f t="shared" si="1"/>
        <v>38.060000000000002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17.942499999999999</v>
      </c>
      <c r="C36" s="28">
        <f t="shared" si="2"/>
        <v>97.34708333333333</v>
      </c>
      <c r="D36" s="28">
        <f t="shared" si="2"/>
        <v>67.399583333333325</v>
      </c>
      <c r="E36" s="28">
        <f t="shared" si="2"/>
        <v>4.3545833333333333</v>
      </c>
      <c r="F36" s="28">
        <f t="shared" si="2"/>
        <v>4.7299999999999995</v>
      </c>
      <c r="G36" s="28">
        <f t="shared" si="2"/>
        <v>80.684166666666655</v>
      </c>
      <c r="H36" s="28">
        <f t="shared" si="2"/>
        <v>27.102916666666669</v>
      </c>
      <c r="I36" s="28">
        <f t="shared" si="2"/>
        <v>0.68666666666666687</v>
      </c>
      <c r="J36" s="28">
        <f t="shared" si="2"/>
        <v>0.94916666666666671</v>
      </c>
      <c r="K36" s="28">
        <f t="shared" si="2"/>
        <v>99.016249999999971</v>
      </c>
      <c r="L36" s="28">
        <f t="shared" si="2"/>
        <v>29.234166666666667</v>
      </c>
      <c r="M36" s="28">
        <f t="shared" si="2"/>
        <v>36.111666666666657</v>
      </c>
      <c r="N36" s="28">
        <f t="shared" si="2"/>
        <v>258.46666666666664</v>
      </c>
      <c r="O36" s="28">
        <f t="shared" si="2"/>
        <v>0</v>
      </c>
      <c r="P36" s="28">
        <f t="shared" si="2"/>
        <v>1.3633333333333333</v>
      </c>
      <c r="Q36" s="28">
        <f t="shared" si="2"/>
        <v>30.395833333333332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25.596823894347924</v>
      </c>
      <c r="C37" s="28">
        <f t="shared" si="3" ref="C37:Q37">STDEV(C9:C32)</f>
        <v>12.798061496949808</v>
      </c>
      <c r="D37" s="28">
        <f t="shared" si="3"/>
        <v>26.070274506846285</v>
      </c>
      <c r="E37" s="28">
        <f t="shared" si="3"/>
        <v>1.5970651865671985</v>
      </c>
      <c r="F37" s="28">
        <f t="shared" si="3"/>
        <v>2.9830127752645179</v>
      </c>
      <c r="G37" s="28">
        <f t="shared" si="3"/>
        <v>40.718957866209522</v>
      </c>
      <c r="H37" s="28">
        <f t="shared" si="3"/>
        <v>8.9670379381408782</v>
      </c>
      <c r="I37" s="28">
        <f t="shared" si="3"/>
        <v>0.2670884345756247</v>
      </c>
      <c r="J37" s="28">
        <f t="shared" si="3"/>
        <v>0.38804881659138069</v>
      </c>
      <c r="K37" s="28">
        <f t="shared" si="3"/>
        <v>91.726012374874657</v>
      </c>
      <c r="L37" s="28">
        <f t="shared" si="3"/>
        <v>5.3645089054918493</v>
      </c>
      <c r="M37" s="28">
        <f t="shared" si="3"/>
        <v>11.214587808303328</v>
      </c>
      <c r="N37" s="28">
        <f t="shared" si="3"/>
        <v>330.37900589509604</v>
      </c>
      <c r="O37" s="28">
        <f t="shared" si="3"/>
        <v>0</v>
      </c>
      <c r="P37" s="28">
        <f t="shared" si="3"/>
        <v>1.1090680249912408</v>
      </c>
      <c r="Q37" s="28">
        <f t="shared" si="3"/>
        <v>4.0576325467023215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edd309-6263-4647-9973-5f7d379c902e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2" sqref="G42"/>
    </sheetView>
  </sheetViews>
  <sheetFormatPr defaultColWidth="8.85881696428571" defaultRowHeight="15"/>
  <cols>
    <col min="1" max="1" width="18.2857142857143" style="26" customWidth="1"/>
    <col min="2" max="2" width="14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5.5" customHeight="1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11-03-2023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49" t="s">
        <v>303</v>
      </c>
      <c r="B9" s="50">
        <v>52.27</v>
      </c>
      <c r="C9" s="50">
        <v>111.22</v>
      </c>
      <c r="D9" s="50">
        <v>101.91</v>
      </c>
      <c r="E9" s="50">
        <v>4.7699999999999996</v>
      </c>
      <c r="F9" s="50">
        <v>3.28</v>
      </c>
      <c r="G9" s="50">
        <v>57.78</v>
      </c>
      <c r="H9" s="50">
        <v>42.78</v>
      </c>
      <c r="I9" s="50">
        <v>1.04</v>
      </c>
      <c r="J9" s="50">
        <v>0.62</v>
      </c>
      <c r="K9" s="50">
        <v>195</v>
      </c>
      <c r="L9" s="50">
        <v>25.10</v>
      </c>
      <c r="M9" s="50">
        <v>45.20</v>
      </c>
      <c r="N9" s="50">
        <v>4.70</v>
      </c>
      <c r="O9" s="50">
        <v>0</v>
      </c>
      <c r="P9" s="50">
        <v>2.14</v>
      </c>
      <c r="Q9" s="50">
        <v>37.42</v>
      </c>
      <c r="R9" s="43"/>
      <c r="S9" s="43"/>
      <c r="T9" s="43"/>
      <c r="U9" s="43"/>
    </row>
    <row r="10" spans="1:21" s="11" customFormat="1" ht="15">
      <c r="A10" s="49" t="s">
        <v>304</v>
      </c>
      <c r="B10" s="50">
        <v>31.87</v>
      </c>
      <c r="C10" s="50">
        <v>109.89</v>
      </c>
      <c r="D10" s="50">
        <v>85.24</v>
      </c>
      <c r="E10" s="50">
        <v>4.0199999999999996</v>
      </c>
      <c r="F10" s="50">
        <v>3.37</v>
      </c>
      <c r="G10" s="50">
        <v>49.30</v>
      </c>
      <c r="H10" s="50">
        <v>38.49</v>
      </c>
      <c r="I10" s="50">
        <v>0.87</v>
      </c>
      <c r="J10" s="50">
        <v>0.79</v>
      </c>
      <c r="K10" s="50">
        <v>185.83</v>
      </c>
      <c r="L10" s="50">
        <v>24.41</v>
      </c>
      <c r="M10" s="50">
        <v>46.48</v>
      </c>
      <c r="N10" s="50">
        <v>4.5</v>
      </c>
      <c r="O10" s="50">
        <v>0</v>
      </c>
      <c r="P10" s="50">
        <v>1.53</v>
      </c>
      <c r="Q10" s="50">
        <v>35.630000000000003</v>
      </c>
      <c r="R10" s="43"/>
      <c r="S10" s="43"/>
      <c r="T10" s="43"/>
      <c r="U10" s="43"/>
    </row>
    <row r="11" spans="1:21" s="11" customFormat="1" ht="15">
      <c r="A11" s="49" t="s">
        <v>305</v>
      </c>
      <c r="B11" s="50">
        <v>24.11</v>
      </c>
      <c r="C11" s="50">
        <v>108.76</v>
      </c>
      <c r="D11" s="50">
        <v>78.36</v>
      </c>
      <c r="E11" s="50">
        <v>4.1900000000000004</v>
      </c>
      <c r="F11" s="50">
        <v>3.34</v>
      </c>
      <c r="G11" s="50">
        <v>51.71</v>
      </c>
      <c r="H11" s="50">
        <v>35</v>
      </c>
      <c r="I11" s="50">
        <v>0.73</v>
      </c>
      <c r="J11" s="50">
        <v>0.71</v>
      </c>
      <c r="K11" s="50">
        <v>204.47</v>
      </c>
      <c r="L11" s="50">
        <v>23.87</v>
      </c>
      <c r="M11" s="50">
        <v>48.87</v>
      </c>
      <c r="N11" s="50">
        <v>4.70</v>
      </c>
      <c r="O11" s="50">
        <v>0</v>
      </c>
      <c r="P11" s="50">
        <v>1.46</v>
      </c>
      <c r="Q11" s="50">
        <v>35.979999999999997</v>
      </c>
      <c r="R11" s="43"/>
      <c r="S11" s="43"/>
      <c r="T11" s="43"/>
      <c r="U11" s="43"/>
    </row>
    <row r="12" spans="1:21" s="11" customFormat="1" ht="15">
      <c r="A12" s="49" t="s">
        <v>306</v>
      </c>
      <c r="B12" s="50">
        <v>15.73</v>
      </c>
      <c r="C12" s="50">
        <v>108.28</v>
      </c>
      <c r="D12" s="50">
        <v>71.41</v>
      </c>
      <c r="E12" s="50">
        <v>4.5</v>
      </c>
      <c r="F12" s="50">
        <v>3.23</v>
      </c>
      <c r="G12" s="50">
        <v>40.64</v>
      </c>
      <c r="H12" s="50">
        <v>31.12</v>
      </c>
      <c r="I12" s="50">
        <v>0.69</v>
      </c>
      <c r="J12" s="50">
        <v>0.26</v>
      </c>
      <c r="K12" s="50">
        <v>359.5</v>
      </c>
      <c r="L12" s="50">
        <v>22.74</v>
      </c>
      <c r="M12" s="50">
        <v>58.70</v>
      </c>
      <c r="N12" s="50">
        <v>5.30</v>
      </c>
      <c r="O12" s="50">
        <v>0</v>
      </c>
      <c r="P12" s="50">
        <v>1.28</v>
      </c>
      <c r="Q12" s="50">
        <v>36.18</v>
      </c>
      <c r="R12" s="43"/>
      <c r="S12" s="43"/>
      <c r="T12" s="43"/>
      <c r="U12" s="43"/>
    </row>
    <row r="13" spans="1:21" s="11" customFormat="1" ht="15">
      <c r="A13" s="49" t="s">
        <v>307</v>
      </c>
      <c r="B13" s="50">
        <v>9.1999999999999993</v>
      </c>
      <c r="C13" s="50">
        <v>106.81</v>
      </c>
      <c r="D13" s="50">
        <v>65.36</v>
      </c>
      <c r="E13" s="50">
        <v>2.93</v>
      </c>
      <c r="F13" s="50">
        <v>3.19</v>
      </c>
      <c r="G13" s="50">
        <v>55.58</v>
      </c>
      <c r="H13" s="50">
        <v>28.61</v>
      </c>
      <c r="I13" s="50">
        <v>0.65</v>
      </c>
      <c r="J13" s="50">
        <v>0.18</v>
      </c>
      <c r="K13" s="50">
        <v>346.41</v>
      </c>
      <c r="L13" s="50">
        <v>21.68</v>
      </c>
      <c r="M13" s="50">
        <v>58.58</v>
      </c>
      <c r="N13" s="50">
        <v>4.80</v>
      </c>
      <c r="O13" s="50">
        <v>0</v>
      </c>
      <c r="P13" s="50">
        <v>1.0900000000000001</v>
      </c>
      <c r="Q13" s="50">
        <v>35.57</v>
      </c>
      <c r="R13" s="43"/>
      <c r="S13" s="43"/>
      <c r="T13" s="43"/>
      <c r="U13" s="43"/>
    </row>
    <row r="14" spans="1:21" s="11" customFormat="1" ht="15">
      <c r="A14" s="49" t="s">
        <v>308</v>
      </c>
      <c r="B14" s="50">
        <v>14.24</v>
      </c>
      <c r="C14" s="50">
        <v>106.09</v>
      </c>
      <c r="D14" s="50">
        <v>69.010000000000005</v>
      </c>
      <c r="E14" s="50">
        <v>2.68</v>
      </c>
      <c r="F14" s="50">
        <v>3.09</v>
      </c>
      <c r="G14" s="50">
        <v>56.60</v>
      </c>
      <c r="H14" s="50">
        <v>28.68</v>
      </c>
      <c r="I14" s="50">
        <v>0.60</v>
      </c>
      <c r="J14" s="50">
        <v>0.17</v>
      </c>
      <c r="K14" s="50">
        <v>356.73</v>
      </c>
      <c r="L14" s="50">
        <v>21.40</v>
      </c>
      <c r="M14" s="50">
        <v>62.14</v>
      </c>
      <c r="N14" s="50">
        <v>5</v>
      </c>
      <c r="O14" s="50">
        <v>0</v>
      </c>
      <c r="P14" s="50">
        <v>1.02</v>
      </c>
      <c r="Q14" s="50">
        <v>34.950000000000003</v>
      </c>
      <c r="R14" s="43"/>
      <c r="S14" s="43"/>
      <c r="T14" s="43"/>
      <c r="U14" s="43"/>
    </row>
    <row r="15" spans="1:21" s="11" customFormat="1" ht="15">
      <c r="A15" s="49" t="s">
        <v>309</v>
      </c>
      <c r="B15" s="50">
        <v>20.75</v>
      </c>
      <c r="C15" s="50">
        <v>110.41</v>
      </c>
      <c r="D15" s="50">
        <v>76.61</v>
      </c>
      <c r="E15" s="50">
        <v>3.04</v>
      </c>
      <c r="F15" s="50">
        <v>3.26</v>
      </c>
      <c r="G15" s="50">
        <v>55.34</v>
      </c>
      <c r="H15" s="50">
        <v>31.29</v>
      </c>
      <c r="I15" s="50">
        <v>0.63</v>
      </c>
      <c r="J15" s="50">
        <v>0.30</v>
      </c>
      <c r="K15" s="50">
        <v>342.89</v>
      </c>
      <c r="L15" s="50">
        <v>21.83</v>
      </c>
      <c r="M15" s="50">
        <v>60.65</v>
      </c>
      <c r="N15" s="50">
        <v>75.900000000000006</v>
      </c>
      <c r="O15" s="50">
        <v>0</v>
      </c>
      <c r="P15" s="50">
        <v>1</v>
      </c>
      <c r="Q15" s="50">
        <v>36.450000000000003</v>
      </c>
      <c r="R15" s="43"/>
      <c r="S15" s="43"/>
      <c r="T15" s="43"/>
      <c r="U15" s="43"/>
    </row>
    <row r="16" spans="1:21" s="11" customFormat="1" ht="15">
      <c r="A16" s="49" t="s">
        <v>310</v>
      </c>
      <c r="B16" s="50">
        <v>22.82</v>
      </c>
      <c r="C16" s="50">
        <v>117.09</v>
      </c>
      <c r="D16" s="50">
        <v>81.209999999999994</v>
      </c>
      <c r="E16" s="50">
        <v>2.80</v>
      </c>
      <c r="F16" s="50">
        <v>3.15</v>
      </c>
      <c r="G16" s="50">
        <v>110.5</v>
      </c>
      <c r="H16" s="50">
        <v>31.44</v>
      </c>
      <c r="I16" s="50">
        <v>0.63</v>
      </c>
      <c r="J16" s="50">
        <v>0.31</v>
      </c>
      <c r="K16" s="50">
        <v>102.80</v>
      </c>
      <c r="L16" s="50">
        <v>27.79</v>
      </c>
      <c r="M16" s="50">
        <v>56.97</v>
      </c>
      <c r="N16" s="50">
        <v>264.20</v>
      </c>
      <c r="O16" s="50">
        <v>0</v>
      </c>
      <c r="P16" s="50">
        <v>1.1200000000000001</v>
      </c>
      <c r="Q16" s="50">
        <v>36.380000000000003</v>
      </c>
      <c r="R16" s="43"/>
      <c r="S16" s="43"/>
      <c r="T16" s="43"/>
      <c r="U16" s="43"/>
    </row>
    <row r="17" spans="1:21" s="11" customFormat="1" ht="15">
      <c r="A17" s="49" t="s">
        <v>311</v>
      </c>
      <c r="B17" s="50">
        <v>20.79</v>
      </c>
      <c r="C17" s="50">
        <v>118.19</v>
      </c>
      <c r="D17" s="50">
        <v>80.11</v>
      </c>
      <c r="E17" s="50">
        <v>3.64</v>
      </c>
      <c r="F17" s="50">
        <v>3.09</v>
      </c>
      <c r="G17" s="50">
        <v>113.69</v>
      </c>
      <c r="H17" s="50">
        <v>33.76</v>
      </c>
      <c r="I17" s="50">
        <v>0.62</v>
      </c>
      <c r="J17" s="50">
        <v>0.66</v>
      </c>
      <c r="K17" s="50">
        <v>84.15</v>
      </c>
      <c r="L17" s="50">
        <v>28.97</v>
      </c>
      <c r="M17" s="50">
        <v>42.73</v>
      </c>
      <c r="N17" s="50">
        <v>466</v>
      </c>
      <c r="O17" s="50">
        <v>0</v>
      </c>
      <c r="P17" s="50">
        <v>1.1499999999999999</v>
      </c>
      <c r="Q17" s="50">
        <v>35.65</v>
      </c>
      <c r="R17" s="43"/>
      <c r="S17" s="43"/>
      <c r="T17" s="43"/>
      <c r="U17" s="43"/>
    </row>
    <row r="18" spans="1:21" s="11" customFormat="1" ht="15">
      <c r="A18" s="49" t="s">
        <v>312</v>
      </c>
      <c r="B18" s="50">
        <v>18.97</v>
      </c>
      <c r="C18" s="50">
        <v>120.75</v>
      </c>
      <c r="D18" s="50">
        <v>79.42</v>
      </c>
      <c r="E18" s="50">
        <v>4.17</v>
      </c>
      <c r="F18" s="50">
        <v>3.13</v>
      </c>
      <c r="G18" s="50">
        <v>191.60</v>
      </c>
      <c r="H18" s="50">
        <v>42.36</v>
      </c>
      <c r="I18" s="50">
        <v>0.63</v>
      </c>
      <c r="J18" s="50">
        <v>0.61</v>
      </c>
      <c r="K18" s="50">
        <v>66.709999999999994</v>
      </c>
      <c r="L18" s="50">
        <v>32.14</v>
      </c>
      <c r="M18" s="50">
        <v>36.40</v>
      </c>
      <c r="N18" s="50">
        <v>623.5</v>
      </c>
      <c r="O18" s="50">
        <v>0</v>
      </c>
      <c r="P18" s="50">
        <v>1.27</v>
      </c>
      <c r="Q18" s="50">
        <v>35.28</v>
      </c>
      <c r="R18" s="43"/>
      <c r="S18" s="43"/>
      <c r="T18" s="43"/>
      <c r="U18" s="43"/>
    </row>
    <row r="19" spans="1:21" s="11" customFormat="1" ht="15">
      <c r="A19" s="49" t="s">
        <v>313</v>
      </c>
      <c r="B19" s="50">
        <v>14.70</v>
      </c>
      <c r="C19" s="50">
        <v>130.54</v>
      </c>
      <c r="D19" s="50">
        <v>78.47</v>
      </c>
      <c r="E19" s="50">
        <v>4.8099999999999996</v>
      </c>
      <c r="F19" s="50">
        <v>3.47</v>
      </c>
      <c r="G19" s="50">
        <v>197.62</v>
      </c>
      <c r="H19" s="50">
        <v>47.14</v>
      </c>
      <c r="I19" s="50">
        <v>0.65</v>
      </c>
      <c r="J19" s="50">
        <v>0.56999999999999995</v>
      </c>
      <c r="K19" s="50">
        <v>104.53</v>
      </c>
      <c r="L19" s="50">
        <v>34.28</v>
      </c>
      <c r="M19" s="50">
        <v>32.21</v>
      </c>
      <c r="N19" s="50">
        <v>761</v>
      </c>
      <c r="O19" s="50">
        <v>0</v>
      </c>
      <c r="P19" s="50">
        <v>1.38</v>
      </c>
      <c r="Q19" s="50">
        <v>36.979999999999997</v>
      </c>
      <c r="R19" s="43"/>
      <c r="S19" s="43"/>
      <c r="T19" s="43"/>
      <c r="U19" s="43"/>
    </row>
    <row r="20" spans="1:21" s="11" customFormat="1" ht="15">
      <c r="A20" s="49" t="s">
        <v>314</v>
      </c>
      <c r="B20" s="50">
        <v>6.29</v>
      </c>
      <c r="C20" s="50">
        <v>133.53</v>
      </c>
      <c r="D20" s="50">
        <v>77.180000000000007</v>
      </c>
      <c r="E20" s="50">
        <v>4.42</v>
      </c>
      <c r="F20" s="50">
        <v>3.85</v>
      </c>
      <c r="G20" s="50">
        <v>125.79</v>
      </c>
      <c r="H20" s="50">
        <v>49.34</v>
      </c>
      <c r="I20" s="50">
        <v>0.63</v>
      </c>
      <c r="J20" s="50">
        <v>0.75</v>
      </c>
      <c r="K20" s="50">
        <v>121.71</v>
      </c>
      <c r="L20" s="50">
        <v>36.08</v>
      </c>
      <c r="M20" s="50">
        <v>28.46</v>
      </c>
      <c r="N20" s="50">
        <v>819.70</v>
      </c>
      <c r="O20" s="50">
        <v>0</v>
      </c>
      <c r="P20" s="50">
        <v>1.40</v>
      </c>
      <c r="Q20" s="50">
        <v>36.159999999999997</v>
      </c>
      <c r="R20" s="43"/>
      <c r="S20" s="43"/>
      <c r="T20" s="43"/>
      <c r="U20" s="43"/>
    </row>
    <row r="21" spans="1:21" s="11" customFormat="1" ht="15">
      <c r="A21" s="49" t="s">
        <v>315</v>
      </c>
      <c r="B21" s="50">
        <v>4.42</v>
      </c>
      <c r="C21" s="50">
        <v>129.83000000000001</v>
      </c>
      <c r="D21" s="50">
        <v>74.23</v>
      </c>
      <c r="E21" s="50">
        <v>4.08</v>
      </c>
      <c r="F21" s="50">
        <v>4.25</v>
      </c>
      <c r="G21" s="50">
        <v>102.30</v>
      </c>
      <c r="H21" s="50">
        <v>49.44</v>
      </c>
      <c r="I21" s="50">
        <v>0.65</v>
      </c>
      <c r="J21" s="50">
        <v>0.73</v>
      </c>
      <c r="K21" s="50">
        <v>162.26</v>
      </c>
      <c r="L21" s="50">
        <v>34.369999999999997</v>
      </c>
      <c r="M21" s="50">
        <v>26.66</v>
      </c>
      <c r="N21" s="50">
        <v>822.20</v>
      </c>
      <c r="O21" s="50">
        <v>0</v>
      </c>
      <c r="P21" s="50">
        <v>1.35</v>
      </c>
      <c r="Q21" s="50">
        <v>34.17</v>
      </c>
      <c r="R21" s="43"/>
      <c r="S21" s="43"/>
      <c r="T21" s="43"/>
      <c r="U21" s="43"/>
    </row>
    <row r="22" spans="1:21" s="11" customFormat="1" ht="15">
      <c r="A22" s="49" t="s">
        <v>316</v>
      </c>
      <c r="B22" s="50">
        <v>3.10</v>
      </c>
      <c r="C22" s="50">
        <v>119.75</v>
      </c>
      <c r="D22" s="50">
        <v>67.61</v>
      </c>
      <c r="E22" s="50">
        <v>5.0199999999999996</v>
      </c>
      <c r="F22" s="50">
        <v>4.5999999999999996</v>
      </c>
      <c r="G22" s="50">
        <v>81.790000000000006</v>
      </c>
      <c r="H22" s="50">
        <v>46.49</v>
      </c>
      <c r="I22" s="50">
        <v>0.68</v>
      </c>
      <c r="J22" s="50">
        <v>0.55000000000000004</v>
      </c>
      <c r="K22" s="50">
        <v>311</v>
      </c>
      <c r="L22" s="50">
        <v>35.5</v>
      </c>
      <c r="M22" s="50">
        <v>23.51</v>
      </c>
      <c r="N22" s="50">
        <v>832.60</v>
      </c>
      <c r="O22" s="50">
        <v>0</v>
      </c>
      <c r="P22" s="50">
        <v>1.25</v>
      </c>
      <c r="Q22" s="50">
        <v>34.630000000000003</v>
      </c>
      <c r="R22" s="43"/>
      <c r="S22" s="43"/>
      <c r="T22" s="43"/>
      <c r="U22" s="43"/>
    </row>
    <row r="23" spans="1:21" s="11" customFormat="1" ht="15">
      <c r="A23" s="49" t="s">
        <v>317</v>
      </c>
      <c r="B23" s="50">
        <v>2.54</v>
      </c>
      <c r="C23" s="50">
        <v>106.69</v>
      </c>
      <c r="D23" s="50">
        <v>59.95</v>
      </c>
      <c r="E23" s="50">
        <v>4.32</v>
      </c>
      <c r="F23" s="50">
        <v>5.07</v>
      </c>
      <c r="G23" s="50">
        <v>51.57</v>
      </c>
      <c r="H23" s="50">
        <v>40.08</v>
      </c>
      <c r="I23" s="50">
        <v>0.68</v>
      </c>
      <c r="J23" s="50">
        <v>1.72</v>
      </c>
      <c r="K23" s="50">
        <v>341.18</v>
      </c>
      <c r="L23" s="50">
        <v>36.36</v>
      </c>
      <c r="M23" s="50">
        <v>17.86</v>
      </c>
      <c r="N23" s="50">
        <v>617.5</v>
      </c>
      <c r="O23" s="50">
        <v>0</v>
      </c>
      <c r="P23" s="50">
        <v>1.07</v>
      </c>
      <c r="Q23" s="50">
        <v>34.06</v>
      </c>
      <c r="R23" s="43"/>
      <c r="S23" s="43"/>
      <c r="T23" s="43"/>
      <c r="U23" s="43"/>
    </row>
    <row r="24" spans="1:21" s="11" customFormat="1" ht="15">
      <c r="A24" s="49" t="s">
        <v>318</v>
      </c>
      <c r="B24" s="50">
        <v>2.38</v>
      </c>
      <c r="C24" s="50">
        <v>101.37</v>
      </c>
      <c r="D24" s="50">
        <v>56.89</v>
      </c>
      <c r="E24" s="50">
        <v>4.0599999999999996</v>
      </c>
      <c r="F24" s="50">
        <v>5.55</v>
      </c>
      <c r="G24" s="50">
        <v>42.85</v>
      </c>
      <c r="H24" s="50">
        <v>29.29</v>
      </c>
      <c r="I24" s="50">
        <v>0.61</v>
      </c>
      <c r="J24" s="50">
        <v>0.63</v>
      </c>
      <c r="K24" s="50">
        <v>351.08</v>
      </c>
      <c r="L24" s="50">
        <v>36.020000000000003</v>
      </c>
      <c r="M24" s="50">
        <v>19.16</v>
      </c>
      <c r="N24" s="50">
        <v>442.5</v>
      </c>
      <c r="O24" s="50">
        <v>0</v>
      </c>
      <c r="P24" s="50">
        <v>0.96</v>
      </c>
      <c r="Q24" s="50">
        <v>32.51</v>
      </c>
      <c r="R24" s="43"/>
      <c r="S24" s="43"/>
      <c r="T24" s="43"/>
      <c r="U24" s="43"/>
    </row>
    <row r="25" spans="1:21" s="11" customFormat="1" ht="15">
      <c r="A25" s="49" t="s">
        <v>319</v>
      </c>
      <c r="B25" s="50">
        <v>3.87</v>
      </c>
      <c r="C25" s="50">
        <v>102.06</v>
      </c>
      <c r="D25" s="50">
        <v>58.47</v>
      </c>
      <c r="E25" s="50">
        <v>4.03</v>
      </c>
      <c r="F25" s="50">
        <v>5.66</v>
      </c>
      <c r="G25" s="50">
        <v>42.98</v>
      </c>
      <c r="H25" s="50">
        <v>26.61</v>
      </c>
      <c r="I25" s="50">
        <v>0.56000000000000005</v>
      </c>
      <c r="J25" s="50">
        <v>0.60</v>
      </c>
      <c r="K25" s="50">
        <v>348.17</v>
      </c>
      <c r="L25" s="50">
        <v>35.130000000000003</v>
      </c>
      <c r="M25" s="50">
        <v>19.66</v>
      </c>
      <c r="N25" s="50">
        <v>190.10</v>
      </c>
      <c r="O25" s="50">
        <v>0</v>
      </c>
      <c r="P25" s="50">
        <v>0.94</v>
      </c>
      <c r="Q25" s="50">
        <v>31.25</v>
      </c>
      <c r="R25" s="43"/>
      <c r="S25" s="43"/>
      <c r="T25" s="43"/>
      <c r="U25" s="43"/>
    </row>
    <row r="26" spans="1:21" s="11" customFormat="1" ht="15">
      <c r="A26" s="49" t="s">
        <v>320</v>
      </c>
      <c r="B26" s="50">
        <v>5.45</v>
      </c>
      <c r="C26" s="50">
        <v>108.71</v>
      </c>
      <c r="D26" s="50">
        <v>63.40</v>
      </c>
      <c r="E26" s="50">
        <v>4.1500000000000004</v>
      </c>
      <c r="F26" s="50">
        <v>4.38</v>
      </c>
      <c r="G26" s="50">
        <v>49.31</v>
      </c>
      <c r="H26" s="50">
        <v>20.66</v>
      </c>
      <c r="I26" s="50">
        <v>0.60</v>
      </c>
      <c r="J26" s="50">
        <v>0.90</v>
      </c>
      <c r="K26" s="50">
        <v>350.03</v>
      </c>
      <c r="L26" s="50">
        <v>32.94</v>
      </c>
      <c r="M26" s="50">
        <v>23.59</v>
      </c>
      <c r="N26" s="50">
        <v>61.10</v>
      </c>
      <c r="O26" s="50">
        <v>0</v>
      </c>
      <c r="P26" s="50">
        <v>1.32</v>
      </c>
      <c r="Q26" s="50">
        <v>33.61</v>
      </c>
      <c r="R26" s="43"/>
      <c r="S26" s="43"/>
      <c r="T26" s="43"/>
      <c r="U26" s="43"/>
    </row>
    <row r="27" spans="1:21" s="11" customFormat="1" ht="15">
      <c r="A27" s="49" t="s">
        <v>321</v>
      </c>
      <c r="B27" s="50">
        <v>13.87</v>
      </c>
      <c r="C27" s="50">
        <v>123.41</v>
      </c>
      <c r="D27" s="50">
        <v>78.260000000000005</v>
      </c>
      <c r="E27" s="50">
        <v>3.88</v>
      </c>
      <c r="F27" s="50">
        <v>3.98</v>
      </c>
      <c r="G27" s="50">
        <v>76.86</v>
      </c>
      <c r="H27" s="50">
        <v>22.77</v>
      </c>
      <c r="I27" s="50">
        <v>0.84</v>
      </c>
      <c r="J27" s="50">
        <v>0.27</v>
      </c>
      <c r="K27" s="50">
        <v>103.42</v>
      </c>
      <c r="L27" s="50">
        <v>30.42</v>
      </c>
      <c r="M27" s="50">
        <v>32.340000000000003</v>
      </c>
      <c r="N27" s="50">
        <v>7</v>
      </c>
      <c r="O27" s="50">
        <v>0</v>
      </c>
      <c r="P27" s="50">
        <v>2.37</v>
      </c>
      <c r="Q27" s="50">
        <v>33.82</v>
      </c>
      <c r="R27" s="43"/>
      <c r="S27" s="43"/>
      <c r="T27" s="43"/>
      <c r="U27" s="43"/>
    </row>
    <row r="28" spans="1:21" s="11" customFormat="1" ht="15">
      <c r="A28" s="49" t="s">
        <v>322</v>
      </c>
      <c r="B28" s="50">
        <v>29.35</v>
      </c>
      <c r="C28" s="50">
        <v>125.13</v>
      </c>
      <c r="D28" s="50">
        <v>91.63</v>
      </c>
      <c r="E28" s="50">
        <v>3.74</v>
      </c>
      <c r="F28" s="50">
        <v>3.78</v>
      </c>
      <c r="G28" s="50">
        <v>120.35</v>
      </c>
      <c r="H28" s="50">
        <v>30.90</v>
      </c>
      <c r="I28" s="50">
        <v>1.27</v>
      </c>
      <c r="J28" s="50">
        <v>0.18</v>
      </c>
      <c r="K28" s="50">
        <v>358.92</v>
      </c>
      <c r="L28" s="50">
        <v>28.04</v>
      </c>
      <c r="M28" s="50">
        <v>45.33</v>
      </c>
      <c r="N28" s="50">
        <v>4.9000000000000004</v>
      </c>
      <c r="O28" s="50">
        <v>0</v>
      </c>
      <c r="P28" s="50">
        <v>3.83</v>
      </c>
      <c r="Q28" s="50">
        <v>34.299999999999997</v>
      </c>
      <c r="R28" s="43"/>
      <c r="S28" s="43"/>
      <c r="T28" s="43"/>
      <c r="U28" s="43"/>
    </row>
    <row r="29" spans="1:21" s="11" customFormat="1" ht="15">
      <c r="A29" s="49" t="s">
        <v>323</v>
      </c>
      <c r="B29" s="50">
        <v>50.79</v>
      </c>
      <c r="C29" s="50">
        <v>125.73</v>
      </c>
      <c r="D29" s="50">
        <v>109.15</v>
      </c>
      <c r="E29" s="50">
        <v>4.5199999999999996</v>
      </c>
      <c r="F29" s="50">
        <v>3.11</v>
      </c>
      <c r="G29" s="50">
        <v>166.47</v>
      </c>
      <c r="H29" s="50">
        <v>40.21</v>
      </c>
      <c r="I29" s="50">
        <v>1.64</v>
      </c>
      <c r="J29" s="50">
        <v>0.25</v>
      </c>
      <c r="K29" s="50">
        <v>327.70</v>
      </c>
      <c r="L29" s="50">
        <v>26.48</v>
      </c>
      <c r="M29" s="50">
        <v>44.05</v>
      </c>
      <c r="N29" s="50">
        <v>4.9000000000000004</v>
      </c>
      <c r="O29" s="50">
        <v>0</v>
      </c>
      <c r="P29" s="50">
        <v>3.81</v>
      </c>
      <c r="Q29" s="50">
        <v>37.49</v>
      </c>
      <c r="R29" s="43"/>
      <c r="S29" s="43"/>
      <c r="T29" s="43"/>
      <c r="U29" s="43"/>
    </row>
    <row r="30" spans="1:21" s="11" customFormat="1" ht="15">
      <c r="A30" s="49" t="s">
        <v>324</v>
      </c>
      <c r="B30" s="50">
        <v>66.37</v>
      </c>
      <c r="C30" s="50">
        <v>129.43</v>
      </c>
      <c r="D30" s="50">
        <v>123.69</v>
      </c>
      <c r="E30" s="50">
        <v>4.6900000000000004</v>
      </c>
      <c r="F30" s="50">
        <v>3.19</v>
      </c>
      <c r="G30" s="50">
        <v>168.53</v>
      </c>
      <c r="H30" s="50">
        <v>40.630000000000003</v>
      </c>
      <c r="I30" s="50">
        <v>1.33</v>
      </c>
      <c r="J30" s="50">
        <v>0.27</v>
      </c>
      <c r="K30" s="50">
        <v>115.29</v>
      </c>
      <c r="L30" s="50">
        <v>26.58</v>
      </c>
      <c r="M30" s="50">
        <v>50.64</v>
      </c>
      <c r="N30" s="50">
        <v>4.9000000000000004</v>
      </c>
      <c r="O30" s="50">
        <v>0</v>
      </c>
      <c r="P30" s="50">
        <v>2.31</v>
      </c>
      <c r="Q30" s="50">
        <v>38.54</v>
      </c>
      <c r="R30" s="43"/>
      <c r="S30" s="43"/>
      <c r="T30" s="43"/>
      <c r="U30" s="43"/>
    </row>
    <row r="31" spans="1:21" s="11" customFormat="1" ht="15">
      <c r="A31" s="49" t="s">
        <v>325</v>
      </c>
      <c r="B31" s="50">
        <v>105.48</v>
      </c>
      <c r="C31" s="50">
        <v>129.57</v>
      </c>
      <c r="D31" s="50">
        <v>154.44</v>
      </c>
      <c r="E31" s="50">
        <v>4.78</v>
      </c>
      <c r="F31" s="50">
        <v>2.84</v>
      </c>
      <c r="G31" s="50">
        <v>178.94</v>
      </c>
      <c r="H31" s="50">
        <v>49.32</v>
      </c>
      <c r="I31" s="50">
        <v>1.40</v>
      </c>
      <c r="J31" s="50">
        <v>0.14000000000000001</v>
      </c>
      <c r="K31" s="50">
        <v>348.67</v>
      </c>
      <c r="L31" s="50">
        <v>24.71</v>
      </c>
      <c r="M31" s="50">
        <v>53.59</v>
      </c>
      <c r="N31" s="50">
        <v>4.9000000000000004</v>
      </c>
      <c r="O31" s="50">
        <v>0</v>
      </c>
      <c r="P31" s="50">
        <v>3.46</v>
      </c>
      <c r="Q31" s="50">
        <v>39.71</v>
      </c>
      <c r="R31" s="43"/>
      <c r="S31" s="43"/>
      <c r="T31" s="43"/>
      <c r="U31" s="43"/>
    </row>
    <row r="32" spans="1:21" s="11" customFormat="1" ht="15">
      <c r="A32" s="49" t="s">
        <v>326</v>
      </c>
      <c r="B32" s="50">
        <v>136.75</v>
      </c>
      <c r="C32" s="50">
        <v>127.27</v>
      </c>
      <c r="D32" s="50">
        <v>177.36</v>
      </c>
      <c r="E32" s="50">
        <v>5.18</v>
      </c>
      <c r="F32" s="50">
        <v>3.06</v>
      </c>
      <c r="G32" s="50">
        <v>181.27</v>
      </c>
      <c r="H32" s="50">
        <v>51.82</v>
      </c>
      <c r="I32" s="50">
        <v>1.49</v>
      </c>
      <c r="J32" s="50">
        <v>0.10</v>
      </c>
      <c r="K32" s="50">
        <v>142.21</v>
      </c>
      <c r="L32" s="50">
        <v>23.57</v>
      </c>
      <c r="M32" s="50">
        <v>56.09</v>
      </c>
      <c r="N32" s="50">
        <v>4.80</v>
      </c>
      <c r="O32" s="50">
        <v>0</v>
      </c>
      <c r="P32" s="50">
        <v>2.92</v>
      </c>
      <c r="Q32" s="50">
        <v>41.36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2.3799999999999999</v>
      </c>
      <c r="C34" s="28">
        <f t="shared" si="0"/>
        <v>101.37</v>
      </c>
      <c r="D34" s="28">
        <f t="shared" si="0"/>
        <v>56.890000000000001</v>
      </c>
      <c r="E34" s="28">
        <f t="shared" si="0"/>
        <v>2.6800000000000002</v>
      </c>
      <c r="F34" s="28">
        <f t="shared" si="0"/>
        <v>2.8399999999999999</v>
      </c>
      <c r="G34" s="28">
        <f t="shared" si="0"/>
        <v>40.640000000000001</v>
      </c>
      <c r="H34" s="28">
        <f t="shared" si="0"/>
        <v>20.66</v>
      </c>
      <c r="I34" s="28">
        <f t="shared" si="0"/>
        <v>0.56000000000000005</v>
      </c>
      <c r="J34" s="28">
        <f t="shared" si="0"/>
        <v>0.10000000000000001</v>
      </c>
      <c r="K34" s="28">
        <f t="shared" si="0"/>
        <v>66.709999999999994</v>
      </c>
      <c r="L34" s="28">
        <f t="shared" si="0"/>
        <v>21.399999999999999</v>
      </c>
      <c r="M34" s="28">
        <f t="shared" si="0"/>
        <v>17.859999999999999</v>
      </c>
      <c r="N34" s="28">
        <f t="shared" si="0"/>
        <v>4.5</v>
      </c>
      <c r="O34" s="28">
        <f t="shared" si="0"/>
        <v>0</v>
      </c>
      <c r="P34" s="28">
        <f t="shared" si="0"/>
        <v>0.93999999999999995</v>
      </c>
      <c r="Q34" s="28">
        <f t="shared" si="0"/>
        <v>31.25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136.75</v>
      </c>
      <c r="C35" s="29">
        <f t="shared" si="1"/>
        <v>133.53</v>
      </c>
      <c r="D35" s="29">
        <f t="shared" si="1"/>
        <v>177.36000000000001</v>
      </c>
      <c r="E35" s="29">
        <f t="shared" si="1"/>
        <v>5.1799999999999997</v>
      </c>
      <c r="F35" s="29">
        <f t="shared" si="1"/>
        <v>5.6600000000000001</v>
      </c>
      <c r="G35" s="29">
        <f t="shared" si="1"/>
        <v>197.62</v>
      </c>
      <c r="H35" s="29">
        <f t="shared" si="1"/>
        <v>51.82</v>
      </c>
      <c r="I35" s="29">
        <f t="shared" si="1"/>
        <v>1.6399999999999999</v>
      </c>
      <c r="J35" s="29">
        <f t="shared" si="1"/>
        <v>1.72</v>
      </c>
      <c r="K35" s="29">
        <f t="shared" si="1"/>
        <v>359.5</v>
      </c>
      <c r="L35" s="29">
        <f t="shared" si="1"/>
        <v>36.359999999999999</v>
      </c>
      <c r="M35" s="29">
        <f t="shared" si="1"/>
        <v>62.140000000000001</v>
      </c>
      <c r="N35" s="29">
        <f t="shared" si="1"/>
        <v>832.60000000000002</v>
      </c>
      <c r="O35" s="29">
        <f t="shared" si="1"/>
        <v>0</v>
      </c>
      <c r="P35" s="29">
        <f t="shared" si="1"/>
        <v>3.8300000000000001</v>
      </c>
      <c r="Q35" s="29">
        <f t="shared" si="1"/>
        <v>41.359999999999999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28.171250000000001</v>
      </c>
      <c r="C36" s="28">
        <f t="shared" si="2"/>
        <v>117.10458333333332</v>
      </c>
      <c r="D36" s="28">
        <f t="shared" si="2"/>
        <v>85.807083333333352</v>
      </c>
      <c r="E36" s="28">
        <f t="shared" si="2"/>
        <v>4.1008333333333331</v>
      </c>
      <c r="F36" s="28">
        <f t="shared" si="2"/>
        <v>3.7050000000000001</v>
      </c>
      <c r="G36" s="28">
        <f t="shared" si="2"/>
        <v>98.723749999999981</v>
      </c>
      <c r="H36" s="28">
        <f t="shared" si="2"/>
        <v>37.009583333333332</v>
      </c>
      <c r="I36" s="28">
        <f t="shared" si="2"/>
        <v>0.83833333333333326</v>
      </c>
      <c r="J36" s="28">
        <f t="shared" si="2"/>
        <v>0.51124999999999998</v>
      </c>
      <c r="K36" s="28">
        <f t="shared" si="2"/>
        <v>238.77750000000003</v>
      </c>
      <c r="L36" s="28">
        <f t="shared" si="2"/>
        <v>28.767083333333336</v>
      </c>
      <c r="M36" s="28">
        <f t="shared" si="2"/>
        <v>41.244583333333331</v>
      </c>
      <c r="N36" s="28">
        <f t="shared" si="2"/>
        <v>251.52916666666667</v>
      </c>
      <c r="O36" s="28">
        <f t="shared" si="2"/>
        <v>0</v>
      </c>
      <c r="P36" s="28">
        <f t="shared" si="2"/>
        <v>1.7262500000000005</v>
      </c>
      <c r="Q36" s="28">
        <f t="shared" si="2"/>
        <v>35.753333333333337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33.471024238689743</v>
      </c>
      <c r="C37" s="28">
        <f t="shared" si="3" ref="C37:Q37">STDEV(C9:C32)</f>
        <v>10.176824045100133</v>
      </c>
      <c r="D37" s="28">
        <f t="shared" si="3"/>
        <v>29.423773806842483</v>
      </c>
      <c r="E37" s="28">
        <f t="shared" si="3"/>
        <v>0.68780632174463863</v>
      </c>
      <c r="F37" s="28">
        <f t="shared" si="3"/>
        <v>0.81009929611450693</v>
      </c>
      <c r="G37" s="28">
        <f t="shared" si="3"/>
        <v>54.99939349962046</v>
      </c>
      <c r="H37" s="28">
        <f t="shared" si="3"/>
        <v>9.0768360122211078</v>
      </c>
      <c r="I37" s="28">
        <f t="shared" si="3"/>
        <v>0.33017342829734686</v>
      </c>
      <c r="J37" s="28">
        <f t="shared" si="3"/>
        <v>0.35390139255472564</v>
      </c>
      <c r="K37" s="28">
        <f t="shared" si="3"/>
        <v>113.51472274746901</v>
      </c>
      <c r="L37" s="28">
        <f t="shared" si="3"/>
        <v>5.2883485374569492</v>
      </c>
      <c r="M37" s="28">
        <f t="shared" si="3"/>
        <v>14.658321565690528</v>
      </c>
      <c r="N37" s="28">
        <f t="shared" si="3"/>
        <v>323.0709727910338</v>
      </c>
      <c r="O37" s="28">
        <f t="shared" si="3"/>
        <v>0</v>
      </c>
      <c r="P37" s="28">
        <f t="shared" si="3"/>
        <v>0.91290655029154799</v>
      </c>
      <c r="Q37" s="28">
        <f t="shared" si="3"/>
        <v>2.2090617065143556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landscape" paperSize="9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1a4e211-5a3d-437f-8cc2-83e7f34a0ca1}">
  <sheetPr codeName=""/>
  <dimension ref="A1:U119"/>
  <sheetViews>
    <sheetView workbookViewId="0" topLeftCell="A1">
      <pane xSplit="2" ySplit="8" topLeftCell="C30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43" sqref="H4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12-03-2023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49" t="s">
        <v>327</v>
      </c>
      <c r="B9" s="50">
        <v>142.65</v>
      </c>
      <c r="C9" s="50">
        <v>122.37</v>
      </c>
      <c r="D9" s="50">
        <v>180.46</v>
      </c>
      <c r="E9" s="50">
        <v>5.92</v>
      </c>
      <c r="F9" s="50">
        <v>3.66</v>
      </c>
      <c r="G9" s="50">
        <v>163.76</v>
      </c>
      <c r="H9" s="50">
        <v>51.91</v>
      </c>
      <c r="I9" s="50">
        <v>1.33</v>
      </c>
      <c r="J9" s="50">
        <v>0.22</v>
      </c>
      <c r="K9" s="50">
        <v>330.55</v>
      </c>
      <c r="L9" s="50">
        <v>23.56</v>
      </c>
      <c r="M9" s="50">
        <v>56.16</v>
      </c>
      <c r="N9" s="50">
        <v>4.9000000000000004</v>
      </c>
      <c r="O9" s="50">
        <v>0</v>
      </c>
      <c r="P9" s="50">
        <v>2.4500000000000002</v>
      </c>
      <c r="Q9" s="50">
        <v>43</v>
      </c>
      <c r="R9" s="43"/>
      <c r="S9" s="43"/>
      <c r="T9" s="43"/>
      <c r="U9" s="43"/>
    </row>
    <row r="10" spans="1:21" s="11" customFormat="1" ht="15">
      <c r="A10" s="49" t="s">
        <v>328</v>
      </c>
      <c r="B10" s="50">
        <v>133.69999999999999</v>
      </c>
      <c r="C10" s="50">
        <v>117.66</v>
      </c>
      <c r="D10" s="50">
        <v>171.19</v>
      </c>
      <c r="E10" s="50">
        <v>5.89</v>
      </c>
      <c r="F10" s="50">
        <v>3.20</v>
      </c>
      <c r="G10" s="50">
        <v>106.81</v>
      </c>
      <c r="H10" s="50">
        <v>44.68</v>
      </c>
      <c r="I10" s="50">
        <v>1.32</v>
      </c>
      <c r="J10" s="50">
        <v>0.37</v>
      </c>
      <c r="K10" s="50">
        <v>303.11</v>
      </c>
      <c r="L10" s="50">
        <v>23.33</v>
      </c>
      <c r="M10" s="50">
        <v>54.58</v>
      </c>
      <c r="N10" s="50">
        <v>4.5999999999999996</v>
      </c>
      <c r="O10" s="50">
        <v>0</v>
      </c>
      <c r="P10" s="50">
        <v>2.13</v>
      </c>
      <c r="Q10" s="50">
        <v>42.55</v>
      </c>
      <c r="R10" s="43"/>
      <c r="S10" s="43"/>
      <c r="T10" s="43"/>
      <c r="U10" s="43"/>
    </row>
    <row r="11" spans="1:21" s="11" customFormat="1" ht="15">
      <c r="A11" s="49" t="s">
        <v>329</v>
      </c>
      <c r="B11" s="50">
        <v>105.35</v>
      </c>
      <c r="C11" s="50">
        <v>113.55</v>
      </c>
      <c r="D11" s="50">
        <v>146.19</v>
      </c>
      <c r="E11" s="50">
        <v>5.51</v>
      </c>
      <c r="F11" s="50">
        <v>3.64</v>
      </c>
      <c r="G11" s="50">
        <v>89.83</v>
      </c>
      <c r="H11" s="50">
        <v>40.25</v>
      </c>
      <c r="I11" s="50">
        <v>1.21</v>
      </c>
      <c r="J11" s="50">
        <v>0.22</v>
      </c>
      <c r="K11" s="50">
        <v>355.47</v>
      </c>
      <c r="L11" s="50">
        <v>23.01</v>
      </c>
      <c r="M11" s="50">
        <v>56.67</v>
      </c>
      <c r="N11" s="50">
        <v>5.20</v>
      </c>
      <c r="O11" s="50">
        <v>0</v>
      </c>
      <c r="P11" s="50">
        <v>1.67</v>
      </c>
      <c r="Q11" s="50">
        <v>40.11</v>
      </c>
      <c r="R11" s="43"/>
      <c r="S11" s="43"/>
      <c r="T11" s="43"/>
      <c r="U11" s="43"/>
    </row>
    <row r="12" spans="1:21" s="11" customFormat="1" ht="15">
      <c r="A12" s="49" t="s">
        <v>330</v>
      </c>
      <c r="B12" s="50">
        <v>87.90</v>
      </c>
      <c r="C12" s="50">
        <v>109.95</v>
      </c>
      <c r="D12" s="50">
        <v>130.21</v>
      </c>
      <c r="E12" s="50">
        <v>5.23</v>
      </c>
      <c r="F12" s="50">
        <v>2.65</v>
      </c>
      <c r="G12" s="50">
        <v>50.68</v>
      </c>
      <c r="H12" s="50">
        <v>32.200000000000003</v>
      </c>
      <c r="I12" s="50">
        <v>0.93</v>
      </c>
      <c r="J12" s="50">
        <v>0.37</v>
      </c>
      <c r="K12" s="50">
        <v>336.11</v>
      </c>
      <c r="L12" s="50">
        <v>21.46</v>
      </c>
      <c r="M12" s="50">
        <v>59.08</v>
      </c>
      <c r="N12" s="50">
        <v>4.9000000000000004</v>
      </c>
      <c r="O12" s="50">
        <v>0</v>
      </c>
      <c r="P12" s="50">
        <v>1.55</v>
      </c>
      <c r="Q12" s="50">
        <v>38.69</v>
      </c>
      <c r="R12" s="43"/>
      <c r="S12" s="43"/>
      <c r="T12" s="43"/>
      <c r="U12" s="43"/>
    </row>
    <row r="13" spans="1:21" s="11" customFormat="1" ht="15">
      <c r="A13" s="49" t="s">
        <v>331</v>
      </c>
      <c r="B13" s="50">
        <v>72.17</v>
      </c>
      <c r="C13" s="50">
        <v>107.88</v>
      </c>
      <c r="D13" s="50">
        <v>116.45</v>
      </c>
      <c r="E13" s="50">
        <v>5.04</v>
      </c>
      <c r="F13" s="50">
        <v>3.26</v>
      </c>
      <c r="G13" s="50">
        <v>102.85</v>
      </c>
      <c r="H13" s="50">
        <v>39.35</v>
      </c>
      <c r="I13" s="50">
        <v>0.96</v>
      </c>
      <c r="J13" s="50">
        <v>0.67</v>
      </c>
      <c r="K13" s="50">
        <v>359.65</v>
      </c>
      <c r="L13" s="50">
        <v>21.45</v>
      </c>
      <c r="M13" s="50">
        <v>52.91</v>
      </c>
      <c r="N13" s="50">
        <v>4.4000000000000004</v>
      </c>
      <c r="O13" s="50">
        <v>0</v>
      </c>
      <c r="P13" s="50">
        <v>1.51</v>
      </c>
      <c r="Q13" s="50">
        <v>38.950000000000003</v>
      </c>
      <c r="R13" s="43"/>
      <c r="S13" s="43"/>
      <c r="T13" s="43"/>
      <c r="U13" s="43"/>
    </row>
    <row r="14" spans="1:21" s="11" customFormat="1" ht="15">
      <c r="A14" s="49" t="s">
        <v>332</v>
      </c>
      <c r="B14" s="50">
        <v>57.76</v>
      </c>
      <c r="C14" s="50">
        <v>108.28</v>
      </c>
      <c r="D14" s="50">
        <v>104.84</v>
      </c>
      <c r="E14" s="50">
        <v>4.8600000000000003</v>
      </c>
      <c r="F14" s="50">
        <v>4.08</v>
      </c>
      <c r="G14" s="50">
        <v>144.13</v>
      </c>
      <c r="H14" s="50">
        <v>48.27</v>
      </c>
      <c r="I14" s="50">
        <v>0.83</v>
      </c>
      <c r="J14" s="50">
        <v>0.36</v>
      </c>
      <c r="K14" s="50">
        <v>94.16</v>
      </c>
      <c r="L14" s="50">
        <v>21.95</v>
      </c>
      <c r="M14" s="50">
        <v>52.09</v>
      </c>
      <c r="N14" s="50">
        <v>4.80</v>
      </c>
      <c r="O14" s="50">
        <v>0</v>
      </c>
      <c r="P14" s="50">
        <v>1.49</v>
      </c>
      <c r="Q14" s="50">
        <v>37.49</v>
      </c>
      <c r="R14" s="43"/>
      <c r="S14" s="43"/>
      <c r="T14" s="43"/>
      <c r="U14" s="43"/>
    </row>
    <row r="15" spans="1:21" s="11" customFormat="1" ht="15">
      <c r="A15" s="49" t="s">
        <v>333</v>
      </c>
      <c r="B15" s="50">
        <v>49.56</v>
      </c>
      <c r="C15" s="50">
        <v>107.44</v>
      </c>
      <c r="D15" s="50">
        <v>98.08</v>
      </c>
      <c r="E15" s="50">
        <v>4.25</v>
      </c>
      <c r="F15" s="50">
        <v>3.10</v>
      </c>
      <c r="G15" s="50">
        <v>146.29</v>
      </c>
      <c r="H15" s="50">
        <v>48.78</v>
      </c>
      <c r="I15" s="50">
        <v>0.78</v>
      </c>
      <c r="J15" s="50">
        <v>0.39</v>
      </c>
      <c r="K15" s="50">
        <v>127.31</v>
      </c>
      <c r="L15" s="50">
        <v>22.13</v>
      </c>
      <c r="M15" s="50">
        <v>59.98</v>
      </c>
      <c r="N15" s="50">
        <v>74.5</v>
      </c>
      <c r="O15" s="50">
        <v>0</v>
      </c>
      <c r="P15" s="50">
        <v>1.46</v>
      </c>
      <c r="Q15" s="50">
        <v>35.83</v>
      </c>
      <c r="R15" s="43"/>
      <c r="S15" s="43"/>
      <c r="T15" s="43"/>
      <c r="U15" s="43"/>
    </row>
    <row r="16" spans="1:21" s="11" customFormat="1" ht="15">
      <c r="A16" s="49" t="s">
        <v>334</v>
      </c>
      <c r="B16" s="50">
        <v>51.30</v>
      </c>
      <c r="C16" s="50">
        <v>109.94</v>
      </c>
      <c r="D16" s="50">
        <v>99.81</v>
      </c>
      <c r="E16" s="50">
        <v>4.01</v>
      </c>
      <c r="F16" s="50">
        <v>3.10</v>
      </c>
      <c r="G16" s="50">
        <v>107.39</v>
      </c>
      <c r="H16" s="50">
        <v>42.94</v>
      </c>
      <c r="I16" s="50">
        <v>0.76</v>
      </c>
      <c r="J16" s="50">
        <v>0.56000000000000005</v>
      </c>
      <c r="K16" s="50">
        <v>103.08</v>
      </c>
      <c r="L16" s="50">
        <v>26.93</v>
      </c>
      <c r="M16" s="50">
        <v>50.67</v>
      </c>
      <c r="N16" s="50">
        <v>274.20</v>
      </c>
      <c r="O16" s="50">
        <v>0</v>
      </c>
      <c r="P16" s="50">
        <v>1.42</v>
      </c>
      <c r="Q16" s="50">
        <v>36.99</v>
      </c>
      <c r="R16" s="43"/>
      <c r="S16" s="43"/>
      <c r="T16" s="43"/>
      <c r="U16" s="43"/>
    </row>
    <row r="17" spans="1:21" s="11" customFormat="1" ht="15">
      <c r="A17" s="49" t="s">
        <v>335</v>
      </c>
      <c r="B17" s="50">
        <v>47.90</v>
      </c>
      <c r="C17" s="50">
        <v>117.60</v>
      </c>
      <c r="D17" s="50">
        <v>98.74</v>
      </c>
      <c r="E17" s="50">
        <v>4.42</v>
      </c>
      <c r="F17" s="50">
        <v>3.05</v>
      </c>
      <c r="G17" s="50">
        <v>108.21</v>
      </c>
      <c r="H17" s="50">
        <v>43.48</v>
      </c>
      <c r="I17" s="50">
        <v>0.75</v>
      </c>
      <c r="J17" s="50">
        <v>1.60</v>
      </c>
      <c r="K17" s="50">
        <v>107.51</v>
      </c>
      <c r="L17" s="50">
        <v>28.74</v>
      </c>
      <c r="M17" s="50">
        <v>36.74</v>
      </c>
      <c r="N17" s="50">
        <v>512.29999999999995</v>
      </c>
      <c r="O17" s="50">
        <v>0</v>
      </c>
      <c r="P17" s="50">
        <v>1.35</v>
      </c>
      <c r="Q17" s="50">
        <v>36.49</v>
      </c>
      <c r="R17" s="43"/>
      <c r="S17" s="43"/>
      <c r="T17" s="43"/>
      <c r="U17" s="43"/>
    </row>
    <row r="18" spans="1:21" s="11" customFormat="1" ht="15">
      <c r="A18" s="49" t="s">
        <v>336</v>
      </c>
      <c r="B18" s="50">
        <v>35.04</v>
      </c>
      <c r="C18" s="50">
        <v>117.99</v>
      </c>
      <c r="D18" s="50">
        <v>92.25</v>
      </c>
      <c r="E18" s="50">
        <v>4.83</v>
      </c>
      <c r="F18" s="50">
        <v>3.84</v>
      </c>
      <c r="G18" s="50">
        <v>95.37</v>
      </c>
      <c r="H18" s="50">
        <v>43.5</v>
      </c>
      <c r="I18" s="50">
        <v>0.70</v>
      </c>
      <c r="J18" s="50">
        <v>0.97</v>
      </c>
      <c r="K18" s="50">
        <v>99.78</v>
      </c>
      <c r="L18" s="50">
        <v>30.54</v>
      </c>
      <c r="M18" s="50">
        <v>34.630000000000003</v>
      </c>
      <c r="N18" s="50">
        <v>700.60</v>
      </c>
      <c r="O18" s="50">
        <v>0</v>
      </c>
      <c r="P18" s="50">
        <v>1.21</v>
      </c>
      <c r="Q18" s="50">
        <v>35.42</v>
      </c>
      <c r="R18" s="43"/>
      <c r="S18" s="43"/>
      <c r="T18" s="43"/>
      <c r="U18" s="43"/>
    </row>
    <row r="19" spans="1:21" s="11" customFormat="1" ht="15">
      <c r="A19" s="49" t="s">
        <v>337</v>
      </c>
      <c r="B19" s="50">
        <v>24.56</v>
      </c>
      <c r="C19" s="50">
        <v>119.38</v>
      </c>
      <c r="D19" s="50">
        <v>83.47</v>
      </c>
      <c r="E19" s="50">
        <v>3.86</v>
      </c>
      <c r="F19" s="50">
        <v>4.83</v>
      </c>
      <c r="G19" s="50">
        <v>96.33</v>
      </c>
      <c r="H19" s="50">
        <v>41.82</v>
      </c>
      <c r="I19" s="50">
        <v>0.64</v>
      </c>
      <c r="J19" s="50">
        <v>0.68</v>
      </c>
      <c r="K19" s="50">
        <v>67.47</v>
      </c>
      <c r="L19" s="50">
        <v>37.619999999999997</v>
      </c>
      <c r="M19" s="50">
        <v>28.70</v>
      </c>
      <c r="N19" s="50">
        <v>796.40</v>
      </c>
      <c r="O19" s="50">
        <v>0</v>
      </c>
      <c r="P19" s="50">
        <v>1.07</v>
      </c>
      <c r="Q19" s="50">
        <v>32.64</v>
      </c>
      <c r="R19" s="43"/>
      <c r="S19" s="43"/>
      <c r="T19" s="43"/>
      <c r="U19" s="43"/>
    </row>
    <row r="20" spans="1:21" s="11" customFormat="1" ht="15">
      <c r="A20" s="49" t="s">
        <v>338</v>
      </c>
      <c r="B20" s="50">
        <v>14.91</v>
      </c>
      <c r="C20" s="50">
        <v>126.42</v>
      </c>
      <c r="D20" s="50">
        <v>78.31</v>
      </c>
      <c r="E20" s="50">
        <v>4.22</v>
      </c>
      <c r="F20" s="50">
        <v>4.08</v>
      </c>
      <c r="G20" s="50">
        <v>67.349999999999994</v>
      </c>
      <c r="H20" s="50">
        <v>37.47</v>
      </c>
      <c r="I20" s="50">
        <v>0.65</v>
      </c>
      <c r="J20" s="50">
        <v>0.41</v>
      </c>
      <c r="K20" s="50">
        <v>220.57</v>
      </c>
      <c r="L20" s="50">
        <v>36.880000000000003</v>
      </c>
      <c r="M20" s="50">
        <v>23.48</v>
      </c>
      <c r="N20" s="50">
        <v>890.40</v>
      </c>
      <c r="O20" s="50">
        <v>0</v>
      </c>
      <c r="P20" s="50">
        <v>1.06</v>
      </c>
      <c r="Q20" s="50">
        <v>33.96</v>
      </c>
      <c r="R20" s="43"/>
      <c r="S20" s="43"/>
      <c r="T20" s="43"/>
      <c r="U20" s="43"/>
    </row>
    <row r="21" spans="1:21" s="11" customFormat="1" ht="15">
      <c r="A21" s="49" t="s">
        <v>339</v>
      </c>
      <c r="B21" s="50">
        <v>3.09</v>
      </c>
      <c r="C21" s="50">
        <v>123.54</v>
      </c>
      <c r="D21" s="50">
        <v>69.70</v>
      </c>
      <c r="E21" s="50">
        <v>4.1100000000000003</v>
      </c>
      <c r="F21" s="50">
        <v>6.57</v>
      </c>
      <c r="G21" s="50">
        <v>63.15</v>
      </c>
      <c r="H21" s="50">
        <v>35.43</v>
      </c>
      <c r="I21" s="50">
        <v>0.65</v>
      </c>
      <c r="J21" s="50">
        <v>0.89</v>
      </c>
      <c r="K21" s="50">
        <v>201.44</v>
      </c>
      <c r="L21" s="50">
        <v>37.57</v>
      </c>
      <c r="M21" s="50">
        <v>20.399999999999999</v>
      </c>
      <c r="N21" s="50">
        <v>886.60</v>
      </c>
      <c r="O21" s="50">
        <v>0</v>
      </c>
      <c r="P21" s="50">
        <v>0.94</v>
      </c>
      <c r="Q21" s="50">
        <v>32.90</v>
      </c>
      <c r="R21" s="43"/>
      <c r="S21" s="43"/>
      <c r="T21" s="43"/>
      <c r="U21" s="43"/>
    </row>
    <row r="22" spans="1:21" s="11" customFormat="1" ht="15">
      <c r="A22" s="49" t="s">
        <v>340</v>
      </c>
      <c r="B22" s="50">
        <v>3.14</v>
      </c>
      <c r="C22" s="50">
        <v>112.85</v>
      </c>
      <c r="D22" s="50">
        <v>63.60</v>
      </c>
      <c r="E22" s="50">
        <v>3.68</v>
      </c>
      <c r="F22" s="50">
        <v>4.82</v>
      </c>
      <c r="G22" s="50">
        <v>47.48</v>
      </c>
      <c r="H22" s="50">
        <v>29.72</v>
      </c>
      <c r="I22" s="50">
        <v>0.57999999999999996</v>
      </c>
      <c r="J22" s="50">
        <v>0.90</v>
      </c>
      <c r="K22" s="50">
        <v>122.42</v>
      </c>
      <c r="L22" s="50">
        <v>37.01</v>
      </c>
      <c r="M22" s="50">
        <v>19.059999999999999</v>
      </c>
      <c r="N22" s="50">
        <v>800</v>
      </c>
      <c r="O22" s="50">
        <v>0</v>
      </c>
      <c r="P22" s="50">
        <v>0.77</v>
      </c>
      <c r="Q22" s="50">
        <v>31.75</v>
      </c>
      <c r="R22" s="43"/>
      <c r="S22" s="43"/>
      <c r="T22" s="43"/>
      <c r="U22" s="43"/>
    </row>
    <row r="23" spans="1:21" s="11" customFormat="1" ht="15">
      <c r="A23" s="49" t="s">
        <v>341</v>
      </c>
      <c r="B23" s="50">
        <v>3.14</v>
      </c>
      <c r="C23" s="50">
        <v>107.5</v>
      </c>
      <c r="D23" s="50">
        <v>60.88</v>
      </c>
      <c r="E23" s="50">
        <v>4.04</v>
      </c>
      <c r="F23" s="50">
        <v>5.61</v>
      </c>
      <c r="G23" s="50">
        <v>47.90</v>
      </c>
      <c r="H23" s="50">
        <v>23.75</v>
      </c>
      <c r="I23" s="50">
        <v>0.70</v>
      </c>
      <c r="J23" s="50">
        <v>0.96</v>
      </c>
      <c r="K23" s="50">
        <v>31.29</v>
      </c>
      <c r="L23" s="50">
        <v>38.89</v>
      </c>
      <c r="M23" s="50">
        <v>14.31</v>
      </c>
      <c r="N23" s="50">
        <v>674.80</v>
      </c>
      <c r="O23" s="50">
        <v>0</v>
      </c>
      <c r="P23" s="50">
        <v>0.80</v>
      </c>
      <c r="Q23" s="50">
        <v>31.38</v>
      </c>
      <c r="R23" s="43"/>
      <c r="S23" s="43"/>
      <c r="T23" s="43"/>
      <c r="U23" s="43"/>
    </row>
    <row r="24" spans="1:21" s="11" customFormat="1" ht="15">
      <c r="A24" s="49" t="s">
        <v>342</v>
      </c>
      <c r="B24" s="50">
        <v>2.60</v>
      </c>
      <c r="C24" s="50">
        <v>101.98</v>
      </c>
      <c r="D24" s="50">
        <v>57.40</v>
      </c>
      <c r="E24" s="50">
        <v>3.85</v>
      </c>
      <c r="F24" s="50">
        <v>5.14</v>
      </c>
      <c r="G24" s="50">
        <v>43.23</v>
      </c>
      <c r="H24" s="50">
        <v>22.74</v>
      </c>
      <c r="I24" s="50">
        <v>0.60</v>
      </c>
      <c r="J24" s="50">
        <v>0.90</v>
      </c>
      <c r="K24" s="50">
        <v>24.31</v>
      </c>
      <c r="L24" s="50">
        <v>37.43</v>
      </c>
      <c r="M24" s="50">
        <v>14.83</v>
      </c>
      <c r="N24" s="50">
        <v>503.80</v>
      </c>
      <c r="O24" s="50">
        <v>0</v>
      </c>
      <c r="P24" s="50">
        <v>0.67</v>
      </c>
      <c r="Q24" s="50">
        <v>31.23</v>
      </c>
      <c r="R24" s="43"/>
      <c r="S24" s="43"/>
      <c r="T24" s="43"/>
      <c r="U24" s="43"/>
    </row>
    <row r="25" spans="1:21" s="11" customFormat="1" ht="15">
      <c r="A25" s="49" t="s">
        <v>343</v>
      </c>
      <c r="B25" s="50">
        <v>3.24</v>
      </c>
      <c r="C25" s="50">
        <v>101</v>
      </c>
      <c r="D25" s="50">
        <v>57.38</v>
      </c>
      <c r="E25" s="50">
        <v>4.1900000000000004</v>
      </c>
      <c r="F25" s="50">
        <v>8.41</v>
      </c>
      <c r="G25" s="50">
        <v>34.01</v>
      </c>
      <c r="H25" s="50">
        <v>20.61</v>
      </c>
      <c r="I25" s="50">
        <v>0.57999999999999996</v>
      </c>
      <c r="J25" s="50">
        <v>0.56000000000000005</v>
      </c>
      <c r="K25" s="50">
        <v>185</v>
      </c>
      <c r="L25" s="50">
        <v>35.42</v>
      </c>
      <c r="M25" s="50">
        <v>17.78</v>
      </c>
      <c r="N25" s="50">
        <v>190.30</v>
      </c>
      <c r="O25" s="50">
        <v>0</v>
      </c>
      <c r="P25" s="50">
        <v>0.68</v>
      </c>
      <c r="Q25" s="50">
        <v>30.16</v>
      </c>
      <c r="R25" s="43"/>
      <c r="S25" s="43"/>
      <c r="T25" s="43"/>
      <c r="U25" s="43"/>
    </row>
    <row r="26" spans="1:21" s="11" customFormat="1" ht="15">
      <c r="A26" s="49" t="s">
        <v>344</v>
      </c>
      <c r="B26" s="50">
        <v>5.44</v>
      </c>
      <c r="C26" s="50">
        <v>105.24</v>
      </c>
      <c r="D26" s="50">
        <v>61.48</v>
      </c>
      <c r="E26" s="50">
        <v>3.66</v>
      </c>
      <c r="F26" s="50">
        <v>5.49</v>
      </c>
      <c r="G26" s="50">
        <v>34.200000000000003</v>
      </c>
      <c r="H26" s="50">
        <v>21.67</v>
      </c>
      <c r="I26" s="50">
        <v>0.52</v>
      </c>
      <c r="J26" s="50">
        <v>0.94</v>
      </c>
      <c r="K26" s="50">
        <v>36.770000000000003</v>
      </c>
      <c r="L26" s="50">
        <v>33.60</v>
      </c>
      <c r="M26" s="50">
        <v>21.22</v>
      </c>
      <c r="N26" s="50">
        <v>59.90</v>
      </c>
      <c r="O26" s="50">
        <v>0</v>
      </c>
      <c r="P26" s="50">
        <v>1.1100000000000001</v>
      </c>
      <c r="Q26" s="50">
        <v>29.52</v>
      </c>
      <c r="R26" s="43"/>
      <c r="S26" s="43"/>
      <c r="T26" s="43"/>
      <c r="U26" s="43"/>
    </row>
    <row r="27" spans="1:21" s="11" customFormat="1" ht="15">
      <c r="A27" s="49" t="s">
        <v>345</v>
      </c>
      <c r="B27" s="50">
        <v>12.75</v>
      </c>
      <c r="C27" s="50">
        <v>117.05</v>
      </c>
      <c r="D27" s="50">
        <v>73.86</v>
      </c>
      <c r="E27" s="50">
        <v>4.07</v>
      </c>
      <c r="F27" s="50">
        <v>4.32</v>
      </c>
      <c r="G27" s="50">
        <v>59.43</v>
      </c>
      <c r="H27" s="50">
        <v>21.82</v>
      </c>
      <c r="I27" s="50">
        <v>0.69</v>
      </c>
      <c r="J27" s="50">
        <v>0.31</v>
      </c>
      <c r="K27" s="50">
        <v>275.35000000000002</v>
      </c>
      <c r="L27" s="50">
        <v>30.82</v>
      </c>
      <c r="M27" s="50">
        <v>30.59</v>
      </c>
      <c r="N27" s="50">
        <v>7.40</v>
      </c>
      <c r="O27" s="50">
        <v>0</v>
      </c>
      <c r="P27" s="50">
        <v>1.29</v>
      </c>
      <c r="Q27" s="50">
        <v>32.26</v>
      </c>
      <c r="R27" s="43"/>
      <c r="S27" s="43"/>
      <c r="T27" s="43"/>
      <c r="U27" s="43"/>
    </row>
    <row r="28" spans="1:21" s="11" customFormat="1" ht="15">
      <c r="A28" s="49" t="s">
        <v>346</v>
      </c>
      <c r="B28" s="50">
        <v>35.01</v>
      </c>
      <c r="C28" s="50">
        <v>127.76</v>
      </c>
      <c r="D28" s="50">
        <v>97.62</v>
      </c>
      <c r="E28" s="50">
        <v>4.07</v>
      </c>
      <c r="F28" s="50">
        <v>3.10</v>
      </c>
      <c r="G28" s="50">
        <v>91.98</v>
      </c>
      <c r="H28" s="50">
        <v>25.57</v>
      </c>
      <c r="I28" s="50">
        <v>1.06</v>
      </c>
      <c r="J28" s="50">
        <v>0.18</v>
      </c>
      <c r="K28" s="50">
        <v>118.80</v>
      </c>
      <c r="L28" s="50">
        <v>28.17</v>
      </c>
      <c r="M28" s="50">
        <v>41.01</v>
      </c>
      <c r="N28" s="50">
        <v>5.0999999999999996</v>
      </c>
      <c r="O28" s="50">
        <v>0</v>
      </c>
      <c r="P28" s="50">
        <v>4.8499999999999996</v>
      </c>
      <c r="Q28" s="50">
        <v>33.590000000000003</v>
      </c>
      <c r="R28" s="43"/>
      <c r="S28" s="43"/>
      <c r="T28" s="43"/>
      <c r="U28" s="43"/>
    </row>
    <row r="29" spans="1:21" s="11" customFormat="1" ht="15">
      <c r="A29" s="49" t="s">
        <v>347</v>
      </c>
      <c r="B29" s="50">
        <v>55.80</v>
      </c>
      <c r="C29" s="50">
        <v>127.57</v>
      </c>
      <c r="D29" s="50">
        <v>113.29</v>
      </c>
      <c r="E29" s="50">
        <v>3.72</v>
      </c>
      <c r="F29" s="50">
        <v>3.19</v>
      </c>
      <c r="G29" s="50">
        <v>175.05</v>
      </c>
      <c r="H29" s="50">
        <v>36.479999999999997</v>
      </c>
      <c r="I29" s="50">
        <v>1.86</v>
      </c>
      <c r="J29" s="50">
        <v>0.57999999999999996</v>
      </c>
      <c r="K29" s="50">
        <v>294.52</v>
      </c>
      <c r="L29" s="50">
        <v>27.55</v>
      </c>
      <c r="M29" s="50">
        <v>43.18</v>
      </c>
      <c r="N29" s="50">
        <v>4.80</v>
      </c>
      <c r="O29" s="50">
        <v>0</v>
      </c>
      <c r="P29" s="50">
        <v>4.7300000000000004</v>
      </c>
      <c r="Q29" s="50">
        <v>34.68</v>
      </c>
      <c r="R29" s="43"/>
      <c r="S29" s="43"/>
      <c r="T29" s="43"/>
      <c r="U29" s="43"/>
    </row>
    <row r="30" spans="1:21" s="11" customFormat="1" ht="15">
      <c r="A30" s="49" t="s">
        <v>348</v>
      </c>
      <c r="B30" s="50">
        <v>70.89</v>
      </c>
      <c r="C30" s="50">
        <v>127.35</v>
      </c>
      <c r="D30" s="50">
        <v>126.17</v>
      </c>
      <c r="E30" s="50">
        <v>4.6900000000000004</v>
      </c>
      <c r="F30" s="50">
        <v>3.33</v>
      </c>
      <c r="G30" s="50">
        <v>178.85</v>
      </c>
      <c r="H30" s="50">
        <v>44.97</v>
      </c>
      <c r="I30" s="50">
        <v>1.73</v>
      </c>
      <c r="J30" s="50">
        <v>0.32</v>
      </c>
      <c r="K30" s="50">
        <v>343.18</v>
      </c>
      <c r="L30" s="50">
        <v>27.09</v>
      </c>
      <c r="M30" s="50">
        <v>42.75</v>
      </c>
      <c r="N30" s="50">
        <v>4.9000000000000004</v>
      </c>
      <c r="O30" s="50">
        <v>0</v>
      </c>
      <c r="P30" s="50">
        <v>3.65</v>
      </c>
      <c r="Q30" s="50">
        <v>37.43</v>
      </c>
      <c r="R30" s="43"/>
      <c r="S30" s="43"/>
      <c r="T30" s="43"/>
      <c r="U30" s="43"/>
    </row>
    <row r="31" spans="1:21" s="11" customFormat="1" ht="15">
      <c r="A31" s="49" t="s">
        <v>349</v>
      </c>
      <c r="B31" s="50">
        <v>85.53</v>
      </c>
      <c r="C31" s="50">
        <v>127.05</v>
      </c>
      <c r="D31" s="50">
        <v>137.71</v>
      </c>
      <c r="E31" s="50">
        <v>4.70</v>
      </c>
      <c r="F31" s="50">
        <v>3.24</v>
      </c>
      <c r="G31" s="50">
        <v>156.24</v>
      </c>
      <c r="H31" s="50">
        <v>45.79</v>
      </c>
      <c r="I31" s="50">
        <v>1.37</v>
      </c>
      <c r="J31" s="50">
        <v>0.09</v>
      </c>
      <c r="K31" s="50">
        <v>345.43</v>
      </c>
      <c r="L31" s="50">
        <v>25</v>
      </c>
      <c r="M31" s="50">
        <v>48.74</v>
      </c>
      <c r="N31" s="50">
        <v>4.9000000000000004</v>
      </c>
      <c r="O31" s="50">
        <v>0</v>
      </c>
      <c r="P31" s="50">
        <v>2.38</v>
      </c>
      <c r="Q31" s="50">
        <v>38.840000000000003</v>
      </c>
      <c r="R31" s="43"/>
      <c r="S31" s="43"/>
      <c r="T31" s="43"/>
      <c r="U31" s="43"/>
    </row>
    <row r="32" spans="1:21" s="11" customFormat="1" ht="15">
      <c r="A32" s="49" t="s">
        <v>350</v>
      </c>
      <c r="B32" s="50">
        <v>94.84</v>
      </c>
      <c r="C32" s="50">
        <v>126.62</v>
      </c>
      <c r="D32" s="50">
        <v>144.32</v>
      </c>
      <c r="E32" s="50">
        <v>5.09</v>
      </c>
      <c r="F32" s="50">
        <v>2.88</v>
      </c>
      <c r="G32" s="50">
        <v>137.47999999999999</v>
      </c>
      <c r="H32" s="50">
        <v>45.81</v>
      </c>
      <c r="I32" s="50">
        <v>1.23</v>
      </c>
      <c r="J32" s="50">
        <v>0.14000000000000001</v>
      </c>
      <c r="K32" s="50">
        <v>345.59</v>
      </c>
      <c r="L32" s="50">
        <v>24.96</v>
      </c>
      <c r="M32" s="50">
        <v>47.25</v>
      </c>
      <c r="N32" s="50">
        <v>4.80</v>
      </c>
      <c r="O32" s="50">
        <v>0</v>
      </c>
      <c r="P32" s="50">
        <v>2.34</v>
      </c>
      <c r="Q32" s="50">
        <v>39.07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2.6000000000000001</v>
      </c>
      <c r="C34" s="28">
        <f t="shared" si="0"/>
        <v>101</v>
      </c>
      <c r="D34" s="28">
        <f t="shared" si="0"/>
        <v>57.380000000000003</v>
      </c>
      <c r="E34" s="28">
        <f t="shared" si="0"/>
        <v>3.6600000000000001</v>
      </c>
      <c r="F34" s="28">
        <f t="shared" si="0"/>
        <v>2.6499999999999999</v>
      </c>
      <c r="G34" s="28">
        <f t="shared" si="0"/>
        <v>34.009999999999998</v>
      </c>
      <c r="H34" s="28">
        <f t="shared" si="0"/>
        <v>20.609999999999999</v>
      </c>
      <c r="I34" s="28">
        <f t="shared" si="0"/>
        <v>0.52000000000000002</v>
      </c>
      <c r="J34" s="28">
        <f t="shared" si="0"/>
        <v>0.089999999999999997</v>
      </c>
      <c r="K34" s="28">
        <f t="shared" si="0"/>
        <v>24.309999999999999</v>
      </c>
      <c r="L34" s="28">
        <f t="shared" si="0"/>
        <v>21.449999999999999</v>
      </c>
      <c r="M34" s="28">
        <f t="shared" si="0"/>
        <v>14.31</v>
      </c>
      <c r="N34" s="28">
        <f t="shared" si="0"/>
        <v>4.4000000000000004</v>
      </c>
      <c r="O34" s="28">
        <f t="shared" si="0"/>
        <v>0</v>
      </c>
      <c r="P34" s="28">
        <f t="shared" si="0"/>
        <v>0.67000000000000004</v>
      </c>
      <c r="Q34" s="28">
        <f t="shared" si="0"/>
        <v>29.52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142.65000000000001</v>
      </c>
      <c r="C35" s="29">
        <f t="shared" si="1"/>
        <v>127.76000000000001</v>
      </c>
      <c r="D35" s="29">
        <f t="shared" si="1"/>
        <v>180.46000000000001</v>
      </c>
      <c r="E35" s="29">
        <f t="shared" si="1"/>
        <v>5.9199999999999999</v>
      </c>
      <c r="F35" s="29">
        <f t="shared" si="1"/>
        <v>8.4100000000000001</v>
      </c>
      <c r="G35" s="29">
        <f t="shared" si="1"/>
        <v>178.84999999999999</v>
      </c>
      <c r="H35" s="29">
        <f t="shared" si="1"/>
        <v>51.909999999999997</v>
      </c>
      <c r="I35" s="29">
        <f t="shared" si="1"/>
        <v>1.8600000000000001</v>
      </c>
      <c r="J35" s="29">
        <f t="shared" si="1"/>
        <v>1.6000000000000001</v>
      </c>
      <c r="K35" s="29">
        <f t="shared" si="1"/>
        <v>359.64999999999998</v>
      </c>
      <c r="L35" s="29">
        <f t="shared" si="1"/>
        <v>38.890000000000001</v>
      </c>
      <c r="M35" s="29">
        <f t="shared" si="1"/>
        <v>59.979999999999997</v>
      </c>
      <c r="N35" s="29">
        <f t="shared" si="1"/>
        <v>890.39999999999998</v>
      </c>
      <c r="O35" s="29">
        <f t="shared" si="1"/>
        <v>0</v>
      </c>
      <c r="P35" s="29">
        <f t="shared" si="1"/>
        <v>4.8499999999999996</v>
      </c>
      <c r="Q35" s="29">
        <f t="shared" si="1"/>
        <v>43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49.927916666666654</v>
      </c>
      <c r="C36" s="28">
        <f t="shared" si="2"/>
        <v>115.99875000000002</v>
      </c>
      <c r="D36" s="28">
        <f t="shared" si="2"/>
        <v>102.64208333333335</v>
      </c>
      <c r="E36" s="28">
        <f t="shared" si="2"/>
        <v>4.496249999999999</v>
      </c>
      <c r="F36" s="28">
        <f t="shared" si="2"/>
        <v>4.1079166666666653</v>
      </c>
      <c r="G36" s="28">
        <f t="shared" si="2"/>
        <v>97.833333333333357</v>
      </c>
      <c r="H36" s="28">
        <f t="shared" si="2"/>
        <v>37.042083333333345</v>
      </c>
      <c r="I36" s="28">
        <f t="shared" si="2"/>
        <v>0.93458333333333332</v>
      </c>
      <c r="J36" s="28">
        <f t="shared" si="2"/>
        <v>0.56625000000000003</v>
      </c>
      <c r="K36" s="28">
        <f t="shared" si="2"/>
        <v>201.20291666666671</v>
      </c>
      <c r="L36" s="28">
        <f t="shared" si="2"/>
        <v>29.212916666666668</v>
      </c>
      <c r="M36" s="28">
        <f t="shared" si="2"/>
        <v>38.617083333333333</v>
      </c>
      <c r="N36" s="28">
        <f t="shared" si="2"/>
        <v>267.6875</v>
      </c>
      <c r="O36" s="28">
        <f t="shared" si="2"/>
        <v>0</v>
      </c>
      <c r="P36" s="28">
        <f t="shared" si="2"/>
        <v>1.7741666666666671</v>
      </c>
      <c r="Q36" s="28">
        <f t="shared" si="2"/>
        <v>35.622083333333329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42.280822765550397</v>
      </c>
      <c r="C37" s="28">
        <f t="shared" si="3" ref="C37:Q37">STDEV(C9:C32)</f>
        <v>8.7509623383846549</v>
      </c>
      <c r="D37" s="28">
        <f t="shared" si="3"/>
        <v>35.72160094021379</v>
      </c>
      <c r="E37" s="28">
        <f t="shared" si="3"/>
        <v>0.67537308530013962</v>
      </c>
      <c r="F37" s="28">
        <f t="shared" si="3"/>
        <v>1.3659237332031191</v>
      </c>
      <c r="G37" s="28">
        <f t="shared" si="3"/>
        <v>46.025428006574842</v>
      </c>
      <c r="H37" s="28">
        <f t="shared" si="3"/>
        <v>9.8838797078732892</v>
      </c>
      <c r="I37" s="28">
        <f t="shared" si="3"/>
        <v>0.37395627699164125</v>
      </c>
      <c r="J37" s="28">
        <f t="shared" si="3"/>
        <v>0.35975610699714194</v>
      </c>
      <c r="K37" s="28">
        <f t="shared" si="3"/>
        <v>120.60755000086074</v>
      </c>
      <c r="L37" s="28">
        <f t="shared" si="3"/>
        <v>6.1196152757496387</v>
      </c>
      <c r="M37" s="28">
        <f t="shared" si="3"/>
        <v>15.512221403213612</v>
      </c>
      <c r="N37" s="28">
        <f t="shared" si="3"/>
        <v>343.68077619196714</v>
      </c>
      <c r="O37" s="28">
        <f t="shared" si="3"/>
        <v>0</v>
      </c>
      <c r="P37" s="28">
        <f t="shared" si="3"/>
        <v>1.1548006290064194</v>
      </c>
      <c r="Q37" s="28">
        <f t="shared" si="3"/>
        <v>3.784990930052555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c5c6f1-0525-4838-b961-005bdfba8ef8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Q39" sqref="Q39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13-03-2023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49" t="s">
        <v>351</v>
      </c>
      <c r="B9" s="50">
        <v>94.30</v>
      </c>
      <c r="C9" s="50">
        <v>124.61</v>
      </c>
      <c r="D9" s="50">
        <v>143.43</v>
      </c>
      <c r="E9" s="50">
        <v>4.57</v>
      </c>
      <c r="F9" s="50">
        <v>3.45</v>
      </c>
      <c r="G9" s="50">
        <v>101.99</v>
      </c>
      <c r="H9" s="50">
        <v>43.35</v>
      </c>
      <c r="I9" s="50">
        <v>0.95</v>
      </c>
      <c r="J9" s="50">
        <v>0.76</v>
      </c>
      <c r="K9" s="50">
        <v>170.06</v>
      </c>
      <c r="L9" s="50">
        <v>24.80</v>
      </c>
      <c r="M9" s="50">
        <v>46.35</v>
      </c>
      <c r="N9" s="50">
        <v>5.0999999999999996</v>
      </c>
      <c r="O9" s="50">
        <v>0</v>
      </c>
      <c r="P9" s="50">
        <v>2.0099999999999998</v>
      </c>
      <c r="Q9" s="50">
        <v>38.14</v>
      </c>
      <c r="R9" s="43"/>
      <c r="S9" s="43"/>
      <c r="T9" s="43"/>
      <c r="U9" s="43"/>
    </row>
    <row r="10" spans="1:21" s="11" customFormat="1" ht="15">
      <c r="A10" s="49" t="s">
        <v>352</v>
      </c>
      <c r="B10" s="50">
        <v>85.18</v>
      </c>
      <c r="C10" s="50">
        <v>120.01</v>
      </c>
      <c r="D10" s="50">
        <v>133.57</v>
      </c>
      <c r="E10" s="50">
        <v>4.54</v>
      </c>
      <c r="F10" s="50">
        <v>3.29</v>
      </c>
      <c r="G10" s="50">
        <v>87.47</v>
      </c>
      <c r="H10" s="50">
        <v>38.270000000000003</v>
      </c>
      <c r="I10" s="50">
        <v>1.05</v>
      </c>
      <c r="J10" s="50">
        <v>0.25</v>
      </c>
      <c r="K10" s="50">
        <v>271.70</v>
      </c>
      <c r="L10" s="50">
        <v>23.59</v>
      </c>
      <c r="M10" s="50">
        <v>51.46</v>
      </c>
      <c r="N10" s="50">
        <v>4.80</v>
      </c>
      <c r="O10" s="50">
        <v>0</v>
      </c>
      <c r="P10" s="50">
        <v>1.90</v>
      </c>
      <c r="Q10" s="50">
        <v>39.090000000000003</v>
      </c>
      <c r="R10" s="43"/>
      <c r="S10" s="43"/>
      <c r="T10" s="43"/>
      <c r="U10" s="43"/>
    </row>
    <row r="11" spans="1:21" s="11" customFormat="1" ht="15">
      <c r="A11" s="49" t="s">
        <v>353</v>
      </c>
      <c r="B11" s="50">
        <v>68.89</v>
      </c>
      <c r="C11" s="50">
        <v>116.08</v>
      </c>
      <c r="D11" s="50">
        <v>118.28</v>
      </c>
      <c r="E11" s="50">
        <v>4.99</v>
      </c>
      <c r="F11" s="50">
        <v>3.01</v>
      </c>
      <c r="G11" s="50">
        <v>91.64</v>
      </c>
      <c r="H11" s="50">
        <v>37.33</v>
      </c>
      <c r="I11" s="50">
        <v>1.1000000000000001</v>
      </c>
      <c r="J11" s="50">
        <v>0.83</v>
      </c>
      <c r="K11" s="50">
        <v>162.35</v>
      </c>
      <c r="L11" s="50">
        <v>24.09</v>
      </c>
      <c r="M11" s="50">
        <v>52.90</v>
      </c>
      <c r="N11" s="50">
        <v>5</v>
      </c>
      <c r="O11" s="50">
        <v>0</v>
      </c>
      <c r="P11" s="50">
        <v>1.72</v>
      </c>
      <c r="Q11" s="50">
        <v>38.43</v>
      </c>
      <c r="R11" s="43"/>
      <c r="S11" s="43"/>
      <c r="T11" s="43"/>
      <c r="U11" s="43"/>
    </row>
    <row r="12" spans="1:21" s="11" customFormat="1" ht="15">
      <c r="A12" s="49" t="s">
        <v>354</v>
      </c>
      <c r="B12" s="50">
        <v>53.38</v>
      </c>
      <c r="C12" s="50">
        <v>117.08</v>
      </c>
      <c r="D12" s="50">
        <v>105.66</v>
      </c>
      <c r="E12" s="50">
        <v>4.59</v>
      </c>
      <c r="F12" s="50">
        <v>2.97</v>
      </c>
      <c r="G12" s="50">
        <v>141.79</v>
      </c>
      <c r="H12" s="50">
        <v>48.36</v>
      </c>
      <c r="I12" s="50">
        <v>1.01</v>
      </c>
      <c r="J12" s="50">
        <v>0.43</v>
      </c>
      <c r="K12" s="50">
        <v>242.44</v>
      </c>
      <c r="L12" s="50">
        <v>24.87</v>
      </c>
      <c r="M12" s="50">
        <v>53.17</v>
      </c>
      <c r="N12" s="50">
        <v>5.60</v>
      </c>
      <c r="O12" s="50">
        <v>0</v>
      </c>
      <c r="P12" s="50">
        <v>1.73</v>
      </c>
      <c r="Q12" s="50">
        <v>36.68</v>
      </c>
      <c r="R12" s="43"/>
      <c r="S12" s="43"/>
      <c r="T12" s="43"/>
      <c r="U12" s="43"/>
    </row>
    <row r="13" spans="1:21" s="11" customFormat="1" ht="15">
      <c r="A13" s="49" t="s">
        <v>355</v>
      </c>
      <c r="B13" s="50">
        <v>49.39</v>
      </c>
      <c r="C13" s="50">
        <v>116.31</v>
      </c>
      <c r="D13" s="50">
        <v>102.84</v>
      </c>
      <c r="E13" s="50">
        <v>4.3899999999999997</v>
      </c>
      <c r="F13" s="50">
        <v>3.07</v>
      </c>
      <c r="G13" s="50">
        <v>144.69999999999999</v>
      </c>
      <c r="H13" s="50">
        <v>48.87</v>
      </c>
      <c r="I13" s="50">
        <v>0.91</v>
      </c>
      <c r="J13" s="50">
        <v>0.18</v>
      </c>
      <c r="K13" s="50">
        <v>268.25</v>
      </c>
      <c r="L13" s="50">
        <v>22.68</v>
      </c>
      <c r="M13" s="50">
        <v>53.72</v>
      </c>
      <c r="N13" s="50">
        <v>5</v>
      </c>
      <c r="O13" s="50">
        <v>0</v>
      </c>
      <c r="P13" s="50">
        <v>1.61</v>
      </c>
      <c r="Q13" s="50">
        <v>36.590000000000003</v>
      </c>
      <c r="R13" s="43"/>
      <c r="S13" s="43"/>
      <c r="T13" s="43"/>
      <c r="U13" s="43"/>
    </row>
    <row r="14" spans="1:21" s="11" customFormat="1" ht="15">
      <c r="A14" s="49" t="s">
        <v>356</v>
      </c>
      <c r="B14" s="50">
        <v>54.35</v>
      </c>
      <c r="C14" s="50">
        <v>113.38</v>
      </c>
      <c r="D14" s="50">
        <v>104.09</v>
      </c>
      <c r="E14" s="50">
        <v>4.71</v>
      </c>
      <c r="F14" s="50">
        <v>3.28</v>
      </c>
      <c r="G14" s="50">
        <v>129.93</v>
      </c>
      <c r="H14" s="50">
        <v>48.56</v>
      </c>
      <c r="I14" s="50">
        <v>0.89</v>
      </c>
      <c r="J14" s="50">
        <v>0.20</v>
      </c>
      <c r="K14" s="50">
        <v>338.37</v>
      </c>
      <c r="L14" s="50">
        <v>21.89</v>
      </c>
      <c r="M14" s="50">
        <v>54.59</v>
      </c>
      <c r="N14" s="50">
        <v>4.9000000000000004</v>
      </c>
      <c r="O14" s="50">
        <v>0</v>
      </c>
      <c r="P14" s="50">
        <v>1.60</v>
      </c>
      <c r="Q14" s="50">
        <v>37.26</v>
      </c>
      <c r="R14" s="43"/>
      <c r="S14" s="43"/>
      <c r="T14" s="43"/>
      <c r="U14" s="43"/>
    </row>
    <row r="15" spans="1:21" s="11" customFormat="1" ht="15">
      <c r="A15" s="49" t="s">
        <v>357</v>
      </c>
      <c r="B15" s="50">
        <v>58.25</v>
      </c>
      <c r="C15" s="50">
        <v>113.51</v>
      </c>
      <c r="D15" s="50">
        <v>108.40</v>
      </c>
      <c r="E15" s="50">
        <v>4.5999999999999996</v>
      </c>
      <c r="F15" s="50">
        <v>3.19</v>
      </c>
      <c r="G15" s="50">
        <v>130.27000000000001</v>
      </c>
      <c r="H15" s="50">
        <v>49.40</v>
      </c>
      <c r="I15" s="50">
        <v>0.86</v>
      </c>
      <c r="J15" s="50">
        <v>0.39</v>
      </c>
      <c r="K15" s="50">
        <v>84.69</v>
      </c>
      <c r="L15" s="50">
        <v>23.72</v>
      </c>
      <c r="M15" s="50">
        <v>52.16</v>
      </c>
      <c r="N15" s="50">
        <v>78.20</v>
      </c>
      <c r="O15" s="50">
        <v>0</v>
      </c>
      <c r="P15" s="50">
        <v>1.59</v>
      </c>
      <c r="Q15" s="50">
        <v>36.90</v>
      </c>
      <c r="R15" s="43"/>
      <c r="S15" s="43"/>
      <c r="T15" s="43"/>
      <c r="U15" s="43"/>
    </row>
    <row r="16" spans="1:21" s="11" customFormat="1" ht="15">
      <c r="A16" s="49" t="s">
        <v>358</v>
      </c>
      <c r="B16" s="50">
        <v>58.29</v>
      </c>
      <c r="C16" s="50">
        <v>116.90</v>
      </c>
      <c r="D16" s="50">
        <v>109.51</v>
      </c>
      <c r="E16" s="50">
        <v>4.46</v>
      </c>
      <c r="F16" s="50">
        <v>3.46</v>
      </c>
      <c r="G16" s="50">
        <v>111.27</v>
      </c>
      <c r="H16" s="50">
        <v>49.45</v>
      </c>
      <c r="I16" s="50">
        <v>0.76</v>
      </c>
      <c r="J16" s="50">
        <v>0.64</v>
      </c>
      <c r="K16" s="50">
        <v>32.700000000000003</v>
      </c>
      <c r="L16" s="50">
        <v>29.20</v>
      </c>
      <c r="M16" s="50">
        <v>39.619999999999997</v>
      </c>
      <c r="N16" s="50">
        <v>261.80</v>
      </c>
      <c r="O16" s="50">
        <v>0</v>
      </c>
      <c r="P16" s="50">
        <v>1.47</v>
      </c>
      <c r="Q16" s="50">
        <v>36.03</v>
      </c>
      <c r="R16" s="43"/>
      <c r="S16" s="43"/>
      <c r="T16" s="43"/>
      <c r="U16" s="43"/>
    </row>
    <row r="17" spans="1:21" s="11" customFormat="1" ht="15">
      <c r="A17" s="49" t="s">
        <v>359</v>
      </c>
      <c r="B17" s="50">
        <v>55.22</v>
      </c>
      <c r="C17" s="50">
        <v>121.19</v>
      </c>
      <c r="D17" s="50">
        <v>107.94</v>
      </c>
      <c r="E17" s="50">
        <v>4.8600000000000003</v>
      </c>
      <c r="F17" s="50">
        <v>3.35</v>
      </c>
      <c r="G17" s="50">
        <v>109.67</v>
      </c>
      <c r="H17" s="50">
        <v>50.62</v>
      </c>
      <c r="I17" s="50">
        <v>0.79</v>
      </c>
      <c r="J17" s="50">
        <v>0.72</v>
      </c>
      <c r="K17" s="50">
        <v>123.15</v>
      </c>
      <c r="L17" s="50">
        <v>30.18</v>
      </c>
      <c r="M17" s="50">
        <v>31.55</v>
      </c>
      <c r="N17" s="50">
        <v>468.40</v>
      </c>
      <c r="O17" s="50">
        <v>0</v>
      </c>
      <c r="P17" s="50">
        <v>1.53</v>
      </c>
      <c r="Q17" s="50">
        <v>36.54</v>
      </c>
      <c r="R17" s="43"/>
      <c r="S17" s="43"/>
      <c r="T17" s="43"/>
      <c r="U17" s="43"/>
    </row>
    <row r="18" spans="1:21" s="11" customFormat="1" ht="15">
      <c r="A18" s="49" t="s">
        <v>360</v>
      </c>
      <c r="B18" s="50">
        <v>45.40</v>
      </c>
      <c r="C18" s="50">
        <v>129.43</v>
      </c>
      <c r="D18" s="50">
        <v>103.15</v>
      </c>
      <c r="E18" s="50">
        <v>5.72</v>
      </c>
      <c r="F18" s="50">
        <v>3.18</v>
      </c>
      <c r="G18" s="50">
        <v>109.98</v>
      </c>
      <c r="H18" s="50">
        <v>50.76</v>
      </c>
      <c r="I18" s="50">
        <v>0.80</v>
      </c>
      <c r="J18" s="50">
        <v>0.89</v>
      </c>
      <c r="K18" s="50">
        <v>95.83</v>
      </c>
      <c r="L18" s="50">
        <v>33.51</v>
      </c>
      <c r="M18" s="50">
        <v>27.43</v>
      </c>
      <c r="N18" s="50">
        <v>646.29999999999995</v>
      </c>
      <c r="O18" s="50">
        <v>0</v>
      </c>
      <c r="P18" s="50">
        <v>1.47</v>
      </c>
      <c r="Q18" s="50">
        <v>36.619999999999997</v>
      </c>
      <c r="R18" s="43"/>
      <c r="S18" s="43"/>
      <c r="T18" s="43"/>
      <c r="U18" s="43"/>
    </row>
    <row r="19" spans="1:21" s="11" customFormat="1" ht="15">
      <c r="A19" s="49" t="s">
        <v>361</v>
      </c>
      <c r="B19" s="50">
        <v>33.090000000000003</v>
      </c>
      <c r="C19" s="50">
        <v>131.58000000000001</v>
      </c>
      <c r="D19" s="50">
        <v>97.89</v>
      </c>
      <c r="E19" s="50">
        <v>5.43</v>
      </c>
      <c r="F19" s="50">
        <v>36.380000000000003</v>
      </c>
      <c r="G19" s="50">
        <v>105.62</v>
      </c>
      <c r="H19" s="50">
        <v>46.25</v>
      </c>
      <c r="I19" s="50">
        <v>0.71</v>
      </c>
      <c r="J19" s="50">
        <v>0.83</v>
      </c>
      <c r="K19" s="50">
        <v>167.85</v>
      </c>
      <c r="L19" s="50">
        <v>35.74</v>
      </c>
      <c r="M19" s="50">
        <v>21.29</v>
      </c>
      <c r="N19" s="50">
        <v>778.70</v>
      </c>
      <c r="O19" s="50">
        <v>0</v>
      </c>
      <c r="P19" s="50">
        <v>1.32</v>
      </c>
      <c r="Q19" s="50">
        <v>34.68</v>
      </c>
      <c r="R19" s="43"/>
      <c r="S19" s="43"/>
      <c r="T19" s="43"/>
      <c r="U19" s="43"/>
    </row>
    <row r="20" spans="1:21" s="11" customFormat="1" ht="15">
      <c r="A20" s="49" t="s">
        <v>362</v>
      </c>
      <c r="B20" s="50">
        <v>3.18</v>
      </c>
      <c r="C20" s="50">
        <v>75.70</v>
      </c>
      <c r="D20" s="50">
        <v>43.36</v>
      </c>
      <c r="E20" s="56" t="s">
        <v>15</v>
      </c>
      <c r="F20" s="50">
        <v>57.77</v>
      </c>
      <c r="G20" s="57" t="s">
        <v>12</v>
      </c>
      <c r="H20" s="57" t="s">
        <v>12</v>
      </c>
      <c r="I20" s="50">
        <v>0.55000000000000004</v>
      </c>
      <c r="J20" s="50">
        <v>0.99</v>
      </c>
      <c r="K20" s="50">
        <v>132.54</v>
      </c>
      <c r="L20" s="50">
        <v>37.5</v>
      </c>
      <c r="M20" s="50">
        <v>20.20</v>
      </c>
      <c r="N20" s="50">
        <v>839.5</v>
      </c>
      <c r="O20" s="50">
        <v>0</v>
      </c>
      <c r="P20" s="50">
        <v>0.86</v>
      </c>
      <c r="Q20" s="57" t="s">
        <v>12</v>
      </c>
      <c r="R20" s="43"/>
      <c r="S20" s="43"/>
      <c r="T20" s="43"/>
      <c r="U20" s="43"/>
    </row>
    <row r="21" spans="1:21" s="11" customFormat="1" ht="15">
      <c r="A21" s="49" t="s">
        <v>363</v>
      </c>
      <c r="B21" s="50">
        <v>1.46</v>
      </c>
      <c r="C21" s="50">
        <v>101.96</v>
      </c>
      <c r="D21" s="50">
        <v>57.36</v>
      </c>
      <c r="E21" s="56" t="s">
        <v>15</v>
      </c>
      <c r="F21" s="50">
        <v>58.32</v>
      </c>
      <c r="G21" s="50">
        <v>56.94</v>
      </c>
      <c r="H21" s="50">
        <v>21.24</v>
      </c>
      <c r="I21" s="50">
        <v>0.51</v>
      </c>
      <c r="J21" s="50">
        <v>1.06</v>
      </c>
      <c r="K21" s="50">
        <v>217.75</v>
      </c>
      <c r="L21" s="50">
        <v>37.15</v>
      </c>
      <c r="M21" s="50">
        <v>17.920000000000002</v>
      </c>
      <c r="N21" s="50">
        <v>830</v>
      </c>
      <c r="O21" s="50">
        <v>0</v>
      </c>
      <c r="P21" s="50">
        <v>0.94</v>
      </c>
      <c r="Q21" s="57" t="s">
        <v>12</v>
      </c>
      <c r="R21" s="43"/>
      <c r="S21" s="43"/>
      <c r="T21" s="43"/>
      <c r="U21" s="43"/>
    </row>
    <row r="22" spans="1:21" s="11" customFormat="1" ht="15">
      <c r="A22" s="49" t="s">
        <v>364</v>
      </c>
      <c r="B22" s="50">
        <v>4.16</v>
      </c>
      <c r="C22" s="50">
        <v>130.21</v>
      </c>
      <c r="D22" s="50">
        <v>75.19</v>
      </c>
      <c r="E22" s="50">
        <v>57.90</v>
      </c>
      <c r="F22" s="50">
        <v>62.38</v>
      </c>
      <c r="G22" s="50">
        <v>57.09</v>
      </c>
      <c r="H22" s="50">
        <v>21.58</v>
      </c>
      <c r="I22" s="50">
        <v>0.63</v>
      </c>
      <c r="J22" s="50">
        <v>0.48</v>
      </c>
      <c r="K22" s="50">
        <v>358.73</v>
      </c>
      <c r="L22" s="50">
        <v>38.17</v>
      </c>
      <c r="M22" s="50">
        <v>16.32</v>
      </c>
      <c r="N22" s="50">
        <v>699.60</v>
      </c>
      <c r="O22" s="50">
        <v>0</v>
      </c>
      <c r="P22" s="50">
        <v>0.62</v>
      </c>
      <c r="Q22" s="50">
        <v>15.74</v>
      </c>
      <c r="R22" s="43"/>
      <c r="S22" s="43"/>
      <c r="T22" s="43"/>
      <c r="U22" s="43"/>
    </row>
    <row r="23" spans="1:21" s="11" customFormat="1" ht="15">
      <c r="A23" s="49" t="s">
        <v>365</v>
      </c>
      <c r="B23" s="50">
        <v>1.05</v>
      </c>
      <c r="C23" s="50">
        <v>93.5</v>
      </c>
      <c r="D23" s="50">
        <v>52.41</v>
      </c>
      <c r="E23" s="50">
        <v>29.07</v>
      </c>
      <c r="F23" s="50">
        <v>43.04</v>
      </c>
      <c r="G23" s="50">
        <v>57.34</v>
      </c>
      <c r="H23" s="50">
        <v>26.05</v>
      </c>
      <c r="I23" s="50">
        <v>0.48</v>
      </c>
      <c r="J23" s="50">
        <v>1.08</v>
      </c>
      <c r="K23" s="50">
        <v>215.56</v>
      </c>
      <c r="L23" s="50">
        <v>37.26</v>
      </c>
      <c r="M23" s="50">
        <v>16.37</v>
      </c>
      <c r="N23" s="50">
        <v>612.29999999999995</v>
      </c>
      <c r="O23" s="50">
        <v>0</v>
      </c>
      <c r="P23" s="50">
        <v>0.88</v>
      </c>
      <c r="Q23" s="50">
        <v>15.82</v>
      </c>
      <c r="R23" s="43"/>
      <c r="S23" s="43"/>
      <c r="T23" s="43"/>
      <c r="U23" s="43"/>
    </row>
    <row r="24" spans="1:21" s="11" customFormat="1" ht="15">
      <c r="A24" s="49" t="s">
        <v>366</v>
      </c>
      <c r="B24" s="50">
        <v>2.46</v>
      </c>
      <c r="C24" s="50">
        <v>95.72</v>
      </c>
      <c r="D24" s="50">
        <v>54.74</v>
      </c>
      <c r="E24" s="50">
        <v>32.85</v>
      </c>
      <c r="F24" s="50">
        <v>66.05</v>
      </c>
      <c r="G24" s="50">
        <v>61.51</v>
      </c>
      <c r="H24" s="50">
        <v>26.05</v>
      </c>
      <c r="I24" s="50">
        <v>0.51</v>
      </c>
      <c r="J24" s="50">
        <v>0.98</v>
      </c>
      <c r="K24" s="50">
        <v>30.15</v>
      </c>
      <c r="L24" s="50">
        <v>36.72</v>
      </c>
      <c r="M24" s="50">
        <v>15.89</v>
      </c>
      <c r="N24" s="50">
        <v>436.80</v>
      </c>
      <c r="O24" s="50">
        <v>0</v>
      </c>
      <c r="P24" s="50">
        <v>0.88</v>
      </c>
      <c r="Q24" s="50">
        <v>18.940000000000001</v>
      </c>
      <c r="R24" s="43"/>
      <c r="S24" s="43"/>
      <c r="T24" s="43"/>
      <c r="U24" s="43"/>
    </row>
    <row r="25" spans="1:21" s="11" customFormat="1" ht="15">
      <c r="A25" s="49" t="s">
        <v>367</v>
      </c>
      <c r="B25" s="50">
        <v>3.11</v>
      </c>
      <c r="C25" s="50">
        <v>94.30</v>
      </c>
      <c r="D25" s="50">
        <v>54.53</v>
      </c>
      <c r="E25" s="50">
        <v>32.340000000000003</v>
      </c>
      <c r="F25" s="50">
        <v>84.36</v>
      </c>
      <c r="G25" s="50">
        <v>61.51</v>
      </c>
      <c r="H25" s="50">
        <v>26.19</v>
      </c>
      <c r="I25" s="50">
        <v>0.51</v>
      </c>
      <c r="J25" s="50">
        <v>0.80</v>
      </c>
      <c r="K25" s="50">
        <v>323.89999999999998</v>
      </c>
      <c r="L25" s="50">
        <v>34.86</v>
      </c>
      <c r="M25" s="50">
        <v>17.13</v>
      </c>
      <c r="N25" s="50">
        <v>187.30</v>
      </c>
      <c r="O25" s="50">
        <v>0</v>
      </c>
      <c r="P25" s="50">
        <v>0.80</v>
      </c>
      <c r="Q25" s="50">
        <v>14.89</v>
      </c>
      <c r="R25" s="43"/>
      <c r="S25" s="43"/>
      <c r="T25" s="43"/>
      <c r="U25" s="43"/>
    </row>
    <row r="26" spans="1:21" s="11" customFormat="1" ht="15">
      <c r="A26" s="49" t="s">
        <v>368</v>
      </c>
      <c r="B26" s="50">
        <v>1.18</v>
      </c>
      <c r="C26" s="50">
        <v>95.07</v>
      </c>
      <c r="D26" s="50">
        <v>53.07</v>
      </c>
      <c r="E26" s="50">
        <v>24.86</v>
      </c>
      <c r="F26" s="50">
        <v>73.209999999999994</v>
      </c>
      <c r="G26" s="50">
        <v>58.71</v>
      </c>
      <c r="H26" s="50">
        <v>27.15</v>
      </c>
      <c r="I26" s="50">
        <v>0.53</v>
      </c>
      <c r="J26" s="50">
        <v>0.18</v>
      </c>
      <c r="K26" s="50">
        <v>302.42</v>
      </c>
      <c r="L26" s="50">
        <v>33.26</v>
      </c>
      <c r="M26" s="50">
        <v>18.95</v>
      </c>
      <c r="N26" s="50">
        <v>94.5</v>
      </c>
      <c r="O26" s="50">
        <v>0</v>
      </c>
      <c r="P26" s="50">
        <v>1.40</v>
      </c>
      <c r="Q26" s="50">
        <v>18.670000000000002</v>
      </c>
      <c r="R26" s="43"/>
      <c r="S26" s="43"/>
      <c r="T26" s="43"/>
      <c r="U26" s="43"/>
    </row>
    <row r="27" spans="1:21" s="11" customFormat="1" ht="15">
      <c r="A27" s="49" t="s">
        <v>369</v>
      </c>
      <c r="B27" s="50">
        <v>6.72</v>
      </c>
      <c r="C27" s="50">
        <v>126.60</v>
      </c>
      <c r="D27" s="50">
        <v>75.260000000000005</v>
      </c>
      <c r="E27" s="50">
        <v>19.829999999999998</v>
      </c>
      <c r="F27" s="50">
        <v>29.31</v>
      </c>
      <c r="G27" s="50">
        <v>70.849999999999994</v>
      </c>
      <c r="H27" s="50">
        <v>28.45</v>
      </c>
      <c r="I27" s="50">
        <v>0.88</v>
      </c>
      <c r="J27" s="50">
        <v>0.17</v>
      </c>
      <c r="K27" s="50">
        <v>136.22</v>
      </c>
      <c r="L27" s="50">
        <v>30.14</v>
      </c>
      <c r="M27" s="50">
        <v>32.229999999999997</v>
      </c>
      <c r="N27" s="50">
        <v>7.40</v>
      </c>
      <c r="O27" s="50">
        <v>0</v>
      </c>
      <c r="P27" s="50">
        <v>2.2200000000000002</v>
      </c>
      <c r="Q27" s="50">
        <v>16.13</v>
      </c>
      <c r="R27" s="43"/>
      <c r="S27" s="43"/>
      <c r="T27" s="43"/>
      <c r="U27" s="43"/>
    </row>
    <row r="28" spans="1:21" s="11" customFormat="1" ht="15">
      <c r="A28" s="49" t="s">
        <v>370</v>
      </c>
      <c r="B28" s="50">
        <v>42.24</v>
      </c>
      <c r="C28" s="50">
        <v>169.51</v>
      </c>
      <c r="D28" s="50">
        <v>127.42</v>
      </c>
      <c r="E28" s="50">
        <v>17.170000000000002</v>
      </c>
      <c r="F28" s="50">
        <v>3.89</v>
      </c>
      <c r="G28" s="50">
        <v>165.06</v>
      </c>
      <c r="H28" s="50">
        <v>35.71</v>
      </c>
      <c r="I28" s="50">
        <v>1.24</v>
      </c>
      <c r="J28" s="50">
        <v>0.10</v>
      </c>
      <c r="K28" s="50">
        <v>156.90</v>
      </c>
      <c r="L28" s="50">
        <v>27.34</v>
      </c>
      <c r="M28" s="50">
        <v>38.880000000000003</v>
      </c>
      <c r="N28" s="50">
        <v>5.20</v>
      </c>
      <c r="O28" s="50">
        <v>0</v>
      </c>
      <c r="P28" s="50">
        <v>3.08</v>
      </c>
      <c r="Q28" s="50">
        <v>23.24</v>
      </c>
      <c r="R28" s="43"/>
      <c r="S28" s="43"/>
      <c r="T28" s="43"/>
      <c r="U28" s="43"/>
    </row>
    <row r="29" spans="1:21" s="11" customFormat="1" ht="15">
      <c r="A29" s="49" t="s">
        <v>371</v>
      </c>
      <c r="B29" s="50">
        <v>112.74</v>
      </c>
      <c r="C29" s="50">
        <v>219.33</v>
      </c>
      <c r="D29" s="50">
        <v>211.45</v>
      </c>
      <c r="E29" s="50">
        <v>10.85</v>
      </c>
      <c r="F29" s="50">
        <v>3.91</v>
      </c>
      <c r="G29" s="50">
        <v>228.54</v>
      </c>
      <c r="H29" s="50">
        <v>54.77</v>
      </c>
      <c r="I29" s="50">
        <v>1.95</v>
      </c>
      <c r="J29" s="50">
        <v>0.27</v>
      </c>
      <c r="K29" s="50">
        <v>92.60</v>
      </c>
      <c r="L29" s="50">
        <v>25.51</v>
      </c>
      <c r="M29" s="50">
        <v>47.09</v>
      </c>
      <c r="N29" s="50">
        <v>4.80</v>
      </c>
      <c r="O29" s="50">
        <v>0</v>
      </c>
      <c r="P29" s="50">
        <v>5.07</v>
      </c>
      <c r="Q29" s="50">
        <v>26.58</v>
      </c>
      <c r="R29" s="43"/>
      <c r="S29" s="43"/>
      <c r="T29" s="43"/>
      <c r="U29" s="43"/>
    </row>
    <row r="30" spans="1:21" s="11" customFormat="1" ht="15">
      <c r="A30" s="49" t="s">
        <v>372</v>
      </c>
      <c r="B30" s="50">
        <v>152.10</v>
      </c>
      <c r="C30" s="50">
        <v>236.03</v>
      </c>
      <c r="D30" s="50">
        <v>252.23</v>
      </c>
      <c r="E30" s="50">
        <v>12.11</v>
      </c>
      <c r="F30" s="50">
        <v>3.46</v>
      </c>
      <c r="G30" s="50">
        <v>241.21</v>
      </c>
      <c r="H30" s="50">
        <v>67.010000000000005</v>
      </c>
      <c r="I30" s="50">
        <v>2.2400000000000002</v>
      </c>
      <c r="J30" s="50">
        <v>0.18</v>
      </c>
      <c r="K30" s="50">
        <v>137.24</v>
      </c>
      <c r="L30" s="50">
        <v>24.64</v>
      </c>
      <c r="M30" s="50">
        <v>48.90</v>
      </c>
      <c r="N30" s="50">
        <v>4.5999999999999996</v>
      </c>
      <c r="O30" s="50">
        <v>0</v>
      </c>
      <c r="P30" s="50">
        <v>6.09</v>
      </c>
      <c r="Q30" s="50">
        <v>30.30</v>
      </c>
      <c r="R30" s="43"/>
      <c r="S30" s="43"/>
      <c r="T30" s="43"/>
      <c r="U30" s="43"/>
    </row>
    <row r="31" spans="1:21" s="11" customFormat="1" ht="15">
      <c r="A31" s="49" t="s">
        <v>373</v>
      </c>
      <c r="B31" s="50">
        <v>154.26</v>
      </c>
      <c r="C31" s="50">
        <v>235.48</v>
      </c>
      <c r="D31" s="50">
        <v>253.66</v>
      </c>
      <c r="E31" s="50">
        <v>14.06</v>
      </c>
      <c r="F31" s="50">
        <v>15.23</v>
      </c>
      <c r="G31" s="50">
        <v>241.21</v>
      </c>
      <c r="H31" s="50">
        <v>67.010000000000005</v>
      </c>
      <c r="I31" s="50">
        <v>2.16</v>
      </c>
      <c r="J31" s="50">
        <v>0.13</v>
      </c>
      <c r="K31" s="50">
        <v>308.01</v>
      </c>
      <c r="L31" s="50">
        <v>24.80</v>
      </c>
      <c r="M31" s="50">
        <v>45.78</v>
      </c>
      <c r="N31" s="50">
        <v>4.9000000000000004</v>
      </c>
      <c r="O31" s="50">
        <v>0</v>
      </c>
      <c r="P31" s="50">
        <v>2.94</v>
      </c>
      <c r="Q31" s="50">
        <v>37.15</v>
      </c>
      <c r="R31" s="43"/>
      <c r="S31" s="43"/>
      <c r="T31" s="43"/>
      <c r="U31" s="43"/>
    </row>
    <row r="32" spans="1:21" s="11" customFormat="1" ht="15">
      <c r="A32" s="49" t="s">
        <v>374</v>
      </c>
      <c r="B32" s="50">
        <v>149.12</v>
      </c>
      <c r="C32" s="50">
        <v>228.73</v>
      </c>
      <c r="D32" s="50">
        <v>245.82</v>
      </c>
      <c r="E32" s="50">
        <v>6.31</v>
      </c>
      <c r="F32" s="50">
        <v>4.0199999999999996</v>
      </c>
      <c r="G32" s="50">
        <v>161.29</v>
      </c>
      <c r="H32" s="50">
        <v>61.70</v>
      </c>
      <c r="I32" s="50">
        <v>1.43</v>
      </c>
      <c r="J32" s="50">
        <v>0.17</v>
      </c>
      <c r="K32" s="50">
        <v>276.55</v>
      </c>
      <c r="L32" s="50">
        <v>24.11</v>
      </c>
      <c r="M32" s="50">
        <v>48.30</v>
      </c>
      <c r="N32" s="50">
        <v>4.80</v>
      </c>
      <c r="O32" s="50">
        <v>0</v>
      </c>
      <c r="P32" s="50">
        <v>2.92</v>
      </c>
      <c r="Q32" s="50">
        <v>38.71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1.05</v>
      </c>
      <c r="C34" s="28">
        <f t="shared" si="0"/>
        <v>75.700000000000003</v>
      </c>
      <c r="D34" s="28">
        <f t="shared" si="0"/>
        <v>43.359999999999999</v>
      </c>
      <c r="E34" s="28">
        <f t="shared" si="0"/>
        <v>4.3899999999999997</v>
      </c>
      <c r="F34" s="28">
        <f t="shared" si="0"/>
        <v>2.9700000000000002</v>
      </c>
      <c r="G34" s="28">
        <f t="shared" si="0"/>
        <v>56.939999999999998</v>
      </c>
      <c r="H34" s="28">
        <f t="shared" si="0"/>
        <v>21.239999999999998</v>
      </c>
      <c r="I34" s="28">
        <f t="shared" si="0"/>
        <v>0.47999999999999998</v>
      </c>
      <c r="J34" s="28">
        <f t="shared" si="0"/>
        <v>0.10000000000000001</v>
      </c>
      <c r="K34" s="28">
        <f t="shared" si="0"/>
        <v>30.149999999999999</v>
      </c>
      <c r="L34" s="28">
        <f t="shared" si="0"/>
        <v>21.890000000000001</v>
      </c>
      <c r="M34" s="28">
        <f t="shared" si="0"/>
        <v>15.890000000000001</v>
      </c>
      <c r="N34" s="28">
        <f t="shared" si="0"/>
        <v>4.5999999999999996</v>
      </c>
      <c r="O34" s="28">
        <f t="shared" si="0"/>
        <v>0</v>
      </c>
      <c r="P34" s="28">
        <f t="shared" si="0"/>
        <v>0.62</v>
      </c>
      <c r="Q34" s="28">
        <f t="shared" si="0"/>
        <v>14.890000000000001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154.25999999999999</v>
      </c>
      <c r="C35" s="29">
        <f t="shared" si="1"/>
        <v>236.03</v>
      </c>
      <c r="D35" s="29">
        <f t="shared" si="1"/>
        <v>253.66</v>
      </c>
      <c r="E35" s="29">
        <f t="shared" si="1"/>
        <v>57.899999999999999</v>
      </c>
      <c r="F35" s="29">
        <f t="shared" si="1"/>
        <v>84.359999999999999</v>
      </c>
      <c r="G35" s="29">
        <f t="shared" si="1"/>
        <v>241.21000000000001</v>
      </c>
      <c r="H35" s="29">
        <f t="shared" si="1"/>
        <v>67.010000000000005</v>
      </c>
      <c r="I35" s="29">
        <f t="shared" si="1"/>
        <v>2.2400000000000002</v>
      </c>
      <c r="J35" s="29">
        <f t="shared" si="1"/>
        <v>1.0800000000000001</v>
      </c>
      <c r="K35" s="29">
        <f t="shared" si="1"/>
        <v>358.73000000000002</v>
      </c>
      <c r="L35" s="29">
        <f t="shared" si="1"/>
        <v>38.170000000000002</v>
      </c>
      <c r="M35" s="29">
        <f t="shared" si="1"/>
        <v>54.590000000000003</v>
      </c>
      <c r="N35" s="29">
        <f t="shared" si="1"/>
        <v>839.5</v>
      </c>
      <c r="O35" s="29">
        <f t="shared" si="1"/>
        <v>0</v>
      </c>
      <c r="P35" s="29">
        <f t="shared" si="1"/>
        <v>6.0899999999999999</v>
      </c>
      <c r="Q35" s="29">
        <f t="shared" si="1"/>
        <v>39.090000000000003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53.729999999999997</v>
      </c>
      <c r="C36" s="28">
        <f t="shared" si="2"/>
        <v>134.25916666666666</v>
      </c>
      <c r="D36" s="28">
        <f t="shared" si="2"/>
        <v>116.30250000000001</v>
      </c>
      <c r="E36" s="28">
        <f t="shared" si="2"/>
        <v>14.100454545454546</v>
      </c>
      <c r="F36" s="28">
        <f t="shared" si="2"/>
        <v>23.899166666666662</v>
      </c>
      <c r="G36" s="28">
        <f t="shared" si="2"/>
        <v>118.50391304347825</v>
      </c>
      <c r="H36" s="28">
        <f t="shared" si="2"/>
        <v>42.353478260869565</v>
      </c>
      <c r="I36" s="28">
        <f t="shared" si="2"/>
        <v>0.97708333333333364</v>
      </c>
      <c r="J36" s="28">
        <f t="shared" si="2"/>
        <v>0.52958333333333341</v>
      </c>
      <c r="K36" s="28">
        <f t="shared" si="2"/>
        <v>193.58166666666671</v>
      </c>
      <c r="L36" s="28">
        <f t="shared" si="2"/>
        <v>29.405416666666667</v>
      </c>
      <c r="M36" s="28">
        <f t="shared" si="2"/>
        <v>36.175000000000004</v>
      </c>
      <c r="N36" s="28">
        <f t="shared" si="2"/>
        <v>249.81250000000003</v>
      </c>
      <c r="O36" s="28">
        <f t="shared" si="2"/>
        <v>0</v>
      </c>
      <c r="P36" s="28">
        <f t="shared" si="2"/>
        <v>1.9437499999999996</v>
      </c>
      <c r="Q36" s="28">
        <f t="shared" si="2"/>
        <v>30.142272727272726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49.607893306014006</v>
      </c>
      <c r="C37" s="28">
        <f t="shared" si="3" ref="C37:Q37">STDEV(C9:C32)</f>
        <v>47.295083476134081</v>
      </c>
      <c r="D37" s="28">
        <f t="shared" si="3"/>
        <v>63.698639617580795</v>
      </c>
      <c r="E37" s="28">
        <f t="shared" si="3"/>
        <v>13.822166626825918</v>
      </c>
      <c r="F37" s="28">
        <f t="shared" si="3"/>
        <v>28.122784035085473</v>
      </c>
      <c r="G37" s="28">
        <f t="shared" si="3"/>
        <v>57.874955467418992</v>
      </c>
      <c r="H37" s="28">
        <f t="shared" si="3"/>
        <v>13.976091471020213</v>
      </c>
      <c r="I37" s="28">
        <f t="shared" si="3"/>
        <v>0.5048329828564192</v>
      </c>
      <c r="J37" s="28">
        <f t="shared" si="3"/>
        <v>0.34513361201848725</v>
      </c>
      <c r="K37" s="28">
        <f t="shared" si="3"/>
        <v>96.699151817990753</v>
      </c>
      <c r="L37" s="28">
        <f t="shared" si="3"/>
        <v>5.7087765986788401</v>
      </c>
      <c r="M37" s="28">
        <f t="shared" si="3"/>
        <v>14.932437699591253</v>
      </c>
      <c r="N37" s="28">
        <f t="shared" si="3"/>
        <v>317.15614905032942</v>
      </c>
      <c r="O37" s="28">
        <f t="shared" si="3"/>
        <v>0</v>
      </c>
      <c r="P37" s="28">
        <f t="shared" si="3"/>
        <v>1.3112384205979379</v>
      </c>
      <c r="Q37" s="28">
        <f t="shared" si="3"/>
        <v>9.291590633121265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P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22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COUNT(Q9:Q32)+2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c53417d-bb12-4022-98e8-b9275b8592d8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3" sqref="G4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14-03-2023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49" t="s">
        <v>375</v>
      </c>
      <c r="B9" s="50">
        <v>134.82</v>
      </c>
      <c r="C9" s="50">
        <v>221.19</v>
      </c>
      <c r="D9" s="50">
        <v>230.18</v>
      </c>
      <c r="E9" s="50">
        <v>10.28</v>
      </c>
      <c r="F9" s="50">
        <v>11.58</v>
      </c>
      <c r="G9" s="50">
        <v>148.90</v>
      </c>
      <c r="H9" s="50">
        <v>59.76</v>
      </c>
      <c r="I9" s="50">
        <v>1.39</v>
      </c>
      <c r="J9" s="50">
        <v>0.14000000000000001</v>
      </c>
      <c r="K9" s="50">
        <v>272.77</v>
      </c>
      <c r="L9" s="50">
        <v>24.03</v>
      </c>
      <c r="M9" s="50">
        <v>47.66</v>
      </c>
      <c r="N9" s="50">
        <v>5</v>
      </c>
      <c r="O9" s="50">
        <v>0</v>
      </c>
      <c r="P9" s="50">
        <v>2.79</v>
      </c>
      <c r="Q9" s="50">
        <v>38.10</v>
      </c>
      <c r="R9" s="43"/>
      <c r="S9" s="43"/>
      <c r="T9" s="43"/>
      <c r="U9" s="43"/>
    </row>
    <row r="10" spans="1:21" s="11" customFormat="1" ht="15">
      <c r="A10" s="49" t="s">
        <v>376</v>
      </c>
      <c r="B10" s="50">
        <v>113.12</v>
      </c>
      <c r="C10" s="50">
        <v>208.52</v>
      </c>
      <c r="D10" s="50">
        <v>205.79</v>
      </c>
      <c r="E10" s="50">
        <v>25.16</v>
      </c>
      <c r="F10" s="50">
        <v>18.22</v>
      </c>
      <c r="G10" s="50">
        <v>117.05</v>
      </c>
      <c r="H10" s="50">
        <v>54.72</v>
      </c>
      <c r="I10" s="50">
        <v>0.95</v>
      </c>
      <c r="J10" s="50">
        <v>0.46</v>
      </c>
      <c r="K10" s="50">
        <v>353.32</v>
      </c>
      <c r="L10" s="50">
        <v>24.09</v>
      </c>
      <c r="M10" s="50">
        <v>40.74</v>
      </c>
      <c r="N10" s="50">
        <v>4.9000000000000004</v>
      </c>
      <c r="O10" s="50">
        <v>0</v>
      </c>
      <c r="P10" s="50">
        <v>1.64</v>
      </c>
      <c r="Q10" s="50">
        <v>38.700000000000003</v>
      </c>
      <c r="R10" s="43"/>
      <c r="S10" s="43"/>
      <c r="T10" s="43"/>
      <c r="U10" s="43"/>
    </row>
    <row r="11" spans="1:21" s="11" customFormat="1" ht="15">
      <c r="A11" s="49" t="s">
        <v>377</v>
      </c>
      <c r="B11" s="50">
        <v>96.78</v>
      </c>
      <c r="C11" s="50">
        <v>193.30</v>
      </c>
      <c r="D11" s="50">
        <v>184.29</v>
      </c>
      <c r="E11" s="50">
        <v>19.09</v>
      </c>
      <c r="F11" s="50">
        <v>12.71</v>
      </c>
      <c r="G11" s="50">
        <v>98.85</v>
      </c>
      <c r="H11" s="50">
        <v>51.79</v>
      </c>
      <c r="I11" s="50">
        <v>1.1299999999999999</v>
      </c>
      <c r="J11" s="50">
        <v>0.97</v>
      </c>
      <c r="K11" s="50">
        <v>359.69</v>
      </c>
      <c r="L11" s="50">
        <v>24.12</v>
      </c>
      <c r="M11" s="50">
        <v>39.32</v>
      </c>
      <c r="N11" s="50">
        <v>5.20</v>
      </c>
      <c r="O11" s="50">
        <v>0</v>
      </c>
      <c r="P11" s="50">
        <v>2.0499999999999998</v>
      </c>
      <c r="Q11" s="50">
        <v>38.06</v>
      </c>
      <c r="R11" s="43"/>
      <c r="S11" s="43"/>
      <c r="T11" s="43"/>
      <c r="U11" s="43"/>
    </row>
    <row r="12" spans="1:21" s="11" customFormat="1" ht="15">
      <c r="A12" s="49" t="s">
        <v>378</v>
      </c>
      <c r="B12" s="50">
        <v>72.41</v>
      </c>
      <c r="C12" s="50">
        <v>179.01</v>
      </c>
      <c r="D12" s="50">
        <v>156.86000000000001</v>
      </c>
      <c r="E12" s="50">
        <v>5.18</v>
      </c>
      <c r="F12" s="50">
        <v>3.24</v>
      </c>
      <c r="G12" s="50">
        <v>98.85</v>
      </c>
      <c r="H12" s="50">
        <v>46.12</v>
      </c>
      <c r="I12" s="50">
        <v>1.1599999999999999</v>
      </c>
      <c r="J12" s="50">
        <v>0.28000000000000003</v>
      </c>
      <c r="K12" s="50">
        <v>337.93</v>
      </c>
      <c r="L12" s="50">
        <v>22.32</v>
      </c>
      <c r="M12" s="50">
        <v>53.34</v>
      </c>
      <c r="N12" s="50">
        <v>5.20</v>
      </c>
      <c r="O12" s="50">
        <v>0</v>
      </c>
      <c r="P12" s="50">
        <v>1.89</v>
      </c>
      <c r="Q12" s="50">
        <v>37.08</v>
      </c>
      <c r="R12" s="43"/>
      <c r="S12" s="43"/>
      <c r="T12" s="43"/>
      <c r="U12" s="43"/>
    </row>
    <row r="13" spans="1:21" s="11" customFormat="1" ht="15">
      <c r="A13" s="49" t="s">
        <v>379</v>
      </c>
      <c r="B13" s="50">
        <v>56.65</v>
      </c>
      <c r="C13" s="50">
        <v>167.97</v>
      </c>
      <c r="D13" s="50">
        <v>138.13</v>
      </c>
      <c r="E13" s="50">
        <v>5.54</v>
      </c>
      <c r="F13" s="50">
        <v>5.38</v>
      </c>
      <c r="G13" s="50">
        <v>116.64</v>
      </c>
      <c r="H13" s="50">
        <v>46.92</v>
      </c>
      <c r="I13" s="50">
        <v>1.02</v>
      </c>
      <c r="J13" s="50">
        <v>0.22</v>
      </c>
      <c r="K13" s="50">
        <v>345.31</v>
      </c>
      <c r="L13" s="50">
        <v>21.72</v>
      </c>
      <c r="M13" s="50">
        <v>54.57</v>
      </c>
      <c r="N13" s="50">
        <v>4.9000000000000004</v>
      </c>
      <c r="O13" s="50">
        <v>0</v>
      </c>
      <c r="P13" s="50">
        <v>1.62</v>
      </c>
      <c r="Q13" s="50">
        <v>35.43</v>
      </c>
      <c r="R13" s="43"/>
      <c r="S13" s="43"/>
      <c r="T13" s="43"/>
      <c r="U13" s="43"/>
    </row>
    <row r="14" spans="1:21" s="11" customFormat="1" ht="15">
      <c r="A14" s="49" t="s">
        <v>380</v>
      </c>
      <c r="B14" s="50">
        <v>56.76</v>
      </c>
      <c r="C14" s="50">
        <v>168.11</v>
      </c>
      <c r="D14" s="50">
        <v>138.30000000000001</v>
      </c>
      <c r="E14" s="50">
        <v>7.09</v>
      </c>
      <c r="F14" s="50">
        <v>10.26</v>
      </c>
      <c r="G14" s="50">
        <v>116.64</v>
      </c>
      <c r="H14" s="50">
        <v>46.92</v>
      </c>
      <c r="I14" s="50">
        <v>0.87</v>
      </c>
      <c r="J14" s="50">
        <v>0.20</v>
      </c>
      <c r="K14" s="50">
        <v>68.239999999999995</v>
      </c>
      <c r="L14" s="50">
        <v>22.58</v>
      </c>
      <c r="M14" s="50">
        <v>48.30</v>
      </c>
      <c r="N14" s="50">
        <v>5.20</v>
      </c>
      <c r="O14" s="50">
        <v>0</v>
      </c>
      <c r="P14" s="50">
        <v>1.53</v>
      </c>
      <c r="Q14" s="50">
        <v>35.71</v>
      </c>
      <c r="R14" s="43"/>
      <c r="S14" s="43"/>
      <c r="T14" s="43"/>
      <c r="U14" s="43"/>
    </row>
    <row r="15" spans="1:21" s="11" customFormat="1" ht="15">
      <c r="A15" s="49" t="s">
        <v>381</v>
      </c>
      <c r="B15" s="50">
        <v>61.57</v>
      </c>
      <c r="C15" s="50">
        <v>171.03</v>
      </c>
      <c r="D15" s="50">
        <v>143.76</v>
      </c>
      <c r="E15" s="50">
        <v>4.70</v>
      </c>
      <c r="F15" s="50">
        <v>3.51</v>
      </c>
      <c r="G15" s="50">
        <v>108.45</v>
      </c>
      <c r="H15" s="50">
        <v>46.39</v>
      </c>
      <c r="I15" s="50">
        <v>0.86</v>
      </c>
      <c r="J15" s="50">
        <v>0.17</v>
      </c>
      <c r="K15" s="50">
        <v>300.58999999999997</v>
      </c>
      <c r="L15" s="50">
        <v>22.33</v>
      </c>
      <c r="M15" s="50">
        <v>52.17</v>
      </c>
      <c r="N15" s="50">
        <v>61.90</v>
      </c>
      <c r="O15" s="50">
        <v>0</v>
      </c>
      <c r="P15" s="50">
        <v>1.56</v>
      </c>
      <c r="Q15" s="50">
        <v>37.53</v>
      </c>
      <c r="R15" s="43"/>
      <c r="S15" s="43"/>
      <c r="T15" s="43"/>
      <c r="U15" s="43"/>
    </row>
    <row r="16" spans="1:21" s="11" customFormat="1" ht="15">
      <c r="A16" s="49" t="s">
        <v>382</v>
      </c>
      <c r="B16" s="50">
        <v>66.61</v>
      </c>
      <c r="C16" s="50">
        <v>177.41</v>
      </c>
      <c r="D16" s="50">
        <v>151.33000000000001</v>
      </c>
      <c r="E16" s="50">
        <v>4.30</v>
      </c>
      <c r="F16" s="50">
        <v>3.39</v>
      </c>
      <c r="G16" s="50">
        <v>142.97</v>
      </c>
      <c r="H16" s="50">
        <v>54.19</v>
      </c>
      <c r="I16" s="50">
        <v>0.86</v>
      </c>
      <c r="J16" s="50">
        <v>0.33</v>
      </c>
      <c r="K16" s="50">
        <v>209.82</v>
      </c>
      <c r="L16" s="50">
        <v>25.06</v>
      </c>
      <c r="M16" s="50">
        <v>48.01</v>
      </c>
      <c r="N16" s="50">
        <v>276.80</v>
      </c>
      <c r="O16" s="50">
        <v>0</v>
      </c>
      <c r="P16" s="50">
        <v>1.64</v>
      </c>
      <c r="Q16" s="50">
        <v>37.90</v>
      </c>
      <c r="R16" s="43"/>
      <c r="S16" s="43"/>
      <c r="T16" s="43"/>
      <c r="U16" s="43"/>
    </row>
    <row r="17" spans="1:21" s="11" customFormat="1" ht="15">
      <c r="A17" s="49" t="s">
        <v>383</v>
      </c>
      <c r="B17" s="50">
        <v>64.45</v>
      </c>
      <c r="C17" s="50">
        <v>179.06</v>
      </c>
      <c r="D17" s="50">
        <v>149.96</v>
      </c>
      <c r="E17" s="50">
        <v>7.51</v>
      </c>
      <c r="F17" s="50">
        <v>5.51</v>
      </c>
      <c r="G17" s="50">
        <v>142.97</v>
      </c>
      <c r="H17" s="50">
        <v>54.19</v>
      </c>
      <c r="I17" s="50">
        <v>0.86</v>
      </c>
      <c r="J17" s="50">
        <v>0.74</v>
      </c>
      <c r="K17" s="50">
        <v>193.81</v>
      </c>
      <c r="L17" s="50">
        <v>27.81</v>
      </c>
      <c r="M17" s="50">
        <v>45.34</v>
      </c>
      <c r="N17" s="50">
        <v>387.5</v>
      </c>
      <c r="O17" s="50">
        <v>0</v>
      </c>
      <c r="P17" s="50">
        <v>1.62</v>
      </c>
      <c r="Q17" s="50">
        <v>36.090000000000003</v>
      </c>
      <c r="R17" s="43"/>
      <c r="S17" s="43"/>
      <c r="T17" s="43"/>
      <c r="U17" s="43"/>
    </row>
    <row r="18" spans="1:21" s="11" customFormat="1" ht="15">
      <c r="A18" s="49" t="s">
        <v>384</v>
      </c>
      <c r="B18" s="50">
        <v>55.68</v>
      </c>
      <c r="C18" s="50">
        <v>177.42</v>
      </c>
      <c r="D18" s="50">
        <v>142.57</v>
      </c>
      <c r="E18" s="50">
        <v>12.75</v>
      </c>
      <c r="F18" s="50">
        <v>6.08</v>
      </c>
      <c r="G18" s="50">
        <v>141.04</v>
      </c>
      <c r="H18" s="50">
        <v>51.94</v>
      </c>
      <c r="I18" s="50">
        <v>0.84</v>
      </c>
      <c r="J18" s="50">
        <v>0.94</v>
      </c>
      <c r="K18" s="50">
        <v>125.45</v>
      </c>
      <c r="L18" s="50">
        <v>29.75</v>
      </c>
      <c r="M18" s="50">
        <v>28.66</v>
      </c>
      <c r="N18" s="50">
        <v>598.90</v>
      </c>
      <c r="O18" s="50">
        <v>0</v>
      </c>
      <c r="P18" s="50">
        <v>1.53</v>
      </c>
      <c r="Q18" s="50">
        <v>36.10</v>
      </c>
      <c r="R18" s="43"/>
      <c r="S18" s="43"/>
      <c r="T18" s="43"/>
      <c r="U18" s="43"/>
    </row>
    <row r="19" spans="1:21" s="11" customFormat="1" ht="15">
      <c r="A19" s="49" t="s">
        <v>385</v>
      </c>
      <c r="B19" s="50">
        <v>27.42</v>
      </c>
      <c r="C19" s="50">
        <v>177.62</v>
      </c>
      <c r="D19" s="50">
        <v>120.02</v>
      </c>
      <c r="E19" s="50">
        <v>23.33</v>
      </c>
      <c r="F19" s="50">
        <v>36.92</v>
      </c>
      <c r="G19" s="50">
        <v>96.64</v>
      </c>
      <c r="H19" s="50">
        <v>48.64</v>
      </c>
      <c r="I19" s="50">
        <v>0.81</v>
      </c>
      <c r="J19" s="50">
        <v>0.33</v>
      </c>
      <c r="K19" s="50">
        <v>78.459999999999994</v>
      </c>
      <c r="L19" s="50">
        <v>34.08</v>
      </c>
      <c r="M19" s="50">
        <v>22.59</v>
      </c>
      <c r="N19" s="50">
        <v>743.60</v>
      </c>
      <c r="O19" s="50">
        <v>0</v>
      </c>
      <c r="P19" s="50">
        <v>1.38</v>
      </c>
      <c r="Q19" s="50">
        <v>27.94</v>
      </c>
      <c r="R19" s="43"/>
      <c r="S19" s="43"/>
      <c r="T19" s="43"/>
      <c r="U19" s="43"/>
    </row>
    <row r="20" spans="1:21" s="11" customFormat="1" ht="15">
      <c r="A20" s="49" t="s">
        <v>386</v>
      </c>
      <c r="B20" s="50">
        <v>1.02</v>
      </c>
      <c r="C20" s="50">
        <v>109.38</v>
      </c>
      <c r="D20" s="50">
        <v>61.18</v>
      </c>
      <c r="E20" s="50">
        <v>50.79</v>
      </c>
      <c r="F20" s="50">
        <v>63.15</v>
      </c>
      <c r="G20" s="50">
        <v>85.11</v>
      </c>
      <c r="H20" s="50">
        <v>45.94</v>
      </c>
      <c r="I20" s="50">
        <v>0.61</v>
      </c>
      <c r="J20" s="50">
        <v>1.62</v>
      </c>
      <c r="K20" s="50">
        <v>129.47999999999999</v>
      </c>
      <c r="L20" s="50">
        <v>34.729999999999997</v>
      </c>
      <c r="M20" s="50">
        <v>20.41</v>
      </c>
      <c r="N20" s="50">
        <v>791.90</v>
      </c>
      <c r="O20" s="50">
        <v>0</v>
      </c>
      <c r="P20" s="50">
        <v>0.90</v>
      </c>
      <c r="Q20" s="50">
        <v>19.70</v>
      </c>
      <c r="R20" s="43"/>
      <c r="S20" s="43"/>
      <c r="T20" s="43"/>
      <c r="U20" s="43"/>
    </row>
    <row r="21" spans="1:21" s="11" customFormat="1" ht="15">
      <c r="A21" s="49" t="s">
        <v>387</v>
      </c>
      <c r="B21" s="50">
        <v>1.0900000000000001</v>
      </c>
      <c r="C21" s="50">
        <v>81.12</v>
      </c>
      <c r="D21" s="50">
        <v>45.59</v>
      </c>
      <c r="E21" s="50">
        <v>45.72</v>
      </c>
      <c r="F21" s="50">
        <v>77.09</v>
      </c>
      <c r="G21" s="50">
        <v>66.75</v>
      </c>
      <c r="H21" s="50">
        <v>42.53</v>
      </c>
      <c r="I21" s="50">
        <v>0.46</v>
      </c>
      <c r="J21" s="50">
        <v>1.38</v>
      </c>
      <c r="K21" s="50">
        <v>128.82</v>
      </c>
      <c r="L21" s="50">
        <v>36.31</v>
      </c>
      <c r="M21" s="50">
        <v>17.66</v>
      </c>
      <c r="N21" s="50">
        <v>702.80</v>
      </c>
      <c r="O21" s="50">
        <v>0</v>
      </c>
      <c r="P21" s="50">
        <v>0.59</v>
      </c>
      <c r="Q21" s="50">
        <v>17.59</v>
      </c>
      <c r="R21" s="43"/>
      <c r="S21" s="43"/>
      <c r="T21" s="43"/>
      <c r="U21" s="43"/>
    </row>
    <row r="22" spans="1:21" s="11" customFormat="1" ht="15">
      <c r="A22" s="49" t="s">
        <v>388</v>
      </c>
      <c r="B22" s="50">
        <v>7.45</v>
      </c>
      <c r="C22" s="50">
        <v>116.37</v>
      </c>
      <c r="D22" s="50">
        <v>70.20</v>
      </c>
      <c r="E22" s="50">
        <v>29.68</v>
      </c>
      <c r="F22" s="50">
        <v>56.68</v>
      </c>
      <c r="G22" s="50">
        <v>96.64</v>
      </c>
      <c r="H22" s="50">
        <v>33.24</v>
      </c>
      <c r="I22" s="50">
        <v>0.48</v>
      </c>
      <c r="J22" s="50">
        <v>0.42</v>
      </c>
      <c r="K22" s="50">
        <v>56.84</v>
      </c>
      <c r="L22" s="50">
        <v>38.15</v>
      </c>
      <c r="M22" s="50">
        <v>15.74</v>
      </c>
      <c r="N22" s="50">
        <v>699.40</v>
      </c>
      <c r="O22" s="50">
        <v>0</v>
      </c>
      <c r="P22" s="50">
        <v>0.89</v>
      </c>
      <c r="Q22" s="50">
        <v>17.68</v>
      </c>
      <c r="R22" s="43"/>
      <c r="S22" s="43"/>
      <c r="T22" s="43"/>
      <c r="U22" s="43"/>
    </row>
    <row r="23" spans="1:21" s="11" customFormat="1" ht="15">
      <c r="A23" s="49" t="s">
        <v>389</v>
      </c>
      <c r="B23" s="58" t="s">
        <v>4</v>
      </c>
      <c r="C23" s="58" t="s">
        <v>4</v>
      </c>
      <c r="D23" s="58" t="s">
        <v>4</v>
      </c>
      <c r="E23" s="58" t="s">
        <v>4</v>
      </c>
      <c r="F23" s="58" t="s">
        <v>4</v>
      </c>
      <c r="G23" s="58" t="s">
        <v>4</v>
      </c>
      <c r="H23" s="58" t="s">
        <v>4</v>
      </c>
      <c r="I23" s="58" t="s">
        <v>4</v>
      </c>
      <c r="J23" s="58" t="s">
        <v>4</v>
      </c>
      <c r="K23" s="58" t="s">
        <v>4</v>
      </c>
      <c r="L23" s="58" t="s">
        <v>4</v>
      </c>
      <c r="M23" s="58" t="s">
        <v>4</v>
      </c>
      <c r="N23" s="58" t="s">
        <v>4</v>
      </c>
      <c r="O23" s="58" t="s">
        <v>4</v>
      </c>
      <c r="P23" s="58" t="s">
        <v>4</v>
      </c>
      <c r="Q23" s="58" t="s">
        <v>4</v>
      </c>
      <c r="R23" s="43"/>
      <c r="S23" s="43"/>
      <c r="T23" s="43"/>
      <c r="U23" s="43"/>
    </row>
    <row r="24" spans="1:21" s="11" customFormat="1" ht="15">
      <c r="A24" s="49" t="s">
        <v>390</v>
      </c>
      <c r="B24" s="50">
        <v>2.52</v>
      </c>
      <c r="C24" s="50">
        <v>85.70</v>
      </c>
      <c r="D24" s="50">
        <v>49.32</v>
      </c>
      <c r="E24" s="50">
        <v>17.59</v>
      </c>
      <c r="F24" s="50">
        <v>44.94</v>
      </c>
      <c r="G24" s="50">
        <v>47.30</v>
      </c>
      <c r="H24" s="50">
        <v>32.85</v>
      </c>
      <c r="I24" s="59" t="s">
        <v>20</v>
      </c>
      <c r="J24" s="50">
        <v>1.30</v>
      </c>
      <c r="K24" s="50">
        <v>347.87</v>
      </c>
      <c r="L24" s="50">
        <v>37.799999999999997</v>
      </c>
      <c r="M24" s="50">
        <v>13.91</v>
      </c>
      <c r="N24" s="50">
        <v>405</v>
      </c>
      <c r="O24" s="50">
        <v>0</v>
      </c>
      <c r="P24" s="50">
        <v>0.64</v>
      </c>
      <c r="Q24" s="59" t="s">
        <v>20</v>
      </c>
      <c r="R24" s="43"/>
      <c r="S24" s="43"/>
      <c r="T24" s="43"/>
      <c r="U24" s="43"/>
    </row>
    <row r="25" spans="1:21" s="11" customFormat="1" ht="15">
      <c r="A25" s="49" t="s">
        <v>391</v>
      </c>
      <c r="B25" s="50">
        <v>1.26</v>
      </c>
      <c r="C25" s="50">
        <v>107.43</v>
      </c>
      <c r="D25" s="50">
        <v>60.28</v>
      </c>
      <c r="E25" s="50">
        <v>19.43</v>
      </c>
      <c r="F25" s="50">
        <v>64.010000000000005</v>
      </c>
      <c r="G25" s="50">
        <v>47.73</v>
      </c>
      <c r="H25" s="50">
        <v>17.920000000000002</v>
      </c>
      <c r="I25" s="50">
        <v>0.5</v>
      </c>
      <c r="J25" s="50">
        <v>0.89</v>
      </c>
      <c r="K25" s="50">
        <v>21.40</v>
      </c>
      <c r="L25" s="50">
        <v>36.35</v>
      </c>
      <c r="M25" s="50">
        <v>16.670000000000002</v>
      </c>
      <c r="N25" s="50">
        <v>227.70</v>
      </c>
      <c r="O25" s="50">
        <v>0</v>
      </c>
      <c r="P25" s="50">
        <v>0.61</v>
      </c>
      <c r="Q25" s="59" t="s">
        <v>20</v>
      </c>
      <c r="R25" s="43"/>
      <c r="S25" s="43"/>
      <c r="T25" s="43"/>
      <c r="U25" s="43"/>
    </row>
    <row r="26" spans="1:21" s="11" customFormat="1" ht="15">
      <c r="A26" s="49" t="s">
        <v>392</v>
      </c>
      <c r="B26" s="50">
        <v>4.34</v>
      </c>
      <c r="C26" s="50">
        <v>142.84</v>
      </c>
      <c r="D26" s="50">
        <v>81.92</v>
      </c>
      <c r="E26" s="50">
        <v>17.57</v>
      </c>
      <c r="F26" s="50">
        <v>51.02</v>
      </c>
      <c r="G26" s="50">
        <v>47.73</v>
      </c>
      <c r="H26" s="50">
        <v>19.03</v>
      </c>
      <c r="I26" s="50">
        <v>0.51</v>
      </c>
      <c r="J26" s="50">
        <v>0.90</v>
      </c>
      <c r="K26" s="50">
        <v>17.47</v>
      </c>
      <c r="L26" s="50">
        <v>34.020000000000003</v>
      </c>
      <c r="M26" s="50">
        <v>20.61</v>
      </c>
      <c r="N26" s="50">
        <v>62.30</v>
      </c>
      <c r="O26" s="50">
        <v>0</v>
      </c>
      <c r="P26" s="50">
        <v>1.0900000000000001</v>
      </c>
      <c r="Q26" s="50">
        <v>30.63</v>
      </c>
      <c r="R26" s="43"/>
      <c r="S26" s="43"/>
      <c r="T26" s="43"/>
      <c r="U26" s="43"/>
    </row>
    <row r="27" spans="1:21" s="11" customFormat="1" ht="15">
      <c r="A27" s="49" t="s">
        <v>393</v>
      </c>
      <c r="B27" s="50">
        <v>24.27</v>
      </c>
      <c r="C27" s="50">
        <v>193.13</v>
      </c>
      <c r="D27" s="50">
        <v>126.05</v>
      </c>
      <c r="E27" s="50">
        <v>19.920000000000002</v>
      </c>
      <c r="F27" s="50">
        <v>26.78</v>
      </c>
      <c r="G27" s="50">
        <v>54.24</v>
      </c>
      <c r="H27" s="50">
        <v>23.40</v>
      </c>
      <c r="I27" s="50">
        <v>0.75</v>
      </c>
      <c r="J27" s="50">
        <v>0.49</v>
      </c>
      <c r="K27" s="50">
        <v>48.03</v>
      </c>
      <c r="L27" s="50">
        <v>31.15</v>
      </c>
      <c r="M27" s="50">
        <v>28.51</v>
      </c>
      <c r="N27" s="50">
        <v>6.60</v>
      </c>
      <c r="O27" s="50">
        <v>0</v>
      </c>
      <c r="P27" s="50">
        <v>3.81</v>
      </c>
      <c r="Q27" s="50">
        <v>32.60</v>
      </c>
      <c r="R27" s="43"/>
      <c r="S27" s="43"/>
      <c r="T27" s="43"/>
      <c r="U27" s="43"/>
    </row>
    <row r="28" spans="1:21" s="11" customFormat="1" ht="15">
      <c r="A28" s="49" t="s">
        <v>394</v>
      </c>
      <c r="B28" s="50">
        <v>63.55</v>
      </c>
      <c r="C28" s="50">
        <v>202.83</v>
      </c>
      <c r="D28" s="50">
        <v>162.90</v>
      </c>
      <c r="E28" s="50">
        <v>27.83</v>
      </c>
      <c r="F28" s="50">
        <v>2.99</v>
      </c>
      <c r="G28" s="50">
        <v>154.22999999999999</v>
      </c>
      <c r="H28" s="50">
        <v>31.43</v>
      </c>
      <c r="I28" s="50">
        <v>1.44</v>
      </c>
      <c r="J28" s="50">
        <v>0.16</v>
      </c>
      <c r="K28" s="50">
        <v>54.03</v>
      </c>
      <c r="L28" s="50">
        <v>29.04</v>
      </c>
      <c r="M28" s="50">
        <v>31.20</v>
      </c>
      <c r="N28" s="50">
        <v>5.0999999999999996</v>
      </c>
      <c r="O28" s="50">
        <v>0</v>
      </c>
      <c r="P28" s="50">
        <v>4.99</v>
      </c>
      <c r="Q28" s="50">
        <v>40.93</v>
      </c>
      <c r="R28" s="43"/>
      <c r="S28" s="43"/>
      <c r="T28" s="43"/>
      <c r="U28" s="43"/>
    </row>
    <row r="29" spans="1:21" s="11" customFormat="1" ht="15">
      <c r="A29" s="49" t="s">
        <v>395</v>
      </c>
      <c r="B29" s="50">
        <v>81.96</v>
      </c>
      <c r="C29" s="50">
        <v>208.74</v>
      </c>
      <c r="D29" s="50">
        <v>180.92</v>
      </c>
      <c r="E29" s="50">
        <v>42.19</v>
      </c>
      <c r="F29" s="50">
        <v>6.81</v>
      </c>
      <c r="G29" s="50">
        <v>179.56</v>
      </c>
      <c r="H29" s="50">
        <v>40.90</v>
      </c>
      <c r="I29" s="50">
        <v>1.5</v>
      </c>
      <c r="J29" s="50">
        <v>1.66</v>
      </c>
      <c r="K29" s="50">
        <v>349.18</v>
      </c>
      <c r="L29" s="50">
        <v>28.63</v>
      </c>
      <c r="M29" s="50">
        <v>36.60</v>
      </c>
      <c r="N29" s="50">
        <v>4.9000000000000004</v>
      </c>
      <c r="O29" s="50">
        <v>0</v>
      </c>
      <c r="P29" s="50">
        <v>5.65</v>
      </c>
      <c r="Q29" s="50">
        <v>45.11</v>
      </c>
      <c r="R29" s="43"/>
      <c r="S29" s="43"/>
      <c r="T29" s="43"/>
      <c r="U29" s="43"/>
    </row>
    <row r="30" spans="1:21" s="11" customFormat="1" ht="15">
      <c r="A30" s="49" t="s">
        <v>396</v>
      </c>
      <c r="B30" s="50">
        <v>77.48</v>
      </c>
      <c r="C30" s="50">
        <v>205.13</v>
      </c>
      <c r="D30" s="50">
        <v>175.34</v>
      </c>
      <c r="E30" s="50">
        <v>9.3699999999999992</v>
      </c>
      <c r="F30" s="50">
        <v>9.15</v>
      </c>
      <c r="G30" s="50">
        <v>179.56</v>
      </c>
      <c r="H30" s="50">
        <v>51.66</v>
      </c>
      <c r="I30" s="50">
        <v>1.59</v>
      </c>
      <c r="J30" s="50">
        <v>2.09</v>
      </c>
      <c r="K30" s="50">
        <v>9.25</v>
      </c>
      <c r="L30" s="50">
        <v>29.13</v>
      </c>
      <c r="M30" s="50">
        <v>28.44</v>
      </c>
      <c r="N30" s="50">
        <v>5.40</v>
      </c>
      <c r="O30" s="50">
        <v>0</v>
      </c>
      <c r="P30" s="50">
        <v>2.73</v>
      </c>
      <c r="Q30" s="50">
        <v>46.31</v>
      </c>
      <c r="R30" s="43"/>
      <c r="S30" s="43"/>
      <c r="T30" s="43"/>
      <c r="U30" s="43"/>
    </row>
    <row r="31" spans="1:21" s="11" customFormat="1" ht="15">
      <c r="A31" s="49" t="s">
        <v>397</v>
      </c>
      <c r="B31" s="50">
        <v>51.38</v>
      </c>
      <c r="C31" s="50">
        <v>186.58</v>
      </c>
      <c r="D31" s="50">
        <v>144.16999999999999</v>
      </c>
      <c r="E31" s="50">
        <v>22.81</v>
      </c>
      <c r="F31" s="50">
        <v>27.53</v>
      </c>
      <c r="G31" s="50">
        <v>174.82</v>
      </c>
      <c r="H31" s="50">
        <v>51.66</v>
      </c>
      <c r="I31" s="50">
        <v>1.05</v>
      </c>
      <c r="J31" s="50">
        <v>0.84</v>
      </c>
      <c r="K31" s="50">
        <v>259.23</v>
      </c>
      <c r="L31" s="50">
        <v>28.77</v>
      </c>
      <c r="M31" s="50">
        <v>27.84</v>
      </c>
      <c r="N31" s="50">
        <v>4.70</v>
      </c>
      <c r="O31" s="50">
        <v>0</v>
      </c>
      <c r="P31" s="50">
        <v>1.88</v>
      </c>
      <c r="Q31" s="50">
        <v>47.82</v>
      </c>
      <c r="R31" s="43"/>
      <c r="S31" s="43"/>
      <c r="T31" s="43"/>
      <c r="U31" s="43"/>
    </row>
    <row r="32" spans="1:21" s="11" customFormat="1" ht="15">
      <c r="A32" s="49" t="s">
        <v>398</v>
      </c>
      <c r="B32" s="50">
        <v>37.44</v>
      </c>
      <c r="C32" s="50">
        <v>178.48</v>
      </c>
      <c r="D32" s="50">
        <v>128.52000000000001</v>
      </c>
      <c r="E32" s="50">
        <v>5.76</v>
      </c>
      <c r="F32" s="50">
        <v>4.1100000000000003</v>
      </c>
      <c r="G32" s="50">
        <v>98.52</v>
      </c>
      <c r="H32" s="50">
        <v>45.84</v>
      </c>
      <c r="I32" s="50">
        <v>0.89</v>
      </c>
      <c r="J32" s="50">
        <v>0.60</v>
      </c>
      <c r="K32" s="50">
        <v>244.38</v>
      </c>
      <c r="L32" s="50">
        <v>27.54</v>
      </c>
      <c r="M32" s="50">
        <v>33.57</v>
      </c>
      <c r="N32" s="50">
        <v>5.60</v>
      </c>
      <c r="O32" s="50">
        <v>0</v>
      </c>
      <c r="P32" s="50">
        <v>1.90</v>
      </c>
      <c r="Q32" s="50">
        <v>45.90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1.02</v>
      </c>
      <c r="C34" s="28">
        <f t="shared" si="0"/>
        <v>81.120000000000005</v>
      </c>
      <c r="D34" s="28">
        <f t="shared" si="0"/>
        <v>45.590000000000003</v>
      </c>
      <c r="E34" s="28">
        <f t="shared" si="0"/>
        <v>4.2999999999999998</v>
      </c>
      <c r="F34" s="28">
        <f t="shared" si="0"/>
        <v>2.9900000000000002</v>
      </c>
      <c r="G34" s="28">
        <f t="shared" si="0"/>
        <v>47.299999999999997</v>
      </c>
      <c r="H34" s="28">
        <f t="shared" si="0"/>
        <v>17.920000000000002</v>
      </c>
      <c r="I34" s="28">
        <f t="shared" si="0"/>
        <v>0.46000000000000002</v>
      </c>
      <c r="J34" s="28">
        <f t="shared" si="0"/>
        <v>0.14000000000000001</v>
      </c>
      <c r="K34" s="28">
        <f t="shared" si="0"/>
        <v>9.25</v>
      </c>
      <c r="L34" s="28">
        <f t="shared" si="0"/>
        <v>21.719999999999999</v>
      </c>
      <c r="M34" s="28">
        <f t="shared" si="0"/>
        <v>13.91</v>
      </c>
      <c r="N34" s="28">
        <f t="shared" si="0"/>
        <v>4.7000000000000002</v>
      </c>
      <c r="O34" s="28">
        <f t="shared" si="0"/>
        <v>0</v>
      </c>
      <c r="P34" s="28">
        <f t="shared" si="0"/>
        <v>0.58999999999999997</v>
      </c>
      <c r="Q34" s="28">
        <f t="shared" si="0"/>
        <v>17.59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134.81999999999999</v>
      </c>
      <c r="C35" s="29">
        <f t="shared" si="1"/>
        <v>221.19</v>
      </c>
      <c r="D35" s="29">
        <f t="shared" si="1"/>
        <v>230.18000000000001</v>
      </c>
      <c r="E35" s="29">
        <f t="shared" si="1"/>
        <v>50.789999999999999</v>
      </c>
      <c r="F35" s="29">
        <f t="shared" si="1"/>
        <v>77.090000000000003</v>
      </c>
      <c r="G35" s="29">
        <f t="shared" si="1"/>
        <v>179.56</v>
      </c>
      <c r="H35" s="29">
        <f t="shared" si="1"/>
        <v>59.759999999999998</v>
      </c>
      <c r="I35" s="29">
        <f t="shared" si="1"/>
        <v>1.5900000000000001</v>
      </c>
      <c r="J35" s="29">
        <f t="shared" si="1"/>
        <v>2.0899999999999999</v>
      </c>
      <c r="K35" s="29">
        <f t="shared" si="1"/>
        <v>359.69</v>
      </c>
      <c r="L35" s="29">
        <f t="shared" si="1"/>
        <v>38.149999999999999</v>
      </c>
      <c r="M35" s="29">
        <f t="shared" si="1"/>
        <v>54.57</v>
      </c>
      <c r="N35" s="29">
        <f t="shared" si="1"/>
        <v>791.89999999999998</v>
      </c>
      <c r="O35" s="29">
        <f t="shared" si="1"/>
        <v>0</v>
      </c>
      <c r="P35" s="29">
        <f t="shared" si="1"/>
        <v>5.6500000000000004</v>
      </c>
      <c r="Q35" s="29">
        <f t="shared" si="1"/>
        <v>47.82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50.436086956521748</v>
      </c>
      <c r="C36" s="28">
        <f t="shared" si="2"/>
        <v>166.88565217391303</v>
      </c>
      <c r="D36" s="28">
        <f t="shared" si="2"/>
        <v>132.50347826086957</v>
      </c>
      <c r="E36" s="28">
        <f t="shared" si="2"/>
        <v>18.851739130434783</v>
      </c>
      <c r="F36" s="28">
        <f t="shared" si="2"/>
        <v>23.959130434782612</v>
      </c>
      <c r="G36" s="28">
        <f t="shared" si="2"/>
        <v>111.35608695652174</v>
      </c>
      <c r="H36" s="28">
        <f t="shared" si="2"/>
        <v>43.390434782608686</v>
      </c>
      <c r="I36" s="28">
        <f t="shared" si="2"/>
        <v>0.93318181818181822</v>
      </c>
      <c r="J36" s="28">
        <f t="shared" si="2"/>
        <v>0.74478260869565249</v>
      </c>
      <c r="K36" s="28">
        <f t="shared" si="2"/>
        <v>187.45086956521737</v>
      </c>
      <c r="L36" s="28">
        <f t="shared" si="2"/>
        <v>29.109130434782603</v>
      </c>
      <c r="M36" s="28">
        <f t="shared" si="2"/>
        <v>33.559130434782617</v>
      </c>
      <c r="N36" s="28">
        <f t="shared" si="2"/>
        <v>218.28260869565219</v>
      </c>
      <c r="O36" s="28">
        <f t="shared" si="2"/>
        <v>0</v>
      </c>
      <c r="P36" s="28">
        <f t="shared" si="2"/>
        <v>1.9534782608695649</v>
      </c>
      <c r="Q36" s="28">
        <f t="shared" si="2"/>
        <v>35.376666666666672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37.667056831609905</v>
      </c>
      <c r="C37" s="28">
        <f t="shared" si="3" ref="C37:Q37">STDEV(C9:C32)</f>
        <v>40.265231767966654</v>
      </c>
      <c r="D37" s="28">
        <f t="shared" si="3"/>
        <v>50.366308960066426</v>
      </c>
      <c r="E37" s="28">
        <f t="shared" si="3"/>
        <v>13.450067472684403</v>
      </c>
      <c r="F37" s="28">
        <f t="shared" si="3"/>
        <v>23.853685042747106</v>
      </c>
      <c r="G37" s="28">
        <f t="shared" si="3"/>
        <v>41.891036331191273</v>
      </c>
      <c r="H37" s="28">
        <f t="shared" si="3"/>
        <v>11.672310466251034</v>
      </c>
      <c r="I37" s="28">
        <f t="shared" si="3"/>
        <v>0.33163931014677944</v>
      </c>
      <c r="J37" s="28">
        <f t="shared" si="3"/>
        <v>0.55230812847060573</v>
      </c>
      <c r="K37" s="28">
        <f t="shared" si="3"/>
        <v>128.78801563785649</v>
      </c>
      <c r="L37" s="28">
        <f t="shared" si="3"/>
        <v>5.3623306610630834</v>
      </c>
      <c r="M37" s="28">
        <f t="shared" si="3"/>
        <v>13.234525410676765</v>
      </c>
      <c r="N37" s="28">
        <f t="shared" si="3"/>
        <v>292.06304993672154</v>
      </c>
      <c r="O37" s="28">
        <f t="shared" si="3"/>
        <v>0</v>
      </c>
      <c r="P37" s="28">
        <f t="shared" si="3"/>
        <v>1.3019691683811188</v>
      </c>
      <c r="Q37" s="28">
        <f t="shared" si="3"/>
        <v>8.6955306527740532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COUNT(B9:B32)+1</f>
        <v>24</v>
      </c>
      <c r="C38" s="32">
        <f t="shared" si="4" ref="C38:H38">COUNT(C9:C32)+1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COUNT(I9:I32)+2</f>
        <v>24</v>
      </c>
      <c r="J38" s="32">
        <f>COUNT(J9:J32)+1</f>
        <v>24</v>
      </c>
      <c r="K38" s="32">
        <f t="shared" si="5" ref="K38:P38">COUNT(K9:K32)+1</f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5"/>
        <v>24</v>
      </c>
      <c r="Q38" s="32">
        <f>COUNT(Q9:Q32)+3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6" ref="C39:P39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&gt;90%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7" ref="C40:Q40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OK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61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56d18a8-c781-467b-b237-256d56027b5a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43" sqref="H4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15-03-2023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1" t="s">
        <v>58</v>
      </c>
      <c r="C7" s="51" t="s">
        <v>43</v>
      </c>
      <c r="D7" s="51" t="s">
        <v>44</v>
      </c>
      <c r="E7" s="51" t="s">
        <v>45</v>
      </c>
      <c r="F7" s="51" t="s">
        <v>46</v>
      </c>
      <c r="G7" s="51" t="s">
        <v>47</v>
      </c>
      <c r="H7" s="51" t="s">
        <v>48</v>
      </c>
      <c r="I7" s="51" t="s">
        <v>49</v>
      </c>
      <c r="J7" s="51" t="s">
        <v>50</v>
      </c>
      <c r="K7" s="51" t="s">
        <v>51</v>
      </c>
      <c r="L7" s="51" t="s">
        <v>52</v>
      </c>
      <c r="M7" s="51" t="s">
        <v>53</v>
      </c>
      <c r="N7" s="51" t="s">
        <v>54</v>
      </c>
      <c r="O7" s="51" t="s">
        <v>55</v>
      </c>
      <c r="P7" s="51" t="s">
        <v>56</v>
      </c>
      <c r="Q7" s="51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62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49" t="s">
        <v>399</v>
      </c>
      <c r="B9" s="50">
        <v>17.489999999999998</v>
      </c>
      <c r="C9" s="50">
        <v>160</v>
      </c>
      <c r="D9" s="50">
        <v>102.33</v>
      </c>
      <c r="E9" s="50">
        <v>4.59</v>
      </c>
      <c r="F9" s="50">
        <v>8.2799999999999994</v>
      </c>
      <c r="G9" s="50">
        <v>98.52</v>
      </c>
      <c r="H9" s="50">
        <v>37.950000000000003</v>
      </c>
      <c r="I9" s="50">
        <v>0.81</v>
      </c>
      <c r="J9" s="50">
        <v>0.28000000000000003</v>
      </c>
      <c r="K9" s="50">
        <v>44.71</v>
      </c>
      <c r="L9" s="50">
        <v>26.73</v>
      </c>
      <c r="M9" s="50">
        <v>32.93</v>
      </c>
      <c r="N9" s="50">
        <v>4.70</v>
      </c>
      <c r="O9" s="50">
        <v>0</v>
      </c>
      <c r="P9" s="50">
        <v>1.40</v>
      </c>
      <c r="Q9" s="50">
        <v>42.75</v>
      </c>
      <c r="R9" s="43"/>
      <c r="S9" s="43"/>
      <c r="T9" s="43"/>
      <c r="U9" s="43"/>
    </row>
    <row r="10" spans="1:21" s="11" customFormat="1" ht="15">
      <c r="A10" s="49" t="s">
        <v>400</v>
      </c>
      <c r="B10" s="50">
        <v>7.80</v>
      </c>
      <c r="C10" s="50">
        <v>150.41999999999999</v>
      </c>
      <c r="D10" s="50">
        <v>89.27</v>
      </c>
      <c r="E10" s="50">
        <v>7.47</v>
      </c>
      <c r="F10" s="50">
        <v>15.52</v>
      </c>
      <c r="G10" s="50">
        <v>43.47</v>
      </c>
      <c r="H10" s="50">
        <v>28.83</v>
      </c>
      <c r="I10" s="50">
        <v>0.65</v>
      </c>
      <c r="J10" s="50">
        <v>0.32</v>
      </c>
      <c r="K10" s="50">
        <v>359.87</v>
      </c>
      <c r="L10" s="50">
        <v>26.28</v>
      </c>
      <c r="M10" s="50">
        <v>34.99</v>
      </c>
      <c r="N10" s="50">
        <v>4.80</v>
      </c>
      <c r="O10" s="50">
        <v>0</v>
      </c>
      <c r="P10" s="50">
        <v>1.1399999999999999</v>
      </c>
      <c r="Q10" s="50">
        <v>44.35</v>
      </c>
      <c r="R10" s="43"/>
      <c r="S10" s="43"/>
      <c r="T10" s="43"/>
      <c r="U10" s="43"/>
    </row>
    <row r="11" spans="1:21" s="11" customFormat="1" ht="15">
      <c r="A11" s="49" t="s">
        <v>401</v>
      </c>
      <c r="B11" s="50">
        <v>6.39</v>
      </c>
      <c r="C11" s="50">
        <v>148.79</v>
      </c>
      <c r="D11" s="50">
        <v>87.17</v>
      </c>
      <c r="E11" s="50">
        <v>5.81</v>
      </c>
      <c r="F11" s="50">
        <v>7.17</v>
      </c>
      <c r="G11" s="50">
        <v>43.47</v>
      </c>
      <c r="H11" s="50">
        <v>20.34</v>
      </c>
      <c r="I11" s="50">
        <v>0.65</v>
      </c>
      <c r="J11" s="50">
        <v>0.34</v>
      </c>
      <c r="K11" s="50">
        <v>352.54</v>
      </c>
      <c r="L11" s="50">
        <v>25.33</v>
      </c>
      <c r="M11" s="50">
        <v>37.049999999999997</v>
      </c>
      <c r="N11" s="50">
        <v>4.70</v>
      </c>
      <c r="O11" s="50">
        <v>0</v>
      </c>
      <c r="P11" s="50">
        <v>1.06</v>
      </c>
      <c r="Q11" s="50">
        <v>46.55</v>
      </c>
      <c r="R11" s="43"/>
      <c r="S11" s="43"/>
      <c r="T11" s="43"/>
      <c r="U11" s="43"/>
    </row>
    <row r="12" spans="1:21" s="11" customFormat="1" ht="15">
      <c r="A12" s="49" t="s">
        <v>402</v>
      </c>
      <c r="B12" s="50">
        <v>5.26</v>
      </c>
      <c r="C12" s="50">
        <v>144.69999999999999</v>
      </c>
      <c r="D12" s="50">
        <v>84.07</v>
      </c>
      <c r="E12" s="50">
        <v>4.33</v>
      </c>
      <c r="F12" s="50">
        <v>10.09</v>
      </c>
      <c r="G12" s="50">
        <v>44.12</v>
      </c>
      <c r="H12" s="50">
        <v>20.34</v>
      </c>
      <c r="I12" s="50">
        <v>0.62</v>
      </c>
      <c r="J12" s="50">
        <v>0.45</v>
      </c>
      <c r="K12" s="50">
        <v>339.34</v>
      </c>
      <c r="L12" s="50">
        <v>25.12</v>
      </c>
      <c r="M12" s="50">
        <v>39.60</v>
      </c>
      <c r="N12" s="50">
        <v>5</v>
      </c>
      <c r="O12" s="50">
        <v>0</v>
      </c>
      <c r="P12" s="50">
        <v>1.03</v>
      </c>
      <c r="Q12" s="50">
        <v>46.47</v>
      </c>
      <c r="R12" s="43"/>
      <c r="S12" s="43"/>
      <c r="T12" s="43"/>
      <c r="U12" s="43"/>
    </row>
    <row r="13" spans="1:21" s="11" customFormat="1" ht="15">
      <c r="A13" s="49" t="s">
        <v>403</v>
      </c>
      <c r="B13" s="50">
        <v>6.36</v>
      </c>
      <c r="C13" s="50">
        <v>147.5</v>
      </c>
      <c r="D13" s="50">
        <v>86.5</v>
      </c>
      <c r="E13" s="50">
        <v>15.32</v>
      </c>
      <c r="F13" s="50">
        <v>9.90</v>
      </c>
      <c r="G13" s="50">
        <v>45.80</v>
      </c>
      <c r="H13" s="50">
        <v>19.079999999999998</v>
      </c>
      <c r="I13" s="50">
        <v>0.56999999999999995</v>
      </c>
      <c r="J13" s="50">
        <v>0.73</v>
      </c>
      <c r="K13" s="50">
        <v>337.42</v>
      </c>
      <c r="L13" s="50">
        <v>25.12</v>
      </c>
      <c r="M13" s="50">
        <v>39.869999999999997</v>
      </c>
      <c r="N13" s="50">
        <v>5</v>
      </c>
      <c r="O13" s="50">
        <v>0</v>
      </c>
      <c r="P13" s="50">
        <v>0.97</v>
      </c>
      <c r="Q13" s="50">
        <v>48.08</v>
      </c>
      <c r="R13" s="43"/>
      <c r="S13" s="43"/>
      <c r="T13" s="43"/>
      <c r="U13" s="43"/>
    </row>
    <row r="14" spans="1:21" s="11" customFormat="1" ht="15">
      <c r="A14" s="49" t="s">
        <v>404</v>
      </c>
      <c r="B14" s="50">
        <v>10.220000000000001</v>
      </c>
      <c r="C14" s="50">
        <v>151.47999999999999</v>
      </c>
      <c r="D14" s="50">
        <v>91.79</v>
      </c>
      <c r="E14" s="50">
        <v>14.96</v>
      </c>
      <c r="F14" s="50">
        <v>6.56</v>
      </c>
      <c r="G14" s="50">
        <v>68.33</v>
      </c>
      <c r="H14" s="50">
        <v>24.48</v>
      </c>
      <c r="I14" s="50">
        <v>0.56999999999999995</v>
      </c>
      <c r="J14" s="50">
        <v>0.72</v>
      </c>
      <c r="K14" s="50">
        <v>195.05</v>
      </c>
      <c r="L14" s="50">
        <v>25.08</v>
      </c>
      <c r="M14" s="50">
        <v>43.69</v>
      </c>
      <c r="N14" s="50">
        <v>5.30</v>
      </c>
      <c r="O14" s="50">
        <v>0</v>
      </c>
      <c r="P14" s="50">
        <v>0.98</v>
      </c>
      <c r="Q14" s="50">
        <v>51.45</v>
      </c>
      <c r="R14" s="43"/>
      <c r="S14" s="43"/>
      <c r="T14" s="43"/>
      <c r="U14" s="43"/>
    </row>
    <row r="15" spans="1:21" s="11" customFormat="1" ht="15">
      <c r="A15" s="49" t="s">
        <v>405</v>
      </c>
      <c r="B15" s="50">
        <v>11.68</v>
      </c>
      <c r="C15" s="50">
        <v>153.09</v>
      </c>
      <c r="D15" s="50">
        <v>93.85</v>
      </c>
      <c r="E15" s="50">
        <v>5.83</v>
      </c>
      <c r="F15" s="50">
        <v>3.04</v>
      </c>
      <c r="G15" s="50">
        <v>77.95</v>
      </c>
      <c r="H15" s="50">
        <v>25.36</v>
      </c>
      <c r="I15" s="50">
        <v>0.60</v>
      </c>
      <c r="J15" s="50">
        <v>0.54</v>
      </c>
      <c r="K15" s="50">
        <v>191.74</v>
      </c>
      <c r="L15" s="50">
        <v>24.20</v>
      </c>
      <c r="M15" s="50">
        <v>45.42</v>
      </c>
      <c r="N15" s="50">
        <v>65.099999999999994</v>
      </c>
      <c r="O15" s="50">
        <v>0</v>
      </c>
      <c r="P15" s="50">
        <v>1.01</v>
      </c>
      <c r="Q15" s="50">
        <v>51.51</v>
      </c>
      <c r="R15" s="43"/>
      <c r="S15" s="43"/>
      <c r="T15" s="43"/>
      <c r="U15" s="43"/>
    </row>
    <row r="16" spans="1:21" s="11" customFormat="1" ht="15">
      <c r="A16" s="49" t="s">
        <v>406</v>
      </c>
      <c r="B16" s="50">
        <v>16.079999999999998</v>
      </c>
      <c r="C16" s="50">
        <v>161.25</v>
      </c>
      <c r="D16" s="50">
        <v>101.89</v>
      </c>
      <c r="E16" s="50">
        <v>5.40</v>
      </c>
      <c r="F16" s="50">
        <v>8.35</v>
      </c>
      <c r="G16" s="50">
        <v>80.17</v>
      </c>
      <c r="H16" s="50">
        <v>25.84</v>
      </c>
      <c r="I16" s="50">
        <v>0.57999999999999996</v>
      </c>
      <c r="J16" s="50">
        <v>0.61</v>
      </c>
      <c r="K16" s="50">
        <v>162.66</v>
      </c>
      <c r="L16" s="50">
        <v>27.58</v>
      </c>
      <c r="M16" s="50">
        <v>42.18</v>
      </c>
      <c r="N16" s="50">
        <v>253.5</v>
      </c>
      <c r="O16" s="50">
        <v>0</v>
      </c>
      <c r="P16" s="50">
        <v>1.0900000000000001</v>
      </c>
      <c r="Q16" s="50">
        <v>50.68</v>
      </c>
      <c r="R16" s="43"/>
      <c r="S16" s="43"/>
      <c r="T16" s="43"/>
      <c r="U16" s="43"/>
    </row>
    <row r="17" spans="1:21" s="11" customFormat="1" ht="15">
      <c r="A17" s="49" t="s">
        <v>407</v>
      </c>
      <c r="B17" s="50">
        <v>16.23</v>
      </c>
      <c r="C17" s="50">
        <v>162.81</v>
      </c>
      <c r="D17" s="50">
        <v>102.46</v>
      </c>
      <c r="E17" s="50">
        <v>5.27</v>
      </c>
      <c r="F17" s="50">
        <v>6.82</v>
      </c>
      <c r="G17" s="50">
        <v>80.17</v>
      </c>
      <c r="H17" s="50">
        <v>25.84</v>
      </c>
      <c r="I17" s="50">
        <v>0.60</v>
      </c>
      <c r="J17" s="50">
        <v>0.73</v>
      </c>
      <c r="K17" s="50">
        <v>181.26</v>
      </c>
      <c r="L17" s="50">
        <v>29.43</v>
      </c>
      <c r="M17" s="50">
        <v>36.32</v>
      </c>
      <c r="N17" s="50">
        <v>466.60</v>
      </c>
      <c r="O17" s="50">
        <v>0</v>
      </c>
      <c r="P17" s="50">
        <v>1.03</v>
      </c>
      <c r="Q17" s="50">
        <v>51.56</v>
      </c>
      <c r="R17" s="43"/>
      <c r="S17" s="43"/>
      <c r="T17" s="43"/>
      <c r="U17" s="43"/>
    </row>
    <row r="18" spans="1:21" s="11" customFormat="1" ht="15">
      <c r="A18" s="49" t="s">
        <v>408</v>
      </c>
      <c r="B18" s="50">
        <v>14.11</v>
      </c>
      <c r="C18" s="50">
        <v>167.5</v>
      </c>
      <c r="D18" s="50">
        <v>102.18</v>
      </c>
      <c r="E18" s="50">
        <v>4.93</v>
      </c>
      <c r="F18" s="50">
        <v>5.92</v>
      </c>
      <c r="G18" s="50">
        <v>73.239999999999995</v>
      </c>
      <c r="H18" s="50">
        <v>27.84</v>
      </c>
      <c r="I18" s="50">
        <v>0.65</v>
      </c>
      <c r="J18" s="50">
        <v>1.08</v>
      </c>
      <c r="K18" s="50">
        <v>358.25</v>
      </c>
      <c r="L18" s="50">
        <v>36.82</v>
      </c>
      <c r="M18" s="50">
        <v>27.41</v>
      </c>
      <c r="N18" s="50">
        <v>646.90</v>
      </c>
      <c r="O18" s="50">
        <v>0</v>
      </c>
      <c r="P18" s="50">
        <v>1.05</v>
      </c>
      <c r="Q18" s="50">
        <v>52.10</v>
      </c>
      <c r="R18" s="43"/>
      <c r="S18" s="43"/>
      <c r="T18" s="43"/>
      <c r="U18" s="43"/>
    </row>
    <row r="19" spans="1:21" s="11" customFormat="1" ht="15">
      <c r="A19" s="49" t="s">
        <v>409</v>
      </c>
      <c r="B19" s="50">
        <v>4.84</v>
      </c>
      <c r="C19" s="50">
        <v>138.55000000000001</v>
      </c>
      <c r="D19" s="50">
        <v>80.34</v>
      </c>
      <c r="E19" s="50">
        <v>22.07</v>
      </c>
      <c r="F19" s="50">
        <v>85.09</v>
      </c>
      <c r="G19" s="50">
        <v>58.46</v>
      </c>
      <c r="H19" s="50">
        <v>27.84</v>
      </c>
      <c r="I19" s="50">
        <v>0.62</v>
      </c>
      <c r="J19" s="50">
        <v>0.62</v>
      </c>
      <c r="K19" s="50">
        <v>106.02</v>
      </c>
      <c r="L19" s="50">
        <v>35.200000000000003</v>
      </c>
      <c r="M19" s="50">
        <v>21.77</v>
      </c>
      <c r="N19" s="50">
        <v>752.5</v>
      </c>
      <c r="O19" s="50">
        <v>0</v>
      </c>
      <c r="P19" s="50">
        <v>1.29</v>
      </c>
      <c r="Q19" s="50">
        <v>41.79</v>
      </c>
      <c r="R19" s="43"/>
      <c r="S19" s="43"/>
      <c r="T19" s="43"/>
      <c r="U19" s="43"/>
    </row>
    <row r="20" spans="1:21" s="11" customFormat="1" ht="15">
      <c r="A20" s="49" t="s">
        <v>410</v>
      </c>
      <c r="B20" s="50">
        <v>3.29</v>
      </c>
      <c r="C20" s="50">
        <v>88.86</v>
      </c>
      <c r="D20" s="50">
        <v>77.72</v>
      </c>
      <c r="E20" s="50">
        <v>21.02</v>
      </c>
      <c r="F20" s="50">
        <v>84.84</v>
      </c>
      <c r="G20" s="50">
        <v>63.98</v>
      </c>
      <c r="H20" s="50">
        <v>27.41</v>
      </c>
      <c r="I20" s="50">
        <v>0.5</v>
      </c>
      <c r="J20" s="50">
        <v>0.56000000000000005</v>
      </c>
      <c r="K20" s="50">
        <v>353.70</v>
      </c>
      <c r="L20" s="50">
        <v>35.47</v>
      </c>
      <c r="M20" s="50">
        <v>18.73</v>
      </c>
      <c r="N20" s="50">
        <v>805.60</v>
      </c>
      <c r="O20" s="50">
        <v>0</v>
      </c>
      <c r="P20" s="50">
        <v>0.96</v>
      </c>
      <c r="Q20" s="50">
        <v>22.28</v>
      </c>
      <c r="R20" s="43"/>
      <c r="S20" s="43"/>
      <c r="T20" s="43"/>
      <c r="U20" s="43"/>
    </row>
    <row r="21" spans="1:21" s="11" customFormat="1" ht="15">
      <c r="A21" s="49" t="s">
        <v>411</v>
      </c>
      <c r="B21" s="50">
        <v>11.67</v>
      </c>
      <c r="C21" s="50">
        <v>89.47</v>
      </c>
      <c r="D21" s="50">
        <v>93.73</v>
      </c>
      <c r="E21" s="50">
        <v>5.87</v>
      </c>
      <c r="F21" s="50">
        <v>22.34</v>
      </c>
      <c r="G21" s="50">
        <v>63.98</v>
      </c>
      <c r="H21" s="50">
        <v>26.64</v>
      </c>
      <c r="I21" s="50">
        <v>0.5</v>
      </c>
      <c r="J21" s="50">
        <v>0.57999999999999996</v>
      </c>
      <c r="K21" s="50">
        <v>45.04</v>
      </c>
      <c r="L21" s="50">
        <v>36.11</v>
      </c>
      <c r="M21" s="50">
        <v>14.16</v>
      </c>
      <c r="N21" s="50">
        <v>775.30</v>
      </c>
      <c r="O21" s="50">
        <v>0</v>
      </c>
      <c r="P21" s="50">
        <v>0.82</v>
      </c>
      <c r="Q21" s="50">
        <v>24.40</v>
      </c>
      <c r="R21" s="43"/>
      <c r="S21" s="43"/>
      <c r="T21" s="43"/>
      <c r="U21" s="43"/>
    </row>
    <row r="22" spans="1:21" s="11" customFormat="1" ht="15">
      <c r="A22" s="49" t="s">
        <v>412</v>
      </c>
      <c r="B22" s="50">
        <v>3.29</v>
      </c>
      <c r="C22" s="50">
        <v>73.11</v>
      </c>
      <c r="D22" s="50">
        <v>76.400000000000006</v>
      </c>
      <c r="E22" s="50">
        <v>4.93</v>
      </c>
      <c r="F22" s="50">
        <v>22.40</v>
      </c>
      <c r="G22" s="50">
        <v>54.34</v>
      </c>
      <c r="H22" s="50">
        <v>24.99</v>
      </c>
      <c r="I22" s="50">
        <v>0.55000000000000004</v>
      </c>
      <c r="J22" s="50">
        <v>0.45</v>
      </c>
      <c r="K22" s="50">
        <v>285.12</v>
      </c>
      <c r="L22" s="50">
        <v>35.46</v>
      </c>
      <c r="M22" s="50">
        <v>15.94</v>
      </c>
      <c r="N22" s="50">
        <v>644.40</v>
      </c>
      <c r="O22" s="50">
        <v>0</v>
      </c>
      <c r="P22" s="50">
        <v>0.79</v>
      </c>
      <c r="Q22" s="50">
        <v>23</v>
      </c>
      <c r="R22" s="43"/>
      <c r="S22" s="43"/>
      <c r="T22" s="43"/>
      <c r="U22" s="43"/>
    </row>
    <row r="23" spans="1:21" s="11" customFormat="1" ht="15">
      <c r="A23" s="49" t="s">
        <v>413</v>
      </c>
      <c r="B23" s="50">
        <v>2.96</v>
      </c>
      <c r="C23" s="50">
        <v>50.5</v>
      </c>
      <c r="D23" s="50">
        <v>31.79</v>
      </c>
      <c r="E23" s="50">
        <v>8.10</v>
      </c>
      <c r="F23" s="50">
        <v>42.56</v>
      </c>
      <c r="G23" s="50">
        <v>49.21</v>
      </c>
      <c r="H23" s="50">
        <v>23.96</v>
      </c>
      <c r="I23" s="50">
        <v>0.53</v>
      </c>
      <c r="J23" s="50">
        <v>0.91</v>
      </c>
      <c r="K23" s="50">
        <v>230.37</v>
      </c>
      <c r="L23" s="50">
        <v>32.75</v>
      </c>
      <c r="M23" s="50">
        <v>16.809999999999999</v>
      </c>
      <c r="N23" s="50">
        <v>542.60</v>
      </c>
      <c r="O23" s="50">
        <v>0</v>
      </c>
      <c r="P23" s="50">
        <v>0.68</v>
      </c>
      <c r="Q23" s="50">
        <v>22.28</v>
      </c>
      <c r="R23" s="43"/>
      <c r="S23" s="43"/>
      <c r="T23" s="43"/>
      <c r="U23" s="43"/>
    </row>
    <row r="24" spans="1:21" s="11" customFormat="1" ht="15">
      <c r="A24" s="49" t="s">
        <v>414</v>
      </c>
      <c r="B24" s="50">
        <v>4.0199999999999996</v>
      </c>
      <c r="C24" s="50">
        <v>49.01</v>
      </c>
      <c r="D24" s="50">
        <v>32.01</v>
      </c>
      <c r="E24" s="50">
        <v>7.92</v>
      </c>
      <c r="F24" s="50">
        <v>44.81</v>
      </c>
      <c r="G24" s="50">
        <v>49.21</v>
      </c>
      <c r="H24" s="50">
        <v>23.96</v>
      </c>
      <c r="I24" s="50">
        <v>0.53</v>
      </c>
      <c r="J24" s="50">
        <v>0.82</v>
      </c>
      <c r="K24" s="50">
        <v>276.12</v>
      </c>
      <c r="L24" s="50">
        <v>33.729999999999997</v>
      </c>
      <c r="M24" s="50">
        <v>16.46</v>
      </c>
      <c r="N24" s="50">
        <v>400.90</v>
      </c>
      <c r="O24" s="50">
        <v>0</v>
      </c>
      <c r="P24" s="50">
        <v>0.61</v>
      </c>
      <c r="Q24" s="50">
        <v>22.76</v>
      </c>
      <c r="R24" s="43"/>
      <c r="S24" s="43"/>
      <c r="T24" s="43"/>
      <c r="U24" s="43"/>
    </row>
    <row r="25" spans="1:21" s="11" customFormat="1" ht="15">
      <c r="A25" s="49" t="s">
        <v>415</v>
      </c>
      <c r="B25" s="50">
        <v>3.23</v>
      </c>
      <c r="C25" s="50">
        <v>63.36</v>
      </c>
      <c r="D25" s="50">
        <v>39.29</v>
      </c>
      <c r="E25" s="50">
        <v>9.34</v>
      </c>
      <c r="F25" s="50">
        <v>49.20</v>
      </c>
      <c r="G25" s="50">
        <v>43.36</v>
      </c>
      <c r="H25" s="50">
        <v>21.03</v>
      </c>
      <c r="I25" s="50">
        <v>0.53</v>
      </c>
      <c r="J25" s="50">
        <v>0.76</v>
      </c>
      <c r="K25" s="50">
        <v>291.48</v>
      </c>
      <c r="L25" s="50">
        <v>31.70</v>
      </c>
      <c r="M25" s="50">
        <v>20.83</v>
      </c>
      <c r="N25" s="50">
        <v>200</v>
      </c>
      <c r="O25" s="50">
        <v>0</v>
      </c>
      <c r="P25" s="50">
        <v>0.88</v>
      </c>
      <c r="Q25" s="50">
        <v>24.86</v>
      </c>
      <c r="R25" s="43"/>
      <c r="S25" s="43"/>
      <c r="T25" s="43"/>
      <c r="U25" s="43"/>
    </row>
    <row r="26" spans="1:21" s="11" customFormat="1" ht="15">
      <c r="A26" s="49" t="s">
        <v>416</v>
      </c>
      <c r="B26" s="50">
        <v>2.94</v>
      </c>
      <c r="C26" s="50">
        <v>67.260000000000005</v>
      </c>
      <c r="D26" s="50">
        <v>41.22</v>
      </c>
      <c r="E26" s="50">
        <v>10.67</v>
      </c>
      <c r="F26" s="50">
        <v>28.47</v>
      </c>
      <c r="G26" s="50">
        <v>60.60</v>
      </c>
      <c r="H26" s="50">
        <v>21.07</v>
      </c>
      <c r="I26" s="50">
        <v>0.51</v>
      </c>
      <c r="J26" s="50">
        <v>0.35</v>
      </c>
      <c r="K26" s="50">
        <v>250.09</v>
      </c>
      <c r="L26" s="50">
        <v>29.65</v>
      </c>
      <c r="M26" s="50">
        <v>25.54</v>
      </c>
      <c r="N26" s="50">
        <v>50.30</v>
      </c>
      <c r="O26" s="50">
        <v>0</v>
      </c>
      <c r="P26" s="50">
        <v>0.94</v>
      </c>
      <c r="Q26" s="50">
        <v>24.95</v>
      </c>
      <c r="R26" s="43"/>
      <c r="S26" s="43"/>
      <c r="T26" s="43"/>
      <c r="U26" s="43"/>
    </row>
    <row r="27" spans="1:21" s="11" customFormat="1" ht="15">
      <c r="A27" s="49" t="s">
        <v>417</v>
      </c>
      <c r="B27" s="50">
        <v>22.51</v>
      </c>
      <c r="C27" s="50">
        <v>106.18</v>
      </c>
      <c r="D27" s="50">
        <v>78.39</v>
      </c>
      <c r="E27" s="50">
        <v>11.35</v>
      </c>
      <c r="F27" s="50">
        <v>19.899999999999999</v>
      </c>
      <c r="G27" s="50">
        <v>68.430000000000007</v>
      </c>
      <c r="H27" s="50">
        <v>29.04</v>
      </c>
      <c r="I27" s="50">
        <v>0.67</v>
      </c>
      <c r="J27" s="50">
        <v>0.41</v>
      </c>
      <c r="K27" s="50">
        <v>101.46</v>
      </c>
      <c r="L27" s="50">
        <v>28.16</v>
      </c>
      <c r="M27" s="50">
        <v>30.71</v>
      </c>
      <c r="N27" s="50">
        <v>6.5</v>
      </c>
      <c r="O27" s="50">
        <v>0</v>
      </c>
      <c r="P27" s="50">
        <v>1.88</v>
      </c>
      <c r="Q27" s="50">
        <v>25.31</v>
      </c>
      <c r="R27" s="43"/>
      <c r="S27" s="43"/>
      <c r="T27" s="43"/>
      <c r="U27" s="43"/>
    </row>
    <row r="28" spans="1:21" s="11" customFormat="1" ht="15">
      <c r="A28" s="49" t="s">
        <v>418</v>
      </c>
      <c r="B28" s="50">
        <v>43.97</v>
      </c>
      <c r="C28" s="50">
        <v>110.63</v>
      </c>
      <c r="D28" s="50">
        <v>95.10</v>
      </c>
      <c r="E28" s="50">
        <v>11.18</v>
      </c>
      <c r="F28" s="50">
        <v>9.18</v>
      </c>
      <c r="G28" s="50">
        <v>83.93</v>
      </c>
      <c r="H28" s="50">
        <v>30.36</v>
      </c>
      <c r="I28" s="50">
        <v>0.88</v>
      </c>
      <c r="J28" s="50">
        <v>0.19</v>
      </c>
      <c r="K28" s="50">
        <v>309.89999999999998</v>
      </c>
      <c r="L28" s="50">
        <v>26.55</v>
      </c>
      <c r="M28" s="50">
        <v>33.54</v>
      </c>
      <c r="N28" s="50">
        <v>5.0999999999999996</v>
      </c>
      <c r="O28" s="50">
        <v>0</v>
      </c>
      <c r="P28" s="50">
        <v>1.93</v>
      </c>
      <c r="Q28" s="50">
        <v>26.16</v>
      </c>
      <c r="R28" s="43"/>
      <c r="S28" s="43"/>
      <c r="T28" s="43"/>
      <c r="U28" s="43"/>
    </row>
    <row r="29" spans="1:21" s="11" customFormat="1" ht="15">
      <c r="A29" s="49" t="s">
        <v>419</v>
      </c>
      <c r="B29" s="50">
        <v>53.92</v>
      </c>
      <c r="C29" s="50">
        <v>100.76</v>
      </c>
      <c r="D29" s="50">
        <v>100.12</v>
      </c>
      <c r="E29" s="50">
        <v>6.01</v>
      </c>
      <c r="F29" s="50">
        <v>2.4300000000000002</v>
      </c>
      <c r="G29" s="50">
        <v>168.77</v>
      </c>
      <c r="H29" s="50">
        <v>38.69</v>
      </c>
      <c r="I29" s="50">
        <v>0.87</v>
      </c>
      <c r="J29" s="50">
        <v>0.28999999999999998</v>
      </c>
      <c r="K29" s="50">
        <v>264.07</v>
      </c>
      <c r="L29" s="50">
        <v>25.75</v>
      </c>
      <c r="M29" s="50">
        <v>39.21</v>
      </c>
      <c r="N29" s="50">
        <v>4.9000000000000004</v>
      </c>
      <c r="O29" s="50">
        <v>0</v>
      </c>
      <c r="P29" s="50">
        <v>2.21</v>
      </c>
      <c r="Q29" s="50">
        <v>30.59</v>
      </c>
      <c r="R29" s="43"/>
      <c r="S29" s="43"/>
      <c r="T29" s="43"/>
      <c r="U29" s="43"/>
    </row>
    <row r="30" spans="1:21" s="11" customFormat="1" ht="15">
      <c r="A30" s="49" t="s">
        <v>420</v>
      </c>
      <c r="B30" s="50">
        <v>117.10</v>
      </c>
      <c r="C30" s="50">
        <v>119.25</v>
      </c>
      <c r="D30" s="50">
        <v>161.46</v>
      </c>
      <c r="E30" s="50">
        <v>5.95</v>
      </c>
      <c r="F30" s="50">
        <v>2.11</v>
      </c>
      <c r="G30" s="50">
        <v>168.77</v>
      </c>
      <c r="H30" s="50">
        <v>47.75</v>
      </c>
      <c r="I30" s="50">
        <v>1.01</v>
      </c>
      <c r="J30" s="50">
        <v>0.16</v>
      </c>
      <c r="K30" s="50">
        <v>255.83</v>
      </c>
      <c r="L30" s="50">
        <v>24.61</v>
      </c>
      <c r="M30" s="50">
        <v>45.43</v>
      </c>
      <c r="N30" s="50">
        <v>5</v>
      </c>
      <c r="O30" s="50">
        <v>0</v>
      </c>
      <c r="P30" s="50">
        <v>3.10</v>
      </c>
      <c r="Q30" s="50">
        <v>30.09</v>
      </c>
      <c r="R30" s="43"/>
      <c r="S30" s="43"/>
      <c r="T30" s="43"/>
      <c r="U30" s="43"/>
    </row>
    <row r="31" spans="1:21" s="11" customFormat="1" ht="15">
      <c r="A31" s="49" t="s">
        <v>421</v>
      </c>
      <c r="B31" s="50">
        <v>47.24</v>
      </c>
      <c r="C31" s="50">
        <v>90.72</v>
      </c>
      <c r="D31" s="50">
        <v>86.01</v>
      </c>
      <c r="E31" s="50">
        <v>5.58</v>
      </c>
      <c r="F31" s="50">
        <v>12.76</v>
      </c>
      <c r="G31" s="50">
        <v>163.86</v>
      </c>
      <c r="H31" s="50">
        <v>48.29</v>
      </c>
      <c r="I31" s="50">
        <v>1.1499999999999999</v>
      </c>
      <c r="J31" s="50">
        <v>0.46</v>
      </c>
      <c r="K31" s="50">
        <v>347.61</v>
      </c>
      <c r="L31" s="50">
        <v>25.19</v>
      </c>
      <c r="M31" s="50">
        <v>39.11</v>
      </c>
      <c r="N31" s="50">
        <v>5.40</v>
      </c>
      <c r="O31" s="50">
        <v>0</v>
      </c>
      <c r="P31" s="50">
        <v>1.89</v>
      </c>
      <c r="Q31" s="50">
        <v>34.17</v>
      </c>
      <c r="R31" s="43"/>
      <c r="S31" s="43"/>
      <c r="T31" s="43"/>
      <c r="U31" s="43"/>
    </row>
    <row r="32" spans="1:21" s="11" customFormat="1" ht="15">
      <c r="A32" s="49" t="s">
        <v>422</v>
      </c>
      <c r="B32" s="50">
        <v>69.14</v>
      </c>
      <c r="C32" s="50">
        <v>81.069999999999993</v>
      </c>
      <c r="D32" s="50">
        <v>101.87</v>
      </c>
      <c r="E32" s="50">
        <v>4.59</v>
      </c>
      <c r="F32" s="50">
        <v>9.6999999999999993</v>
      </c>
      <c r="G32" s="50">
        <v>146.07</v>
      </c>
      <c r="H32" s="50">
        <v>48.29</v>
      </c>
      <c r="I32" s="50">
        <v>0.83</v>
      </c>
      <c r="J32" s="50">
        <v>0.40</v>
      </c>
      <c r="K32" s="50">
        <v>254.83</v>
      </c>
      <c r="L32" s="50">
        <v>23.69</v>
      </c>
      <c r="M32" s="50">
        <v>43.19</v>
      </c>
      <c r="N32" s="50">
        <v>5.30</v>
      </c>
      <c r="O32" s="50">
        <v>0</v>
      </c>
      <c r="P32" s="50">
        <v>2</v>
      </c>
      <c r="Q32" s="50">
        <v>34.04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2.9399999999999999</v>
      </c>
      <c r="C34" s="28">
        <f t="shared" si="0"/>
        <v>49.009999999999998</v>
      </c>
      <c r="D34" s="28">
        <f t="shared" si="0"/>
        <v>31.789999999999999</v>
      </c>
      <c r="E34" s="28">
        <f t="shared" si="0"/>
        <v>4.3300000000000001</v>
      </c>
      <c r="F34" s="28">
        <f t="shared" si="0"/>
        <v>2.1099999999999999</v>
      </c>
      <c r="G34" s="28">
        <f t="shared" si="0"/>
        <v>43.359999999999999</v>
      </c>
      <c r="H34" s="28">
        <f t="shared" si="0"/>
        <v>19.079999999999998</v>
      </c>
      <c r="I34" s="28">
        <f t="shared" si="0"/>
        <v>0.5</v>
      </c>
      <c r="J34" s="28">
        <f t="shared" si="0"/>
        <v>0.16</v>
      </c>
      <c r="K34" s="28">
        <f t="shared" si="0"/>
        <v>44.710000000000001</v>
      </c>
      <c r="L34" s="28">
        <f t="shared" si="0"/>
        <v>23.690000000000001</v>
      </c>
      <c r="M34" s="28">
        <f t="shared" si="0"/>
        <v>14.16</v>
      </c>
      <c r="N34" s="28">
        <f t="shared" si="0"/>
        <v>4.7000000000000002</v>
      </c>
      <c r="O34" s="28">
        <f t="shared" si="0"/>
        <v>0</v>
      </c>
      <c r="P34" s="28">
        <f t="shared" si="0"/>
        <v>0.60999999999999999</v>
      </c>
      <c r="Q34" s="28">
        <f t="shared" si="0"/>
        <v>22.280000000000001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117.09999999999999</v>
      </c>
      <c r="C35" s="29">
        <f t="shared" si="1"/>
        <v>167.5</v>
      </c>
      <c r="D35" s="29">
        <f t="shared" si="1"/>
        <v>161.46000000000001</v>
      </c>
      <c r="E35" s="29">
        <f t="shared" si="1"/>
        <v>22.07</v>
      </c>
      <c r="F35" s="29">
        <f t="shared" si="1"/>
        <v>85.090000000000003</v>
      </c>
      <c r="G35" s="29">
        <f t="shared" si="1"/>
        <v>168.77000000000001</v>
      </c>
      <c r="H35" s="29">
        <f t="shared" si="1"/>
        <v>48.289999999999999</v>
      </c>
      <c r="I35" s="29">
        <f t="shared" si="1"/>
        <v>1.1499999999999999</v>
      </c>
      <c r="J35" s="29">
        <f t="shared" si="1"/>
        <v>1.0800000000000001</v>
      </c>
      <c r="K35" s="29">
        <f t="shared" si="1"/>
        <v>359.87</v>
      </c>
      <c r="L35" s="29">
        <f t="shared" si="1"/>
        <v>36.82</v>
      </c>
      <c r="M35" s="29">
        <f t="shared" si="1"/>
        <v>45.43</v>
      </c>
      <c r="N35" s="29">
        <f t="shared" si="1"/>
        <v>805.60000000000002</v>
      </c>
      <c r="O35" s="29">
        <f t="shared" si="1"/>
        <v>0</v>
      </c>
      <c r="P35" s="29">
        <f t="shared" si="1"/>
        <v>3.1000000000000001</v>
      </c>
      <c r="Q35" s="29">
        <f t="shared" si="1"/>
        <v>52.100000000000001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20.905833333333334</v>
      </c>
      <c r="C36" s="28">
        <f t="shared" si="2"/>
        <v>115.67791666666666</v>
      </c>
      <c r="D36" s="28">
        <f t="shared" si="2"/>
        <v>84.873333333333335</v>
      </c>
      <c r="E36" s="28">
        <f t="shared" si="2"/>
        <v>8.6870833333333319</v>
      </c>
      <c r="F36" s="28">
        <f t="shared" si="2"/>
        <v>21.560000000000002</v>
      </c>
      <c r="G36" s="28">
        <f t="shared" si="2"/>
        <v>79.092083333333349</v>
      </c>
      <c r="H36" s="28">
        <f t="shared" si="2"/>
        <v>28.967500000000001</v>
      </c>
      <c r="I36" s="28">
        <f t="shared" si="2"/>
        <v>0.66583333333333328</v>
      </c>
      <c r="J36" s="28">
        <f t="shared" si="2"/>
        <v>0.53166666666666662</v>
      </c>
      <c r="K36" s="28">
        <f t="shared" si="2"/>
        <v>245.60333333333327</v>
      </c>
      <c r="L36" s="28">
        <f t="shared" si="2"/>
        <v>28.987916666666667</v>
      </c>
      <c r="M36" s="28">
        <f t="shared" si="2"/>
        <v>31.703750000000003</v>
      </c>
      <c r="N36" s="28">
        <f t="shared" si="2"/>
        <v>236.05833333333331</v>
      </c>
      <c r="O36" s="28">
        <f t="shared" si="2"/>
        <v>0</v>
      </c>
      <c r="P36" s="28">
        <f t="shared" si="2"/>
        <v>1.2808333333333335</v>
      </c>
      <c r="Q36" s="28">
        <f t="shared" si="2"/>
        <v>36.340833333333329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27.382471847748764</v>
      </c>
      <c r="C37" s="28">
        <f t="shared" si="3" ref="C37:Q37">STDEV(C9:C32)</f>
        <v>39.273330366543988</v>
      </c>
      <c r="D37" s="28">
        <f t="shared" si="3"/>
        <v>27.750434335287469</v>
      </c>
      <c r="E37" s="28">
        <f t="shared" si="3"/>
        <v>5.0501170706763094</v>
      </c>
      <c r="F37" s="28">
        <f t="shared" si="3"/>
        <v>23.632322007755832</v>
      </c>
      <c r="G37" s="28">
        <f t="shared" si="3"/>
        <v>40.750095116364491</v>
      </c>
      <c r="H37" s="28">
        <f t="shared" si="3"/>
        <v>8.791673061334297</v>
      </c>
      <c r="I37" s="28">
        <f t="shared" si="3"/>
        <v>0.17138607996508096</v>
      </c>
      <c r="J37" s="28">
        <f t="shared" si="3"/>
        <v>0.23332505161286252</v>
      </c>
      <c r="K37" s="28">
        <f t="shared" si="3"/>
        <v>98.538082846250475</v>
      </c>
      <c r="L37" s="28">
        <f t="shared" si="3"/>
        <v>4.4422526396517377</v>
      </c>
      <c r="M37" s="28">
        <f t="shared" si="3"/>
        <v>10.469063249693686</v>
      </c>
      <c r="N37" s="28">
        <f t="shared" si="3"/>
        <v>301.94335045511093</v>
      </c>
      <c r="O37" s="28">
        <f t="shared" si="3"/>
        <v>0</v>
      </c>
      <c r="P37" s="28">
        <f t="shared" si="3"/>
        <v>0.59140155317808307</v>
      </c>
      <c r="Q37" s="28">
        <f t="shared" si="3"/>
        <v>11.596446950857761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3809cc4-ace0-4302-9a96-467bc0b6a27b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42" sqref="D4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16-03-2023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1" t="s">
        <v>58</v>
      </c>
      <c r="C7" s="51" t="s">
        <v>43</v>
      </c>
      <c r="D7" s="51" t="s">
        <v>44</v>
      </c>
      <c r="E7" s="51" t="s">
        <v>45</v>
      </c>
      <c r="F7" s="51" t="s">
        <v>46</v>
      </c>
      <c r="G7" s="51" t="s">
        <v>47</v>
      </c>
      <c r="H7" s="51" t="s">
        <v>48</v>
      </c>
      <c r="I7" s="51" t="s">
        <v>49</v>
      </c>
      <c r="J7" s="51" t="s">
        <v>50</v>
      </c>
      <c r="K7" s="51" t="s">
        <v>51</v>
      </c>
      <c r="L7" s="51" t="s">
        <v>52</v>
      </c>
      <c r="M7" s="51" t="s">
        <v>53</v>
      </c>
      <c r="N7" s="51" t="s">
        <v>54</v>
      </c>
      <c r="O7" s="51" t="s">
        <v>55</v>
      </c>
      <c r="P7" s="51" t="s">
        <v>56</v>
      </c>
      <c r="Q7" s="51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62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49" t="s">
        <v>423</v>
      </c>
      <c r="B9" s="50">
        <v>55.70</v>
      </c>
      <c r="C9" s="50">
        <v>78.150000000000006</v>
      </c>
      <c r="D9" s="50">
        <v>88.92</v>
      </c>
      <c r="E9" s="50">
        <v>3.52</v>
      </c>
      <c r="F9" s="50">
        <v>2.35</v>
      </c>
      <c r="G9" s="50">
        <v>58.95</v>
      </c>
      <c r="H9" s="50">
        <v>41.35</v>
      </c>
      <c r="I9" s="52" t="s">
        <v>8</v>
      </c>
      <c r="J9" s="50">
        <v>0.25</v>
      </c>
      <c r="K9" s="50">
        <v>326.32</v>
      </c>
      <c r="L9" s="50">
        <v>23.16</v>
      </c>
      <c r="M9" s="50">
        <v>40.21</v>
      </c>
      <c r="N9" s="50">
        <v>4.80</v>
      </c>
      <c r="O9" s="50">
        <v>0</v>
      </c>
      <c r="P9" s="50">
        <v>1.86</v>
      </c>
      <c r="Q9" s="50">
        <v>34.51</v>
      </c>
      <c r="R9" s="43"/>
      <c r="S9" s="43"/>
      <c r="T9" s="43"/>
      <c r="U9" s="43"/>
    </row>
    <row r="10" spans="1:21" s="11" customFormat="1" ht="15">
      <c r="A10" s="49" t="s">
        <v>424</v>
      </c>
      <c r="B10" s="50">
        <v>30.71</v>
      </c>
      <c r="C10" s="50">
        <v>77.349999999999994</v>
      </c>
      <c r="D10" s="50">
        <v>69.06</v>
      </c>
      <c r="E10" s="50">
        <v>3.64</v>
      </c>
      <c r="F10" s="50">
        <v>2.68</v>
      </c>
      <c r="G10" s="50">
        <v>55.37</v>
      </c>
      <c r="H10" s="50">
        <v>32.18</v>
      </c>
      <c r="I10" s="52" t="s">
        <v>8</v>
      </c>
      <c r="J10" s="50">
        <v>0.31</v>
      </c>
      <c r="K10" s="50">
        <v>37.22</v>
      </c>
      <c r="L10" s="50">
        <v>22.75</v>
      </c>
      <c r="M10" s="50">
        <v>41.13</v>
      </c>
      <c r="N10" s="50">
        <v>4.5999999999999996</v>
      </c>
      <c r="O10" s="50">
        <v>0</v>
      </c>
      <c r="P10" s="50">
        <v>1.44</v>
      </c>
      <c r="Q10" s="50">
        <v>30.87</v>
      </c>
      <c r="R10" s="43"/>
      <c r="S10" s="43"/>
      <c r="T10" s="43"/>
      <c r="U10" s="43"/>
    </row>
    <row r="11" spans="1:21" s="11" customFormat="1" ht="15">
      <c r="A11" s="49" t="s">
        <v>425</v>
      </c>
      <c r="B11" s="50">
        <v>18.34</v>
      </c>
      <c r="C11" s="50">
        <v>73.75</v>
      </c>
      <c r="D11" s="50">
        <v>57.15</v>
      </c>
      <c r="E11" s="50">
        <v>3.98</v>
      </c>
      <c r="F11" s="50">
        <v>2.71</v>
      </c>
      <c r="G11" s="50">
        <v>72.67</v>
      </c>
      <c r="H11" s="50">
        <v>32.57</v>
      </c>
      <c r="I11" s="52" t="s">
        <v>8</v>
      </c>
      <c r="J11" s="50">
        <v>0.76</v>
      </c>
      <c r="K11" s="50">
        <v>351.87</v>
      </c>
      <c r="L11" s="50">
        <v>22.40</v>
      </c>
      <c r="M11" s="50">
        <v>42.09</v>
      </c>
      <c r="N11" s="50">
        <v>4.30</v>
      </c>
      <c r="O11" s="50">
        <v>0</v>
      </c>
      <c r="P11" s="50">
        <v>1.38</v>
      </c>
      <c r="Q11" s="50">
        <v>25.97</v>
      </c>
      <c r="R11" s="43"/>
      <c r="S11" s="43"/>
      <c r="T11" s="43"/>
      <c r="U11" s="43"/>
    </row>
    <row r="12" spans="1:21" s="11" customFormat="1" ht="15">
      <c r="A12" s="49" t="s">
        <v>426</v>
      </c>
      <c r="B12" s="50">
        <v>8.61</v>
      </c>
      <c r="C12" s="50">
        <v>69.83</v>
      </c>
      <c r="D12" s="50">
        <v>47.19</v>
      </c>
      <c r="E12" s="50">
        <v>3.72</v>
      </c>
      <c r="F12" s="50">
        <v>3.52</v>
      </c>
      <c r="G12" s="50">
        <v>72.67</v>
      </c>
      <c r="H12" s="50">
        <v>32.57</v>
      </c>
      <c r="I12" s="52" t="s">
        <v>8</v>
      </c>
      <c r="J12" s="50">
        <v>1.1100000000000001</v>
      </c>
      <c r="K12" s="50">
        <v>353.02</v>
      </c>
      <c r="L12" s="50">
        <v>21.86</v>
      </c>
      <c r="M12" s="50">
        <v>44.33</v>
      </c>
      <c r="N12" s="50">
        <v>4.70</v>
      </c>
      <c r="O12" s="50">
        <v>0</v>
      </c>
      <c r="P12" s="50">
        <v>1.17</v>
      </c>
      <c r="Q12" s="50">
        <v>26.60</v>
      </c>
      <c r="R12" s="43"/>
      <c r="S12" s="43"/>
      <c r="T12" s="43"/>
      <c r="U12" s="43"/>
    </row>
    <row r="13" spans="1:21" s="11" customFormat="1" ht="15">
      <c r="A13" s="49" t="s">
        <v>427</v>
      </c>
      <c r="B13" s="50">
        <v>5.32</v>
      </c>
      <c r="C13" s="50">
        <v>63.38</v>
      </c>
      <c r="D13" s="50">
        <v>39.57</v>
      </c>
      <c r="E13" s="50">
        <v>3.74</v>
      </c>
      <c r="F13" s="50">
        <v>5.34</v>
      </c>
      <c r="G13" s="50">
        <v>111.80</v>
      </c>
      <c r="H13" s="50">
        <v>29.56</v>
      </c>
      <c r="I13" s="52" t="s">
        <v>8</v>
      </c>
      <c r="J13" s="50">
        <v>0.83</v>
      </c>
      <c r="K13" s="50">
        <v>355.52</v>
      </c>
      <c r="L13" s="50">
        <v>21.36</v>
      </c>
      <c r="M13" s="50">
        <v>44.5</v>
      </c>
      <c r="N13" s="50">
        <v>4.80</v>
      </c>
      <c r="O13" s="50">
        <v>0</v>
      </c>
      <c r="P13" s="50">
        <v>0.96</v>
      </c>
      <c r="Q13" s="50">
        <v>26.41</v>
      </c>
      <c r="R13" s="43"/>
      <c r="S13" s="43"/>
      <c r="T13" s="43"/>
      <c r="U13" s="43"/>
    </row>
    <row r="14" spans="1:21" s="11" customFormat="1" ht="15">
      <c r="A14" s="49" t="s">
        <v>428</v>
      </c>
      <c r="B14" s="50">
        <v>8.65</v>
      </c>
      <c r="C14" s="50">
        <v>62.56</v>
      </c>
      <c r="D14" s="50">
        <v>42.91</v>
      </c>
      <c r="E14" s="50">
        <v>12.96</v>
      </c>
      <c r="F14" s="50">
        <v>6.91</v>
      </c>
      <c r="G14" s="50">
        <v>111.80</v>
      </c>
      <c r="H14" s="50">
        <v>26.28</v>
      </c>
      <c r="I14" s="52" t="s">
        <v>8</v>
      </c>
      <c r="J14" s="50">
        <v>0.40</v>
      </c>
      <c r="K14" s="50">
        <v>352.22</v>
      </c>
      <c r="L14" s="50">
        <v>21.31</v>
      </c>
      <c r="M14" s="50">
        <v>45.30</v>
      </c>
      <c r="N14" s="50">
        <v>5.20</v>
      </c>
      <c r="O14" s="50">
        <v>0</v>
      </c>
      <c r="P14" s="50">
        <v>0.92</v>
      </c>
      <c r="Q14" s="50">
        <v>24.70</v>
      </c>
      <c r="R14" s="43"/>
      <c r="S14" s="43"/>
      <c r="T14" s="43"/>
      <c r="U14" s="43"/>
    </row>
    <row r="15" spans="1:21" s="11" customFormat="1" ht="15">
      <c r="A15" s="49" t="s">
        <v>429</v>
      </c>
      <c r="B15" s="50">
        <v>13.94</v>
      </c>
      <c r="C15" s="50">
        <v>67.83</v>
      </c>
      <c r="D15" s="50">
        <v>50.35</v>
      </c>
      <c r="E15" s="50">
        <v>12.07</v>
      </c>
      <c r="F15" s="50">
        <v>3.40</v>
      </c>
      <c r="G15" s="50">
        <v>89.69</v>
      </c>
      <c r="H15" s="50">
        <v>27.97</v>
      </c>
      <c r="I15" s="52" t="s">
        <v>8</v>
      </c>
      <c r="J15" s="50">
        <v>0.95</v>
      </c>
      <c r="K15" s="50">
        <v>246.90</v>
      </c>
      <c r="L15" s="50">
        <v>21.48</v>
      </c>
      <c r="M15" s="50">
        <v>49.60</v>
      </c>
      <c r="N15" s="50">
        <v>33.700000000000003</v>
      </c>
      <c r="O15" s="50">
        <v>0</v>
      </c>
      <c r="P15" s="50">
        <v>0.93</v>
      </c>
      <c r="Q15" s="50">
        <v>27.98</v>
      </c>
      <c r="R15" s="43"/>
      <c r="S15" s="43"/>
      <c r="T15" s="43"/>
      <c r="U15" s="43"/>
    </row>
    <row r="16" spans="1:21" s="11" customFormat="1" ht="15">
      <c r="A16" s="49" t="s">
        <v>430</v>
      </c>
      <c r="B16" s="50">
        <v>10.26</v>
      </c>
      <c r="C16" s="50">
        <v>63.99</v>
      </c>
      <c r="D16" s="50">
        <v>44.93</v>
      </c>
      <c r="E16" s="50">
        <v>3.19</v>
      </c>
      <c r="F16" s="50">
        <v>1.79</v>
      </c>
      <c r="G16" s="50">
        <v>89.69</v>
      </c>
      <c r="H16" s="50">
        <v>29.71</v>
      </c>
      <c r="I16" s="52" t="s">
        <v>8</v>
      </c>
      <c r="J16" s="50">
        <v>0.33</v>
      </c>
      <c r="K16" s="50">
        <v>240.22</v>
      </c>
      <c r="L16" s="50">
        <v>21.13</v>
      </c>
      <c r="M16" s="50">
        <v>52.65</v>
      </c>
      <c r="N16" s="50">
        <v>114.30</v>
      </c>
      <c r="O16" s="50">
        <v>0</v>
      </c>
      <c r="P16" s="50">
        <v>0.93</v>
      </c>
      <c r="Q16" s="50">
        <v>28.39</v>
      </c>
      <c r="R16" s="43"/>
      <c r="S16" s="43"/>
      <c r="T16" s="43"/>
      <c r="U16" s="43"/>
    </row>
    <row r="17" spans="1:21" s="11" customFormat="1" ht="15">
      <c r="A17" s="49" t="s">
        <v>431</v>
      </c>
      <c r="B17" s="50">
        <v>13.38</v>
      </c>
      <c r="C17" s="50">
        <v>66.849999999999994</v>
      </c>
      <c r="D17" s="50">
        <v>49.36</v>
      </c>
      <c r="E17" s="50">
        <v>4.25</v>
      </c>
      <c r="F17" s="50">
        <v>3.24</v>
      </c>
      <c r="G17" s="50">
        <v>182.06</v>
      </c>
      <c r="H17" s="50">
        <v>30.78</v>
      </c>
      <c r="I17" s="52" t="s">
        <v>8</v>
      </c>
      <c r="J17" s="50">
        <v>0.19</v>
      </c>
      <c r="K17" s="50">
        <v>327.66000000000003</v>
      </c>
      <c r="L17" s="50">
        <v>22.32</v>
      </c>
      <c r="M17" s="50">
        <v>51.13</v>
      </c>
      <c r="N17" s="50">
        <v>96.70</v>
      </c>
      <c r="O17" s="50">
        <v>0</v>
      </c>
      <c r="P17" s="50">
        <v>1.05</v>
      </c>
      <c r="Q17" s="50">
        <v>28.27</v>
      </c>
      <c r="R17" s="43"/>
      <c r="S17" s="43"/>
      <c r="T17" s="43"/>
      <c r="U17" s="43"/>
    </row>
    <row r="18" spans="1:21" s="11" customFormat="1" ht="15">
      <c r="A18" s="49" t="s">
        <v>432</v>
      </c>
      <c r="B18" s="50">
        <v>20</v>
      </c>
      <c r="C18" s="50">
        <v>68.91</v>
      </c>
      <c r="D18" s="50">
        <v>55.81</v>
      </c>
      <c r="E18" s="50">
        <v>5.73</v>
      </c>
      <c r="F18" s="50">
        <v>4.30</v>
      </c>
      <c r="G18" s="50">
        <v>182.06</v>
      </c>
      <c r="H18" s="50">
        <v>33.79</v>
      </c>
      <c r="I18" s="52" t="s">
        <v>8</v>
      </c>
      <c r="J18" s="50">
        <v>0.57999999999999996</v>
      </c>
      <c r="K18" s="50">
        <v>20.239999999999998</v>
      </c>
      <c r="L18" s="50">
        <v>23.64</v>
      </c>
      <c r="M18" s="50">
        <v>50.21</v>
      </c>
      <c r="N18" s="50">
        <v>98.80</v>
      </c>
      <c r="O18" s="50">
        <v>0</v>
      </c>
      <c r="P18" s="50">
        <v>1.1599999999999999</v>
      </c>
      <c r="Q18" s="50">
        <v>26.53</v>
      </c>
      <c r="R18" s="43"/>
      <c r="S18" s="43"/>
      <c r="T18" s="43"/>
      <c r="U18" s="43"/>
    </row>
    <row r="19" spans="1:21" s="11" customFormat="1" ht="15">
      <c r="A19" s="49" t="s">
        <v>433</v>
      </c>
      <c r="B19" s="50">
        <v>20.32</v>
      </c>
      <c r="C19" s="50">
        <v>77</v>
      </c>
      <c r="D19" s="50">
        <v>56.91</v>
      </c>
      <c r="E19" s="50">
        <v>5.37</v>
      </c>
      <c r="F19" s="50">
        <v>5.78</v>
      </c>
      <c r="G19" s="50">
        <v>155.69</v>
      </c>
      <c r="H19" s="50">
        <v>35.19</v>
      </c>
      <c r="I19" s="52" t="s">
        <v>8</v>
      </c>
      <c r="J19" s="50">
        <v>1.1100000000000001</v>
      </c>
      <c r="K19" s="50">
        <v>17.95</v>
      </c>
      <c r="L19" s="50">
        <v>24.23</v>
      </c>
      <c r="M19" s="50">
        <v>45.51</v>
      </c>
      <c r="N19" s="50">
        <v>243.80</v>
      </c>
      <c r="O19" s="50">
        <v>0</v>
      </c>
      <c r="P19" s="50">
        <v>1.20</v>
      </c>
      <c r="Q19" s="50">
        <v>29.54</v>
      </c>
      <c r="R19" s="43"/>
      <c r="S19" s="43"/>
      <c r="T19" s="43"/>
      <c r="U19" s="43"/>
    </row>
    <row r="20" spans="1:21" s="11" customFormat="1" ht="15">
      <c r="A20" s="49" t="s">
        <v>434</v>
      </c>
      <c r="B20" s="50">
        <v>9.5500000000000007</v>
      </c>
      <c r="C20" s="50">
        <v>89.52</v>
      </c>
      <c r="D20" s="50">
        <v>58.80</v>
      </c>
      <c r="E20" s="50">
        <v>15.63</v>
      </c>
      <c r="F20" s="50">
        <v>39.450000000000003</v>
      </c>
      <c r="G20" s="50">
        <v>155.69</v>
      </c>
      <c r="H20" s="50">
        <v>35.19</v>
      </c>
      <c r="I20" s="50">
        <v>0.56000000000000005</v>
      </c>
      <c r="J20" s="50">
        <v>1.07</v>
      </c>
      <c r="K20" s="50">
        <v>352.63</v>
      </c>
      <c r="L20" s="50">
        <v>25.02</v>
      </c>
      <c r="M20" s="50">
        <v>39.58</v>
      </c>
      <c r="N20" s="50">
        <v>269.89999999999998</v>
      </c>
      <c r="O20" s="50">
        <v>0</v>
      </c>
      <c r="P20" s="50">
        <v>1.1200000000000001</v>
      </c>
      <c r="Q20" s="50">
        <v>28.04</v>
      </c>
      <c r="R20" s="43"/>
      <c r="S20" s="43"/>
      <c r="T20" s="43"/>
      <c r="U20" s="43"/>
    </row>
    <row r="21" spans="1:21" s="11" customFormat="1" ht="15">
      <c r="A21" s="49" t="s">
        <v>435</v>
      </c>
      <c r="B21" s="50">
        <v>3.72</v>
      </c>
      <c r="C21" s="50">
        <v>80.02</v>
      </c>
      <c r="D21" s="50">
        <v>48.74</v>
      </c>
      <c r="E21" s="50">
        <v>4.75</v>
      </c>
      <c r="F21" s="50">
        <v>8.48</v>
      </c>
      <c r="G21" s="50">
        <v>82.15</v>
      </c>
      <c r="H21" s="50">
        <v>31.39</v>
      </c>
      <c r="I21" s="50">
        <v>0.48</v>
      </c>
      <c r="J21" s="50">
        <v>2.12</v>
      </c>
      <c r="K21" s="50">
        <v>356.94</v>
      </c>
      <c r="L21" s="50">
        <v>27.13</v>
      </c>
      <c r="M21" s="50">
        <v>37.61</v>
      </c>
      <c r="N21" s="50">
        <v>322.20</v>
      </c>
      <c r="O21" s="50">
        <v>0</v>
      </c>
      <c r="P21" s="50">
        <v>0.98</v>
      </c>
      <c r="Q21" s="50">
        <v>19.489999999999998</v>
      </c>
      <c r="R21" s="43"/>
      <c r="S21" s="43"/>
      <c r="T21" s="43"/>
      <c r="U21" s="43"/>
    </row>
    <row r="22" spans="1:21" s="11" customFormat="1" ht="15">
      <c r="A22" s="49" t="s">
        <v>436</v>
      </c>
      <c r="B22" s="50">
        <v>4.46</v>
      </c>
      <c r="C22" s="50">
        <v>65.61</v>
      </c>
      <c r="D22" s="50">
        <v>41.19</v>
      </c>
      <c r="E22" s="50">
        <v>3.31</v>
      </c>
      <c r="F22" s="50">
        <v>5.84</v>
      </c>
      <c r="G22" s="50">
        <v>79.91</v>
      </c>
      <c r="H22" s="50">
        <v>29.79</v>
      </c>
      <c r="I22" s="50">
        <v>0.49</v>
      </c>
      <c r="J22" s="50">
        <v>1.24</v>
      </c>
      <c r="K22" s="50">
        <v>355.80</v>
      </c>
      <c r="L22" s="50">
        <v>27.94</v>
      </c>
      <c r="M22" s="50">
        <v>33.78</v>
      </c>
      <c r="N22" s="50">
        <v>388.20</v>
      </c>
      <c r="O22" s="50">
        <v>0</v>
      </c>
      <c r="P22" s="50">
        <v>0.84</v>
      </c>
      <c r="Q22" s="50">
        <v>20.54</v>
      </c>
      <c r="R22" s="43"/>
      <c r="S22" s="43"/>
      <c r="T22" s="43"/>
      <c r="U22" s="43"/>
    </row>
    <row r="23" spans="1:21" s="11" customFormat="1" ht="15">
      <c r="A23" s="49" t="s">
        <v>437</v>
      </c>
      <c r="B23" s="50">
        <v>4.71</v>
      </c>
      <c r="C23" s="50">
        <v>60.88</v>
      </c>
      <c r="D23" s="50">
        <v>38.979999999999997</v>
      </c>
      <c r="E23" s="50">
        <v>2.93</v>
      </c>
      <c r="F23" s="50">
        <v>6.11</v>
      </c>
      <c r="G23" s="50">
        <v>62.18</v>
      </c>
      <c r="H23" s="50">
        <v>27.63</v>
      </c>
      <c r="I23" s="50">
        <v>0.51</v>
      </c>
      <c r="J23" s="50">
        <v>0.63</v>
      </c>
      <c r="K23" s="50">
        <v>357.89</v>
      </c>
      <c r="L23" s="50">
        <v>26.42</v>
      </c>
      <c r="M23" s="50">
        <v>36.450000000000003</v>
      </c>
      <c r="N23" s="50">
        <v>302.5</v>
      </c>
      <c r="O23" s="50">
        <v>0</v>
      </c>
      <c r="P23" s="50">
        <v>0.84</v>
      </c>
      <c r="Q23" s="50">
        <v>22.06</v>
      </c>
      <c r="R23" s="43"/>
      <c r="S23" s="43"/>
      <c r="T23" s="43"/>
      <c r="U23" s="43"/>
    </row>
    <row r="24" spans="1:21" s="11" customFormat="1" ht="15">
      <c r="A24" s="49" t="s">
        <v>438</v>
      </c>
      <c r="B24" s="50">
        <v>3.85</v>
      </c>
      <c r="C24" s="50">
        <v>57.40</v>
      </c>
      <c r="D24" s="50">
        <v>36.5</v>
      </c>
      <c r="E24" s="50">
        <v>6.35</v>
      </c>
      <c r="F24" s="50">
        <v>11.37</v>
      </c>
      <c r="G24" s="50">
        <v>62.18</v>
      </c>
      <c r="H24" s="50">
        <v>26.29</v>
      </c>
      <c r="I24" s="50">
        <v>0.53</v>
      </c>
      <c r="J24" s="50">
        <v>0.79</v>
      </c>
      <c r="K24" s="50">
        <v>314.43</v>
      </c>
      <c r="L24" s="50">
        <v>27.06</v>
      </c>
      <c r="M24" s="50">
        <v>36.869999999999997</v>
      </c>
      <c r="N24" s="50">
        <v>327.10000000000002</v>
      </c>
      <c r="O24" s="50">
        <v>0</v>
      </c>
      <c r="P24" s="50">
        <v>0.87</v>
      </c>
      <c r="Q24" s="50">
        <v>21.69</v>
      </c>
      <c r="R24" s="43"/>
      <c r="S24" s="43"/>
      <c r="T24" s="43"/>
      <c r="U24" s="43"/>
    </row>
    <row r="25" spans="1:21" s="11" customFormat="1" ht="15">
      <c r="A25" s="49" t="s">
        <v>439</v>
      </c>
      <c r="B25" s="50">
        <v>3.68</v>
      </c>
      <c r="C25" s="50">
        <v>56.90</v>
      </c>
      <c r="D25" s="50">
        <v>36.10</v>
      </c>
      <c r="E25" s="50">
        <v>4.99</v>
      </c>
      <c r="F25" s="50">
        <v>10.82</v>
      </c>
      <c r="G25" s="50">
        <v>46.96</v>
      </c>
      <c r="H25" s="50">
        <v>23.81</v>
      </c>
      <c r="I25" s="50">
        <v>0.53</v>
      </c>
      <c r="J25" s="50">
        <v>1.20</v>
      </c>
      <c r="K25" s="50">
        <v>195.04</v>
      </c>
      <c r="L25" s="50">
        <v>26.35</v>
      </c>
      <c r="M25" s="50">
        <v>39.880000000000003</v>
      </c>
      <c r="N25" s="50">
        <v>172.5</v>
      </c>
      <c r="O25" s="50">
        <v>0</v>
      </c>
      <c r="P25" s="50">
        <v>0.85</v>
      </c>
      <c r="Q25" s="50">
        <v>22.24</v>
      </c>
      <c r="R25" s="43"/>
      <c r="S25" s="43"/>
      <c r="T25" s="43"/>
      <c r="U25" s="43"/>
    </row>
    <row r="26" spans="1:21" s="11" customFormat="1" ht="15">
      <c r="A26" s="49" t="s">
        <v>440</v>
      </c>
      <c r="B26" s="50">
        <v>7.05</v>
      </c>
      <c r="C26" s="50">
        <v>83.41</v>
      </c>
      <c r="D26" s="50">
        <v>53.43</v>
      </c>
      <c r="E26" s="50">
        <v>4.75</v>
      </c>
      <c r="F26" s="50">
        <v>15.69</v>
      </c>
      <c r="G26" s="50">
        <v>46.96</v>
      </c>
      <c r="H26" s="50">
        <v>23.81</v>
      </c>
      <c r="I26" s="50">
        <v>0.53</v>
      </c>
      <c r="J26" s="50">
        <v>0.47</v>
      </c>
      <c r="K26" s="50">
        <v>359.35</v>
      </c>
      <c r="L26" s="50">
        <v>26.14</v>
      </c>
      <c r="M26" s="50">
        <v>34.869999999999997</v>
      </c>
      <c r="N26" s="50">
        <v>61.70</v>
      </c>
      <c r="O26" s="50">
        <v>0</v>
      </c>
      <c r="P26" s="50">
        <v>0.94</v>
      </c>
      <c r="Q26" s="50">
        <v>25.15</v>
      </c>
      <c r="R26" s="43"/>
      <c r="S26" s="43"/>
      <c r="T26" s="43"/>
      <c r="U26" s="43"/>
    </row>
    <row r="27" spans="1:21" s="11" customFormat="1" ht="15">
      <c r="A27" s="49" t="s">
        <v>441</v>
      </c>
      <c r="B27" s="50">
        <v>6.62</v>
      </c>
      <c r="C27" s="50">
        <v>84.66</v>
      </c>
      <c r="D27" s="50">
        <v>53.77</v>
      </c>
      <c r="E27" s="50">
        <v>4.08</v>
      </c>
      <c r="F27" s="50">
        <v>7.84</v>
      </c>
      <c r="G27" s="50">
        <v>53.70</v>
      </c>
      <c r="H27" s="50">
        <v>23.12</v>
      </c>
      <c r="I27" s="50">
        <v>0.55000000000000004</v>
      </c>
      <c r="J27" s="50">
        <v>0.64</v>
      </c>
      <c r="K27" s="50">
        <v>247.15</v>
      </c>
      <c r="L27" s="50">
        <v>25.03</v>
      </c>
      <c r="M27" s="50">
        <v>40.57</v>
      </c>
      <c r="N27" s="50">
        <v>6.80</v>
      </c>
      <c r="O27" s="50">
        <v>0</v>
      </c>
      <c r="P27" s="50">
        <v>0.92</v>
      </c>
      <c r="Q27" s="50">
        <v>23.74</v>
      </c>
      <c r="R27" s="43"/>
      <c r="S27" s="43"/>
      <c r="T27" s="43"/>
      <c r="U27" s="43"/>
    </row>
    <row r="28" spans="1:21" s="11" customFormat="1" ht="15">
      <c r="A28" s="49" t="s">
        <v>442</v>
      </c>
      <c r="B28" s="50">
        <v>7.08</v>
      </c>
      <c r="C28" s="50">
        <v>80.010000000000005</v>
      </c>
      <c r="D28" s="50">
        <v>51.42</v>
      </c>
      <c r="E28" s="50">
        <v>4.17</v>
      </c>
      <c r="F28" s="50">
        <v>6.07</v>
      </c>
      <c r="G28" s="50">
        <v>63.31</v>
      </c>
      <c r="H28" s="50">
        <v>24.76</v>
      </c>
      <c r="I28" s="50">
        <v>0.56000000000000005</v>
      </c>
      <c r="J28" s="50">
        <v>0.92</v>
      </c>
      <c r="K28" s="50">
        <v>285.23</v>
      </c>
      <c r="L28" s="50">
        <v>23.38</v>
      </c>
      <c r="M28" s="50">
        <v>47.08</v>
      </c>
      <c r="N28" s="50">
        <v>5.30</v>
      </c>
      <c r="O28" s="50">
        <v>0</v>
      </c>
      <c r="P28" s="50">
        <v>1.05</v>
      </c>
      <c r="Q28" s="50">
        <v>23.36</v>
      </c>
      <c r="R28" s="43"/>
      <c r="S28" s="43"/>
      <c r="T28" s="43"/>
      <c r="U28" s="43"/>
    </row>
    <row r="29" spans="1:21" s="11" customFormat="1" ht="15">
      <c r="A29" s="49" t="s">
        <v>443</v>
      </c>
      <c r="B29" s="50">
        <v>7.55</v>
      </c>
      <c r="C29" s="50">
        <v>74.88</v>
      </c>
      <c r="D29" s="50">
        <v>49.12</v>
      </c>
      <c r="E29" s="50">
        <v>3.37</v>
      </c>
      <c r="F29" s="50">
        <v>4.7300000000000004</v>
      </c>
      <c r="G29" s="50">
        <v>78.02</v>
      </c>
      <c r="H29" s="50">
        <v>26.5</v>
      </c>
      <c r="I29" s="50">
        <v>0.60</v>
      </c>
      <c r="J29" s="50">
        <v>0.97</v>
      </c>
      <c r="K29" s="50">
        <v>222.23</v>
      </c>
      <c r="L29" s="50">
        <v>22.90</v>
      </c>
      <c r="M29" s="50">
        <v>48.65</v>
      </c>
      <c r="N29" s="50">
        <v>5</v>
      </c>
      <c r="O29" s="50">
        <v>0</v>
      </c>
      <c r="P29" s="50">
        <v>1.04</v>
      </c>
      <c r="Q29" s="50">
        <v>23.71</v>
      </c>
      <c r="R29" s="43"/>
      <c r="S29" s="43"/>
      <c r="T29" s="43"/>
      <c r="U29" s="43"/>
    </row>
    <row r="30" spans="1:21" s="11" customFormat="1" ht="15">
      <c r="A30" s="49" t="s">
        <v>444</v>
      </c>
      <c r="B30" s="50">
        <v>6.59</v>
      </c>
      <c r="C30" s="50">
        <v>67.569999999999993</v>
      </c>
      <c r="D30" s="50">
        <v>44.31</v>
      </c>
      <c r="E30" s="50">
        <v>2.1800000000000002</v>
      </c>
      <c r="F30" s="50">
        <v>3.16</v>
      </c>
      <c r="G30" s="50">
        <v>78.02</v>
      </c>
      <c r="H30" s="50">
        <v>26.5</v>
      </c>
      <c r="I30" s="50">
        <v>0.61</v>
      </c>
      <c r="J30" s="50">
        <v>1.19</v>
      </c>
      <c r="K30" s="50">
        <v>231.79</v>
      </c>
      <c r="L30" s="50">
        <v>21.96</v>
      </c>
      <c r="M30" s="50">
        <v>52.08</v>
      </c>
      <c r="N30" s="50">
        <v>4.80</v>
      </c>
      <c r="O30" s="50">
        <v>0</v>
      </c>
      <c r="P30" s="50">
        <v>1.03</v>
      </c>
      <c r="Q30" s="50">
        <v>25.30</v>
      </c>
      <c r="R30" s="43"/>
      <c r="S30" s="43"/>
      <c r="T30" s="43"/>
      <c r="U30" s="43"/>
    </row>
    <row r="31" spans="1:21" s="11" customFormat="1" ht="15">
      <c r="A31" s="49" t="s">
        <v>445</v>
      </c>
      <c r="B31" s="50">
        <v>5.19</v>
      </c>
      <c r="C31" s="50">
        <v>62.55</v>
      </c>
      <c r="D31" s="50">
        <v>40.42</v>
      </c>
      <c r="E31" s="50">
        <v>2.27</v>
      </c>
      <c r="F31" s="50">
        <v>3.34</v>
      </c>
      <c r="G31" s="50">
        <v>62.93</v>
      </c>
      <c r="H31" s="50">
        <v>25.46</v>
      </c>
      <c r="I31" s="50">
        <v>0.62</v>
      </c>
      <c r="J31" s="50">
        <v>0.95</v>
      </c>
      <c r="K31" s="50">
        <v>211.46</v>
      </c>
      <c r="L31" s="50">
        <v>21.27</v>
      </c>
      <c r="M31" s="50">
        <v>53.52</v>
      </c>
      <c r="N31" s="50">
        <v>4.9000000000000004</v>
      </c>
      <c r="O31" s="50">
        <v>0</v>
      </c>
      <c r="P31" s="50">
        <v>0.98</v>
      </c>
      <c r="Q31" s="50">
        <v>24.71</v>
      </c>
      <c r="R31" s="43"/>
      <c r="S31" s="43"/>
      <c r="T31" s="43"/>
      <c r="U31" s="43"/>
    </row>
    <row r="32" spans="1:21" s="11" customFormat="1" ht="15">
      <c r="A32" s="49" t="s">
        <v>446</v>
      </c>
      <c r="B32" s="50">
        <v>5.42</v>
      </c>
      <c r="C32" s="50">
        <v>59.23</v>
      </c>
      <c r="D32" s="50">
        <v>38.65</v>
      </c>
      <c r="E32" s="50">
        <v>2.36</v>
      </c>
      <c r="F32" s="50">
        <v>3.53</v>
      </c>
      <c r="G32" s="50">
        <v>62.93</v>
      </c>
      <c r="H32" s="50">
        <v>25.46</v>
      </c>
      <c r="I32" s="50">
        <v>0.59</v>
      </c>
      <c r="J32" s="50">
        <v>0.85</v>
      </c>
      <c r="K32" s="50">
        <v>203.31</v>
      </c>
      <c r="L32" s="50">
        <v>21.33</v>
      </c>
      <c r="M32" s="50">
        <v>53.45</v>
      </c>
      <c r="N32" s="50">
        <v>5</v>
      </c>
      <c r="O32" s="50">
        <v>0</v>
      </c>
      <c r="P32" s="50">
        <v>0.93</v>
      </c>
      <c r="Q32" s="50">
        <v>23.60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3.6800000000000002</v>
      </c>
      <c r="C34" s="28">
        <f t="shared" si="0"/>
        <v>56.899999999999999</v>
      </c>
      <c r="D34" s="28">
        <f t="shared" si="0"/>
        <v>36.100000000000001</v>
      </c>
      <c r="E34" s="28">
        <f t="shared" si="0"/>
        <v>2.1800000000000002</v>
      </c>
      <c r="F34" s="28">
        <f t="shared" si="0"/>
        <v>1.79</v>
      </c>
      <c r="G34" s="28">
        <f t="shared" si="0"/>
        <v>46.960000000000001</v>
      </c>
      <c r="H34" s="28">
        <f t="shared" si="0"/>
        <v>23.120000000000001</v>
      </c>
      <c r="I34" s="28">
        <f t="shared" si="0"/>
        <v>0.47999999999999998</v>
      </c>
      <c r="J34" s="28">
        <f t="shared" si="0"/>
        <v>0.19</v>
      </c>
      <c r="K34" s="28">
        <f t="shared" si="0"/>
        <v>17.949999999999999</v>
      </c>
      <c r="L34" s="28">
        <f t="shared" si="0"/>
        <v>21.129999999999999</v>
      </c>
      <c r="M34" s="28">
        <f t="shared" si="0"/>
        <v>33.780000000000001</v>
      </c>
      <c r="N34" s="28">
        <f t="shared" si="0"/>
        <v>4.2999999999999998</v>
      </c>
      <c r="O34" s="28">
        <f t="shared" si="0"/>
        <v>0</v>
      </c>
      <c r="P34" s="28">
        <f t="shared" si="0"/>
        <v>0.83999999999999997</v>
      </c>
      <c r="Q34" s="28">
        <f t="shared" si="0"/>
        <v>19.489999999999998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55.700000000000003</v>
      </c>
      <c r="C35" s="29">
        <f t="shared" si="1"/>
        <v>89.519999999999996</v>
      </c>
      <c r="D35" s="29">
        <f t="shared" si="1"/>
        <v>88.920000000000002</v>
      </c>
      <c r="E35" s="29">
        <f t="shared" si="1"/>
        <v>15.630000000000001</v>
      </c>
      <c r="F35" s="29">
        <f t="shared" si="1"/>
        <v>39.450000000000003</v>
      </c>
      <c r="G35" s="29">
        <f t="shared" si="1"/>
        <v>182.06</v>
      </c>
      <c r="H35" s="29">
        <f t="shared" si="1"/>
        <v>41.350000000000001</v>
      </c>
      <c r="I35" s="29">
        <f t="shared" si="1"/>
        <v>0.62</v>
      </c>
      <c r="J35" s="29">
        <f t="shared" si="1"/>
        <v>2.1200000000000001</v>
      </c>
      <c r="K35" s="29">
        <f t="shared" si="1"/>
        <v>359.35000000000002</v>
      </c>
      <c r="L35" s="29">
        <f t="shared" si="1"/>
        <v>27.940000000000001</v>
      </c>
      <c r="M35" s="29">
        <f t="shared" si="1"/>
        <v>53.520000000000003</v>
      </c>
      <c r="N35" s="29">
        <f t="shared" si="1"/>
        <v>388.19999999999999</v>
      </c>
      <c r="O35" s="29">
        <f t="shared" si="1"/>
        <v>0</v>
      </c>
      <c r="P35" s="29">
        <f t="shared" si="1"/>
        <v>1.8600000000000001</v>
      </c>
      <c r="Q35" s="29">
        <f t="shared" si="1"/>
        <v>34.509999999999998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11.695833333333335</v>
      </c>
      <c r="C36" s="28">
        <f t="shared" si="2"/>
        <v>70.510000000000005</v>
      </c>
      <c r="D36" s="28">
        <f t="shared" si="2"/>
        <v>49.732916666666675</v>
      </c>
      <c r="E36" s="28">
        <f t="shared" si="2"/>
        <v>5.1379166666666665</v>
      </c>
      <c r="F36" s="28">
        <f t="shared" si="2"/>
        <v>7.0187499999999998</v>
      </c>
      <c r="G36" s="28">
        <f t="shared" si="2"/>
        <v>88.224583333333342</v>
      </c>
      <c r="H36" s="28">
        <f t="shared" si="2"/>
        <v>29.235833333333336</v>
      </c>
      <c r="I36" s="28">
        <f t="shared" si="2"/>
        <v>0.55076923076923079</v>
      </c>
      <c r="J36" s="28">
        <f t="shared" si="2"/>
        <v>0.82750000000000012</v>
      </c>
      <c r="K36" s="28">
        <f t="shared" si="2"/>
        <v>263.4329166666667</v>
      </c>
      <c r="L36" s="28">
        <f t="shared" si="2"/>
        <v>23.648750000000003</v>
      </c>
      <c r="M36" s="28">
        <f t="shared" si="2"/>
        <v>44.210416666666674</v>
      </c>
      <c r="N36" s="28">
        <f t="shared" si="2"/>
        <v>103.81666666666668</v>
      </c>
      <c r="O36" s="28">
        <f t="shared" si="2"/>
        <v>0</v>
      </c>
      <c r="P36" s="28">
        <f t="shared" si="2"/>
        <v>1.0579166666666671</v>
      </c>
      <c r="Q36" s="28">
        <f t="shared" si="2"/>
        <v>25.558333333333337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11.503462963165811</v>
      </c>
      <c r="C37" s="28">
        <f t="shared" si="3" ref="C37:Q37">STDEV(C9:C32)</f>
        <v>9.1813075700386833</v>
      </c>
      <c r="D37" s="28">
        <f t="shared" si="3"/>
        <v>11.679484979401172</v>
      </c>
      <c r="E37" s="28">
        <f t="shared" si="3"/>
        <v>3.4537779933771406</v>
      </c>
      <c r="F37" s="28">
        <f t="shared" si="3"/>
        <v>7.6613549218875416</v>
      </c>
      <c r="G37" s="28">
        <f t="shared" si="3"/>
        <v>40.870066433193152</v>
      </c>
      <c r="H37" s="28">
        <f t="shared" si="3"/>
        <v>4.4641381822412942</v>
      </c>
      <c r="I37" s="28">
        <f t="shared" si="3"/>
        <v>0.044807279628340559</v>
      </c>
      <c r="J37" s="28">
        <f t="shared" si="3"/>
        <v>0.4219957757876357</v>
      </c>
      <c r="K37" s="28">
        <f t="shared" si="3"/>
        <v>108.76104735408698</v>
      </c>
      <c r="L37" s="28">
        <f t="shared" si="3"/>
        <v>2.2000618815407189</v>
      </c>
      <c r="M37" s="28">
        <f t="shared" si="3"/>
        <v>6.2072177336349972</v>
      </c>
      <c r="N37" s="28">
        <f t="shared" si="3"/>
        <v>130.85163741616975</v>
      </c>
      <c r="O37" s="28">
        <f t="shared" si="3"/>
        <v>0</v>
      </c>
      <c r="P37" s="28">
        <f t="shared" si="3"/>
        <v>0.23196662366114876</v>
      </c>
      <c r="Q37" s="28">
        <f t="shared" si="3"/>
        <v>3.437774389575758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COUNT(I9:I32)+11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7560819-040e-4c71-a33a-ac609e0c5c9f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L42" sqref="L4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17-03-2023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1" t="s">
        <v>58</v>
      </c>
      <c r="C7" s="51" t="s">
        <v>43</v>
      </c>
      <c r="D7" s="51" t="s">
        <v>44</v>
      </c>
      <c r="E7" s="51" t="s">
        <v>45</v>
      </c>
      <c r="F7" s="51" t="s">
        <v>46</v>
      </c>
      <c r="G7" s="51" t="s">
        <v>47</v>
      </c>
      <c r="H7" s="51" t="s">
        <v>48</v>
      </c>
      <c r="I7" s="51" t="s">
        <v>49</v>
      </c>
      <c r="J7" s="51" t="s">
        <v>50</v>
      </c>
      <c r="K7" s="51" t="s">
        <v>51</v>
      </c>
      <c r="L7" s="51" t="s">
        <v>52</v>
      </c>
      <c r="M7" s="51" t="s">
        <v>53</v>
      </c>
      <c r="N7" s="51" t="s">
        <v>54</v>
      </c>
      <c r="O7" s="51" t="s">
        <v>55</v>
      </c>
      <c r="P7" s="51" t="s">
        <v>56</v>
      </c>
      <c r="Q7" s="51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62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49" t="s">
        <v>447</v>
      </c>
      <c r="B9" s="50">
        <v>5.64</v>
      </c>
      <c r="C9" s="50">
        <v>56.22</v>
      </c>
      <c r="D9" s="50">
        <v>37.049999999999997</v>
      </c>
      <c r="E9" s="50">
        <v>2.74</v>
      </c>
      <c r="F9" s="50">
        <v>4.0199999999999996</v>
      </c>
      <c r="G9" s="50">
        <v>43.25</v>
      </c>
      <c r="H9" s="50">
        <v>24.71</v>
      </c>
      <c r="I9" s="50">
        <v>0.56999999999999995</v>
      </c>
      <c r="J9" s="50">
        <v>0.37</v>
      </c>
      <c r="K9" s="50">
        <v>246.49</v>
      </c>
      <c r="L9" s="50">
        <v>20.86</v>
      </c>
      <c r="M9" s="50">
        <v>55.23</v>
      </c>
      <c r="N9" s="50">
        <v>5.20</v>
      </c>
      <c r="O9" s="50">
        <v>0</v>
      </c>
      <c r="P9" s="50">
        <v>0.89</v>
      </c>
      <c r="Q9" s="50">
        <v>25.07</v>
      </c>
      <c r="R9" s="43"/>
      <c r="S9" s="43"/>
      <c r="T9" s="43"/>
      <c r="U9" s="43"/>
    </row>
    <row r="10" spans="1:21" s="11" customFormat="1" ht="15">
      <c r="A10" s="49" t="s">
        <v>448</v>
      </c>
      <c r="B10" s="50">
        <v>5.41</v>
      </c>
      <c r="C10" s="50">
        <v>53.21</v>
      </c>
      <c r="D10" s="50">
        <v>35.44</v>
      </c>
      <c r="E10" s="50">
        <v>2.11</v>
      </c>
      <c r="F10" s="50">
        <v>2.27</v>
      </c>
      <c r="G10" s="50">
        <v>34.54</v>
      </c>
      <c r="H10" s="50">
        <v>22.68</v>
      </c>
      <c r="I10" s="50">
        <v>0.59</v>
      </c>
      <c r="J10" s="50">
        <v>0.37</v>
      </c>
      <c r="K10" s="50">
        <v>313.70</v>
      </c>
      <c r="L10" s="50">
        <v>20</v>
      </c>
      <c r="M10" s="50">
        <v>58.64</v>
      </c>
      <c r="N10" s="50">
        <v>4.80</v>
      </c>
      <c r="O10" s="50">
        <v>0</v>
      </c>
      <c r="P10" s="50">
        <v>0.82</v>
      </c>
      <c r="Q10" s="50">
        <v>24.95</v>
      </c>
      <c r="R10" s="43"/>
      <c r="S10" s="43"/>
      <c r="T10" s="43"/>
      <c r="U10" s="43"/>
    </row>
    <row r="11" spans="1:21" s="11" customFormat="1" ht="15">
      <c r="A11" s="49" t="s">
        <v>449</v>
      </c>
      <c r="B11" s="50">
        <v>5.70</v>
      </c>
      <c r="C11" s="50">
        <v>51.53</v>
      </c>
      <c r="D11" s="50">
        <v>34.75</v>
      </c>
      <c r="E11" s="50">
        <v>2.5</v>
      </c>
      <c r="F11" s="50">
        <v>4.99</v>
      </c>
      <c r="G11" s="50">
        <v>42.91</v>
      </c>
      <c r="H11" s="50">
        <v>22.68</v>
      </c>
      <c r="I11" s="50">
        <v>0.56000000000000005</v>
      </c>
      <c r="J11" s="50">
        <v>0.25</v>
      </c>
      <c r="K11" s="50">
        <v>342.18</v>
      </c>
      <c r="L11" s="50">
        <v>19.559999999999999</v>
      </c>
      <c r="M11" s="50">
        <v>64.709999999999994</v>
      </c>
      <c r="N11" s="50">
        <v>5.0999999999999996</v>
      </c>
      <c r="O11" s="50">
        <v>0</v>
      </c>
      <c r="P11" s="50">
        <v>0.81</v>
      </c>
      <c r="Q11" s="50">
        <v>24.28</v>
      </c>
      <c r="R11" s="43"/>
      <c r="S11" s="43"/>
      <c r="T11" s="43"/>
      <c r="U11" s="43"/>
    </row>
    <row r="12" spans="1:21" s="11" customFormat="1" ht="15">
      <c r="A12" s="49" t="s">
        <v>450</v>
      </c>
      <c r="B12" s="50">
        <v>6.51</v>
      </c>
      <c r="C12" s="50">
        <v>51.86</v>
      </c>
      <c r="D12" s="50">
        <v>35.409999999999997</v>
      </c>
      <c r="E12" s="50">
        <v>2.59</v>
      </c>
      <c r="F12" s="50">
        <v>3.90</v>
      </c>
      <c r="G12" s="50">
        <v>45.98</v>
      </c>
      <c r="H12" s="50">
        <v>22.81</v>
      </c>
      <c r="I12" s="50">
        <v>0.56000000000000005</v>
      </c>
      <c r="J12" s="50">
        <v>0.18</v>
      </c>
      <c r="K12" s="50">
        <v>311.56</v>
      </c>
      <c r="L12" s="50">
        <v>19.43</v>
      </c>
      <c r="M12" s="50">
        <v>63.45</v>
      </c>
      <c r="N12" s="50">
        <v>4.9000000000000004</v>
      </c>
      <c r="O12" s="50">
        <v>0</v>
      </c>
      <c r="P12" s="50">
        <v>0.80</v>
      </c>
      <c r="Q12" s="50">
        <v>24.40</v>
      </c>
      <c r="R12" s="43"/>
      <c r="S12" s="43"/>
      <c r="T12" s="43"/>
      <c r="U12" s="43"/>
    </row>
    <row r="13" spans="1:21" s="11" customFormat="1" ht="15">
      <c r="A13" s="49" t="s">
        <v>451</v>
      </c>
      <c r="B13" s="50">
        <v>6.63</v>
      </c>
      <c r="C13" s="50">
        <v>51.70</v>
      </c>
      <c r="D13" s="50">
        <v>35.60</v>
      </c>
      <c r="E13" s="50">
        <v>2.79</v>
      </c>
      <c r="F13" s="50">
        <v>3.74</v>
      </c>
      <c r="G13" s="50">
        <v>45.98</v>
      </c>
      <c r="H13" s="50">
        <v>22.81</v>
      </c>
      <c r="I13" s="50">
        <v>0.56999999999999995</v>
      </c>
      <c r="J13" s="50">
        <v>0.48</v>
      </c>
      <c r="K13" s="50">
        <v>257.89</v>
      </c>
      <c r="L13" s="50">
        <v>19.809999999999999</v>
      </c>
      <c r="M13" s="50">
        <v>59.41</v>
      </c>
      <c r="N13" s="50">
        <v>4.70</v>
      </c>
      <c r="O13" s="50">
        <v>0</v>
      </c>
      <c r="P13" s="50">
        <v>0.77</v>
      </c>
      <c r="Q13" s="50">
        <v>26.55</v>
      </c>
      <c r="R13" s="43"/>
      <c r="S13" s="43"/>
      <c r="T13" s="43"/>
      <c r="U13" s="43"/>
    </row>
    <row r="14" spans="1:21" s="11" customFormat="1" ht="15">
      <c r="A14" s="49" t="s">
        <v>452</v>
      </c>
      <c r="B14" s="50">
        <v>5.81</v>
      </c>
      <c r="C14" s="50">
        <v>52.17</v>
      </c>
      <c r="D14" s="50">
        <v>34.99</v>
      </c>
      <c r="E14" s="50">
        <v>2.52</v>
      </c>
      <c r="F14" s="50">
        <v>1.98</v>
      </c>
      <c r="G14" s="50">
        <v>58.62</v>
      </c>
      <c r="H14" s="50">
        <v>21.64</v>
      </c>
      <c r="I14" s="50">
        <v>0.56999999999999995</v>
      </c>
      <c r="J14" s="50">
        <v>0.93</v>
      </c>
      <c r="K14" s="50">
        <v>230.43</v>
      </c>
      <c r="L14" s="50">
        <v>19.760000000000002</v>
      </c>
      <c r="M14" s="50">
        <v>60.49</v>
      </c>
      <c r="N14" s="50">
        <v>5.0999999999999996</v>
      </c>
      <c r="O14" s="50">
        <v>0</v>
      </c>
      <c r="P14" s="50">
        <v>0.74</v>
      </c>
      <c r="Q14" s="50">
        <v>26.13</v>
      </c>
      <c r="R14" s="43"/>
      <c r="S14" s="43"/>
      <c r="T14" s="43"/>
      <c r="U14" s="43"/>
    </row>
    <row r="15" spans="1:21" s="11" customFormat="1" ht="15">
      <c r="A15" s="49" t="s">
        <v>453</v>
      </c>
      <c r="B15" s="50">
        <v>8.75</v>
      </c>
      <c r="C15" s="50">
        <v>55.92</v>
      </c>
      <c r="D15" s="50">
        <v>39.619999999999997</v>
      </c>
      <c r="E15" s="50">
        <v>2.78</v>
      </c>
      <c r="F15" s="50">
        <v>3.89</v>
      </c>
      <c r="G15" s="50">
        <v>58.62</v>
      </c>
      <c r="H15" s="50">
        <v>20.239999999999998</v>
      </c>
      <c r="I15" s="50">
        <v>0.56000000000000005</v>
      </c>
      <c r="J15" s="50">
        <v>0.22</v>
      </c>
      <c r="K15" s="50">
        <v>250.36</v>
      </c>
      <c r="L15" s="50">
        <v>19.39</v>
      </c>
      <c r="M15" s="50">
        <v>63.47</v>
      </c>
      <c r="N15" s="50">
        <v>27.10</v>
      </c>
      <c r="O15" s="50">
        <v>0</v>
      </c>
      <c r="P15" s="50">
        <v>0.75</v>
      </c>
      <c r="Q15" s="50">
        <v>24.27</v>
      </c>
      <c r="R15" s="43"/>
      <c r="S15" s="43"/>
      <c r="T15" s="43"/>
      <c r="U15" s="43"/>
    </row>
    <row r="16" spans="1:21" s="11" customFormat="1" ht="15">
      <c r="A16" s="49" t="s">
        <v>454</v>
      </c>
      <c r="B16" s="50">
        <v>9.76</v>
      </c>
      <c r="C16" s="50">
        <v>57.48</v>
      </c>
      <c r="D16" s="50">
        <v>41.29</v>
      </c>
      <c r="E16" s="50">
        <v>3.20</v>
      </c>
      <c r="F16" s="50">
        <v>1.75</v>
      </c>
      <c r="G16" s="50">
        <v>62.09</v>
      </c>
      <c r="H16" s="50">
        <v>22.30</v>
      </c>
      <c r="I16" s="50">
        <v>0.56999999999999995</v>
      </c>
      <c r="J16" s="50">
        <v>0.65</v>
      </c>
      <c r="K16" s="50">
        <v>264.29000000000002</v>
      </c>
      <c r="L16" s="50">
        <v>19.93</v>
      </c>
      <c r="M16" s="50">
        <v>64.88</v>
      </c>
      <c r="N16" s="50">
        <v>65.20</v>
      </c>
      <c r="O16" s="50">
        <v>0</v>
      </c>
      <c r="P16" s="50">
        <v>0.80</v>
      </c>
      <c r="Q16" s="50">
        <v>26.88</v>
      </c>
      <c r="R16" s="43"/>
      <c r="S16" s="43"/>
      <c r="T16" s="43"/>
      <c r="U16" s="43"/>
    </row>
    <row r="17" spans="1:21" s="11" customFormat="1" ht="15">
      <c r="A17" s="49" t="s">
        <v>455</v>
      </c>
      <c r="B17" s="50">
        <v>11.05</v>
      </c>
      <c r="C17" s="50">
        <v>60.35</v>
      </c>
      <c r="D17" s="50">
        <v>43.42</v>
      </c>
      <c r="E17" s="50">
        <v>2.38</v>
      </c>
      <c r="F17" s="50">
        <v>1.76</v>
      </c>
      <c r="G17" s="50">
        <v>62.09</v>
      </c>
      <c r="H17" s="50">
        <v>24.99</v>
      </c>
      <c r="I17" s="50">
        <v>0.57999999999999996</v>
      </c>
      <c r="J17" s="50">
        <v>0.51</v>
      </c>
      <c r="K17" s="50">
        <v>305.52999999999997</v>
      </c>
      <c r="L17" s="50">
        <v>21.45</v>
      </c>
      <c r="M17" s="50">
        <v>62.42</v>
      </c>
      <c r="N17" s="50">
        <v>142.60</v>
      </c>
      <c r="O17" s="50">
        <v>0</v>
      </c>
      <c r="P17" s="50">
        <v>0.88</v>
      </c>
      <c r="Q17" s="50">
        <v>26.94</v>
      </c>
      <c r="R17" s="43"/>
      <c r="S17" s="43"/>
      <c r="T17" s="43"/>
      <c r="U17" s="43"/>
    </row>
    <row r="18" spans="1:21" s="11" customFormat="1" ht="15">
      <c r="A18" s="49" t="s">
        <v>456</v>
      </c>
      <c r="B18" s="50">
        <v>9.67</v>
      </c>
      <c r="C18" s="50">
        <v>62.05</v>
      </c>
      <c r="D18" s="50">
        <v>42.95</v>
      </c>
      <c r="E18" s="50">
        <v>2.86</v>
      </c>
      <c r="F18" s="50">
        <v>2.5</v>
      </c>
      <c r="G18" s="50">
        <v>61.67</v>
      </c>
      <c r="H18" s="50">
        <v>25.24</v>
      </c>
      <c r="I18" s="50">
        <v>0.57999999999999996</v>
      </c>
      <c r="J18" s="50">
        <v>0.64</v>
      </c>
      <c r="K18" s="50">
        <v>287.77999999999997</v>
      </c>
      <c r="L18" s="50">
        <v>24.62</v>
      </c>
      <c r="M18" s="50">
        <v>57.97</v>
      </c>
      <c r="N18" s="50">
        <v>658.40</v>
      </c>
      <c r="O18" s="50">
        <v>0</v>
      </c>
      <c r="P18" s="50">
        <v>0.92</v>
      </c>
      <c r="Q18" s="50">
        <v>26.08</v>
      </c>
      <c r="R18" s="43"/>
      <c r="S18" s="43"/>
      <c r="T18" s="43"/>
      <c r="U18" s="43"/>
    </row>
    <row r="19" spans="1:21" s="11" customFormat="1" ht="15">
      <c r="A19" s="49" t="s">
        <v>457</v>
      </c>
      <c r="B19" s="50">
        <v>7.28</v>
      </c>
      <c r="C19" s="50">
        <v>68.45</v>
      </c>
      <c r="D19" s="50">
        <v>43.62</v>
      </c>
      <c r="E19" s="50">
        <v>3.66</v>
      </c>
      <c r="F19" s="50">
        <v>3.33</v>
      </c>
      <c r="G19" s="50">
        <v>63.90</v>
      </c>
      <c r="H19" s="50">
        <v>26.62</v>
      </c>
      <c r="I19" s="50">
        <v>0.56999999999999995</v>
      </c>
      <c r="J19" s="50">
        <v>0.36</v>
      </c>
      <c r="K19" s="50">
        <v>286.73</v>
      </c>
      <c r="L19" s="50">
        <v>27.88</v>
      </c>
      <c r="M19" s="50">
        <v>40.92</v>
      </c>
      <c r="N19" s="50">
        <v>762.80</v>
      </c>
      <c r="O19" s="50">
        <v>0</v>
      </c>
      <c r="P19" s="50">
        <v>1.1499999999999999</v>
      </c>
      <c r="Q19" s="50">
        <v>24.06</v>
      </c>
      <c r="R19" s="43"/>
      <c r="S19" s="43"/>
      <c r="T19" s="43"/>
      <c r="U19" s="43"/>
    </row>
    <row r="20" spans="1:21" s="11" customFormat="1" ht="15">
      <c r="A20" s="49" t="s">
        <v>458</v>
      </c>
      <c r="B20" s="50">
        <v>4.70</v>
      </c>
      <c r="C20" s="50">
        <v>68.95</v>
      </c>
      <c r="D20" s="50">
        <v>43.56</v>
      </c>
      <c r="E20" s="50">
        <v>3.62</v>
      </c>
      <c r="F20" s="50">
        <v>6.45</v>
      </c>
      <c r="G20" s="50">
        <v>63.90</v>
      </c>
      <c r="H20" s="50">
        <v>26.62</v>
      </c>
      <c r="I20" s="50">
        <v>0.56000000000000005</v>
      </c>
      <c r="J20" s="50">
        <v>0.83</v>
      </c>
      <c r="K20" s="50">
        <v>311.02</v>
      </c>
      <c r="L20" s="50">
        <v>28.65</v>
      </c>
      <c r="M20" s="50">
        <v>35.03</v>
      </c>
      <c r="N20" s="50">
        <v>806.5</v>
      </c>
      <c r="O20" s="50">
        <v>0</v>
      </c>
      <c r="P20" s="50">
        <v>1.1299999999999999</v>
      </c>
      <c r="Q20" s="50">
        <v>24.68</v>
      </c>
      <c r="R20" s="43"/>
      <c r="S20" s="43"/>
      <c r="T20" s="43"/>
      <c r="U20" s="43"/>
    </row>
    <row r="21" spans="1:21" s="11" customFormat="1" ht="15">
      <c r="A21" s="49" t="s">
        <v>459</v>
      </c>
      <c r="B21" s="50">
        <v>3.36</v>
      </c>
      <c r="C21" s="50">
        <v>60.29</v>
      </c>
      <c r="D21" s="50">
        <v>37.700000000000003</v>
      </c>
      <c r="E21" s="50">
        <v>2.87</v>
      </c>
      <c r="F21" s="50">
        <v>7.92</v>
      </c>
      <c r="G21" s="50">
        <v>58.53</v>
      </c>
      <c r="H21" s="50">
        <v>26.07</v>
      </c>
      <c r="I21" s="50">
        <v>0.53</v>
      </c>
      <c r="J21" s="50">
        <v>1.29</v>
      </c>
      <c r="K21" s="50">
        <v>218.66</v>
      </c>
      <c r="L21" s="50">
        <v>28.64</v>
      </c>
      <c r="M21" s="50">
        <v>34.46</v>
      </c>
      <c r="N21" s="50">
        <v>804</v>
      </c>
      <c r="O21" s="50">
        <v>0</v>
      </c>
      <c r="P21" s="50">
        <v>0.96</v>
      </c>
      <c r="Q21" s="50">
        <v>23.26</v>
      </c>
      <c r="R21" s="43"/>
      <c r="S21" s="43"/>
      <c r="T21" s="43"/>
      <c r="U21" s="43"/>
    </row>
    <row r="22" spans="1:21" s="11" customFormat="1" ht="15">
      <c r="A22" s="49" t="s">
        <v>460</v>
      </c>
      <c r="B22" s="50">
        <v>3.55</v>
      </c>
      <c r="C22" s="50">
        <v>53.66</v>
      </c>
      <c r="D22" s="50">
        <v>34.06</v>
      </c>
      <c r="E22" s="50">
        <v>3.45</v>
      </c>
      <c r="F22" s="50">
        <v>13.15</v>
      </c>
      <c r="G22" s="50">
        <v>45.13</v>
      </c>
      <c r="H22" s="50">
        <v>19.440000000000001</v>
      </c>
      <c r="I22" s="50">
        <v>0.54</v>
      </c>
      <c r="J22" s="50">
        <v>1.31</v>
      </c>
      <c r="K22" s="50">
        <v>191.96</v>
      </c>
      <c r="L22" s="50">
        <v>28.79</v>
      </c>
      <c r="M22" s="50">
        <v>33.92</v>
      </c>
      <c r="N22" s="50">
        <v>663.20</v>
      </c>
      <c r="O22" s="50">
        <v>0</v>
      </c>
      <c r="P22" s="50">
        <v>0.81</v>
      </c>
      <c r="Q22" s="50">
        <v>23.22</v>
      </c>
      <c r="R22" s="43"/>
      <c r="S22" s="43"/>
      <c r="T22" s="43"/>
      <c r="U22" s="43"/>
    </row>
    <row r="23" spans="1:21" s="11" customFormat="1" ht="15">
      <c r="A23" s="49" t="s">
        <v>461</v>
      </c>
      <c r="B23" s="50">
        <v>3.38</v>
      </c>
      <c r="C23" s="50">
        <v>52.22</v>
      </c>
      <c r="D23" s="50">
        <v>33.270000000000003</v>
      </c>
      <c r="E23" s="50">
        <v>3.18</v>
      </c>
      <c r="F23" s="50">
        <v>9.09</v>
      </c>
      <c r="G23" s="50">
        <v>44.03</v>
      </c>
      <c r="H23" s="50">
        <v>19.440000000000001</v>
      </c>
      <c r="I23" s="50">
        <v>0.55000000000000004</v>
      </c>
      <c r="J23" s="50">
        <v>1.61</v>
      </c>
      <c r="K23" s="50">
        <v>198.01</v>
      </c>
      <c r="L23" s="50">
        <v>28.42</v>
      </c>
      <c r="M23" s="50">
        <v>33.24</v>
      </c>
      <c r="N23" s="50">
        <v>573</v>
      </c>
      <c r="O23" s="50">
        <v>0</v>
      </c>
      <c r="P23" s="50">
        <v>0.77</v>
      </c>
      <c r="Q23" s="50">
        <v>23.76</v>
      </c>
      <c r="R23" s="43"/>
      <c r="S23" s="43"/>
      <c r="T23" s="43"/>
      <c r="U23" s="43"/>
    </row>
    <row r="24" spans="1:21" s="11" customFormat="1" ht="15">
      <c r="A24" s="49" t="s">
        <v>462</v>
      </c>
      <c r="B24" s="50">
        <v>3.08</v>
      </c>
      <c r="C24" s="50">
        <v>51.74</v>
      </c>
      <c r="D24" s="50">
        <v>32.76</v>
      </c>
      <c r="E24" s="50">
        <v>2.86</v>
      </c>
      <c r="F24" s="50">
        <v>10.92</v>
      </c>
      <c r="G24" s="50">
        <v>37.35</v>
      </c>
      <c r="H24" s="50">
        <v>19.43</v>
      </c>
      <c r="I24" s="50">
        <v>0.54</v>
      </c>
      <c r="J24" s="50">
        <v>1.35</v>
      </c>
      <c r="K24" s="50">
        <v>223.17</v>
      </c>
      <c r="L24" s="50">
        <v>27.53</v>
      </c>
      <c r="M24" s="50">
        <v>36.549999999999997</v>
      </c>
      <c r="N24" s="50">
        <v>213.80</v>
      </c>
      <c r="O24" s="50">
        <v>0</v>
      </c>
      <c r="P24" s="50">
        <v>0.71</v>
      </c>
      <c r="Q24" s="50">
        <v>24.24</v>
      </c>
      <c r="R24" s="43"/>
      <c r="S24" s="43"/>
      <c r="T24" s="43"/>
      <c r="U24" s="43"/>
    </row>
    <row r="25" spans="1:21" s="11" customFormat="1" ht="15">
      <c r="A25" s="49" t="s">
        <v>463</v>
      </c>
      <c r="B25" s="50">
        <v>2.86</v>
      </c>
      <c r="C25" s="50">
        <v>51.04</v>
      </c>
      <c r="D25" s="50">
        <v>32.21</v>
      </c>
      <c r="E25" s="50">
        <v>2.76</v>
      </c>
      <c r="F25" s="50">
        <v>9.57</v>
      </c>
      <c r="G25" s="50">
        <v>35.53</v>
      </c>
      <c r="H25" s="50">
        <v>19.399999999999999</v>
      </c>
      <c r="I25" s="50">
        <v>0.55000000000000004</v>
      </c>
      <c r="J25" s="50">
        <v>1.20</v>
      </c>
      <c r="K25" s="50">
        <v>237.55</v>
      </c>
      <c r="L25" s="50">
        <v>26.81</v>
      </c>
      <c r="M25" s="50">
        <v>38.659999999999997</v>
      </c>
      <c r="N25" s="50">
        <v>142.10</v>
      </c>
      <c r="O25" s="50">
        <v>0</v>
      </c>
      <c r="P25" s="50">
        <v>0.66</v>
      </c>
      <c r="Q25" s="50">
        <v>22.78</v>
      </c>
      <c r="R25" s="43"/>
      <c r="S25" s="43"/>
      <c r="T25" s="43"/>
      <c r="U25" s="43"/>
    </row>
    <row r="26" spans="1:21" s="11" customFormat="1" ht="15">
      <c r="A26" s="49" t="s">
        <v>464</v>
      </c>
      <c r="B26" s="50">
        <v>3.09</v>
      </c>
      <c r="C26" s="50">
        <v>48.96</v>
      </c>
      <c r="D26" s="50">
        <v>31.17</v>
      </c>
      <c r="E26" s="50">
        <v>2.48</v>
      </c>
      <c r="F26" s="50">
        <v>8.27</v>
      </c>
      <c r="G26" s="50">
        <v>43.08</v>
      </c>
      <c r="H26" s="50">
        <v>20.83</v>
      </c>
      <c r="I26" s="50">
        <v>0.52</v>
      </c>
      <c r="J26" s="50">
        <v>1.04</v>
      </c>
      <c r="K26" s="50">
        <v>241.96</v>
      </c>
      <c r="L26" s="50">
        <v>26.06</v>
      </c>
      <c r="M26" s="50">
        <v>42.83</v>
      </c>
      <c r="N26" s="50">
        <v>63.80</v>
      </c>
      <c r="O26" s="50">
        <v>0</v>
      </c>
      <c r="P26" s="50">
        <v>0.64</v>
      </c>
      <c r="Q26" s="50">
        <v>20.30</v>
      </c>
      <c r="R26" s="43"/>
      <c r="S26" s="43"/>
      <c r="T26" s="43"/>
      <c r="U26" s="43"/>
    </row>
    <row r="27" spans="1:21" s="11" customFormat="1" ht="15">
      <c r="A27" s="49" t="s">
        <v>465</v>
      </c>
      <c r="B27" s="50">
        <v>3.84</v>
      </c>
      <c r="C27" s="50">
        <v>53.85</v>
      </c>
      <c r="D27" s="50">
        <v>34.54</v>
      </c>
      <c r="E27" s="50">
        <v>2.41</v>
      </c>
      <c r="F27" s="50">
        <v>7.01</v>
      </c>
      <c r="G27" s="50">
        <v>43.08</v>
      </c>
      <c r="H27" s="50">
        <v>20.83</v>
      </c>
      <c r="I27" s="50">
        <v>0.52</v>
      </c>
      <c r="J27" s="50">
        <v>0.90</v>
      </c>
      <c r="K27" s="50">
        <v>225.86</v>
      </c>
      <c r="L27" s="50">
        <v>24.55</v>
      </c>
      <c r="M27" s="50">
        <v>45.93</v>
      </c>
      <c r="N27" s="50">
        <v>6.60</v>
      </c>
      <c r="O27" s="50">
        <v>0</v>
      </c>
      <c r="P27" s="50">
        <v>0.68</v>
      </c>
      <c r="Q27" s="50">
        <v>22</v>
      </c>
      <c r="R27" s="43"/>
      <c r="S27" s="43"/>
      <c r="T27" s="43"/>
      <c r="U27" s="43"/>
    </row>
    <row r="28" spans="1:21" s="11" customFormat="1" ht="15">
      <c r="A28" s="49" t="s">
        <v>466</v>
      </c>
      <c r="B28" s="50">
        <v>4.97</v>
      </c>
      <c r="C28" s="50">
        <v>61.69</v>
      </c>
      <c r="D28" s="50">
        <v>39.78</v>
      </c>
      <c r="E28" s="50">
        <v>2.63</v>
      </c>
      <c r="F28" s="50">
        <v>8.90</v>
      </c>
      <c r="G28" s="50">
        <v>44.95</v>
      </c>
      <c r="H28" s="50">
        <v>18.489999999999998</v>
      </c>
      <c r="I28" s="50">
        <v>0.54</v>
      </c>
      <c r="J28" s="50">
        <v>0.56000000000000005</v>
      </c>
      <c r="K28" s="50">
        <v>197.78</v>
      </c>
      <c r="L28" s="50">
        <v>23.95</v>
      </c>
      <c r="M28" s="50">
        <v>45.27</v>
      </c>
      <c r="N28" s="50">
        <v>4.4000000000000004</v>
      </c>
      <c r="O28" s="50">
        <v>0</v>
      </c>
      <c r="P28" s="50">
        <v>0.76</v>
      </c>
      <c r="Q28" s="50">
        <v>23.43</v>
      </c>
      <c r="R28" s="43"/>
      <c r="S28" s="43"/>
      <c r="T28" s="43"/>
      <c r="U28" s="43"/>
    </row>
    <row r="29" spans="1:21" s="11" customFormat="1" ht="15">
      <c r="A29" s="49" t="s">
        <v>467</v>
      </c>
      <c r="B29" s="50">
        <v>6.40</v>
      </c>
      <c r="C29" s="50">
        <v>66.88</v>
      </c>
      <c r="D29" s="50">
        <v>43.78</v>
      </c>
      <c r="E29" s="50">
        <v>2.67</v>
      </c>
      <c r="F29" s="50">
        <v>6.41</v>
      </c>
      <c r="G29" s="50">
        <v>49.30</v>
      </c>
      <c r="H29" s="50">
        <v>19.920000000000002</v>
      </c>
      <c r="I29" s="50">
        <v>0.53</v>
      </c>
      <c r="J29" s="50">
        <v>1.06</v>
      </c>
      <c r="K29" s="50">
        <v>201.37</v>
      </c>
      <c r="L29" s="50">
        <v>23.87</v>
      </c>
      <c r="M29" s="50">
        <v>46.36</v>
      </c>
      <c r="N29" s="50">
        <v>4.70</v>
      </c>
      <c r="O29" s="50">
        <v>0</v>
      </c>
      <c r="P29" s="50">
        <v>0.80</v>
      </c>
      <c r="Q29" s="50">
        <v>23.73</v>
      </c>
      <c r="R29" s="43"/>
      <c r="S29" s="43"/>
      <c r="T29" s="43"/>
      <c r="U29" s="43"/>
    </row>
    <row r="30" spans="1:21" s="11" customFormat="1" ht="15">
      <c r="A30" s="49" t="s">
        <v>468</v>
      </c>
      <c r="B30" s="50">
        <v>7.46</v>
      </c>
      <c r="C30" s="50">
        <v>63.27</v>
      </c>
      <c r="D30" s="50">
        <v>42.20</v>
      </c>
      <c r="E30" s="50">
        <v>2.80</v>
      </c>
      <c r="F30" s="50">
        <v>5.62</v>
      </c>
      <c r="G30" s="50">
        <v>51.27</v>
      </c>
      <c r="H30" s="50">
        <v>22.13</v>
      </c>
      <c r="I30" s="50">
        <v>0.55000000000000004</v>
      </c>
      <c r="J30" s="50">
        <v>0.89</v>
      </c>
      <c r="K30" s="50">
        <v>241.37</v>
      </c>
      <c r="L30" s="50">
        <v>23.06</v>
      </c>
      <c r="M30" s="50">
        <v>49.96</v>
      </c>
      <c r="N30" s="50">
        <v>4.9000000000000004</v>
      </c>
      <c r="O30" s="50">
        <v>0</v>
      </c>
      <c r="P30" s="50">
        <v>0.84</v>
      </c>
      <c r="Q30" s="50">
        <v>24.66</v>
      </c>
      <c r="R30" s="43"/>
      <c r="S30" s="43"/>
      <c r="T30" s="43"/>
      <c r="U30" s="43"/>
    </row>
    <row r="31" spans="1:21" s="11" customFormat="1" ht="15">
      <c r="A31" s="49" t="s">
        <v>469</v>
      </c>
      <c r="B31" s="50">
        <v>6.93</v>
      </c>
      <c r="C31" s="50">
        <v>59.39</v>
      </c>
      <c r="D31" s="50">
        <v>40.07</v>
      </c>
      <c r="E31" s="50">
        <v>2.27</v>
      </c>
      <c r="F31" s="50">
        <v>2.67</v>
      </c>
      <c r="G31" s="50">
        <v>51.27</v>
      </c>
      <c r="H31" s="50">
        <v>24.07</v>
      </c>
      <c r="I31" s="50">
        <v>0.60</v>
      </c>
      <c r="J31" s="50">
        <v>0.69</v>
      </c>
      <c r="K31" s="50">
        <v>221.22</v>
      </c>
      <c r="L31" s="50">
        <v>21.95</v>
      </c>
      <c r="M31" s="50">
        <v>53.35</v>
      </c>
      <c r="N31" s="50">
        <v>4.80</v>
      </c>
      <c r="O31" s="50">
        <v>0</v>
      </c>
      <c r="P31" s="50">
        <v>0.81</v>
      </c>
      <c r="Q31" s="50">
        <v>25.73</v>
      </c>
      <c r="R31" s="43"/>
      <c r="S31" s="43"/>
      <c r="T31" s="43"/>
      <c r="U31" s="43"/>
    </row>
    <row r="32" spans="1:21" s="11" customFormat="1" ht="15">
      <c r="A32" s="49" t="s">
        <v>470</v>
      </c>
      <c r="B32" s="50">
        <v>5.60</v>
      </c>
      <c r="C32" s="50">
        <v>56.42</v>
      </c>
      <c r="D32" s="50">
        <v>37.36</v>
      </c>
      <c r="E32" s="50">
        <v>2.1800000000000002</v>
      </c>
      <c r="F32" s="50">
        <v>2.2400000000000002</v>
      </c>
      <c r="G32" s="50">
        <v>50.49</v>
      </c>
      <c r="H32" s="50">
        <v>24.07</v>
      </c>
      <c r="I32" s="50">
        <v>0.56999999999999995</v>
      </c>
      <c r="J32" s="50">
        <v>1.45</v>
      </c>
      <c r="K32" s="50">
        <v>240.86</v>
      </c>
      <c r="L32" s="50">
        <v>21.18</v>
      </c>
      <c r="M32" s="50">
        <v>55</v>
      </c>
      <c r="N32" s="50">
        <v>4.9000000000000004</v>
      </c>
      <c r="O32" s="50">
        <v>0</v>
      </c>
      <c r="P32" s="50">
        <v>0.77</v>
      </c>
      <c r="Q32" s="50">
        <v>24.47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2.8599999999999999</v>
      </c>
      <c r="C34" s="28">
        <f t="shared" si="0"/>
        <v>48.960000000000001</v>
      </c>
      <c r="D34" s="28">
        <f t="shared" si="0"/>
        <v>31.170000000000002</v>
      </c>
      <c r="E34" s="28">
        <f t="shared" si="0"/>
        <v>2.1099999999999999</v>
      </c>
      <c r="F34" s="28">
        <f t="shared" si="0"/>
        <v>1.75</v>
      </c>
      <c r="G34" s="28">
        <f t="shared" si="0"/>
        <v>34.539999999999999</v>
      </c>
      <c r="H34" s="28">
        <f t="shared" si="0"/>
        <v>18.489999999999998</v>
      </c>
      <c r="I34" s="28">
        <f t="shared" si="0"/>
        <v>0.52000000000000002</v>
      </c>
      <c r="J34" s="28">
        <f t="shared" si="0"/>
        <v>0.17999999999999999</v>
      </c>
      <c r="K34" s="28">
        <f t="shared" si="0"/>
        <v>191.96000000000001</v>
      </c>
      <c r="L34" s="28">
        <f t="shared" si="0"/>
        <v>19.390000000000001</v>
      </c>
      <c r="M34" s="28">
        <f t="shared" si="0"/>
        <v>33.240000000000002</v>
      </c>
      <c r="N34" s="28">
        <f t="shared" si="0"/>
        <v>4.4000000000000004</v>
      </c>
      <c r="O34" s="28">
        <f t="shared" si="0"/>
        <v>0</v>
      </c>
      <c r="P34" s="28">
        <f t="shared" si="0"/>
        <v>0.64000000000000001</v>
      </c>
      <c r="Q34" s="28">
        <f t="shared" si="0"/>
        <v>20.300000000000001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11.050000000000001</v>
      </c>
      <c r="C35" s="29">
        <f t="shared" si="1"/>
        <v>68.950000000000003</v>
      </c>
      <c r="D35" s="29">
        <f t="shared" si="1"/>
        <v>43.780000000000001</v>
      </c>
      <c r="E35" s="29">
        <f t="shared" si="1"/>
        <v>3.6600000000000001</v>
      </c>
      <c r="F35" s="29">
        <f t="shared" si="1"/>
        <v>13.15</v>
      </c>
      <c r="G35" s="29">
        <f t="shared" si="1"/>
        <v>63.899999999999999</v>
      </c>
      <c r="H35" s="29">
        <f t="shared" si="1"/>
        <v>26.620000000000001</v>
      </c>
      <c r="I35" s="29">
        <f t="shared" si="1"/>
        <v>0.59999999999999998</v>
      </c>
      <c r="J35" s="29">
        <f t="shared" si="1"/>
        <v>1.6100000000000001</v>
      </c>
      <c r="K35" s="29">
        <f t="shared" si="1"/>
        <v>342.18000000000001</v>
      </c>
      <c r="L35" s="29">
        <f t="shared" si="1"/>
        <v>28.789999999999999</v>
      </c>
      <c r="M35" s="29">
        <f t="shared" si="1"/>
        <v>64.879999999999995</v>
      </c>
      <c r="N35" s="29">
        <f t="shared" si="1"/>
        <v>806.5</v>
      </c>
      <c r="O35" s="29">
        <f t="shared" si="1"/>
        <v>0</v>
      </c>
      <c r="P35" s="29">
        <f t="shared" si="1"/>
        <v>1.1499999999999999</v>
      </c>
      <c r="Q35" s="29">
        <f t="shared" si="1"/>
        <v>26.940000000000001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5.8929166666666672</v>
      </c>
      <c r="C36" s="28">
        <f t="shared" si="2"/>
        <v>57.054166666666681</v>
      </c>
      <c r="D36" s="28">
        <f t="shared" si="2"/>
        <v>37.774999999999999</v>
      </c>
      <c r="E36" s="28">
        <f t="shared" si="2"/>
        <v>2.7629166666666669</v>
      </c>
      <c r="F36" s="28">
        <f t="shared" si="2"/>
        <v>5.5145833333333343</v>
      </c>
      <c r="G36" s="28">
        <f t="shared" si="2"/>
        <v>49.898333333333333</v>
      </c>
      <c r="H36" s="28">
        <f t="shared" si="2"/>
        <v>22.394166666666667</v>
      </c>
      <c r="I36" s="28">
        <f t="shared" si="2"/>
        <v>0.5575</v>
      </c>
      <c r="J36" s="28">
        <f t="shared" si="2"/>
        <v>0.79749999999999999</v>
      </c>
      <c r="K36" s="28">
        <f t="shared" si="2"/>
        <v>251.98874999999998</v>
      </c>
      <c r="L36" s="28">
        <f t="shared" si="2"/>
        <v>23.589583333333334</v>
      </c>
      <c r="M36" s="28">
        <f t="shared" si="2"/>
        <v>50.089583333333316</v>
      </c>
      <c r="N36" s="28">
        <f t="shared" si="2"/>
        <v>207.60833333333332</v>
      </c>
      <c r="O36" s="28">
        <f t="shared" si="2"/>
        <v>0</v>
      </c>
      <c r="P36" s="28">
        <f t="shared" si="2"/>
        <v>0.81958333333333344</v>
      </c>
      <c r="Q36" s="28">
        <f t="shared" si="2"/>
        <v>24.411249999999999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2.2909946181909091</v>
      </c>
      <c r="C37" s="28">
        <f t="shared" si="3" ref="C37:Q37">STDEV(C9:C32)</f>
        <v>5.8318525035521311</v>
      </c>
      <c r="D37" s="28">
        <f t="shared" si="3"/>
        <v>4.0895263890769291</v>
      </c>
      <c r="E37" s="28">
        <f t="shared" si="3"/>
        <v>0.41463948895046038</v>
      </c>
      <c r="F37" s="28">
        <f t="shared" si="3"/>
        <v>3.2328490317858707</v>
      </c>
      <c r="G37" s="28">
        <f t="shared" si="3"/>
        <v>9.2247826257725105</v>
      </c>
      <c r="H37" s="28">
        <f t="shared" si="3"/>
        <v>2.4873941605915464</v>
      </c>
      <c r="I37" s="28">
        <f t="shared" si="3"/>
        <v>0.021110475454452521</v>
      </c>
      <c r="J37" s="28">
        <f t="shared" si="3"/>
        <v>0.42186181541394302</v>
      </c>
      <c r="K37" s="28">
        <f t="shared" si="3"/>
        <v>42.297613491368715</v>
      </c>
      <c r="L37" s="28">
        <f t="shared" si="3"/>
        <v>3.4972106638771927</v>
      </c>
      <c r="M37" s="28">
        <f t="shared" si="3"/>
        <v>11.141654501744089</v>
      </c>
      <c r="N37" s="28">
        <f t="shared" si="3"/>
        <v>305.14033680411302</v>
      </c>
      <c r="O37" s="28">
        <f t="shared" si="3"/>
        <v>0</v>
      </c>
      <c r="P37" s="28">
        <f t="shared" si="3"/>
        <v>0.1246029927293137</v>
      </c>
      <c r="Q37" s="28">
        <f t="shared" si="3"/>
        <v>1.5543244373430403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6f2ede2-db0c-439a-b1aa-7c95fbd0dc31}">
  <sheetPr codeName=""/>
  <dimension ref="A1:U119"/>
  <sheetViews>
    <sheetView workbookViewId="0" topLeftCell="A1">
      <pane xSplit="1" ySplit="8" topLeftCell="B24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2" sqref="G4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18-03-2023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49" t="s">
        <v>471</v>
      </c>
      <c r="B9" s="50">
        <v>5.70</v>
      </c>
      <c r="C9" s="50">
        <v>53.12</v>
      </c>
      <c r="D9" s="50">
        <v>35.36</v>
      </c>
      <c r="E9" s="50">
        <v>2.10</v>
      </c>
      <c r="F9" s="50">
        <v>2.75</v>
      </c>
      <c r="G9" s="50">
        <v>49.09</v>
      </c>
      <c r="H9" s="50">
        <v>18.30</v>
      </c>
      <c r="I9" s="50">
        <v>0.56999999999999995</v>
      </c>
      <c r="J9" s="50">
        <v>1.35</v>
      </c>
      <c r="K9" s="50">
        <v>302.37</v>
      </c>
      <c r="L9" s="50">
        <v>20.71</v>
      </c>
      <c r="M9" s="50">
        <v>58.27</v>
      </c>
      <c r="N9" s="50">
        <v>5</v>
      </c>
      <c r="O9" s="50">
        <v>0</v>
      </c>
      <c r="P9" s="50">
        <v>0.72</v>
      </c>
      <c r="Q9" s="50">
        <v>22.60</v>
      </c>
      <c r="R9" s="43"/>
      <c r="S9" s="43"/>
      <c r="T9" s="43"/>
      <c r="U9" s="43"/>
    </row>
    <row r="10" spans="1:21" s="11" customFormat="1" ht="15">
      <c r="A10" s="49" t="s">
        <v>472</v>
      </c>
      <c r="B10" s="50">
        <v>7.69</v>
      </c>
      <c r="C10" s="50">
        <v>50.92</v>
      </c>
      <c r="D10" s="50">
        <v>35.35</v>
      </c>
      <c r="E10" s="50">
        <v>1.89</v>
      </c>
      <c r="F10" s="50">
        <v>2.37</v>
      </c>
      <c r="G10" s="50">
        <v>39.21</v>
      </c>
      <c r="H10" s="50">
        <v>15.91</v>
      </c>
      <c r="I10" s="50">
        <v>0.54</v>
      </c>
      <c r="J10" s="50">
        <v>0.32</v>
      </c>
      <c r="K10" s="50">
        <v>357.64</v>
      </c>
      <c r="L10" s="50">
        <v>19.489999999999998</v>
      </c>
      <c r="M10" s="50">
        <v>62.80</v>
      </c>
      <c r="N10" s="50">
        <v>5</v>
      </c>
      <c r="O10" s="50">
        <v>0</v>
      </c>
      <c r="P10" s="50">
        <v>0.69</v>
      </c>
      <c r="Q10" s="50">
        <v>23.75</v>
      </c>
      <c r="R10" s="43"/>
      <c r="S10" s="43"/>
      <c r="T10" s="43"/>
      <c r="U10" s="43"/>
    </row>
    <row r="11" spans="1:21" s="11" customFormat="1" ht="15">
      <c r="A11" s="49" t="s">
        <v>473</v>
      </c>
      <c r="B11" s="50">
        <v>9.3000000000000007</v>
      </c>
      <c r="C11" s="50">
        <v>51.76</v>
      </c>
      <c r="D11" s="50">
        <v>37.76</v>
      </c>
      <c r="E11" s="50">
        <v>2.48</v>
      </c>
      <c r="F11" s="50">
        <v>1.70</v>
      </c>
      <c r="G11" s="50">
        <v>39.21</v>
      </c>
      <c r="H11" s="50">
        <v>15.72</v>
      </c>
      <c r="I11" s="50">
        <v>0.55000000000000004</v>
      </c>
      <c r="J11" s="50">
        <v>0.71</v>
      </c>
      <c r="K11" s="50">
        <v>36.770000000000003</v>
      </c>
      <c r="L11" s="50">
        <v>19.91</v>
      </c>
      <c r="M11" s="50">
        <v>63.03</v>
      </c>
      <c r="N11" s="50">
        <v>4.80</v>
      </c>
      <c r="O11" s="50">
        <v>0</v>
      </c>
      <c r="P11" s="50">
        <v>0.72</v>
      </c>
      <c r="Q11" s="50">
        <v>24.54</v>
      </c>
      <c r="R11" s="43"/>
      <c r="S11" s="43"/>
      <c r="T11" s="43"/>
      <c r="U11" s="43"/>
    </row>
    <row r="12" spans="1:21" s="11" customFormat="1" ht="15">
      <c r="A12" s="49" t="s">
        <v>474</v>
      </c>
      <c r="B12" s="50">
        <v>10.99</v>
      </c>
      <c r="C12" s="50">
        <v>53.49</v>
      </c>
      <c r="D12" s="50">
        <v>40.06</v>
      </c>
      <c r="E12" s="50">
        <v>2.99</v>
      </c>
      <c r="F12" s="50">
        <v>1.62</v>
      </c>
      <c r="G12" s="50">
        <v>60.83</v>
      </c>
      <c r="H12" s="50">
        <v>24.44</v>
      </c>
      <c r="I12" s="50">
        <v>0.55000000000000004</v>
      </c>
      <c r="J12" s="50">
        <v>1.23</v>
      </c>
      <c r="K12" s="50">
        <v>112.03</v>
      </c>
      <c r="L12" s="50">
        <v>20.11</v>
      </c>
      <c r="M12" s="50">
        <v>60.10</v>
      </c>
      <c r="N12" s="50">
        <v>4.80</v>
      </c>
      <c r="O12" s="50">
        <v>0</v>
      </c>
      <c r="P12" s="50">
        <v>0.77</v>
      </c>
      <c r="Q12" s="50">
        <v>26.81</v>
      </c>
      <c r="R12" s="43"/>
      <c r="S12" s="43"/>
      <c r="T12" s="43"/>
      <c r="U12" s="43"/>
    </row>
    <row r="13" spans="1:21" s="11" customFormat="1" ht="15">
      <c r="A13" s="49" t="s">
        <v>475</v>
      </c>
      <c r="B13" s="50">
        <v>11.17</v>
      </c>
      <c r="C13" s="50">
        <v>52.89</v>
      </c>
      <c r="D13" s="50">
        <v>39.89</v>
      </c>
      <c r="E13" s="50">
        <v>2.42</v>
      </c>
      <c r="F13" s="50">
        <v>2.38</v>
      </c>
      <c r="G13" s="50">
        <v>60.83</v>
      </c>
      <c r="H13" s="50">
        <v>24.44</v>
      </c>
      <c r="I13" s="50">
        <v>0.56999999999999995</v>
      </c>
      <c r="J13" s="50">
        <v>1.20</v>
      </c>
      <c r="K13" s="50">
        <v>105.09</v>
      </c>
      <c r="L13" s="50">
        <v>19.47</v>
      </c>
      <c r="M13" s="50">
        <v>65.010000000000005</v>
      </c>
      <c r="N13" s="50">
        <v>5</v>
      </c>
      <c r="O13" s="50">
        <v>0</v>
      </c>
      <c r="P13" s="50">
        <v>0.77</v>
      </c>
      <c r="Q13" s="50">
        <v>29.52</v>
      </c>
      <c r="R13" s="43"/>
      <c r="S13" s="43"/>
      <c r="T13" s="43"/>
      <c r="U13" s="43"/>
    </row>
    <row r="14" spans="1:21" s="11" customFormat="1" ht="15">
      <c r="A14" s="49" t="s">
        <v>476</v>
      </c>
      <c r="B14" s="50">
        <v>10.81</v>
      </c>
      <c r="C14" s="50">
        <v>53.22</v>
      </c>
      <c r="D14" s="50">
        <v>39.56</v>
      </c>
      <c r="E14" s="50">
        <v>2.5099999999999998</v>
      </c>
      <c r="F14" s="50">
        <v>1.94</v>
      </c>
      <c r="G14" s="50">
        <v>54.42</v>
      </c>
      <c r="H14" s="50">
        <v>24.19</v>
      </c>
      <c r="I14" s="50">
        <v>0.56999999999999995</v>
      </c>
      <c r="J14" s="50">
        <v>1.17</v>
      </c>
      <c r="K14" s="50">
        <v>116.48</v>
      </c>
      <c r="L14" s="50">
        <v>19.079999999999998</v>
      </c>
      <c r="M14" s="50">
        <v>66.69</v>
      </c>
      <c r="N14" s="50">
        <v>5.20</v>
      </c>
      <c r="O14" s="50">
        <v>0</v>
      </c>
      <c r="P14" s="50">
        <v>0.72</v>
      </c>
      <c r="Q14" s="50">
        <v>32.25</v>
      </c>
      <c r="R14" s="43"/>
      <c r="S14" s="43"/>
      <c r="T14" s="43"/>
      <c r="U14" s="43"/>
    </row>
    <row r="15" spans="1:21" s="11" customFormat="1" ht="15">
      <c r="A15" s="49" t="s">
        <v>477</v>
      </c>
      <c r="B15" s="50">
        <v>9.42</v>
      </c>
      <c r="C15" s="50">
        <v>55.13</v>
      </c>
      <c r="D15" s="50">
        <v>39.32</v>
      </c>
      <c r="E15" s="50">
        <v>2.16</v>
      </c>
      <c r="F15" s="50">
        <v>1.55</v>
      </c>
      <c r="G15" s="50">
        <v>51.51</v>
      </c>
      <c r="H15" s="50">
        <v>22.78</v>
      </c>
      <c r="I15" s="50">
        <v>0.56000000000000005</v>
      </c>
      <c r="J15" s="50">
        <v>1.01</v>
      </c>
      <c r="K15" s="50">
        <v>259.10000000000002</v>
      </c>
      <c r="L15" s="50">
        <v>19.170000000000002</v>
      </c>
      <c r="M15" s="50">
        <v>66.510000000000005</v>
      </c>
      <c r="N15" s="50">
        <v>36.40</v>
      </c>
      <c r="O15" s="50">
        <v>0</v>
      </c>
      <c r="P15" s="50">
        <v>0.71</v>
      </c>
      <c r="Q15" s="50">
        <v>31.73</v>
      </c>
      <c r="R15" s="43"/>
      <c r="S15" s="43"/>
      <c r="T15" s="43"/>
      <c r="U15" s="43"/>
    </row>
    <row r="16" spans="1:21" s="11" customFormat="1" ht="15">
      <c r="A16" s="49" t="s">
        <v>478</v>
      </c>
      <c r="B16" s="50">
        <v>8.77</v>
      </c>
      <c r="C16" s="50">
        <v>56.04</v>
      </c>
      <c r="D16" s="50">
        <v>39.700000000000003</v>
      </c>
      <c r="E16" s="50">
        <v>2.48</v>
      </c>
      <c r="F16" s="50">
        <v>1.80</v>
      </c>
      <c r="G16" s="50">
        <v>52.79</v>
      </c>
      <c r="H16" s="50">
        <v>22.78</v>
      </c>
      <c r="I16" s="50">
        <v>0.56000000000000005</v>
      </c>
      <c r="J16" s="50">
        <v>0.47</v>
      </c>
      <c r="K16" s="50">
        <v>305.10000000000002</v>
      </c>
      <c r="L16" s="50">
        <v>19.5</v>
      </c>
      <c r="M16" s="50">
        <v>66.31</v>
      </c>
      <c r="N16" s="50">
        <v>81.400000000000006</v>
      </c>
      <c r="O16" s="50">
        <v>0</v>
      </c>
      <c r="P16" s="50">
        <v>0.72</v>
      </c>
      <c r="Q16" s="50">
        <v>29.36</v>
      </c>
      <c r="R16" s="43"/>
      <c r="S16" s="43"/>
      <c r="T16" s="43"/>
      <c r="U16" s="43"/>
    </row>
    <row r="17" spans="1:21" s="11" customFormat="1" ht="15">
      <c r="A17" s="49" t="s">
        <v>479</v>
      </c>
      <c r="B17" s="50">
        <v>10.83</v>
      </c>
      <c r="C17" s="50">
        <v>59.75</v>
      </c>
      <c r="D17" s="50">
        <v>43.40</v>
      </c>
      <c r="E17" s="50">
        <v>2.99</v>
      </c>
      <c r="F17" s="50">
        <v>1.72</v>
      </c>
      <c r="G17" s="50">
        <v>54.39</v>
      </c>
      <c r="H17" s="50">
        <v>24.10</v>
      </c>
      <c r="I17" s="50">
        <v>0.56000000000000005</v>
      </c>
      <c r="J17" s="50">
        <v>1.17</v>
      </c>
      <c r="K17" s="50">
        <v>347.5</v>
      </c>
      <c r="L17" s="50">
        <v>23.25</v>
      </c>
      <c r="M17" s="50">
        <v>65.400000000000006</v>
      </c>
      <c r="N17" s="50">
        <v>385.30</v>
      </c>
      <c r="O17" s="50">
        <v>0</v>
      </c>
      <c r="P17" s="50">
        <v>0.79</v>
      </c>
      <c r="Q17" s="50">
        <v>28.70</v>
      </c>
      <c r="R17" s="43"/>
      <c r="S17" s="43"/>
      <c r="T17" s="43"/>
      <c r="U17" s="43"/>
    </row>
    <row r="18" spans="1:21" s="11" customFormat="1" ht="15">
      <c r="A18" s="49" t="s">
        <v>480</v>
      </c>
      <c r="B18" s="50">
        <v>12.04</v>
      </c>
      <c r="C18" s="50">
        <v>64.56</v>
      </c>
      <c r="D18" s="50">
        <v>47.03</v>
      </c>
      <c r="E18" s="50">
        <v>3.54</v>
      </c>
      <c r="F18" s="50">
        <v>2</v>
      </c>
      <c r="G18" s="50">
        <v>65.97</v>
      </c>
      <c r="H18" s="50">
        <v>28.19</v>
      </c>
      <c r="I18" s="50">
        <v>0.57999999999999996</v>
      </c>
      <c r="J18" s="50">
        <v>1.28</v>
      </c>
      <c r="K18" s="50">
        <v>17.64</v>
      </c>
      <c r="L18" s="50">
        <v>26.27</v>
      </c>
      <c r="M18" s="50">
        <v>53.13</v>
      </c>
      <c r="N18" s="50">
        <v>449.30</v>
      </c>
      <c r="O18" s="50">
        <v>0</v>
      </c>
      <c r="P18" s="50">
        <v>0.92</v>
      </c>
      <c r="Q18" s="50">
        <v>30.04</v>
      </c>
      <c r="R18" s="43"/>
      <c r="S18" s="43"/>
      <c r="T18" s="43"/>
      <c r="U18" s="43"/>
    </row>
    <row r="19" spans="1:21" s="11" customFormat="1" ht="15">
      <c r="A19" s="49" t="s">
        <v>481</v>
      </c>
      <c r="B19" s="50">
        <v>12.37</v>
      </c>
      <c r="C19" s="50">
        <v>72.19</v>
      </c>
      <c r="D19" s="50">
        <v>51.25</v>
      </c>
      <c r="E19" s="50">
        <v>4.62</v>
      </c>
      <c r="F19" s="50">
        <v>2.82</v>
      </c>
      <c r="G19" s="50">
        <v>80.08</v>
      </c>
      <c r="H19" s="50">
        <v>33.950000000000003</v>
      </c>
      <c r="I19" s="50">
        <v>0.56999999999999995</v>
      </c>
      <c r="J19" s="50">
        <v>1.82</v>
      </c>
      <c r="K19" s="50">
        <v>27.77</v>
      </c>
      <c r="L19" s="50">
        <v>26.17</v>
      </c>
      <c r="M19" s="50">
        <v>48.94</v>
      </c>
      <c r="N19" s="50">
        <v>482.60</v>
      </c>
      <c r="O19" s="50">
        <v>0</v>
      </c>
      <c r="P19" s="50">
        <v>1.03</v>
      </c>
      <c r="Q19" s="50">
        <v>28.90</v>
      </c>
      <c r="R19" s="43"/>
      <c r="S19" s="43"/>
      <c r="T19" s="43"/>
      <c r="U19" s="43"/>
    </row>
    <row r="20" spans="1:21" s="11" customFormat="1" ht="15">
      <c r="A20" s="49" t="s">
        <v>482</v>
      </c>
      <c r="B20" s="50">
        <v>19.41</v>
      </c>
      <c r="C20" s="50">
        <v>75.5</v>
      </c>
      <c r="D20" s="50">
        <v>52.74</v>
      </c>
      <c r="E20" s="50">
        <v>4.1399999999999997</v>
      </c>
      <c r="F20" s="50">
        <v>5.39</v>
      </c>
      <c r="G20" s="50">
        <v>89.43</v>
      </c>
      <c r="H20" s="50">
        <v>34.14</v>
      </c>
      <c r="I20" s="50">
        <v>0.56000000000000005</v>
      </c>
      <c r="J20" s="50">
        <v>4.62</v>
      </c>
      <c r="K20" s="50">
        <v>356.28</v>
      </c>
      <c r="L20" s="50">
        <v>23.48</v>
      </c>
      <c r="M20" s="50">
        <v>81.25</v>
      </c>
      <c r="N20" s="50">
        <v>107.70</v>
      </c>
      <c r="O20" s="50">
        <v>0.80</v>
      </c>
      <c r="P20" s="50">
        <v>1.05</v>
      </c>
      <c r="Q20" s="50">
        <v>27.86</v>
      </c>
      <c r="R20" s="43"/>
      <c r="S20" s="43"/>
      <c r="T20" s="43"/>
      <c r="U20" s="43"/>
    </row>
    <row r="21" spans="1:21" s="11" customFormat="1" ht="15">
      <c r="A21" s="49" t="s">
        <v>483</v>
      </c>
      <c r="B21" s="50">
        <v>5.57</v>
      </c>
      <c r="C21" s="50">
        <v>58.33</v>
      </c>
      <c r="D21" s="50">
        <v>38.39</v>
      </c>
      <c r="E21" s="50">
        <v>2.1800000000000002</v>
      </c>
      <c r="F21" s="50">
        <v>7.78</v>
      </c>
      <c r="G21" s="50">
        <v>89.43</v>
      </c>
      <c r="H21" s="50">
        <v>34.14</v>
      </c>
      <c r="I21" s="50">
        <v>0.53</v>
      </c>
      <c r="J21" s="50">
        <v>3.41</v>
      </c>
      <c r="K21" s="50">
        <v>18.46</v>
      </c>
      <c r="L21" s="50">
        <v>15.31</v>
      </c>
      <c r="M21" s="50">
        <v>91.37</v>
      </c>
      <c r="N21" s="50">
        <v>174.70</v>
      </c>
      <c r="O21" s="50">
        <v>1</v>
      </c>
      <c r="P21" s="50">
        <v>0.69</v>
      </c>
      <c r="Q21" s="50">
        <v>24.66</v>
      </c>
      <c r="R21" s="43"/>
      <c r="S21" s="43"/>
      <c r="T21" s="43"/>
      <c r="U21" s="43"/>
    </row>
    <row r="22" spans="1:21" s="11" customFormat="1" ht="15">
      <c r="A22" s="49" t="s">
        <v>484</v>
      </c>
      <c r="B22" s="50">
        <v>8.42</v>
      </c>
      <c r="C22" s="50">
        <v>56.07</v>
      </c>
      <c r="D22" s="50">
        <v>39.44</v>
      </c>
      <c r="E22" s="50">
        <v>2.33</v>
      </c>
      <c r="F22" s="50">
        <v>4.1900000000000004</v>
      </c>
      <c r="G22" s="50">
        <v>71.739999999999995</v>
      </c>
      <c r="H22" s="50">
        <v>22.78</v>
      </c>
      <c r="I22" s="50">
        <v>0.49</v>
      </c>
      <c r="J22" s="50">
        <v>2.06</v>
      </c>
      <c r="K22" s="50">
        <v>33.71</v>
      </c>
      <c r="L22" s="50">
        <v>16.88</v>
      </c>
      <c r="M22" s="50">
        <v>87.48</v>
      </c>
      <c r="N22" s="50">
        <v>216.90</v>
      </c>
      <c r="O22" s="50">
        <v>0</v>
      </c>
      <c r="P22" s="50">
        <v>0.65</v>
      </c>
      <c r="Q22" s="50">
        <v>27.34</v>
      </c>
      <c r="R22" s="43"/>
      <c r="S22" s="43"/>
      <c r="T22" s="43"/>
      <c r="U22" s="43"/>
    </row>
    <row r="23" spans="1:21" s="11" customFormat="1" ht="15">
      <c r="A23" s="49" t="s">
        <v>485</v>
      </c>
      <c r="B23" s="50">
        <v>15.83</v>
      </c>
      <c r="C23" s="50">
        <v>61.32</v>
      </c>
      <c r="D23" s="50">
        <v>48.28</v>
      </c>
      <c r="E23" s="50">
        <v>2.02</v>
      </c>
      <c r="F23" s="50">
        <v>1.54</v>
      </c>
      <c r="G23" s="50">
        <v>45.96</v>
      </c>
      <c r="H23" s="50">
        <v>20.69</v>
      </c>
      <c r="I23" s="50">
        <v>0.53</v>
      </c>
      <c r="J23" s="50">
        <v>0.87</v>
      </c>
      <c r="K23" s="50">
        <v>51.46</v>
      </c>
      <c r="L23" s="50">
        <v>17.190000000000001</v>
      </c>
      <c r="M23" s="50">
        <v>84.95</v>
      </c>
      <c r="N23" s="50">
        <v>60.90</v>
      </c>
      <c r="O23" s="50">
        <v>0.20</v>
      </c>
      <c r="P23" s="50">
        <v>0.80</v>
      </c>
      <c r="Q23" s="50">
        <v>26.89</v>
      </c>
      <c r="R23" s="43"/>
      <c r="S23" s="43"/>
      <c r="T23" s="43"/>
      <c r="U23" s="43"/>
    </row>
    <row r="24" spans="1:21" s="11" customFormat="1" ht="15">
      <c r="A24" s="49" t="s">
        <v>486</v>
      </c>
      <c r="B24" s="50">
        <v>17.309999999999999</v>
      </c>
      <c r="C24" s="50">
        <v>62.37</v>
      </c>
      <c r="D24" s="50">
        <v>50.04</v>
      </c>
      <c r="E24" s="50">
        <v>2.44</v>
      </c>
      <c r="F24" s="50">
        <v>1.58</v>
      </c>
      <c r="G24" s="50">
        <v>36.78</v>
      </c>
      <c r="H24" s="50">
        <v>17.510000000000002</v>
      </c>
      <c r="I24" s="50">
        <v>0.56999999999999995</v>
      </c>
      <c r="J24" s="50">
        <v>1.42</v>
      </c>
      <c r="K24" s="50">
        <v>145.31</v>
      </c>
      <c r="L24" s="50">
        <v>17.29</v>
      </c>
      <c r="M24" s="50">
        <v>82.36</v>
      </c>
      <c r="N24" s="50">
        <v>298.39999999999998</v>
      </c>
      <c r="O24" s="50">
        <v>0</v>
      </c>
      <c r="P24" s="50">
        <v>0.85</v>
      </c>
      <c r="Q24" s="50">
        <v>30.82</v>
      </c>
      <c r="R24" s="43"/>
      <c r="S24" s="43"/>
      <c r="T24" s="43"/>
      <c r="U24" s="43"/>
    </row>
    <row r="25" spans="1:21" s="11" customFormat="1" ht="15">
      <c r="A25" s="49" t="s">
        <v>487</v>
      </c>
      <c r="B25" s="50">
        <v>15.95</v>
      </c>
      <c r="C25" s="50">
        <v>56.33</v>
      </c>
      <c r="D25" s="50">
        <v>44.03</v>
      </c>
      <c r="E25" s="50">
        <v>2.36</v>
      </c>
      <c r="F25" s="50">
        <v>2.0099999999999998</v>
      </c>
      <c r="G25" s="50">
        <v>29.34</v>
      </c>
      <c r="H25" s="50">
        <v>14.84</v>
      </c>
      <c r="I25" s="50">
        <v>0.57999999999999996</v>
      </c>
      <c r="J25" s="50">
        <v>1.02</v>
      </c>
      <c r="K25" s="50">
        <v>184.08</v>
      </c>
      <c r="L25" s="50">
        <v>18.28</v>
      </c>
      <c r="M25" s="50">
        <v>76.459999999999994</v>
      </c>
      <c r="N25" s="50">
        <v>343.80</v>
      </c>
      <c r="O25" s="50">
        <v>0</v>
      </c>
      <c r="P25" s="50">
        <v>0.80</v>
      </c>
      <c r="Q25" s="50">
        <v>32.19</v>
      </c>
      <c r="R25" s="43"/>
      <c r="S25" s="43"/>
      <c r="T25" s="43"/>
      <c r="U25" s="43"/>
    </row>
    <row r="26" spans="1:21" s="11" customFormat="1" ht="15">
      <c r="A26" s="49" t="s">
        <v>488</v>
      </c>
      <c r="B26" s="50">
        <v>11.59</v>
      </c>
      <c r="C26" s="50">
        <v>58.08</v>
      </c>
      <c r="D26" s="50">
        <v>43.01</v>
      </c>
      <c r="E26" s="50">
        <v>2.42</v>
      </c>
      <c r="F26" s="50">
        <v>1.97</v>
      </c>
      <c r="G26" s="50">
        <v>23.80</v>
      </c>
      <c r="H26" s="50">
        <v>10.98</v>
      </c>
      <c r="I26" s="50">
        <v>0.59</v>
      </c>
      <c r="J26" s="50">
        <v>0.82</v>
      </c>
      <c r="K26" s="50">
        <v>206.25</v>
      </c>
      <c r="L26" s="50">
        <v>18.100000000000001</v>
      </c>
      <c r="M26" s="50">
        <v>78.86</v>
      </c>
      <c r="N26" s="50">
        <v>57.80</v>
      </c>
      <c r="O26" s="50">
        <v>0</v>
      </c>
      <c r="P26" s="50">
        <v>0.69</v>
      </c>
      <c r="Q26" s="50">
        <v>30.82</v>
      </c>
      <c r="R26" s="43"/>
      <c r="S26" s="43"/>
      <c r="T26" s="43"/>
      <c r="U26" s="43"/>
    </row>
    <row r="27" spans="1:21" s="11" customFormat="1" ht="15">
      <c r="A27" s="49" t="s">
        <v>489</v>
      </c>
      <c r="B27" s="50">
        <v>9.84</v>
      </c>
      <c r="C27" s="50">
        <v>59.23</v>
      </c>
      <c r="D27" s="50">
        <v>42.12</v>
      </c>
      <c r="E27" s="50">
        <v>1.82</v>
      </c>
      <c r="F27" s="50">
        <v>1.48</v>
      </c>
      <c r="G27" s="50">
        <v>19.920000000000002</v>
      </c>
      <c r="H27" s="50">
        <v>9.81</v>
      </c>
      <c r="I27" s="50">
        <v>0.56000000000000005</v>
      </c>
      <c r="J27" s="50">
        <v>0.24</v>
      </c>
      <c r="K27" s="50">
        <v>289.69</v>
      </c>
      <c r="L27" s="50">
        <v>16.97</v>
      </c>
      <c r="M27" s="50">
        <v>82.44</v>
      </c>
      <c r="N27" s="50">
        <v>7.60</v>
      </c>
      <c r="O27" s="50">
        <v>0</v>
      </c>
      <c r="P27" s="50">
        <v>0.62</v>
      </c>
      <c r="Q27" s="50">
        <v>28.03</v>
      </c>
      <c r="R27" s="43"/>
      <c r="S27" s="43"/>
      <c r="T27" s="43"/>
      <c r="U27" s="43"/>
    </row>
    <row r="28" spans="1:21" s="11" customFormat="1" ht="15">
      <c r="A28" s="49" t="s">
        <v>490</v>
      </c>
      <c r="B28" s="50">
        <v>12.54</v>
      </c>
      <c r="C28" s="50">
        <v>57.42</v>
      </c>
      <c r="D28" s="50">
        <v>41.97</v>
      </c>
      <c r="E28" s="50">
        <v>1.95</v>
      </c>
      <c r="F28" s="50">
        <v>1.41</v>
      </c>
      <c r="G28" s="50">
        <v>23.84</v>
      </c>
      <c r="H28" s="50">
        <v>9.18</v>
      </c>
      <c r="I28" s="50">
        <v>0.56999999999999995</v>
      </c>
      <c r="J28" s="50">
        <v>0.30</v>
      </c>
      <c r="K28" s="50">
        <v>331.03</v>
      </c>
      <c r="L28" s="50">
        <v>16.41</v>
      </c>
      <c r="M28" s="50">
        <v>84.77</v>
      </c>
      <c r="N28" s="50">
        <v>4.80</v>
      </c>
      <c r="O28" s="50">
        <v>0</v>
      </c>
      <c r="P28" s="50">
        <v>0.64</v>
      </c>
      <c r="Q28" s="50">
        <v>28.91</v>
      </c>
      <c r="R28" s="43"/>
      <c r="S28" s="43"/>
      <c r="T28" s="43"/>
      <c r="U28" s="43"/>
    </row>
    <row r="29" spans="1:21" s="11" customFormat="1" ht="15">
      <c r="A29" s="49" t="s">
        <v>491</v>
      </c>
      <c r="B29" s="50">
        <v>15.82</v>
      </c>
      <c r="C29" s="50">
        <v>55.55</v>
      </c>
      <c r="D29" s="50">
        <v>44.87</v>
      </c>
      <c r="E29" s="50">
        <v>2.4300000000000002</v>
      </c>
      <c r="F29" s="50">
        <v>1.29</v>
      </c>
      <c r="G29" s="50">
        <v>32.200000000000003</v>
      </c>
      <c r="H29" s="50">
        <v>9.76</v>
      </c>
      <c r="I29" s="50">
        <v>0.59</v>
      </c>
      <c r="J29" s="50">
        <v>0.60</v>
      </c>
      <c r="K29" s="50">
        <v>238.36</v>
      </c>
      <c r="L29" s="50">
        <v>16.22</v>
      </c>
      <c r="M29" s="50">
        <v>85.17</v>
      </c>
      <c r="N29" s="50">
        <v>4.4000000000000004</v>
      </c>
      <c r="O29" s="50">
        <v>0</v>
      </c>
      <c r="P29" s="50">
        <v>0.69</v>
      </c>
      <c r="Q29" s="50">
        <v>28.28</v>
      </c>
      <c r="R29" s="43"/>
      <c r="S29" s="43"/>
      <c r="T29" s="43"/>
      <c r="U29" s="43"/>
    </row>
    <row r="30" spans="1:21" s="11" customFormat="1" ht="15">
      <c r="A30" s="49" t="s">
        <v>492</v>
      </c>
      <c r="B30" s="50">
        <v>15.65</v>
      </c>
      <c r="C30" s="50">
        <v>55.28</v>
      </c>
      <c r="D30" s="50">
        <v>44.80</v>
      </c>
      <c r="E30" s="50">
        <v>2.58</v>
      </c>
      <c r="F30" s="50">
        <v>1.41</v>
      </c>
      <c r="G30" s="50">
        <v>32.200000000000003</v>
      </c>
      <c r="H30" s="50">
        <v>14.07</v>
      </c>
      <c r="I30" s="50">
        <v>0.59</v>
      </c>
      <c r="J30" s="50">
        <v>1.69</v>
      </c>
      <c r="K30" s="50">
        <v>221.40</v>
      </c>
      <c r="L30" s="50">
        <v>16.03</v>
      </c>
      <c r="M30" s="50">
        <v>89.04</v>
      </c>
      <c r="N30" s="50">
        <v>5</v>
      </c>
      <c r="O30" s="50">
        <v>0</v>
      </c>
      <c r="P30" s="50">
        <v>0.69</v>
      </c>
      <c r="Q30" s="50">
        <v>27.90</v>
      </c>
      <c r="R30" s="43"/>
      <c r="S30" s="43"/>
      <c r="T30" s="43"/>
      <c r="U30" s="43"/>
    </row>
    <row r="31" spans="1:21" s="11" customFormat="1" ht="15">
      <c r="A31" s="49" t="s">
        <v>493</v>
      </c>
      <c r="B31" s="50">
        <v>21.77</v>
      </c>
      <c r="C31" s="50">
        <v>57.20</v>
      </c>
      <c r="D31" s="50">
        <v>50.51</v>
      </c>
      <c r="E31" s="50">
        <v>2.4900000000000002</v>
      </c>
      <c r="F31" s="50">
        <v>1.30</v>
      </c>
      <c r="G31" s="50">
        <v>31.16</v>
      </c>
      <c r="H31" s="50">
        <v>14.07</v>
      </c>
      <c r="I31" s="50">
        <v>0.57999999999999996</v>
      </c>
      <c r="J31" s="50">
        <v>0.49</v>
      </c>
      <c r="K31" s="50">
        <v>357.06</v>
      </c>
      <c r="L31" s="50">
        <v>15.65</v>
      </c>
      <c r="M31" s="50">
        <v>90.36</v>
      </c>
      <c r="N31" s="50">
        <v>4.70</v>
      </c>
      <c r="O31" s="50">
        <v>0</v>
      </c>
      <c r="P31" s="50">
        <v>0.74</v>
      </c>
      <c r="Q31" s="50">
        <v>26.31</v>
      </c>
      <c r="R31" s="43"/>
      <c r="S31" s="43"/>
      <c r="T31" s="43"/>
      <c r="U31" s="43"/>
    </row>
    <row r="32" spans="1:21" s="11" customFormat="1" ht="15">
      <c r="A32" s="49" t="s">
        <v>494</v>
      </c>
      <c r="B32" s="50">
        <v>22.45</v>
      </c>
      <c r="C32" s="50">
        <v>56.01</v>
      </c>
      <c r="D32" s="50">
        <v>50.66</v>
      </c>
      <c r="E32" s="50">
        <v>2.60</v>
      </c>
      <c r="F32" s="50">
        <v>1.52</v>
      </c>
      <c r="G32" s="50">
        <v>33.65</v>
      </c>
      <c r="H32" s="50">
        <v>13.36</v>
      </c>
      <c r="I32" s="50">
        <v>0.56999999999999995</v>
      </c>
      <c r="J32" s="50">
        <v>0.61</v>
      </c>
      <c r="K32" s="50">
        <v>176.08</v>
      </c>
      <c r="L32" s="50">
        <v>16.260000000000002</v>
      </c>
      <c r="M32" s="50">
        <v>83.79</v>
      </c>
      <c r="N32" s="50">
        <v>4.9000000000000004</v>
      </c>
      <c r="O32" s="50">
        <v>0</v>
      </c>
      <c r="P32" s="50">
        <v>0.73</v>
      </c>
      <c r="Q32" s="50">
        <v>28.08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5.5700000000000003</v>
      </c>
      <c r="C34" s="28">
        <f t="shared" si="0"/>
        <v>50.920000000000002</v>
      </c>
      <c r="D34" s="28">
        <f t="shared" si="0"/>
        <v>35.350000000000001</v>
      </c>
      <c r="E34" s="28">
        <f t="shared" si="0"/>
        <v>1.8200000000000001</v>
      </c>
      <c r="F34" s="28">
        <f t="shared" si="0"/>
        <v>1.29</v>
      </c>
      <c r="G34" s="28">
        <f t="shared" si="0"/>
        <v>19.920000000000002</v>
      </c>
      <c r="H34" s="28">
        <f t="shared" si="0"/>
        <v>9.1799999999999997</v>
      </c>
      <c r="I34" s="28">
        <f t="shared" si="0"/>
        <v>0.48999999999999999</v>
      </c>
      <c r="J34" s="28">
        <f t="shared" si="0"/>
        <v>0.23999999999999999</v>
      </c>
      <c r="K34" s="28">
        <f t="shared" si="0"/>
        <v>17.640000000000001</v>
      </c>
      <c r="L34" s="28">
        <f t="shared" si="0"/>
        <v>15.31</v>
      </c>
      <c r="M34" s="28">
        <f t="shared" si="0"/>
        <v>48.939999999999998</v>
      </c>
      <c r="N34" s="28">
        <f t="shared" si="0"/>
        <v>4.4000000000000004</v>
      </c>
      <c r="O34" s="28">
        <f t="shared" si="0"/>
        <v>0</v>
      </c>
      <c r="P34" s="28">
        <f t="shared" si="0"/>
        <v>0.62</v>
      </c>
      <c r="Q34" s="28">
        <f t="shared" si="0"/>
        <v>22.600000000000001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22.449999999999999</v>
      </c>
      <c r="C35" s="29">
        <f t="shared" si="1"/>
        <v>75.5</v>
      </c>
      <c r="D35" s="29">
        <f t="shared" si="1"/>
        <v>52.740000000000002</v>
      </c>
      <c r="E35" s="29">
        <f t="shared" si="1"/>
        <v>4.6200000000000001</v>
      </c>
      <c r="F35" s="29">
        <f t="shared" si="1"/>
        <v>7.7800000000000002</v>
      </c>
      <c r="G35" s="29">
        <f t="shared" si="1"/>
        <v>89.430000000000007</v>
      </c>
      <c r="H35" s="29">
        <f t="shared" si="1"/>
        <v>34.140000000000001</v>
      </c>
      <c r="I35" s="29">
        <f t="shared" si="1"/>
        <v>0.58999999999999997</v>
      </c>
      <c r="J35" s="29">
        <f t="shared" si="1"/>
        <v>4.6200000000000001</v>
      </c>
      <c r="K35" s="29">
        <f t="shared" si="1"/>
        <v>357.63999999999999</v>
      </c>
      <c r="L35" s="29">
        <f t="shared" si="1"/>
        <v>26.27</v>
      </c>
      <c r="M35" s="29">
        <f t="shared" si="1"/>
        <v>91.370000000000005</v>
      </c>
      <c r="N35" s="29">
        <f t="shared" si="1"/>
        <v>482.60000000000002</v>
      </c>
      <c r="O35" s="29">
        <f t="shared" si="1"/>
        <v>1</v>
      </c>
      <c r="P35" s="29">
        <f t="shared" si="1"/>
        <v>1.05</v>
      </c>
      <c r="Q35" s="29">
        <f t="shared" si="1"/>
        <v>32.25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12.551666666666664</v>
      </c>
      <c r="C36" s="28">
        <f t="shared" si="2"/>
        <v>57.990000000000009</v>
      </c>
      <c r="D36" s="28">
        <f t="shared" si="2"/>
        <v>43.314166666666665</v>
      </c>
      <c r="E36" s="28">
        <f t="shared" si="2"/>
        <v>2.5808333333333335</v>
      </c>
      <c r="F36" s="28">
        <f t="shared" si="2"/>
        <v>2.3133333333333326</v>
      </c>
      <c r="G36" s="28">
        <f t="shared" si="2"/>
        <v>48.657500000000006</v>
      </c>
      <c r="H36" s="28">
        <f t="shared" si="2"/>
        <v>20.005416666666665</v>
      </c>
      <c r="I36" s="28">
        <f t="shared" si="2"/>
        <v>0.56208333333333338</v>
      </c>
      <c r="J36" s="28">
        <f t="shared" si="2"/>
        <v>1.2449999999999999</v>
      </c>
      <c r="K36" s="28">
        <f t="shared" si="2"/>
        <v>191.52750000000003</v>
      </c>
      <c r="L36" s="28">
        <f t="shared" si="2"/>
        <v>19.050000000000001</v>
      </c>
      <c r="M36" s="28">
        <f t="shared" si="2"/>
        <v>73.937083333333334</v>
      </c>
      <c r="N36" s="28">
        <f t="shared" si="2"/>
        <v>114.85000000000004</v>
      </c>
      <c r="O36" s="28">
        <f t="shared" si="2"/>
        <v>0.083333333333333329</v>
      </c>
      <c r="P36" s="28">
        <f t="shared" si="2"/>
        <v>0.7583333333333333</v>
      </c>
      <c r="Q36" s="28">
        <f t="shared" si="2"/>
        <v>28.178749999999994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4.5930303217191968</v>
      </c>
      <c r="C37" s="28">
        <f t="shared" si="3" ref="C37:Q37">STDEV(C9:C32)</f>
        <v>5.9144480429008039</v>
      </c>
      <c r="D37" s="28">
        <f t="shared" si="3"/>
        <v>5.1582276334842438</v>
      </c>
      <c r="E37" s="28">
        <f t="shared" si="3"/>
        <v>0.67313618149716059</v>
      </c>
      <c r="F37" s="28">
        <f t="shared" si="3"/>
        <v>1.5035542432246485</v>
      </c>
      <c r="G37" s="28">
        <f t="shared" si="3"/>
        <v>20.178832915361735</v>
      </c>
      <c r="H37" s="28">
        <f t="shared" si="3"/>
        <v>7.6650528113933714</v>
      </c>
      <c r="I37" s="28">
        <f t="shared" si="3"/>
        <v>0.022646463716010468</v>
      </c>
      <c r="J37" s="28">
        <f t="shared" si="3"/>
        <v>0.99540247485955247</v>
      </c>
      <c r="K37" s="28">
        <f t="shared" si="3"/>
        <v>122.64293886868423</v>
      </c>
      <c r="L37" s="28">
        <f t="shared" si="3"/>
        <v>3.0914524516591797</v>
      </c>
      <c r="M37" s="28">
        <f t="shared" si="3"/>
        <v>12.735580927384985</v>
      </c>
      <c r="N37" s="28">
        <f t="shared" si="3"/>
        <v>158.57829502228199</v>
      </c>
      <c r="O37" s="28">
        <f t="shared" si="3"/>
        <v>0.25650945684180021</v>
      </c>
      <c r="P37" s="28">
        <f t="shared" si="3"/>
        <v>0.10949157865836805</v>
      </c>
      <c r="Q37" s="28">
        <f t="shared" si="3"/>
        <v>2.5667104856978882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db7090c-d31f-498f-aeff-5775420f68ca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44" sqref="D4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19-03-2023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1" t="s">
        <v>58</v>
      </c>
      <c r="C7" s="51" t="s">
        <v>43</v>
      </c>
      <c r="D7" s="51" t="s">
        <v>44</v>
      </c>
      <c r="E7" s="51" t="s">
        <v>45</v>
      </c>
      <c r="F7" s="51" t="s">
        <v>46</v>
      </c>
      <c r="G7" s="51" t="s">
        <v>47</v>
      </c>
      <c r="H7" s="51" t="s">
        <v>48</v>
      </c>
      <c r="I7" s="51" t="s">
        <v>49</v>
      </c>
      <c r="J7" s="51" t="s">
        <v>50</v>
      </c>
      <c r="K7" s="51" t="s">
        <v>51</v>
      </c>
      <c r="L7" s="51" t="s">
        <v>52</v>
      </c>
      <c r="M7" s="51" t="s">
        <v>53</v>
      </c>
      <c r="N7" s="51" t="s">
        <v>54</v>
      </c>
      <c r="O7" s="51" t="s">
        <v>55</v>
      </c>
      <c r="P7" s="51" t="s">
        <v>56</v>
      </c>
      <c r="Q7" s="51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62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49" t="s">
        <v>495</v>
      </c>
      <c r="B9" s="50">
        <v>19.739999999999998</v>
      </c>
      <c r="C9" s="50">
        <v>52.88</v>
      </c>
      <c r="D9" s="50">
        <v>46.56</v>
      </c>
      <c r="E9" s="50">
        <v>2.77</v>
      </c>
      <c r="F9" s="50">
        <v>1.51</v>
      </c>
      <c r="G9" s="50">
        <v>33.65</v>
      </c>
      <c r="H9" s="50">
        <v>14.55</v>
      </c>
      <c r="I9" s="50">
        <v>0.60</v>
      </c>
      <c r="J9" s="50">
        <v>0.52</v>
      </c>
      <c r="K9" s="50">
        <v>173.28</v>
      </c>
      <c r="L9" s="50">
        <v>16.32</v>
      </c>
      <c r="M9" s="50">
        <v>84.66</v>
      </c>
      <c r="N9" s="50">
        <v>5.0999999999999996</v>
      </c>
      <c r="O9" s="50">
        <v>0</v>
      </c>
      <c r="P9" s="50">
        <v>0.68</v>
      </c>
      <c r="Q9" s="50">
        <v>27.69</v>
      </c>
      <c r="R9" s="43"/>
      <c r="S9" s="43"/>
      <c r="T9" s="43"/>
      <c r="U9" s="43"/>
    </row>
    <row r="10" spans="1:21" s="11" customFormat="1" ht="15">
      <c r="A10" s="49" t="s">
        <v>496</v>
      </c>
      <c r="B10" s="50">
        <v>16.93</v>
      </c>
      <c r="C10" s="50">
        <v>53.46</v>
      </c>
      <c r="D10" s="50">
        <v>44.82</v>
      </c>
      <c r="E10" s="50">
        <v>2.92</v>
      </c>
      <c r="F10" s="50">
        <v>1.42</v>
      </c>
      <c r="G10" s="50">
        <v>30.12</v>
      </c>
      <c r="H10" s="50">
        <v>14.55</v>
      </c>
      <c r="I10" s="50">
        <v>0.56000000000000005</v>
      </c>
      <c r="J10" s="50">
        <v>1.37</v>
      </c>
      <c r="K10" s="50">
        <v>121.42</v>
      </c>
      <c r="L10" s="50">
        <v>16.48</v>
      </c>
      <c r="M10" s="50">
        <v>84.35</v>
      </c>
      <c r="N10" s="50">
        <v>5.0999999999999996</v>
      </c>
      <c r="O10" s="50">
        <v>0</v>
      </c>
      <c r="P10" s="50">
        <v>0.62</v>
      </c>
      <c r="Q10" s="50">
        <v>28.46</v>
      </c>
      <c r="R10" s="43"/>
      <c r="S10" s="43"/>
      <c r="T10" s="43"/>
      <c r="U10" s="43"/>
    </row>
    <row r="11" spans="1:21" s="11" customFormat="1" ht="15">
      <c r="A11" s="49" t="s">
        <v>497</v>
      </c>
      <c r="B11" s="50">
        <v>15.73</v>
      </c>
      <c r="C11" s="50">
        <v>51.68</v>
      </c>
      <c r="D11" s="50">
        <v>42.88</v>
      </c>
      <c r="E11" s="50">
        <v>3.14</v>
      </c>
      <c r="F11" s="50">
        <v>1.5</v>
      </c>
      <c r="G11" s="50">
        <v>28.59</v>
      </c>
      <c r="H11" s="50">
        <v>13.54</v>
      </c>
      <c r="I11" s="50">
        <v>0.56999999999999995</v>
      </c>
      <c r="J11" s="50">
        <v>1.34</v>
      </c>
      <c r="K11" s="50">
        <v>111.84</v>
      </c>
      <c r="L11" s="50">
        <v>16.36</v>
      </c>
      <c r="M11" s="50">
        <v>85.74</v>
      </c>
      <c r="N11" s="50">
        <v>5</v>
      </c>
      <c r="O11" s="50">
        <v>0</v>
      </c>
      <c r="P11" s="50">
        <v>0.57999999999999996</v>
      </c>
      <c r="Q11" s="50">
        <v>34.28</v>
      </c>
      <c r="R11" s="43"/>
      <c r="S11" s="43"/>
      <c r="T11" s="43"/>
      <c r="U11" s="43"/>
    </row>
    <row r="12" spans="1:21" s="11" customFormat="1" ht="15">
      <c r="A12" s="49" t="s">
        <v>498</v>
      </c>
      <c r="B12" s="50">
        <v>14.79</v>
      </c>
      <c r="C12" s="50">
        <v>47.62</v>
      </c>
      <c r="D12" s="50">
        <v>39.71</v>
      </c>
      <c r="E12" s="50">
        <v>2.93</v>
      </c>
      <c r="F12" s="50">
        <v>1.38</v>
      </c>
      <c r="G12" s="50">
        <v>26.62</v>
      </c>
      <c r="H12" s="50">
        <v>13.49</v>
      </c>
      <c r="I12" s="50">
        <v>0.56999999999999995</v>
      </c>
      <c r="J12" s="50">
        <v>0.92</v>
      </c>
      <c r="K12" s="50">
        <v>74.41</v>
      </c>
      <c r="L12" s="50">
        <v>16.14</v>
      </c>
      <c r="M12" s="50">
        <v>88.97</v>
      </c>
      <c r="N12" s="50">
        <v>5</v>
      </c>
      <c r="O12" s="50">
        <v>0</v>
      </c>
      <c r="P12" s="50">
        <v>0.54</v>
      </c>
      <c r="Q12" s="50">
        <v>32.770000000000003</v>
      </c>
      <c r="R12" s="43"/>
      <c r="S12" s="43"/>
      <c r="T12" s="43"/>
      <c r="U12" s="43"/>
    </row>
    <row r="13" spans="1:21" s="11" customFormat="1" ht="15">
      <c r="A13" s="49" t="s">
        <v>499</v>
      </c>
      <c r="B13" s="50">
        <v>15.77</v>
      </c>
      <c r="C13" s="50">
        <v>49.70</v>
      </c>
      <c r="D13" s="50">
        <v>41.81</v>
      </c>
      <c r="E13" s="50">
        <v>1.99</v>
      </c>
      <c r="F13" s="50">
        <v>1.36</v>
      </c>
      <c r="G13" s="50">
        <v>24.63</v>
      </c>
      <c r="H13" s="50">
        <v>11.96</v>
      </c>
      <c r="I13" s="50">
        <v>0.56999999999999995</v>
      </c>
      <c r="J13" s="50">
        <v>1.39</v>
      </c>
      <c r="K13" s="50">
        <v>82.81</v>
      </c>
      <c r="L13" s="50">
        <v>15.85</v>
      </c>
      <c r="M13" s="50">
        <v>90.04</v>
      </c>
      <c r="N13" s="50">
        <v>5.20</v>
      </c>
      <c r="O13" s="50">
        <v>0</v>
      </c>
      <c r="P13" s="50">
        <v>0.53</v>
      </c>
      <c r="Q13" s="50">
        <v>29.92</v>
      </c>
      <c r="R13" s="43"/>
      <c r="S13" s="43"/>
      <c r="T13" s="43"/>
      <c r="U13" s="43"/>
    </row>
    <row r="14" spans="1:21" s="11" customFormat="1" ht="15">
      <c r="A14" s="49" t="s">
        <v>500</v>
      </c>
      <c r="B14" s="50">
        <v>17.72</v>
      </c>
      <c r="C14" s="50">
        <v>49.36</v>
      </c>
      <c r="D14" s="50">
        <v>42.82</v>
      </c>
      <c r="E14" s="50">
        <v>2.06</v>
      </c>
      <c r="F14" s="50">
        <v>1.35</v>
      </c>
      <c r="G14" s="50">
        <v>27.14</v>
      </c>
      <c r="H14" s="50">
        <v>13.95</v>
      </c>
      <c r="I14" s="50">
        <v>0.56999999999999995</v>
      </c>
      <c r="J14" s="50">
        <v>0.67</v>
      </c>
      <c r="K14" s="50">
        <v>100.69</v>
      </c>
      <c r="L14" s="50">
        <v>15.67</v>
      </c>
      <c r="M14" s="50">
        <v>90.32</v>
      </c>
      <c r="N14" s="50">
        <v>5.30</v>
      </c>
      <c r="O14" s="50">
        <v>0</v>
      </c>
      <c r="P14" s="50">
        <v>0.56000000000000005</v>
      </c>
      <c r="Q14" s="50">
        <v>30.24</v>
      </c>
      <c r="R14" s="43"/>
      <c r="S14" s="43"/>
      <c r="T14" s="43"/>
      <c r="U14" s="43"/>
    </row>
    <row r="15" spans="1:21" s="11" customFormat="1" ht="15">
      <c r="A15" s="49" t="s">
        <v>501</v>
      </c>
      <c r="B15" s="50">
        <v>24.76</v>
      </c>
      <c r="C15" s="50">
        <v>48.79</v>
      </c>
      <c r="D15" s="50">
        <v>47.64</v>
      </c>
      <c r="E15" s="50">
        <v>2.23</v>
      </c>
      <c r="F15" s="50">
        <v>1.37</v>
      </c>
      <c r="G15" s="50">
        <v>32.58</v>
      </c>
      <c r="H15" s="50">
        <v>15.56</v>
      </c>
      <c r="I15" s="50">
        <v>0.56999999999999995</v>
      </c>
      <c r="J15" s="50">
        <v>0.39</v>
      </c>
      <c r="K15" s="50">
        <v>354.52</v>
      </c>
      <c r="L15" s="50">
        <v>16.170000000000002</v>
      </c>
      <c r="M15" s="50">
        <v>90.98</v>
      </c>
      <c r="N15" s="50">
        <v>68.599999999999994</v>
      </c>
      <c r="O15" s="50">
        <v>0</v>
      </c>
      <c r="P15" s="50">
        <v>0.60</v>
      </c>
      <c r="Q15" s="50">
        <v>33.68</v>
      </c>
      <c r="R15" s="43"/>
      <c r="S15" s="43"/>
      <c r="T15" s="43"/>
      <c r="U15" s="43"/>
    </row>
    <row r="16" spans="1:21" s="11" customFormat="1" ht="15">
      <c r="A16" s="49" t="s">
        <v>502</v>
      </c>
      <c r="B16" s="50">
        <v>27.87</v>
      </c>
      <c r="C16" s="50">
        <v>48.74</v>
      </c>
      <c r="D16" s="50">
        <v>50.83</v>
      </c>
      <c r="E16" s="50">
        <v>2.25</v>
      </c>
      <c r="F16" s="50">
        <v>1.37</v>
      </c>
      <c r="G16" s="50">
        <v>36.53</v>
      </c>
      <c r="H16" s="50">
        <v>17.70</v>
      </c>
      <c r="I16" s="50">
        <v>0.56999999999999995</v>
      </c>
      <c r="J16" s="50">
        <v>0.55000000000000004</v>
      </c>
      <c r="K16" s="50">
        <v>198.57</v>
      </c>
      <c r="L16" s="50">
        <v>16.920000000000002</v>
      </c>
      <c r="M16" s="50">
        <v>86.43</v>
      </c>
      <c r="N16" s="50">
        <v>139.5</v>
      </c>
      <c r="O16" s="50">
        <v>0</v>
      </c>
      <c r="P16" s="50">
        <v>0.63</v>
      </c>
      <c r="Q16" s="50">
        <v>32.97</v>
      </c>
      <c r="R16" s="43"/>
      <c r="S16" s="43"/>
      <c r="T16" s="43"/>
      <c r="U16" s="43"/>
    </row>
    <row r="17" spans="1:21" s="11" customFormat="1" ht="15">
      <c r="A17" s="49" t="s">
        <v>503</v>
      </c>
      <c r="B17" s="50">
        <v>26.30</v>
      </c>
      <c r="C17" s="50">
        <v>51.79</v>
      </c>
      <c r="D17" s="50">
        <v>50.83</v>
      </c>
      <c r="E17" s="50">
        <v>1.82</v>
      </c>
      <c r="F17" s="50">
        <v>1.27</v>
      </c>
      <c r="G17" s="50">
        <v>59.88</v>
      </c>
      <c r="H17" s="50">
        <v>17.70</v>
      </c>
      <c r="I17" s="50">
        <v>0.59</v>
      </c>
      <c r="J17" s="50">
        <v>0.70</v>
      </c>
      <c r="K17" s="50">
        <v>210.45</v>
      </c>
      <c r="L17" s="50">
        <v>18.170000000000002</v>
      </c>
      <c r="M17" s="50">
        <v>83.70</v>
      </c>
      <c r="N17" s="50">
        <v>273.10000000000002</v>
      </c>
      <c r="O17" s="50">
        <v>0</v>
      </c>
      <c r="P17" s="50">
        <v>0.64</v>
      </c>
      <c r="Q17" s="50">
        <v>32.619999999999997</v>
      </c>
      <c r="R17" s="43"/>
      <c r="S17" s="43"/>
      <c r="T17" s="43"/>
      <c r="U17" s="43"/>
    </row>
    <row r="18" spans="1:21" s="11" customFormat="1" ht="15">
      <c r="A18" s="49" t="s">
        <v>504</v>
      </c>
      <c r="B18" s="50">
        <v>22.05</v>
      </c>
      <c r="C18" s="50">
        <v>53.62</v>
      </c>
      <c r="D18" s="50">
        <v>48.23</v>
      </c>
      <c r="E18" s="50">
        <v>1.89</v>
      </c>
      <c r="F18" s="50">
        <v>1.40</v>
      </c>
      <c r="G18" s="50">
        <v>59.88</v>
      </c>
      <c r="H18" s="50">
        <v>17.36</v>
      </c>
      <c r="I18" s="50">
        <v>0.55000000000000004</v>
      </c>
      <c r="J18" s="50">
        <v>0.72</v>
      </c>
      <c r="K18" s="50">
        <v>212.04</v>
      </c>
      <c r="L18" s="50">
        <v>19.670000000000002</v>
      </c>
      <c r="M18" s="50">
        <v>81.55</v>
      </c>
      <c r="N18" s="50">
        <v>428</v>
      </c>
      <c r="O18" s="50">
        <v>0</v>
      </c>
      <c r="P18" s="50">
        <v>0.62</v>
      </c>
      <c r="Q18" s="50">
        <v>34.60</v>
      </c>
      <c r="R18" s="43"/>
      <c r="S18" s="43"/>
      <c r="T18" s="43"/>
      <c r="U18" s="43"/>
    </row>
    <row r="19" spans="1:21" s="11" customFormat="1" ht="15">
      <c r="A19" s="49" t="s">
        <v>505</v>
      </c>
      <c r="B19" s="50">
        <v>16.399999999999999</v>
      </c>
      <c r="C19" s="50">
        <v>54.39</v>
      </c>
      <c r="D19" s="50">
        <v>42.35</v>
      </c>
      <c r="E19" s="50">
        <v>1.57</v>
      </c>
      <c r="F19" s="50">
        <v>1.60</v>
      </c>
      <c r="G19" s="50">
        <v>48.65</v>
      </c>
      <c r="H19" s="50">
        <v>18.21</v>
      </c>
      <c r="I19" s="50">
        <v>0.54</v>
      </c>
      <c r="J19" s="50">
        <v>0.66</v>
      </c>
      <c r="K19" s="50">
        <v>254.18</v>
      </c>
      <c r="L19" s="50">
        <v>20.75</v>
      </c>
      <c r="M19" s="50">
        <v>73.45</v>
      </c>
      <c r="N19" s="50">
        <v>441.80</v>
      </c>
      <c r="O19" s="50">
        <v>0</v>
      </c>
      <c r="P19" s="50">
        <v>0.71</v>
      </c>
      <c r="Q19" s="50">
        <v>35.25</v>
      </c>
      <c r="R19" s="43"/>
      <c r="S19" s="43"/>
      <c r="T19" s="43"/>
      <c r="U19" s="43"/>
    </row>
    <row r="20" spans="1:21" s="11" customFormat="1" ht="15">
      <c r="A20" s="49" t="s">
        <v>506</v>
      </c>
      <c r="B20" s="50">
        <v>11.67</v>
      </c>
      <c r="C20" s="50">
        <v>63.26</v>
      </c>
      <c r="D20" s="50">
        <v>44.92</v>
      </c>
      <c r="E20" s="50">
        <v>1.33</v>
      </c>
      <c r="F20" s="50">
        <v>2.2200000000000002</v>
      </c>
      <c r="G20" s="50">
        <v>47.18</v>
      </c>
      <c r="H20" s="50">
        <v>19.78</v>
      </c>
      <c r="I20" s="50">
        <v>0.53</v>
      </c>
      <c r="J20" s="50">
        <v>0.39</v>
      </c>
      <c r="K20" s="50">
        <v>294.27999999999997</v>
      </c>
      <c r="L20" s="50">
        <v>22.54</v>
      </c>
      <c r="M20" s="50">
        <v>67.099999999999994</v>
      </c>
      <c r="N20" s="50">
        <v>493.5</v>
      </c>
      <c r="O20" s="50">
        <v>0</v>
      </c>
      <c r="P20" s="50">
        <v>0.85</v>
      </c>
      <c r="Q20" s="50">
        <v>32.68</v>
      </c>
      <c r="R20" s="43"/>
      <c r="S20" s="43"/>
      <c r="T20" s="43"/>
      <c r="U20" s="43"/>
    </row>
    <row r="21" spans="1:21" s="11" customFormat="1" ht="15">
      <c r="A21" s="49" t="s">
        <v>507</v>
      </c>
      <c r="B21" s="50">
        <v>8.0299999999999994</v>
      </c>
      <c r="C21" s="50">
        <v>64.03</v>
      </c>
      <c r="D21" s="50">
        <v>42.66</v>
      </c>
      <c r="E21" s="50">
        <v>2.2799999999999998</v>
      </c>
      <c r="F21" s="50">
        <v>2.5499999999999998</v>
      </c>
      <c r="G21" s="50">
        <v>47.18</v>
      </c>
      <c r="H21" s="50">
        <v>19.78</v>
      </c>
      <c r="I21" s="50">
        <v>0.51</v>
      </c>
      <c r="J21" s="50">
        <v>0.59</v>
      </c>
      <c r="K21" s="50">
        <v>260.76</v>
      </c>
      <c r="L21" s="50">
        <v>23.51</v>
      </c>
      <c r="M21" s="50">
        <v>60.52</v>
      </c>
      <c r="N21" s="50">
        <v>577.79999999999995</v>
      </c>
      <c r="O21" s="50">
        <v>0</v>
      </c>
      <c r="P21" s="50">
        <v>0.85</v>
      </c>
      <c r="Q21" s="50">
        <v>31.54</v>
      </c>
      <c r="R21" s="43"/>
      <c r="S21" s="43"/>
      <c r="T21" s="43"/>
      <c r="U21" s="43"/>
    </row>
    <row r="22" spans="1:21" s="11" customFormat="1" ht="15">
      <c r="A22" s="49" t="s">
        <v>508</v>
      </c>
      <c r="B22" s="50">
        <v>6.13</v>
      </c>
      <c r="C22" s="50">
        <v>62.31</v>
      </c>
      <c r="D22" s="50">
        <v>41.04</v>
      </c>
      <c r="E22" s="50">
        <v>2.66</v>
      </c>
      <c r="F22" s="50">
        <v>2.91</v>
      </c>
      <c r="G22" s="50">
        <v>44.28</v>
      </c>
      <c r="H22" s="50">
        <v>18.47</v>
      </c>
      <c r="I22" s="50">
        <v>0.53</v>
      </c>
      <c r="J22" s="50">
        <v>0.81</v>
      </c>
      <c r="K22" s="50">
        <v>239.48</v>
      </c>
      <c r="L22" s="50">
        <v>25.21</v>
      </c>
      <c r="M22" s="50">
        <v>54.60</v>
      </c>
      <c r="N22" s="50">
        <v>772.70</v>
      </c>
      <c r="O22" s="50">
        <v>0</v>
      </c>
      <c r="P22" s="50">
        <v>0.90</v>
      </c>
      <c r="Q22" s="50">
        <v>36.99</v>
      </c>
      <c r="R22" s="43"/>
      <c r="S22" s="43"/>
      <c r="T22" s="43"/>
      <c r="U22" s="43"/>
    </row>
    <row r="23" spans="1:21" s="11" customFormat="1" ht="15">
      <c r="A23" s="49" t="s">
        <v>509</v>
      </c>
      <c r="B23" s="50">
        <v>4.9000000000000004</v>
      </c>
      <c r="C23" s="50">
        <v>61.64</v>
      </c>
      <c r="D23" s="50">
        <v>39.69</v>
      </c>
      <c r="E23" s="50">
        <v>2.23</v>
      </c>
      <c r="F23" s="50">
        <v>4.88</v>
      </c>
      <c r="G23" s="50">
        <v>44.28</v>
      </c>
      <c r="H23" s="50">
        <v>17.649999999999999</v>
      </c>
      <c r="I23" s="50">
        <v>0.53</v>
      </c>
      <c r="J23" s="50">
        <v>0.72</v>
      </c>
      <c r="K23" s="50">
        <v>325.62</v>
      </c>
      <c r="L23" s="50">
        <v>25.42</v>
      </c>
      <c r="M23" s="50">
        <v>54.92</v>
      </c>
      <c r="N23" s="50">
        <v>591.60</v>
      </c>
      <c r="O23" s="50">
        <v>0</v>
      </c>
      <c r="P23" s="50">
        <v>0.92</v>
      </c>
      <c r="Q23" s="50">
        <v>33.68</v>
      </c>
      <c r="R23" s="43"/>
      <c r="S23" s="43"/>
      <c r="T23" s="43"/>
      <c r="U23" s="43"/>
    </row>
    <row r="24" spans="1:21" s="11" customFormat="1" ht="15">
      <c r="A24" s="49" t="s">
        <v>510</v>
      </c>
      <c r="B24" s="50">
        <v>4.47</v>
      </c>
      <c r="C24" s="50">
        <v>60.25</v>
      </c>
      <c r="D24" s="50">
        <v>38.049999999999997</v>
      </c>
      <c r="E24" s="50">
        <v>2.3199999999999998</v>
      </c>
      <c r="F24" s="50">
        <v>4.9800000000000004</v>
      </c>
      <c r="G24" s="50">
        <v>42.14</v>
      </c>
      <c r="H24" s="50">
        <v>19.54</v>
      </c>
      <c r="I24" s="50">
        <v>0.52</v>
      </c>
      <c r="J24" s="50">
        <v>1.19</v>
      </c>
      <c r="K24" s="50">
        <v>185.21</v>
      </c>
      <c r="L24" s="50">
        <v>24.53</v>
      </c>
      <c r="M24" s="50">
        <v>53.06</v>
      </c>
      <c r="N24" s="50">
        <v>446.70</v>
      </c>
      <c r="O24" s="50">
        <v>0</v>
      </c>
      <c r="P24" s="50">
        <v>0.91</v>
      </c>
      <c r="Q24" s="50">
        <v>33.69</v>
      </c>
      <c r="R24" s="43"/>
      <c r="S24" s="43"/>
      <c r="T24" s="43"/>
      <c r="U24" s="43"/>
    </row>
    <row r="25" spans="1:21" s="11" customFormat="1" ht="15">
      <c r="A25" s="49" t="s">
        <v>511</v>
      </c>
      <c r="B25" s="50">
        <v>3.74</v>
      </c>
      <c r="C25" s="50">
        <v>60.67</v>
      </c>
      <c r="D25" s="50">
        <v>38.21</v>
      </c>
      <c r="E25" s="50">
        <v>1.64</v>
      </c>
      <c r="F25" s="50">
        <v>4.96</v>
      </c>
      <c r="G25" s="50">
        <v>42.14</v>
      </c>
      <c r="H25" s="50">
        <v>19.54</v>
      </c>
      <c r="I25" s="50">
        <v>0.51</v>
      </c>
      <c r="J25" s="50">
        <v>1.20</v>
      </c>
      <c r="K25" s="50">
        <v>227.56</v>
      </c>
      <c r="L25" s="50">
        <v>23.34</v>
      </c>
      <c r="M25" s="50">
        <v>53.84</v>
      </c>
      <c r="N25" s="50">
        <v>215.5</v>
      </c>
      <c r="O25" s="50">
        <v>0</v>
      </c>
      <c r="P25" s="50">
        <v>0.84</v>
      </c>
      <c r="Q25" s="50">
        <v>31.64</v>
      </c>
      <c r="R25" s="43"/>
      <c r="S25" s="43"/>
      <c r="T25" s="43"/>
      <c r="U25" s="43"/>
    </row>
    <row r="26" spans="1:21" s="11" customFormat="1" ht="15">
      <c r="A26" s="49" t="s">
        <v>512</v>
      </c>
      <c r="B26" s="50">
        <v>4.63</v>
      </c>
      <c r="C26" s="50">
        <v>54.36</v>
      </c>
      <c r="D26" s="50">
        <v>35.450000000000003</v>
      </c>
      <c r="E26" s="50">
        <v>1.44</v>
      </c>
      <c r="F26" s="50">
        <v>4.72</v>
      </c>
      <c r="G26" s="50">
        <v>34.81</v>
      </c>
      <c r="H26" s="50">
        <v>18.96</v>
      </c>
      <c r="I26" s="50">
        <v>0.51</v>
      </c>
      <c r="J26" s="50">
        <v>0.41</v>
      </c>
      <c r="K26" s="50">
        <v>341.36</v>
      </c>
      <c r="L26" s="50">
        <v>22.81</v>
      </c>
      <c r="M26" s="50">
        <v>58.54</v>
      </c>
      <c r="N26" s="50">
        <v>48</v>
      </c>
      <c r="O26" s="50">
        <v>0</v>
      </c>
      <c r="P26" s="50">
        <v>0.74</v>
      </c>
      <c r="Q26" s="50">
        <v>34.72</v>
      </c>
      <c r="R26" s="43"/>
      <c r="S26" s="43"/>
      <c r="T26" s="43"/>
      <c r="U26" s="43"/>
    </row>
    <row r="27" spans="1:21" s="11" customFormat="1" ht="15">
      <c r="A27" s="49" t="s">
        <v>513</v>
      </c>
      <c r="B27" s="50">
        <v>10</v>
      </c>
      <c r="C27" s="50">
        <v>66.13</v>
      </c>
      <c r="D27" s="50">
        <v>45.82</v>
      </c>
      <c r="E27" s="50">
        <v>1.42</v>
      </c>
      <c r="F27" s="50">
        <v>3.98</v>
      </c>
      <c r="G27" s="50">
        <v>34.18</v>
      </c>
      <c r="H27" s="50">
        <v>15.83</v>
      </c>
      <c r="I27" s="50">
        <v>0.55000000000000004</v>
      </c>
      <c r="J27" s="50">
        <v>0.28999999999999998</v>
      </c>
      <c r="K27" s="50">
        <v>341.84</v>
      </c>
      <c r="L27" s="50">
        <v>21.69</v>
      </c>
      <c r="M27" s="50">
        <v>67.290000000000006</v>
      </c>
      <c r="N27" s="50">
        <v>6.80</v>
      </c>
      <c r="O27" s="50">
        <v>0</v>
      </c>
      <c r="P27" s="50">
        <v>0.93</v>
      </c>
      <c r="Q27" s="50">
        <v>32.58</v>
      </c>
      <c r="R27" s="43"/>
      <c r="S27" s="43"/>
      <c r="T27" s="43"/>
      <c r="U27" s="43"/>
    </row>
    <row r="28" spans="1:21" s="11" customFormat="1" ht="15">
      <c r="A28" s="49" t="s">
        <v>514</v>
      </c>
      <c r="B28" s="50">
        <v>9.49</v>
      </c>
      <c r="C28" s="50">
        <v>65.680000000000007</v>
      </c>
      <c r="D28" s="50">
        <v>45.17</v>
      </c>
      <c r="E28" s="50">
        <v>1.61</v>
      </c>
      <c r="F28" s="50">
        <v>4.13</v>
      </c>
      <c r="G28" s="50">
        <v>146.69999999999999</v>
      </c>
      <c r="H28" s="50">
        <v>16.14</v>
      </c>
      <c r="I28" s="50">
        <v>0.56000000000000005</v>
      </c>
      <c r="J28" s="50">
        <v>2.73</v>
      </c>
      <c r="K28" s="50">
        <v>359.05</v>
      </c>
      <c r="L28" s="50">
        <v>18.05</v>
      </c>
      <c r="M28" s="50">
        <v>95.29</v>
      </c>
      <c r="N28" s="50">
        <v>14</v>
      </c>
      <c r="O28" s="50">
        <v>3.60</v>
      </c>
      <c r="P28" s="50">
        <v>0.82</v>
      </c>
      <c r="Q28" s="50">
        <v>31.35</v>
      </c>
      <c r="R28" s="43"/>
      <c r="S28" s="43"/>
      <c r="T28" s="43"/>
      <c r="U28" s="43"/>
    </row>
    <row r="29" spans="1:21" s="11" customFormat="1" ht="15">
      <c r="A29" s="49" t="s">
        <v>515</v>
      </c>
      <c r="B29" s="50">
        <v>8.39</v>
      </c>
      <c r="C29" s="50">
        <v>61.83</v>
      </c>
      <c r="D29" s="50">
        <v>40.61</v>
      </c>
      <c r="E29" s="50">
        <v>2.25</v>
      </c>
      <c r="F29" s="50">
        <v>4.01</v>
      </c>
      <c r="G29" s="50">
        <v>146.69999999999999</v>
      </c>
      <c r="H29" s="50">
        <v>16.14</v>
      </c>
      <c r="I29" s="50">
        <v>0.53</v>
      </c>
      <c r="J29" s="50">
        <v>1.03</v>
      </c>
      <c r="K29" s="50">
        <v>150.91</v>
      </c>
      <c r="L29" s="50">
        <v>15.68</v>
      </c>
      <c r="M29" s="50">
        <v>87.60</v>
      </c>
      <c r="N29" s="50">
        <v>6.10</v>
      </c>
      <c r="O29" s="50">
        <v>0</v>
      </c>
      <c r="P29" s="50">
        <v>0.69</v>
      </c>
      <c r="Q29" s="50">
        <v>33.67</v>
      </c>
      <c r="R29" s="43"/>
      <c r="S29" s="43"/>
      <c r="T29" s="43"/>
      <c r="U29" s="43"/>
    </row>
    <row r="30" spans="1:21" s="11" customFormat="1" ht="15">
      <c r="A30" s="49" t="s">
        <v>516</v>
      </c>
      <c r="B30" s="50">
        <v>12.21</v>
      </c>
      <c r="C30" s="50">
        <v>59.19</v>
      </c>
      <c r="D30" s="50">
        <v>44.20</v>
      </c>
      <c r="E30" s="50">
        <v>2.27</v>
      </c>
      <c r="F30" s="50">
        <v>1.44</v>
      </c>
      <c r="G30" s="50">
        <v>29.78</v>
      </c>
      <c r="H30" s="50">
        <v>10.65</v>
      </c>
      <c r="I30" s="50">
        <v>0.56000000000000005</v>
      </c>
      <c r="J30" s="50">
        <v>0.33</v>
      </c>
      <c r="K30" s="50">
        <v>289.77999999999997</v>
      </c>
      <c r="L30" s="50">
        <v>15.82</v>
      </c>
      <c r="M30" s="50">
        <v>86.93</v>
      </c>
      <c r="N30" s="50">
        <v>5.90</v>
      </c>
      <c r="O30" s="50">
        <v>0</v>
      </c>
      <c r="P30" s="50">
        <v>0.73</v>
      </c>
      <c r="Q30" s="50">
        <v>33.619999999999997</v>
      </c>
      <c r="R30" s="43"/>
      <c r="S30" s="43"/>
      <c r="T30" s="43"/>
      <c r="U30" s="43"/>
    </row>
    <row r="31" spans="1:21" s="11" customFormat="1" ht="15">
      <c r="A31" s="49" t="s">
        <v>517</v>
      </c>
      <c r="B31" s="50">
        <v>12.29</v>
      </c>
      <c r="C31" s="50">
        <v>58.55</v>
      </c>
      <c r="D31" s="50">
        <v>43.91</v>
      </c>
      <c r="E31" s="50">
        <v>1.97</v>
      </c>
      <c r="F31" s="50">
        <v>1.93</v>
      </c>
      <c r="G31" s="50">
        <v>27.85</v>
      </c>
      <c r="H31" s="50">
        <v>11.05</v>
      </c>
      <c r="I31" s="50">
        <v>0.55000000000000004</v>
      </c>
      <c r="J31" s="50">
        <v>1.94</v>
      </c>
      <c r="K31" s="50">
        <v>242.45</v>
      </c>
      <c r="L31" s="50">
        <v>15.70</v>
      </c>
      <c r="M31" s="50">
        <v>89.63</v>
      </c>
      <c r="N31" s="50">
        <v>6</v>
      </c>
      <c r="O31" s="50">
        <v>0.20</v>
      </c>
      <c r="P31" s="50">
        <v>0.69</v>
      </c>
      <c r="Q31" s="50">
        <v>33.630000000000003</v>
      </c>
      <c r="R31" s="43"/>
      <c r="S31" s="43"/>
      <c r="T31" s="43"/>
      <c r="U31" s="43"/>
    </row>
    <row r="32" spans="1:21" s="11" customFormat="1" ht="15">
      <c r="A32" s="49" t="s">
        <v>518</v>
      </c>
      <c r="B32" s="50">
        <v>7.91</v>
      </c>
      <c r="C32" s="50">
        <v>58.38</v>
      </c>
      <c r="D32" s="50">
        <v>40.06</v>
      </c>
      <c r="E32" s="50">
        <v>2.09</v>
      </c>
      <c r="F32" s="50">
        <v>2.04</v>
      </c>
      <c r="G32" s="50">
        <v>21.30</v>
      </c>
      <c r="H32" s="50">
        <v>11.05</v>
      </c>
      <c r="I32" s="50">
        <v>0.53</v>
      </c>
      <c r="J32" s="50">
        <v>0.77</v>
      </c>
      <c r="K32" s="50">
        <v>340.07</v>
      </c>
      <c r="L32" s="50">
        <v>15.03</v>
      </c>
      <c r="M32" s="50">
        <v>90.46</v>
      </c>
      <c r="N32" s="50">
        <v>5.20</v>
      </c>
      <c r="O32" s="50">
        <v>0</v>
      </c>
      <c r="P32" s="50">
        <v>0.57999999999999996</v>
      </c>
      <c r="Q32" s="50">
        <v>31.73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3.7400000000000002</v>
      </c>
      <c r="C34" s="28">
        <f t="shared" si="0"/>
        <v>47.619999999999997</v>
      </c>
      <c r="D34" s="28">
        <f t="shared" si="0"/>
        <v>35.450000000000003</v>
      </c>
      <c r="E34" s="28">
        <f t="shared" si="0"/>
        <v>1.3300000000000001</v>
      </c>
      <c r="F34" s="28">
        <f t="shared" si="0"/>
        <v>1.27</v>
      </c>
      <c r="G34" s="28">
        <f t="shared" si="0"/>
        <v>21.300000000000001</v>
      </c>
      <c r="H34" s="28">
        <f t="shared" si="0"/>
        <v>10.65</v>
      </c>
      <c r="I34" s="28">
        <f t="shared" si="0"/>
        <v>0.51000000000000001</v>
      </c>
      <c r="J34" s="28">
        <f t="shared" si="0"/>
        <v>0.28999999999999998</v>
      </c>
      <c r="K34" s="28">
        <f t="shared" si="0"/>
        <v>74.409999999999997</v>
      </c>
      <c r="L34" s="28">
        <f t="shared" si="0"/>
        <v>15.029999999999999</v>
      </c>
      <c r="M34" s="28">
        <f t="shared" si="0"/>
        <v>53.060000000000002</v>
      </c>
      <c r="N34" s="28">
        <f t="shared" si="0"/>
        <v>5</v>
      </c>
      <c r="O34" s="28">
        <f t="shared" si="0"/>
        <v>0</v>
      </c>
      <c r="P34" s="28">
        <f t="shared" si="0"/>
        <v>0.53000000000000003</v>
      </c>
      <c r="Q34" s="28">
        <f t="shared" si="0"/>
        <v>27.690000000000001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27.870000000000001</v>
      </c>
      <c r="C35" s="29">
        <f t="shared" si="1"/>
        <v>66.129999999999995</v>
      </c>
      <c r="D35" s="29">
        <f t="shared" si="1"/>
        <v>50.829999999999998</v>
      </c>
      <c r="E35" s="29">
        <f t="shared" si="1"/>
        <v>3.1400000000000001</v>
      </c>
      <c r="F35" s="29">
        <f t="shared" si="1"/>
        <v>4.9800000000000004</v>
      </c>
      <c r="G35" s="29">
        <f t="shared" si="1"/>
        <v>146.69999999999999</v>
      </c>
      <c r="H35" s="29">
        <f t="shared" si="1"/>
        <v>19.780000000000001</v>
      </c>
      <c r="I35" s="29">
        <f t="shared" si="1"/>
        <v>0.59999999999999998</v>
      </c>
      <c r="J35" s="29">
        <f t="shared" si="1"/>
        <v>2.73</v>
      </c>
      <c r="K35" s="29">
        <f t="shared" si="1"/>
        <v>359.05000000000001</v>
      </c>
      <c r="L35" s="29">
        <f t="shared" si="1"/>
        <v>25.420000000000002</v>
      </c>
      <c r="M35" s="29">
        <f t="shared" si="1"/>
        <v>95.290000000000006</v>
      </c>
      <c r="N35" s="29">
        <f t="shared" si="1"/>
        <v>772.70000000000005</v>
      </c>
      <c r="O35" s="29">
        <f t="shared" si="1"/>
        <v>3.6000000000000001</v>
      </c>
      <c r="P35" s="29">
        <f t="shared" si="1"/>
        <v>0.93000000000000005</v>
      </c>
      <c r="Q35" s="29">
        <f t="shared" si="1"/>
        <v>36.990000000000002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13.413333333333334</v>
      </c>
      <c r="C36" s="28">
        <f t="shared" si="2"/>
        <v>56.596250000000005</v>
      </c>
      <c r="D36" s="28">
        <f t="shared" si="2"/>
        <v>43.261249999999997</v>
      </c>
      <c r="E36" s="28">
        <f t="shared" si="2"/>
        <v>2.1283333333333334</v>
      </c>
      <c r="F36" s="28">
        <f t="shared" si="2"/>
        <v>2.5116666666666663</v>
      </c>
      <c r="G36" s="28">
        <f t="shared" si="2"/>
        <v>46.532916666666658</v>
      </c>
      <c r="H36" s="28">
        <f t="shared" si="2"/>
        <v>15.964583333333332</v>
      </c>
      <c r="I36" s="28">
        <f t="shared" si="2"/>
        <v>0.54916666666666669</v>
      </c>
      <c r="J36" s="28">
        <f t="shared" si="2"/>
        <v>0.90125</v>
      </c>
      <c r="K36" s="28">
        <f t="shared" si="2"/>
        <v>228.85749999999996</v>
      </c>
      <c r="L36" s="28">
        <f t="shared" si="2"/>
        <v>19.076249999999998</v>
      </c>
      <c r="M36" s="28">
        <f t="shared" si="2"/>
        <v>77.498749999999987</v>
      </c>
      <c r="N36" s="28">
        <f t="shared" si="2"/>
        <v>190.47916666666666</v>
      </c>
      <c r="O36" s="28">
        <f t="shared" si="2"/>
        <v>0.15833333333333335</v>
      </c>
      <c r="P36" s="28">
        <f t="shared" si="2"/>
        <v>0.71499999999999997</v>
      </c>
      <c r="Q36" s="28">
        <f t="shared" si="2"/>
        <v>32.666666666666671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7.1158064510830608</v>
      </c>
      <c r="C37" s="28">
        <f t="shared" si="3" ref="C37:Q37">STDEV(C9:C32)</f>
        <v>5.8792884902998672</v>
      </c>
      <c r="D37" s="28">
        <f t="shared" si="3"/>
        <v>3.9059133681035942</v>
      </c>
      <c r="E37" s="28">
        <f t="shared" si="3"/>
        <v>0.50005796765424448</v>
      </c>
      <c r="F37" s="28">
        <f t="shared" si="3"/>
        <v>1.3977891445971464</v>
      </c>
      <c r="G37" s="28">
        <f t="shared" si="3"/>
        <v>32.52963110486872</v>
      </c>
      <c r="H37" s="28">
        <f t="shared" si="3"/>
        <v>2.9390814583540492</v>
      </c>
      <c r="I37" s="28">
        <f t="shared" si="3"/>
        <v>0.02518050775926603</v>
      </c>
      <c r="J37" s="28">
        <f t="shared" si="3"/>
        <v>0.56480325547158849</v>
      </c>
      <c r="K37" s="28">
        <f t="shared" si="3"/>
        <v>90.721656311561333</v>
      </c>
      <c r="L37" s="28">
        <f t="shared" si="3"/>
        <v>3.6031300553341432</v>
      </c>
      <c r="M37" s="28">
        <f t="shared" si="3"/>
        <v>14.485450065046571</v>
      </c>
      <c r="N37" s="28">
        <f t="shared" si="3"/>
        <v>244.9148991138984</v>
      </c>
      <c r="O37" s="28">
        <f t="shared" si="3"/>
        <v>0.73420567351014987</v>
      </c>
      <c r="P37" s="28">
        <f t="shared" si="3"/>
        <v>0.13128131096502549</v>
      </c>
      <c r="Q37" s="28">
        <f t="shared" si="3"/>
        <v>2.1142285398792771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7b7a2f0-6661-4f98-b77d-c8fc6d4af31f}">
  <sheetPr codeName=""/>
  <dimension ref="A1:U119"/>
  <sheetViews>
    <sheetView workbookViewId="0" topLeftCell="A1">
      <pane xSplit="1" ySplit="8" topLeftCell="B24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43" sqref="H4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20-03-2023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49" t="s">
        <v>519</v>
      </c>
      <c r="B9" s="50">
        <v>8.08</v>
      </c>
      <c r="C9" s="50">
        <v>54.29</v>
      </c>
      <c r="D9" s="50">
        <v>37.630000000000003</v>
      </c>
      <c r="E9" s="50">
        <v>2.0099999999999998</v>
      </c>
      <c r="F9" s="50">
        <v>1.54</v>
      </c>
      <c r="G9" s="50">
        <v>18.05</v>
      </c>
      <c r="H9" s="50">
        <v>10.84</v>
      </c>
      <c r="I9" s="50">
        <v>0.53</v>
      </c>
      <c r="J9" s="50">
        <v>0.55000000000000004</v>
      </c>
      <c r="K9" s="50">
        <v>347.61</v>
      </c>
      <c r="L9" s="50">
        <v>15.20</v>
      </c>
      <c r="M9" s="50">
        <v>91.24</v>
      </c>
      <c r="N9" s="50">
        <v>5</v>
      </c>
      <c r="O9" s="50">
        <v>0</v>
      </c>
      <c r="P9" s="50">
        <v>0.56999999999999995</v>
      </c>
      <c r="Q9" s="50">
        <v>34.06</v>
      </c>
      <c r="R9" s="43"/>
      <c r="S9" s="43"/>
      <c r="T9" s="43"/>
      <c r="U9" s="43"/>
    </row>
    <row r="10" spans="1:21" s="11" customFormat="1" ht="15">
      <c r="A10" s="49" t="s">
        <v>520</v>
      </c>
      <c r="B10" s="50">
        <v>8.99</v>
      </c>
      <c r="C10" s="50">
        <v>49.63</v>
      </c>
      <c r="D10" s="50">
        <v>35.700000000000003</v>
      </c>
      <c r="E10" s="50">
        <v>2.31</v>
      </c>
      <c r="F10" s="50">
        <v>1.5</v>
      </c>
      <c r="G10" s="50">
        <v>18.05</v>
      </c>
      <c r="H10" s="50">
        <v>10.84</v>
      </c>
      <c r="I10" s="50">
        <v>0.52</v>
      </c>
      <c r="J10" s="50">
        <v>0.18</v>
      </c>
      <c r="K10" s="50">
        <v>327.44</v>
      </c>
      <c r="L10" s="50">
        <v>14.91</v>
      </c>
      <c r="M10" s="50">
        <v>91.86</v>
      </c>
      <c r="N10" s="50">
        <v>4.9000000000000004</v>
      </c>
      <c r="O10" s="50">
        <v>0</v>
      </c>
      <c r="P10" s="50">
        <v>0.56999999999999995</v>
      </c>
      <c r="Q10" s="50">
        <v>32.78</v>
      </c>
      <c r="R10" s="43"/>
      <c r="S10" s="43"/>
      <c r="T10" s="43"/>
      <c r="U10" s="43"/>
    </row>
    <row r="11" spans="1:21" s="11" customFormat="1" ht="15">
      <c r="A11" s="49" t="s">
        <v>521</v>
      </c>
      <c r="B11" s="50">
        <v>9.6199999999999992</v>
      </c>
      <c r="C11" s="50">
        <v>49.75</v>
      </c>
      <c r="D11" s="50">
        <v>36.630000000000003</v>
      </c>
      <c r="E11" s="50">
        <v>2.2799999999999998</v>
      </c>
      <c r="F11" s="50">
        <v>1.37</v>
      </c>
      <c r="G11" s="50">
        <v>15.69</v>
      </c>
      <c r="H11" s="50">
        <v>9.3699999999999992</v>
      </c>
      <c r="I11" s="50">
        <v>0.5</v>
      </c>
      <c r="J11" s="50">
        <v>0.59</v>
      </c>
      <c r="K11" s="50">
        <v>241.05</v>
      </c>
      <c r="L11" s="50">
        <v>15.43</v>
      </c>
      <c r="M11" s="50">
        <v>90.26</v>
      </c>
      <c r="N11" s="50">
        <v>5.0999999999999996</v>
      </c>
      <c r="O11" s="50">
        <v>0</v>
      </c>
      <c r="P11" s="50">
        <v>0.56000000000000005</v>
      </c>
      <c r="Q11" s="50">
        <v>32.229999999999997</v>
      </c>
      <c r="R11" s="43"/>
      <c r="S11" s="43"/>
      <c r="T11" s="43"/>
      <c r="U11" s="43"/>
    </row>
    <row r="12" spans="1:21" s="11" customFormat="1" ht="15">
      <c r="A12" s="49" t="s">
        <v>522</v>
      </c>
      <c r="B12" s="50">
        <v>10.65</v>
      </c>
      <c r="C12" s="50">
        <v>45.85</v>
      </c>
      <c r="D12" s="50">
        <v>35.10</v>
      </c>
      <c r="E12" s="50">
        <v>2.59</v>
      </c>
      <c r="F12" s="50">
        <v>1.42</v>
      </c>
      <c r="G12" s="50">
        <v>16.420000000000002</v>
      </c>
      <c r="H12" s="50">
        <v>10.15</v>
      </c>
      <c r="I12" s="50">
        <v>0.53</v>
      </c>
      <c r="J12" s="50">
        <v>0.36</v>
      </c>
      <c r="K12" s="50">
        <v>244.83</v>
      </c>
      <c r="L12" s="50">
        <v>15.10</v>
      </c>
      <c r="M12" s="50">
        <v>90.32</v>
      </c>
      <c r="N12" s="50">
        <v>5</v>
      </c>
      <c r="O12" s="50">
        <v>0</v>
      </c>
      <c r="P12" s="50">
        <v>0.53</v>
      </c>
      <c r="Q12" s="50">
        <v>36.049999999999997</v>
      </c>
      <c r="R12" s="43"/>
      <c r="S12" s="43"/>
      <c r="T12" s="43"/>
      <c r="U12" s="43"/>
    </row>
    <row r="13" spans="1:21" s="11" customFormat="1" ht="15">
      <c r="A13" s="49" t="s">
        <v>523</v>
      </c>
      <c r="B13" s="50">
        <v>13.12</v>
      </c>
      <c r="C13" s="50">
        <v>44.79</v>
      </c>
      <c r="D13" s="50">
        <v>36.700000000000003</v>
      </c>
      <c r="E13" s="50">
        <v>2.5299999999999998</v>
      </c>
      <c r="F13" s="50">
        <v>1.23</v>
      </c>
      <c r="G13" s="50">
        <v>24.78</v>
      </c>
      <c r="H13" s="50">
        <v>10.41</v>
      </c>
      <c r="I13" s="50">
        <v>0.54</v>
      </c>
      <c r="J13" s="50">
        <v>0.60</v>
      </c>
      <c r="K13" s="50">
        <v>108.70</v>
      </c>
      <c r="L13" s="50">
        <v>15.03</v>
      </c>
      <c r="M13" s="50">
        <v>91.86</v>
      </c>
      <c r="N13" s="50">
        <v>4.5</v>
      </c>
      <c r="O13" s="50">
        <v>0</v>
      </c>
      <c r="P13" s="50">
        <v>0.53</v>
      </c>
      <c r="Q13" s="50">
        <v>36.32</v>
      </c>
      <c r="R13" s="43"/>
      <c r="S13" s="43"/>
      <c r="T13" s="43"/>
      <c r="U13" s="43"/>
    </row>
    <row r="14" spans="1:21" s="11" customFormat="1" ht="15">
      <c r="A14" s="49" t="s">
        <v>524</v>
      </c>
      <c r="B14" s="50">
        <v>18.28</v>
      </c>
      <c r="C14" s="50">
        <v>44.83</v>
      </c>
      <c r="D14" s="50">
        <v>41.14</v>
      </c>
      <c r="E14" s="50">
        <v>2.70</v>
      </c>
      <c r="F14" s="50">
        <v>1.37</v>
      </c>
      <c r="G14" s="50">
        <v>24.78</v>
      </c>
      <c r="H14" s="50">
        <v>10.51</v>
      </c>
      <c r="I14" s="50">
        <v>0.54</v>
      </c>
      <c r="J14" s="50">
        <v>0.16</v>
      </c>
      <c r="K14" s="50">
        <v>337.24</v>
      </c>
      <c r="L14" s="50">
        <v>14.5</v>
      </c>
      <c r="M14" s="50">
        <v>94.97</v>
      </c>
      <c r="N14" s="50">
        <v>5.5</v>
      </c>
      <c r="O14" s="50">
        <v>0</v>
      </c>
      <c r="P14" s="50">
        <v>0.59</v>
      </c>
      <c r="Q14" s="50">
        <v>36.619999999999997</v>
      </c>
      <c r="R14" s="43"/>
      <c r="S14" s="43"/>
      <c r="T14" s="43"/>
      <c r="U14" s="43"/>
    </row>
    <row r="15" spans="1:21" s="11" customFormat="1" ht="15">
      <c r="A15" s="49" t="s">
        <v>525</v>
      </c>
      <c r="B15" s="50">
        <v>24.10</v>
      </c>
      <c r="C15" s="50">
        <v>46.18</v>
      </c>
      <c r="D15" s="50">
        <v>46.55</v>
      </c>
      <c r="E15" s="50">
        <v>3.01</v>
      </c>
      <c r="F15" s="50">
        <v>1.20</v>
      </c>
      <c r="G15" s="50">
        <v>43.23</v>
      </c>
      <c r="H15" s="50">
        <v>11.54</v>
      </c>
      <c r="I15" s="50">
        <v>0.55000000000000004</v>
      </c>
      <c r="J15" s="50">
        <v>0.22</v>
      </c>
      <c r="K15" s="50">
        <v>337.94</v>
      </c>
      <c r="L15" s="50">
        <v>15.78</v>
      </c>
      <c r="M15" s="50">
        <v>95.45</v>
      </c>
      <c r="N15" s="50">
        <v>134.69999999999999</v>
      </c>
      <c r="O15" s="50">
        <v>0</v>
      </c>
      <c r="P15" s="50">
        <v>0.63</v>
      </c>
      <c r="Q15" s="50">
        <v>36.14</v>
      </c>
      <c r="R15" s="43"/>
      <c r="S15" s="43"/>
      <c r="T15" s="43"/>
      <c r="U15" s="43"/>
    </row>
    <row r="16" spans="1:21" s="11" customFormat="1" ht="15">
      <c r="A16" s="49" t="s">
        <v>526</v>
      </c>
      <c r="B16" s="50">
        <v>24.74</v>
      </c>
      <c r="C16" s="50">
        <v>52.09</v>
      </c>
      <c r="D16" s="50">
        <v>49.95</v>
      </c>
      <c r="E16" s="50">
        <v>2.81</v>
      </c>
      <c r="F16" s="50">
        <v>1.41</v>
      </c>
      <c r="G16" s="50">
        <v>43.23</v>
      </c>
      <c r="H16" s="50">
        <v>12.96</v>
      </c>
      <c r="I16" s="50">
        <v>0.56000000000000005</v>
      </c>
      <c r="J16" s="50">
        <v>0.63</v>
      </c>
      <c r="K16" s="50">
        <v>227.26</v>
      </c>
      <c r="L16" s="50">
        <v>17.68</v>
      </c>
      <c r="M16" s="50">
        <v>88.81</v>
      </c>
      <c r="N16" s="50">
        <v>366</v>
      </c>
      <c r="O16" s="50">
        <v>0</v>
      </c>
      <c r="P16" s="50">
        <v>0.62</v>
      </c>
      <c r="Q16" s="50">
        <v>40.119999999999997</v>
      </c>
      <c r="R16" s="43"/>
      <c r="S16" s="43"/>
      <c r="T16" s="43"/>
      <c r="U16" s="43"/>
    </row>
    <row r="17" spans="1:21" s="11" customFormat="1" ht="15">
      <c r="A17" s="49" t="s">
        <v>527</v>
      </c>
      <c r="B17" s="50">
        <v>20.74</v>
      </c>
      <c r="C17" s="50">
        <v>46.73</v>
      </c>
      <c r="D17" s="50">
        <v>43.30</v>
      </c>
      <c r="E17" s="50">
        <v>2.2599999999999998</v>
      </c>
      <c r="F17" s="50">
        <v>1.40</v>
      </c>
      <c r="G17" s="50">
        <v>49.30</v>
      </c>
      <c r="H17" s="50">
        <v>12.96</v>
      </c>
      <c r="I17" s="50">
        <v>0.55000000000000004</v>
      </c>
      <c r="J17" s="50">
        <v>0.66</v>
      </c>
      <c r="K17" s="50">
        <v>225.02</v>
      </c>
      <c r="L17" s="50">
        <v>22.70</v>
      </c>
      <c r="M17" s="50">
        <v>76.73</v>
      </c>
      <c r="N17" s="50">
        <v>561.90</v>
      </c>
      <c r="O17" s="50">
        <v>0</v>
      </c>
      <c r="P17" s="50">
        <v>0.61</v>
      </c>
      <c r="Q17" s="50">
        <v>38.89</v>
      </c>
      <c r="R17" s="43"/>
      <c r="S17" s="43"/>
      <c r="T17" s="43"/>
      <c r="U17" s="43"/>
    </row>
    <row r="18" spans="1:21" s="11" customFormat="1" ht="15">
      <c r="A18" s="49" t="s">
        <v>528</v>
      </c>
      <c r="B18" s="50">
        <v>19.43</v>
      </c>
      <c r="C18" s="50">
        <v>56.95</v>
      </c>
      <c r="D18" s="50">
        <v>48.52</v>
      </c>
      <c r="E18" s="50">
        <v>2.80</v>
      </c>
      <c r="F18" s="50">
        <v>1.48</v>
      </c>
      <c r="G18" s="50">
        <v>49.30</v>
      </c>
      <c r="H18" s="50">
        <v>12.72</v>
      </c>
      <c r="I18" s="50">
        <v>0.54</v>
      </c>
      <c r="J18" s="50">
        <v>0.74</v>
      </c>
      <c r="K18" s="50">
        <v>337.16</v>
      </c>
      <c r="L18" s="50">
        <v>25.36</v>
      </c>
      <c r="M18" s="50">
        <v>60.85</v>
      </c>
      <c r="N18" s="50">
        <v>751.5</v>
      </c>
      <c r="O18" s="50">
        <v>0</v>
      </c>
      <c r="P18" s="50">
        <v>0.87</v>
      </c>
      <c r="Q18" s="50">
        <v>37.89</v>
      </c>
      <c r="R18" s="43"/>
      <c r="S18" s="43"/>
      <c r="T18" s="43"/>
      <c r="U18" s="43"/>
    </row>
    <row r="19" spans="1:21" s="11" customFormat="1" ht="15">
      <c r="A19" s="49" t="s">
        <v>529</v>
      </c>
      <c r="B19" s="50">
        <v>18.20</v>
      </c>
      <c r="C19" s="50">
        <v>78.41</v>
      </c>
      <c r="D19" s="50">
        <v>51.49</v>
      </c>
      <c r="E19" s="50">
        <v>9.7200000000000006</v>
      </c>
      <c r="F19" s="50">
        <v>40.270000000000003</v>
      </c>
      <c r="G19" s="50">
        <v>60.35</v>
      </c>
      <c r="H19" s="50">
        <v>19.30</v>
      </c>
      <c r="I19" s="50">
        <v>0.55000000000000004</v>
      </c>
      <c r="J19" s="50">
        <v>0.30</v>
      </c>
      <c r="K19" s="50">
        <v>357.42</v>
      </c>
      <c r="L19" s="50">
        <v>26.97</v>
      </c>
      <c r="M19" s="50">
        <v>45.79</v>
      </c>
      <c r="N19" s="50">
        <v>883.60</v>
      </c>
      <c r="O19" s="50">
        <v>0</v>
      </c>
      <c r="P19" s="50">
        <v>1.18</v>
      </c>
      <c r="Q19" s="50">
        <v>40.5</v>
      </c>
      <c r="R19" s="43"/>
      <c r="S19" s="43"/>
      <c r="T19" s="43"/>
      <c r="U19" s="43"/>
    </row>
    <row r="20" spans="1:21" s="11" customFormat="1" ht="15">
      <c r="A20" s="49" t="s">
        <v>530</v>
      </c>
      <c r="B20" s="50">
        <v>4.08</v>
      </c>
      <c r="C20" s="50">
        <v>68.23</v>
      </c>
      <c r="D20" s="50">
        <v>42.39</v>
      </c>
      <c r="E20" s="50">
        <v>6.12</v>
      </c>
      <c r="F20" s="50">
        <v>16.809999999999999</v>
      </c>
      <c r="G20" s="52" t="s">
        <v>8</v>
      </c>
      <c r="H20" s="52" t="s">
        <v>8</v>
      </c>
      <c r="I20" s="50">
        <v>0.46</v>
      </c>
      <c r="J20" s="50">
        <v>0.49</v>
      </c>
      <c r="K20" s="50">
        <v>351.09</v>
      </c>
      <c r="L20" s="50">
        <v>28.41</v>
      </c>
      <c r="M20" s="50">
        <v>43.5</v>
      </c>
      <c r="N20" s="50">
        <v>947.60</v>
      </c>
      <c r="O20" s="50">
        <v>0</v>
      </c>
      <c r="P20" s="50">
        <v>0.80</v>
      </c>
      <c r="Q20" s="50">
        <v>38.020000000000003</v>
      </c>
      <c r="R20" s="43"/>
      <c r="S20" s="43"/>
      <c r="T20" s="43"/>
      <c r="U20" s="43"/>
    </row>
    <row r="21" spans="1:21" s="11" customFormat="1" ht="15">
      <c r="A21" s="49" t="s">
        <v>531</v>
      </c>
      <c r="B21" s="50">
        <v>3.46</v>
      </c>
      <c r="C21" s="50">
        <v>52.47</v>
      </c>
      <c r="D21" s="50">
        <v>33.29</v>
      </c>
      <c r="E21" s="50">
        <v>2.63</v>
      </c>
      <c r="F21" s="50">
        <v>7.31</v>
      </c>
      <c r="G21" s="52" t="s">
        <v>8</v>
      </c>
      <c r="H21" s="52" t="s">
        <v>8</v>
      </c>
      <c r="I21" s="50">
        <v>0.46</v>
      </c>
      <c r="J21" s="50">
        <v>0.54</v>
      </c>
      <c r="K21" s="50">
        <v>354.44</v>
      </c>
      <c r="L21" s="50">
        <v>28.65</v>
      </c>
      <c r="M21" s="50">
        <v>42.76</v>
      </c>
      <c r="N21" s="50">
        <v>945.30</v>
      </c>
      <c r="O21" s="50">
        <v>0</v>
      </c>
      <c r="P21" s="50">
        <v>0.67</v>
      </c>
      <c r="Q21" s="50">
        <v>36.130000000000003</v>
      </c>
      <c r="R21" s="43"/>
      <c r="S21" s="43"/>
      <c r="T21" s="43"/>
      <c r="U21" s="43"/>
    </row>
    <row r="22" spans="1:21" s="11" customFormat="1" ht="15">
      <c r="A22" s="49" t="s">
        <v>532</v>
      </c>
      <c r="B22" s="50">
        <v>4.0599999999999996</v>
      </c>
      <c r="C22" s="50">
        <v>50.53</v>
      </c>
      <c r="D22" s="50">
        <v>32.89</v>
      </c>
      <c r="E22" s="50">
        <v>2.63</v>
      </c>
      <c r="F22" s="50">
        <v>7.91</v>
      </c>
      <c r="G22" s="50">
        <v>26.92</v>
      </c>
      <c r="H22" s="50">
        <v>16.34</v>
      </c>
      <c r="I22" s="50">
        <v>0.47</v>
      </c>
      <c r="J22" s="50">
        <v>0.42</v>
      </c>
      <c r="K22" s="50">
        <v>357.06</v>
      </c>
      <c r="L22" s="50">
        <v>29.04</v>
      </c>
      <c r="M22" s="50">
        <v>37.729999999999997</v>
      </c>
      <c r="N22" s="50">
        <v>874.20</v>
      </c>
      <c r="O22" s="50">
        <v>0</v>
      </c>
      <c r="P22" s="50">
        <v>0.68</v>
      </c>
      <c r="Q22" s="50">
        <v>33.01</v>
      </c>
      <c r="R22" s="43"/>
      <c r="S22" s="43"/>
      <c r="T22" s="43"/>
      <c r="U22" s="43"/>
    </row>
    <row r="23" spans="1:21" s="11" customFormat="1" ht="15">
      <c r="A23" s="49" t="s">
        <v>533</v>
      </c>
      <c r="B23" s="50">
        <v>5.32</v>
      </c>
      <c r="C23" s="50">
        <v>55.07</v>
      </c>
      <c r="D23" s="50">
        <v>35.18</v>
      </c>
      <c r="E23" s="50">
        <v>2.87</v>
      </c>
      <c r="F23" s="50">
        <v>7.79</v>
      </c>
      <c r="G23" s="50">
        <v>29.63</v>
      </c>
      <c r="H23" s="50">
        <v>16.329999999999998</v>
      </c>
      <c r="I23" s="50">
        <v>0.47</v>
      </c>
      <c r="J23" s="50">
        <v>0.57999999999999996</v>
      </c>
      <c r="K23" s="50">
        <v>338.84</v>
      </c>
      <c r="L23" s="50">
        <v>28.49</v>
      </c>
      <c r="M23" s="50">
        <v>34.700000000000003</v>
      </c>
      <c r="N23" s="50">
        <v>736</v>
      </c>
      <c r="O23" s="50">
        <v>0</v>
      </c>
      <c r="P23" s="50">
        <v>0.69</v>
      </c>
      <c r="Q23" s="50">
        <v>37.74</v>
      </c>
      <c r="R23" s="43"/>
      <c r="S23" s="43"/>
      <c r="T23" s="43"/>
      <c r="U23" s="43"/>
    </row>
    <row r="24" spans="1:21" s="11" customFormat="1" ht="15">
      <c r="A24" s="49" t="s">
        <v>534</v>
      </c>
      <c r="B24" s="50">
        <v>4.34</v>
      </c>
      <c r="C24" s="50">
        <v>51.44</v>
      </c>
      <c r="D24" s="50">
        <v>32.99</v>
      </c>
      <c r="E24" s="50">
        <v>2.1800000000000002</v>
      </c>
      <c r="F24" s="50">
        <v>8.77</v>
      </c>
      <c r="G24" s="50">
        <v>29.93</v>
      </c>
      <c r="H24" s="50">
        <v>15.09</v>
      </c>
      <c r="I24" s="50">
        <v>0.48</v>
      </c>
      <c r="J24" s="50">
        <v>0.38</v>
      </c>
      <c r="K24" s="50">
        <v>349.5</v>
      </c>
      <c r="L24" s="50">
        <v>29.26</v>
      </c>
      <c r="M24" s="50">
        <v>34.94</v>
      </c>
      <c r="N24" s="50">
        <v>434.30</v>
      </c>
      <c r="O24" s="50">
        <v>0</v>
      </c>
      <c r="P24" s="50">
        <v>0.67</v>
      </c>
      <c r="Q24" s="50">
        <v>36.450000000000003</v>
      </c>
      <c r="R24" s="43"/>
      <c r="S24" s="43"/>
      <c r="T24" s="43"/>
      <c r="U24" s="43"/>
    </row>
    <row r="25" spans="1:21" s="11" customFormat="1" ht="15">
      <c r="A25" s="49" t="s">
        <v>535</v>
      </c>
      <c r="B25" s="50">
        <v>5.76</v>
      </c>
      <c r="C25" s="50">
        <v>58.61</v>
      </c>
      <c r="D25" s="50">
        <v>37.74</v>
      </c>
      <c r="E25" s="50">
        <v>1.41</v>
      </c>
      <c r="F25" s="50">
        <v>6.60</v>
      </c>
      <c r="G25" s="50">
        <v>32.549999999999997</v>
      </c>
      <c r="H25" s="50">
        <v>14.25</v>
      </c>
      <c r="I25" s="50">
        <v>0.49</v>
      </c>
      <c r="J25" s="50">
        <v>0.36</v>
      </c>
      <c r="K25" s="50">
        <v>351.57</v>
      </c>
      <c r="L25" s="50">
        <v>27.87</v>
      </c>
      <c r="M25" s="50">
        <v>34.75</v>
      </c>
      <c r="N25" s="50">
        <v>233</v>
      </c>
      <c r="O25" s="50">
        <v>0</v>
      </c>
      <c r="P25" s="50">
        <v>0.68</v>
      </c>
      <c r="Q25" s="50">
        <v>34.17</v>
      </c>
      <c r="R25" s="43"/>
      <c r="S25" s="43"/>
      <c r="T25" s="43"/>
      <c r="U25" s="43"/>
    </row>
    <row r="26" spans="1:21" s="11" customFormat="1" ht="15">
      <c r="A26" s="49" t="s">
        <v>536</v>
      </c>
      <c r="B26" s="50">
        <v>6.44</v>
      </c>
      <c r="C26" s="50">
        <v>59.36</v>
      </c>
      <c r="D26" s="50">
        <v>39.67</v>
      </c>
      <c r="E26" s="50">
        <v>2.06</v>
      </c>
      <c r="F26" s="50">
        <v>15.52</v>
      </c>
      <c r="G26" s="50">
        <v>32.520000000000003</v>
      </c>
      <c r="H26" s="50">
        <v>14.33</v>
      </c>
      <c r="I26" s="50">
        <v>0.49</v>
      </c>
      <c r="J26" s="50">
        <v>0.28999999999999998</v>
      </c>
      <c r="K26" s="50">
        <v>248.5</v>
      </c>
      <c r="L26" s="50">
        <v>26.56</v>
      </c>
      <c r="M26" s="50">
        <v>36.25</v>
      </c>
      <c r="N26" s="50">
        <v>59.10</v>
      </c>
      <c r="O26" s="50">
        <v>0</v>
      </c>
      <c r="P26" s="50">
        <v>0.71</v>
      </c>
      <c r="Q26" s="50">
        <v>33.40</v>
      </c>
      <c r="R26" s="43"/>
      <c r="S26" s="43"/>
      <c r="T26" s="43"/>
      <c r="U26" s="43"/>
    </row>
    <row r="27" spans="1:21" s="11" customFormat="1" ht="15">
      <c r="A27" s="49" t="s">
        <v>537</v>
      </c>
      <c r="B27" s="50">
        <v>22.49</v>
      </c>
      <c r="C27" s="50">
        <v>75.91</v>
      </c>
      <c r="D27" s="50">
        <v>61.67</v>
      </c>
      <c r="E27" s="50">
        <v>1.89</v>
      </c>
      <c r="F27" s="50">
        <v>8.90</v>
      </c>
      <c r="G27" s="50">
        <v>38.049999999999997</v>
      </c>
      <c r="H27" s="50">
        <v>14.31</v>
      </c>
      <c r="I27" s="50">
        <v>0.53</v>
      </c>
      <c r="J27" s="50">
        <v>0.15</v>
      </c>
      <c r="K27" s="50">
        <v>333.80</v>
      </c>
      <c r="L27" s="50">
        <v>25.11</v>
      </c>
      <c r="M27" s="50">
        <v>46.55</v>
      </c>
      <c r="N27" s="50">
        <v>7.80</v>
      </c>
      <c r="O27" s="50">
        <v>0</v>
      </c>
      <c r="P27" s="50">
        <v>1.03</v>
      </c>
      <c r="Q27" s="50">
        <v>36.94</v>
      </c>
      <c r="R27" s="43"/>
      <c r="S27" s="43"/>
      <c r="T27" s="43"/>
      <c r="U27" s="43"/>
    </row>
    <row r="28" spans="1:21" s="11" customFormat="1" ht="15">
      <c r="A28" s="49" t="s">
        <v>538</v>
      </c>
      <c r="B28" s="50">
        <v>81.88</v>
      </c>
      <c r="C28" s="50">
        <v>73.650000000000006</v>
      </c>
      <c r="D28" s="50">
        <v>106.90</v>
      </c>
      <c r="E28" s="50">
        <v>1.83</v>
      </c>
      <c r="F28" s="50">
        <v>1.61</v>
      </c>
      <c r="G28" s="50">
        <v>53.77</v>
      </c>
      <c r="H28" s="50">
        <v>17.309999999999999</v>
      </c>
      <c r="I28" s="50">
        <v>0.68</v>
      </c>
      <c r="J28" s="50">
        <v>0.11</v>
      </c>
      <c r="K28" s="50">
        <v>106.5</v>
      </c>
      <c r="L28" s="50">
        <v>22.58</v>
      </c>
      <c r="M28" s="50">
        <v>62.27</v>
      </c>
      <c r="N28" s="50">
        <v>5</v>
      </c>
      <c r="O28" s="50">
        <v>0</v>
      </c>
      <c r="P28" s="50">
        <v>1.93</v>
      </c>
      <c r="Q28" s="50">
        <v>36.85</v>
      </c>
      <c r="R28" s="43"/>
      <c r="S28" s="43"/>
      <c r="T28" s="43"/>
      <c r="U28" s="43"/>
    </row>
    <row r="29" spans="1:21" s="11" customFormat="1" ht="15">
      <c r="A29" s="49" t="s">
        <v>539</v>
      </c>
      <c r="B29" s="50">
        <v>96.65</v>
      </c>
      <c r="C29" s="50">
        <v>84.73</v>
      </c>
      <c r="D29" s="50">
        <v>126.01</v>
      </c>
      <c r="E29" s="50">
        <v>1.87</v>
      </c>
      <c r="F29" s="50">
        <v>1.68</v>
      </c>
      <c r="G29" s="50">
        <v>175.58</v>
      </c>
      <c r="H29" s="50">
        <v>26.49</v>
      </c>
      <c r="I29" s="50">
        <v>0.86</v>
      </c>
      <c r="J29" s="50">
        <v>0.23</v>
      </c>
      <c r="K29" s="50">
        <v>231.32</v>
      </c>
      <c r="L29" s="50">
        <v>21.77</v>
      </c>
      <c r="M29" s="50">
        <v>60.97</v>
      </c>
      <c r="N29" s="50">
        <v>4.5999999999999996</v>
      </c>
      <c r="O29" s="50">
        <v>0</v>
      </c>
      <c r="P29" s="50">
        <v>1.81</v>
      </c>
      <c r="Q29" s="50">
        <v>38.31</v>
      </c>
      <c r="R29" s="43"/>
      <c r="S29" s="43"/>
      <c r="T29" s="43"/>
      <c r="U29" s="43"/>
    </row>
    <row r="30" spans="1:21" s="11" customFormat="1" ht="15">
      <c r="A30" s="49" t="s">
        <v>540</v>
      </c>
      <c r="B30" s="50">
        <v>98.09</v>
      </c>
      <c r="C30" s="50">
        <v>74.33</v>
      </c>
      <c r="D30" s="50">
        <v>116.68</v>
      </c>
      <c r="E30" s="50">
        <v>2.13</v>
      </c>
      <c r="F30" s="50">
        <v>1.61</v>
      </c>
      <c r="G30" s="50">
        <v>174.95</v>
      </c>
      <c r="H30" s="50">
        <v>29.24</v>
      </c>
      <c r="I30" s="50">
        <v>0.91</v>
      </c>
      <c r="J30" s="50">
        <v>0.09</v>
      </c>
      <c r="K30" s="50">
        <v>325.73</v>
      </c>
      <c r="L30" s="50">
        <v>21.46</v>
      </c>
      <c r="M30" s="50">
        <v>61.73</v>
      </c>
      <c r="N30" s="50">
        <v>5</v>
      </c>
      <c r="O30" s="50">
        <v>0</v>
      </c>
      <c r="P30" s="50">
        <v>1.90</v>
      </c>
      <c r="Q30" s="50">
        <v>46.45</v>
      </c>
      <c r="R30" s="43"/>
      <c r="S30" s="43"/>
      <c r="T30" s="43"/>
      <c r="U30" s="43"/>
    </row>
    <row r="31" spans="1:21" s="11" customFormat="1" ht="15">
      <c r="A31" s="49" t="s">
        <v>541</v>
      </c>
      <c r="B31" s="50">
        <v>93.55</v>
      </c>
      <c r="C31" s="50">
        <v>68.290000000000006</v>
      </c>
      <c r="D31" s="50">
        <v>112.34</v>
      </c>
      <c r="E31" s="50">
        <v>1.93</v>
      </c>
      <c r="F31" s="50">
        <v>1.44</v>
      </c>
      <c r="G31" s="50">
        <v>126.39</v>
      </c>
      <c r="H31" s="50">
        <v>35.35</v>
      </c>
      <c r="I31" s="50">
        <v>0.92</v>
      </c>
      <c r="J31" s="50">
        <v>0.21</v>
      </c>
      <c r="K31" s="50">
        <v>332.26</v>
      </c>
      <c r="L31" s="50">
        <v>20.420000000000002</v>
      </c>
      <c r="M31" s="50">
        <v>66.28</v>
      </c>
      <c r="N31" s="50">
        <v>5.0999999999999996</v>
      </c>
      <c r="O31" s="50">
        <v>0</v>
      </c>
      <c r="P31" s="50">
        <v>1.90</v>
      </c>
      <c r="Q31" s="50">
        <v>46.61</v>
      </c>
      <c r="R31" s="43"/>
      <c r="S31" s="43"/>
      <c r="T31" s="43"/>
      <c r="U31" s="43"/>
    </row>
    <row r="32" spans="1:21" s="11" customFormat="1" ht="15">
      <c r="A32" s="49" t="s">
        <v>542</v>
      </c>
      <c r="B32" s="50">
        <v>100.87</v>
      </c>
      <c r="C32" s="50">
        <v>66.09</v>
      </c>
      <c r="D32" s="50">
        <v>117.88</v>
      </c>
      <c r="E32" s="50">
        <v>1.75</v>
      </c>
      <c r="F32" s="50">
        <v>1.99</v>
      </c>
      <c r="G32" s="50">
        <v>126.32</v>
      </c>
      <c r="H32" s="50">
        <v>35.299999999999997</v>
      </c>
      <c r="I32" s="50">
        <v>0.93</v>
      </c>
      <c r="J32" s="50">
        <v>0.20</v>
      </c>
      <c r="K32" s="50">
        <v>288.01</v>
      </c>
      <c r="L32" s="50">
        <v>19.670000000000002</v>
      </c>
      <c r="M32" s="50">
        <v>70.53</v>
      </c>
      <c r="N32" s="50">
        <v>5</v>
      </c>
      <c r="O32" s="50">
        <v>0</v>
      </c>
      <c r="P32" s="50">
        <v>1.91</v>
      </c>
      <c r="Q32" s="50">
        <v>45.29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3.46</v>
      </c>
      <c r="C34" s="28">
        <f t="shared" si="0"/>
        <v>44.789999999999999</v>
      </c>
      <c r="D34" s="28">
        <f t="shared" si="0"/>
        <v>32.890000000000001</v>
      </c>
      <c r="E34" s="28">
        <f t="shared" si="0"/>
        <v>1.4099999999999999</v>
      </c>
      <c r="F34" s="28">
        <f t="shared" si="0"/>
        <v>1.2</v>
      </c>
      <c r="G34" s="28">
        <f t="shared" si="0"/>
        <v>15.69</v>
      </c>
      <c r="H34" s="28">
        <f t="shared" si="0"/>
        <v>9.3699999999999992</v>
      </c>
      <c r="I34" s="28">
        <f t="shared" si="0"/>
        <v>0.46000000000000002</v>
      </c>
      <c r="J34" s="28">
        <f t="shared" si="0"/>
        <v>0.089999999999999997</v>
      </c>
      <c r="K34" s="28">
        <f t="shared" si="0"/>
        <v>106.5</v>
      </c>
      <c r="L34" s="28">
        <f t="shared" si="0"/>
        <v>14.5</v>
      </c>
      <c r="M34" s="28">
        <f t="shared" si="0"/>
        <v>34.700000000000003</v>
      </c>
      <c r="N34" s="28">
        <f t="shared" si="0"/>
        <v>4.5</v>
      </c>
      <c r="O34" s="28">
        <f t="shared" si="0"/>
        <v>0</v>
      </c>
      <c r="P34" s="28">
        <f t="shared" si="0"/>
        <v>0.53000000000000003</v>
      </c>
      <c r="Q34" s="28">
        <f t="shared" si="0"/>
        <v>32.229999999999997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100.87</v>
      </c>
      <c r="C35" s="29">
        <f t="shared" si="1"/>
        <v>84.730000000000004</v>
      </c>
      <c r="D35" s="29">
        <f t="shared" si="1"/>
        <v>126.01000000000001</v>
      </c>
      <c r="E35" s="29">
        <f t="shared" si="1"/>
        <v>9.7200000000000006</v>
      </c>
      <c r="F35" s="29">
        <f t="shared" si="1"/>
        <v>40.270000000000003</v>
      </c>
      <c r="G35" s="29">
        <f t="shared" si="1"/>
        <v>175.58000000000001</v>
      </c>
      <c r="H35" s="29">
        <f t="shared" si="1"/>
        <v>35.350000000000001</v>
      </c>
      <c r="I35" s="29">
        <f t="shared" si="1"/>
        <v>0.93000000000000005</v>
      </c>
      <c r="J35" s="29">
        <f t="shared" si="1"/>
        <v>0.73999999999999999</v>
      </c>
      <c r="K35" s="29">
        <f t="shared" si="1"/>
        <v>357.42000000000002</v>
      </c>
      <c r="L35" s="29">
        <f t="shared" si="1"/>
        <v>29.260000000000002</v>
      </c>
      <c r="M35" s="29">
        <f t="shared" si="1"/>
        <v>95.450000000000003</v>
      </c>
      <c r="N35" s="29">
        <f t="shared" si="1"/>
        <v>947.60000000000002</v>
      </c>
      <c r="O35" s="29">
        <f t="shared" si="1"/>
        <v>0</v>
      </c>
      <c r="P35" s="29">
        <f t="shared" si="1"/>
        <v>1.9299999999999999</v>
      </c>
      <c r="Q35" s="29">
        <f t="shared" si="1"/>
        <v>46.609999999999999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29.289166666666663</v>
      </c>
      <c r="C36" s="28">
        <f t="shared" si="2"/>
        <v>58.675416666666671</v>
      </c>
      <c r="D36" s="28">
        <f t="shared" si="2"/>
        <v>56.597499999999989</v>
      </c>
      <c r="E36" s="28">
        <f t="shared" si="2"/>
        <v>2.7633333333333336</v>
      </c>
      <c r="F36" s="28">
        <f t="shared" si="2"/>
        <v>5.922083333333334</v>
      </c>
      <c r="G36" s="28">
        <f t="shared" si="2"/>
        <v>54.990454545454547</v>
      </c>
      <c r="H36" s="28">
        <f t="shared" si="2"/>
        <v>16.63363636363637</v>
      </c>
      <c r="I36" s="28">
        <f t="shared" si="2"/>
        <v>0.58583333333333321</v>
      </c>
      <c r="J36" s="28">
        <f t="shared" si="2"/>
        <v>0.37666666666666671</v>
      </c>
      <c r="K36" s="28">
        <f t="shared" si="2"/>
        <v>294.17875000000004</v>
      </c>
      <c r="L36" s="28">
        <f t="shared" si="2"/>
        <v>21.997916666666665</v>
      </c>
      <c r="M36" s="28">
        <f t="shared" si="2"/>
        <v>64.629166666666663</v>
      </c>
      <c r="N36" s="28">
        <f t="shared" si="2"/>
        <v>291.23750000000001</v>
      </c>
      <c r="O36" s="28">
        <f t="shared" si="2"/>
        <v>0</v>
      </c>
      <c r="P36" s="28">
        <f t="shared" si="2"/>
        <v>0.94333333333333325</v>
      </c>
      <c r="Q36" s="28">
        <f t="shared" si="2"/>
        <v>37.540416666666665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34.808722534628494</v>
      </c>
      <c r="C37" s="28">
        <f t="shared" si="3" ref="C37:Q37">STDEV(C9:C32)</f>
        <v>12.012482630550364</v>
      </c>
      <c r="D37" s="28">
        <f t="shared" si="3"/>
        <v>31.976628319690828</v>
      </c>
      <c r="E37" s="28">
        <f t="shared" si="3"/>
        <v>1.7237841756026091</v>
      </c>
      <c r="F37" s="28">
        <f t="shared" si="3"/>
        <v>8.6308556577003372</v>
      </c>
      <c r="G37" s="28">
        <f t="shared" si="3"/>
        <v>49.004795924410033</v>
      </c>
      <c r="H37" s="28">
        <f t="shared" si="3"/>
        <v>7.8307559359322632</v>
      </c>
      <c r="I37" s="28">
        <f t="shared" si="3"/>
        <v>0.15311026622401419</v>
      </c>
      <c r="J37" s="28">
        <f t="shared" si="3"/>
        <v>0.19714630776828329</v>
      </c>
      <c r="K37" s="28">
        <f t="shared" si="3"/>
        <v>74.304479431504873</v>
      </c>
      <c r="L37" s="28">
        <f t="shared" si="3"/>
        <v>5.4739453851596167</v>
      </c>
      <c r="M37" s="28">
        <f t="shared" si="3"/>
        <v>22.836215500949308</v>
      </c>
      <c r="N37" s="28">
        <f t="shared" si="3"/>
        <v>368.41974385616669</v>
      </c>
      <c r="O37" s="28">
        <f t="shared" si="3"/>
        <v>0</v>
      </c>
      <c r="P37" s="28">
        <f t="shared" si="3"/>
        <v>0.51885045735881319</v>
      </c>
      <c r="Q37" s="28">
        <f t="shared" si="3"/>
        <v>3.9697250799199701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f5d60a3-9e6b-4da3-839c-07811316b7a8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21-03-2023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1" t="s">
        <v>58</v>
      </c>
      <c r="C7" s="51" t="s">
        <v>43</v>
      </c>
      <c r="D7" s="51" t="s">
        <v>44</v>
      </c>
      <c r="E7" s="51" t="s">
        <v>45</v>
      </c>
      <c r="F7" s="51" t="s">
        <v>46</v>
      </c>
      <c r="G7" s="51" t="s">
        <v>47</v>
      </c>
      <c r="H7" s="51" t="s">
        <v>48</v>
      </c>
      <c r="I7" s="51" t="s">
        <v>49</v>
      </c>
      <c r="J7" s="51" t="s">
        <v>50</v>
      </c>
      <c r="K7" s="51" t="s">
        <v>51</v>
      </c>
      <c r="L7" s="51" t="s">
        <v>52</v>
      </c>
      <c r="M7" s="51" t="s">
        <v>53</v>
      </c>
      <c r="N7" s="51" t="s">
        <v>54</v>
      </c>
      <c r="O7" s="51" t="s">
        <v>55</v>
      </c>
      <c r="P7" s="51" t="s">
        <v>56</v>
      </c>
      <c r="Q7" s="51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62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49" t="s">
        <v>543</v>
      </c>
      <c r="B9" s="50">
        <v>86.61</v>
      </c>
      <c r="C9" s="50">
        <v>65.42</v>
      </c>
      <c r="D9" s="50">
        <v>107.30</v>
      </c>
      <c r="E9" s="50">
        <v>2.96</v>
      </c>
      <c r="F9" s="50">
        <v>1.66</v>
      </c>
      <c r="G9" s="50">
        <v>119.84</v>
      </c>
      <c r="H9" s="50">
        <v>30.41</v>
      </c>
      <c r="I9" s="50">
        <v>0.91</v>
      </c>
      <c r="J9" s="50">
        <v>0.22</v>
      </c>
      <c r="K9" s="50">
        <v>351.97</v>
      </c>
      <c r="L9" s="50">
        <v>19.12</v>
      </c>
      <c r="M9" s="50">
        <v>72.38</v>
      </c>
      <c r="N9" s="50">
        <v>5</v>
      </c>
      <c r="O9" s="50">
        <v>0</v>
      </c>
      <c r="P9" s="50">
        <v>1.78</v>
      </c>
      <c r="Q9" s="50">
        <v>43.89</v>
      </c>
      <c r="R9" s="43"/>
      <c r="S9" s="43"/>
      <c r="T9" s="43"/>
      <c r="U9" s="43"/>
    </row>
    <row r="10" spans="1:21" s="11" customFormat="1" ht="15">
      <c r="A10" s="49" t="s">
        <v>544</v>
      </c>
      <c r="B10" s="50">
        <v>79.44</v>
      </c>
      <c r="C10" s="50">
        <v>60.08</v>
      </c>
      <c r="D10" s="50">
        <v>94.26</v>
      </c>
      <c r="E10" s="50">
        <v>2.86</v>
      </c>
      <c r="F10" s="50">
        <v>1.84</v>
      </c>
      <c r="G10" s="50">
        <v>73.75</v>
      </c>
      <c r="H10" s="50">
        <v>26.49</v>
      </c>
      <c r="I10" s="50">
        <v>0.90</v>
      </c>
      <c r="J10" s="50">
        <v>0.16</v>
      </c>
      <c r="K10" s="50">
        <v>276.45999999999998</v>
      </c>
      <c r="L10" s="50">
        <v>18.52</v>
      </c>
      <c r="M10" s="50">
        <v>75.709999999999994</v>
      </c>
      <c r="N10" s="50">
        <v>4.9000000000000004</v>
      </c>
      <c r="O10" s="50">
        <v>0</v>
      </c>
      <c r="P10" s="50">
        <v>1.57</v>
      </c>
      <c r="Q10" s="50">
        <v>46.66</v>
      </c>
      <c r="R10" s="43"/>
      <c r="S10" s="43"/>
      <c r="T10" s="43"/>
      <c r="U10" s="43"/>
    </row>
    <row r="11" spans="1:21" s="11" customFormat="1" ht="15">
      <c r="A11" s="49" t="s">
        <v>545</v>
      </c>
      <c r="B11" s="50">
        <v>72.88</v>
      </c>
      <c r="C11" s="50">
        <v>54.71</v>
      </c>
      <c r="D11" s="50">
        <v>90.38</v>
      </c>
      <c r="E11" s="50">
        <v>2.60</v>
      </c>
      <c r="F11" s="50">
        <v>1.47</v>
      </c>
      <c r="G11" s="50">
        <v>69.09</v>
      </c>
      <c r="H11" s="50">
        <v>25.62</v>
      </c>
      <c r="I11" s="50">
        <v>0.89</v>
      </c>
      <c r="J11" s="50">
        <v>0.24</v>
      </c>
      <c r="K11" s="50">
        <v>351.26</v>
      </c>
      <c r="L11" s="50">
        <v>19.079999999999998</v>
      </c>
      <c r="M11" s="50">
        <v>78.900000000000006</v>
      </c>
      <c r="N11" s="50">
        <v>4.80</v>
      </c>
      <c r="O11" s="50">
        <v>0</v>
      </c>
      <c r="P11" s="50">
        <v>1.45</v>
      </c>
      <c r="Q11" s="50">
        <v>45.07</v>
      </c>
      <c r="R11" s="43"/>
      <c r="S11" s="43"/>
      <c r="T11" s="43"/>
      <c r="U11" s="43"/>
    </row>
    <row r="12" spans="1:21" s="11" customFormat="1" ht="15">
      <c r="A12" s="49" t="s">
        <v>546</v>
      </c>
      <c r="B12" s="50">
        <v>56.54</v>
      </c>
      <c r="C12" s="50">
        <v>54.48</v>
      </c>
      <c r="D12" s="50">
        <v>76.150000000000006</v>
      </c>
      <c r="E12" s="50">
        <v>2.66</v>
      </c>
      <c r="F12" s="50">
        <v>1.56</v>
      </c>
      <c r="G12" s="50">
        <v>68.89</v>
      </c>
      <c r="H12" s="50">
        <v>25.10</v>
      </c>
      <c r="I12" s="50">
        <v>0.85</v>
      </c>
      <c r="J12" s="50">
        <v>0.87</v>
      </c>
      <c r="K12" s="50">
        <v>159.59</v>
      </c>
      <c r="L12" s="50">
        <v>19.670000000000002</v>
      </c>
      <c r="M12" s="50">
        <v>68.680000000000007</v>
      </c>
      <c r="N12" s="50">
        <v>5.0999999999999996</v>
      </c>
      <c r="O12" s="50">
        <v>0</v>
      </c>
      <c r="P12" s="50">
        <v>1.30</v>
      </c>
      <c r="Q12" s="50">
        <v>45.15</v>
      </c>
      <c r="R12" s="43"/>
      <c r="S12" s="43"/>
      <c r="T12" s="43"/>
      <c r="U12" s="43"/>
    </row>
    <row r="13" spans="1:21" s="11" customFormat="1" ht="15">
      <c r="A13" s="49" t="s">
        <v>547</v>
      </c>
      <c r="B13" s="50">
        <v>51.91</v>
      </c>
      <c r="C13" s="50">
        <v>53.51</v>
      </c>
      <c r="D13" s="50">
        <v>72.900000000000006</v>
      </c>
      <c r="E13" s="50">
        <v>2.70</v>
      </c>
      <c r="F13" s="50">
        <v>1.52</v>
      </c>
      <c r="G13" s="50">
        <v>51.30</v>
      </c>
      <c r="H13" s="50">
        <v>25.10</v>
      </c>
      <c r="I13" s="50">
        <v>0.82</v>
      </c>
      <c r="J13" s="50">
        <v>0.71</v>
      </c>
      <c r="K13" s="50">
        <v>351.76</v>
      </c>
      <c r="L13" s="50">
        <v>19.46</v>
      </c>
      <c r="M13" s="50">
        <v>74.81</v>
      </c>
      <c r="N13" s="50">
        <v>5.40</v>
      </c>
      <c r="O13" s="50">
        <v>0</v>
      </c>
      <c r="P13" s="50">
        <v>1.1499999999999999</v>
      </c>
      <c r="Q13" s="50">
        <v>45.29</v>
      </c>
      <c r="R13" s="43"/>
      <c r="S13" s="43"/>
      <c r="T13" s="43"/>
      <c r="U13" s="43"/>
    </row>
    <row r="14" spans="1:21" s="11" customFormat="1" ht="15">
      <c r="A14" s="49" t="s">
        <v>548</v>
      </c>
      <c r="B14" s="50">
        <v>43.22</v>
      </c>
      <c r="C14" s="50">
        <v>55.06</v>
      </c>
      <c r="D14" s="50">
        <v>63.94</v>
      </c>
      <c r="E14" s="50">
        <v>2.87</v>
      </c>
      <c r="F14" s="50">
        <v>1.93</v>
      </c>
      <c r="G14" s="50">
        <v>38.39</v>
      </c>
      <c r="H14" s="50">
        <v>22.46</v>
      </c>
      <c r="I14" s="50">
        <v>0.74</v>
      </c>
      <c r="J14" s="50">
        <v>2.82</v>
      </c>
      <c r="K14" s="50">
        <v>351.13</v>
      </c>
      <c r="L14" s="50">
        <v>18.920000000000002</v>
      </c>
      <c r="M14" s="50">
        <v>75.430000000000007</v>
      </c>
      <c r="N14" s="50">
        <v>6.70</v>
      </c>
      <c r="O14" s="50">
        <v>0.20</v>
      </c>
      <c r="P14" s="50">
        <v>1.02</v>
      </c>
      <c r="Q14" s="50">
        <v>46.26</v>
      </c>
      <c r="R14" s="43"/>
      <c r="S14" s="43"/>
      <c r="T14" s="43"/>
      <c r="U14" s="43"/>
    </row>
    <row r="15" spans="1:21" s="11" customFormat="1" ht="15">
      <c r="A15" s="49" t="s">
        <v>549</v>
      </c>
      <c r="B15" s="50">
        <v>23.10</v>
      </c>
      <c r="C15" s="50">
        <v>55.40</v>
      </c>
      <c r="D15" s="50">
        <v>50.84</v>
      </c>
      <c r="E15" s="50">
        <v>1.86</v>
      </c>
      <c r="F15" s="50">
        <v>1.51</v>
      </c>
      <c r="G15" s="50">
        <v>50.20</v>
      </c>
      <c r="H15" s="50">
        <v>21.79</v>
      </c>
      <c r="I15" s="50">
        <v>0.69</v>
      </c>
      <c r="J15" s="50">
        <v>1.33</v>
      </c>
      <c r="K15" s="50">
        <v>109.44</v>
      </c>
      <c r="L15" s="50">
        <v>16.95</v>
      </c>
      <c r="M15" s="50">
        <v>89.59</v>
      </c>
      <c r="N15" s="50">
        <v>8.5</v>
      </c>
      <c r="O15" s="50">
        <v>0.40</v>
      </c>
      <c r="P15" s="50">
        <v>0.76</v>
      </c>
      <c r="Q15" s="50">
        <v>42.51</v>
      </c>
      <c r="R15" s="43"/>
      <c r="S15" s="43"/>
      <c r="T15" s="43"/>
      <c r="U15" s="43"/>
    </row>
    <row r="16" spans="1:21" s="11" customFormat="1" ht="15">
      <c r="A16" s="49" t="s">
        <v>550</v>
      </c>
      <c r="B16" s="50">
        <v>20.45</v>
      </c>
      <c r="C16" s="50">
        <v>52.48</v>
      </c>
      <c r="D16" s="50">
        <v>46.33</v>
      </c>
      <c r="E16" s="50">
        <v>2.2400000000000002</v>
      </c>
      <c r="F16" s="50">
        <v>1.83</v>
      </c>
      <c r="G16" s="50">
        <v>49.89</v>
      </c>
      <c r="H16" s="50">
        <v>19.899999999999999</v>
      </c>
      <c r="I16" s="50">
        <v>0.63</v>
      </c>
      <c r="J16" s="50">
        <v>1.0900000000000001</v>
      </c>
      <c r="K16" s="50">
        <v>104.54</v>
      </c>
      <c r="L16" s="50">
        <v>16.260000000000002</v>
      </c>
      <c r="M16" s="50">
        <v>91.91</v>
      </c>
      <c r="N16" s="50">
        <v>77.5</v>
      </c>
      <c r="O16" s="50">
        <v>0.40</v>
      </c>
      <c r="P16" s="50">
        <v>0.66</v>
      </c>
      <c r="Q16" s="50">
        <v>44.64</v>
      </c>
      <c r="R16" s="43"/>
      <c r="S16" s="43"/>
      <c r="T16" s="43"/>
      <c r="U16" s="43"/>
    </row>
    <row r="17" spans="1:21" s="11" customFormat="1" ht="15">
      <c r="A17" s="49" t="s">
        <v>551</v>
      </c>
      <c r="B17" s="50">
        <v>18.079999999999998</v>
      </c>
      <c r="C17" s="50">
        <v>49.32</v>
      </c>
      <c r="D17" s="50">
        <v>43.46</v>
      </c>
      <c r="E17" s="50">
        <v>2.62</v>
      </c>
      <c r="F17" s="50">
        <v>1.69</v>
      </c>
      <c r="G17" s="50">
        <v>23.79</v>
      </c>
      <c r="H17" s="50">
        <v>16.309999999999999</v>
      </c>
      <c r="I17" s="50">
        <v>0.62</v>
      </c>
      <c r="J17" s="50">
        <v>1.61</v>
      </c>
      <c r="K17" s="50">
        <v>94.57</v>
      </c>
      <c r="L17" s="50">
        <v>17.329999999999998</v>
      </c>
      <c r="M17" s="50">
        <v>91.35</v>
      </c>
      <c r="N17" s="50">
        <v>270.30</v>
      </c>
      <c r="O17" s="50">
        <v>0.40</v>
      </c>
      <c r="P17" s="50">
        <v>0.60</v>
      </c>
      <c r="Q17" s="50">
        <v>47.72</v>
      </c>
      <c r="R17" s="43"/>
      <c r="S17" s="43"/>
      <c r="T17" s="43"/>
      <c r="U17" s="43"/>
    </row>
    <row r="18" spans="1:21" s="11" customFormat="1" ht="15">
      <c r="A18" s="49" t="s">
        <v>552</v>
      </c>
      <c r="B18" s="50">
        <v>16.309999999999999</v>
      </c>
      <c r="C18" s="50">
        <v>48.77</v>
      </c>
      <c r="D18" s="50">
        <v>41.47</v>
      </c>
      <c r="E18" s="50">
        <v>2.62</v>
      </c>
      <c r="F18" s="50">
        <v>1.57</v>
      </c>
      <c r="G18" s="50">
        <v>23.74</v>
      </c>
      <c r="H18" s="50">
        <v>14</v>
      </c>
      <c r="I18" s="50">
        <v>0.60</v>
      </c>
      <c r="J18" s="50">
        <v>3.08</v>
      </c>
      <c r="K18" s="50">
        <v>117.46</v>
      </c>
      <c r="L18" s="50">
        <v>19</v>
      </c>
      <c r="M18" s="50">
        <v>84.38</v>
      </c>
      <c r="N18" s="50">
        <v>542.90</v>
      </c>
      <c r="O18" s="50">
        <v>0</v>
      </c>
      <c r="P18" s="50">
        <v>0.57999999999999996</v>
      </c>
      <c r="Q18" s="50">
        <v>50.42</v>
      </c>
      <c r="R18" s="43"/>
      <c r="S18" s="43"/>
      <c r="T18" s="43"/>
      <c r="U18" s="43"/>
    </row>
    <row r="19" spans="1:21" s="11" customFormat="1" ht="15">
      <c r="A19" s="49" t="s">
        <v>553</v>
      </c>
      <c r="B19" s="50">
        <v>10.61</v>
      </c>
      <c r="C19" s="50">
        <v>49.29</v>
      </c>
      <c r="D19" s="50">
        <v>37.450000000000003</v>
      </c>
      <c r="E19" s="50">
        <v>2.77</v>
      </c>
      <c r="F19" s="50">
        <v>3.14</v>
      </c>
      <c r="G19" s="50">
        <v>28.28</v>
      </c>
      <c r="H19" s="50">
        <v>14.10</v>
      </c>
      <c r="I19" s="50">
        <v>0.57999999999999996</v>
      </c>
      <c r="J19" s="50">
        <v>2.3199999999999998</v>
      </c>
      <c r="K19" s="50">
        <v>116.12</v>
      </c>
      <c r="L19" s="50">
        <v>20.51</v>
      </c>
      <c r="M19" s="50">
        <v>78.34</v>
      </c>
      <c r="N19" s="50">
        <v>832.30</v>
      </c>
      <c r="O19" s="50">
        <v>0</v>
      </c>
      <c r="P19" s="50">
        <v>0.51</v>
      </c>
      <c r="Q19" s="50">
        <v>49.30</v>
      </c>
      <c r="R19" s="43"/>
      <c r="S19" s="43"/>
      <c r="T19" s="43"/>
      <c r="U19" s="43"/>
    </row>
    <row r="20" spans="1:21" s="11" customFormat="1" ht="15">
      <c r="A20" s="49" t="s">
        <v>554</v>
      </c>
      <c r="B20" s="50">
        <v>6.95</v>
      </c>
      <c r="C20" s="50">
        <v>50.76</v>
      </c>
      <c r="D20" s="50">
        <v>34.75</v>
      </c>
      <c r="E20" s="50">
        <v>2.70</v>
      </c>
      <c r="F20" s="50">
        <v>4.03</v>
      </c>
      <c r="G20" s="50">
        <v>28.15</v>
      </c>
      <c r="H20" s="50">
        <v>14.08</v>
      </c>
      <c r="I20" s="50">
        <v>0.54</v>
      </c>
      <c r="J20" s="50">
        <v>2.10</v>
      </c>
      <c r="K20" s="50">
        <v>120.70</v>
      </c>
      <c r="L20" s="50">
        <v>23.12</v>
      </c>
      <c r="M20" s="50">
        <v>67.459999999999994</v>
      </c>
      <c r="N20" s="50">
        <v>879.20</v>
      </c>
      <c r="O20" s="50">
        <v>0</v>
      </c>
      <c r="P20" s="50">
        <v>0.45</v>
      </c>
      <c r="Q20" s="50">
        <v>47.5</v>
      </c>
      <c r="R20" s="43"/>
      <c r="S20" s="43"/>
      <c r="T20" s="43"/>
      <c r="U20" s="43"/>
    </row>
    <row r="21" spans="1:21" s="11" customFormat="1" ht="15">
      <c r="A21" s="49" t="s">
        <v>555</v>
      </c>
      <c r="B21" s="50">
        <v>5.34</v>
      </c>
      <c r="C21" s="50">
        <v>49.85</v>
      </c>
      <c r="D21" s="50">
        <v>33.53</v>
      </c>
      <c r="E21" s="50">
        <v>1.88</v>
      </c>
      <c r="F21" s="50">
        <v>4.22</v>
      </c>
      <c r="G21" s="50">
        <v>17.079999999999998</v>
      </c>
      <c r="H21" s="50">
        <v>12.65</v>
      </c>
      <c r="I21" s="50">
        <v>0.53</v>
      </c>
      <c r="J21" s="50">
        <v>1.01</v>
      </c>
      <c r="K21" s="50">
        <v>185.83</v>
      </c>
      <c r="L21" s="50">
        <v>24.36</v>
      </c>
      <c r="M21" s="50">
        <v>60.59</v>
      </c>
      <c r="N21" s="50">
        <v>891.30</v>
      </c>
      <c r="O21" s="50">
        <v>0</v>
      </c>
      <c r="P21" s="50">
        <v>0.38</v>
      </c>
      <c r="Q21" s="50">
        <v>49.08</v>
      </c>
      <c r="R21" s="43"/>
      <c r="S21" s="43"/>
      <c r="T21" s="43"/>
      <c r="U21" s="43"/>
    </row>
    <row r="22" spans="1:21" s="11" customFormat="1" ht="15">
      <c r="A22" s="49" t="s">
        <v>556</v>
      </c>
      <c r="B22" s="50">
        <v>4.25</v>
      </c>
      <c r="C22" s="50">
        <v>48.42</v>
      </c>
      <c r="D22" s="50">
        <v>31.74</v>
      </c>
      <c r="E22" s="50">
        <v>1.79</v>
      </c>
      <c r="F22" s="50">
        <v>5.86</v>
      </c>
      <c r="G22" s="56" t="s">
        <v>15</v>
      </c>
      <c r="H22" s="56" t="s">
        <v>15</v>
      </c>
      <c r="I22" s="50">
        <v>0.53</v>
      </c>
      <c r="J22" s="50">
        <v>0.88</v>
      </c>
      <c r="K22" s="50">
        <v>201.92</v>
      </c>
      <c r="L22" s="50">
        <v>25.93</v>
      </c>
      <c r="M22" s="50">
        <v>54.40</v>
      </c>
      <c r="N22" s="50">
        <v>834</v>
      </c>
      <c r="O22" s="50">
        <v>0</v>
      </c>
      <c r="P22" s="50">
        <v>0.34</v>
      </c>
      <c r="Q22" s="50">
        <v>50.25</v>
      </c>
      <c r="R22" s="43"/>
      <c r="S22" s="43"/>
      <c r="T22" s="43"/>
      <c r="U22" s="43"/>
    </row>
    <row r="23" spans="1:21" s="11" customFormat="1" ht="15">
      <c r="A23" s="49" t="s">
        <v>557</v>
      </c>
      <c r="B23" s="50">
        <v>5.1100000000000003</v>
      </c>
      <c r="C23" s="50">
        <v>51.70</v>
      </c>
      <c r="D23" s="50">
        <v>34.369999999999997</v>
      </c>
      <c r="E23" s="50">
        <v>2.44</v>
      </c>
      <c r="F23" s="50">
        <v>8.41</v>
      </c>
      <c r="G23" s="50">
        <v>22.60</v>
      </c>
      <c r="H23" s="50">
        <v>11.65</v>
      </c>
      <c r="I23" s="50">
        <v>0.53</v>
      </c>
      <c r="J23" s="50">
        <v>0.43</v>
      </c>
      <c r="K23" s="50">
        <v>356.95</v>
      </c>
      <c r="L23" s="50">
        <v>27.56</v>
      </c>
      <c r="M23" s="50">
        <v>49.98</v>
      </c>
      <c r="N23" s="50">
        <v>645.10</v>
      </c>
      <c r="O23" s="50">
        <v>0</v>
      </c>
      <c r="P23" s="50">
        <v>0.36</v>
      </c>
      <c r="Q23" s="50">
        <v>43.78</v>
      </c>
      <c r="R23" s="43"/>
      <c r="S23" s="43"/>
      <c r="T23" s="43"/>
      <c r="U23" s="43"/>
    </row>
    <row r="24" spans="1:21" s="11" customFormat="1" ht="15">
      <c r="A24" s="49" t="s">
        <v>558</v>
      </c>
      <c r="B24" s="50">
        <v>6.31</v>
      </c>
      <c r="C24" s="50">
        <v>59.82</v>
      </c>
      <c r="D24" s="50">
        <v>38.75</v>
      </c>
      <c r="E24" s="50">
        <v>1.99</v>
      </c>
      <c r="F24" s="50">
        <v>7.69</v>
      </c>
      <c r="G24" s="50">
        <v>35.14</v>
      </c>
      <c r="H24" s="50">
        <v>11.65</v>
      </c>
      <c r="I24" s="50">
        <v>0.52</v>
      </c>
      <c r="J24" s="50">
        <v>0.64</v>
      </c>
      <c r="K24" s="50">
        <v>220.37</v>
      </c>
      <c r="L24" s="50">
        <v>26.69</v>
      </c>
      <c r="M24" s="50">
        <v>52.73</v>
      </c>
      <c r="N24" s="50">
        <v>337.70</v>
      </c>
      <c r="O24" s="50">
        <v>0</v>
      </c>
      <c r="P24" s="50">
        <v>0.37</v>
      </c>
      <c r="Q24" s="50">
        <v>45.73</v>
      </c>
      <c r="R24" s="43"/>
      <c r="S24" s="43"/>
      <c r="T24" s="43"/>
      <c r="U24" s="43"/>
    </row>
    <row r="25" spans="1:21" s="11" customFormat="1" ht="15">
      <c r="A25" s="49" t="s">
        <v>559</v>
      </c>
      <c r="B25" s="50">
        <v>4.46</v>
      </c>
      <c r="C25" s="50">
        <v>38.29</v>
      </c>
      <c r="D25" s="50">
        <v>26.01</v>
      </c>
      <c r="E25" s="50">
        <v>1.80</v>
      </c>
      <c r="F25" s="50">
        <v>9.08</v>
      </c>
      <c r="G25" s="50">
        <v>35.840000000000003</v>
      </c>
      <c r="H25" s="50">
        <v>11.48</v>
      </c>
      <c r="I25" s="50">
        <v>0.53</v>
      </c>
      <c r="J25" s="50">
        <v>0.73</v>
      </c>
      <c r="K25" s="50">
        <v>213.02</v>
      </c>
      <c r="L25" s="50">
        <v>25.59</v>
      </c>
      <c r="M25" s="50">
        <v>53.44</v>
      </c>
      <c r="N25" s="50">
        <v>254.40</v>
      </c>
      <c r="O25" s="50">
        <v>0</v>
      </c>
      <c r="P25" s="50">
        <v>0.36</v>
      </c>
      <c r="Q25" s="50">
        <v>46.20</v>
      </c>
      <c r="R25" s="43"/>
      <c r="S25" s="43"/>
      <c r="T25" s="43"/>
      <c r="U25" s="43"/>
    </row>
    <row r="26" spans="1:21" s="11" customFormat="1" ht="15">
      <c r="A26" s="49" t="s">
        <v>560</v>
      </c>
      <c r="B26" s="50">
        <v>4.51</v>
      </c>
      <c r="C26" s="50">
        <v>59.34</v>
      </c>
      <c r="D26" s="50">
        <v>37.869999999999997</v>
      </c>
      <c r="E26" s="50">
        <v>2.16</v>
      </c>
      <c r="F26" s="50">
        <v>13.91</v>
      </c>
      <c r="G26" s="50">
        <v>35.799999999999997</v>
      </c>
      <c r="H26" s="50">
        <v>10.96</v>
      </c>
      <c r="I26" s="50">
        <v>0.52</v>
      </c>
      <c r="J26" s="50">
        <v>1.37</v>
      </c>
      <c r="K26" s="50">
        <v>247.32</v>
      </c>
      <c r="L26" s="50">
        <v>24.98</v>
      </c>
      <c r="M26" s="50">
        <v>58.60</v>
      </c>
      <c r="N26" s="50">
        <v>74.099999999999994</v>
      </c>
      <c r="O26" s="50">
        <v>0</v>
      </c>
      <c r="P26" s="50">
        <v>0.36</v>
      </c>
      <c r="Q26" s="50">
        <v>43.84</v>
      </c>
      <c r="R26" s="43"/>
      <c r="S26" s="43"/>
      <c r="T26" s="43"/>
      <c r="U26" s="43"/>
    </row>
    <row r="27" spans="1:21" s="11" customFormat="1" ht="15">
      <c r="A27" s="49" t="s">
        <v>561</v>
      </c>
      <c r="B27" s="50">
        <v>6.15</v>
      </c>
      <c r="C27" s="50">
        <v>58.27</v>
      </c>
      <c r="D27" s="50">
        <v>38.11</v>
      </c>
      <c r="E27" s="50">
        <v>2.31</v>
      </c>
      <c r="F27" s="50">
        <v>10.32</v>
      </c>
      <c r="G27" s="50">
        <v>32.229999999999997</v>
      </c>
      <c r="H27" s="50">
        <v>14.02</v>
      </c>
      <c r="I27" s="50">
        <v>0.54</v>
      </c>
      <c r="J27" s="50">
        <v>1.24</v>
      </c>
      <c r="K27" s="50">
        <v>240.68</v>
      </c>
      <c r="L27" s="50">
        <v>23.92</v>
      </c>
      <c r="M27" s="50">
        <v>65.78</v>
      </c>
      <c r="N27" s="50">
        <v>7.90</v>
      </c>
      <c r="O27" s="50">
        <v>0</v>
      </c>
      <c r="P27" s="50">
        <v>0.39</v>
      </c>
      <c r="Q27" s="50">
        <v>40.950000000000003</v>
      </c>
      <c r="R27" s="43"/>
      <c r="S27" s="43"/>
      <c r="T27" s="43"/>
      <c r="U27" s="43"/>
    </row>
    <row r="28" spans="1:21" s="11" customFormat="1" ht="15">
      <c r="A28" s="49" t="s">
        <v>562</v>
      </c>
      <c r="B28" s="50">
        <v>6.92</v>
      </c>
      <c r="C28" s="50">
        <v>60.75</v>
      </c>
      <c r="D28" s="50">
        <v>40.44</v>
      </c>
      <c r="E28" s="50">
        <v>1.92</v>
      </c>
      <c r="F28" s="50">
        <v>4.22</v>
      </c>
      <c r="G28" s="50">
        <v>33.21</v>
      </c>
      <c r="H28" s="50">
        <v>13.97</v>
      </c>
      <c r="I28" s="50">
        <v>0.55000000000000004</v>
      </c>
      <c r="J28" s="50">
        <v>0.95</v>
      </c>
      <c r="K28" s="50">
        <v>190.96</v>
      </c>
      <c r="L28" s="50">
        <v>22.92</v>
      </c>
      <c r="M28" s="50">
        <v>70.23</v>
      </c>
      <c r="N28" s="50">
        <v>5.20</v>
      </c>
      <c r="O28" s="50">
        <v>0</v>
      </c>
      <c r="P28" s="50">
        <v>0.47</v>
      </c>
      <c r="Q28" s="50">
        <v>46.42</v>
      </c>
      <c r="R28" s="43"/>
      <c r="S28" s="43"/>
      <c r="T28" s="43"/>
      <c r="U28" s="43"/>
    </row>
    <row r="29" spans="1:21" s="11" customFormat="1" ht="15">
      <c r="A29" s="49" t="s">
        <v>563</v>
      </c>
      <c r="B29" s="50">
        <v>11.99</v>
      </c>
      <c r="C29" s="50">
        <v>53.87</v>
      </c>
      <c r="D29" s="50">
        <v>39.83</v>
      </c>
      <c r="E29" s="50">
        <v>2.72</v>
      </c>
      <c r="F29" s="50">
        <v>4.21</v>
      </c>
      <c r="G29" s="50">
        <v>33.200000000000003</v>
      </c>
      <c r="H29" s="50">
        <v>11.07</v>
      </c>
      <c r="I29" s="50">
        <v>0.54</v>
      </c>
      <c r="J29" s="50">
        <v>0.79</v>
      </c>
      <c r="K29" s="50">
        <v>263.06</v>
      </c>
      <c r="L29" s="50">
        <v>22.12</v>
      </c>
      <c r="M29" s="50">
        <v>75.819999999999993</v>
      </c>
      <c r="N29" s="50">
        <v>5</v>
      </c>
      <c r="O29" s="50">
        <v>0</v>
      </c>
      <c r="P29" s="50">
        <v>0.60</v>
      </c>
      <c r="Q29" s="50">
        <v>45.18</v>
      </c>
      <c r="R29" s="43"/>
      <c r="S29" s="43"/>
      <c r="T29" s="43"/>
      <c r="U29" s="43"/>
    </row>
    <row r="30" spans="1:21" s="11" customFormat="1" ht="15">
      <c r="A30" s="49" t="s">
        <v>564</v>
      </c>
      <c r="B30" s="50">
        <v>19.760000000000002</v>
      </c>
      <c r="C30" s="50">
        <v>60.01</v>
      </c>
      <c r="D30" s="50">
        <v>49.47</v>
      </c>
      <c r="E30" s="50">
        <v>3.99</v>
      </c>
      <c r="F30" s="50">
        <v>2.66</v>
      </c>
      <c r="G30" s="50">
        <v>48.53</v>
      </c>
      <c r="H30" s="50">
        <v>13.23</v>
      </c>
      <c r="I30" s="50">
        <v>0.59</v>
      </c>
      <c r="J30" s="50">
        <v>1.53</v>
      </c>
      <c r="K30" s="50">
        <v>98.19</v>
      </c>
      <c r="L30" s="50">
        <v>21.55</v>
      </c>
      <c r="M30" s="50">
        <v>71.81</v>
      </c>
      <c r="N30" s="50">
        <v>5.0999999999999996</v>
      </c>
      <c r="O30" s="50">
        <v>0</v>
      </c>
      <c r="P30" s="50">
        <v>0.88</v>
      </c>
      <c r="Q30" s="50">
        <v>42.70</v>
      </c>
      <c r="R30" s="43"/>
      <c r="S30" s="43"/>
      <c r="T30" s="43"/>
      <c r="U30" s="43"/>
    </row>
    <row r="31" spans="1:21" s="11" customFormat="1" ht="15">
      <c r="A31" s="49" t="s">
        <v>565</v>
      </c>
      <c r="B31" s="50">
        <v>20.14</v>
      </c>
      <c r="C31" s="50">
        <v>57.59</v>
      </c>
      <c r="D31" s="50">
        <v>49.68</v>
      </c>
      <c r="E31" s="50">
        <v>3.57</v>
      </c>
      <c r="F31" s="50">
        <v>2.0099999999999998</v>
      </c>
      <c r="G31" s="50">
        <v>63.96</v>
      </c>
      <c r="H31" s="50">
        <v>16.20</v>
      </c>
      <c r="I31" s="50">
        <v>0.61</v>
      </c>
      <c r="J31" s="50">
        <v>1.03</v>
      </c>
      <c r="K31" s="50">
        <v>119.72</v>
      </c>
      <c r="L31" s="50">
        <v>20.65</v>
      </c>
      <c r="M31" s="50">
        <v>68.47</v>
      </c>
      <c r="N31" s="50">
        <v>4.9000000000000004</v>
      </c>
      <c r="O31" s="50">
        <v>0</v>
      </c>
      <c r="P31" s="50">
        <v>0.87</v>
      </c>
      <c r="Q31" s="50">
        <v>50.41</v>
      </c>
      <c r="R31" s="43"/>
      <c r="S31" s="43"/>
      <c r="T31" s="43"/>
      <c r="U31" s="43"/>
    </row>
    <row r="32" spans="1:21" s="11" customFormat="1" ht="15">
      <c r="A32" s="49" t="s">
        <v>566</v>
      </c>
      <c r="B32" s="50">
        <v>19.649999999999999</v>
      </c>
      <c r="C32" s="50">
        <v>53.08</v>
      </c>
      <c r="D32" s="50">
        <v>45.55</v>
      </c>
      <c r="E32" s="50">
        <v>3.12</v>
      </c>
      <c r="F32" s="50">
        <v>1.65</v>
      </c>
      <c r="G32" s="50">
        <v>63.81</v>
      </c>
      <c r="H32" s="50">
        <v>16.20</v>
      </c>
      <c r="I32" s="50">
        <v>0.63</v>
      </c>
      <c r="J32" s="50">
        <v>1.66</v>
      </c>
      <c r="K32" s="50">
        <v>221.37</v>
      </c>
      <c r="L32" s="50">
        <v>20.28</v>
      </c>
      <c r="M32" s="50">
        <v>72.400000000000006</v>
      </c>
      <c r="N32" s="50">
        <v>5</v>
      </c>
      <c r="O32" s="50">
        <v>0</v>
      </c>
      <c r="P32" s="50">
        <v>0.82</v>
      </c>
      <c r="Q32" s="50">
        <v>52.09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4.25</v>
      </c>
      <c r="C34" s="28">
        <f t="shared" si="0"/>
        <v>38.289999999999999</v>
      </c>
      <c r="D34" s="28">
        <f t="shared" si="0"/>
        <v>26.010000000000002</v>
      </c>
      <c r="E34" s="28">
        <f t="shared" si="0"/>
        <v>1.79</v>
      </c>
      <c r="F34" s="28">
        <f t="shared" si="0"/>
        <v>1.47</v>
      </c>
      <c r="G34" s="28">
        <f t="shared" si="0"/>
        <v>17.079999999999998</v>
      </c>
      <c r="H34" s="28">
        <f t="shared" si="0"/>
        <v>10.960000000000001</v>
      </c>
      <c r="I34" s="28">
        <f t="shared" si="0"/>
        <v>0.52000000000000002</v>
      </c>
      <c r="J34" s="28">
        <f t="shared" si="0"/>
        <v>0.16</v>
      </c>
      <c r="K34" s="28">
        <f t="shared" si="0"/>
        <v>94.569999999999993</v>
      </c>
      <c r="L34" s="28">
        <f t="shared" si="0"/>
        <v>16.260000000000002</v>
      </c>
      <c r="M34" s="28">
        <f t="shared" si="0"/>
        <v>49.979999999999997</v>
      </c>
      <c r="N34" s="28">
        <f t="shared" si="0"/>
        <v>4.7999999999999998</v>
      </c>
      <c r="O34" s="28">
        <f t="shared" si="0"/>
        <v>0</v>
      </c>
      <c r="P34" s="28">
        <f t="shared" si="0"/>
        <v>0.34000000000000002</v>
      </c>
      <c r="Q34" s="28">
        <f t="shared" si="0"/>
        <v>40.950000000000003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86.609999999999999</v>
      </c>
      <c r="C35" s="29">
        <f t="shared" si="1"/>
        <v>65.420000000000002</v>
      </c>
      <c r="D35" s="29">
        <f t="shared" si="1"/>
        <v>107.3</v>
      </c>
      <c r="E35" s="29">
        <f t="shared" si="1"/>
        <v>3.9900000000000002</v>
      </c>
      <c r="F35" s="29">
        <f t="shared" si="1"/>
        <v>13.91</v>
      </c>
      <c r="G35" s="29">
        <f t="shared" si="1"/>
        <v>119.84</v>
      </c>
      <c r="H35" s="29">
        <f t="shared" si="1"/>
        <v>30.41</v>
      </c>
      <c r="I35" s="29">
        <f t="shared" si="1"/>
        <v>0.91000000000000003</v>
      </c>
      <c r="J35" s="29">
        <f t="shared" si="1"/>
        <v>3.0800000000000001</v>
      </c>
      <c r="K35" s="29">
        <f t="shared" si="1"/>
        <v>356.94999999999999</v>
      </c>
      <c r="L35" s="29">
        <f t="shared" si="1"/>
        <v>27.559999999999999</v>
      </c>
      <c r="M35" s="29">
        <f t="shared" si="1"/>
        <v>91.909999999999997</v>
      </c>
      <c r="N35" s="29">
        <f t="shared" si="1"/>
        <v>891.29999999999995</v>
      </c>
      <c r="O35" s="29">
        <f t="shared" si="1"/>
        <v>0.40000000000000002</v>
      </c>
      <c r="P35" s="29">
        <f t="shared" si="1"/>
        <v>1.78</v>
      </c>
      <c r="Q35" s="29">
        <f t="shared" si="1"/>
        <v>52.090000000000003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25.028749999999999</v>
      </c>
      <c r="C36" s="28">
        <f t="shared" si="2"/>
        <v>54.177916666666654</v>
      </c>
      <c r="D36" s="28">
        <f t="shared" si="2"/>
        <v>51.024166666666673</v>
      </c>
      <c r="E36" s="28">
        <f t="shared" si="2"/>
        <v>2.5479166666666666</v>
      </c>
      <c r="F36" s="28">
        <f t="shared" si="2"/>
        <v>4.0829166666666659</v>
      </c>
      <c r="G36" s="28">
        <f t="shared" si="2"/>
        <v>45.509130434782612</v>
      </c>
      <c r="H36" s="28">
        <f t="shared" si="2"/>
        <v>17.323478260869564</v>
      </c>
      <c r="I36" s="28">
        <f t="shared" si="2"/>
        <v>0.64124999999999976</v>
      </c>
      <c r="J36" s="28">
        <f t="shared" si="2"/>
        <v>1.2004166666666667</v>
      </c>
      <c r="K36" s="28">
        <f t="shared" si="2"/>
        <v>211.01625000000001</v>
      </c>
      <c r="L36" s="28">
        <f t="shared" si="2"/>
        <v>21.437083333333334</v>
      </c>
      <c r="M36" s="28">
        <f t="shared" si="2"/>
        <v>70.966250000000002</v>
      </c>
      <c r="N36" s="28">
        <f t="shared" si="2"/>
        <v>238.01249999999996</v>
      </c>
      <c r="O36" s="28">
        <f t="shared" si="2"/>
        <v>0.058333333333333327</v>
      </c>
      <c r="P36" s="28">
        <f t="shared" si="2"/>
        <v>0.75124999999999986</v>
      </c>
      <c r="Q36" s="28">
        <f t="shared" si="2"/>
        <v>46.293333333333329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25.638256623986575</v>
      </c>
      <c r="C37" s="28">
        <f t="shared" si="3" ref="C37:Q37">STDEV(C9:C32)</f>
        <v>5.639289948494385</v>
      </c>
      <c r="D37" s="28">
        <f t="shared" si="3"/>
        <v>21.694039838000528</v>
      </c>
      <c r="E37" s="28">
        <f t="shared" si="3"/>
        <v>0.5534710955625306</v>
      </c>
      <c r="F37" s="28">
        <f t="shared" si="3"/>
        <v>3.4107011636225533</v>
      </c>
      <c r="G37" s="28">
        <f t="shared" si="3"/>
        <v>23.244237196471929</v>
      </c>
      <c r="H37" s="28">
        <f t="shared" si="3"/>
        <v>5.9253796262699554</v>
      </c>
      <c r="I37" s="28">
        <f t="shared" si="3"/>
        <v>0.13456249558250502</v>
      </c>
      <c r="J37" s="28">
        <f t="shared" si="3"/>
        <v>0.76922591902038295</v>
      </c>
      <c r="K37" s="28">
        <f t="shared" si="3"/>
        <v>92.223772980275555</v>
      </c>
      <c r="L37" s="28">
        <f t="shared" si="3"/>
        <v>3.2346621074349318</v>
      </c>
      <c r="M37" s="28">
        <f t="shared" si="3"/>
        <v>11.887389303649567</v>
      </c>
      <c r="N37" s="28">
        <f t="shared" si="3"/>
        <v>334.32195276084713</v>
      </c>
      <c r="O37" s="28">
        <f t="shared" si="3"/>
        <v>0.13805061033727001</v>
      </c>
      <c r="P37" s="28">
        <f t="shared" si="3"/>
        <v>0.42417503052600747</v>
      </c>
      <c r="Q37" s="28">
        <f t="shared" si="3"/>
        <v>2.8413065988038348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23</v>
      </c>
      <c r="H38" s="32">
        <f t="shared" si="4"/>
        <v>23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60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33c9e2c-aa7a-4789-8af5-745f5a983e1d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E51" sqref="E51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22-03-2023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1" t="s">
        <v>58</v>
      </c>
      <c r="C7" s="51" t="s">
        <v>43</v>
      </c>
      <c r="D7" s="51" t="s">
        <v>44</v>
      </c>
      <c r="E7" s="51" t="s">
        <v>45</v>
      </c>
      <c r="F7" s="51" t="s">
        <v>46</v>
      </c>
      <c r="G7" s="51" t="s">
        <v>47</v>
      </c>
      <c r="H7" s="51" t="s">
        <v>48</v>
      </c>
      <c r="I7" s="51" t="s">
        <v>49</v>
      </c>
      <c r="J7" s="51" t="s">
        <v>50</v>
      </c>
      <c r="K7" s="51" t="s">
        <v>51</v>
      </c>
      <c r="L7" s="51" t="s">
        <v>52</v>
      </c>
      <c r="M7" s="51" t="s">
        <v>53</v>
      </c>
      <c r="N7" s="51" t="s">
        <v>54</v>
      </c>
      <c r="O7" s="51" t="s">
        <v>55</v>
      </c>
      <c r="P7" s="51" t="s">
        <v>56</v>
      </c>
      <c r="Q7" s="51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62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49" t="s">
        <v>567</v>
      </c>
      <c r="B9" s="50">
        <v>17.27</v>
      </c>
      <c r="C9" s="50">
        <v>51.31</v>
      </c>
      <c r="D9" s="50">
        <v>43.90</v>
      </c>
      <c r="E9" s="50">
        <v>1.84</v>
      </c>
      <c r="F9" s="50">
        <v>2.1800000000000002</v>
      </c>
      <c r="G9" s="50">
        <v>50.45</v>
      </c>
      <c r="H9" s="50">
        <v>15.81</v>
      </c>
      <c r="I9" s="50">
        <v>0.62</v>
      </c>
      <c r="J9" s="50">
        <v>0.66</v>
      </c>
      <c r="K9" s="50">
        <v>348.16</v>
      </c>
      <c r="L9" s="50">
        <v>19.649999999999999</v>
      </c>
      <c r="M9" s="50">
        <v>76.83</v>
      </c>
      <c r="N9" s="50">
        <v>5</v>
      </c>
      <c r="O9" s="50">
        <v>0</v>
      </c>
      <c r="P9" s="50">
        <v>0.75</v>
      </c>
      <c r="Q9" s="50">
        <v>49.62</v>
      </c>
      <c r="R9" s="43"/>
      <c r="S9" s="43"/>
      <c r="T9" s="43"/>
      <c r="U9" s="43"/>
    </row>
    <row r="10" spans="1:21" s="11" customFormat="1" ht="15">
      <c r="A10" s="49" t="s">
        <v>568</v>
      </c>
      <c r="B10" s="50">
        <v>15.87</v>
      </c>
      <c r="C10" s="50">
        <v>48.51</v>
      </c>
      <c r="D10" s="50">
        <v>40.369999999999997</v>
      </c>
      <c r="E10" s="50">
        <v>1.62</v>
      </c>
      <c r="F10" s="50">
        <v>2.1800000000000002</v>
      </c>
      <c r="G10" s="50">
        <v>37.79</v>
      </c>
      <c r="H10" s="50">
        <v>13.15</v>
      </c>
      <c r="I10" s="50">
        <v>0.60</v>
      </c>
      <c r="J10" s="50">
        <v>1.57</v>
      </c>
      <c r="K10" s="50">
        <v>356.56</v>
      </c>
      <c r="L10" s="50">
        <v>18.87</v>
      </c>
      <c r="M10" s="50">
        <v>80.97</v>
      </c>
      <c r="N10" s="50">
        <v>5.0999999999999996</v>
      </c>
      <c r="O10" s="50">
        <v>0</v>
      </c>
      <c r="P10" s="50">
        <v>0.65</v>
      </c>
      <c r="Q10" s="50">
        <v>45.25</v>
      </c>
      <c r="R10" s="43"/>
      <c r="S10" s="43"/>
      <c r="T10" s="43"/>
      <c r="U10" s="43"/>
    </row>
    <row r="11" spans="1:21" s="11" customFormat="1" ht="15">
      <c r="A11" s="49" t="s">
        <v>569</v>
      </c>
      <c r="B11" s="50">
        <v>13.70</v>
      </c>
      <c r="C11" s="50">
        <v>53.93</v>
      </c>
      <c r="D11" s="50">
        <v>41.62</v>
      </c>
      <c r="E11" s="50">
        <v>1.64</v>
      </c>
      <c r="F11" s="50">
        <v>1.91</v>
      </c>
      <c r="G11" s="50">
        <v>41.68</v>
      </c>
      <c r="H11" s="50">
        <v>18.440000000000001</v>
      </c>
      <c r="I11" s="50">
        <v>0.60</v>
      </c>
      <c r="J11" s="50">
        <v>1.81</v>
      </c>
      <c r="K11" s="50">
        <v>28.74</v>
      </c>
      <c r="L11" s="50">
        <v>18.559999999999999</v>
      </c>
      <c r="M11" s="50">
        <v>76.69</v>
      </c>
      <c r="N11" s="50">
        <v>5.0999999999999996</v>
      </c>
      <c r="O11" s="50">
        <v>0</v>
      </c>
      <c r="P11" s="50">
        <v>0.62</v>
      </c>
      <c r="Q11" s="50">
        <v>46.29</v>
      </c>
      <c r="R11" s="43"/>
      <c r="S11" s="43"/>
      <c r="T11" s="43"/>
      <c r="U11" s="43"/>
    </row>
    <row r="12" spans="1:21" s="11" customFormat="1" ht="15">
      <c r="A12" s="49" t="s">
        <v>570</v>
      </c>
      <c r="B12" s="50">
        <v>10.88</v>
      </c>
      <c r="C12" s="50">
        <v>46.51</v>
      </c>
      <c r="D12" s="50">
        <v>36.10</v>
      </c>
      <c r="E12" s="50">
        <v>1.58</v>
      </c>
      <c r="F12" s="50">
        <v>1.46</v>
      </c>
      <c r="G12" s="50">
        <v>49.26</v>
      </c>
      <c r="H12" s="50">
        <v>18.43</v>
      </c>
      <c r="I12" s="50">
        <v>0.55000000000000004</v>
      </c>
      <c r="J12" s="50">
        <v>0.71</v>
      </c>
      <c r="K12" s="50">
        <v>99.11</v>
      </c>
      <c r="L12" s="50">
        <v>17.899999999999999</v>
      </c>
      <c r="M12" s="50">
        <v>76.08</v>
      </c>
      <c r="N12" s="50">
        <v>5</v>
      </c>
      <c r="O12" s="50">
        <v>0</v>
      </c>
      <c r="P12" s="50">
        <v>0.59</v>
      </c>
      <c r="Q12" s="50">
        <v>49.02</v>
      </c>
      <c r="R12" s="43"/>
      <c r="S12" s="43"/>
      <c r="T12" s="43"/>
      <c r="U12" s="43"/>
    </row>
    <row r="13" spans="1:21" s="11" customFormat="1" ht="15">
      <c r="A13" s="49" t="s">
        <v>571</v>
      </c>
      <c r="B13" s="50">
        <v>11.78</v>
      </c>
      <c r="C13" s="50">
        <v>57.04</v>
      </c>
      <c r="D13" s="50">
        <v>42.37</v>
      </c>
      <c r="E13" s="50">
        <v>2.09</v>
      </c>
      <c r="F13" s="50">
        <v>1.38</v>
      </c>
      <c r="G13" s="50">
        <v>49.13</v>
      </c>
      <c r="H13" s="50">
        <v>17.38</v>
      </c>
      <c r="I13" s="50">
        <v>0.56999999999999995</v>
      </c>
      <c r="J13" s="50">
        <v>1.29</v>
      </c>
      <c r="K13" s="50">
        <v>108.81</v>
      </c>
      <c r="L13" s="50">
        <v>17.64</v>
      </c>
      <c r="M13" s="50">
        <v>75.959999999999994</v>
      </c>
      <c r="N13" s="50">
        <v>4.70</v>
      </c>
      <c r="O13" s="50">
        <v>0</v>
      </c>
      <c r="P13" s="50">
        <v>0.55000000000000004</v>
      </c>
      <c r="Q13" s="50">
        <v>49.54</v>
      </c>
      <c r="R13" s="43"/>
      <c r="S13" s="43"/>
      <c r="T13" s="43"/>
      <c r="U13" s="43"/>
    </row>
    <row r="14" spans="1:21" s="11" customFormat="1" ht="15">
      <c r="A14" s="49" t="s">
        <v>572</v>
      </c>
      <c r="B14" s="50">
        <v>12.41</v>
      </c>
      <c r="C14" s="50">
        <v>52.95</v>
      </c>
      <c r="D14" s="50">
        <v>40.56</v>
      </c>
      <c r="E14" s="50">
        <v>2.08</v>
      </c>
      <c r="F14" s="50">
        <v>1.77</v>
      </c>
      <c r="G14" s="50">
        <v>37.35</v>
      </c>
      <c r="H14" s="50">
        <v>14.04</v>
      </c>
      <c r="I14" s="50">
        <v>0.57999999999999996</v>
      </c>
      <c r="J14" s="50">
        <v>1.23</v>
      </c>
      <c r="K14" s="50">
        <v>119.57</v>
      </c>
      <c r="L14" s="50">
        <v>17.77</v>
      </c>
      <c r="M14" s="50">
        <v>73.92</v>
      </c>
      <c r="N14" s="50">
        <v>6.10</v>
      </c>
      <c r="O14" s="50">
        <v>0</v>
      </c>
      <c r="P14" s="50">
        <v>0.49</v>
      </c>
      <c r="Q14" s="50">
        <v>51.91</v>
      </c>
      <c r="R14" s="43"/>
      <c r="S14" s="43"/>
      <c r="T14" s="43"/>
      <c r="U14" s="43"/>
    </row>
    <row r="15" spans="1:21" s="11" customFormat="1" ht="15">
      <c r="A15" s="49" t="s">
        <v>573</v>
      </c>
      <c r="B15" s="50">
        <v>14.21</v>
      </c>
      <c r="C15" s="50">
        <v>45.34</v>
      </c>
      <c r="D15" s="50">
        <v>38.159999999999997</v>
      </c>
      <c r="E15" s="50">
        <v>2.11</v>
      </c>
      <c r="F15" s="50">
        <v>1.63</v>
      </c>
      <c r="G15" s="50">
        <v>28.07</v>
      </c>
      <c r="H15" s="50">
        <v>13.08</v>
      </c>
      <c r="I15" s="50">
        <v>0.56999999999999995</v>
      </c>
      <c r="J15" s="50">
        <v>0.95</v>
      </c>
      <c r="K15" s="50">
        <v>118.84</v>
      </c>
      <c r="L15" s="50">
        <v>18.5</v>
      </c>
      <c r="M15" s="50">
        <v>72.989999999999995</v>
      </c>
      <c r="N15" s="50">
        <v>66.900000000000006</v>
      </c>
      <c r="O15" s="50">
        <v>0</v>
      </c>
      <c r="P15" s="50">
        <v>0.45</v>
      </c>
      <c r="Q15" s="50">
        <v>54.24</v>
      </c>
      <c r="R15" s="43"/>
      <c r="S15" s="43"/>
      <c r="T15" s="43"/>
      <c r="U15" s="43"/>
    </row>
    <row r="16" spans="1:21" s="11" customFormat="1" ht="15">
      <c r="A16" s="49" t="s">
        <v>574</v>
      </c>
      <c r="B16" s="50">
        <v>15.23</v>
      </c>
      <c r="C16" s="50">
        <v>56.05</v>
      </c>
      <c r="D16" s="50">
        <v>44.88</v>
      </c>
      <c r="E16" s="50">
        <v>2.12</v>
      </c>
      <c r="F16" s="50">
        <v>1.71</v>
      </c>
      <c r="G16" s="50">
        <v>30.03</v>
      </c>
      <c r="H16" s="50">
        <v>11.99</v>
      </c>
      <c r="I16" s="50">
        <v>0.54</v>
      </c>
      <c r="J16" s="50">
        <v>1.53</v>
      </c>
      <c r="K16" s="50">
        <v>117.61</v>
      </c>
      <c r="L16" s="50">
        <v>19.78</v>
      </c>
      <c r="M16" s="50">
        <v>72.62</v>
      </c>
      <c r="N16" s="50">
        <v>205</v>
      </c>
      <c r="O16" s="50">
        <v>0</v>
      </c>
      <c r="P16" s="50">
        <v>0.45</v>
      </c>
      <c r="Q16" s="50">
        <v>52.62</v>
      </c>
      <c r="R16" s="43"/>
      <c r="S16" s="43"/>
      <c r="T16" s="43"/>
      <c r="U16" s="43"/>
    </row>
    <row r="17" spans="1:21" s="11" customFormat="1" ht="15">
      <c r="A17" s="49" t="s">
        <v>575</v>
      </c>
      <c r="B17" s="50">
        <v>14.89</v>
      </c>
      <c r="C17" s="50">
        <v>59.51</v>
      </c>
      <c r="D17" s="50">
        <v>46.52</v>
      </c>
      <c r="E17" s="50">
        <v>2.19</v>
      </c>
      <c r="F17" s="50">
        <v>2.52</v>
      </c>
      <c r="G17" s="50">
        <v>29.99</v>
      </c>
      <c r="H17" s="50">
        <v>13.70</v>
      </c>
      <c r="I17" s="50">
        <v>0.56999999999999995</v>
      </c>
      <c r="J17" s="50">
        <v>0.91</v>
      </c>
      <c r="K17" s="50">
        <v>120.71</v>
      </c>
      <c r="L17" s="50">
        <v>21.71</v>
      </c>
      <c r="M17" s="50">
        <v>71.81</v>
      </c>
      <c r="N17" s="50">
        <v>466.70</v>
      </c>
      <c r="O17" s="50">
        <v>0</v>
      </c>
      <c r="P17" s="50">
        <v>0.45</v>
      </c>
      <c r="Q17" s="50">
        <v>52.45</v>
      </c>
      <c r="R17" s="43"/>
      <c r="S17" s="43"/>
      <c r="T17" s="43"/>
      <c r="U17" s="43"/>
    </row>
    <row r="18" spans="1:21" s="11" customFormat="1" ht="15">
      <c r="A18" s="49" t="s">
        <v>576</v>
      </c>
      <c r="B18" s="50">
        <v>13.85</v>
      </c>
      <c r="C18" s="50">
        <v>56.45</v>
      </c>
      <c r="D18" s="50">
        <v>43.83</v>
      </c>
      <c r="E18" s="50">
        <v>2.41</v>
      </c>
      <c r="F18" s="50">
        <v>3.28</v>
      </c>
      <c r="G18" s="50">
        <v>30.86</v>
      </c>
      <c r="H18" s="50">
        <v>13.69</v>
      </c>
      <c r="I18" s="50">
        <v>0.56999999999999995</v>
      </c>
      <c r="J18" s="50">
        <v>0.68</v>
      </c>
      <c r="K18" s="50">
        <v>176.59</v>
      </c>
      <c r="L18" s="50">
        <v>24.47</v>
      </c>
      <c r="M18" s="50">
        <v>63.63</v>
      </c>
      <c r="N18" s="50">
        <v>738.40</v>
      </c>
      <c r="O18" s="50">
        <v>0</v>
      </c>
      <c r="P18" s="50">
        <v>0.44</v>
      </c>
      <c r="Q18" s="50">
        <v>56.20</v>
      </c>
      <c r="R18" s="43"/>
      <c r="S18" s="43"/>
      <c r="T18" s="43"/>
      <c r="U18" s="43"/>
    </row>
    <row r="19" spans="1:21" s="11" customFormat="1" ht="15">
      <c r="A19" s="49" t="s">
        <v>577</v>
      </c>
      <c r="B19" s="50">
        <v>11.17</v>
      </c>
      <c r="C19" s="50">
        <v>54.86</v>
      </c>
      <c r="D19" s="50">
        <v>40.26</v>
      </c>
      <c r="E19" s="50">
        <v>2.2999999999999998</v>
      </c>
      <c r="F19" s="50">
        <v>24.15</v>
      </c>
      <c r="G19" s="50">
        <v>30.86</v>
      </c>
      <c r="H19" s="50">
        <v>13.09</v>
      </c>
      <c r="I19" s="50">
        <v>0.56999999999999995</v>
      </c>
      <c r="J19" s="50">
        <v>0.70</v>
      </c>
      <c r="K19" s="50">
        <v>209.55</v>
      </c>
      <c r="L19" s="50">
        <v>26.65</v>
      </c>
      <c r="M19" s="50">
        <v>55.94</v>
      </c>
      <c r="N19" s="50">
        <v>817.5</v>
      </c>
      <c r="O19" s="50">
        <v>0</v>
      </c>
      <c r="P19" s="50">
        <v>0.43</v>
      </c>
      <c r="Q19" s="50">
        <v>54.01</v>
      </c>
      <c r="R19" s="43"/>
      <c r="S19" s="43"/>
      <c r="T19" s="43"/>
      <c r="U19" s="43"/>
    </row>
    <row r="20" spans="1:21" s="11" customFormat="1" ht="15">
      <c r="A20" s="49" t="s">
        <v>578</v>
      </c>
      <c r="B20" s="50">
        <v>3.63</v>
      </c>
      <c r="C20" s="50">
        <v>28.10</v>
      </c>
      <c r="D20" s="50">
        <v>20.16</v>
      </c>
      <c r="E20" s="50">
        <v>1.61</v>
      </c>
      <c r="F20" s="50">
        <v>11.09</v>
      </c>
      <c r="G20" s="50">
        <v>27.22</v>
      </c>
      <c r="H20" s="50">
        <v>11.84</v>
      </c>
      <c r="I20" s="50">
        <v>0.47</v>
      </c>
      <c r="J20" s="50">
        <v>1.23</v>
      </c>
      <c r="K20" s="50">
        <v>207.69</v>
      </c>
      <c r="L20" s="50">
        <v>26.82</v>
      </c>
      <c r="M20" s="50">
        <v>49.04</v>
      </c>
      <c r="N20" s="50">
        <v>716.30</v>
      </c>
      <c r="O20" s="50">
        <v>0</v>
      </c>
      <c r="P20" s="50">
        <v>0.31</v>
      </c>
      <c r="Q20" s="50">
        <v>43.95</v>
      </c>
      <c r="R20" s="43"/>
      <c r="S20" s="43"/>
      <c r="T20" s="43"/>
      <c r="U20" s="43"/>
    </row>
    <row r="21" spans="1:21" s="11" customFormat="1" ht="15">
      <c r="A21" s="49" t="s">
        <v>579</v>
      </c>
      <c r="B21" s="50">
        <v>7.78</v>
      </c>
      <c r="C21" s="50">
        <v>39.53</v>
      </c>
      <c r="D21" s="50">
        <v>28.53</v>
      </c>
      <c r="E21" s="50">
        <v>3.29</v>
      </c>
      <c r="F21" s="50">
        <v>14.09</v>
      </c>
      <c r="G21" s="50">
        <v>19.739999999999998</v>
      </c>
      <c r="H21" s="50">
        <v>11.58</v>
      </c>
      <c r="I21" s="50">
        <v>0.48</v>
      </c>
      <c r="J21" s="50">
        <v>0.47</v>
      </c>
      <c r="K21" s="50">
        <v>343.70</v>
      </c>
      <c r="L21" s="50">
        <v>30.34</v>
      </c>
      <c r="M21" s="50">
        <v>48.66</v>
      </c>
      <c r="N21" s="50">
        <v>790.5</v>
      </c>
      <c r="O21" s="50">
        <v>0</v>
      </c>
      <c r="P21" s="50">
        <v>0.35</v>
      </c>
      <c r="Q21" s="50">
        <v>43.26</v>
      </c>
      <c r="R21" s="43"/>
      <c r="S21" s="43"/>
      <c r="T21" s="43"/>
      <c r="U21" s="43"/>
    </row>
    <row r="22" spans="1:21" s="11" customFormat="1" ht="15">
      <c r="A22" s="49" t="s">
        <v>580</v>
      </c>
      <c r="B22" s="50">
        <v>6.41</v>
      </c>
      <c r="C22" s="50">
        <v>49.76</v>
      </c>
      <c r="D22" s="50">
        <v>32.950000000000003</v>
      </c>
      <c r="E22" s="50">
        <v>2.95</v>
      </c>
      <c r="F22" s="50">
        <v>8.59</v>
      </c>
      <c r="G22" s="52" t="s">
        <v>8</v>
      </c>
      <c r="H22" s="52" t="s">
        <v>8</v>
      </c>
      <c r="I22" s="50">
        <v>0.51</v>
      </c>
      <c r="J22" s="50">
        <v>0.56999999999999995</v>
      </c>
      <c r="K22" s="50">
        <v>358.16</v>
      </c>
      <c r="L22" s="50">
        <v>32.03</v>
      </c>
      <c r="M22" s="50">
        <v>39.25</v>
      </c>
      <c r="N22" s="50">
        <v>838.40</v>
      </c>
      <c r="O22" s="50">
        <v>0</v>
      </c>
      <c r="P22" s="50">
        <v>0.44</v>
      </c>
      <c r="Q22" s="50">
        <v>46.77</v>
      </c>
      <c r="R22" s="43"/>
      <c r="S22" s="43"/>
      <c r="T22" s="43"/>
      <c r="U22" s="43"/>
    </row>
    <row r="23" spans="1:21" s="11" customFormat="1" ht="15">
      <c r="A23" s="49" t="s">
        <v>581</v>
      </c>
      <c r="B23" s="50">
        <v>4.54</v>
      </c>
      <c r="C23" s="50">
        <v>51.58</v>
      </c>
      <c r="D23" s="50">
        <v>33.75</v>
      </c>
      <c r="E23" s="50">
        <v>2.74</v>
      </c>
      <c r="F23" s="50">
        <v>8.10</v>
      </c>
      <c r="G23" s="50">
        <v>51.39</v>
      </c>
      <c r="H23" s="50">
        <v>18.61</v>
      </c>
      <c r="I23" s="50">
        <v>0.52</v>
      </c>
      <c r="J23" s="50">
        <v>0.96</v>
      </c>
      <c r="K23" s="50">
        <v>345.42</v>
      </c>
      <c r="L23" s="50">
        <v>31.81</v>
      </c>
      <c r="M23" s="50">
        <v>36.96</v>
      </c>
      <c r="N23" s="50">
        <v>686.70</v>
      </c>
      <c r="O23" s="50">
        <v>0</v>
      </c>
      <c r="P23" s="50">
        <v>0.57999999999999996</v>
      </c>
      <c r="Q23" s="50">
        <v>48.18</v>
      </c>
      <c r="R23" s="43"/>
      <c r="S23" s="43"/>
      <c r="T23" s="43"/>
      <c r="U23" s="43"/>
    </row>
    <row r="24" spans="1:21" s="11" customFormat="1" ht="15">
      <c r="A24" s="49" t="s">
        <v>582</v>
      </c>
      <c r="B24" s="50">
        <v>5.03</v>
      </c>
      <c r="C24" s="50">
        <v>49.07</v>
      </c>
      <c r="D24" s="50">
        <v>32.85</v>
      </c>
      <c r="E24" s="50">
        <v>2.63</v>
      </c>
      <c r="F24" s="50">
        <v>7.54</v>
      </c>
      <c r="G24" s="50">
        <v>55.08</v>
      </c>
      <c r="H24" s="50">
        <v>22.38</v>
      </c>
      <c r="I24" s="50">
        <v>0.53</v>
      </c>
      <c r="J24" s="50">
        <v>3.16</v>
      </c>
      <c r="K24" s="50">
        <v>359.18</v>
      </c>
      <c r="L24" s="50">
        <v>28.87</v>
      </c>
      <c r="M24" s="50">
        <v>44.73</v>
      </c>
      <c r="N24" s="50">
        <v>164.70</v>
      </c>
      <c r="O24" s="50">
        <v>0</v>
      </c>
      <c r="P24" s="50">
        <v>0.60</v>
      </c>
      <c r="Q24" s="50">
        <v>43.14</v>
      </c>
      <c r="R24" s="43"/>
      <c r="S24" s="43"/>
      <c r="T24" s="43"/>
      <c r="U24" s="43"/>
    </row>
    <row r="25" spans="1:21" s="11" customFormat="1" ht="15">
      <c r="A25" s="49" t="s">
        <v>583</v>
      </c>
      <c r="B25" s="50">
        <v>6.33</v>
      </c>
      <c r="C25" s="50">
        <v>70.87</v>
      </c>
      <c r="D25" s="50">
        <v>45.92</v>
      </c>
      <c r="E25" s="50">
        <v>3.08</v>
      </c>
      <c r="F25" s="50">
        <v>5.96</v>
      </c>
      <c r="G25" s="50">
        <v>67.819999999999993</v>
      </c>
      <c r="H25" s="50">
        <v>22.56</v>
      </c>
      <c r="I25" s="50">
        <v>0.52</v>
      </c>
      <c r="J25" s="50">
        <v>3.08</v>
      </c>
      <c r="K25" s="50">
        <v>15.53</v>
      </c>
      <c r="L25" s="50">
        <v>24.80</v>
      </c>
      <c r="M25" s="50">
        <v>50.30</v>
      </c>
      <c r="N25" s="50">
        <v>149.5</v>
      </c>
      <c r="O25" s="50">
        <v>0</v>
      </c>
      <c r="P25" s="50">
        <v>0.53</v>
      </c>
      <c r="Q25" s="50">
        <v>38.57</v>
      </c>
      <c r="R25" s="43"/>
      <c r="S25" s="43"/>
      <c r="T25" s="43"/>
      <c r="U25" s="43"/>
    </row>
    <row r="26" spans="1:21" s="11" customFormat="1" ht="15">
      <c r="A26" s="49" t="s">
        <v>584</v>
      </c>
      <c r="B26" s="50">
        <v>10.96</v>
      </c>
      <c r="C26" s="50">
        <v>75.86</v>
      </c>
      <c r="D26" s="50">
        <v>51.81</v>
      </c>
      <c r="E26" s="50">
        <v>2.99</v>
      </c>
      <c r="F26" s="50">
        <v>6.77</v>
      </c>
      <c r="G26" s="50">
        <v>68.25</v>
      </c>
      <c r="H26" s="50">
        <v>19.46</v>
      </c>
      <c r="I26" s="50">
        <v>0.51</v>
      </c>
      <c r="J26" s="50">
        <v>1.51</v>
      </c>
      <c r="K26" s="50">
        <v>22.72</v>
      </c>
      <c r="L26" s="50">
        <v>24.91</v>
      </c>
      <c r="M26" s="50">
        <v>45.11</v>
      </c>
      <c r="N26" s="50">
        <v>87.40</v>
      </c>
      <c r="O26" s="50">
        <v>0</v>
      </c>
      <c r="P26" s="50">
        <v>0.65</v>
      </c>
      <c r="Q26" s="50">
        <v>41.55</v>
      </c>
      <c r="R26" s="43"/>
      <c r="S26" s="43"/>
      <c r="T26" s="43"/>
      <c r="U26" s="43"/>
    </row>
    <row r="27" spans="1:21" s="11" customFormat="1" ht="15">
      <c r="A27" s="49" t="s">
        <v>585</v>
      </c>
      <c r="B27" s="50">
        <v>22.11</v>
      </c>
      <c r="C27" s="50">
        <v>73.510000000000005</v>
      </c>
      <c r="D27" s="50">
        <v>54.98</v>
      </c>
      <c r="E27" s="50">
        <v>4.78</v>
      </c>
      <c r="F27" s="50">
        <v>3.88</v>
      </c>
      <c r="G27" s="50">
        <v>71.86</v>
      </c>
      <c r="H27" s="50">
        <v>22.71</v>
      </c>
      <c r="I27" s="50">
        <v>0.53</v>
      </c>
      <c r="J27" s="50">
        <v>0.83</v>
      </c>
      <c r="K27" s="50">
        <v>117.90</v>
      </c>
      <c r="L27" s="50">
        <v>23.64</v>
      </c>
      <c r="M27" s="50">
        <v>48.66</v>
      </c>
      <c r="N27" s="50">
        <v>8.90</v>
      </c>
      <c r="O27" s="50">
        <v>0</v>
      </c>
      <c r="P27" s="50">
        <v>0.89</v>
      </c>
      <c r="Q27" s="50">
        <v>45.96</v>
      </c>
      <c r="R27" s="43"/>
      <c r="S27" s="43"/>
      <c r="T27" s="43"/>
      <c r="U27" s="43"/>
    </row>
    <row r="28" spans="1:21" s="11" customFormat="1" ht="15">
      <c r="A28" s="49" t="s">
        <v>586</v>
      </c>
      <c r="B28" s="50">
        <v>32.67</v>
      </c>
      <c r="C28" s="50">
        <v>72.19</v>
      </c>
      <c r="D28" s="50">
        <v>61.19</v>
      </c>
      <c r="E28" s="50">
        <v>13.16</v>
      </c>
      <c r="F28" s="50">
        <v>1.33</v>
      </c>
      <c r="G28" s="50">
        <v>83.07</v>
      </c>
      <c r="H28" s="50">
        <v>25.41</v>
      </c>
      <c r="I28" s="50">
        <v>0.60</v>
      </c>
      <c r="J28" s="50">
        <v>0.45</v>
      </c>
      <c r="K28" s="50">
        <v>106.72</v>
      </c>
      <c r="L28" s="50">
        <v>22.52</v>
      </c>
      <c r="M28" s="50">
        <v>57.84</v>
      </c>
      <c r="N28" s="50">
        <v>4.80</v>
      </c>
      <c r="O28" s="50">
        <v>0</v>
      </c>
      <c r="P28" s="50">
        <v>1.1299999999999999</v>
      </c>
      <c r="Q28" s="50">
        <v>43.76</v>
      </c>
      <c r="R28" s="43"/>
      <c r="S28" s="43"/>
      <c r="T28" s="43"/>
      <c r="U28" s="43"/>
    </row>
    <row r="29" spans="1:21" s="11" customFormat="1" ht="15">
      <c r="A29" s="49" t="s">
        <v>587</v>
      </c>
      <c r="B29" s="50">
        <v>39.51</v>
      </c>
      <c r="C29" s="50">
        <v>74.33</v>
      </c>
      <c r="D29" s="50">
        <v>70.20</v>
      </c>
      <c r="E29" s="50">
        <v>4.68</v>
      </c>
      <c r="F29" s="50">
        <v>1.32</v>
      </c>
      <c r="G29" s="50">
        <v>95.78</v>
      </c>
      <c r="H29" s="50">
        <v>29.55</v>
      </c>
      <c r="I29" s="50">
        <v>0.65</v>
      </c>
      <c r="J29" s="50">
        <v>0.52</v>
      </c>
      <c r="K29" s="50">
        <v>239.51</v>
      </c>
      <c r="L29" s="50">
        <v>21.64</v>
      </c>
      <c r="M29" s="50">
        <v>65.33</v>
      </c>
      <c r="N29" s="50">
        <v>4.9000000000000004</v>
      </c>
      <c r="O29" s="50">
        <v>0</v>
      </c>
      <c r="P29" s="50">
        <v>1.18</v>
      </c>
      <c r="Q29" s="50">
        <v>52.99</v>
      </c>
      <c r="R29" s="43"/>
      <c r="S29" s="43"/>
      <c r="T29" s="43"/>
      <c r="U29" s="43"/>
    </row>
    <row r="30" spans="1:21" s="11" customFormat="1" ht="15">
      <c r="A30" s="49" t="s">
        <v>588</v>
      </c>
      <c r="B30" s="50">
        <v>39.47</v>
      </c>
      <c r="C30" s="50">
        <v>67.45</v>
      </c>
      <c r="D30" s="50">
        <v>70.62</v>
      </c>
      <c r="E30" s="50">
        <v>3.24</v>
      </c>
      <c r="F30" s="50">
        <v>1.38</v>
      </c>
      <c r="G30" s="50">
        <v>96.20</v>
      </c>
      <c r="H30" s="50">
        <v>29.94</v>
      </c>
      <c r="I30" s="50">
        <v>0.66</v>
      </c>
      <c r="J30" s="50">
        <v>0.61</v>
      </c>
      <c r="K30" s="50">
        <v>341.33</v>
      </c>
      <c r="L30" s="50">
        <v>20.68</v>
      </c>
      <c r="M30" s="50">
        <v>74.900000000000006</v>
      </c>
      <c r="N30" s="50">
        <v>5</v>
      </c>
      <c r="O30" s="50">
        <v>0</v>
      </c>
      <c r="P30" s="50">
        <v>1.20</v>
      </c>
      <c r="Q30" s="50">
        <v>52.60</v>
      </c>
      <c r="R30" s="43"/>
      <c r="S30" s="43"/>
      <c r="T30" s="43"/>
      <c r="U30" s="43"/>
    </row>
    <row r="31" spans="1:21" s="11" customFormat="1" ht="15">
      <c r="A31" s="49" t="s">
        <v>589</v>
      </c>
      <c r="B31" s="50">
        <v>47.84</v>
      </c>
      <c r="C31" s="50">
        <v>72.48</v>
      </c>
      <c r="D31" s="50">
        <v>77.75</v>
      </c>
      <c r="E31" s="50">
        <v>2.87</v>
      </c>
      <c r="F31" s="50">
        <v>1.67</v>
      </c>
      <c r="G31" s="50">
        <v>84.27</v>
      </c>
      <c r="H31" s="50">
        <v>29.95</v>
      </c>
      <c r="I31" s="50">
        <v>0.67</v>
      </c>
      <c r="J31" s="50">
        <v>0.20</v>
      </c>
      <c r="K31" s="50">
        <v>328.12</v>
      </c>
      <c r="L31" s="50">
        <v>19.71</v>
      </c>
      <c r="M31" s="50">
        <v>78.260000000000005</v>
      </c>
      <c r="N31" s="50">
        <v>4.9000000000000004</v>
      </c>
      <c r="O31" s="50">
        <v>0</v>
      </c>
      <c r="P31" s="50">
        <v>1.26</v>
      </c>
      <c r="Q31" s="50">
        <v>49.04</v>
      </c>
      <c r="R31" s="43"/>
      <c r="S31" s="43"/>
      <c r="T31" s="43"/>
      <c r="U31" s="43"/>
    </row>
    <row r="32" spans="1:21" s="11" customFormat="1" ht="15">
      <c r="A32" s="49" t="s">
        <v>590</v>
      </c>
      <c r="B32" s="50">
        <v>51.57</v>
      </c>
      <c r="C32" s="50">
        <v>78.69</v>
      </c>
      <c r="D32" s="50">
        <v>86.53</v>
      </c>
      <c r="E32" s="50">
        <v>2.68</v>
      </c>
      <c r="F32" s="50">
        <v>1.72</v>
      </c>
      <c r="G32" s="50">
        <v>86.43</v>
      </c>
      <c r="H32" s="50">
        <v>29.15</v>
      </c>
      <c r="I32" s="50">
        <v>0.69</v>
      </c>
      <c r="J32" s="50">
        <v>0.18</v>
      </c>
      <c r="K32" s="50">
        <v>338.67</v>
      </c>
      <c r="L32" s="50">
        <v>19.47</v>
      </c>
      <c r="M32" s="50">
        <v>79.94</v>
      </c>
      <c r="N32" s="50">
        <v>4.80</v>
      </c>
      <c r="O32" s="50">
        <v>0</v>
      </c>
      <c r="P32" s="50">
        <v>1.28</v>
      </c>
      <c r="Q32" s="50">
        <v>49.70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3.6299999999999999</v>
      </c>
      <c r="C34" s="28">
        <f t="shared" si="0"/>
        <v>28.100000000000001</v>
      </c>
      <c r="D34" s="28">
        <f t="shared" si="0"/>
        <v>20.16</v>
      </c>
      <c r="E34" s="28">
        <f t="shared" si="0"/>
        <v>1.5800000000000001</v>
      </c>
      <c r="F34" s="28">
        <f t="shared" si="0"/>
        <v>1.3200000000000001</v>
      </c>
      <c r="G34" s="28">
        <f t="shared" si="0"/>
        <v>19.739999999999998</v>
      </c>
      <c r="H34" s="28">
        <f t="shared" si="0"/>
        <v>11.58</v>
      </c>
      <c r="I34" s="28">
        <f t="shared" si="0"/>
        <v>0.46999999999999997</v>
      </c>
      <c r="J34" s="28">
        <f t="shared" si="0"/>
        <v>0.17999999999999999</v>
      </c>
      <c r="K34" s="28">
        <f t="shared" si="0"/>
        <v>15.529999999999999</v>
      </c>
      <c r="L34" s="28">
        <f t="shared" si="0"/>
        <v>17.640000000000001</v>
      </c>
      <c r="M34" s="28">
        <f t="shared" si="0"/>
        <v>36.960000000000001</v>
      </c>
      <c r="N34" s="28">
        <f t="shared" si="0"/>
        <v>4.7000000000000002</v>
      </c>
      <c r="O34" s="28">
        <f t="shared" si="0"/>
        <v>0</v>
      </c>
      <c r="P34" s="28">
        <f t="shared" si="0"/>
        <v>0.31</v>
      </c>
      <c r="Q34" s="28">
        <f t="shared" si="0"/>
        <v>38.57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51.57</v>
      </c>
      <c r="C35" s="29">
        <f t="shared" si="1"/>
        <v>78.689999999999998</v>
      </c>
      <c r="D35" s="29">
        <f t="shared" si="1"/>
        <v>86.530000000000001</v>
      </c>
      <c r="E35" s="29">
        <f t="shared" si="1"/>
        <v>13.16</v>
      </c>
      <c r="F35" s="29">
        <f t="shared" si="1"/>
        <v>24.149999999999999</v>
      </c>
      <c r="G35" s="29">
        <f t="shared" si="1"/>
        <v>96.200000000000003</v>
      </c>
      <c r="H35" s="29">
        <f t="shared" si="1"/>
        <v>29.949999999999999</v>
      </c>
      <c r="I35" s="29">
        <f t="shared" si="1"/>
        <v>0.68999999999999995</v>
      </c>
      <c r="J35" s="29">
        <f t="shared" si="1"/>
        <v>3.1600000000000001</v>
      </c>
      <c r="K35" s="29">
        <f t="shared" si="1"/>
        <v>359.18000000000001</v>
      </c>
      <c r="L35" s="29">
        <f t="shared" si="1"/>
        <v>32.030000000000001</v>
      </c>
      <c r="M35" s="29">
        <f t="shared" si="1"/>
        <v>80.969999999999999</v>
      </c>
      <c r="N35" s="29">
        <f t="shared" si="1"/>
        <v>838.39999999999998</v>
      </c>
      <c r="O35" s="29">
        <f t="shared" si="1"/>
        <v>0</v>
      </c>
      <c r="P35" s="29">
        <f t="shared" si="1"/>
        <v>1.28</v>
      </c>
      <c r="Q35" s="29">
        <f t="shared" si="1"/>
        <v>56.200000000000003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17.879583333333336</v>
      </c>
      <c r="C36" s="28">
        <f t="shared" si="2"/>
        <v>57.745000000000005</v>
      </c>
      <c r="D36" s="28">
        <f t="shared" si="2"/>
        <v>46.908750000000005</v>
      </c>
      <c r="E36" s="28">
        <f t="shared" si="2"/>
        <v>3.0283333333333342</v>
      </c>
      <c r="F36" s="28">
        <f t="shared" si="2"/>
        <v>4.9004166666666658</v>
      </c>
      <c r="G36" s="28">
        <f t="shared" si="2"/>
        <v>53.155652173913047</v>
      </c>
      <c r="H36" s="28">
        <f t="shared" si="2"/>
        <v>18.953913043478259</v>
      </c>
      <c r="I36" s="28">
        <f t="shared" si="2"/>
        <v>0.56999999999999995</v>
      </c>
      <c r="J36" s="28">
        <f t="shared" si="2"/>
        <v>1.0754166666666665</v>
      </c>
      <c r="K36" s="28">
        <f t="shared" si="2"/>
        <v>205.37083333333331</v>
      </c>
      <c r="L36" s="28">
        <f t="shared" si="2"/>
        <v>22.864166666666666</v>
      </c>
      <c r="M36" s="28">
        <f t="shared" si="2"/>
        <v>63.184166666666663</v>
      </c>
      <c r="N36" s="28">
        <f t="shared" si="2"/>
        <v>241.34583333333327</v>
      </c>
      <c r="O36" s="28">
        <f t="shared" si="2"/>
        <v>0</v>
      </c>
      <c r="P36" s="28">
        <f t="shared" si="2"/>
        <v>0.67791666666666661</v>
      </c>
      <c r="Q36" s="28">
        <f t="shared" si="2"/>
        <v>48.35916666666666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13.82019960818746</v>
      </c>
      <c r="C37" s="28">
        <f t="shared" si="3" ref="C37:Q37">STDEV(C9:C32)</f>
        <v>12.906259687858235</v>
      </c>
      <c r="D37" s="28">
        <f t="shared" si="3"/>
        <v>16.057992270544563</v>
      </c>
      <c r="E37" s="28">
        <f t="shared" si="3"/>
        <v>2.3168094002531672</v>
      </c>
      <c r="F37" s="28">
        <f t="shared" si="3"/>
        <v>5.4183018992129348</v>
      </c>
      <c r="G37" s="28">
        <f t="shared" si="3"/>
        <v>23.912590792696871</v>
      </c>
      <c r="H37" s="28">
        <f t="shared" si="3"/>
        <v>6.3502396083143235</v>
      </c>
      <c r="I37" s="28">
        <f t="shared" si="3"/>
        <v>0.058607018425234331</v>
      </c>
      <c r="J37" s="28">
        <f t="shared" si="3"/>
        <v>0.76510288689576411</v>
      </c>
      <c r="K37" s="28">
        <f t="shared" si="3"/>
        <v>123.47356914553106</v>
      </c>
      <c r="L37" s="28">
        <f t="shared" si="3"/>
        <v>4.556579491972748</v>
      </c>
      <c r="M37" s="28">
        <f t="shared" si="3"/>
        <v>14.500697109679482</v>
      </c>
      <c r="N37" s="28">
        <f t="shared" si="3"/>
        <v>326.3650236737023</v>
      </c>
      <c r="O37" s="28">
        <f t="shared" si="3"/>
        <v>0</v>
      </c>
      <c r="P37" s="28">
        <f t="shared" si="3"/>
        <v>0.30615397045145182</v>
      </c>
      <c r="Q37" s="28">
        <f t="shared" si="3"/>
        <v>4.5630509593879793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615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17bd7a1-8c2b-412e-ac60-68a2d21e5cbb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M46" sqref="M46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23-03-2023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1" t="s">
        <v>58</v>
      </c>
      <c r="C7" s="51" t="s">
        <v>43</v>
      </c>
      <c r="D7" s="51" t="s">
        <v>44</v>
      </c>
      <c r="E7" s="51" t="s">
        <v>45</v>
      </c>
      <c r="F7" s="51" t="s">
        <v>46</v>
      </c>
      <c r="G7" s="51" t="s">
        <v>47</v>
      </c>
      <c r="H7" s="51" t="s">
        <v>48</v>
      </c>
      <c r="I7" s="51" t="s">
        <v>49</v>
      </c>
      <c r="J7" s="51" t="s">
        <v>50</v>
      </c>
      <c r="K7" s="51" t="s">
        <v>51</v>
      </c>
      <c r="L7" s="51" t="s">
        <v>52</v>
      </c>
      <c r="M7" s="51" t="s">
        <v>53</v>
      </c>
      <c r="N7" s="51" t="s">
        <v>54</v>
      </c>
      <c r="O7" s="51" t="s">
        <v>55</v>
      </c>
      <c r="P7" s="51" t="s">
        <v>56</v>
      </c>
      <c r="Q7" s="51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62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49" t="s">
        <v>591</v>
      </c>
      <c r="B9" s="50">
        <v>53.61</v>
      </c>
      <c r="C9" s="50">
        <v>73.80</v>
      </c>
      <c r="D9" s="50">
        <v>84.16</v>
      </c>
      <c r="E9" s="50">
        <v>2.04</v>
      </c>
      <c r="F9" s="50">
        <v>1.70</v>
      </c>
      <c r="G9" s="50">
        <v>86.5</v>
      </c>
      <c r="H9" s="50">
        <v>29.24</v>
      </c>
      <c r="I9" s="50">
        <v>0.70</v>
      </c>
      <c r="J9" s="50">
        <v>0.25</v>
      </c>
      <c r="K9" s="50">
        <v>287.16000000000003</v>
      </c>
      <c r="L9" s="50">
        <v>19.73</v>
      </c>
      <c r="M9" s="50">
        <v>78.61</v>
      </c>
      <c r="N9" s="50">
        <v>4.80</v>
      </c>
      <c r="O9" s="50">
        <v>0</v>
      </c>
      <c r="P9" s="50">
        <v>1.23</v>
      </c>
      <c r="Q9" s="50">
        <v>53.81</v>
      </c>
      <c r="R9" s="43"/>
      <c r="S9" s="43"/>
      <c r="T9" s="43"/>
      <c r="U9" s="43"/>
    </row>
    <row r="10" spans="1:21" s="11" customFormat="1" ht="15">
      <c r="A10" s="49" t="s">
        <v>592</v>
      </c>
      <c r="B10" s="50">
        <v>44.73</v>
      </c>
      <c r="C10" s="50">
        <v>69.31</v>
      </c>
      <c r="D10" s="50">
        <v>75.86</v>
      </c>
      <c r="E10" s="50">
        <v>1.54</v>
      </c>
      <c r="F10" s="50">
        <v>1.60</v>
      </c>
      <c r="G10" s="50">
        <v>75.599999999999994</v>
      </c>
      <c r="H10" s="50">
        <v>23.59</v>
      </c>
      <c r="I10" s="50">
        <v>0.64</v>
      </c>
      <c r="J10" s="50">
        <v>0.12</v>
      </c>
      <c r="K10" s="50">
        <v>338.64</v>
      </c>
      <c r="L10" s="50">
        <v>18.93</v>
      </c>
      <c r="M10" s="50">
        <v>82.91</v>
      </c>
      <c r="N10" s="50">
        <v>5</v>
      </c>
      <c r="O10" s="50">
        <v>0</v>
      </c>
      <c r="P10" s="50">
        <v>1.05</v>
      </c>
      <c r="Q10" s="50">
        <v>54.85</v>
      </c>
      <c r="R10" s="43"/>
      <c r="S10" s="43"/>
      <c r="T10" s="43"/>
      <c r="U10" s="43"/>
    </row>
    <row r="11" spans="1:21" s="11" customFormat="1" ht="15">
      <c r="A11" s="49" t="s">
        <v>593</v>
      </c>
      <c r="B11" s="50">
        <v>39.17</v>
      </c>
      <c r="C11" s="50">
        <v>49.78</v>
      </c>
      <c r="D11" s="50">
        <v>60.24</v>
      </c>
      <c r="E11" s="50">
        <v>1.61</v>
      </c>
      <c r="F11" s="50">
        <v>1.45</v>
      </c>
      <c r="G11" s="50">
        <v>58.47</v>
      </c>
      <c r="H11" s="50">
        <v>21.74</v>
      </c>
      <c r="I11" s="50">
        <v>0.65</v>
      </c>
      <c r="J11" s="50">
        <v>0.14000000000000001</v>
      </c>
      <c r="K11" s="50">
        <v>289.02</v>
      </c>
      <c r="L11" s="50">
        <v>18.36</v>
      </c>
      <c r="M11" s="50">
        <v>87.55</v>
      </c>
      <c r="N11" s="50">
        <v>4.80</v>
      </c>
      <c r="O11" s="50">
        <v>0</v>
      </c>
      <c r="P11" s="50">
        <v>0.97</v>
      </c>
      <c r="Q11" s="50">
        <v>49.29</v>
      </c>
      <c r="R11" s="43"/>
      <c r="S11" s="43"/>
      <c r="T11" s="43"/>
      <c r="U11" s="43"/>
    </row>
    <row r="12" spans="1:21" s="11" customFormat="1" ht="15">
      <c r="A12" s="49" t="s">
        <v>594</v>
      </c>
      <c r="B12" s="50">
        <v>38.17</v>
      </c>
      <c r="C12" s="50">
        <v>58.53</v>
      </c>
      <c r="D12" s="50">
        <v>64.38</v>
      </c>
      <c r="E12" s="50">
        <v>1.52</v>
      </c>
      <c r="F12" s="50">
        <v>1.39</v>
      </c>
      <c r="G12" s="50">
        <v>53.93</v>
      </c>
      <c r="H12" s="50">
        <v>22.24</v>
      </c>
      <c r="I12" s="50">
        <v>0.64</v>
      </c>
      <c r="J12" s="50">
        <v>0.19</v>
      </c>
      <c r="K12" s="50">
        <v>317.20999999999998</v>
      </c>
      <c r="L12" s="50">
        <v>17.96</v>
      </c>
      <c r="M12" s="50">
        <v>89.35</v>
      </c>
      <c r="N12" s="50">
        <v>4.70</v>
      </c>
      <c r="O12" s="50">
        <v>0</v>
      </c>
      <c r="P12" s="50">
        <v>0.93</v>
      </c>
      <c r="Q12" s="50">
        <v>51.21</v>
      </c>
      <c r="R12" s="43"/>
      <c r="S12" s="43"/>
      <c r="T12" s="43"/>
      <c r="U12" s="43"/>
    </row>
    <row r="13" spans="1:21" s="11" customFormat="1" ht="15">
      <c r="A13" s="49" t="s">
        <v>595</v>
      </c>
      <c r="B13" s="50">
        <v>40.04</v>
      </c>
      <c r="C13" s="50">
        <v>55.19</v>
      </c>
      <c r="D13" s="50">
        <v>64.09</v>
      </c>
      <c r="E13" s="50">
        <v>2.04</v>
      </c>
      <c r="F13" s="50">
        <v>1.51</v>
      </c>
      <c r="G13" s="50">
        <v>57.59</v>
      </c>
      <c r="H13" s="50">
        <v>22.25</v>
      </c>
      <c r="I13" s="50">
        <v>0.61</v>
      </c>
      <c r="J13" s="50">
        <v>0.22</v>
      </c>
      <c r="K13" s="50">
        <v>354.94</v>
      </c>
      <c r="L13" s="50">
        <v>17.98</v>
      </c>
      <c r="M13" s="50">
        <v>89.91</v>
      </c>
      <c r="N13" s="50">
        <v>4.80</v>
      </c>
      <c r="O13" s="50">
        <v>0</v>
      </c>
      <c r="P13" s="50">
        <v>0.87</v>
      </c>
      <c r="Q13" s="50">
        <v>53.71</v>
      </c>
      <c r="R13" s="43"/>
      <c r="S13" s="43"/>
      <c r="T13" s="43"/>
      <c r="U13" s="43"/>
    </row>
    <row r="14" spans="1:21" s="11" customFormat="1" ht="15">
      <c r="A14" s="49" t="s">
        <v>596</v>
      </c>
      <c r="B14" s="50">
        <v>47.78</v>
      </c>
      <c r="C14" s="50">
        <v>60.02</v>
      </c>
      <c r="D14" s="50">
        <v>72.760000000000005</v>
      </c>
      <c r="E14" s="50">
        <v>2.06</v>
      </c>
      <c r="F14" s="50">
        <v>1.27</v>
      </c>
      <c r="G14" s="50">
        <v>62.28</v>
      </c>
      <c r="H14" s="50">
        <v>24.20</v>
      </c>
      <c r="I14" s="50">
        <v>0.60</v>
      </c>
      <c r="J14" s="50">
        <v>0.28000000000000003</v>
      </c>
      <c r="K14" s="50">
        <v>358.19</v>
      </c>
      <c r="L14" s="50">
        <v>17.5</v>
      </c>
      <c r="M14" s="50">
        <v>91.37</v>
      </c>
      <c r="N14" s="50">
        <v>6.5</v>
      </c>
      <c r="O14" s="50">
        <v>0</v>
      </c>
      <c r="P14" s="50">
        <v>0.86</v>
      </c>
      <c r="Q14" s="50">
        <v>51.65</v>
      </c>
      <c r="R14" s="43"/>
      <c r="S14" s="43"/>
      <c r="T14" s="43"/>
      <c r="U14" s="43"/>
    </row>
    <row r="15" spans="1:21" s="11" customFormat="1" ht="15">
      <c r="A15" s="49" t="s">
        <v>597</v>
      </c>
      <c r="B15" s="50">
        <v>61.30</v>
      </c>
      <c r="C15" s="50">
        <v>62.38</v>
      </c>
      <c r="D15" s="50">
        <v>84.99</v>
      </c>
      <c r="E15" s="50">
        <v>2.4500000000000002</v>
      </c>
      <c r="F15" s="50">
        <v>1.55</v>
      </c>
      <c r="G15" s="50">
        <v>77.39</v>
      </c>
      <c r="H15" s="50">
        <v>27.73</v>
      </c>
      <c r="I15" s="50">
        <v>0.65</v>
      </c>
      <c r="J15" s="50">
        <v>0.46</v>
      </c>
      <c r="K15" s="50">
        <v>25.25</v>
      </c>
      <c r="L15" s="50">
        <v>19.59</v>
      </c>
      <c r="M15" s="50">
        <v>92.30</v>
      </c>
      <c r="N15" s="50">
        <v>110.40</v>
      </c>
      <c r="O15" s="50">
        <v>0</v>
      </c>
      <c r="P15" s="50">
        <v>0.96</v>
      </c>
      <c r="Q15" s="50">
        <v>53.16</v>
      </c>
      <c r="R15" s="43"/>
      <c r="S15" s="43"/>
      <c r="T15" s="43"/>
      <c r="U15" s="43"/>
    </row>
    <row r="16" spans="1:21" s="11" customFormat="1" ht="15">
      <c r="A16" s="49" t="s">
        <v>598</v>
      </c>
      <c r="B16" s="50">
        <v>62.24</v>
      </c>
      <c r="C16" s="50">
        <v>66.27</v>
      </c>
      <c r="D16" s="50">
        <v>88.22</v>
      </c>
      <c r="E16" s="50">
        <v>2.5</v>
      </c>
      <c r="F16" s="50">
        <v>1.54</v>
      </c>
      <c r="G16" s="50">
        <v>92.66</v>
      </c>
      <c r="H16" s="50">
        <v>34.85</v>
      </c>
      <c r="I16" s="50">
        <v>0.65</v>
      </c>
      <c r="J16" s="50">
        <v>0.63</v>
      </c>
      <c r="K16" s="50">
        <v>116.54</v>
      </c>
      <c r="L16" s="50">
        <v>23.86</v>
      </c>
      <c r="M16" s="50">
        <v>73.709999999999994</v>
      </c>
      <c r="N16" s="50">
        <v>307.5</v>
      </c>
      <c r="O16" s="50">
        <v>0</v>
      </c>
      <c r="P16" s="50">
        <v>1.1000000000000001</v>
      </c>
      <c r="Q16" s="50">
        <v>57.97</v>
      </c>
      <c r="R16" s="43"/>
      <c r="S16" s="43"/>
      <c r="T16" s="43"/>
      <c r="U16" s="43"/>
    </row>
    <row r="17" spans="1:21" s="11" customFormat="1" ht="15">
      <c r="A17" s="49" t="s">
        <v>599</v>
      </c>
      <c r="B17" s="50">
        <v>56.74</v>
      </c>
      <c r="C17" s="50">
        <v>65.81</v>
      </c>
      <c r="D17" s="50">
        <v>79.14</v>
      </c>
      <c r="E17" s="50">
        <v>3.07</v>
      </c>
      <c r="F17" s="50">
        <v>4.21</v>
      </c>
      <c r="G17" s="50">
        <v>202.28</v>
      </c>
      <c r="H17" s="50">
        <v>51.71</v>
      </c>
      <c r="I17" s="50">
        <v>0.65</v>
      </c>
      <c r="J17" s="50">
        <v>1.26</v>
      </c>
      <c r="K17" s="50">
        <v>15.02</v>
      </c>
      <c r="L17" s="50">
        <v>28.05</v>
      </c>
      <c r="M17" s="50">
        <v>55.97</v>
      </c>
      <c r="N17" s="50">
        <v>494.90</v>
      </c>
      <c r="O17" s="50">
        <v>0</v>
      </c>
      <c r="P17" s="50">
        <v>1.35</v>
      </c>
      <c r="Q17" s="50">
        <v>58.42</v>
      </c>
      <c r="R17" s="43"/>
      <c r="S17" s="43"/>
      <c r="T17" s="43"/>
      <c r="U17" s="43"/>
    </row>
    <row r="18" spans="1:21" s="11" customFormat="1" ht="15">
      <c r="A18" s="49" t="s">
        <v>600</v>
      </c>
      <c r="B18" s="50">
        <v>44.02</v>
      </c>
      <c r="C18" s="50">
        <v>70.510000000000005</v>
      </c>
      <c r="D18" s="50">
        <v>74.959999999999994</v>
      </c>
      <c r="E18" s="50">
        <v>3.05</v>
      </c>
      <c r="F18" s="50">
        <v>4.7699999999999996</v>
      </c>
      <c r="G18" s="50">
        <v>206.04</v>
      </c>
      <c r="H18" s="50">
        <v>52.28</v>
      </c>
      <c r="I18" s="50">
        <v>0.64</v>
      </c>
      <c r="J18" s="50">
        <v>0.90</v>
      </c>
      <c r="K18" s="50">
        <v>146.57</v>
      </c>
      <c r="L18" s="50">
        <v>27.80</v>
      </c>
      <c r="M18" s="50">
        <v>46.34</v>
      </c>
      <c r="N18" s="50">
        <v>687.20</v>
      </c>
      <c r="O18" s="50">
        <v>0</v>
      </c>
      <c r="P18" s="50">
        <v>1.35</v>
      </c>
      <c r="Q18" s="50">
        <v>56.56</v>
      </c>
      <c r="R18" s="43"/>
      <c r="S18" s="43"/>
      <c r="T18" s="43"/>
      <c r="U18" s="43"/>
    </row>
    <row r="19" spans="1:21" s="11" customFormat="1" ht="15">
      <c r="A19" s="49" t="s">
        <v>601</v>
      </c>
      <c r="B19" s="50">
        <v>36.39</v>
      </c>
      <c r="C19" s="50">
        <v>57.48</v>
      </c>
      <c r="D19" s="50">
        <v>62.38</v>
      </c>
      <c r="E19" s="50">
        <v>3.45</v>
      </c>
      <c r="F19" s="50">
        <v>5.53</v>
      </c>
      <c r="G19" s="50">
        <v>124.44</v>
      </c>
      <c r="H19" s="50">
        <v>47.39</v>
      </c>
      <c r="I19" s="50">
        <v>0.65</v>
      </c>
      <c r="J19" s="50">
        <v>0.88</v>
      </c>
      <c r="K19" s="50">
        <v>174.75</v>
      </c>
      <c r="L19" s="50">
        <v>28.55</v>
      </c>
      <c r="M19" s="50">
        <v>43.48</v>
      </c>
      <c r="N19" s="50">
        <v>803.90</v>
      </c>
      <c r="O19" s="50">
        <v>0</v>
      </c>
      <c r="P19" s="50">
        <v>1.30</v>
      </c>
      <c r="Q19" s="50">
        <v>57.13</v>
      </c>
      <c r="R19" s="43"/>
      <c r="S19" s="43"/>
      <c r="T19" s="43"/>
      <c r="U19" s="43"/>
    </row>
    <row r="20" spans="1:21" s="11" customFormat="1" ht="15">
      <c r="A20" s="49" t="s">
        <v>602</v>
      </c>
      <c r="B20" s="50">
        <v>21.16</v>
      </c>
      <c r="C20" s="50">
        <v>61.85</v>
      </c>
      <c r="D20" s="50">
        <v>48.58</v>
      </c>
      <c r="E20" s="50">
        <v>2.4300000000000002</v>
      </c>
      <c r="F20" s="50">
        <v>4.72</v>
      </c>
      <c r="G20" s="50">
        <v>127.44</v>
      </c>
      <c r="H20" s="50">
        <v>43.89</v>
      </c>
      <c r="I20" s="50">
        <v>0.66</v>
      </c>
      <c r="J20" s="50">
        <v>1.05</v>
      </c>
      <c r="K20" s="50">
        <v>198.53</v>
      </c>
      <c r="L20" s="50">
        <v>28.91</v>
      </c>
      <c r="M20" s="50">
        <v>44.15</v>
      </c>
      <c r="N20" s="50">
        <v>926.30</v>
      </c>
      <c r="O20" s="50">
        <v>0</v>
      </c>
      <c r="P20" s="50">
        <v>1.19</v>
      </c>
      <c r="Q20" s="50">
        <v>57.38</v>
      </c>
      <c r="R20" s="43"/>
      <c r="S20" s="43"/>
      <c r="T20" s="43"/>
      <c r="U20" s="43"/>
    </row>
    <row r="21" spans="1:21" s="11" customFormat="1" ht="15">
      <c r="A21" s="49" t="s">
        <v>603</v>
      </c>
      <c r="B21" s="50">
        <v>6.32</v>
      </c>
      <c r="C21" s="50">
        <v>87.54</v>
      </c>
      <c r="D21" s="50">
        <v>53.51</v>
      </c>
      <c r="E21" s="50">
        <v>2.73</v>
      </c>
      <c r="F21" s="50">
        <v>9.3699999999999992</v>
      </c>
      <c r="G21" s="50">
        <v>57.98</v>
      </c>
      <c r="H21" s="50">
        <v>36.14</v>
      </c>
      <c r="I21" s="50">
        <v>0.61</v>
      </c>
      <c r="J21" s="50">
        <v>1.33</v>
      </c>
      <c r="K21" s="50">
        <v>201.98</v>
      </c>
      <c r="L21" s="50">
        <v>30.61</v>
      </c>
      <c r="M21" s="50">
        <v>36.56</v>
      </c>
      <c r="N21" s="50">
        <v>944.10</v>
      </c>
      <c r="O21" s="50">
        <v>0</v>
      </c>
      <c r="P21" s="50">
        <v>0.95</v>
      </c>
      <c r="Q21" s="50">
        <v>52.85</v>
      </c>
      <c r="R21" s="43"/>
      <c r="S21" s="43"/>
      <c r="T21" s="43"/>
      <c r="U21" s="43"/>
    </row>
    <row r="22" spans="1:21" s="11" customFormat="1" ht="15">
      <c r="A22" s="49" t="s">
        <v>604</v>
      </c>
      <c r="B22" s="50">
        <v>5.58</v>
      </c>
      <c r="C22" s="50">
        <v>79.97</v>
      </c>
      <c r="D22" s="50">
        <v>50.35</v>
      </c>
      <c r="E22" s="50">
        <v>2.96</v>
      </c>
      <c r="F22" s="50">
        <v>11.32</v>
      </c>
      <c r="G22" s="50">
        <v>36.94</v>
      </c>
      <c r="H22" s="50">
        <v>31.10</v>
      </c>
      <c r="I22" s="50">
        <v>0.60</v>
      </c>
      <c r="J22" s="50">
        <v>0.61</v>
      </c>
      <c r="K22" s="50">
        <v>236.48</v>
      </c>
      <c r="L22" s="50">
        <v>30.49</v>
      </c>
      <c r="M22" s="50">
        <v>34.94</v>
      </c>
      <c r="N22" s="50">
        <v>873.70</v>
      </c>
      <c r="O22" s="50">
        <v>0</v>
      </c>
      <c r="P22" s="50">
        <v>0.74</v>
      </c>
      <c r="Q22" s="50">
        <v>53.36</v>
      </c>
      <c r="R22" s="43"/>
      <c r="S22" s="43"/>
      <c r="T22" s="43"/>
      <c r="U22" s="43"/>
    </row>
    <row r="23" spans="1:21" s="11" customFormat="1" ht="15">
      <c r="A23" s="49" t="s">
        <v>605</v>
      </c>
      <c r="B23" s="50">
        <v>5.23</v>
      </c>
      <c r="C23" s="50">
        <v>63.17</v>
      </c>
      <c r="D23" s="50">
        <v>40.47</v>
      </c>
      <c r="E23" s="50">
        <v>2.80</v>
      </c>
      <c r="F23" s="50">
        <v>8.08</v>
      </c>
      <c r="G23" s="50">
        <v>26.33</v>
      </c>
      <c r="H23" s="50">
        <v>22.65</v>
      </c>
      <c r="I23" s="50">
        <v>0.62</v>
      </c>
      <c r="J23" s="50">
        <v>1.05</v>
      </c>
      <c r="K23" s="50">
        <v>358.02</v>
      </c>
      <c r="L23" s="50">
        <v>32.86</v>
      </c>
      <c r="M23" s="50">
        <v>31.27</v>
      </c>
      <c r="N23" s="50">
        <v>706.5</v>
      </c>
      <c r="O23" s="50">
        <v>0</v>
      </c>
      <c r="P23" s="50">
        <v>0.73</v>
      </c>
      <c r="Q23" s="50">
        <v>57.03</v>
      </c>
      <c r="R23" s="43"/>
      <c r="S23" s="43"/>
      <c r="T23" s="43"/>
      <c r="U23" s="43"/>
    </row>
    <row r="24" spans="1:21" s="11" customFormat="1" ht="15">
      <c r="A24" s="49" t="s">
        <v>606</v>
      </c>
      <c r="B24" s="50">
        <v>6.25</v>
      </c>
      <c r="C24" s="50">
        <v>94.25</v>
      </c>
      <c r="D24" s="50">
        <v>58.33</v>
      </c>
      <c r="E24" s="50">
        <v>2.4900000000000002</v>
      </c>
      <c r="F24" s="50">
        <v>6.51</v>
      </c>
      <c r="G24" s="50">
        <v>82.89</v>
      </c>
      <c r="H24" s="50">
        <v>22.5</v>
      </c>
      <c r="I24" s="50">
        <v>0.62</v>
      </c>
      <c r="J24" s="50">
        <v>1.1499999999999999</v>
      </c>
      <c r="K24" s="50">
        <v>359.24</v>
      </c>
      <c r="L24" s="50">
        <v>30.70</v>
      </c>
      <c r="M24" s="50">
        <v>31.65</v>
      </c>
      <c r="N24" s="50">
        <v>179.90</v>
      </c>
      <c r="O24" s="50">
        <v>0</v>
      </c>
      <c r="P24" s="50">
        <v>0.81</v>
      </c>
      <c r="Q24" s="50">
        <v>55.67</v>
      </c>
      <c r="R24" s="43"/>
      <c r="S24" s="43"/>
      <c r="T24" s="43"/>
      <c r="U24" s="43"/>
    </row>
    <row r="25" spans="1:21" s="11" customFormat="1" ht="15">
      <c r="A25" s="49" t="s">
        <v>607</v>
      </c>
      <c r="B25" s="50">
        <v>9.49</v>
      </c>
      <c r="C25" s="50">
        <v>86.44</v>
      </c>
      <c r="D25" s="50">
        <v>56.06</v>
      </c>
      <c r="E25" s="50">
        <v>1.85</v>
      </c>
      <c r="F25" s="50">
        <v>8.74</v>
      </c>
      <c r="G25" s="50">
        <v>84.90</v>
      </c>
      <c r="H25" s="50">
        <v>22.59</v>
      </c>
      <c r="I25" s="50">
        <v>0.61</v>
      </c>
      <c r="J25" s="50">
        <v>1.40</v>
      </c>
      <c r="K25" s="50">
        <v>356.83</v>
      </c>
      <c r="L25" s="50">
        <v>29.76</v>
      </c>
      <c r="M25" s="50">
        <v>29.53</v>
      </c>
      <c r="N25" s="50">
        <v>185.90</v>
      </c>
      <c r="O25" s="50">
        <v>0</v>
      </c>
      <c r="P25" s="50">
        <v>0.77</v>
      </c>
      <c r="Q25" s="50">
        <v>55.03</v>
      </c>
      <c r="R25" s="43"/>
      <c r="S25" s="43"/>
      <c r="T25" s="43"/>
      <c r="U25" s="43"/>
    </row>
    <row r="26" spans="1:21" s="11" customFormat="1" ht="15">
      <c r="A26" s="49" t="s">
        <v>608</v>
      </c>
      <c r="B26" s="50">
        <v>13.18</v>
      </c>
      <c r="C26" s="50">
        <v>81.040000000000006</v>
      </c>
      <c r="D26" s="50">
        <v>55.94</v>
      </c>
      <c r="E26" s="50">
        <v>3.82</v>
      </c>
      <c r="F26" s="50">
        <v>17.20</v>
      </c>
      <c r="G26" s="50">
        <v>51.46</v>
      </c>
      <c r="H26" s="50">
        <v>17.16</v>
      </c>
      <c r="I26" s="50">
        <v>0.57999999999999996</v>
      </c>
      <c r="J26" s="50">
        <v>0.93</v>
      </c>
      <c r="K26" s="50">
        <v>40.090000000000003</v>
      </c>
      <c r="L26" s="50">
        <v>28.89</v>
      </c>
      <c r="M26" s="50">
        <v>32.35</v>
      </c>
      <c r="N26" s="50">
        <v>64.400000000000006</v>
      </c>
      <c r="O26" s="50">
        <v>0</v>
      </c>
      <c r="P26" s="50">
        <v>0.85</v>
      </c>
      <c r="Q26" s="50">
        <v>53.47</v>
      </c>
      <c r="R26" s="43"/>
      <c r="S26" s="43"/>
      <c r="T26" s="43"/>
      <c r="U26" s="43"/>
    </row>
    <row r="27" spans="1:21" s="11" customFormat="1" ht="15">
      <c r="A27" s="49" t="s">
        <v>609</v>
      </c>
      <c r="B27" s="50">
        <v>22.94</v>
      </c>
      <c r="C27" s="50">
        <v>87.75</v>
      </c>
      <c r="D27" s="50">
        <v>66.400000000000006</v>
      </c>
      <c r="E27" s="50">
        <v>4.0599999999999996</v>
      </c>
      <c r="F27" s="50">
        <v>10.64</v>
      </c>
      <c r="G27" s="50">
        <v>62.33</v>
      </c>
      <c r="H27" s="50">
        <v>22.67</v>
      </c>
      <c r="I27" s="50">
        <v>0.62</v>
      </c>
      <c r="J27" s="50">
        <v>0.28999999999999998</v>
      </c>
      <c r="K27" s="50">
        <v>145.59</v>
      </c>
      <c r="L27" s="50">
        <v>26.75</v>
      </c>
      <c r="M27" s="50">
        <v>44.45</v>
      </c>
      <c r="N27" s="50">
        <v>8.1999999999999993</v>
      </c>
      <c r="O27" s="50">
        <v>0</v>
      </c>
      <c r="P27" s="50">
        <v>1.08</v>
      </c>
      <c r="Q27" s="50">
        <v>55.60</v>
      </c>
      <c r="R27" s="43"/>
      <c r="S27" s="43"/>
      <c r="T27" s="43"/>
      <c r="U27" s="43"/>
    </row>
    <row r="28" spans="1:21" s="11" customFormat="1" ht="15">
      <c r="A28" s="49" t="s">
        <v>610</v>
      </c>
      <c r="B28" s="50">
        <v>124.87</v>
      </c>
      <c r="C28" s="50">
        <v>116.45</v>
      </c>
      <c r="D28" s="50">
        <v>162.03</v>
      </c>
      <c r="E28" s="50">
        <v>4.16</v>
      </c>
      <c r="F28" s="50">
        <v>1.85</v>
      </c>
      <c r="G28" s="50">
        <v>145.87</v>
      </c>
      <c r="H28" s="50">
        <v>29.68</v>
      </c>
      <c r="I28" s="50">
        <v>0.81</v>
      </c>
      <c r="J28" s="50">
        <v>0.09</v>
      </c>
      <c r="K28" s="50">
        <v>167.15</v>
      </c>
      <c r="L28" s="50">
        <v>24.27</v>
      </c>
      <c r="M28" s="50">
        <v>50.94</v>
      </c>
      <c r="N28" s="50">
        <v>5.0999999999999996</v>
      </c>
      <c r="O28" s="50">
        <v>0</v>
      </c>
      <c r="P28" s="50">
        <v>2.56</v>
      </c>
      <c r="Q28" s="50">
        <v>55.36</v>
      </c>
      <c r="R28" s="43"/>
      <c r="S28" s="43"/>
      <c r="T28" s="43"/>
      <c r="U28" s="43"/>
    </row>
    <row r="29" spans="1:21" s="11" customFormat="1" ht="15">
      <c r="A29" s="49" t="s">
        <v>611</v>
      </c>
      <c r="B29" s="50">
        <v>135.18</v>
      </c>
      <c r="C29" s="50">
        <v>103.22</v>
      </c>
      <c r="D29" s="50">
        <v>167.11</v>
      </c>
      <c r="E29" s="50">
        <v>5.87</v>
      </c>
      <c r="F29" s="50">
        <v>1.91</v>
      </c>
      <c r="G29" s="50">
        <v>176.04</v>
      </c>
      <c r="H29" s="50">
        <v>39.340000000000003</v>
      </c>
      <c r="I29" s="50">
        <v>1.1299999999999999</v>
      </c>
      <c r="J29" s="50">
        <v>0.20</v>
      </c>
      <c r="K29" s="50">
        <v>123.89</v>
      </c>
      <c r="L29" s="50">
        <v>23.74</v>
      </c>
      <c r="M29" s="50">
        <v>54.60</v>
      </c>
      <c r="N29" s="50">
        <v>4.70</v>
      </c>
      <c r="O29" s="50">
        <v>0</v>
      </c>
      <c r="P29" s="50">
        <v>3.19</v>
      </c>
      <c r="Q29" s="50">
        <v>53.64</v>
      </c>
      <c r="R29" s="43"/>
      <c r="S29" s="43"/>
      <c r="T29" s="43"/>
      <c r="U29" s="43"/>
    </row>
    <row r="30" spans="1:21" s="11" customFormat="1" ht="15">
      <c r="A30" s="49" t="s">
        <v>612</v>
      </c>
      <c r="B30" s="50">
        <v>73.239999999999995</v>
      </c>
      <c r="C30" s="50">
        <v>90.61</v>
      </c>
      <c r="D30" s="50">
        <v>105.74</v>
      </c>
      <c r="E30" s="50">
        <v>5.86</v>
      </c>
      <c r="F30" s="50">
        <v>2.2000000000000002</v>
      </c>
      <c r="G30" s="50">
        <v>176.98</v>
      </c>
      <c r="H30" s="50">
        <v>39.659999999999997</v>
      </c>
      <c r="I30" s="50">
        <v>1.1100000000000001</v>
      </c>
      <c r="J30" s="50">
        <v>0.11</v>
      </c>
      <c r="K30" s="50">
        <v>310.74</v>
      </c>
      <c r="L30" s="50">
        <v>23.62</v>
      </c>
      <c r="M30" s="50">
        <v>51.84</v>
      </c>
      <c r="N30" s="50">
        <v>5.20</v>
      </c>
      <c r="O30" s="50">
        <v>0</v>
      </c>
      <c r="P30" s="50">
        <v>2.0099999999999998</v>
      </c>
      <c r="Q30" s="50">
        <v>61.19</v>
      </c>
      <c r="R30" s="43"/>
      <c r="S30" s="43"/>
      <c r="T30" s="43"/>
      <c r="U30" s="43"/>
    </row>
    <row r="31" spans="1:21" s="11" customFormat="1" ht="15">
      <c r="A31" s="49" t="s">
        <v>613</v>
      </c>
      <c r="B31" s="50">
        <v>83.84</v>
      </c>
      <c r="C31" s="50">
        <v>75.790000000000006</v>
      </c>
      <c r="D31" s="50">
        <v>109.97</v>
      </c>
      <c r="E31" s="50">
        <v>3.77</v>
      </c>
      <c r="F31" s="50">
        <v>1.51</v>
      </c>
      <c r="G31" s="50">
        <v>152.72</v>
      </c>
      <c r="H31" s="50">
        <v>40.75</v>
      </c>
      <c r="I31" s="50">
        <v>1.06</v>
      </c>
      <c r="J31" s="50">
        <v>0.26</v>
      </c>
      <c r="K31" s="50">
        <v>306.17</v>
      </c>
      <c r="L31" s="50">
        <v>22.47</v>
      </c>
      <c r="M31" s="50">
        <v>58.05</v>
      </c>
      <c r="N31" s="50">
        <v>5.0999999999999996</v>
      </c>
      <c r="O31" s="50">
        <v>0</v>
      </c>
      <c r="P31" s="50">
        <v>2.06</v>
      </c>
      <c r="Q31" s="50">
        <v>61.27</v>
      </c>
      <c r="R31" s="43"/>
      <c r="S31" s="43"/>
      <c r="T31" s="43"/>
      <c r="U31" s="43"/>
    </row>
    <row r="32" spans="1:21" s="11" customFormat="1" ht="15">
      <c r="A32" s="49" t="s">
        <v>614</v>
      </c>
      <c r="B32" s="50">
        <v>105.73</v>
      </c>
      <c r="C32" s="50">
        <v>76.239999999999995</v>
      </c>
      <c r="D32" s="50">
        <v>128.60</v>
      </c>
      <c r="E32" s="50">
        <v>3.93</v>
      </c>
      <c r="F32" s="50">
        <v>1.73</v>
      </c>
      <c r="G32" s="50">
        <v>153.59</v>
      </c>
      <c r="H32" s="50">
        <v>42.48</v>
      </c>
      <c r="I32" s="50">
        <v>1.06</v>
      </c>
      <c r="J32" s="50">
        <v>0.26</v>
      </c>
      <c r="K32" s="50">
        <v>261.29000000000002</v>
      </c>
      <c r="L32" s="50">
        <v>21.72</v>
      </c>
      <c r="M32" s="50">
        <v>61.93</v>
      </c>
      <c r="N32" s="50">
        <v>5</v>
      </c>
      <c r="O32" s="50">
        <v>0</v>
      </c>
      <c r="P32" s="50">
        <v>2.17</v>
      </c>
      <c r="Q32" s="50">
        <v>59.86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5.2300000000000004</v>
      </c>
      <c r="C34" s="28">
        <f t="shared" si="0"/>
        <v>49.780000000000001</v>
      </c>
      <c r="D34" s="28">
        <f t="shared" si="0"/>
        <v>40.469999999999999</v>
      </c>
      <c r="E34" s="28">
        <f t="shared" si="0"/>
        <v>1.52</v>
      </c>
      <c r="F34" s="28">
        <f t="shared" si="0"/>
        <v>1.27</v>
      </c>
      <c r="G34" s="28">
        <f t="shared" si="0"/>
        <v>26.329999999999998</v>
      </c>
      <c r="H34" s="28">
        <f t="shared" si="0"/>
        <v>17.16</v>
      </c>
      <c r="I34" s="28">
        <f t="shared" si="0"/>
        <v>0.57999999999999996</v>
      </c>
      <c r="J34" s="28">
        <f t="shared" si="0"/>
        <v>0.089999999999999997</v>
      </c>
      <c r="K34" s="28">
        <f t="shared" si="0"/>
        <v>15.02</v>
      </c>
      <c r="L34" s="28">
        <f t="shared" si="0"/>
        <v>17.5</v>
      </c>
      <c r="M34" s="28">
        <f t="shared" si="0"/>
        <v>29.530000000000001</v>
      </c>
      <c r="N34" s="28">
        <f t="shared" si="0"/>
        <v>4.7000000000000002</v>
      </c>
      <c r="O34" s="28">
        <f t="shared" si="0"/>
        <v>0</v>
      </c>
      <c r="P34" s="28">
        <f t="shared" si="0"/>
        <v>0.72999999999999998</v>
      </c>
      <c r="Q34" s="28">
        <f t="shared" si="0"/>
        <v>49.289999999999999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135.18000000000001</v>
      </c>
      <c r="C35" s="29">
        <f t="shared" si="1"/>
        <v>116.45</v>
      </c>
      <c r="D35" s="29">
        <f t="shared" si="1"/>
        <v>167.11000000000001</v>
      </c>
      <c r="E35" s="29">
        <f t="shared" si="1"/>
        <v>5.8700000000000001</v>
      </c>
      <c r="F35" s="29">
        <f t="shared" si="1"/>
        <v>17.199999999999999</v>
      </c>
      <c r="G35" s="29">
        <f t="shared" si="1"/>
        <v>206.03999999999999</v>
      </c>
      <c r="H35" s="29">
        <f t="shared" si="1"/>
        <v>52.280000000000001</v>
      </c>
      <c r="I35" s="29">
        <f t="shared" si="1"/>
        <v>1.1299999999999999</v>
      </c>
      <c r="J35" s="29">
        <f t="shared" si="1"/>
        <v>1.3999999999999999</v>
      </c>
      <c r="K35" s="29">
        <f t="shared" si="1"/>
        <v>359.24000000000001</v>
      </c>
      <c r="L35" s="29">
        <f t="shared" si="1"/>
        <v>32.859999999999999</v>
      </c>
      <c r="M35" s="29">
        <f t="shared" si="1"/>
        <v>92.299999999999997</v>
      </c>
      <c r="N35" s="29">
        <f t="shared" si="1"/>
        <v>944.10000000000002</v>
      </c>
      <c r="O35" s="29">
        <f t="shared" si="1"/>
        <v>0</v>
      </c>
      <c r="P35" s="29">
        <f t="shared" si="1"/>
        <v>3.1899999999999999</v>
      </c>
      <c r="Q35" s="29">
        <f t="shared" si="1"/>
        <v>61.270000000000003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47.383333333333333</v>
      </c>
      <c r="C36" s="28">
        <f t="shared" si="2"/>
        <v>74.724999999999994</v>
      </c>
      <c r="D36" s="28">
        <f t="shared" si="2"/>
        <v>79.761250000000004</v>
      </c>
      <c r="E36" s="28">
        <f t="shared" si="2"/>
        <v>3.0025000000000008</v>
      </c>
      <c r="F36" s="28">
        <f t="shared" si="2"/>
        <v>4.6791666666666663</v>
      </c>
      <c r="G36" s="28">
        <f t="shared" si="2"/>
        <v>101.36041666666667</v>
      </c>
      <c r="H36" s="28">
        <f t="shared" si="2"/>
        <v>31.992916666666659</v>
      </c>
      <c r="I36" s="28">
        <f t="shared" si="2"/>
        <v>0.71541666666666648</v>
      </c>
      <c r="J36" s="28">
        <f t="shared" si="2"/>
        <v>0.58583333333333332</v>
      </c>
      <c r="K36" s="28">
        <f t="shared" si="2"/>
        <v>228.72041666666669</v>
      </c>
      <c r="L36" s="28">
        <f t="shared" si="2"/>
        <v>24.712500000000002</v>
      </c>
      <c r="M36" s="28">
        <f t="shared" si="2"/>
        <v>58.073333333333331</v>
      </c>
      <c r="N36" s="28">
        <f t="shared" si="2"/>
        <v>264.52499999999998</v>
      </c>
      <c r="O36" s="28">
        <f t="shared" si="2"/>
        <v>0</v>
      </c>
      <c r="P36" s="28">
        <f t="shared" si="2"/>
        <v>1.2949999999999999</v>
      </c>
      <c r="Q36" s="28">
        <f t="shared" si="2"/>
        <v>55.394583333333323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36.590718194249959</v>
      </c>
      <c r="C37" s="28">
        <f t="shared" si="3" ref="C37:Q37">STDEV(C9:C32)</f>
        <v>16.363798325944305</v>
      </c>
      <c r="D37" s="28">
        <f t="shared" si="3"/>
        <v>33.348721677149818</v>
      </c>
      <c r="E37" s="28">
        <f t="shared" si="3"/>
        <v>1.1938438103362838</v>
      </c>
      <c r="F37" s="28">
        <f t="shared" si="3"/>
        <v>4.2336343896146182</v>
      </c>
      <c r="G37" s="28">
        <f t="shared" si="3"/>
        <v>53.710820096801839</v>
      </c>
      <c r="H37" s="28">
        <f t="shared" si="3"/>
        <v>10.498209983721953</v>
      </c>
      <c r="I37" s="28">
        <f t="shared" si="3"/>
        <v>0.17710176800891742</v>
      </c>
      <c r="J37" s="28">
        <f t="shared" si="3"/>
        <v>0.44604461335324891</v>
      </c>
      <c r="K37" s="28">
        <f t="shared" si="3"/>
        <v>112.65243108896314</v>
      </c>
      <c r="L37" s="28">
        <f t="shared" si="3"/>
        <v>4.9137546522601969</v>
      </c>
      <c r="M37" s="28">
        <f t="shared" si="3"/>
        <v>22.033689356679893</v>
      </c>
      <c r="N37" s="28">
        <f t="shared" si="3"/>
        <v>353.49672681591437</v>
      </c>
      <c r="O37" s="28">
        <f t="shared" si="3"/>
        <v>0</v>
      </c>
      <c r="P37" s="28">
        <f t="shared" si="3"/>
        <v>0.63912304047778234</v>
      </c>
      <c r="Q37" s="28">
        <f t="shared" si="3"/>
        <v>3.0353425122492377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615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5b12023-2c49-493f-8740-c669573f74bc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1" sqref="G51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24-03-2023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1" t="s">
        <v>58</v>
      </c>
      <c r="C7" s="51" t="s">
        <v>43</v>
      </c>
      <c r="D7" s="51" t="s">
        <v>44</v>
      </c>
      <c r="E7" s="51" t="s">
        <v>45</v>
      </c>
      <c r="F7" s="51" t="s">
        <v>46</v>
      </c>
      <c r="G7" s="51" t="s">
        <v>47</v>
      </c>
      <c r="H7" s="51" t="s">
        <v>48</v>
      </c>
      <c r="I7" s="51" t="s">
        <v>49</v>
      </c>
      <c r="J7" s="51" t="s">
        <v>50</v>
      </c>
      <c r="K7" s="51" t="s">
        <v>51</v>
      </c>
      <c r="L7" s="51" t="s">
        <v>52</v>
      </c>
      <c r="M7" s="51" t="s">
        <v>53</v>
      </c>
      <c r="N7" s="51" t="s">
        <v>54</v>
      </c>
      <c r="O7" s="51" t="s">
        <v>55</v>
      </c>
      <c r="P7" s="51" t="s">
        <v>56</v>
      </c>
      <c r="Q7" s="51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62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49" t="s">
        <v>616</v>
      </c>
      <c r="B9" s="50">
        <v>76.84</v>
      </c>
      <c r="C9" s="50">
        <v>66.63</v>
      </c>
      <c r="D9" s="50">
        <v>98.26</v>
      </c>
      <c r="E9" s="50">
        <v>3.04</v>
      </c>
      <c r="F9" s="50">
        <v>3.29</v>
      </c>
      <c r="G9" s="50">
        <v>141.34</v>
      </c>
      <c r="H9" s="50">
        <v>42.54</v>
      </c>
      <c r="I9" s="50">
        <v>1.03</v>
      </c>
      <c r="J9" s="50">
        <v>0.20</v>
      </c>
      <c r="K9" s="50">
        <v>358.36</v>
      </c>
      <c r="L9" s="50">
        <v>21.21</v>
      </c>
      <c r="M9" s="50">
        <v>70.489999999999995</v>
      </c>
      <c r="N9" s="50">
        <v>5</v>
      </c>
      <c r="O9" s="50">
        <v>0</v>
      </c>
      <c r="P9" s="50">
        <v>1.81</v>
      </c>
      <c r="Q9" s="50">
        <v>58.54</v>
      </c>
      <c r="R9" s="43"/>
      <c r="S9" s="43"/>
      <c r="T9" s="43"/>
      <c r="U9" s="43"/>
    </row>
    <row r="10" spans="1:21" s="11" customFormat="1" ht="15">
      <c r="A10" s="49" t="s">
        <v>617</v>
      </c>
      <c r="B10" s="50">
        <v>78.58</v>
      </c>
      <c r="C10" s="50">
        <v>63.78</v>
      </c>
      <c r="D10" s="50">
        <v>99.95</v>
      </c>
      <c r="E10" s="50">
        <v>3.16</v>
      </c>
      <c r="F10" s="50">
        <v>2.69</v>
      </c>
      <c r="G10" s="50">
        <v>85.65</v>
      </c>
      <c r="H10" s="50">
        <v>35</v>
      </c>
      <c r="I10" s="50">
        <v>1.01</v>
      </c>
      <c r="J10" s="50">
        <v>0.11</v>
      </c>
      <c r="K10" s="50">
        <v>349.48</v>
      </c>
      <c r="L10" s="50">
        <v>19.899999999999999</v>
      </c>
      <c r="M10" s="50">
        <v>72.540000000000006</v>
      </c>
      <c r="N10" s="50">
        <v>5</v>
      </c>
      <c r="O10" s="50">
        <v>0</v>
      </c>
      <c r="P10" s="50">
        <v>1.74</v>
      </c>
      <c r="Q10" s="50">
        <v>62.10</v>
      </c>
      <c r="R10" s="43"/>
      <c r="S10" s="43"/>
      <c r="T10" s="43"/>
      <c r="U10" s="43"/>
    </row>
    <row r="11" spans="1:21" s="11" customFormat="1" ht="15">
      <c r="A11" s="49" t="s">
        <v>618</v>
      </c>
      <c r="B11" s="50">
        <v>64.84</v>
      </c>
      <c r="C11" s="50">
        <v>61.17</v>
      </c>
      <c r="D11" s="50">
        <v>87.5</v>
      </c>
      <c r="E11" s="50">
        <v>2.71</v>
      </c>
      <c r="F11" s="50">
        <v>1.36</v>
      </c>
      <c r="G11" s="50">
        <v>89.70</v>
      </c>
      <c r="H11" s="50">
        <v>32.200000000000003</v>
      </c>
      <c r="I11" s="50">
        <v>0.93</v>
      </c>
      <c r="J11" s="50">
        <v>0.10</v>
      </c>
      <c r="K11" s="50">
        <v>316.12</v>
      </c>
      <c r="L11" s="50">
        <v>19.64</v>
      </c>
      <c r="M11" s="50">
        <v>77.22</v>
      </c>
      <c r="N11" s="50">
        <v>4.9000000000000004</v>
      </c>
      <c r="O11" s="50">
        <v>0</v>
      </c>
      <c r="P11" s="50">
        <v>1.53</v>
      </c>
      <c r="Q11" s="50">
        <v>59.66</v>
      </c>
      <c r="R11" s="43"/>
      <c r="S11" s="43"/>
      <c r="T11" s="43"/>
      <c r="U11" s="43"/>
    </row>
    <row r="12" spans="1:21" s="11" customFormat="1" ht="15">
      <c r="A12" s="49" t="s">
        <v>619</v>
      </c>
      <c r="B12" s="50">
        <v>51.66</v>
      </c>
      <c r="C12" s="50">
        <v>63.57</v>
      </c>
      <c r="D12" s="50">
        <v>77.650000000000006</v>
      </c>
      <c r="E12" s="50">
        <v>2.71</v>
      </c>
      <c r="F12" s="50">
        <v>1.75</v>
      </c>
      <c r="G12" s="50">
        <v>101.45</v>
      </c>
      <c r="H12" s="50">
        <v>35.57</v>
      </c>
      <c r="I12" s="50">
        <v>0.75</v>
      </c>
      <c r="J12" s="50">
        <v>0.17</v>
      </c>
      <c r="K12" s="50">
        <v>347.15</v>
      </c>
      <c r="L12" s="50">
        <v>20</v>
      </c>
      <c r="M12" s="50">
        <v>75.459999999999994</v>
      </c>
      <c r="N12" s="50">
        <v>5</v>
      </c>
      <c r="O12" s="50">
        <v>0</v>
      </c>
      <c r="P12" s="50">
        <v>1.30</v>
      </c>
      <c r="Q12" s="50">
        <v>54.93</v>
      </c>
      <c r="R12" s="43"/>
      <c r="S12" s="43"/>
      <c r="T12" s="43"/>
      <c r="U12" s="43"/>
    </row>
    <row r="13" spans="1:21" s="11" customFormat="1" ht="15">
      <c r="A13" s="49" t="s">
        <v>620</v>
      </c>
      <c r="B13" s="50">
        <v>56.18</v>
      </c>
      <c r="C13" s="50">
        <v>63.10</v>
      </c>
      <c r="D13" s="50">
        <v>80.75</v>
      </c>
      <c r="E13" s="50">
        <v>2.54</v>
      </c>
      <c r="F13" s="50">
        <v>1.40</v>
      </c>
      <c r="G13" s="50">
        <v>101.81</v>
      </c>
      <c r="H13" s="50">
        <v>35.78</v>
      </c>
      <c r="I13" s="50">
        <v>0.81</v>
      </c>
      <c r="J13" s="50">
        <v>0.13</v>
      </c>
      <c r="K13" s="50">
        <v>312.31</v>
      </c>
      <c r="L13" s="50">
        <v>19.12</v>
      </c>
      <c r="M13" s="50">
        <v>76.63</v>
      </c>
      <c r="N13" s="50">
        <v>5</v>
      </c>
      <c r="O13" s="50">
        <v>0</v>
      </c>
      <c r="P13" s="50">
        <v>1.22</v>
      </c>
      <c r="Q13" s="50">
        <v>60.57</v>
      </c>
      <c r="R13" s="43"/>
      <c r="S13" s="43"/>
      <c r="T13" s="43"/>
      <c r="U13" s="43"/>
    </row>
    <row r="14" spans="1:21" s="11" customFormat="1" ht="15">
      <c r="A14" s="49" t="s">
        <v>621</v>
      </c>
      <c r="B14" s="50">
        <v>65.709999999999994</v>
      </c>
      <c r="C14" s="50">
        <v>57.89</v>
      </c>
      <c r="D14" s="50">
        <v>86.38</v>
      </c>
      <c r="E14" s="50">
        <v>2.38</v>
      </c>
      <c r="F14" s="50">
        <v>1.38</v>
      </c>
      <c r="G14" s="50">
        <v>93.37</v>
      </c>
      <c r="H14" s="50">
        <v>34.07</v>
      </c>
      <c r="I14" s="50">
        <v>0.82</v>
      </c>
      <c r="J14" s="50">
        <v>0.45</v>
      </c>
      <c r="K14" s="50">
        <v>269.42</v>
      </c>
      <c r="L14" s="50">
        <v>19.29</v>
      </c>
      <c r="M14" s="50">
        <v>79.67</v>
      </c>
      <c r="N14" s="50">
        <v>5.40</v>
      </c>
      <c r="O14" s="50">
        <v>0</v>
      </c>
      <c r="P14" s="50">
        <v>1.18</v>
      </c>
      <c r="Q14" s="50">
        <v>60.65</v>
      </c>
      <c r="R14" s="43"/>
      <c r="S14" s="43"/>
      <c r="T14" s="43"/>
      <c r="U14" s="43"/>
    </row>
    <row r="15" spans="1:21" s="11" customFormat="1" ht="15">
      <c r="A15" s="49" t="s">
        <v>622</v>
      </c>
      <c r="B15" s="50">
        <v>67.08</v>
      </c>
      <c r="C15" s="50">
        <v>64.41</v>
      </c>
      <c r="D15" s="50">
        <v>89.38</v>
      </c>
      <c r="E15" s="50">
        <v>2.29</v>
      </c>
      <c r="F15" s="50">
        <v>1.51</v>
      </c>
      <c r="G15" s="50">
        <v>94.43</v>
      </c>
      <c r="H15" s="50">
        <v>30.20</v>
      </c>
      <c r="I15" s="50">
        <v>0.78</v>
      </c>
      <c r="J15" s="50">
        <v>0.71</v>
      </c>
      <c r="K15" s="50">
        <v>212.71</v>
      </c>
      <c r="L15" s="50">
        <v>20.83</v>
      </c>
      <c r="M15" s="50">
        <v>71.430000000000007</v>
      </c>
      <c r="N15" s="50">
        <v>104.80</v>
      </c>
      <c r="O15" s="50">
        <v>0</v>
      </c>
      <c r="P15" s="50">
        <v>1.1499999999999999</v>
      </c>
      <c r="Q15" s="50">
        <v>62.13</v>
      </c>
      <c r="R15" s="43"/>
      <c r="S15" s="43"/>
      <c r="T15" s="43"/>
      <c r="U15" s="43"/>
    </row>
    <row r="16" spans="1:21" s="11" customFormat="1" ht="15">
      <c r="A16" s="49" t="s">
        <v>623</v>
      </c>
      <c r="B16" s="50">
        <v>64.53</v>
      </c>
      <c r="C16" s="50">
        <v>60.83</v>
      </c>
      <c r="D16" s="50">
        <v>86.56</v>
      </c>
      <c r="E16" s="50">
        <v>2.38</v>
      </c>
      <c r="F16" s="50">
        <v>2.39</v>
      </c>
      <c r="G16" s="50">
        <v>92.17</v>
      </c>
      <c r="H16" s="50">
        <v>37.729999999999997</v>
      </c>
      <c r="I16" s="50">
        <v>0.71</v>
      </c>
      <c r="J16" s="50">
        <v>0.90</v>
      </c>
      <c r="K16" s="50">
        <v>178.14</v>
      </c>
      <c r="L16" s="50">
        <v>23.42</v>
      </c>
      <c r="M16" s="50">
        <v>64.58</v>
      </c>
      <c r="N16" s="50">
        <v>324</v>
      </c>
      <c r="O16" s="50">
        <v>0</v>
      </c>
      <c r="P16" s="50">
        <v>1.08</v>
      </c>
      <c r="Q16" s="50">
        <v>55.57</v>
      </c>
      <c r="R16" s="43"/>
      <c r="S16" s="43"/>
      <c r="T16" s="43"/>
      <c r="U16" s="43"/>
    </row>
    <row r="17" spans="1:21" s="11" customFormat="1" ht="15">
      <c r="A17" s="49" t="s">
        <v>624</v>
      </c>
      <c r="B17" s="50">
        <v>57.93</v>
      </c>
      <c r="C17" s="50">
        <v>60.31</v>
      </c>
      <c r="D17" s="50">
        <v>74.55</v>
      </c>
      <c r="E17" s="50">
        <v>2.44</v>
      </c>
      <c r="F17" s="50">
        <v>2.06</v>
      </c>
      <c r="G17" s="50">
        <v>60.58</v>
      </c>
      <c r="H17" s="50">
        <v>38.08</v>
      </c>
      <c r="I17" s="50">
        <v>0.71</v>
      </c>
      <c r="J17" s="50">
        <v>0.96</v>
      </c>
      <c r="K17" s="50">
        <v>213.07</v>
      </c>
      <c r="L17" s="50">
        <v>26.23</v>
      </c>
      <c r="M17" s="50">
        <v>56.81</v>
      </c>
      <c r="N17" s="50">
        <v>535</v>
      </c>
      <c r="O17" s="50">
        <v>0</v>
      </c>
      <c r="P17" s="50">
        <v>1.04</v>
      </c>
      <c r="Q17" s="50">
        <v>61.20</v>
      </c>
      <c r="R17" s="43"/>
      <c r="S17" s="43"/>
      <c r="T17" s="43"/>
      <c r="U17" s="43"/>
    </row>
    <row r="18" spans="1:21" s="11" customFormat="1" ht="15">
      <c r="A18" s="49" t="s">
        <v>625</v>
      </c>
      <c r="B18" s="50">
        <v>36.31</v>
      </c>
      <c r="C18" s="50">
        <v>67.41</v>
      </c>
      <c r="D18" s="50">
        <v>63.63</v>
      </c>
      <c r="E18" s="50">
        <v>2.12</v>
      </c>
      <c r="F18" s="50">
        <v>1.90</v>
      </c>
      <c r="G18" s="50">
        <v>46.45</v>
      </c>
      <c r="H18" s="50">
        <v>28.49</v>
      </c>
      <c r="I18" s="50">
        <v>0.69</v>
      </c>
      <c r="J18" s="50">
        <v>0.42</v>
      </c>
      <c r="K18" s="50">
        <v>353.94</v>
      </c>
      <c r="L18" s="50">
        <v>31.08</v>
      </c>
      <c r="M18" s="50">
        <v>47.94</v>
      </c>
      <c r="N18" s="50">
        <v>712.40</v>
      </c>
      <c r="O18" s="50">
        <v>0</v>
      </c>
      <c r="P18" s="50">
        <v>0.88</v>
      </c>
      <c r="Q18" s="50">
        <v>58.35</v>
      </c>
      <c r="R18" s="43"/>
      <c r="S18" s="43"/>
      <c r="T18" s="43"/>
      <c r="U18" s="43"/>
    </row>
    <row r="19" spans="1:21" s="11" customFormat="1" ht="15">
      <c r="A19" s="49" t="s">
        <v>626</v>
      </c>
      <c r="B19" s="50">
        <v>19.329999999999998</v>
      </c>
      <c r="C19" s="50">
        <v>59.12</v>
      </c>
      <c r="D19" s="50">
        <v>47.37</v>
      </c>
      <c r="E19" s="50">
        <v>2.89</v>
      </c>
      <c r="F19" s="50">
        <v>10.57</v>
      </c>
      <c r="G19" s="50">
        <v>42.48</v>
      </c>
      <c r="H19" s="50">
        <v>27.22</v>
      </c>
      <c r="I19" s="50">
        <v>0.60</v>
      </c>
      <c r="J19" s="50">
        <v>0.30</v>
      </c>
      <c r="K19" s="50">
        <v>351.38</v>
      </c>
      <c r="L19" s="50">
        <v>31.5</v>
      </c>
      <c r="M19" s="50">
        <v>36.83</v>
      </c>
      <c r="N19" s="50">
        <v>819.10</v>
      </c>
      <c r="O19" s="50">
        <v>0</v>
      </c>
      <c r="P19" s="50">
        <v>0.79</v>
      </c>
      <c r="Q19" s="50">
        <v>57.23</v>
      </c>
      <c r="R19" s="43"/>
      <c r="S19" s="43"/>
      <c r="T19" s="43"/>
      <c r="U19" s="43"/>
    </row>
    <row r="20" spans="1:21" s="11" customFormat="1" ht="15">
      <c r="A20" s="49" t="s">
        <v>627</v>
      </c>
      <c r="B20" s="50">
        <v>12.82</v>
      </c>
      <c r="C20" s="50">
        <v>73.88</v>
      </c>
      <c r="D20" s="50">
        <v>52.79</v>
      </c>
      <c r="E20" s="50">
        <v>3.41</v>
      </c>
      <c r="F20" s="50">
        <v>7.80</v>
      </c>
      <c r="G20" s="50">
        <v>48.01</v>
      </c>
      <c r="H20" s="50">
        <v>23.41</v>
      </c>
      <c r="I20" s="50">
        <v>0.62</v>
      </c>
      <c r="J20" s="50">
        <v>0.65</v>
      </c>
      <c r="K20" s="50">
        <v>248.72</v>
      </c>
      <c r="L20" s="50">
        <v>31.49</v>
      </c>
      <c r="M20" s="50">
        <v>35.729999999999997</v>
      </c>
      <c r="N20" s="50">
        <v>890</v>
      </c>
      <c r="O20" s="50">
        <v>0</v>
      </c>
      <c r="P20" s="50">
        <v>0.79</v>
      </c>
      <c r="Q20" s="50">
        <v>58.98</v>
      </c>
      <c r="R20" s="43"/>
      <c r="S20" s="43"/>
      <c r="T20" s="43"/>
      <c r="U20" s="43"/>
    </row>
    <row r="21" spans="1:21" s="11" customFormat="1" ht="15">
      <c r="A21" s="49" t="s">
        <v>628</v>
      </c>
      <c r="B21" s="50">
        <v>5.86</v>
      </c>
      <c r="C21" s="50">
        <v>75.62</v>
      </c>
      <c r="D21" s="50">
        <v>48.17</v>
      </c>
      <c r="E21" s="50">
        <v>3.37</v>
      </c>
      <c r="F21" s="50">
        <v>6.37</v>
      </c>
      <c r="G21" s="50">
        <v>48.43</v>
      </c>
      <c r="H21" s="50">
        <v>23.33</v>
      </c>
      <c r="I21" s="50">
        <v>0.64</v>
      </c>
      <c r="J21" s="50">
        <v>1.03</v>
      </c>
      <c r="K21" s="50">
        <v>182.21</v>
      </c>
      <c r="L21" s="50">
        <v>31.27</v>
      </c>
      <c r="M21" s="50">
        <v>34.04</v>
      </c>
      <c r="N21" s="50">
        <v>883</v>
      </c>
      <c r="O21" s="50">
        <v>0</v>
      </c>
      <c r="P21" s="50">
        <v>0.71</v>
      </c>
      <c r="Q21" s="50">
        <v>58.10</v>
      </c>
      <c r="R21" s="43"/>
      <c r="S21" s="43"/>
      <c r="T21" s="43"/>
      <c r="U21" s="43"/>
    </row>
    <row r="22" spans="1:21" s="11" customFormat="1" ht="15">
      <c r="A22" s="49" t="s">
        <v>629</v>
      </c>
      <c r="B22" s="50">
        <v>5.61</v>
      </c>
      <c r="C22" s="50">
        <v>61.52</v>
      </c>
      <c r="D22" s="50">
        <v>38.92</v>
      </c>
      <c r="E22" s="50">
        <v>3.97</v>
      </c>
      <c r="F22" s="50">
        <v>22.01</v>
      </c>
      <c r="G22" s="50">
        <v>48.43</v>
      </c>
      <c r="H22" s="50">
        <v>19.86</v>
      </c>
      <c r="I22" s="50">
        <v>0.63</v>
      </c>
      <c r="J22" s="50">
        <v>1.19</v>
      </c>
      <c r="K22" s="50">
        <v>171.83</v>
      </c>
      <c r="L22" s="50">
        <v>31.27</v>
      </c>
      <c r="M22" s="50">
        <v>30.65</v>
      </c>
      <c r="N22" s="50">
        <v>798.70</v>
      </c>
      <c r="O22" s="50">
        <v>0</v>
      </c>
      <c r="P22" s="50">
        <v>0.56000000000000005</v>
      </c>
      <c r="Q22" s="50">
        <v>56.5</v>
      </c>
      <c r="R22" s="43"/>
      <c r="S22" s="43"/>
      <c r="T22" s="43"/>
      <c r="U22" s="43"/>
    </row>
    <row r="23" spans="1:21" s="11" customFormat="1" ht="15">
      <c r="A23" s="49" t="s">
        <v>630</v>
      </c>
      <c r="B23" s="58" t="s">
        <v>4</v>
      </c>
      <c r="C23" s="58" t="s">
        <v>4</v>
      </c>
      <c r="D23" s="58" t="s">
        <v>4</v>
      </c>
      <c r="E23" s="58" t="s">
        <v>4</v>
      </c>
      <c r="F23" s="58" t="s">
        <v>4</v>
      </c>
      <c r="G23" s="58" t="s">
        <v>4</v>
      </c>
      <c r="H23" s="58" t="s">
        <v>4</v>
      </c>
      <c r="I23" s="58" t="s">
        <v>4</v>
      </c>
      <c r="J23" s="58" t="s">
        <v>4</v>
      </c>
      <c r="K23" s="58" t="s">
        <v>4</v>
      </c>
      <c r="L23" s="58" t="s">
        <v>4</v>
      </c>
      <c r="M23" s="58" t="s">
        <v>4</v>
      </c>
      <c r="N23" s="58" t="s">
        <v>4</v>
      </c>
      <c r="O23" s="58" t="s">
        <v>4</v>
      </c>
      <c r="P23" s="58" t="s">
        <v>4</v>
      </c>
      <c r="Q23" s="58" t="s">
        <v>4</v>
      </c>
      <c r="R23" s="43"/>
      <c r="S23" s="43"/>
      <c r="T23" s="43"/>
      <c r="U23" s="43"/>
    </row>
    <row r="24" spans="1:21" s="11" customFormat="1" ht="15">
      <c r="A24" s="49" t="s">
        <v>631</v>
      </c>
      <c r="B24" s="58" t="s">
        <v>4</v>
      </c>
      <c r="C24" s="58" t="s">
        <v>4</v>
      </c>
      <c r="D24" s="58" t="s">
        <v>4</v>
      </c>
      <c r="E24" s="58" t="s">
        <v>4</v>
      </c>
      <c r="F24" s="58" t="s">
        <v>4</v>
      </c>
      <c r="G24" s="58" t="s">
        <v>4</v>
      </c>
      <c r="H24" s="58" t="s">
        <v>4</v>
      </c>
      <c r="I24" s="58" t="s">
        <v>4</v>
      </c>
      <c r="J24" s="58" t="s">
        <v>4</v>
      </c>
      <c r="K24" s="58" t="s">
        <v>4</v>
      </c>
      <c r="L24" s="58" t="s">
        <v>4</v>
      </c>
      <c r="M24" s="58" t="s">
        <v>4</v>
      </c>
      <c r="N24" s="58" t="s">
        <v>4</v>
      </c>
      <c r="O24" s="58" t="s">
        <v>4</v>
      </c>
      <c r="P24" s="58" t="s">
        <v>4</v>
      </c>
      <c r="Q24" s="58" t="s">
        <v>4</v>
      </c>
      <c r="R24" s="43"/>
      <c r="S24" s="43"/>
      <c r="T24" s="43"/>
      <c r="U24" s="43"/>
    </row>
    <row r="25" spans="1:21" s="11" customFormat="1" ht="15">
      <c r="A25" s="49" t="s">
        <v>632</v>
      </c>
      <c r="B25" s="50">
        <v>4.53</v>
      </c>
      <c r="C25" s="50">
        <v>52.18</v>
      </c>
      <c r="D25" s="50">
        <v>34.14</v>
      </c>
      <c r="E25" s="50">
        <v>0.64</v>
      </c>
      <c r="F25" s="50">
        <v>10</v>
      </c>
      <c r="G25" s="50">
        <v>133.56</v>
      </c>
      <c r="H25" s="50">
        <v>16.72</v>
      </c>
      <c r="I25" s="62" t="s">
        <v>14</v>
      </c>
      <c r="J25" s="50">
        <v>0.36</v>
      </c>
      <c r="K25" s="50">
        <v>334.61</v>
      </c>
      <c r="L25" s="50">
        <v>30.20</v>
      </c>
      <c r="M25" s="50">
        <v>31.79</v>
      </c>
      <c r="N25" s="50">
        <v>87.60</v>
      </c>
      <c r="O25" s="50">
        <v>0</v>
      </c>
      <c r="P25" s="50">
        <v>0.5</v>
      </c>
      <c r="Q25" s="6" t="s">
        <v>20</v>
      </c>
      <c r="R25" s="43"/>
      <c r="S25" s="43"/>
      <c r="T25" s="43"/>
      <c r="U25" s="43"/>
    </row>
    <row r="26" spans="1:21" s="11" customFormat="1" ht="15">
      <c r="A26" s="49" t="s">
        <v>633</v>
      </c>
      <c r="B26" s="50">
        <v>5.14</v>
      </c>
      <c r="C26" s="50">
        <v>78.25</v>
      </c>
      <c r="D26" s="50">
        <v>48.75</v>
      </c>
      <c r="E26" s="62" t="s">
        <v>14</v>
      </c>
      <c r="F26" s="50">
        <v>10.67</v>
      </c>
      <c r="G26" s="50">
        <v>56.71</v>
      </c>
      <c r="H26" s="50">
        <v>15.77</v>
      </c>
      <c r="I26" s="62" t="s">
        <v>14</v>
      </c>
      <c r="J26" s="50">
        <v>0.61</v>
      </c>
      <c r="K26" s="50">
        <v>281.25</v>
      </c>
      <c r="L26" s="50">
        <v>30.39</v>
      </c>
      <c r="M26" s="50">
        <v>36.24</v>
      </c>
      <c r="N26" s="50">
        <v>87.5</v>
      </c>
      <c r="O26" s="50">
        <v>0</v>
      </c>
      <c r="P26" s="50">
        <v>0.46</v>
      </c>
      <c r="Q26" s="50">
        <v>68.17</v>
      </c>
      <c r="R26" s="43"/>
      <c r="S26" s="43"/>
      <c r="T26" s="43"/>
      <c r="U26" s="43"/>
    </row>
    <row r="27" spans="1:21" s="11" customFormat="1" ht="15">
      <c r="A27" s="49" t="s">
        <v>634</v>
      </c>
      <c r="B27" s="50">
        <v>19.75</v>
      </c>
      <c r="C27" s="50">
        <v>105.03</v>
      </c>
      <c r="D27" s="50">
        <v>75.55</v>
      </c>
      <c r="E27" s="62" t="s">
        <v>14</v>
      </c>
      <c r="F27" s="50">
        <v>29.92</v>
      </c>
      <c r="G27" s="50">
        <v>69.66</v>
      </c>
      <c r="H27" s="50">
        <v>18.25</v>
      </c>
      <c r="I27" s="62" t="s">
        <v>14</v>
      </c>
      <c r="J27" s="50">
        <v>0.35</v>
      </c>
      <c r="K27" s="50">
        <v>250.85</v>
      </c>
      <c r="L27" s="50">
        <v>28.53</v>
      </c>
      <c r="M27" s="50">
        <v>40.92</v>
      </c>
      <c r="N27" s="50">
        <v>8.40</v>
      </c>
      <c r="O27" s="50">
        <v>0</v>
      </c>
      <c r="P27" s="50">
        <v>0.75</v>
      </c>
      <c r="Q27" s="50">
        <v>25.92</v>
      </c>
      <c r="R27" s="43"/>
      <c r="S27" s="43"/>
      <c r="T27" s="43"/>
      <c r="U27" s="43"/>
    </row>
    <row r="28" spans="1:21" s="11" customFormat="1" ht="15">
      <c r="A28" s="49" t="s">
        <v>635</v>
      </c>
      <c r="B28" s="50">
        <v>26.56</v>
      </c>
      <c r="C28" s="50">
        <v>97.14</v>
      </c>
      <c r="D28" s="50">
        <v>76.650000000000006</v>
      </c>
      <c r="E28" s="50">
        <v>2.5</v>
      </c>
      <c r="F28" s="50">
        <v>11.97</v>
      </c>
      <c r="G28" s="50">
        <v>75.680000000000007</v>
      </c>
      <c r="H28" s="50">
        <v>23.70</v>
      </c>
      <c r="I28" s="62" t="s">
        <v>14</v>
      </c>
      <c r="J28" s="50">
        <v>0.12</v>
      </c>
      <c r="K28" s="50">
        <v>330.22</v>
      </c>
      <c r="L28" s="50">
        <v>27.52</v>
      </c>
      <c r="M28" s="50">
        <v>45.70</v>
      </c>
      <c r="N28" s="50">
        <v>5</v>
      </c>
      <c r="O28" s="50">
        <v>0</v>
      </c>
      <c r="P28" s="50">
        <v>1.29</v>
      </c>
      <c r="Q28" s="50">
        <v>17.59</v>
      </c>
      <c r="R28" s="43"/>
      <c r="S28" s="43"/>
      <c r="T28" s="43"/>
      <c r="U28" s="43"/>
    </row>
    <row r="29" spans="1:21" s="11" customFormat="1" ht="15">
      <c r="A29" s="49" t="s">
        <v>636</v>
      </c>
      <c r="B29" s="50">
        <v>27.12</v>
      </c>
      <c r="C29" s="50">
        <v>72.28</v>
      </c>
      <c r="D29" s="50">
        <v>63.38</v>
      </c>
      <c r="E29" s="50">
        <v>4.25</v>
      </c>
      <c r="F29" s="50">
        <v>6.02</v>
      </c>
      <c r="G29" s="50">
        <v>96.92</v>
      </c>
      <c r="H29" s="50">
        <v>25.09</v>
      </c>
      <c r="I29" s="62" t="s">
        <v>14</v>
      </c>
      <c r="J29" s="50">
        <v>0.53</v>
      </c>
      <c r="K29" s="50">
        <v>323.47000000000003</v>
      </c>
      <c r="L29" s="50">
        <v>26.04</v>
      </c>
      <c r="M29" s="50">
        <v>51.22</v>
      </c>
      <c r="N29" s="50">
        <v>5.0999999999999996</v>
      </c>
      <c r="O29" s="50">
        <v>0</v>
      </c>
      <c r="P29" s="50">
        <v>1.30</v>
      </c>
      <c r="Q29" s="50">
        <v>17.70</v>
      </c>
      <c r="R29" s="43"/>
      <c r="S29" s="43"/>
      <c r="T29" s="43"/>
      <c r="U29" s="43"/>
    </row>
    <row r="30" spans="1:21" s="11" customFormat="1" ht="15">
      <c r="A30" s="49" t="s">
        <v>637</v>
      </c>
      <c r="B30" s="50">
        <v>55.10</v>
      </c>
      <c r="C30" s="50">
        <v>77.52</v>
      </c>
      <c r="D30" s="50">
        <v>88.71</v>
      </c>
      <c r="E30" s="50">
        <v>2.89</v>
      </c>
      <c r="F30" s="50">
        <v>2.04</v>
      </c>
      <c r="G30" s="50">
        <v>97.90</v>
      </c>
      <c r="H30" s="50">
        <v>26.51</v>
      </c>
      <c r="I30" s="62" t="s">
        <v>14</v>
      </c>
      <c r="J30" s="50">
        <v>0.22</v>
      </c>
      <c r="K30" s="50">
        <v>350.77</v>
      </c>
      <c r="L30" s="50">
        <v>24.97</v>
      </c>
      <c r="M30" s="50">
        <v>57.11</v>
      </c>
      <c r="N30" s="50">
        <v>5</v>
      </c>
      <c r="O30" s="50">
        <v>0</v>
      </c>
      <c r="P30" s="50">
        <v>1.39</v>
      </c>
      <c r="Q30" s="50">
        <v>17.89</v>
      </c>
      <c r="R30" s="43"/>
      <c r="S30" s="43"/>
      <c r="T30" s="43"/>
      <c r="U30" s="43"/>
    </row>
    <row r="31" spans="1:21" s="11" customFormat="1" ht="15">
      <c r="A31" s="49" t="s">
        <v>638</v>
      </c>
      <c r="B31" s="50">
        <v>61.94</v>
      </c>
      <c r="C31" s="50">
        <v>75.98</v>
      </c>
      <c r="D31" s="50">
        <v>93.34</v>
      </c>
      <c r="E31" s="50">
        <v>3.05</v>
      </c>
      <c r="F31" s="50">
        <v>5.37</v>
      </c>
      <c r="G31" s="50">
        <v>97.47</v>
      </c>
      <c r="H31" s="50">
        <v>29.10</v>
      </c>
      <c r="I31" s="62" t="s">
        <v>14</v>
      </c>
      <c r="J31" s="50">
        <v>0.19</v>
      </c>
      <c r="K31" s="50">
        <v>306.81</v>
      </c>
      <c r="L31" s="50">
        <v>23.88</v>
      </c>
      <c r="M31" s="50">
        <v>59.62</v>
      </c>
      <c r="N31" s="50">
        <v>4.9000000000000004</v>
      </c>
      <c r="O31" s="50">
        <v>0</v>
      </c>
      <c r="P31" s="50">
        <v>1.52</v>
      </c>
      <c r="Q31" s="50">
        <v>18.20</v>
      </c>
      <c r="R31" s="43"/>
      <c r="S31" s="43"/>
      <c r="T31" s="43"/>
      <c r="U31" s="43"/>
    </row>
    <row r="32" spans="1:21" s="11" customFormat="1" ht="15">
      <c r="A32" s="49" t="s">
        <v>639</v>
      </c>
      <c r="B32" s="50">
        <v>44.94</v>
      </c>
      <c r="C32" s="50">
        <v>62.43</v>
      </c>
      <c r="D32" s="50">
        <v>72.239999999999995</v>
      </c>
      <c r="E32" s="50">
        <v>2.61</v>
      </c>
      <c r="F32" s="50">
        <v>4.8499999999999996</v>
      </c>
      <c r="G32" s="50">
        <v>90.77</v>
      </c>
      <c r="H32" s="50">
        <v>29.19</v>
      </c>
      <c r="I32" s="62" t="s">
        <v>14</v>
      </c>
      <c r="J32" s="50">
        <v>0.60</v>
      </c>
      <c r="K32" s="50">
        <v>348.35</v>
      </c>
      <c r="L32" s="50">
        <v>23.49</v>
      </c>
      <c r="M32" s="50">
        <v>59.26</v>
      </c>
      <c r="N32" s="50">
        <v>5.0999999999999996</v>
      </c>
      <c r="O32" s="50">
        <v>0</v>
      </c>
      <c r="P32" s="50">
        <v>1.19</v>
      </c>
      <c r="Q32" s="50">
        <v>21.35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4.5300000000000002</v>
      </c>
      <c r="C34" s="28">
        <f t="shared" si="0"/>
        <v>52.18</v>
      </c>
      <c r="D34" s="28">
        <f t="shared" si="0"/>
        <v>34.140000000000001</v>
      </c>
      <c r="E34" s="28">
        <f t="shared" si="0"/>
        <v>0.64000000000000001</v>
      </c>
      <c r="F34" s="28">
        <f t="shared" si="0"/>
        <v>1.3600000000000001</v>
      </c>
      <c r="G34" s="28">
        <f t="shared" si="0"/>
        <v>42.479999999999997</v>
      </c>
      <c r="H34" s="28">
        <f t="shared" si="0"/>
        <v>15.77</v>
      </c>
      <c r="I34" s="28">
        <f t="shared" si="0"/>
        <v>0.59999999999999998</v>
      </c>
      <c r="J34" s="28">
        <f t="shared" si="0"/>
        <v>0.10000000000000001</v>
      </c>
      <c r="K34" s="28">
        <f t="shared" si="0"/>
        <v>171.83000000000001</v>
      </c>
      <c r="L34" s="28">
        <f t="shared" si="0"/>
        <v>19.120000000000001</v>
      </c>
      <c r="M34" s="28">
        <f t="shared" si="0"/>
        <v>30.649999999999999</v>
      </c>
      <c r="N34" s="28">
        <f t="shared" si="0"/>
        <v>4.9000000000000004</v>
      </c>
      <c r="O34" s="28">
        <f t="shared" si="0"/>
        <v>0</v>
      </c>
      <c r="P34" s="28">
        <f t="shared" si="0"/>
        <v>0.46000000000000002</v>
      </c>
      <c r="Q34" s="28">
        <f t="shared" si="0"/>
        <v>17.59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78.579999999999998</v>
      </c>
      <c r="C35" s="29">
        <f t="shared" si="1"/>
        <v>105.03</v>
      </c>
      <c r="D35" s="29">
        <f t="shared" si="1"/>
        <v>99.950000000000003</v>
      </c>
      <c r="E35" s="29">
        <f t="shared" si="1"/>
        <v>4.25</v>
      </c>
      <c r="F35" s="29">
        <f t="shared" si="1"/>
        <v>29.920000000000002</v>
      </c>
      <c r="G35" s="29">
        <f t="shared" si="1"/>
        <v>141.34</v>
      </c>
      <c r="H35" s="29">
        <f t="shared" si="1"/>
        <v>42.539999999999999</v>
      </c>
      <c r="I35" s="29">
        <f t="shared" si="1"/>
        <v>1.03</v>
      </c>
      <c r="J35" s="29">
        <f t="shared" si="1"/>
        <v>1.1899999999999999</v>
      </c>
      <c r="K35" s="29">
        <f t="shared" si="1"/>
        <v>358.36000000000001</v>
      </c>
      <c r="L35" s="29">
        <f t="shared" si="1"/>
        <v>31.5</v>
      </c>
      <c r="M35" s="29">
        <f t="shared" si="1"/>
        <v>79.670000000000002</v>
      </c>
      <c r="N35" s="29">
        <f t="shared" si="1"/>
        <v>890</v>
      </c>
      <c r="O35" s="29">
        <f t="shared" si="1"/>
        <v>0</v>
      </c>
      <c r="P35" s="29">
        <f t="shared" si="1"/>
        <v>1.8100000000000001</v>
      </c>
      <c r="Q35" s="29">
        <f t="shared" si="1"/>
        <v>68.170000000000002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41.289090909090902</v>
      </c>
      <c r="C36" s="28">
        <f t="shared" si="2"/>
        <v>69.093181818181819</v>
      </c>
      <c r="D36" s="28">
        <f t="shared" si="2"/>
        <v>72.028181818181821</v>
      </c>
      <c r="E36" s="28">
        <f t="shared" si="2"/>
        <v>2.7674999999999996</v>
      </c>
      <c r="F36" s="28">
        <f t="shared" si="2"/>
        <v>6.6963636363636372</v>
      </c>
      <c r="G36" s="28">
        <f t="shared" si="2"/>
        <v>82.4077272727273</v>
      </c>
      <c r="H36" s="28">
        <f t="shared" si="2"/>
        <v>28.536818181818191</v>
      </c>
      <c r="I36" s="28">
        <f t="shared" si="2"/>
        <v>0.76642857142857146</v>
      </c>
      <c r="J36" s="28">
        <f t="shared" si="2"/>
        <v>0.46818181818181814</v>
      </c>
      <c r="K36" s="28">
        <f t="shared" si="2"/>
        <v>290.50772727272732</v>
      </c>
      <c r="L36" s="28">
        <f t="shared" si="2"/>
        <v>25.512272727272727</v>
      </c>
      <c r="M36" s="28">
        <f t="shared" si="2"/>
        <v>55.085454545454539</v>
      </c>
      <c r="N36" s="28">
        <f t="shared" si="2"/>
        <v>241.17727272727276</v>
      </c>
      <c r="O36" s="28">
        <f t="shared" si="2"/>
        <v>0</v>
      </c>
      <c r="P36" s="28">
        <f t="shared" si="2"/>
        <v>1.0990909090909093</v>
      </c>
      <c r="Q36" s="28">
        <f t="shared" si="2"/>
        <v>48.158571428571435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25.479114305659582</v>
      </c>
      <c r="C37" s="28">
        <f t="shared" si="3" ref="C37:Q37">STDEV(C9:C32)</f>
        <v>12.540419369597201</v>
      </c>
      <c r="D37" s="28">
        <f t="shared" si="3"/>
        <v>19.60548335260254</v>
      </c>
      <c r="E37" s="28">
        <f t="shared" si="3"/>
        <v>0.74316446433655203</v>
      </c>
      <c r="F37" s="28">
        <f t="shared" si="3"/>
        <v>7.2336966413837862</v>
      </c>
      <c r="G37" s="28">
        <f t="shared" si="3"/>
        <v>27.363240188916947</v>
      </c>
      <c r="H37" s="28">
        <f t="shared" si="3"/>
        <v>7.3716718956282961</v>
      </c>
      <c r="I37" s="28">
        <f t="shared" si="3"/>
        <v>0.14052687357869412</v>
      </c>
      <c r="J37" s="28">
        <f t="shared" si="3"/>
        <v>0.32759784236216566</v>
      </c>
      <c r="K37" s="28">
        <f t="shared" si="3"/>
        <v>64.120342209511875</v>
      </c>
      <c r="L37" s="28">
        <f t="shared" si="3"/>
        <v>4.6618501659423828</v>
      </c>
      <c r="M37" s="28">
        <f t="shared" si="3"/>
        <v>16.787770982040897</v>
      </c>
      <c r="N37" s="28">
        <f t="shared" si="3"/>
        <v>346.84637594545148</v>
      </c>
      <c r="O37" s="28">
        <f t="shared" si="3"/>
        <v>0</v>
      </c>
      <c r="P37" s="28">
        <f t="shared" si="3"/>
        <v>0.38340466115989524</v>
      </c>
      <c r="Q37" s="28">
        <f t="shared" si="3"/>
        <v>18.670574518668204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COUNT(B9:B32)+2</f>
        <v>24</v>
      </c>
      <c r="C38" s="32">
        <f>COUNT(C9:C32)+2</f>
        <v>24</v>
      </c>
      <c r="D38" s="32">
        <f>COUNT(D9:D32)+2</f>
        <v>24</v>
      </c>
      <c r="E38" s="32">
        <f>COUNT(E9:E32)+4</f>
        <v>24</v>
      </c>
      <c r="F38" s="32">
        <f>COUNT(F9:F32)+2</f>
        <v>24</v>
      </c>
      <c r="G38" s="32">
        <f>COUNT(G9:G32)+2</f>
        <v>24</v>
      </c>
      <c r="H38" s="32">
        <f>COUNT(H9:H32)+2</f>
        <v>24</v>
      </c>
      <c r="I38" s="32">
        <f>COUNT(I9:I32)+10</f>
        <v>24</v>
      </c>
      <c r="J38" s="32">
        <f>COUNT(J9:J32)+2</f>
        <v>24</v>
      </c>
      <c r="K38" s="32">
        <f t="shared" si="4" ref="K38:P38">COUNT(K9:K32)+2</f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COUNT(Q9:Q32)+3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615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0b43525-56cc-4e94-95ac-5bb6d5fe6247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25-03-2023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1" t="s">
        <v>58</v>
      </c>
      <c r="C7" s="51" t="s">
        <v>43</v>
      </c>
      <c r="D7" s="51" t="s">
        <v>44</v>
      </c>
      <c r="E7" s="51" t="s">
        <v>45</v>
      </c>
      <c r="F7" s="51" t="s">
        <v>46</v>
      </c>
      <c r="G7" s="51" t="s">
        <v>47</v>
      </c>
      <c r="H7" s="51" t="s">
        <v>48</v>
      </c>
      <c r="I7" s="51" t="s">
        <v>49</v>
      </c>
      <c r="J7" s="51" t="s">
        <v>50</v>
      </c>
      <c r="K7" s="51" t="s">
        <v>51</v>
      </c>
      <c r="L7" s="51" t="s">
        <v>52</v>
      </c>
      <c r="M7" s="51" t="s">
        <v>53</v>
      </c>
      <c r="N7" s="51" t="s">
        <v>54</v>
      </c>
      <c r="O7" s="51" t="s">
        <v>55</v>
      </c>
      <c r="P7" s="51" t="s">
        <v>56</v>
      </c>
      <c r="Q7" s="51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62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49" t="s">
        <v>640</v>
      </c>
      <c r="B9" s="50">
        <v>41.68</v>
      </c>
      <c r="C9" s="50">
        <v>64.459999999999994</v>
      </c>
      <c r="D9" s="50">
        <v>70.739999999999995</v>
      </c>
      <c r="E9" s="50">
        <v>3.38</v>
      </c>
      <c r="F9" s="50">
        <v>1.86</v>
      </c>
      <c r="G9" s="50">
        <v>68.63</v>
      </c>
      <c r="H9" s="50">
        <v>25.99</v>
      </c>
      <c r="I9" s="52" t="s">
        <v>8</v>
      </c>
      <c r="J9" s="50">
        <v>0.17</v>
      </c>
      <c r="K9" s="50">
        <v>343.89</v>
      </c>
      <c r="L9" s="50">
        <v>22.16</v>
      </c>
      <c r="M9" s="50">
        <v>66.47</v>
      </c>
      <c r="N9" s="50">
        <v>5.0999999999999996</v>
      </c>
      <c r="O9" s="50">
        <v>0</v>
      </c>
      <c r="P9" s="50">
        <v>1.18</v>
      </c>
      <c r="Q9" s="50">
        <v>18.20</v>
      </c>
      <c r="R9" s="43"/>
      <c r="S9" s="43"/>
      <c r="T9" s="43"/>
      <c r="U9" s="43"/>
    </row>
    <row r="10" spans="1:21" s="11" customFormat="1" ht="15">
      <c r="A10" s="49" t="s">
        <v>641</v>
      </c>
      <c r="B10" s="50">
        <v>40.85</v>
      </c>
      <c r="C10" s="50">
        <v>62.94</v>
      </c>
      <c r="D10" s="50">
        <v>69.23</v>
      </c>
      <c r="E10" s="50">
        <v>2.96</v>
      </c>
      <c r="F10" s="50">
        <v>2.09</v>
      </c>
      <c r="G10" s="50">
        <v>70.37</v>
      </c>
      <c r="H10" s="50">
        <v>25.28</v>
      </c>
      <c r="I10" s="52" t="s">
        <v>8</v>
      </c>
      <c r="J10" s="50">
        <v>0.22</v>
      </c>
      <c r="K10" s="50">
        <v>358.89</v>
      </c>
      <c r="L10" s="50">
        <v>21.47</v>
      </c>
      <c r="M10" s="50">
        <v>68.430000000000007</v>
      </c>
      <c r="N10" s="50">
        <v>4.80</v>
      </c>
      <c r="O10" s="50">
        <v>0</v>
      </c>
      <c r="P10" s="50">
        <v>1.05</v>
      </c>
      <c r="Q10" s="50">
        <v>16.13</v>
      </c>
      <c r="R10" s="43"/>
      <c r="S10" s="43"/>
      <c r="T10" s="43"/>
      <c r="U10" s="43"/>
    </row>
    <row r="11" spans="1:21" s="11" customFormat="1" ht="15">
      <c r="A11" s="49" t="s">
        <v>642</v>
      </c>
      <c r="B11" s="50">
        <v>39.369999999999997</v>
      </c>
      <c r="C11" s="50">
        <v>62.70</v>
      </c>
      <c r="D11" s="50">
        <v>64.75</v>
      </c>
      <c r="E11" s="50">
        <v>2.93</v>
      </c>
      <c r="F11" s="50">
        <v>2.2599999999999998</v>
      </c>
      <c r="G11" s="50">
        <v>70.44</v>
      </c>
      <c r="H11" s="50">
        <v>25.34</v>
      </c>
      <c r="I11" s="52" t="s">
        <v>8</v>
      </c>
      <c r="J11" s="50">
        <v>0.15</v>
      </c>
      <c r="K11" s="50">
        <v>342.96</v>
      </c>
      <c r="L11" s="50">
        <v>21.57</v>
      </c>
      <c r="M11" s="50">
        <v>70.790000000000006</v>
      </c>
      <c r="N11" s="50">
        <v>5.0999999999999996</v>
      </c>
      <c r="O11" s="50">
        <v>0</v>
      </c>
      <c r="P11" s="50">
        <v>0.97</v>
      </c>
      <c r="Q11" s="50">
        <v>14.60</v>
      </c>
      <c r="R11" s="43"/>
      <c r="S11" s="43"/>
      <c r="T11" s="43"/>
      <c r="U11" s="43"/>
    </row>
    <row r="12" spans="1:21" s="11" customFormat="1" ht="15">
      <c r="A12" s="49" t="s">
        <v>643</v>
      </c>
      <c r="B12" s="50">
        <v>46.27</v>
      </c>
      <c r="C12" s="50">
        <v>54.67</v>
      </c>
      <c r="D12" s="50">
        <v>66.150000000000006</v>
      </c>
      <c r="E12" s="50">
        <v>3.19</v>
      </c>
      <c r="F12" s="50">
        <v>1.83</v>
      </c>
      <c r="G12" s="50">
        <v>86.72</v>
      </c>
      <c r="H12" s="50">
        <v>26.56</v>
      </c>
      <c r="I12" s="52" t="s">
        <v>8</v>
      </c>
      <c r="J12" s="50">
        <v>0.12</v>
      </c>
      <c r="K12" s="50">
        <v>355.47</v>
      </c>
      <c r="L12" s="50">
        <v>20.350000000000001</v>
      </c>
      <c r="M12" s="50">
        <v>74.36</v>
      </c>
      <c r="N12" s="50">
        <v>4.80</v>
      </c>
      <c r="O12" s="50">
        <v>0</v>
      </c>
      <c r="P12" s="50">
        <v>0.95</v>
      </c>
      <c r="Q12" s="50">
        <v>16.600000000000001</v>
      </c>
      <c r="R12" s="43"/>
      <c r="S12" s="43"/>
      <c r="T12" s="43"/>
      <c r="U12" s="43"/>
    </row>
    <row r="13" spans="1:21" s="11" customFormat="1" ht="15">
      <c r="A13" s="49" t="s">
        <v>644</v>
      </c>
      <c r="B13" s="50">
        <v>53.04</v>
      </c>
      <c r="C13" s="50">
        <v>57.33</v>
      </c>
      <c r="D13" s="50">
        <v>75.91</v>
      </c>
      <c r="E13" s="50">
        <v>3.03</v>
      </c>
      <c r="F13" s="50">
        <v>1.54</v>
      </c>
      <c r="G13" s="50">
        <v>101.44</v>
      </c>
      <c r="H13" s="50">
        <v>30.18</v>
      </c>
      <c r="I13" s="52" t="s">
        <v>8</v>
      </c>
      <c r="J13" s="50">
        <v>0.10</v>
      </c>
      <c r="K13" s="50">
        <v>345.94</v>
      </c>
      <c r="L13" s="50">
        <v>20.05</v>
      </c>
      <c r="M13" s="50">
        <v>74.319999999999993</v>
      </c>
      <c r="N13" s="50">
        <v>4.9000000000000004</v>
      </c>
      <c r="O13" s="50">
        <v>0</v>
      </c>
      <c r="P13" s="50">
        <v>0.94</v>
      </c>
      <c r="Q13" s="50">
        <v>18.440000000000001</v>
      </c>
      <c r="R13" s="43"/>
      <c r="S13" s="43"/>
      <c r="T13" s="43"/>
      <c r="U13" s="43"/>
    </row>
    <row r="14" spans="1:21" s="11" customFormat="1" ht="15">
      <c r="A14" s="49" t="s">
        <v>645</v>
      </c>
      <c r="B14" s="50">
        <v>70.819999999999993</v>
      </c>
      <c r="C14" s="50">
        <v>59.69</v>
      </c>
      <c r="D14" s="50">
        <v>89.29</v>
      </c>
      <c r="E14" s="50">
        <v>3.02</v>
      </c>
      <c r="F14" s="50">
        <v>1.29</v>
      </c>
      <c r="G14" s="50">
        <v>124.17</v>
      </c>
      <c r="H14" s="50">
        <v>35.69</v>
      </c>
      <c r="I14" s="52" t="s">
        <v>8</v>
      </c>
      <c r="J14" s="50">
        <v>0.12</v>
      </c>
      <c r="K14" s="50">
        <v>348.91</v>
      </c>
      <c r="L14" s="50">
        <v>19.98</v>
      </c>
      <c r="M14" s="50">
        <v>76.319999999999993</v>
      </c>
      <c r="N14" s="50">
        <v>7.10</v>
      </c>
      <c r="O14" s="50">
        <v>0</v>
      </c>
      <c r="P14" s="50">
        <v>0.97</v>
      </c>
      <c r="Q14" s="50">
        <v>21.27</v>
      </c>
      <c r="R14" s="43"/>
      <c r="S14" s="43"/>
      <c r="T14" s="43"/>
      <c r="U14" s="43"/>
    </row>
    <row r="15" spans="1:21" s="11" customFormat="1" ht="15">
      <c r="A15" s="49" t="s">
        <v>646</v>
      </c>
      <c r="B15" s="50">
        <v>66.319999999999993</v>
      </c>
      <c r="C15" s="50">
        <v>60.99</v>
      </c>
      <c r="D15" s="50">
        <v>88.58</v>
      </c>
      <c r="E15" s="50">
        <v>3.14</v>
      </c>
      <c r="F15" s="50">
        <v>1.65</v>
      </c>
      <c r="G15" s="50">
        <v>124.93</v>
      </c>
      <c r="H15" s="50">
        <v>35.880000000000003</v>
      </c>
      <c r="I15" s="52" t="s">
        <v>8</v>
      </c>
      <c r="J15" s="50">
        <v>0.53</v>
      </c>
      <c r="K15" s="50">
        <v>238.76</v>
      </c>
      <c r="L15" s="50">
        <v>21.81</v>
      </c>
      <c r="M15" s="50">
        <v>72.36</v>
      </c>
      <c r="N15" s="50">
        <v>108.60</v>
      </c>
      <c r="O15" s="50">
        <v>0</v>
      </c>
      <c r="P15" s="50">
        <v>0.92</v>
      </c>
      <c r="Q15" s="50">
        <v>25.88</v>
      </c>
      <c r="R15" s="43"/>
      <c r="S15" s="43"/>
      <c r="T15" s="43"/>
      <c r="U15" s="43"/>
    </row>
    <row r="16" spans="1:21" s="11" customFormat="1" ht="15">
      <c r="A16" s="49" t="s">
        <v>647</v>
      </c>
      <c r="B16" s="50">
        <v>64.680000000000007</v>
      </c>
      <c r="C16" s="50">
        <v>58.28</v>
      </c>
      <c r="D16" s="50">
        <v>85.73</v>
      </c>
      <c r="E16" s="50">
        <v>3.18</v>
      </c>
      <c r="F16" s="50">
        <v>1.68</v>
      </c>
      <c r="G16" s="50">
        <v>78.010000000000005</v>
      </c>
      <c r="H16" s="50">
        <v>32.79</v>
      </c>
      <c r="I16" s="52" t="s">
        <v>8</v>
      </c>
      <c r="J16" s="50">
        <v>0.72</v>
      </c>
      <c r="K16" s="50">
        <v>212.28</v>
      </c>
      <c r="L16" s="50">
        <v>25.13</v>
      </c>
      <c r="M16" s="50">
        <v>64.47</v>
      </c>
      <c r="N16" s="50">
        <v>306.10000000000002</v>
      </c>
      <c r="O16" s="50">
        <v>0</v>
      </c>
      <c r="P16" s="50">
        <v>0.88</v>
      </c>
      <c r="Q16" s="50">
        <v>23.82</v>
      </c>
      <c r="R16" s="43"/>
      <c r="S16" s="43"/>
      <c r="T16" s="43"/>
      <c r="U16" s="43"/>
    </row>
    <row r="17" spans="1:21" s="11" customFormat="1" ht="15">
      <c r="A17" s="49" t="s">
        <v>648</v>
      </c>
      <c r="B17" s="50">
        <v>46.78</v>
      </c>
      <c r="C17" s="50">
        <v>58.76</v>
      </c>
      <c r="D17" s="50">
        <v>70.540000000000006</v>
      </c>
      <c r="E17" s="50">
        <v>3.13</v>
      </c>
      <c r="F17" s="50">
        <v>6.52</v>
      </c>
      <c r="G17" s="50">
        <v>60.42</v>
      </c>
      <c r="H17" s="50">
        <v>29.44</v>
      </c>
      <c r="I17" s="52" t="s">
        <v>8</v>
      </c>
      <c r="J17" s="50">
        <v>0.79</v>
      </c>
      <c r="K17" s="50">
        <v>198.39</v>
      </c>
      <c r="L17" s="50">
        <v>26.72</v>
      </c>
      <c r="M17" s="50">
        <v>52.08</v>
      </c>
      <c r="N17" s="50">
        <v>538.79999999999995</v>
      </c>
      <c r="O17" s="50">
        <v>0</v>
      </c>
      <c r="P17" s="50">
        <v>0.84</v>
      </c>
      <c r="Q17" s="50">
        <v>15.85</v>
      </c>
      <c r="R17" s="43"/>
      <c r="S17" s="43"/>
      <c r="T17" s="43"/>
      <c r="U17" s="43"/>
    </row>
    <row r="18" spans="1:21" s="11" customFormat="1" ht="15">
      <c r="A18" s="49" t="s">
        <v>649</v>
      </c>
      <c r="B18" s="50">
        <v>30.71</v>
      </c>
      <c r="C18" s="50">
        <v>59.76</v>
      </c>
      <c r="D18" s="50">
        <v>58.62</v>
      </c>
      <c r="E18" s="50">
        <v>4.55</v>
      </c>
      <c r="F18" s="50">
        <v>8.58</v>
      </c>
      <c r="G18" s="50">
        <v>60.70</v>
      </c>
      <c r="H18" s="50">
        <v>29.32</v>
      </c>
      <c r="I18" s="52" t="s">
        <v>8</v>
      </c>
      <c r="J18" s="50">
        <v>0.74</v>
      </c>
      <c r="K18" s="50">
        <v>179.78</v>
      </c>
      <c r="L18" s="50">
        <v>30.09</v>
      </c>
      <c r="M18" s="50">
        <v>45.39</v>
      </c>
      <c r="N18" s="50">
        <v>718.90</v>
      </c>
      <c r="O18" s="50">
        <v>0</v>
      </c>
      <c r="P18" s="50">
        <v>0.83</v>
      </c>
      <c r="Q18" s="50">
        <v>9.4600000000000009</v>
      </c>
      <c r="R18" s="43"/>
      <c r="S18" s="43"/>
      <c r="T18" s="43"/>
      <c r="U18" s="43"/>
    </row>
    <row r="19" spans="1:21" s="11" customFormat="1" ht="15">
      <c r="A19" s="49" t="s">
        <v>650</v>
      </c>
      <c r="B19" s="50">
        <v>22.70</v>
      </c>
      <c r="C19" s="50">
        <v>67.209999999999994</v>
      </c>
      <c r="D19" s="50">
        <v>57.03</v>
      </c>
      <c r="E19" s="50">
        <v>12.98</v>
      </c>
      <c r="F19" s="50">
        <v>59.22</v>
      </c>
      <c r="G19" s="50">
        <v>57.75</v>
      </c>
      <c r="H19" s="50">
        <v>28.86</v>
      </c>
      <c r="I19" s="50">
        <v>0.5</v>
      </c>
      <c r="J19" s="50">
        <v>0.43</v>
      </c>
      <c r="K19" s="50">
        <v>262.01</v>
      </c>
      <c r="L19" s="50">
        <v>32.770000000000003</v>
      </c>
      <c r="M19" s="50">
        <v>39.479999999999997</v>
      </c>
      <c r="N19" s="50">
        <v>809.40</v>
      </c>
      <c r="O19" s="50">
        <v>0</v>
      </c>
      <c r="P19" s="50">
        <v>0.92</v>
      </c>
      <c r="Q19" s="50">
        <v>49.95</v>
      </c>
      <c r="R19" s="43"/>
      <c r="S19" s="43"/>
      <c r="T19" s="43"/>
      <c r="U19" s="43"/>
    </row>
    <row r="20" spans="1:21" s="11" customFormat="1" ht="15">
      <c r="A20" s="49" t="s">
        <v>651</v>
      </c>
      <c r="B20" s="50">
        <v>3.81</v>
      </c>
      <c r="C20" s="50">
        <v>41.18</v>
      </c>
      <c r="D20" s="50">
        <v>27.29</v>
      </c>
      <c r="E20" s="50">
        <v>9.64</v>
      </c>
      <c r="F20" s="50">
        <v>40.54</v>
      </c>
      <c r="G20" s="50">
        <v>55.83</v>
      </c>
      <c r="H20" s="50">
        <v>26.33</v>
      </c>
      <c r="I20" s="50">
        <v>0.5</v>
      </c>
      <c r="J20" s="50">
        <v>0.69</v>
      </c>
      <c r="K20" s="50">
        <v>351.83</v>
      </c>
      <c r="L20" s="50">
        <v>33.60</v>
      </c>
      <c r="M20" s="50">
        <v>41.01</v>
      </c>
      <c r="N20" s="50">
        <v>854.60</v>
      </c>
      <c r="O20" s="50">
        <v>0</v>
      </c>
      <c r="P20" s="50">
        <v>0.86</v>
      </c>
      <c r="Q20" s="50">
        <v>49.67</v>
      </c>
      <c r="R20" s="43"/>
      <c r="S20" s="43"/>
      <c r="T20" s="43"/>
      <c r="U20" s="43"/>
    </row>
    <row r="21" spans="1:21" s="11" customFormat="1" ht="15">
      <c r="A21" s="49" t="s">
        <v>652</v>
      </c>
      <c r="B21" s="50">
        <v>2.31</v>
      </c>
      <c r="C21" s="50">
        <v>40.82</v>
      </c>
      <c r="D21" s="50">
        <v>26.10</v>
      </c>
      <c r="E21" s="50">
        <v>8.17</v>
      </c>
      <c r="F21" s="50">
        <v>25.85</v>
      </c>
      <c r="G21" s="50">
        <v>50.45</v>
      </c>
      <c r="H21" s="50">
        <v>23.64</v>
      </c>
      <c r="I21" s="50">
        <v>0.49</v>
      </c>
      <c r="J21" s="50">
        <v>0.27</v>
      </c>
      <c r="K21" s="50">
        <v>283.80</v>
      </c>
      <c r="L21" s="50">
        <v>33.020000000000003</v>
      </c>
      <c r="M21" s="50">
        <v>34.590000000000003</v>
      </c>
      <c r="N21" s="50">
        <v>859</v>
      </c>
      <c r="O21" s="50">
        <v>0</v>
      </c>
      <c r="P21" s="50">
        <v>0.89</v>
      </c>
      <c r="Q21" s="50">
        <v>41.76</v>
      </c>
      <c r="R21" s="43"/>
      <c r="S21" s="43"/>
      <c r="T21" s="43"/>
      <c r="U21" s="43"/>
    </row>
    <row r="22" spans="1:21" s="11" customFormat="1" ht="15">
      <c r="A22" s="49" t="s">
        <v>653</v>
      </c>
      <c r="B22" s="50">
        <v>2.37</v>
      </c>
      <c r="C22" s="50">
        <v>35.75</v>
      </c>
      <c r="D22" s="50">
        <v>23.23</v>
      </c>
      <c r="E22" s="50">
        <v>5.70</v>
      </c>
      <c r="F22" s="50">
        <v>29.17</v>
      </c>
      <c r="G22" s="50">
        <v>58.55</v>
      </c>
      <c r="H22" s="50">
        <v>23.55</v>
      </c>
      <c r="I22" s="50">
        <v>0.53</v>
      </c>
      <c r="J22" s="50">
        <v>0.83</v>
      </c>
      <c r="K22" s="50">
        <v>211.70</v>
      </c>
      <c r="L22" s="50">
        <v>33.61</v>
      </c>
      <c r="M22" s="50">
        <v>34.94</v>
      </c>
      <c r="N22" s="50">
        <v>825.80</v>
      </c>
      <c r="O22" s="50">
        <v>0</v>
      </c>
      <c r="P22" s="50">
        <v>0.82</v>
      </c>
      <c r="Q22" s="50">
        <v>44.60</v>
      </c>
      <c r="R22" s="43"/>
      <c r="S22" s="43"/>
      <c r="T22" s="43"/>
      <c r="U22" s="43"/>
    </row>
    <row r="23" spans="1:21" s="11" customFormat="1" ht="15">
      <c r="A23" s="49" t="s">
        <v>654</v>
      </c>
      <c r="B23" s="50">
        <v>3.34</v>
      </c>
      <c r="C23" s="50">
        <v>30.52</v>
      </c>
      <c r="D23" s="50">
        <v>20.90</v>
      </c>
      <c r="E23" s="50">
        <v>5.27</v>
      </c>
      <c r="F23" s="50">
        <v>13.86</v>
      </c>
      <c r="G23" s="50">
        <v>58.82</v>
      </c>
      <c r="H23" s="50">
        <v>20.75</v>
      </c>
      <c r="I23" s="50">
        <v>0.56999999999999995</v>
      </c>
      <c r="J23" s="50">
        <v>0.5</v>
      </c>
      <c r="K23" s="50">
        <v>184.78</v>
      </c>
      <c r="L23" s="50">
        <v>34.93</v>
      </c>
      <c r="M23" s="50">
        <v>25.72</v>
      </c>
      <c r="N23" s="50">
        <v>739.90</v>
      </c>
      <c r="O23" s="50">
        <v>0</v>
      </c>
      <c r="P23" s="50">
        <v>0.73</v>
      </c>
      <c r="Q23" s="50">
        <v>45.86</v>
      </c>
      <c r="R23" s="43"/>
      <c r="S23" s="43"/>
      <c r="T23" s="43"/>
      <c r="U23" s="43"/>
    </row>
    <row r="24" spans="1:21" s="11" customFormat="1" ht="15">
      <c r="A24" s="49" t="s">
        <v>655</v>
      </c>
      <c r="B24" s="50">
        <v>3.32</v>
      </c>
      <c r="C24" s="50">
        <v>41.73</v>
      </c>
      <c r="D24" s="50">
        <v>26.59</v>
      </c>
      <c r="E24" s="50">
        <v>3.22</v>
      </c>
      <c r="F24" s="50">
        <v>14.29</v>
      </c>
      <c r="G24" s="50">
        <v>53.67</v>
      </c>
      <c r="H24" s="50">
        <v>22.33</v>
      </c>
      <c r="I24" s="50">
        <v>0.56999999999999995</v>
      </c>
      <c r="J24" s="50">
        <v>2.48</v>
      </c>
      <c r="K24" s="50">
        <v>354.96</v>
      </c>
      <c r="L24" s="50">
        <v>34.25</v>
      </c>
      <c r="M24" s="50">
        <v>33.36</v>
      </c>
      <c r="N24" s="50">
        <v>242.40</v>
      </c>
      <c r="O24" s="50">
        <v>0</v>
      </c>
      <c r="P24" s="50">
        <v>0.68</v>
      </c>
      <c r="Q24" s="50">
        <v>42.14</v>
      </c>
      <c r="R24" s="43"/>
      <c r="S24" s="43"/>
      <c r="T24" s="43"/>
      <c r="U24" s="43"/>
    </row>
    <row r="25" spans="1:21" s="11" customFormat="1" ht="15">
      <c r="A25" s="49" t="s">
        <v>656</v>
      </c>
      <c r="B25" s="50">
        <v>4.34</v>
      </c>
      <c r="C25" s="50">
        <v>42.30</v>
      </c>
      <c r="D25" s="50">
        <v>28.57</v>
      </c>
      <c r="E25" s="50">
        <v>1.62</v>
      </c>
      <c r="F25" s="50">
        <v>7.83</v>
      </c>
      <c r="G25" s="50">
        <v>53.93</v>
      </c>
      <c r="H25" s="50">
        <v>22.51</v>
      </c>
      <c r="I25" s="50">
        <v>0.55000000000000004</v>
      </c>
      <c r="J25" s="50">
        <v>1.57</v>
      </c>
      <c r="K25" s="50">
        <v>354.66</v>
      </c>
      <c r="L25" s="50">
        <v>30.16</v>
      </c>
      <c r="M25" s="50">
        <v>37.72</v>
      </c>
      <c r="N25" s="50">
        <v>194.10</v>
      </c>
      <c r="O25" s="50">
        <v>0</v>
      </c>
      <c r="P25" s="50">
        <v>0.57999999999999996</v>
      </c>
      <c r="Q25" s="50">
        <v>41.87</v>
      </c>
      <c r="R25" s="43"/>
      <c r="S25" s="43"/>
      <c r="T25" s="43"/>
      <c r="U25" s="43"/>
    </row>
    <row r="26" spans="1:21" s="11" customFormat="1" ht="15">
      <c r="A26" s="49" t="s">
        <v>657</v>
      </c>
      <c r="B26" s="50">
        <v>31.89</v>
      </c>
      <c r="C26" s="50">
        <v>70.31</v>
      </c>
      <c r="D26" s="50">
        <v>59.80</v>
      </c>
      <c r="E26" s="50">
        <v>3.33</v>
      </c>
      <c r="F26" s="50">
        <v>16.66</v>
      </c>
      <c r="G26" s="50">
        <v>57.49</v>
      </c>
      <c r="H26" s="50">
        <v>20.170000000000002</v>
      </c>
      <c r="I26" s="50">
        <v>0.54</v>
      </c>
      <c r="J26" s="50">
        <v>0.39</v>
      </c>
      <c r="K26" s="50">
        <v>342.43</v>
      </c>
      <c r="L26" s="50">
        <v>29.96</v>
      </c>
      <c r="M26" s="50">
        <v>35.08</v>
      </c>
      <c r="N26" s="50">
        <v>53.70</v>
      </c>
      <c r="O26" s="50">
        <v>0</v>
      </c>
      <c r="P26" s="50">
        <v>1.03</v>
      </c>
      <c r="Q26" s="50">
        <v>43.27</v>
      </c>
      <c r="R26" s="43"/>
      <c r="S26" s="43"/>
      <c r="T26" s="43"/>
      <c r="U26" s="43"/>
    </row>
    <row r="27" spans="1:21" s="11" customFormat="1" ht="15">
      <c r="A27" s="49" t="s">
        <v>658</v>
      </c>
      <c r="B27" s="50">
        <v>28.59</v>
      </c>
      <c r="C27" s="50">
        <v>73.45</v>
      </c>
      <c r="D27" s="50">
        <v>63.30</v>
      </c>
      <c r="E27" s="50">
        <v>8.81</v>
      </c>
      <c r="F27" s="50">
        <v>12.28</v>
      </c>
      <c r="G27" s="50">
        <v>71.459999999999994</v>
      </c>
      <c r="H27" s="50">
        <v>23.52</v>
      </c>
      <c r="I27" s="50">
        <v>0.64</v>
      </c>
      <c r="J27" s="50">
        <v>1.19</v>
      </c>
      <c r="K27" s="50">
        <v>72.78</v>
      </c>
      <c r="L27" s="50">
        <v>27.99</v>
      </c>
      <c r="M27" s="50">
        <v>37.840000000000003</v>
      </c>
      <c r="N27" s="50">
        <v>7.70</v>
      </c>
      <c r="O27" s="50">
        <v>0</v>
      </c>
      <c r="P27" s="50">
        <v>1.21</v>
      </c>
      <c r="Q27" s="50">
        <v>41.91</v>
      </c>
      <c r="R27" s="43"/>
      <c r="S27" s="43"/>
      <c r="T27" s="43"/>
      <c r="U27" s="43"/>
    </row>
    <row r="28" spans="1:21" s="11" customFormat="1" ht="15">
      <c r="A28" s="49" t="s">
        <v>659</v>
      </c>
      <c r="B28" s="50">
        <v>32.020000000000003</v>
      </c>
      <c r="C28" s="50">
        <v>65.97</v>
      </c>
      <c r="D28" s="50">
        <v>63.83</v>
      </c>
      <c r="E28" s="50">
        <v>19.93</v>
      </c>
      <c r="F28" s="50">
        <v>6.65</v>
      </c>
      <c r="G28" s="50">
        <v>97.89</v>
      </c>
      <c r="H28" s="50">
        <v>31.09</v>
      </c>
      <c r="I28" s="50">
        <v>0.64</v>
      </c>
      <c r="J28" s="50">
        <v>0.47</v>
      </c>
      <c r="K28" s="50">
        <v>359.73</v>
      </c>
      <c r="L28" s="50">
        <v>27.28</v>
      </c>
      <c r="M28" s="50">
        <v>43.89</v>
      </c>
      <c r="N28" s="50">
        <v>5.0999999999999996</v>
      </c>
      <c r="O28" s="50">
        <v>0</v>
      </c>
      <c r="P28" s="50">
        <v>1.39</v>
      </c>
      <c r="Q28" s="50">
        <v>44.80</v>
      </c>
      <c r="R28" s="43"/>
      <c r="S28" s="43"/>
      <c r="T28" s="43"/>
      <c r="U28" s="43"/>
    </row>
    <row r="29" spans="1:21" s="11" customFormat="1" ht="15">
      <c r="A29" s="49" t="s">
        <v>660</v>
      </c>
      <c r="B29" s="50">
        <v>33.869999999999997</v>
      </c>
      <c r="C29" s="50">
        <v>75.239999999999995</v>
      </c>
      <c r="D29" s="50">
        <v>70.42</v>
      </c>
      <c r="E29" s="50">
        <v>27.95</v>
      </c>
      <c r="F29" s="50">
        <v>7.67</v>
      </c>
      <c r="G29" s="50">
        <v>104.01</v>
      </c>
      <c r="H29" s="50">
        <v>33.799999999999997</v>
      </c>
      <c r="I29" s="50">
        <v>0.68</v>
      </c>
      <c r="J29" s="50">
        <v>0.43</v>
      </c>
      <c r="K29" s="50">
        <v>120.30</v>
      </c>
      <c r="L29" s="50">
        <v>26.28</v>
      </c>
      <c r="M29" s="50">
        <v>45.55</v>
      </c>
      <c r="N29" s="50">
        <v>4.9000000000000004</v>
      </c>
      <c r="O29" s="50">
        <v>0</v>
      </c>
      <c r="P29" s="50">
        <v>1.60</v>
      </c>
      <c r="Q29" s="50">
        <v>44.43</v>
      </c>
      <c r="R29" s="43"/>
      <c r="S29" s="43"/>
      <c r="T29" s="43"/>
      <c r="U29" s="43"/>
    </row>
    <row r="30" spans="1:21" s="11" customFormat="1" ht="15">
      <c r="A30" s="49" t="s">
        <v>661</v>
      </c>
      <c r="B30" s="50">
        <v>25.47</v>
      </c>
      <c r="C30" s="50">
        <v>56.80</v>
      </c>
      <c r="D30" s="50">
        <v>53.51</v>
      </c>
      <c r="E30" s="50">
        <v>21.05</v>
      </c>
      <c r="F30" s="50">
        <v>5.91</v>
      </c>
      <c r="G30" s="50">
        <v>104.19</v>
      </c>
      <c r="H30" s="50">
        <v>33.799999999999997</v>
      </c>
      <c r="I30" s="50">
        <v>0.75</v>
      </c>
      <c r="J30" s="50">
        <v>1.27</v>
      </c>
      <c r="K30" s="50">
        <v>162.84</v>
      </c>
      <c r="L30" s="50">
        <v>26.42</v>
      </c>
      <c r="M30" s="50">
        <v>44.48</v>
      </c>
      <c r="N30" s="50">
        <v>4.80</v>
      </c>
      <c r="O30" s="50">
        <v>0</v>
      </c>
      <c r="P30" s="50">
        <v>1.37</v>
      </c>
      <c r="Q30" s="50">
        <v>50.44</v>
      </c>
      <c r="R30" s="43"/>
      <c r="S30" s="43"/>
      <c r="T30" s="43"/>
      <c r="U30" s="43"/>
    </row>
    <row r="31" spans="1:21" s="11" customFormat="1" ht="15">
      <c r="A31" s="49" t="s">
        <v>662</v>
      </c>
      <c r="B31" s="50">
        <v>22.03</v>
      </c>
      <c r="C31" s="50">
        <v>48.28</v>
      </c>
      <c r="D31" s="50">
        <v>46.05</v>
      </c>
      <c r="E31" s="50">
        <v>7.02</v>
      </c>
      <c r="F31" s="50">
        <v>9.61</v>
      </c>
      <c r="G31" s="50">
        <v>92.19</v>
      </c>
      <c r="H31" s="50">
        <v>33.01</v>
      </c>
      <c r="I31" s="50">
        <v>0.72</v>
      </c>
      <c r="J31" s="50">
        <v>0.71</v>
      </c>
      <c r="K31" s="50">
        <v>231.53</v>
      </c>
      <c r="L31" s="50">
        <v>25.92</v>
      </c>
      <c r="M31" s="50">
        <v>57.87</v>
      </c>
      <c r="N31" s="50">
        <v>5.5</v>
      </c>
      <c r="O31" s="50">
        <v>0</v>
      </c>
      <c r="P31" s="50">
        <v>1.1000000000000001</v>
      </c>
      <c r="Q31" s="50">
        <v>51.83</v>
      </c>
      <c r="R31" s="43"/>
      <c r="S31" s="43"/>
      <c r="T31" s="43"/>
      <c r="U31" s="43"/>
    </row>
    <row r="32" spans="1:21" s="11" customFormat="1" ht="15">
      <c r="A32" s="49" t="s">
        <v>663</v>
      </c>
      <c r="B32" s="50">
        <v>16.88</v>
      </c>
      <c r="C32" s="50">
        <v>44.39</v>
      </c>
      <c r="D32" s="50">
        <v>39.64</v>
      </c>
      <c r="E32" s="50">
        <v>4.18</v>
      </c>
      <c r="F32" s="50">
        <v>9.9600000000000009</v>
      </c>
      <c r="G32" s="50">
        <v>80.80</v>
      </c>
      <c r="H32" s="50">
        <v>28.87</v>
      </c>
      <c r="I32" s="50">
        <v>0.69</v>
      </c>
      <c r="J32" s="50">
        <v>0.18</v>
      </c>
      <c r="K32" s="50">
        <v>329</v>
      </c>
      <c r="L32" s="50">
        <v>23.48</v>
      </c>
      <c r="M32" s="50">
        <v>61.58</v>
      </c>
      <c r="N32" s="50">
        <v>5.20</v>
      </c>
      <c r="O32" s="50">
        <v>0</v>
      </c>
      <c r="P32" s="50">
        <v>0.92</v>
      </c>
      <c r="Q32" s="50">
        <v>50.92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2.3100000000000001</v>
      </c>
      <c r="C34" s="28">
        <f t="shared" si="0"/>
        <v>30.52</v>
      </c>
      <c r="D34" s="28">
        <f t="shared" si="0"/>
        <v>20.899999999999999</v>
      </c>
      <c r="E34" s="28">
        <f t="shared" si="0"/>
        <v>1.6200000000000001</v>
      </c>
      <c r="F34" s="28">
        <f t="shared" si="0"/>
        <v>1.29</v>
      </c>
      <c r="G34" s="28">
        <f t="shared" si="0"/>
        <v>50.450000000000003</v>
      </c>
      <c r="H34" s="28">
        <f t="shared" si="0"/>
        <v>20.170000000000002</v>
      </c>
      <c r="I34" s="28">
        <f t="shared" si="0"/>
        <v>0.48999999999999999</v>
      </c>
      <c r="J34" s="28">
        <f t="shared" si="0"/>
        <v>0.10000000000000001</v>
      </c>
      <c r="K34" s="28">
        <f t="shared" si="0"/>
        <v>72.780000000000001</v>
      </c>
      <c r="L34" s="28">
        <f t="shared" si="0"/>
        <v>19.98</v>
      </c>
      <c r="M34" s="28">
        <f t="shared" si="0"/>
        <v>25.719999999999999</v>
      </c>
      <c r="N34" s="28">
        <f t="shared" si="0"/>
        <v>4.7999999999999998</v>
      </c>
      <c r="O34" s="28">
        <f t="shared" si="0"/>
        <v>0</v>
      </c>
      <c r="P34" s="28">
        <f t="shared" si="0"/>
        <v>0.57999999999999996</v>
      </c>
      <c r="Q34" s="28">
        <f t="shared" si="0"/>
        <v>9.4600000000000009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70.819999999999993</v>
      </c>
      <c r="C35" s="29">
        <f t="shared" si="1"/>
        <v>75.239999999999995</v>
      </c>
      <c r="D35" s="29">
        <f t="shared" si="1"/>
        <v>89.290000000000006</v>
      </c>
      <c r="E35" s="29">
        <f t="shared" si="1"/>
        <v>27.949999999999999</v>
      </c>
      <c r="F35" s="29">
        <f t="shared" si="1"/>
        <v>59.219999999999999</v>
      </c>
      <c r="G35" s="29">
        <f t="shared" si="1"/>
        <v>124.93000000000001</v>
      </c>
      <c r="H35" s="29">
        <f t="shared" si="1"/>
        <v>35.880000000000003</v>
      </c>
      <c r="I35" s="29">
        <f t="shared" si="1"/>
        <v>0.75</v>
      </c>
      <c r="J35" s="29">
        <f t="shared" si="1"/>
        <v>2.48</v>
      </c>
      <c r="K35" s="29">
        <f t="shared" si="1"/>
        <v>359.73000000000002</v>
      </c>
      <c r="L35" s="29">
        <f t="shared" si="1"/>
        <v>34.93</v>
      </c>
      <c r="M35" s="29">
        <f t="shared" si="1"/>
        <v>76.319999999999993</v>
      </c>
      <c r="N35" s="29">
        <f t="shared" si="1"/>
        <v>859</v>
      </c>
      <c r="O35" s="29">
        <f t="shared" si="1"/>
        <v>0</v>
      </c>
      <c r="P35" s="29">
        <f t="shared" si="1"/>
        <v>1.6000000000000001</v>
      </c>
      <c r="Q35" s="29">
        <f t="shared" si="1"/>
        <v>51.829999999999998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30.560833333333331</v>
      </c>
      <c r="C36" s="28">
        <f t="shared" si="2"/>
        <v>55.563749999999999</v>
      </c>
      <c r="D36" s="28">
        <f t="shared" si="2"/>
        <v>56.074999999999996</v>
      </c>
      <c r="E36" s="28">
        <f t="shared" si="2"/>
        <v>7.140833333333334</v>
      </c>
      <c r="F36" s="28">
        <f t="shared" si="2"/>
        <v>12.033333333333333</v>
      </c>
      <c r="G36" s="28">
        <f t="shared" si="2"/>
        <v>76.785833333333343</v>
      </c>
      <c r="H36" s="28">
        <f t="shared" si="2"/>
        <v>27.862499999999994</v>
      </c>
      <c r="I36" s="28">
        <f t="shared" si="2"/>
        <v>0.59785714285714275</v>
      </c>
      <c r="J36" s="28">
        <f t="shared" si="2"/>
        <v>0.62791666666666668</v>
      </c>
      <c r="K36" s="28">
        <f t="shared" si="2"/>
        <v>272.81749999999994</v>
      </c>
      <c r="L36" s="28">
        <f t="shared" si="2"/>
        <v>27.041666666666661</v>
      </c>
      <c r="M36" s="28">
        <f t="shared" si="2"/>
        <v>51.587499999999999</v>
      </c>
      <c r="N36" s="28">
        <f t="shared" si="2"/>
        <v>263.17916666666662</v>
      </c>
      <c r="O36" s="28">
        <f t="shared" si="2"/>
        <v>0</v>
      </c>
      <c r="P36" s="28">
        <f t="shared" si="2"/>
        <v>0.98458333333333359</v>
      </c>
      <c r="Q36" s="28">
        <f t="shared" si="2"/>
        <v>34.320833333333326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21.091213484100052</v>
      </c>
      <c r="C37" s="28">
        <f t="shared" si="3" ref="C37:Q37">STDEV(C9:C32)</f>
        <v>12.210646748708234</v>
      </c>
      <c r="D37" s="28">
        <f t="shared" si="3"/>
        <v>21.46016167530977</v>
      </c>
      <c r="E37" s="28">
        <f t="shared" si="3"/>
        <v>6.7961177643318305</v>
      </c>
      <c r="F37" s="28">
        <f t="shared" si="3"/>
        <v>14.06796566568935</v>
      </c>
      <c r="G37" s="28">
        <f t="shared" si="3"/>
        <v>22.597073284266084</v>
      </c>
      <c r="H37" s="28">
        <f t="shared" si="3"/>
        <v>4.7279623793839658</v>
      </c>
      <c r="I37" s="28">
        <f t="shared" si="3"/>
        <v>0.087457996197609814</v>
      </c>
      <c r="J37" s="28">
        <f t="shared" si="3"/>
        <v>0.55397362334529865</v>
      </c>
      <c r="K37" s="28">
        <f t="shared" si="3"/>
        <v>88.074243101068518</v>
      </c>
      <c r="L37" s="28">
        <f t="shared" si="3"/>
        <v>4.9859137810319405</v>
      </c>
      <c r="M37" s="28">
        <f t="shared" si="3"/>
        <v>16.046519939660222</v>
      </c>
      <c r="N37" s="28">
        <f t="shared" si="3"/>
        <v>342.79679870044782</v>
      </c>
      <c r="O37" s="28">
        <f t="shared" si="3"/>
        <v>0</v>
      </c>
      <c r="P37" s="28">
        <f t="shared" si="3"/>
        <v>0.23265909314528774</v>
      </c>
      <c r="Q37" s="28">
        <f t="shared" si="3"/>
        <v>14.656611185716711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</f>
        <v>24</v>
      </c>
      <c r="H38" s="32">
        <f>COUNT(H9:H32)</f>
        <v>24</v>
      </c>
      <c r="I38" s="32">
        <f>COUNT(I9:I32)+10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1c11002-bc5a-4989-9b25-6e06e98efc71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59" sqref="I5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26-03-2023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53" t="s">
        <v>21</v>
      </c>
      <c r="B7" s="54" t="s">
        <v>58</v>
      </c>
      <c r="C7" s="54" t="s">
        <v>43</v>
      </c>
      <c r="D7" s="54" t="s">
        <v>44</v>
      </c>
      <c r="E7" s="54" t="s">
        <v>45</v>
      </c>
      <c r="F7" s="54" t="s">
        <v>46</v>
      </c>
      <c r="G7" s="54" t="s">
        <v>47</v>
      </c>
      <c r="H7" s="54" t="s">
        <v>48</v>
      </c>
      <c r="I7" s="54" t="s">
        <v>49</v>
      </c>
      <c r="J7" s="54" t="s">
        <v>50</v>
      </c>
      <c r="K7" s="54" t="s">
        <v>51</v>
      </c>
      <c r="L7" s="54" t="s">
        <v>52</v>
      </c>
      <c r="M7" s="54" t="s">
        <v>53</v>
      </c>
      <c r="N7" s="54" t="s">
        <v>54</v>
      </c>
      <c r="O7" s="54" t="s">
        <v>55</v>
      </c>
      <c r="P7" s="5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63"/>
      <c r="B8" s="64" t="s">
        <v>22</v>
      </c>
      <c r="C8" s="64" t="s">
        <v>22</v>
      </c>
      <c r="D8" s="29" t="s">
        <v>62</v>
      </c>
      <c r="E8" s="64" t="s">
        <v>22</v>
      </c>
      <c r="F8" s="64" t="s">
        <v>22</v>
      </c>
      <c r="G8" s="64" t="s">
        <v>23</v>
      </c>
      <c r="H8" s="64" t="s">
        <v>22</v>
      </c>
      <c r="I8" s="64" t="s">
        <v>22</v>
      </c>
      <c r="J8" s="64" t="s">
        <v>24</v>
      </c>
      <c r="K8" s="64" t="s">
        <v>25</v>
      </c>
      <c r="L8" s="63" t="s">
        <v>27</v>
      </c>
      <c r="M8" s="64" t="s">
        <v>26</v>
      </c>
      <c r="N8" s="64" t="s">
        <v>28</v>
      </c>
      <c r="O8" s="63" t="s">
        <v>29</v>
      </c>
      <c r="P8" s="64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49" t="s">
        <v>664</v>
      </c>
      <c r="B9" s="50">
        <v>16.38</v>
      </c>
      <c r="C9" s="50">
        <v>45.30</v>
      </c>
      <c r="D9" s="50">
        <v>39.729999999999997</v>
      </c>
      <c r="E9" s="50">
        <v>2.68</v>
      </c>
      <c r="F9" s="50">
        <v>10.93</v>
      </c>
      <c r="G9" s="50">
        <v>49.70</v>
      </c>
      <c r="H9" s="50">
        <v>25.11</v>
      </c>
      <c r="I9" s="50">
        <v>0.62</v>
      </c>
      <c r="J9" s="50">
        <v>0.15</v>
      </c>
      <c r="K9" s="50">
        <v>352.62</v>
      </c>
      <c r="L9" s="50">
        <v>22.41</v>
      </c>
      <c r="M9" s="50">
        <v>62.02</v>
      </c>
      <c r="N9" s="50">
        <v>4.70</v>
      </c>
      <c r="O9" s="50">
        <v>0</v>
      </c>
      <c r="P9" s="50">
        <v>0.87</v>
      </c>
      <c r="Q9" s="50">
        <v>51.77</v>
      </c>
      <c r="R9" s="43"/>
      <c r="S9" s="43"/>
      <c r="T9" s="43"/>
      <c r="U9" s="43"/>
    </row>
    <row r="10" spans="1:21" s="11" customFormat="1" ht="15">
      <c r="A10" s="49" t="s">
        <v>665</v>
      </c>
      <c r="B10" s="50">
        <v>15.84</v>
      </c>
      <c r="C10" s="50">
        <v>41.34</v>
      </c>
      <c r="D10" s="50">
        <v>36.880000000000003</v>
      </c>
      <c r="E10" s="50">
        <v>2.3199999999999998</v>
      </c>
      <c r="F10" s="50">
        <v>9.35</v>
      </c>
      <c r="G10" s="50">
        <v>45.71</v>
      </c>
      <c r="H10" s="50">
        <v>22.29</v>
      </c>
      <c r="I10" s="50">
        <v>0.63</v>
      </c>
      <c r="J10" s="50">
        <v>0.12</v>
      </c>
      <c r="K10" s="50">
        <v>333.5</v>
      </c>
      <c r="L10" s="50">
        <v>21.93</v>
      </c>
      <c r="M10" s="50">
        <v>65.319999999999993</v>
      </c>
      <c r="N10" s="50">
        <v>4.9000000000000004</v>
      </c>
      <c r="O10" s="50">
        <v>0</v>
      </c>
      <c r="P10" s="50">
        <v>0.79</v>
      </c>
      <c r="Q10" s="50">
        <v>51.81</v>
      </c>
      <c r="R10" s="43"/>
      <c r="S10" s="43"/>
      <c r="T10" s="43"/>
      <c r="U10" s="43"/>
    </row>
    <row r="11" spans="1:21" s="11" customFormat="1" ht="15">
      <c r="A11" s="49" t="s">
        <v>666</v>
      </c>
      <c r="B11" s="50">
        <v>14.55</v>
      </c>
      <c r="C11" s="50">
        <v>45.5</v>
      </c>
      <c r="D11" s="50">
        <v>38.520000000000003</v>
      </c>
      <c r="E11" s="50">
        <v>2.2000000000000002</v>
      </c>
      <c r="F11" s="50">
        <v>6.26</v>
      </c>
      <c r="G11" s="50">
        <v>52.28</v>
      </c>
      <c r="H11" s="50">
        <v>22.81</v>
      </c>
      <c r="I11" s="50">
        <v>0.60</v>
      </c>
      <c r="J11" s="50">
        <v>0.27</v>
      </c>
      <c r="K11" s="50">
        <v>330.86</v>
      </c>
      <c r="L11" s="50">
        <v>21.71</v>
      </c>
      <c r="M11" s="50">
        <v>66.709999999999994</v>
      </c>
      <c r="N11" s="50">
        <v>4.9000000000000004</v>
      </c>
      <c r="O11" s="50">
        <v>0</v>
      </c>
      <c r="P11" s="50">
        <v>0.75</v>
      </c>
      <c r="Q11" s="50">
        <v>51.56</v>
      </c>
      <c r="R11" s="43"/>
      <c r="S11" s="43"/>
      <c r="T11" s="43"/>
      <c r="U11" s="43"/>
    </row>
    <row r="12" spans="1:21" s="11" customFormat="1" ht="15">
      <c r="A12" s="49" t="s">
        <v>667</v>
      </c>
      <c r="B12" s="50">
        <v>16.13</v>
      </c>
      <c r="C12" s="50">
        <v>53.62</v>
      </c>
      <c r="D12" s="50">
        <v>44.27</v>
      </c>
      <c r="E12" s="50">
        <v>2.04</v>
      </c>
      <c r="F12" s="50">
        <v>8.51</v>
      </c>
      <c r="G12" s="50">
        <v>52.82</v>
      </c>
      <c r="H12" s="50">
        <v>22.81</v>
      </c>
      <c r="I12" s="50">
        <v>0.60</v>
      </c>
      <c r="J12" s="50">
        <v>0.17</v>
      </c>
      <c r="K12" s="50">
        <v>277.95</v>
      </c>
      <c r="L12" s="50">
        <v>22.20</v>
      </c>
      <c r="M12" s="50">
        <v>62.90</v>
      </c>
      <c r="N12" s="50">
        <v>4.9000000000000004</v>
      </c>
      <c r="O12" s="50">
        <v>0</v>
      </c>
      <c r="P12" s="50">
        <v>0.63</v>
      </c>
      <c r="Q12" s="50">
        <v>51.49</v>
      </c>
      <c r="R12" s="43"/>
      <c r="S12" s="43"/>
      <c r="T12" s="43"/>
      <c r="U12" s="43"/>
    </row>
    <row r="13" spans="1:21" s="11" customFormat="1" ht="15">
      <c r="A13" s="49" t="s">
        <v>668</v>
      </c>
      <c r="B13" s="50">
        <v>19.29</v>
      </c>
      <c r="C13" s="50">
        <v>49.5</v>
      </c>
      <c r="D13" s="50">
        <v>44.18</v>
      </c>
      <c r="E13" s="50">
        <v>2.72</v>
      </c>
      <c r="F13" s="50">
        <v>5.08</v>
      </c>
      <c r="G13" s="50">
        <v>49.60</v>
      </c>
      <c r="H13" s="50">
        <v>21.60</v>
      </c>
      <c r="I13" s="50">
        <v>0.61</v>
      </c>
      <c r="J13" s="50">
        <v>0.46</v>
      </c>
      <c r="K13" s="50">
        <v>354.62</v>
      </c>
      <c r="L13" s="50">
        <v>22.15</v>
      </c>
      <c r="M13" s="50">
        <v>64.95</v>
      </c>
      <c r="N13" s="50">
        <v>5</v>
      </c>
      <c r="O13" s="50">
        <v>0</v>
      </c>
      <c r="P13" s="50">
        <v>0.63</v>
      </c>
      <c r="Q13" s="50">
        <v>51.94</v>
      </c>
      <c r="R13" s="43"/>
      <c r="S13" s="43"/>
      <c r="T13" s="43"/>
      <c r="U13" s="43"/>
    </row>
    <row r="14" spans="1:21" s="11" customFormat="1" ht="15">
      <c r="A14" s="49" t="s">
        <v>669</v>
      </c>
      <c r="B14" s="50">
        <v>20.23</v>
      </c>
      <c r="C14" s="50">
        <v>47.45</v>
      </c>
      <c r="D14" s="50">
        <v>43.31</v>
      </c>
      <c r="E14" s="50">
        <v>2.72</v>
      </c>
      <c r="F14" s="50">
        <v>2.2000000000000002</v>
      </c>
      <c r="G14" s="50">
        <v>49.79</v>
      </c>
      <c r="H14" s="50">
        <v>21.38</v>
      </c>
      <c r="I14" s="50">
        <v>0.65</v>
      </c>
      <c r="J14" s="50">
        <v>0.40</v>
      </c>
      <c r="K14" s="50">
        <v>183.70</v>
      </c>
      <c r="L14" s="50">
        <v>21.91</v>
      </c>
      <c r="M14" s="50">
        <v>71.69</v>
      </c>
      <c r="N14" s="50">
        <v>7.40</v>
      </c>
      <c r="O14" s="50">
        <v>0</v>
      </c>
      <c r="P14" s="50">
        <v>0.63</v>
      </c>
      <c r="Q14" s="50">
        <v>52.07</v>
      </c>
      <c r="R14" s="43"/>
      <c r="S14" s="43"/>
      <c r="T14" s="43"/>
      <c r="U14" s="43"/>
    </row>
    <row r="15" spans="1:21" s="11" customFormat="1" ht="15">
      <c r="A15" s="49" t="s">
        <v>670</v>
      </c>
      <c r="B15" s="50">
        <v>31.01</v>
      </c>
      <c r="C15" s="50">
        <v>53.17</v>
      </c>
      <c r="D15" s="50">
        <v>54.66</v>
      </c>
      <c r="E15" s="50">
        <v>3.28</v>
      </c>
      <c r="F15" s="50">
        <v>1.73</v>
      </c>
      <c r="G15" s="50">
        <v>56.64</v>
      </c>
      <c r="H15" s="50">
        <v>20.440000000000001</v>
      </c>
      <c r="I15" s="50">
        <v>0.62</v>
      </c>
      <c r="J15" s="50">
        <v>0.56999999999999995</v>
      </c>
      <c r="K15" s="50">
        <v>276.80</v>
      </c>
      <c r="L15" s="50">
        <v>23</v>
      </c>
      <c r="M15" s="50">
        <v>70.75</v>
      </c>
      <c r="N15" s="50">
        <v>102.70</v>
      </c>
      <c r="O15" s="50">
        <v>0</v>
      </c>
      <c r="P15" s="50">
        <v>0.69</v>
      </c>
      <c r="Q15" s="50">
        <v>50.92</v>
      </c>
      <c r="R15" s="43"/>
      <c r="S15" s="43"/>
      <c r="T15" s="43"/>
      <c r="U15" s="43"/>
    </row>
    <row r="16" spans="1:21" s="11" customFormat="1" ht="15">
      <c r="A16" s="49" t="s">
        <v>671</v>
      </c>
      <c r="B16" s="50">
        <v>34.25</v>
      </c>
      <c r="C16" s="50">
        <v>62.38</v>
      </c>
      <c r="D16" s="50">
        <v>62.06</v>
      </c>
      <c r="E16" s="50">
        <v>5.23</v>
      </c>
      <c r="F16" s="50">
        <v>2.77</v>
      </c>
      <c r="G16" s="50">
        <v>67.63</v>
      </c>
      <c r="H16" s="50">
        <v>29.41</v>
      </c>
      <c r="I16" s="50">
        <v>0.64</v>
      </c>
      <c r="J16" s="50">
        <v>0.36</v>
      </c>
      <c r="K16" s="50">
        <v>355.60</v>
      </c>
      <c r="L16" s="50">
        <v>28.09</v>
      </c>
      <c r="M16" s="50">
        <v>57.67</v>
      </c>
      <c r="N16" s="50">
        <v>294.89999999999998</v>
      </c>
      <c r="O16" s="50">
        <v>0</v>
      </c>
      <c r="P16" s="50">
        <v>0.73</v>
      </c>
      <c r="Q16" s="50">
        <v>52.55</v>
      </c>
      <c r="R16" s="43"/>
      <c r="S16" s="43"/>
      <c r="T16" s="43"/>
      <c r="U16" s="43"/>
    </row>
    <row r="17" spans="1:21" s="11" customFormat="1" ht="15">
      <c r="A17" s="49" t="s">
        <v>672</v>
      </c>
      <c r="B17" s="50">
        <v>31.55</v>
      </c>
      <c r="C17" s="50">
        <v>45.22</v>
      </c>
      <c r="D17" s="50">
        <v>51.92</v>
      </c>
      <c r="E17" s="50">
        <v>3.73</v>
      </c>
      <c r="F17" s="50">
        <v>4.8099999999999996</v>
      </c>
      <c r="G17" s="50">
        <v>68.040000000000006</v>
      </c>
      <c r="H17" s="50">
        <v>29.41</v>
      </c>
      <c r="I17" s="50">
        <v>0.65</v>
      </c>
      <c r="J17" s="50">
        <v>0.23</v>
      </c>
      <c r="K17" s="50">
        <v>353.81</v>
      </c>
      <c r="L17" s="50">
        <v>29.48</v>
      </c>
      <c r="M17" s="50">
        <v>45.75</v>
      </c>
      <c r="N17" s="50">
        <v>519.70000000000005</v>
      </c>
      <c r="O17" s="50">
        <v>0</v>
      </c>
      <c r="P17" s="50">
        <v>0.81</v>
      </c>
      <c r="Q17" s="50">
        <v>55.46</v>
      </c>
      <c r="R17" s="43"/>
      <c r="S17" s="43"/>
      <c r="T17" s="43"/>
      <c r="U17" s="43"/>
    </row>
    <row r="18" spans="1:21" s="11" customFormat="1" ht="15">
      <c r="A18" s="49" t="s">
        <v>673</v>
      </c>
      <c r="B18" s="50">
        <v>24.09</v>
      </c>
      <c r="C18" s="50">
        <v>62.52</v>
      </c>
      <c r="D18" s="50">
        <v>48.76</v>
      </c>
      <c r="E18" s="50">
        <v>2.99</v>
      </c>
      <c r="F18" s="50">
        <v>2.70</v>
      </c>
      <c r="G18" s="50">
        <v>68.040000000000006</v>
      </c>
      <c r="H18" s="50">
        <v>26.84</v>
      </c>
      <c r="I18" s="50">
        <v>0.64</v>
      </c>
      <c r="J18" s="50">
        <v>0.47</v>
      </c>
      <c r="K18" s="50">
        <v>346.22</v>
      </c>
      <c r="L18" s="50">
        <v>31.28</v>
      </c>
      <c r="M18" s="50">
        <v>46.95</v>
      </c>
      <c r="N18" s="50">
        <v>651</v>
      </c>
      <c r="O18" s="50">
        <v>0</v>
      </c>
      <c r="P18" s="50">
        <v>1.0900000000000001</v>
      </c>
      <c r="Q18" s="50">
        <v>48.96</v>
      </c>
      <c r="R18" s="43"/>
      <c r="S18" s="43"/>
      <c r="T18" s="43"/>
      <c r="U18" s="43"/>
    </row>
    <row r="19" spans="1:21" s="11" customFormat="1" ht="15">
      <c r="A19" s="49" t="s">
        <v>674</v>
      </c>
      <c r="B19" s="50">
        <v>9.39</v>
      </c>
      <c r="C19" s="50">
        <v>72.81</v>
      </c>
      <c r="D19" s="50">
        <v>49.45</v>
      </c>
      <c r="E19" s="50">
        <v>2.71</v>
      </c>
      <c r="F19" s="50">
        <v>3.81</v>
      </c>
      <c r="G19" s="50">
        <v>64.790000000000006</v>
      </c>
      <c r="H19" s="50">
        <v>26.32</v>
      </c>
      <c r="I19" s="50">
        <v>0.59</v>
      </c>
      <c r="J19" s="50">
        <v>0.90</v>
      </c>
      <c r="K19" s="50">
        <v>354.99</v>
      </c>
      <c r="L19" s="50">
        <v>33.04</v>
      </c>
      <c r="M19" s="50">
        <v>39.5</v>
      </c>
      <c r="N19" s="50">
        <v>787.5</v>
      </c>
      <c r="O19" s="50">
        <v>0</v>
      </c>
      <c r="P19" s="50">
        <v>1.1299999999999999</v>
      </c>
      <c r="Q19" s="50">
        <v>44.90</v>
      </c>
      <c r="R19" s="43"/>
      <c r="S19" s="43"/>
      <c r="T19" s="43"/>
      <c r="U19" s="43"/>
    </row>
    <row r="20" spans="1:21" s="11" customFormat="1" ht="15">
      <c r="A20" s="49" t="s">
        <v>675</v>
      </c>
      <c r="B20" s="50">
        <v>4.68</v>
      </c>
      <c r="C20" s="50">
        <v>55.38</v>
      </c>
      <c r="D20" s="50">
        <v>35.89</v>
      </c>
      <c r="E20" s="50">
        <v>2.64</v>
      </c>
      <c r="F20" s="50">
        <v>3.99</v>
      </c>
      <c r="G20" s="50">
        <v>60.70</v>
      </c>
      <c r="H20" s="50">
        <v>25.25</v>
      </c>
      <c r="I20" s="50">
        <v>0.54</v>
      </c>
      <c r="J20" s="50">
        <v>0.64</v>
      </c>
      <c r="K20" s="50">
        <v>8.65</v>
      </c>
      <c r="L20" s="50">
        <v>34.89</v>
      </c>
      <c r="M20" s="50">
        <v>36.92</v>
      </c>
      <c r="N20" s="50">
        <v>866.20</v>
      </c>
      <c r="O20" s="50">
        <v>0</v>
      </c>
      <c r="P20" s="50">
        <v>0.95</v>
      </c>
      <c r="Q20" s="50">
        <v>44.48</v>
      </c>
      <c r="R20" s="43"/>
      <c r="S20" s="43"/>
      <c r="T20" s="43"/>
      <c r="U20" s="43"/>
    </row>
    <row r="21" spans="1:21" s="11" customFormat="1" ht="15">
      <c r="A21" s="49" t="s">
        <v>676</v>
      </c>
      <c r="B21" s="50">
        <v>5.69</v>
      </c>
      <c r="C21" s="50">
        <v>33.840000000000003</v>
      </c>
      <c r="D21" s="50">
        <v>23.34</v>
      </c>
      <c r="E21" s="50">
        <v>2.2400000000000002</v>
      </c>
      <c r="F21" s="50">
        <v>8.82</v>
      </c>
      <c r="G21" s="50">
        <v>55.18</v>
      </c>
      <c r="H21" s="50">
        <v>21.34</v>
      </c>
      <c r="I21" s="50">
        <v>0.52</v>
      </c>
      <c r="J21" s="50">
        <v>0.69</v>
      </c>
      <c r="K21" s="50">
        <v>357.94</v>
      </c>
      <c r="L21" s="50">
        <v>34.369999999999997</v>
      </c>
      <c r="M21" s="50">
        <v>40.10</v>
      </c>
      <c r="N21" s="50">
        <v>801</v>
      </c>
      <c r="O21" s="50">
        <v>0</v>
      </c>
      <c r="P21" s="50">
        <v>0.79</v>
      </c>
      <c r="Q21" s="50">
        <v>42.12</v>
      </c>
      <c r="R21" s="43"/>
      <c r="S21" s="43"/>
      <c r="T21" s="43"/>
      <c r="U21" s="43"/>
    </row>
    <row r="22" spans="1:21" s="11" customFormat="1" ht="15">
      <c r="A22" s="49" t="s">
        <v>677</v>
      </c>
      <c r="B22" s="50">
        <v>5.48</v>
      </c>
      <c r="C22" s="50">
        <v>60.51</v>
      </c>
      <c r="D22" s="50">
        <v>38.68</v>
      </c>
      <c r="E22" s="50">
        <v>2.89</v>
      </c>
      <c r="F22" s="50">
        <v>9.2100000000000009</v>
      </c>
      <c r="G22" s="50">
        <v>46.16</v>
      </c>
      <c r="H22" s="50">
        <v>18.78</v>
      </c>
      <c r="I22" s="50">
        <v>0.51</v>
      </c>
      <c r="J22" s="50">
        <v>0.65</v>
      </c>
      <c r="K22" s="50">
        <v>358.84</v>
      </c>
      <c r="L22" s="50">
        <v>34.590000000000003</v>
      </c>
      <c r="M22" s="50">
        <v>37.40</v>
      </c>
      <c r="N22" s="50">
        <v>763.90</v>
      </c>
      <c r="O22" s="50">
        <v>0</v>
      </c>
      <c r="P22" s="50">
        <v>0.77</v>
      </c>
      <c r="Q22" s="50">
        <v>39.72</v>
      </c>
      <c r="R22" s="43"/>
      <c r="S22" s="43"/>
      <c r="T22" s="43"/>
      <c r="U22" s="43"/>
    </row>
    <row r="23" spans="1:21" s="11" customFormat="1" ht="15">
      <c r="A23" s="49" t="s">
        <v>678</v>
      </c>
      <c r="B23" s="50">
        <v>3.66</v>
      </c>
      <c r="C23" s="50">
        <v>57.47</v>
      </c>
      <c r="D23" s="50">
        <v>35.96</v>
      </c>
      <c r="E23" s="50">
        <v>3.74</v>
      </c>
      <c r="F23" s="50">
        <v>14.04</v>
      </c>
      <c r="G23" s="50">
        <v>42.93</v>
      </c>
      <c r="H23" s="50">
        <v>18.78</v>
      </c>
      <c r="I23" s="50">
        <v>0.53</v>
      </c>
      <c r="J23" s="50">
        <v>0.48</v>
      </c>
      <c r="K23" s="50">
        <v>341.28</v>
      </c>
      <c r="L23" s="50">
        <v>35.15</v>
      </c>
      <c r="M23" s="50">
        <v>33.92</v>
      </c>
      <c r="N23" s="50">
        <v>616.79999999999995</v>
      </c>
      <c r="O23" s="50">
        <v>0</v>
      </c>
      <c r="P23" s="50">
        <v>0.74</v>
      </c>
      <c r="Q23" s="50">
        <v>41.56</v>
      </c>
      <c r="R23" s="43"/>
      <c r="S23" s="43"/>
      <c r="T23" s="43"/>
      <c r="U23" s="43"/>
    </row>
    <row r="24" spans="1:21" s="11" customFormat="1" ht="15">
      <c r="A24" s="49" t="s">
        <v>679</v>
      </c>
      <c r="B24" s="50">
        <v>4.96</v>
      </c>
      <c r="C24" s="50">
        <v>38.39</v>
      </c>
      <c r="D24" s="50">
        <v>26.90</v>
      </c>
      <c r="E24" s="50">
        <v>3.96</v>
      </c>
      <c r="F24" s="50">
        <v>9.6199999999999992</v>
      </c>
      <c r="G24" s="50">
        <v>44.13</v>
      </c>
      <c r="H24" s="50">
        <v>18.489999999999998</v>
      </c>
      <c r="I24" s="50">
        <v>0.52</v>
      </c>
      <c r="J24" s="50">
        <v>2.58</v>
      </c>
      <c r="K24" s="50">
        <v>262.44</v>
      </c>
      <c r="L24" s="50">
        <v>33.29</v>
      </c>
      <c r="M24" s="50">
        <v>41.38</v>
      </c>
      <c r="N24" s="50">
        <v>365.60</v>
      </c>
      <c r="O24" s="50">
        <v>0</v>
      </c>
      <c r="P24" s="50">
        <v>0.72</v>
      </c>
      <c r="Q24" s="50">
        <v>43.38</v>
      </c>
      <c r="R24" s="43"/>
      <c r="S24" s="43"/>
      <c r="T24" s="43"/>
      <c r="U24" s="43"/>
    </row>
    <row r="25" spans="1:21" s="11" customFormat="1" ht="15">
      <c r="A25" s="49" t="s">
        <v>680</v>
      </c>
      <c r="B25" s="50">
        <v>2.39</v>
      </c>
      <c r="C25" s="50">
        <v>58.04</v>
      </c>
      <c r="D25" s="50">
        <v>35.69</v>
      </c>
      <c r="E25" s="50">
        <v>2.25</v>
      </c>
      <c r="F25" s="50">
        <v>7.59</v>
      </c>
      <c r="G25" s="50">
        <v>44.19</v>
      </c>
      <c r="H25" s="50">
        <v>18.579999999999998</v>
      </c>
      <c r="I25" s="50">
        <v>0.51</v>
      </c>
      <c r="J25" s="50">
        <v>2.52</v>
      </c>
      <c r="K25" s="50">
        <v>187.82</v>
      </c>
      <c r="L25" s="50">
        <v>29.41</v>
      </c>
      <c r="M25" s="50">
        <v>42.29</v>
      </c>
      <c r="N25" s="50">
        <v>176.60</v>
      </c>
      <c r="O25" s="50">
        <v>0</v>
      </c>
      <c r="P25" s="50">
        <v>0.57999999999999996</v>
      </c>
      <c r="Q25" s="50">
        <v>32.97</v>
      </c>
      <c r="R25" s="43"/>
      <c r="S25" s="43"/>
      <c r="T25" s="43"/>
      <c r="U25" s="43"/>
    </row>
    <row r="26" spans="1:21" s="11" customFormat="1" ht="15">
      <c r="A26" s="49" t="s">
        <v>681</v>
      </c>
      <c r="B26" s="50">
        <v>3.85</v>
      </c>
      <c r="C26" s="50">
        <v>51.14</v>
      </c>
      <c r="D26" s="50">
        <v>32.68</v>
      </c>
      <c r="E26" s="50">
        <v>2.92</v>
      </c>
      <c r="F26" s="50">
        <v>14.71</v>
      </c>
      <c r="G26" s="50">
        <v>41.19</v>
      </c>
      <c r="H26" s="50">
        <v>18.59</v>
      </c>
      <c r="I26" s="50">
        <v>0.5</v>
      </c>
      <c r="J26" s="50">
        <v>1.27</v>
      </c>
      <c r="K26" s="50">
        <v>189.68</v>
      </c>
      <c r="L26" s="50">
        <v>28.54</v>
      </c>
      <c r="M26" s="50">
        <v>42.15</v>
      </c>
      <c r="N26" s="50">
        <v>71.80</v>
      </c>
      <c r="O26" s="50">
        <v>0</v>
      </c>
      <c r="P26" s="50">
        <v>0.47</v>
      </c>
      <c r="Q26" s="50">
        <v>39.840000000000003</v>
      </c>
      <c r="R26" s="43"/>
      <c r="S26" s="43"/>
      <c r="T26" s="43"/>
      <c r="U26" s="43"/>
    </row>
    <row r="27" spans="1:21" s="11" customFormat="1" ht="15">
      <c r="A27" s="49" t="s">
        <v>682</v>
      </c>
      <c r="B27" s="50">
        <v>11.20</v>
      </c>
      <c r="C27" s="50">
        <v>45.12</v>
      </c>
      <c r="D27" s="50">
        <v>35.26</v>
      </c>
      <c r="E27" s="50">
        <v>2.94</v>
      </c>
      <c r="F27" s="50">
        <v>12.62</v>
      </c>
      <c r="G27" s="50">
        <v>36.75</v>
      </c>
      <c r="H27" s="50">
        <v>16.59</v>
      </c>
      <c r="I27" s="50">
        <v>0.53</v>
      </c>
      <c r="J27" s="50">
        <v>2.73</v>
      </c>
      <c r="K27" s="50">
        <v>186.62</v>
      </c>
      <c r="L27" s="50">
        <v>27.07</v>
      </c>
      <c r="M27" s="50">
        <v>51.25</v>
      </c>
      <c r="N27" s="50">
        <v>10</v>
      </c>
      <c r="O27" s="50">
        <v>0</v>
      </c>
      <c r="P27" s="50">
        <v>0.67</v>
      </c>
      <c r="Q27" s="50">
        <v>42.94</v>
      </c>
      <c r="R27" s="43"/>
      <c r="S27" s="43"/>
      <c r="T27" s="43"/>
      <c r="U27" s="43"/>
    </row>
    <row r="28" spans="1:21" s="11" customFormat="1" ht="15">
      <c r="A28" s="49" t="s">
        <v>683</v>
      </c>
      <c r="B28" s="50">
        <v>7.36</v>
      </c>
      <c r="C28" s="50">
        <v>44.37</v>
      </c>
      <c r="D28" s="50">
        <v>31.12</v>
      </c>
      <c r="E28" s="50">
        <v>2.75</v>
      </c>
      <c r="F28" s="50">
        <v>5.54</v>
      </c>
      <c r="G28" s="50">
        <v>117.66</v>
      </c>
      <c r="H28" s="50">
        <v>20.350000000000001</v>
      </c>
      <c r="I28" s="50">
        <v>0.53</v>
      </c>
      <c r="J28" s="50">
        <v>1.93</v>
      </c>
      <c r="K28" s="50">
        <v>67.12</v>
      </c>
      <c r="L28" s="50">
        <v>22.79</v>
      </c>
      <c r="M28" s="50">
        <v>70.48</v>
      </c>
      <c r="N28" s="50">
        <v>7.60</v>
      </c>
      <c r="O28" s="50">
        <v>0</v>
      </c>
      <c r="P28" s="50">
        <v>0.61</v>
      </c>
      <c r="Q28" s="50">
        <v>43.26</v>
      </c>
      <c r="R28" s="43"/>
      <c r="S28" s="43"/>
      <c r="T28" s="43"/>
      <c r="U28" s="43"/>
    </row>
    <row r="29" spans="1:21" s="11" customFormat="1" ht="15">
      <c r="A29" s="49" t="s">
        <v>684</v>
      </c>
      <c r="B29" s="50">
        <v>6.37</v>
      </c>
      <c r="C29" s="50">
        <v>49</v>
      </c>
      <c r="D29" s="50">
        <v>31.88</v>
      </c>
      <c r="E29" s="50">
        <v>2.2999999999999998</v>
      </c>
      <c r="F29" s="50">
        <v>4.12</v>
      </c>
      <c r="G29" s="50">
        <v>120.49</v>
      </c>
      <c r="H29" s="50">
        <v>20.350000000000001</v>
      </c>
      <c r="I29" s="50">
        <v>0.53</v>
      </c>
      <c r="J29" s="50">
        <v>1.29</v>
      </c>
      <c r="K29" s="50">
        <v>222.27</v>
      </c>
      <c r="L29" s="50">
        <v>21.77</v>
      </c>
      <c r="M29" s="50">
        <v>79.540000000000006</v>
      </c>
      <c r="N29" s="50">
        <v>4.80</v>
      </c>
      <c r="O29" s="50">
        <v>0</v>
      </c>
      <c r="P29" s="50">
        <v>0.60</v>
      </c>
      <c r="Q29" s="50">
        <v>40.56</v>
      </c>
      <c r="R29" s="43"/>
      <c r="S29" s="43"/>
      <c r="T29" s="43"/>
      <c r="U29" s="43"/>
    </row>
    <row r="30" spans="1:21" s="11" customFormat="1" ht="15">
      <c r="A30" s="49" t="s">
        <v>685</v>
      </c>
      <c r="B30" s="50">
        <v>5.73</v>
      </c>
      <c r="C30" s="50">
        <v>43.70</v>
      </c>
      <c r="D30" s="50">
        <v>29.78</v>
      </c>
      <c r="E30" s="50">
        <v>2.34</v>
      </c>
      <c r="F30" s="50">
        <v>3.01</v>
      </c>
      <c r="G30" s="50">
        <v>37.15</v>
      </c>
      <c r="H30" s="50">
        <v>18.39</v>
      </c>
      <c r="I30" s="50">
        <v>0.54</v>
      </c>
      <c r="J30" s="50">
        <v>2.13</v>
      </c>
      <c r="K30" s="50">
        <v>117.05</v>
      </c>
      <c r="L30" s="50">
        <v>20.97</v>
      </c>
      <c r="M30" s="50">
        <v>76</v>
      </c>
      <c r="N30" s="50">
        <v>4.70</v>
      </c>
      <c r="O30" s="50">
        <v>0</v>
      </c>
      <c r="P30" s="50">
        <v>0.56000000000000005</v>
      </c>
      <c r="Q30" s="50">
        <v>45.65</v>
      </c>
      <c r="R30" s="43"/>
      <c r="S30" s="43"/>
      <c r="T30" s="43"/>
      <c r="U30" s="43"/>
    </row>
    <row r="31" spans="1:21" s="11" customFormat="1" ht="15">
      <c r="A31" s="49" t="s">
        <v>686</v>
      </c>
      <c r="B31" s="50">
        <v>6.06</v>
      </c>
      <c r="C31" s="50">
        <v>38.979999999999997</v>
      </c>
      <c r="D31" s="50">
        <v>28.11</v>
      </c>
      <c r="E31" s="50">
        <v>2.33</v>
      </c>
      <c r="F31" s="50">
        <v>2.70</v>
      </c>
      <c r="G31" s="50">
        <v>24.85</v>
      </c>
      <c r="H31" s="50">
        <v>15.19</v>
      </c>
      <c r="I31" s="50">
        <v>0.55000000000000004</v>
      </c>
      <c r="J31" s="50">
        <v>1.54</v>
      </c>
      <c r="K31" s="50">
        <v>116.56</v>
      </c>
      <c r="L31" s="50">
        <v>20.98</v>
      </c>
      <c r="M31" s="50">
        <v>74.91</v>
      </c>
      <c r="N31" s="50">
        <v>4.5</v>
      </c>
      <c r="O31" s="50">
        <v>0</v>
      </c>
      <c r="P31" s="50">
        <v>0.52</v>
      </c>
      <c r="Q31" s="50">
        <v>47.47</v>
      </c>
      <c r="R31" s="43"/>
      <c r="S31" s="43"/>
      <c r="T31" s="43"/>
      <c r="U31" s="43"/>
    </row>
    <row r="32" spans="1:21" s="11" customFormat="1" ht="15">
      <c r="A32" s="49" t="s">
        <v>687</v>
      </c>
      <c r="B32" s="50">
        <v>6.29</v>
      </c>
      <c r="C32" s="50">
        <v>35.159999999999997</v>
      </c>
      <c r="D32" s="50">
        <v>26.19</v>
      </c>
      <c r="E32" s="50">
        <v>2.3199999999999998</v>
      </c>
      <c r="F32" s="50">
        <v>5.33</v>
      </c>
      <c r="G32" s="50">
        <v>31.08</v>
      </c>
      <c r="H32" s="50">
        <v>14.42</v>
      </c>
      <c r="I32" s="50">
        <v>0.52</v>
      </c>
      <c r="J32" s="50">
        <v>1.73</v>
      </c>
      <c r="K32" s="50">
        <v>72.63</v>
      </c>
      <c r="L32" s="50">
        <v>20.94</v>
      </c>
      <c r="M32" s="50">
        <v>74.02</v>
      </c>
      <c r="N32" s="50">
        <v>5.20</v>
      </c>
      <c r="O32" s="50">
        <v>0</v>
      </c>
      <c r="P32" s="50">
        <v>0.48</v>
      </c>
      <c r="Q32" s="50">
        <v>47.17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2.3900000000000001</v>
      </c>
      <c r="C34" s="28">
        <f t="shared" si="0"/>
        <v>33.840000000000003</v>
      </c>
      <c r="D34" s="28">
        <f t="shared" si="0"/>
        <v>23.34</v>
      </c>
      <c r="E34" s="28">
        <f t="shared" si="0"/>
        <v>2.04</v>
      </c>
      <c r="F34" s="28">
        <f t="shared" si="0"/>
        <v>1.73</v>
      </c>
      <c r="G34" s="28">
        <f t="shared" si="0"/>
        <v>24.850000000000001</v>
      </c>
      <c r="H34" s="28">
        <f t="shared" si="0"/>
        <v>14.42</v>
      </c>
      <c r="I34" s="28">
        <f t="shared" si="0"/>
        <v>0.5</v>
      </c>
      <c r="J34" s="28">
        <f t="shared" si="0"/>
        <v>0.12</v>
      </c>
      <c r="K34" s="28">
        <f t="shared" si="0"/>
        <v>8.6500000000000004</v>
      </c>
      <c r="L34" s="28">
        <f t="shared" si="0"/>
        <v>20.940000000000001</v>
      </c>
      <c r="M34" s="28">
        <f t="shared" si="0"/>
        <v>33.920000000000002</v>
      </c>
      <c r="N34" s="28">
        <f t="shared" si="0"/>
        <v>4.5</v>
      </c>
      <c r="O34" s="28">
        <f t="shared" si="0"/>
        <v>0</v>
      </c>
      <c r="P34" s="28">
        <f t="shared" si="0"/>
        <v>0.46999999999999997</v>
      </c>
      <c r="Q34" s="28">
        <f t="shared" si="0"/>
        <v>32.969999999999999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34.25</v>
      </c>
      <c r="C35" s="29">
        <f t="shared" si="1"/>
        <v>72.810000000000002</v>
      </c>
      <c r="D35" s="29">
        <f t="shared" si="1"/>
        <v>62.060000000000002</v>
      </c>
      <c r="E35" s="29">
        <f t="shared" si="1"/>
        <v>5.2300000000000004</v>
      </c>
      <c r="F35" s="29">
        <f t="shared" si="1"/>
        <v>14.710000000000001</v>
      </c>
      <c r="G35" s="29">
        <f t="shared" si="1"/>
        <v>120.48999999999999</v>
      </c>
      <c r="H35" s="29">
        <f t="shared" si="1"/>
        <v>29.41</v>
      </c>
      <c r="I35" s="29">
        <f t="shared" si="1"/>
        <v>0.65000000000000002</v>
      </c>
      <c r="J35" s="29">
        <f t="shared" si="1"/>
        <v>2.73</v>
      </c>
      <c r="K35" s="29">
        <f t="shared" si="1"/>
        <v>358.83999999999997</v>
      </c>
      <c r="L35" s="29">
        <f t="shared" si="1"/>
        <v>35.149999999999999</v>
      </c>
      <c r="M35" s="29">
        <f t="shared" si="1"/>
        <v>79.540000000000006</v>
      </c>
      <c r="N35" s="29">
        <f t="shared" si="1"/>
        <v>866.20000000000005</v>
      </c>
      <c r="O35" s="29">
        <f t="shared" si="1"/>
        <v>0</v>
      </c>
      <c r="P35" s="29">
        <f t="shared" si="1"/>
        <v>1.1299999999999999</v>
      </c>
      <c r="Q35" s="29">
        <f t="shared" si="1"/>
        <v>55.460000000000001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12.76791666666667</v>
      </c>
      <c r="C36" s="28">
        <f t="shared" si="2"/>
        <v>49.579583333333339</v>
      </c>
      <c r="D36" s="28">
        <f t="shared" si="2"/>
        <v>38.550833333333337</v>
      </c>
      <c r="E36" s="28">
        <f t="shared" si="2"/>
        <v>2.8433333333333333</v>
      </c>
      <c r="F36" s="28">
        <f t="shared" si="2"/>
        <v>6.6437500000000007</v>
      </c>
      <c r="G36" s="28">
        <f t="shared" si="2"/>
        <v>55.3125</v>
      </c>
      <c r="H36" s="28">
        <f t="shared" si="2"/>
        <v>21.396666666666661</v>
      </c>
      <c r="I36" s="28">
        <f t="shared" si="2"/>
        <v>0.56999999999999984</v>
      </c>
      <c r="J36" s="28">
        <f t="shared" si="2"/>
        <v>1.0116666666666665</v>
      </c>
      <c r="K36" s="28">
        <f t="shared" si="2"/>
        <v>250.39875000000004</v>
      </c>
      <c r="L36" s="28">
        <f t="shared" si="2"/>
        <v>26.748333333333335</v>
      </c>
      <c r="M36" s="28">
        <f t="shared" si="2"/>
        <v>56.440416666666664</v>
      </c>
      <c r="N36" s="28">
        <f t="shared" si="2"/>
        <v>253.59583333333339</v>
      </c>
      <c r="O36" s="28">
        <f t="shared" si="2"/>
        <v>0</v>
      </c>
      <c r="P36" s="28">
        <f t="shared" si="2"/>
        <v>0.71708333333333318</v>
      </c>
      <c r="Q36" s="28">
        <f t="shared" si="2"/>
        <v>46.439583333333339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9.6249377091904851</v>
      </c>
      <c r="C37" s="28">
        <f t="shared" si="3" ref="C37:Q37">STDEV(C9:C32)</f>
        <v>9.5350846325177141</v>
      </c>
      <c r="D37" s="28">
        <f t="shared" si="3"/>
        <v>9.7312048124294197</v>
      </c>
      <c r="E37" s="28">
        <f t="shared" si="3"/>
        <v>0.72300500128564738</v>
      </c>
      <c r="F37" s="28">
        <f t="shared" si="3"/>
        <v>3.8407866183668782</v>
      </c>
      <c r="G37" s="28">
        <f t="shared" si="3"/>
        <v>22.658917670533175</v>
      </c>
      <c r="H37" s="28">
        <f t="shared" si="3"/>
        <v>4.0441666703996271</v>
      </c>
      <c r="I37" s="28">
        <f t="shared" si="3"/>
        <v>0.052419710862964132</v>
      </c>
      <c r="J37" s="28">
        <f t="shared" si="3"/>
        <v>0.8440825565777561</v>
      </c>
      <c r="K37" s="28">
        <f t="shared" si="3"/>
        <v>111.51115418228434</v>
      </c>
      <c r="L37" s="28">
        <f t="shared" si="3"/>
        <v>5.3835350166375093</v>
      </c>
      <c r="M37" s="28">
        <f t="shared" si="3"/>
        <v>15.034964316311308</v>
      </c>
      <c r="N37" s="28">
        <f t="shared" si="3"/>
        <v>322.65322814758559</v>
      </c>
      <c r="O37" s="28">
        <f t="shared" si="3"/>
        <v>0</v>
      </c>
      <c r="P37" s="28">
        <f t="shared" si="3"/>
        <v>0.16958976503845147</v>
      </c>
      <c r="Q37" s="28">
        <f t="shared" si="3"/>
        <v>5.5301171299542737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55d9390-a35b-4b34-b13a-9b627e0cdf5b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8" sqref="G5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27-03-2023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1" t="s">
        <v>58</v>
      </c>
      <c r="C7" s="51" t="s">
        <v>43</v>
      </c>
      <c r="D7" s="51" t="s">
        <v>44</v>
      </c>
      <c r="E7" s="51" t="s">
        <v>45</v>
      </c>
      <c r="F7" s="51" t="s">
        <v>46</v>
      </c>
      <c r="G7" s="51" t="s">
        <v>47</v>
      </c>
      <c r="H7" s="51" t="s">
        <v>48</v>
      </c>
      <c r="I7" s="51" t="s">
        <v>49</v>
      </c>
      <c r="J7" s="51" t="s">
        <v>50</v>
      </c>
      <c r="K7" s="51" t="s">
        <v>51</v>
      </c>
      <c r="L7" s="51" t="s">
        <v>52</v>
      </c>
      <c r="M7" s="51" t="s">
        <v>53</v>
      </c>
      <c r="N7" s="51" t="s">
        <v>54</v>
      </c>
      <c r="O7" s="51" t="s">
        <v>55</v>
      </c>
      <c r="P7" s="51" t="s">
        <v>56</v>
      </c>
      <c r="Q7" s="51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62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49" t="s">
        <v>688</v>
      </c>
      <c r="B9" s="50">
        <v>7.44</v>
      </c>
      <c r="C9" s="50">
        <v>47.02</v>
      </c>
      <c r="D9" s="50">
        <v>32.89</v>
      </c>
      <c r="E9" s="50">
        <v>2.19</v>
      </c>
      <c r="F9" s="50">
        <v>2.52</v>
      </c>
      <c r="G9" s="50">
        <v>43.55</v>
      </c>
      <c r="H9" s="50">
        <v>15.07</v>
      </c>
      <c r="I9" s="50">
        <v>0.52</v>
      </c>
      <c r="J9" s="50">
        <v>1.28</v>
      </c>
      <c r="K9" s="50">
        <v>58.78</v>
      </c>
      <c r="L9" s="50">
        <v>20.21</v>
      </c>
      <c r="M9" s="50">
        <v>77.459999999999994</v>
      </c>
      <c r="N9" s="50">
        <v>5.0999999999999996</v>
      </c>
      <c r="O9" s="50">
        <v>0</v>
      </c>
      <c r="P9" s="50">
        <v>0.53</v>
      </c>
      <c r="Q9" s="50">
        <v>46.12</v>
      </c>
      <c r="R9" s="43"/>
      <c r="S9" s="43"/>
      <c r="T9" s="43"/>
      <c r="U9" s="43"/>
    </row>
    <row r="10" spans="1:21" s="11" customFormat="1" ht="15">
      <c r="A10" s="49" t="s">
        <v>689</v>
      </c>
      <c r="B10" s="50">
        <v>8.76</v>
      </c>
      <c r="C10" s="50">
        <v>47.60</v>
      </c>
      <c r="D10" s="50">
        <v>35.04</v>
      </c>
      <c r="E10" s="50">
        <v>2.09</v>
      </c>
      <c r="F10" s="50">
        <v>2.5</v>
      </c>
      <c r="G10" s="50">
        <v>43.97</v>
      </c>
      <c r="H10" s="50">
        <v>15.10</v>
      </c>
      <c r="I10" s="50">
        <v>0.52</v>
      </c>
      <c r="J10" s="50">
        <v>1.72</v>
      </c>
      <c r="K10" s="50">
        <v>113.37</v>
      </c>
      <c r="L10" s="50">
        <v>20.68</v>
      </c>
      <c r="M10" s="50">
        <v>71.27</v>
      </c>
      <c r="N10" s="50">
        <v>4.70</v>
      </c>
      <c r="O10" s="50">
        <v>0</v>
      </c>
      <c r="P10" s="50">
        <v>0.49</v>
      </c>
      <c r="Q10" s="50">
        <v>48.22</v>
      </c>
      <c r="R10" s="43"/>
      <c r="S10" s="43"/>
      <c r="T10" s="43"/>
      <c r="U10" s="43"/>
    </row>
    <row r="11" spans="1:21" s="11" customFormat="1" ht="15">
      <c r="A11" s="49" t="s">
        <v>690</v>
      </c>
      <c r="B11" s="50">
        <v>8.9700000000000006</v>
      </c>
      <c r="C11" s="50">
        <v>37.85</v>
      </c>
      <c r="D11" s="50">
        <v>29.82</v>
      </c>
      <c r="E11" s="50">
        <v>1.95</v>
      </c>
      <c r="F11" s="50">
        <v>2.08</v>
      </c>
      <c r="G11" s="50">
        <v>27.25</v>
      </c>
      <c r="H11" s="50">
        <v>13.39</v>
      </c>
      <c r="I11" s="50">
        <v>0.52</v>
      </c>
      <c r="J11" s="50">
        <v>1.92</v>
      </c>
      <c r="K11" s="50">
        <v>118.88</v>
      </c>
      <c r="L11" s="50">
        <v>20.56</v>
      </c>
      <c r="M11" s="50">
        <v>69.33</v>
      </c>
      <c r="N11" s="50">
        <v>4.70</v>
      </c>
      <c r="O11" s="50">
        <v>0</v>
      </c>
      <c r="P11" s="50">
        <v>0.46</v>
      </c>
      <c r="Q11" s="50">
        <v>52.12</v>
      </c>
      <c r="R11" s="43"/>
      <c r="S11" s="43"/>
      <c r="T11" s="43"/>
      <c r="U11" s="43"/>
    </row>
    <row r="12" spans="1:21" s="11" customFormat="1" ht="15">
      <c r="A12" s="49" t="s">
        <v>691</v>
      </c>
      <c r="B12" s="50">
        <v>8.6999999999999993</v>
      </c>
      <c r="C12" s="50">
        <v>37.65</v>
      </c>
      <c r="D12" s="50">
        <v>29.33</v>
      </c>
      <c r="E12" s="50">
        <v>2.0299999999999998</v>
      </c>
      <c r="F12" s="50">
        <v>2.31</v>
      </c>
      <c r="G12" s="50">
        <v>27.40</v>
      </c>
      <c r="H12" s="50">
        <v>12.57</v>
      </c>
      <c r="I12" s="50">
        <v>0.52</v>
      </c>
      <c r="J12" s="50">
        <v>2.23</v>
      </c>
      <c r="K12" s="50">
        <v>112.17</v>
      </c>
      <c r="L12" s="50">
        <v>20.58</v>
      </c>
      <c r="M12" s="50">
        <v>68.44</v>
      </c>
      <c r="N12" s="50">
        <v>4.5999999999999996</v>
      </c>
      <c r="O12" s="50">
        <v>0</v>
      </c>
      <c r="P12" s="50">
        <v>0.42</v>
      </c>
      <c r="Q12" s="50">
        <v>51.47</v>
      </c>
      <c r="R12" s="43"/>
      <c r="S12" s="43"/>
      <c r="T12" s="43"/>
      <c r="U12" s="43"/>
    </row>
    <row r="13" spans="1:21" s="11" customFormat="1" ht="15">
      <c r="A13" s="49" t="s">
        <v>692</v>
      </c>
      <c r="B13" s="50">
        <v>9.82</v>
      </c>
      <c r="C13" s="50">
        <v>35.17</v>
      </c>
      <c r="D13" s="50">
        <v>29.02</v>
      </c>
      <c r="E13" s="50">
        <v>2.38</v>
      </c>
      <c r="F13" s="50">
        <v>2.74</v>
      </c>
      <c r="G13" s="50">
        <v>24.32</v>
      </c>
      <c r="H13" s="50">
        <v>12.67</v>
      </c>
      <c r="I13" s="50">
        <v>0.51</v>
      </c>
      <c r="J13" s="50">
        <v>0.54</v>
      </c>
      <c r="K13" s="50">
        <v>200.06</v>
      </c>
      <c r="L13" s="50">
        <v>20.55</v>
      </c>
      <c r="M13" s="50">
        <v>68.52</v>
      </c>
      <c r="N13" s="50">
        <v>4.70</v>
      </c>
      <c r="O13" s="50">
        <v>0</v>
      </c>
      <c r="P13" s="50">
        <v>0.39</v>
      </c>
      <c r="Q13" s="50">
        <v>48.98</v>
      </c>
      <c r="R13" s="43"/>
      <c r="S13" s="43"/>
      <c r="T13" s="43"/>
      <c r="U13" s="43"/>
    </row>
    <row r="14" spans="1:21" s="11" customFormat="1" ht="15">
      <c r="A14" s="49" t="s">
        <v>693</v>
      </c>
      <c r="B14" s="50">
        <v>10.70</v>
      </c>
      <c r="C14" s="50">
        <v>41.67</v>
      </c>
      <c r="D14" s="50">
        <v>33.31</v>
      </c>
      <c r="E14" s="50">
        <v>2.21</v>
      </c>
      <c r="F14" s="50">
        <v>1.99</v>
      </c>
      <c r="G14" s="50">
        <v>22.03</v>
      </c>
      <c r="H14" s="50">
        <v>10.38</v>
      </c>
      <c r="I14" s="50">
        <v>0.54</v>
      </c>
      <c r="J14" s="50">
        <v>0.24</v>
      </c>
      <c r="K14" s="50">
        <v>263.81</v>
      </c>
      <c r="L14" s="50">
        <v>20.100000000000001</v>
      </c>
      <c r="M14" s="50">
        <v>76.680000000000007</v>
      </c>
      <c r="N14" s="50">
        <v>6.70</v>
      </c>
      <c r="O14" s="50">
        <v>0</v>
      </c>
      <c r="P14" s="50">
        <v>0.38</v>
      </c>
      <c r="Q14" s="50">
        <v>47.59</v>
      </c>
      <c r="R14" s="43"/>
      <c r="S14" s="43"/>
      <c r="T14" s="43"/>
      <c r="U14" s="43"/>
    </row>
    <row r="15" spans="1:21" s="11" customFormat="1" ht="15">
      <c r="A15" s="49" t="s">
        <v>694</v>
      </c>
      <c r="B15" s="50">
        <v>12.85</v>
      </c>
      <c r="C15" s="50">
        <v>38.03</v>
      </c>
      <c r="D15" s="50">
        <v>31.89</v>
      </c>
      <c r="E15" s="50">
        <v>2.13</v>
      </c>
      <c r="F15" s="50">
        <v>1.64</v>
      </c>
      <c r="G15" s="50">
        <v>29.74</v>
      </c>
      <c r="H15" s="50">
        <v>11.35</v>
      </c>
      <c r="I15" s="50">
        <v>0.55000000000000004</v>
      </c>
      <c r="J15" s="50">
        <v>0.30</v>
      </c>
      <c r="K15" s="50">
        <v>81.28</v>
      </c>
      <c r="L15" s="50">
        <v>20.149999999999999</v>
      </c>
      <c r="M15" s="50">
        <v>80.680000000000007</v>
      </c>
      <c r="N15" s="50">
        <v>109.80</v>
      </c>
      <c r="O15" s="50">
        <v>0</v>
      </c>
      <c r="P15" s="50">
        <v>0.40</v>
      </c>
      <c r="Q15" s="50">
        <v>47.35</v>
      </c>
      <c r="R15" s="43"/>
      <c r="S15" s="43"/>
      <c r="T15" s="43"/>
      <c r="U15" s="43"/>
    </row>
    <row r="16" spans="1:21" s="11" customFormat="1" ht="15">
      <c r="A16" s="49" t="s">
        <v>695</v>
      </c>
      <c r="B16" s="50">
        <v>15.04</v>
      </c>
      <c r="C16" s="50">
        <v>42.41</v>
      </c>
      <c r="D16" s="50">
        <v>37.119999999999997</v>
      </c>
      <c r="E16" s="50">
        <v>2.33</v>
      </c>
      <c r="F16" s="50">
        <v>2.54</v>
      </c>
      <c r="G16" s="50">
        <v>33.619999999999997</v>
      </c>
      <c r="H16" s="50">
        <v>13.49</v>
      </c>
      <c r="I16" s="50">
        <v>0.53</v>
      </c>
      <c r="J16" s="50">
        <v>0.99</v>
      </c>
      <c r="K16" s="50">
        <v>115.44</v>
      </c>
      <c r="L16" s="50">
        <v>22.58</v>
      </c>
      <c r="M16" s="50">
        <v>69.209999999999994</v>
      </c>
      <c r="N16" s="50">
        <v>334.70</v>
      </c>
      <c r="O16" s="50">
        <v>0</v>
      </c>
      <c r="P16" s="50">
        <v>0.42</v>
      </c>
      <c r="Q16" s="50">
        <v>46.26</v>
      </c>
      <c r="R16" s="43"/>
      <c r="S16" s="43"/>
      <c r="T16" s="43"/>
      <c r="U16" s="43"/>
    </row>
    <row r="17" spans="1:21" s="11" customFormat="1" ht="15">
      <c r="A17" s="49" t="s">
        <v>696</v>
      </c>
      <c r="B17" s="50">
        <v>14.82</v>
      </c>
      <c r="C17" s="50">
        <v>39.049999999999997</v>
      </c>
      <c r="D17" s="50">
        <v>35.04</v>
      </c>
      <c r="E17" s="50">
        <v>2.68</v>
      </c>
      <c r="F17" s="50">
        <v>4.18</v>
      </c>
      <c r="G17" s="50">
        <v>33.76</v>
      </c>
      <c r="H17" s="50">
        <v>13.83</v>
      </c>
      <c r="I17" s="50">
        <v>0.54</v>
      </c>
      <c r="J17" s="50">
        <v>0.65</v>
      </c>
      <c r="K17" s="50">
        <v>109.80</v>
      </c>
      <c r="L17" s="50">
        <v>27.48</v>
      </c>
      <c r="M17" s="50">
        <v>63.61</v>
      </c>
      <c r="N17" s="50">
        <v>562.79999999999995</v>
      </c>
      <c r="O17" s="50">
        <v>0</v>
      </c>
      <c r="P17" s="50">
        <v>0.44</v>
      </c>
      <c r="Q17" s="50">
        <v>48.88</v>
      </c>
      <c r="R17" s="43"/>
      <c r="S17" s="43"/>
      <c r="T17" s="43"/>
      <c r="U17" s="43"/>
    </row>
    <row r="18" spans="1:21" s="11" customFormat="1" ht="15">
      <c r="A18" s="49" t="s">
        <v>697</v>
      </c>
      <c r="B18" s="50">
        <v>14.79</v>
      </c>
      <c r="C18" s="50">
        <v>42.24</v>
      </c>
      <c r="D18" s="50">
        <v>35.86</v>
      </c>
      <c r="E18" s="50">
        <v>2.87</v>
      </c>
      <c r="F18" s="50">
        <v>26.80</v>
      </c>
      <c r="G18" s="50">
        <v>32.630000000000003</v>
      </c>
      <c r="H18" s="50">
        <v>12.71</v>
      </c>
      <c r="I18" s="50">
        <v>0.56000000000000005</v>
      </c>
      <c r="J18" s="50">
        <v>1.1100000000000001</v>
      </c>
      <c r="K18" s="50">
        <v>124.08</v>
      </c>
      <c r="L18" s="50">
        <v>27.39</v>
      </c>
      <c r="M18" s="50">
        <v>55.02</v>
      </c>
      <c r="N18" s="50">
        <v>760.20</v>
      </c>
      <c r="O18" s="50">
        <v>0</v>
      </c>
      <c r="P18" s="50">
        <v>0.46</v>
      </c>
      <c r="Q18" s="50">
        <v>50.22</v>
      </c>
      <c r="R18" s="43"/>
      <c r="S18" s="43"/>
      <c r="T18" s="43"/>
      <c r="U18" s="43"/>
    </row>
    <row r="19" spans="1:21" s="11" customFormat="1" ht="15">
      <c r="A19" s="49" t="s">
        <v>698</v>
      </c>
      <c r="B19" s="50">
        <v>4.76</v>
      </c>
      <c r="C19" s="50">
        <v>40.33</v>
      </c>
      <c r="D19" s="50">
        <v>27.82</v>
      </c>
      <c r="E19" s="50">
        <v>2.11</v>
      </c>
      <c r="F19" s="50">
        <v>19.62</v>
      </c>
      <c r="G19" s="50">
        <v>21.58</v>
      </c>
      <c r="H19" s="50">
        <v>12.49</v>
      </c>
      <c r="I19" s="50">
        <v>0.53</v>
      </c>
      <c r="J19" s="50">
        <v>0.70</v>
      </c>
      <c r="K19" s="50">
        <v>140.36000000000001</v>
      </c>
      <c r="L19" s="50">
        <v>30.28</v>
      </c>
      <c r="M19" s="50">
        <v>50.13</v>
      </c>
      <c r="N19" s="50">
        <v>851.5</v>
      </c>
      <c r="O19" s="50">
        <v>0</v>
      </c>
      <c r="P19" s="50">
        <v>0.45</v>
      </c>
      <c r="Q19" s="50">
        <v>37.15</v>
      </c>
      <c r="R19" s="43"/>
      <c r="S19" s="43"/>
      <c r="T19" s="43"/>
      <c r="U19" s="43"/>
    </row>
    <row r="20" spans="1:21" s="11" customFormat="1" ht="15">
      <c r="A20" s="49" t="s">
        <v>699</v>
      </c>
      <c r="B20" s="50">
        <v>4.1500000000000004</v>
      </c>
      <c r="C20" s="50">
        <v>39.049999999999997</v>
      </c>
      <c r="D20" s="50">
        <v>26.13</v>
      </c>
      <c r="E20" s="50">
        <v>6.74</v>
      </c>
      <c r="F20" s="50">
        <v>15.47</v>
      </c>
      <c r="G20" s="57" t="s">
        <v>12</v>
      </c>
      <c r="H20" s="57" t="s">
        <v>12</v>
      </c>
      <c r="I20" s="50">
        <v>0.49</v>
      </c>
      <c r="J20" s="50">
        <v>0.84</v>
      </c>
      <c r="K20" s="50">
        <v>190.26</v>
      </c>
      <c r="L20" s="50">
        <v>31.52</v>
      </c>
      <c r="M20" s="50">
        <v>45.33</v>
      </c>
      <c r="N20" s="50">
        <v>897.70</v>
      </c>
      <c r="O20" s="50">
        <v>0</v>
      </c>
      <c r="P20" s="50">
        <v>0.45</v>
      </c>
      <c r="Q20" s="50">
        <v>44.58</v>
      </c>
      <c r="R20" s="43"/>
      <c r="S20" s="43"/>
      <c r="T20" s="43"/>
      <c r="U20" s="43"/>
    </row>
    <row r="21" spans="1:21" s="11" customFormat="1" ht="15">
      <c r="A21" s="49" t="s">
        <v>700</v>
      </c>
      <c r="B21" s="50">
        <v>5.41</v>
      </c>
      <c r="C21" s="50">
        <v>31.5</v>
      </c>
      <c r="D21" s="50">
        <v>21.44</v>
      </c>
      <c r="E21" s="50">
        <v>5.17</v>
      </c>
      <c r="F21" s="50">
        <v>24.55</v>
      </c>
      <c r="G21" s="57" t="s">
        <v>12</v>
      </c>
      <c r="H21" s="57" t="s">
        <v>12</v>
      </c>
      <c r="I21" s="50">
        <v>0.52</v>
      </c>
      <c r="J21" s="50">
        <v>0.79</v>
      </c>
      <c r="K21" s="50">
        <v>225.18</v>
      </c>
      <c r="L21" s="50">
        <v>31.96</v>
      </c>
      <c r="M21" s="50">
        <v>43.81</v>
      </c>
      <c r="N21" s="50">
        <v>899.30</v>
      </c>
      <c r="O21" s="50">
        <v>0</v>
      </c>
      <c r="P21" s="50">
        <v>0.43</v>
      </c>
      <c r="Q21" s="50">
        <v>45.15</v>
      </c>
      <c r="R21" s="43"/>
      <c r="S21" s="43"/>
      <c r="T21" s="43"/>
      <c r="U21" s="43"/>
    </row>
    <row r="22" spans="1:21" s="11" customFormat="1" ht="15">
      <c r="A22" s="49" t="s">
        <v>701</v>
      </c>
      <c r="B22" s="50">
        <v>4.33</v>
      </c>
      <c r="C22" s="50">
        <v>26.25</v>
      </c>
      <c r="D22" s="50">
        <v>19.43</v>
      </c>
      <c r="E22" s="50">
        <v>3.82</v>
      </c>
      <c r="F22" s="50">
        <v>10.30</v>
      </c>
      <c r="G22" s="50">
        <v>39.520000000000003</v>
      </c>
      <c r="H22" s="50">
        <v>19.22</v>
      </c>
      <c r="I22" s="50">
        <v>0.52</v>
      </c>
      <c r="J22" s="50">
        <v>1.1000000000000001</v>
      </c>
      <c r="K22" s="50">
        <v>350.72</v>
      </c>
      <c r="L22" s="50">
        <v>32.729999999999997</v>
      </c>
      <c r="M22" s="50">
        <v>38.07</v>
      </c>
      <c r="N22" s="50">
        <v>824.60</v>
      </c>
      <c r="O22" s="50">
        <v>0</v>
      </c>
      <c r="P22" s="50">
        <v>0.46</v>
      </c>
      <c r="Q22" s="50">
        <v>43.15</v>
      </c>
      <c r="R22" s="43"/>
      <c r="S22" s="43"/>
      <c r="T22" s="43"/>
      <c r="U22" s="43"/>
    </row>
    <row r="23" spans="1:21" s="11" customFormat="1" ht="15">
      <c r="A23" s="49" t="s">
        <v>702</v>
      </c>
      <c r="B23" s="50">
        <v>2.54</v>
      </c>
      <c r="C23" s="50">
        <v>33.61</v>
      </c>
      <c r="D23" s="50">
        <v>22.09</v>
      </c>
      <c r="E23" s="50">
        <v>3.96</v>
      </c>
      <c r="F23" s="50">
        <v>18.09</v>
      </c>
      <c r="G23" s="50">
        <v>39.520000000000003</v>
      </c>
      <c r="H23" s="50">
        <v>19.22</v>
      </c>
      <c r="I23" s="50">
        <v>0.54</v>
      </c>
      <c r="J23" s="50">
        <v>1.07</v>
      </c>
      <c r="K23" s="50">
        <v>217.06</v>
      </c>
      <c r="L23" s="50">
        <v>31.34</v>
      </c>
      <c r="M23" s="50">
        <v>34.36</v>
      </c>
      <c r="N23" s="50">
        <v>718.60</v>
      </c>
      <c r="O23" s="50">
        <v>0</v>
      </c>
      <c r="P23" s="50">
        <v>0.43</v>
      </c>
      <c r="Q23" s="50">
        <v>43.46</v>
      </c>
      <c r="R23" s="43"/>
      <c r="S23" s="43"/>
      <c r="T23" s="43"/>
      <c r="U23" s="43"/>
    </row>
    <row r="24" spans="1:21" s="11" customFormat="1" ht="15">
      <c r="A24" s="49" t="s">
        <v>703</v>
      </c>
      <c r="B24" s="50">
        <v>4.4400000000000004</v>
      </c>
      <c r="C24" s="50">
        <v>33.909999999999997</v>
      </c>
      <c r="D24" s="50">
        <v>24.02</v>
      </c>
      <c r="E24" s="50">
        <v>7.49</v>
      </c>
      <c r="F24" s="50">
        <v>32.99</v>
      </c>
      <c r="G24" s="50">
        <v>35.60</v>
      </c>
      <c r="H24" s="50">
        <v>15.64</v>
      </c>
      <c r="I24" s="50">
        <v>0.51</v>
      </c>
      <c r="J24" s="50">
        <v>0.51</v>
      </c>
      <c r="K24" s="50">
        <v>224.30</v>
      </c>
      <c r="L24" s="50">
        <v>31.98</v>
      </c>
      <c r="M24" s="50">
        <v>32.39</v>
      </c>
      <c r="N24" s="50">
        <v>283.60000000000002</v>
      </c>
      <c r="O24" s="50">
        <v>0</v>
      </c>
      <c r="P24" s="50">
        <v>0.57999999999999996</v>
      </c>
      <c r="Q24" s="50">
        <v>44.51</v>
      </c>
      <c r="R24" s="43"/>
      <c r="S24" s="43"/>
      <c r="T24" s="43"/>
      <c r="U24" s="43"/>
    </row>
    <row r="25" spans="1:21" s="11" customFormat="1" ht="15">
      <c r="A25" s="49" t="s">
        <v>704</v>
      </c>
      <c r="B25" s="50">
        <v>4.04</v>
      </c>
      <c r="C25" s="50">
        <v>32.96</v>
      </c>
      <c r="D25" s="50">
        <v>23.17</v>
      </c>
      <c r="E25" s="50">
        <v>8.66</v>
      </c>
      <c r="F25" s="50">
        <v>20.61</v>
      </c>
      <c r="G25" s="50">
        <v>40.020000000000003</v>
      </c>
      <c r="H25" s="50">
        <v>16.41</v>
      </c>
      <c r="I25" s="50">
        <v>0.64</v>
      </c>
      <c r="J25" s="50">
        <v>0.70</v>
      </c>
      <c r="K25" s="50">
        <v>279.73</v>
      </c>
      <c r="L25" s="50">
        <v>31.20</v>
      </c>
      <c r="M25" s="50">
        <v>31.86</v>
      </c>
      <c r="N25" s="50">
        <v>145.19999999999999</v>
      </c>
      <c r="O25" s="50">
        <v>0</v>
      </c>
      <c r="P25" s="50">
        <v>0.57999999999999996</v>
      </c>
      <c r="Q25" s="50">
        <v>39.97</v>
      </c>
      <c r="R25" s="43"/>
      <c r="S25" s="43"/>
      <c r="T25" s="43"/>
      <c r="U25" s="43"/>
    </row>
    <row r="26" spans="1:21" s="11" customFormat="1" ht="15">
      <c r="A26" s="49" t="s">
        <v>705</v>
      </c>
      <c r="B26" s="50">
        <v>5.56</v>
      </c>
      <c r="C26" s="50">
        <v>45.27</v>
      </c>
      <c r="D26" s="50">
        <v>29.16</v>
      </c>
      <c r="E26" s="50">
        <v>5.44</v>
      </c>
      <c r="F26" s="50">
        <v>21.77</v>
      </c>
      <c r="G26" s="50">
        <v>40.020000000000003</v>
      </c>
      <c r="H26" s="50">
        <v>16.41</v>
      </c>
      <c r="I26" s="50">
        <v>0.63</v>
      </c>
      <c r="J26" s="50">
        <v>0.41</v>
      </c>
      <c r="K26" s="50">
        <v>305.04000000000002</v>
      </c>
      <c r="L26" s="50">
        <v>30.56</v>
      </c>
      <c r="M26" s="50">
        <v>33.68</v>
      </c>
      <c r="N26" s="50">
        <v>64.400000000000006</v>
      </c>
      <c r="O26" s="50">
        <v>0</v>
      </c>
      <c r="P26" s="50">
        <v>0.68</v>
      </c>
      <c r="Q26" s="50">
        <v>39.299999999999997</v>
      </c>
      <c r="R26" s="43"/>
      <c r="S26" s="43"/>
      <c r="T26" s="43"/>
      <c r="U26" s="43"/>
    </row>
    <row r="27" spans="1:21" s="11" customFormat="1" ht="15">
      <c r="A27" s="49" t="s">
        <v>706</v>
      </c>
      <c r="B27" s="50">
        <v>61.75</v>
      </c>
      <c r="C27" s="50">
        <v>91.80</v>
      </c>
      <c r="D27" s="50">
        <v>101.92</v>
      </c>
      <c r="E27" s="50">
        <v>6.79</v>
      </c>
      <c r="F27" s="50">
        <v>7.5</v>
      </c>
      <c r="G27" s="50">
        <v>38.24</v>
      </c>
      <c r="H27" s="50">
        <v>14.90</v>
      </c>
      <c r="I27" s="50">
        <v>0.72</v>
      </c>
      <c r="J27" s="50">
        <v>0.22</v>
      </c>
      <c r="K27" s="50">
        <v>339.64</v>
      </c>
      <c r="L27" s="50">
        <v>29.04</v>
      </c>
      <c r="M27" s="50">
        <v>45.32</v>
      </c>
      <c r="N27" s="50">
        <v>8.6999999999999993</v>
      </c>
      <c r="O27" s="50">
        <v>0</v>
      </c>
      <c r="P27" s="50">
        <v>2.15</v>
      </c>
      <c r="Q27" s="50">
        <v>38.200000000000003</v>
      </c>
      <c r="R27" s="43"/>
      <c r="S27" s="43"/>
      <c r="T27" s="43"/>
      <c r="U27" s="43"/>
    </row>
    <row r="28" spans="1:21" s="11" customFormat="1" ht="15">
      <c r="A28" s="49" t="s">
        <v>707</v>
      </c>
      <c r="B28" s="50">
        <v>71.73</v>
      </c>
      <c r="C28" s="50">
        <v>109.89</v>
      </c>
      <c r="D28" s="50">
        <v>119.48</v>
      </c>
      <c r="E28" s="50">
        <v>6.48</v>
      </c>
      <c r="F28" s="50">
        <v>7.45</v>
      </c>
      <c r="G28" s="50">
        <v>64.349999999999994</v>
      </c>
      <c r="H28" s="50">
        <v>21.85</v>
      </c>
      <c r="I28" s="50">
        <v>0.98</v>
      </c>
      <c r="J28" s="50">
        <v>0.25</v>
      </c>
      <c r="K28" s="50">
        <v>359.90</v>
      </c>
      <c r="L28" s="50">
        <v>26.68</v>
      </c>
      <c r="M28" s="50">
        <v>44.46</v>
      </c>
      <c r="N28" s="50">
        <v>4.80</v>
      </c>
      <c r="O28" s="50">
        <v>0</v>
      </c>
      <c r="P28" s="50">
        <v>2.57</v>
      </c>
      <c r="Q28" s="50">
        <v>43.25</v>
      </c>
      <c r="R28" s="43"/>
      <c r="S28" s="43"/>
      <c r="T28" s="43"/>
      <c r="U28" s="43"/>
    </row>
    <row r="29" spans="1:21" s="11" customFormat="1" ht="15">
      <c r="A29" s="49" t="s">
        <v>708</v>
      </c>
      <c r="B29" s="50">
        <v>67.19</v>
      </c>
      <c r="C29" s="50">
        <v>84.62</v>
      </c>
      <c r="D29" s="50">
        <v>98.85</v>
      </c>
      <c r="E29" s="50">
        <v>6.20</v>
      </c>
      <c r="F29" s="50">
        <v>7.28</v>
      </c>
      <c r="G29" s="50">
        <v>80.52</v>
      </c>
      <c r="H29" s="50">
        <v>23.83</v>
      </c>
      <c r="I29" s="50">
        <v>0.92</v>
      </c>
      <c r="J29" s="50">
        <v>0.22</v>
      </c>
      <c r="K29" s="50">
        <v>95.46</v>
      </c>
      <c r="L29" s="50">
        <v>25.76</v>
      </c>
      <c r="M29" s="50">
        <v>43.05</v>
      </c>
      <c r="N29" s="50">
        <v>4.80</v>
      </c>
      <c r="O29" s="50">
        <v>0</v>
      </c>
      <c r="P29" s="50">
        <v>2.4900000000000002</v>
      </c>
      <c r="Q29" s="50">
        <v>45.41</v>
      </c>
      <c r="R29" s="43"/>
      <c r="S29" s="43"/>
      <c r="T29" s="43"/>
      <c r="U29" s="43"/>
    </row>
    <row r="30" spans="1:21" s="11" customFormat="1" ht="15">
      <c r="A30" s="49" t="s">
        <v>709</v>
      </c>
      <c r="B30" s="50">
        <v>118.74</v>
      </c>
      <c r="C30" s="50">
        <v>90.11</v>
      </c>
      <c r="D30" s="50">
        <v>146.69</v>
      </c>
      <c r="E30" s="50">
        <v>6.37</v>
      </c>
      <c r="F30" s="50">
        <v>3.73</v>
      </c>
      <c r="G30" s="50">
        <v>85.22</v>
      </c>
      <c r="H30" s="50">
        <v>26.20</v>
      </c>
      <c r="I30" s="50">
        <v>0.99</v>
      </c>
      <c r="J30" s="50">
        <v>0.21</v>
      </c>
      <c r="K30" s="50">
        <v>336.39</v>
      </c>
      <c r="L30" s="50">
        <v>24.70</v>
      </c>
      <c r="M30" s="50">
        <v>49.14</v>
      </c>
      <c r="N30" s="50">
        <v>4.80</v>
      </c>
      <c r="O30" s="50">
        <v>0</v>
      </c>
      <c r="P30" s="50">
        <v>2.80</v>
      </c>
      <c r="Q30" s="50">
        <v>41.48</v>
      </c>
      <c r="R30" s="43"/>
      <c r="S30" s="43"/>
      <c r="T30" s="43"/>
      <c r="U30" s="43"/>
    </row>
    <row r="31" spans="1:21" s="11" customFormat="1" ht="15">
      <c r="A31" s="49" t="s">
        <v>710</v>
      </c>
      <c r="B31" s="50">
        <v>172.34</v>
      </c>
      <c r="C31" s="50">
        <v>87.91</v>
      </c>
      <c r="D31" s="50">
        <v>188.46</v>
      </c>
      <c r="E31" s="50">
        <v>5.37</v>
      </c>
      <c r="F31" s="50">
        <v>2.96</v>
      </c>
      <c r="G31" s="50">
        <v>111.70</v>
      </c>
      <c r="H31" s="50">
        <v>32.659999999999997</v>
      </c>
      <c r="I31" s="50">
        <v>1.19</v>
      </c>
      <c r="J31" s="50">
        <v>0.14000000000000001</v>
      </c>
      <c r="K31" s="50">
        <v>344.10</v>
      </c>
      <c r="L31" s="50">
        <v>23.01</v>
      </c>
      <c r="M31" s="50">
        <v>53.44</v>
      </c>
      <c r="N31" s="50">
        <v>4.80</v>
      </c>
      <c r="O31" s="50">
        <v>0</v>
      </c>
      <c r="P31" s="50">
        <v>2.77</v>
      </c>
      <c r="Q31" s="50">
        <v>41.38</v>
      </c>
      <c r="R31" s="43"/>
      <c r="S31" s="43"/>
      <c r="T31" s="43"/>
      <c r="U31" s="43"/>
    </row>
    <row r="32" spans="1:21" s="11" customFormat="1" ht="15">
      <c r="A32" s="49" t="s">
        <v>711</v>
      </c>
      <c r="B32" s="50">
        <v>126.20</v>
      </c>
      <c r="C32" s="50">
        <v>66.44</v>
      </c>
      <c r="D32" s="50">
        <v>134.01</v>
      </c>
      <c r="E32" s="50">
        <v>4.09</v>
      </c>
      <c r="F32" s="50">
        <v>2.99</v>
      </c>
      <c r="G32" s="50">
        <v>117.37</v>
      </c>
      <c r="H32" s="50">
        <v>37.64</v>
      </c>
      <c r="I32" s="50">
        <v>1.0900000000000001</v>
      </c>
      <c r="J32" s="50">
        <v>0.35</v>
      </c>
      <c r="K32" s="50">
        <v>308.77</v>
      </c>
      <c r="L32" s="50">
        <v>21.83</v>
      </c>
      <c r="M32" s="50">
        <v>59.01</v>
      </c>
      <c r="N32" s="50">
        <v>4.80</v>
      </c>
      <c r="O32" s="50">
        <v>0</v>
      </c>
      <c r="P32" s="50">
        <v>2.61</v>
      </c>
      <c r="Q32" s="50">
        <v>48.51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2.54</v>
      </c>
      <c r="C34" s="28">
        <f t="shared" si="0"/>
        <v>26.25</v>
      </c>
      <c r="D34" s="28">
        <f t="shared" si="0"/>
        <v>19.43</v>
      </c>
      <c r="E34" s="28">
        <f t="shared" si="0"/>
        <v>1.95</v>
      </c>
      <c r="F34" s="28">
        <f t="shared" si="0"/>
        <v>1.6399999999999999</v>
      </c>
      <c r="G34" s="28">
        <f t="shared" si="0"/>
        <v>21.579999999999998</v>
      </c>
      <c r="H34" s="28">
        <f t="shared" si="0"/>
        <v>10.380000000000001</v>
      </c>
      <c r="I34" s="28">
        <f t="shared" si="0"/>
        <v>0.48999999999999999</v>
      </c>
      <c r="J34" s="28">
        <f t="shared" si="0"/>
        <v>0.14000000000000001</v>
      </c>
      <c r="K34" s="28">
        <f t="shared" si="0"/>
        <v>58.780000000000001</v>
      </c>
      <c r="L34" s="28">
        <f t="shared" si="0"/>
        <v>20.100000000000001</v>
      </c>
      <c r="M34" s="28">
        <f t="shared" si="0"/>
        <v>31.859999999999999</v>
      </c>
      <c r="N34" s="28">
        <f t="shared" si="0"/>
        <v>4.5999999999999996</v>
      </c>
      <c r="O34" s="28">
        <f t="shared" si="0"/>
        <v>0</v>
      </c>
      <c r="P34" s="28">
        <f t="shared" si="0"/>
        <v>0.38</v>
      </c>
      <c r="Q34" s="28">
        <f t="shared" si="0"/>
        <v>37.149999999999999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172.34</v>
      </c>
      <c r="C35" s="29">
        <f t="shared" si="1"/>
        <v>109.89</v>
      </c>
      <c r="D35" s="29">
        <f t="shared" si="1"/>
        <v>188.46000000000001</v>
      </c>
      <c r="E35" s="29">
        <f t="shared" si="1"/>
        <v>8.6600000000000001</v>
      </c>
      <c r="F35" s="29">
        <f t="shared" si="1"/>
        <v>32.990000000000002</v>
      </c>
      <c r="G35" s="29">
        <f t="shared" si="1"/>
        <v>117.37</v>
      </c>
      <c r="H35" s="29">
        <f t="shared" si="1"/>
        <v>37.640000000000001</v>
      </c>
      <c r="I35" s="29">
        <f t="shared" si="1"/>
        <v>1.1899999999999999</v>
      </c>
      <c r="J35" s="29">
        <f t="shared" si="1"/>
        <v>2.23</v>
      </c>
      <c r="K35" s="29">
        <f t="shared" si="1"/>
        <v>359.89999999999998</v>
      </c>
      <c r="L35" s="29">
        <f t="shared" si="1"/>
        <v>32.729999999999997</v>
      </c>
      <c r="M35" s="29">
        <f t="shared" si="1"/>
        <v>80.680000000000007</v>
      </c>
      <c r="N35" s="29">
        <f t="shared" si="1"/>
        <v>899.29999999999995</v>
      </c>
      <c r="O35" s="29">
        <f t="shared" si="1"/>
        <v>0</v>
      </c>
      <c r="P35" s="29">
        <f t="shared" si="1"/>
        <v>2.7999999999999998</v>
      </c>
      <c r="Q35" s="29">
        <f t="shared" si="1"/>
        <v>52.119999999999997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31.877916666666668</v>
      </c>
      <c r="C36" s="28">
        <f t="shared" si="2"/>
        <v>50.930833333333332</v>
      </c>
      <c r="D36" s="28">
        <f t="shared" si="2"/>
        <v>54.666249999999998</v>
      </c>
      <c r="E36" s="28">
        <f t="shared" si="2"/>
        <v>4.2312500000000011</v>
      </c>
      <c r="F36" s="28">
        <f t="shared" si="2"/>
        <v>10.192083333333334</v>
      </c>
      <c r="G36" s="28">
        <f t="shared" si="2"/>
        <v>46.905909090909091</v>
      </c>
      <c r="H36" s="28">
        <f t="shared" si="2"/>
        <v>17.592272727272725</v>
      </c>
      <c r="I36" s="28">
        <f t="shared" si="2"/>
        <v>0.64916666666666678</v>
      </c>
      <c r="J36" s="28">
        <f t="shared" si="2"/>
        <v>0.77041666666666664</v>
      </c>
      <c r="K36" s="28">
        <f t="shared" si="2"/>
        <v>208.94083333333333</v>
      </c>
      <c r="L36" s="28">
        <f t="shared" si="2"/>
        <v>25.95291666666667</v>
      </c>
      <c r="M36" s="28">
        <f t="shared" si="2"/>
        <v>54.34458333333334</v>
      </c>
      <c r="N36" s="28">
        <f t="shared" si="2"/>
        <v>271.48333333333341</v>
      </c>
      <c r="O36" s="28">
        <f t="shared" si="2"/>
        <v>0</v>
      </c>
      <c r="P36" s="28">
        <f t="shared" si="2"/>
        <v>0.99333333333333329</v>
      </c>
      <c r="Q36" s="28">
        <f t="shared" si="2"/>
        <v>45.112916666666671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46.765269348204811</v>
      </c>
      <c r="C37" s="28">
        <f t="shared" si="3" ref="C37:Q37">STDEV(C9:C32)</f>
        <v>23.565954056216576</v>
      </c>
      <c r="D37" s="28">
        <f t="shared" si="3"/>
        <v>48.1718318208708</v>
      </c>
      <c r="E37" s="28">
        <f t="shared" si="3"/>
        <v>2.1222021222838507</v>
      </c>
      <c r="F37" s="28">
        <f t="shared" si="3"/>
        <v>9.6215681534708306</v>
      </c>
      <c r="G37" s="28">
        <f t="shared" si="3"/>
        <v>27.49661860753945</v>
      </c>
      <c r="H37" s="28">
        <f t="shared" si="3"/>
        <v>7.0059593217000629</v>
      </c>
      <c r="I37" s="28">
        <f t="shared" si="3"/>
        <v>0.21237613610856926</v>
      </c>
      <c r="J37" s="28">
        <f t="shared" si="3"/>
        <v>0.57192641033666192</v>
      </c>
      <c r="K37" s="28">
        <f t="shared" si="3"/>
        <v>100.32737391059879</v>
      </c>
      <c r="L37" s="28">
        <f t="shared" si="3"/>
        <v>4.7309834248987457</v>
      </c>
      <c r="M37" s="28">
        <f t="shared" si="3"/>
        <v>15.589725428925135</v>
      </c>
      <c r="N37" s="28">
        <f t="shared" si="3"/>
        <v>354.58910288396902</v>
      </c>
      <c r="O37" s="28">
        <f t="shared" si="3"/>
        <v>0</v>
      </c>
      <c r="P37" s="28">
        <f t="shared" si="3"/>
        <v>0.93576598090253982</v>
      </c>
      <c r="Q37" s="28">
        <f t="shared" si="3"/>
        <v>4.1113072914740112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669291338582677" right="2.63779527559055" top="0.196850393700787" bottom="2.08661417322835" header="0.31496062992126" footer="0.15748031496063"/>
  <pageSetup orientation="landscape" paperSize="9" scale="90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0bc803-edf2-4c2e-9b16-1b1cf858dd8b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3" sqref="G5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28-03-2023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49" t="s">
        <v>712</v>
      </c>
      <c r="B9" s="50">
        <v>102.41</v>
      </c>
      <c r="C9" s="50">
        <v>44.08</v>
      </c>
      <c r="D9" s="50">
        <v>108.20</v>
      </c>
      <c r="E9" s="50">
        <v>4.25</v>
      </c>
      <c r="F9" s="50">
        <v>5.37</v>
      </c>
      <c r="G9" s="50">
        <v>124.79</v>
      </c>
      <c r="H9" s="50">
        <v>37.64</v>
      </c>
      <c r="I9" s="50">
        <v>1.1000000000000001</v>
      </c>
      <c r="J9" s="50">
        <v>0.40</v>
      </c>
      <c r="K9" s="50">
        <v>225.94</v>
      </c>
      <c r="L9" s="50">
        <v>23.36</v>
      </c>
      <c r="M9" s="50">
        <v>49.85</v>
      </c>
      <c r="N9" s="50">
        <v>4.70</v>
      </c>
      <c r="O9" s="50">
        <v>0</v>
      </c>
      <c r="P9" s="50">
        <v>2.39</v>
      </c>
      <c r="Q9" s="50">
        <v>48.72</v>
      </c>
      <c r="R9" s="43"/>
      <c r="S9" s="43"/>
      <c r="T9" s="43"/>
      <c r="U9" s="43"/>
    </row>
    <row r="10" spans="1:21" s="11" customFormat="1" ht="15">
      <c r="A10" s="49" t="s">
        <v>713</v>
      </c>
      <c r="B10" s="50">
        <v>85.53</v>
      </c>
      <c r="C10" s="50">
        <v>34.020000000000003</v>
      </c>
      <c r="D10" s="50">
        <v>88.76</v>
      </c>
      <c r="E10" s="50">
        <v>3.5</v>
      </c>
      <c r="F10" s="50">
        <v>4.58</v>
      </c>
      <c r="G10" s="50">
        <v>124.79</v>
      </c>
      <c r="H10" s="50">
        <v>37.44</v>
      </c>
      <c r="I10" s="50">
        <v>1.05</v>
      </c>
      <c r="J10" s="50">
        <v>0.48</v>
      </c>
      <c r="K10" s="50">
        <v>309.91000000000003</v>
      </c>
      <c r="L10" s="50">
        <v>21.78</v>
      </c>
      <c r="M10" s="50">
        <v>58.98</v>
      </c>
      <c r="N10" s="50">
        <v>5.0999999999999996</v>
      </c>
      <c r="O10" s="50">
        <v>0</v>
      </c>
      <c r="P10" s="50">
        <v>2.0099999999999998</v>
      </c>
      <c r="Q10" s="50">
        <v>47.01</v>
      </c>
      <c r="R10" s="43"/>
      <c r="S10" s="43"/>
      <c r="T10" s="43"/>
      <c r="U10" s="43"/>
    </row>
    <row r="11" spans="1:21" s="11" customFormat="1" ht="15">
      <c r="A11" s="49" t="s">
        <v>714</v>
      </c>
      <c r="B11" s="50">
        <v>70.08</v>
      </c>
      <c r="C11" s="50">
        <v>39.10</v>
      </c>
      <c r="D11" s="50">
        <v>77.680000000000007</v>
      </c>
      <c r="E11" s="50">
        <v>3.46</v>
      </c>
      <c r="F11" s="50">
        <v>4.9800000000000004</v>
      </c>
      <c r="G11" s="50">
        <v>99.43</v>
      </c>
      <c r="H11" s="50">
        <v>29.59</v>
      </c>
      <c r="I11" s="50">
        <v>1.03</v>
      </c>
      <c r="J11" s="50">
        <v>0.39</v>
      </c>
      <c r="K11" s="50">
        <v>356.14</v>
      </c>
      <c r="L11" s="50">
        <v>20.70</v>
      </c>
      <c r="M11" s="50">
        <v>62.28</v>
      </c>
      <c r="N11" s="50">
        <v>4.70</v>
      </c>
      <c r="O11" s="50">
        <v>0</v>
      </c>
      <c r="P11" s="50">
        <v>1.74</v>
      </c>
      <c r="Q11" s="50">
        <v>46.54</v>
      </c>
      <c r="R11" s="43"/>
      <c r="S11" s="43"/>
      <c r="T11" s="43"/>
      <c r="U11" s="43"/>
    </row>
    <row r="12" spans="1:21" s="11" customFormat="1" ht="15">
      <c r="A12" s="49" t="s">
        <v>715</v>
      </c>
      <c r="B12" s="50">
        <v>66.98</v>
      </c>
      <c r="C12" s="50">
        <v>41.58</v>
      </c>
      <c r="D12" s="50">
        <v>78.400000000000006</v>
      </c>
      <c r="E12" s="50">
        <v>3.22</v>
      </c>
      <c r="F12" s="50">
        <v>3.24</v>
      </c>
      <c r="G12" s="50">
        <v>80.95</v>
      </c>
      <c r="H12" s="50">
        <v>27.63</v>
      </c>
      <c r="I12" s="50">
        <v>0.97</v>
      </c>
      <c r="J12" s="50">
        <v>0.24</v>
      </c>
      <c r="K12" s="50">
        <v>212.33</v>
      </c>
      <c r="L12" s="50">
        <v>20.329999999999998</v>
      </c>
      <c r="M12" s="50">
        <v>60.88</v>
      </c>
      <c r="N12" s="50">
        <v>4.9000000000000004</v>
      </c>
      <c r="O12" s="50">
        <v>0</v>
      </c>
      <c r="P12" s="50">
        <v>1.62</v>
      </c>
      <c r="Q12" s="50">
        <v>50.33</v>
      </c>
      <c r="R12" s="43"/>
      <c r="S12" s="43"/>
      <c r="T12" s="43"/>
      <c r="U12" s="43"/>
    </row>
    <row r="13" spans="1:21" s="11" customFormat="1" ht="15">
      <c r="A13" s="49" t="s">
        <v>716</v>
      </c>
      <c r="B13" s="50">
        <v>57.21</v>
      </c>
      <c r="C13" s="50">
        <v>37.14</v>
      </c>
      <c r="D13" s="50">
        <v>68.12</v>
      </c>
      <c r="E13" s="50">
        <v>1.63</v>
      </c>
      <c r="F13" s="50">
        <v>2.91</v>
      </c>
      <c r="G13" s="50">
        <v>69.64</v>
      </c>
      <c r="H13" s="50">
        <v>27.63</v>
      </c>
      <c r="I13" s="50">
        <v>0.93</v>
      </c>
      <c r="J13" s="50">
        <v>0.81</v>
      </c>
      <c r="K13" s="50">
        <v>350.27</v>
      </c>
      <c r="L13" s="50">
        <v>21.15</v>
      </c>
      <c r="M13" s="50">
        <v>60.51</v>
      </c>
      <c r="N13" s="50">
        <v>5.5</v>
      </c>
      <c r="O13" s="50">
        <v>0</v>
      </c>
      <c r="P13" s="50">
        <v>1.44</v>
      </c>
      <c r="Q13" s="50">
        <v>47.31</v>
      </c>
      <c r="R13" s="43"/>
      <c r="S13" s="43"/>
      <c r="T13" s="43"/>
      <c r="U13" s="43"/>
    </row>
    <row r="14" spans="1:21" s="11" customFormat="1" ht="15">
      <c r="A14" s="49" t="s">
        <v>717</v>
      </c>
      <c r="B14" s="50">
        <v>61.67</v>
      </c>
      <c r="C14" s="50">
        <v>40.19</v>
      </c>
      <c r="D14" s="50">
        <v>73.37</v>
      </c>
      <c r="E14" s="50">
        <v>2.19</v>
      </c>
      <c r="F14" s="50">
        <v>2.59</v>
      </c>
      <c r="G14" s="50">
        <v>66.709999999999994</v>
      </c>
      <c r="H14" s="50">
        <v>27.78</v>
      </c>
      <c r="I14" s="50">
        <v>0.85</v>
      </c>
      <c r="J14" s="50">
        <v>0.18</v>
      </c>
      <c r="K14" s="50">
        <v>345.32</v>
      </c>
      <c r="L14" s="50">
        <v>19.309999999999999</v>
      </c>
      <c r="M14" s="50">
        <v>68.069999999999993</v>
      </c>
      <c r="N14" s="50">
        <v>7.70</v>
      </c>
      <c r="O14" s="50">
        <v>0</v>
      </c>
      <c r="P14" s="50">
        <v>1.33</v>
      </c>
      <c r="Q14" s="50">
        <v>45.84</v>
      </c>
      <c r="R14" s="43"/>
      <c r="S14" s="43"/>
      <c r="T14" s="43"/>
      <c r="U14" s="43"/>
    </row>
    <row r="15" spans="1:21" s="11" customFormat="1" ht="15">
      <c r="A15" s="49" t="s">
        <v>718</v>
      </c>
      <c r="B15" s="50">
        <v>78.19</v>
      </c>
      <c r="C15" s="50">
        <v>46.69</v>
      </c>
      <c r="D15" s="50">
        <v>90.21</v>
      </c>
      <c r="E15" s="50">
        <v>2.09</v>
      </c>
      <c r="F15" s="50">
        <v>2.79</v>
      </c>
      <c r="G15" s="50">
        <v>72.599999999999994</v>
      </c>
      <c r="H15" s="50">
        <v>27.78</v>
      </c>
      <c r="I15" s="50">
        <v>0.87</v>
      </c>
      <c r="J15" s="50">
        <v>0.17</v>
      </c>
      <c r="K15" s="50">
        <v>262.01</v>
      </c>
      <c r="L15" s="50">
        <v>21.93</v>
      </c>
      <c r="M15" s="50">
        <v>70.12</v>
      </c>
      <c r="N15" s="50">
        <v>129.30000000000001</v>
      </c>
      <c r="O15" s="50">
        <v>0</v>
      </c>
      <c r="P15" s="50">
        <v>1.32</v>
      </c>
      <c r="Q15" s="50">
        <v>49.05</v>
      </c>
      <c r="R15" s="43"/>
      <c r="S15" s="43"/>
      <c r="T15" s="43"/>
      <c r="U15" s="43"/>
    </row>
    <row r="16" spans="1:21" s="11" customFormat="1" ht="15">
      <c r="A16" s="49" t="s">
        <v>719</v>
      </c>
      <c r="B16" s="50">
        <v>81.5</v>
      </c>
      <c r="C16" s="50">
        <v>50.36</v>
      </c>
      <c r="D16" s="50">
        <v>93.94</v>
      </c>
      <c r="E16" s="50">
        <v>2.02</v>
      </c>
      <c r="F16" s="50">
        <v>3.08</v>
      </c>
      <c r="G16" s="50">
        <v>100.74</v>
      </c>
      <c r="H16" s="50">
        <v>34.14</v>
      </c>
      <c r="I16" s="50">
        <v>0.90</v>
      </c>
      <c r="J16" s="50">
        <v>0.27</v>
      </c>
      <c r="K16" s="50">
        <v>356.82</v>
      </c>
      <c r="L16" s="50">
        <v>27.40</v>
      </c>
      <c r="M16" s="50">
        <v>55.27</v>
      </c>
      <c r="N16" s="50">
        <v>324.5</v>
      </c>
      <c r="O16" s="50">
        <v>0</v>
      </c>
      <c r="P16" s="50">
        <v>1.43</v>
      </c>
      <c r="Q16" s="50">
        <v>48.64</v>
      </c>
      <c r="R16" s="43"/>
      <c r="S16" s="43"/>
      <c r="T16" s="43"/>
      <c r="U16" s="43"/>
    </row>
    <row r="17" spans="1:21" s="11" customFormat="1" ht="15">
      <c r="A17" s="49" t="s">
        <v>720</v>
      </c>
      <c r="B17" s="50">
        <v>76.53</v>
      </c>
      <c r="C17" s="50">
        <v>63.79</v>
      </c>
      <c r="D17" s="50">
        <v>93.72</v>
      </c>
      <c r="E17" s="50">
        <v>7.62</v>
      </c>
      <c r="F17" s="50">
        <v>9.66</v>
      </c>
      <c r="G17" s="50">
        <v>196.32</v>
      </c>
      <c r="H17" s="50">
        <v>50.52</v>
      </c>
      <c r="I17" s="50">
        <v>0.91</v>
      </c>
      <c r="J17" s="50">
        <v>0.56999999999999995</v>
      </c>
      <c r="K17" s="50">
        <v>17.89</v>
      </c>
      <c r="L17" s="50">
        <v>31.70</v>
      </c>
      <c r="M17" s="50">
        <v>42.64</v>
      </c>
      <c r="N17" s="50">
        <v>507.40</v>
      </c>
      <c r="O17" s="50">
        <v>0</v>
      </c>
      <c r="P17" s="50">
        <v>1.70</v>
      </c>
      <c r="Q17" s="50">
        <v>49.94</v>
      </c>
      <c r="R17" s="43"/>
      <c r="S17" s="43"/>
      <c r="T17" s="43"/>
      <c r="U17" s="43"/>
    </row>
    <row r="18" spans="1:21" s="11" customFormat="1" ht="15">
      <c r="A18" s="49" t="s">
        <v>721</v>
      </c>
      <c r="B18" s="50">
        <v>54.07</v>
      </c>
      <c r="C18" s="50">
        <v>67.069999999999993</v>
      </c>
      <c r="D18" s="50">
        <v>81.81</v>
      </c>
      <c r="E18" s="50">
        <v>10.40</v>
      </c>
      <c r="F18" s="50">
        <v>13.92</v>
      </c>
      <c r="G18" s="50">
        <v>196.32</v>
      </c>
      <c r="H18" s="50">
        <v>116.39</v>
      </c>
      <c r="I18" s="50">
        <v>0.81</v>
      </c>
      <c r="J18" s="50">
        <v>0.5</v>
      </c>
      <c r="K18" s="50">
        <v>354.38</v>
      </c>
      <c r="L18" s="50">
        <v>32.74</v>
      </c>
      <c r="M18" s="50">
        <v>34.29</v>
      </c>
      <c r="N18" s="50">
        <v>654.90</v>
      </c>
      <c r="O18" s="50">
        <v>0</v>
      </c>
      <c r="P18" s="50">
        <v>1.70</v>
      </c>
      <c r="Q18" s="50">
        <v>51.59</v>
      </c>
      <c r="R18" s="43"/>
      <c r="S18" s="43"/>
      <c r="T18" s="43"/>
      <c r="U18" s="43"/>
    </row>
    <row r="19" spans="1:21" s="11" customFormat="1" ht="15">
      <c r="A19" s="49" t="s">
        <v>722</v>
      </c>
      <c r="B19" s="50">
        <v>4.59</v>
      </c>
      <c r="C19" s="50">
        <v>67.680000000000007</v>
      </c>
      <c r="D19" s="50">
        <v>42.77</v>
      </c>
      <c r="E19" s="50">
        <v>14.33</v>
      </c>
      <c r="F19" s="50">
        <v>59.84</v>
      </c>
      <c r="G19" s="50">
        <v>140.08000000000001</v>
      </c>
      <c r="H19" s="50">
        <v>116.39</v>
      </c>
      <c r="I19" s="50">
        <v>0.83</v>
      </c>
      <c r="J19" s="50">
        <v>0.62</v>
      </c>
      <c r="K19" s="50">
        <v>335.08</v>
      </c>
      <c r="L19" s="50">
        <v>31.92</v>
      </c>
      <c r="M19" s="50">
        <v>33.869999999999997</v>
      </c>
      <c r="N19" s="50">
        <v>807.90</v>
      </c>
      <c r="O19" s="50">
        <v>0</v>
      </c>
      <c r="P19" s="50">
        <v>1</v>
      </c>
      <c r="Q19" s="50">
        <v>42.57</v>
      </c>
      <c r="R19" s="43"/>
      <c r="S19" s="43"/>
      <c r="T19" s="43"/>
      <c r="U19" s="43"/>
    </row>
    <row r="20" spans="1:21" s="11" customFormat="1" ht="15">
      <c r="A20" s="49" t="s">
        <v>723</v>
      </c>
      <c r="B20" s="50">
        <v>3.68</v>
      </c>
      <c r="C20" s="50">
        <v>35.86</v>
      </c>
      <c r="D20" s="50">
        <v>24.32</v>
      </c>
      <c r="E20" s="50">
        <v>5.01</v>
      </c>
      <c r="F20" s="50">
        <v>21.59</v>
      </c>
      <c r="G20" s="50">
        <v>140.08000000000001</v>
      </c>
      <c r="H20" s="50">
        <v>59.78</v>
      </c>
      <c r="I20" s="50">
        <v>0.49</v>
      </c>
      <c r="J20" s="50">
        <v>1.08</v>
      </c>
      <c r="K20" s="50">
        <v>172.81</v>
      </c>
      <c r="L20" s="50">
        <v>33.520000000000003</v>
      </c>
      <c r="M20" s="50">
        <v>26.29</v>
      </c>
      <c r="N20" s="50">
        <v>885.70</v>
      </c>
      <c r="O20" s="50">
        <v>0</v>
      </c>
      <c r="P20" s="50">
        <v>0.95</v>
      </c>
      <c r="Q20" s="50">
        <v>33.229999999999997</v>
      </c>
      <c r="R20" s="43"/>
      <c r="S20" s="43"/>
      <c r="T20" s="43"/>
      <c r="U20" s="43"/>
    </row>
    <row r="21" spans="1:21" s="11" customFormat="1" ht="15">
      <c r="A21" s="49" t="s">
        <v>724</v>
      </c>
      <c r="B21" s="50">
        <v>4.22</v>
      </c>
      <c r="C21" s="50">
        <v>37.71</v>
      </c>
      <c r="D21" s="50">
        <v>25.94</v>
      </c>
      <c r="E21" s="50">
        <v>9.83</v>
      </c>
      <c r="F21" s="50">
        <v>38.409999999999997</v>
      </c>
      <c r="G21" s="50">
        <v>110.42</v>
      </c>
      <c r="H21" s="50">
        <v>46.57</v>
      </c>
      <c r="I21" s="50">
        <v>0.53</v>
      </c>
      <c r="J21" s="50">
        <v>0.98</v>
      </c>
      <c r="K21" s="50">
        <v>196.73</v>
      </c>
      <c r="L21" s="50">
        <v>32.93</v>
      </c>
      <c r="M21" s="50">
        <v>22.51</v>
      </c>
      <c r="N21" s="50">
        <v>899</v>
      </c>
      <c r="O21" s="50">
        <v>0</v>
      </c>
      <c r="P21" s="50">
        <v>0.86</v>
      </c>
      <c r="Q21" s="50">
        <v>36.43</v>
      </c>
      <c r="R21" s="43"/>
      <c r="S21" s="43"/>
      <c r="T21" s="43"/>
      <c r="U21" s="43"/>
    </row>
    <row r="22" spans="1:21" s="11" customFormat="1" ht="15">
      <c r="A22" s="49" t="s">
        <v>725</v>
      </c>
      <c r="B22" s="50">
        <v>3.63</v>
      </c>
      <c r="C22" s="50">
        <v>43.69</v>
      </c>
      <c r="D22" s="50">
        <v>28.37</v>
      </c>
      <c r="E22" s="50">
        <v>6.70</v>
      </c>
      <c r="F22" s="50">
        <v>23.18</v>
      </c>
      <c r="G22" s="50">
        <v>54.85</v>
      </c>
      <c r="H22" s="50">
        <v>30.82</v>
      </c>
      <c r="I22" s="50">
        <v>0.61</v>
      </c>
      <c r="J22" s="50">
        <v>1.31</v>
      </c>
      <c r="K22" s="50">
        <v>235.77</v>
      </c>
      <c r="L22" s="50">
        <v>33.369999999999997</v>
      </c>
      <c r="M22" s="50">
        <v>20.68</v>
      </c>
      <c r="N22" s="50">
        <v>829.10</v>
      </c>
      <c r="O22" s="50">
        <v>0</v>
      </c>
      <c r="P22" s="50">
        <v>0.76</v>
      </c>
      <c r="Q22" s="50">
        <v>43.60</v>
      </c>
      <c r="R22" s="43"/>
      <c r="S22" s="43"/>
      <c r="T22" s="43"/>
      <c r="U22" s="43"/>
    </row>
    <row r="23" spans="1:21" s="11" customFormat="1" ht="15">
      <c r="A23" s="49" t="s">
        <v>726</v>
      </c>
      <c r="B23" s="50">
        <v>2.65</v>
      </c>
      <c r="C23" s="50">
        <v>33.57</v>
      </c>
      <c r="D23" s="50">
        <v>22.37</v>
      </c>
      <c r="E23" s="50">
        <v>3.30</v>
      </c>
      <c r="F23" s="50">
        <v>19.649999999999999</v>
      </c>
      <c r="G23" s="50">
        <v>54.85</v>
      </c>
      <c r="H23" s="50">
        <v>30.82</v>
      </c>
      <c r="I23" s="50">
        <v>0.66</v>
      </c>
      <c r="J23" s="50">
        <v>0.90</v>
      </c>
      <c r="K23" s="50">
        <v>200.94</v>
      </c>
      <c r="L23" s="50">
        <v>33.04</v>
      </c>
      <c r="M23" s="50">
        <v>16.309999999999999</v>
      </c>
      <c r="N23" s="50">
        <v>657.40</v>
      </c>
      <c r="O23" s="50">
        <v>0</v>
      </c>
      <c r="P23" s="50">
        <v>0.59</v>
      </c>
      <c r="Q23" s="50">
        <v>42.86</v>
      </c>
      <c r="R23" s="43"/>
      <c r="S23" s="43"/>
      <c r="T23" s="43"/>
      <c r="U23" s="43"/>
    </row>
    <row r="24" spans="1:21" s="11" customFormat="1" ht="15">
      <c r="A24" s="49" t="s">
        <v>727</v>
      </c>
      <c r="B24" s="50">
        <v>3.02</v>
      </c>
      <c r="C24" s="50">
        <v>45.57</v>
      </c>
      <c r="D24" s="50">
        <v>29.28</v>
      </c>
      <c r="E24" s="50">
        <v>3.94</v>
      </c>
      <c r="F24" s="50">
        <v>22.5</v>
      </c>
      <c r="G24" s="50">
        <v>35.340000000000003</v>
      </c>
      <c r="H24" s="50">
        <v>3.56</v>
      </c>
      <c r="I24" s="50">
        <v>0.56999999999999995</v>
      </c>
      <c r="J24" s="50">
        <v>0.59</v>
      </c>
      <c r="K24" s="50">
        <v>228.75</v>
      </c>
      <c r="L24" s="50">
        <v>33.520000000000003</v>
      </c>
      <c r="M24" s="50">
        <v>16.30</v>
      </c>
      <c r="N24" s="50">
        <v>429.30</v>
      </c>
      <c r="O24" s="50">
        <v>0</v>
      </c>
      <c r="P24" s="50">
        <v>0.47</v>
      </c>
      <c r="Q24" s="50">
        <v>40.99</v>
      </c>
      <c r="R24" s="43"/>
      <c r="S24" s="43"/>
      <c r="T24" s="43"/>
      <c r="U24" s="43"/>
    </row>
    <row r="25" spans="1:21" s="11" customFormat="1" ht="15">
      <c r="A25" s="49" t="s">
        <v>728</v>
      </c>
      <c r="B25" s="50">
        <v>4.08</v>
      </c>
      <c r="C25" s="50">
        <v>55.31</v>
      </c>
      <c r="D25" s="50">
        <v>35.42</v>
      </c>
      <c r="E25" s="50">
        <v>1.87</v>
      </c>
      <c r="F25" s="50">
        <v>11.20</v>
      </c>
      <c r="G25" s="50">
        <v>56.97</v>
      </c>
      <c r="H25" s="50">
        <v>29.19</v>
      </c>
      <c r="I25" s="50">
        <v>0.57999999999999996</v>
      </c>
      <c r="J25" s="50">
        <v>0.35</v>
      </c>
      <c r="K25" s="50">
        <v>349.36</v>
      </c>
      <c r="L25" s="50">
        <v>32.799999999999997</v>
      </c>
      <c r="M25" s="50">
        <v>15.81</v>
      </c>
      <c r="N25" s="50">
        <v>132.90</v>
      </c>
      <c r="O25" s="50">
        <v>0</v>
      </c>
      <c r="P25" s="50">
        <v>0.47</v>
      </c>
      <c r="Q25" s="50">
        <v>36.67</v>
      </c>
      <c r="R25" s="43"/>
      <c r="S25" s="43"/>
      <c r="T25" s="43"/>
      <c r="U25" s="43"/>
    </row>
    <row r="26" spans="1:21" s="11" customFormat="1" ht="15">
      <c r="A26" s="49" t="s">
        <v>729</v>
      </c>
      <c r="B26" s="50">
        <v>11.76</v>
      </c>
      <c r="C26" s="50">
        <v>78.319999999999993</v>
      </c>
      <c r="D26" s="50">
        <v>54.39</v>
      </c>
      <c r="E26" s="50">
        <v>2.86</v>
      </c>
      <c r="F26" s="50">
        <v>17.010000000000002</v>
      </c>
      <c r="G26" s="50">
        <v>56.97</v>
      </c>
      <c r="H26" s="50">
        <v>29.19</v>
      </c>
      <c r="I26" s="50">
        <v>0.53</v>
      </c>
      <c r="J26" s="50">
        <v>0.27</v>
      </c>
      <c r="K26" s="50">
        <v>341.91</v>
      </c>
      <c r="L26" s="50">
        <v>31.44</v>
      </c>
      <c r="M26" s="50">
        <v>20.46</v>
      </c>
      <c r="N26" s="50">
        <v>62.40</v>
      </c>
      <c r="O26" s="50">
        <v>0</v>
      </c>
      <c r="P26" s="50">
        <v>0.73</v>
      </c>
      <c r="Q26" s="50">
        <v>39.880000000000003</v>
      </c>
      <c r="R26" s="43"/>
      <c r="S26" s="43"/>
      <c r="T26" s="43"/>
      <c r="U26" s="43"/>
    </row>
    <row r="27" spans="1:21" s="11" customFormat="1" ht="15">
      <c r="A27" s="49" t="s">
        <v>730</v>
      </c>
      <c r="B27" s="50">
        <v>83.20</v>
      </c>
      <c r="C27" s="50">
        <v>119.16</v>
      </c>
      <c r="D27" s="50">
        <v>134.22</v>
      </c>
      <c r="E27" s="50">
        <v>5.60</v>
      </c>
      <c r="F27" s="50">
        <v>11.14</v>
      </c>
      <c r="G27" s="50">
        <v>56.93</v>
      </c>
      <c r="H27" s="50">
        <v>38.18</v>
      </c>
      <c r="I27" s="50">
        <v>0.67</v>
      </c>
      <c r="J27" s="50">
        <v>0.14000000000000001</v>
      </c>
      <c r="K27" s="50">
        <v>337.10</v>
      </c>
      <c r="L27" s="50">
        <v>29.27</v>
      </c>
      <c r="M27" s="50">
        <v>28.73</v>
      </c>
      <c r="N27" s="50">
        <v>8.5</v>
      </c>
      <c r="O27" s="50">
        <v>0</v>
      </c>
      <c r="P27" s="50">
        <v>1.70</v>
      </c>
      <c r="Q27" s="50">
        <v>36.43</v>
      </c>
      <c r="R27" s="43"/>
      <c r="S27" s="43"/>
      <c r="T27" s="43"/>
      <c r="U27" s="43"/>
    </row>
    <row r="28" spans="1:21" s="11" customFormat="1" ht="15">
      <c r="A28" s="49" t="s">
        <v>731</v>
      </c>
      <c r="B28" s="50">
        <v>192.43</v>
      </c>
      <c r="C28" s="50">
        <v>138.19999999999999</v>
      </c>
      <c r="D28" s="50">
        <v>232.32</v>
      </c>
      <c r="E28" s="50">
        <v>5.40</v>
      </c>
      <c r="F28" s="50">
        <v>4.29</v>
      </c>
      <c r="G28" s="50">
        <v>139.01</v>
      </c>
      <c r="H28" s="50">
        <v>42.67</v>
      </c>
      <c r="I28" s="50">
        <v>0.85</v>
      </c>
      <c r="J28" s="50">
        <v>0.28000000000000003</v>
      </c>
      <c r="K28" s="50">
        <v>265.47000000000003</v>
      </c>
      <c r="L28" s="50">
        <v>26.74</v>
      </c>
      <c r="M28" s="50">
        <v>36.049999999999997</v>
      </c>
      <c r="N28" s="50">
        <v>4.80</v>
      </c>
      <c r="O28" s="50">
        <v>0</v>
      </c>
      <c r="P28" s="50">
        <v>2.0699999999999998</v>
      </c>
      <c r="Q28" s="50">
        <v>33.200000000000003</v>
      </c>
      <c r="R28" s="43"/>
      <c r="S28" s="43"/>
      <c r="T28" s="43"/>
      <c r="U28" s="43"/>
    </row>
    <row r="29" spans="1:21" s="11" customFormat="1" ht="15">
      <c r="A29" s="49" t="s">
        <v>732</v>
      </c>
      <c r="B29" s="50">
        <v>144.52000000000001</v>
      </c>
      <c r="C29" s="50">
        <v>115.95</v>
      </c>
      <c r="D29" s="50">
        <v>179.95</v>
      </c>
      <c r="E29" s="50">
        <v>6.82</v>
      </c>
      <c r="F29" s="50">
        <v>4.01</v>
      </c>
      <c r="G29" s="50">
        <v>186.86</v>
      </c>
      <c r="H29" s="50">
        <v>51.21</v>
      </c>
      <c r="I29" s="50">
        <v>1.38</v>
      </c>
      <c r="J29" s="50">
        <v>0.19</v>
      </c>
      <c r="K29" s="50">
        <v>352.28</v>
      </c>
      <c r="L29" s="50">
        <v>25.20</v>
      </c>
      <c r="M29" s="50">
        <v>45.49</v>
      </c>
      <c r="N29" s="50">
        <v>4.80</v>
      </c>
      <c r="O29" s="50">
        <v>0</v>
      </c>
      <c r="P29" s="50">
        <v>3.35</v>
      </c>
      <c r="Q29" s="50">
        <v>42.03</v>
      </c>
      <c r="R29" s="43"/>
      <c r="S29" s="43"/>
      <c r="T29" s="43"/>
      <c r="U29" s="43"/>
    </row>
    <row r="30" spans="1:21" s="11" customFormat="1" ht="15">
      <c r="A30" s="49" t="s">
        <v>733</v>
      </c>
      <c r="B30" s="50">
        <v>200.40</v>
      </c>
      <c r="C30" s="50">
        <v>105.57</v>
      </c>
      <c r="D30" s="50">
        <v>216.03</v>
      </c>
      <c r="E30" s="50">
        <v>6.19</v>
      </c>
      <c r="F30" s="50">
        <v>3.85</v>
      </c>
      <c r="G30" s="50">
        <v>198.98</v>
      </c>
      <c r="H30" s="50">
        <v>59.69</v>
      </c>
      <c r="I30" s="50">
        <v>1.49</v>
      </c>
      <c r="J30" s="50">
        <v>0.20</v>
      </c>
      <c r="K30" s="50">
        <v>352.31</v>
      </c>
      <c r="L30" s="50">
        <v>24.55</v>
      </c>
      <c r="M30" s="50">
        <v>49.18</v>
      </c>
      <c r="N30" s="50">
        <v>5.0999999999999996</v>
      </c>
      <c r="O30" s="50">
        <v>0</v>
      </c>
      <c r="P30" s="50">
        <v>3.99</v>
      </c>
      <c r="Q30" s="50">
        <v>43.27</v>
      </c>
      <c r="R30" s="43"/>
      <c r="S30" s="43"/>
      <c r="T30" s="43"/>
      <c r="U30" s="43"/>
    </row>
    <row r="31" spans="1:21" s="11" customFormat="1" ht="15">
      <c r="A31" s="49" t="s">
        <v>734</v>
      </c>
      <c r="B31" s="50">
        <v>238.67</v>
      </c>
      <c r="C31" s="50">
        <v>100.45</v>
      </c>
      <c r="D31" s="50">
        <v>248.57</v>
      </c>
      <c r="E31" s="50">
        <v>6.31</v>
      </c>
      <c r="F31" s="50">
        <v>3.63</v>
      </c>
      <c r="G31" s="50">
        <v>210.13</v>
      </c>
      <c r="H31" s="50">
        <v>64.599999999999994</v>
      </c>
      <c r="I31" s="50">
        <v>1.69</v>
      </c>
      <c r="J31" s="50">
        <v>0.16</v>
      </c>
      <c r="K31" s="50">
        <v>285.10000000000002</v>
      </c>
      <c r="L31" s="50">
        <v>23.84</v>
      </c>
      <c r="M31" s="50">
        <v>52.87</v>
      </c>
      <c r="N31" s="50">
        <v>4.9000000000000004</v>
      </c>
      <c r="O31" s="50">
        <v>0</v>
      </c>
      <c r="P31" s="50">
        <v>4.3600000000000003</v>
      </c>
      <c r="Q31" s="50">
        <v>48.15</v>
      </c>
      <c r="R31" s="43"/>
      <c r="S31" s="43"/>
      <c r="T31" s="43"/>
      <c r="U31" s="43"/>
    </row>
    <row r="32" spans="1:21" s="11" customFormat="1" ht="15">
      <c r="A32" s="49" t="s">
        <v>735</v>
      </c>
      <c r="B32" s="50">
        <v>230.42</v>
      </c>
      <c r="C32" s="50">
        <v>98.66</v>
      </c>
      <c r="D32" s="50">
        <v>240.32</v>
      </c>
      <c r="E32" s="50">
        <v>6.59</v>
      </c>
      <c r="F32" s="50">
        <v>3.5</v>
      </c>
      <c r="G32" s="50">
        <v>210.13</v>
      </c>
      <c r="H32" s="50">
        <v>64.599999999999994</v>
      </c>
      <c r="I32" s="50">
        <v>2</v>
      </c>
      <c r="J32" s="50">
        <v>0.11</v>
      </c>
      <c r="K32" s="50">
        <v>329.53</v>
      </c>
      <c r="L32" s="50">
        <v>22.88</v>
      </c>
      <c r="M32" s="50">
        <v>56.10</v>
      </c>
      <c r="N32" s="50">
        <v>4.80</v>
      </c>
      <c r="O32" s="50">
        <v>0</v>
      </c>
      <c r="P32" s="50">
        <v>4.46</v>
      </c>
      <c r="Q32" s="50">
        <v>54.38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2.6499999999999999</v>
      </c>
      <c r="C34" s="28">
        <f t="shared" si="0"/>
        <v>33.57</v>
      </c>
      <c r="D34" s="28">
        <f t="shared" si="0"/>
        <v>22.370000000000001</v>
      </c>
      <c r="E34" s="28">
        <f t="shared" si="0"/>
        <v>1.6299999999999999</v>
      </c>
      <c r="F34" s="28">
        <f t="shared" si="0"/>
        <v>2.5899999999999999</v>
      </c>
      <c r="G34" s="28">
        <f t="shared" si="0"/>
        <v>35.340000000000003</v>
      </c>
      <c r="H34" s="28">
        <f t="shared" si="0"/>
        <v>3.5600000000000001</v>
      </c>
      <c r="I34" s="28">
        <f t="shared" si="0"/>
        <v>0.48999999999999999</v>
      </c>
      <c r="J34" s="28">
        <f t="shared" si="0"/>
        <v>0.11</v>
      </c>
      <c r="K34" s="28">
        <f t="shared" si="0"/>
        <v>17.890000000000001</v>
      </c>
      <c r="L34" s="28">
        <f t="shared" si="0"/>
        <v>19.309999999999999</v>
      </c>
      <c r="M34" s="28">
        <f t="shared" si="0"/>
        <v>15.81</v>
      </c>
      <c r="N34" s="28">
        <f t="shared" si="0"/>
        <v>4.7000000000000002</v>
      </c>
      <c r="O34" s="28">
        <f t="shared" si="0"/>
        <v>0</v>
      </c>
      <c r="P34" s="28">
        <f t="shared" si="0"/>
        <v>0.46999999999999997</v>
      </c>
      <c r="Q34" s="28">
        <f t="shared" si="0"/>
        <v>33.200000000000003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238.66999999999999</v>
      </c>
      <c r="C35" s="29">
        <f t="shared" si="1"/>
        <v>138.19999999999999</v>
      </c>
      <c r="D35" s="29">
        <f t="shared" si="1"/>
        <v>248.56999999999999</v>
      </c>
      <c r="E35" s="29">
        <f t="shared" si="1"/>
        <v>14.33</v>
      </c>
      <c r="F35" s="29">
        <f t="shared" si="1"/>
        <v>59.840000000000003</v>
      </c>
      <c r="G35" s="29">
        <f t="shared" si="1"/>
        <v>210.13</v>
      </c>
      <c r="H35" s="29">
        <f t="shared" si="1"/>
        <v>116.39</v>
      </c>
      <c r="I35" s="29">
        <f t="shared" si="1"/>
        <v>2</v>
      </c>
      <c r="J35" s="29">
        <f t="shared" si="1"/>
        <v>1.3100000000000001</v>
      </c>
      <c r="K35" s="29">
        <f t="shared" si="1"/>
        <v>356.81999999999999</v>
      </c>
      <c r="L35" s="29">
        <f t="shared" si="1"/>
        <v>33.520000000000003</v>
      </c>
      <c r="M35" s="29">
        <f t="shared" si="1"/>
        <v>70.120000000000005</v>
      </c>
      <c r="N35" s="29">
        <f t="shared" si="1"/>
        <v>899</v>
      </c>
      <c r="O35" s="29">
        <f t="shared" si="1"/>
        <v>0</v>
      </c>
      <c r="P35" s="29">
        <f t="shared" si="1"/>
        <v>4.46</v>
      </c>
      <c r="Q35" s="29">
        <f t="shared" si="1"/>
        <v>54.380000000000003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77.560000000000016</v>
      </c>
      <c r="C36" s="28">
        <f t="shared" si="2"/>
        <v>64.155000000000001</v>
      </c>
      <c r="D36" s="28">
        <f t="shared" si="2"/>
        <v>98.686666666666682</v>
      </c>
      <c r="E36" s="28">
        <f t="shared" si="2"/>
        <v>5.2137500000000001</v>
      </c>
      <c r="F36" s="28">
        <f t="shared" si="2"/>
        <v>12.371666666666668</v>
      </c>
      <c r="G36" s="28">
        <f t="shared" si="2"/>
        <v>115.99541666666666</v>
      </c>
      <c r="H36" s="28">
        <f t="shared" si="2"/>
        <v>45.158750000000005</v>
      </c>
      <c r="I36" s="28">
        <f t="shared" si="2"/>
        <v>0.92916666666666659</v>
      </c>
      <c r="J36" s="28">
        <f t="shared" si="2"/>
        <v>0.46624999999999989</v>
      </c>
      <c r="K36" s="28">
        <f t="shared" si="2"/>
        <v>282.25625000000002</v>
      </c>
      <c r="L36" s="28">
        <f t="shared" si="2"/>
        <v>27.30916666666667</v>
      </c>
      <c r="M36" s="28">
        <f t="shared" si="2"/>
        <v>41.814166666666658</v>
      </c>
      <c r="N36" s="28">
        <f t="shared" si="2"/>
        <v>266.05416666666667</v>
      </c>
      <c r="O36" s="28">
        <f t="shared" si="2"/>
        <v>0</v>
      </c>
      <c r="P36" s="28">
        <f t="shared" si="2"/>
        <v>1.7683333333333333</v>
      </c>
      <c r="Q36" s="28">
        <f t="shared" si="2"/>
        <v>44.110833333333339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74.229695686693546</v>
      </c>
      <c r="C37" s="28">
        <f t="shared" si="3" ref="C37:Q37">STDEV(C9:C32)</f>
        <v>31.733652826914359</v>
      </c>
      <c r="D37" s="28">
        <f t="shared" si="3"/>
        <v>72.393747728273624</v>
      </c>
      <c r="E37" s="28">
        <f t="shared" si="3"/>
        <v>3.1000179697936399</v>
      </c>
      <c r="F37" s="28">
        <f t="shared" si="3"/>
        <v>13.668155203489118</v>
      </c>
      <c r="G37" s="28">
        <f t="shared" si="3"/>
        <v>57.877844223785289</v>
      </c>
      <c r="H37" s="28">
        <f t="shared" si="3"/>
        <v>26.210698664028794</v>
      </c>
      <c r="I37" s="28">
        <f t="shared" si="3"/>
        <v>0.38131256911137745</v>
      </c>
      <c r="J37" s="28">
        <f t="shared" si="3"/>
        <v>0.33235408697717977</v>
      </c>
      <c r="K37" s="28">
        <f t="shared" si="3"/>
        <v>83.685045405117066</v>
      </c>
      <c r="L37" s="28">
        <f t="shared" si="3"/>
        <v>5.1620318856440255</v>
      </c>
      <c r="M37" s="28">
        <f t="shared" si="3"/>
        <v>17.907546360868878</v>
      </c>
      <c r="N37" s="28">
        <f t="shared" si="3"/>
        <v>341.39809094900215</v>
      </c>
      <c r="O37" s="28">
        <f t="shared" si="3"/>
        <v>0</v>
      </c>
      <c r="P37" s="28">
        <f t="shared" si="3"/>
        <v>1.1707881650991492</v>
      </c>
      <c r="Q37" s="28">
        <f t="shared" si="3"/>
        <v>5.8670820216931263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2403a02-385b-40b0-8235-a1c2be20fddb}">
  <sheetPr codeName=""/>
  <dimension ref="A1:U119"/>
  <sheetViews>
    <sheetView workbookViewId="0" topLeftCell="A1">
      <selection pane="topLeft" activeCell="I61" sqref="I61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29-03-2023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49" t="s">
        <v>736</v>
      </c>
      <c r="B9" s="50">
        <v>206.04</v>
      </c>
      <c r="C9" s="50">
        <v>81.93</v>
      </c>
      <c r="D9" s="50">
        <v>212.18</v>
      </c>
      <c r="E9" s="50">
        <v>4.07</v>
      </c>
      <c r="F9" s="50">
        <v>3.33</v>
      </c>
      <c r="G9" s="50">
        <v>199.63</v>
      </c>
      <c r="H9" s="50">
        <v>65.55</v>
      </c>
      <c r="I9" s="50">
        <v>2.0499999999999998</v>
      </c>
      <c r="J9" s="50">
        <v>0.20</v>
      </c>
      <c r="K9" s="50">
        <v>354.46</v>
      </c>
      <c r="L9" s="50">
        <v>22.30</v>
      </c>
      <c r="M9" s="50">
        <v>57.85</v>
      </c>
      <c r="N9" s="50">
        <v>5</v>
      </c>
      <c r="O9" s="50">
        <v>0</v>
      </c>
      <c r="P9" s="50">
        <v>4.01</v>
      </c>
      <c r="Q9" s="50">
        <v>64.209999999999994</v>
      </c>
      <c r="R9" s="43"/>
      <c r="S9" s="43"/>
      <c r="T9" s="43"/>
      <c r="U9" s="43"/>
    </row>
    <row r="10" spans="1:21" s="11" customFormat="1" ht="15">
      <c r="A10" s="49" t="s">
        <v>737</v>
      </c>
      <c r="B10" s="50">
        <v>175.89</v>
      </c>
      <c r="C10" s="50">
        <v>67.11</v>
      </c>
      <c r="D10" s="50">
        <v>177.52</v>
      </c>
      <c r="E10" s="50">
        <v>3.29</v>
      </c>
      <c r="F10" s="50">
        <v>4.96</v>
      </c>
      <c r="G10" s="50">
        <v>178.14</v>
      </c>
      <c r="H10" s="50">
        <v>65.55</v>
      </c>
      <c r="I10" s="50">
        <v>1.74</v>
      </c>
      <c r="J10" s="50">
        <v>0.17</v>
      </c>
      <c r="K10" s="50">
        <v>358.45</v>
      </c>
      <c r="L10" s="50">
        <v>21.83</v>
      </c>
      <c r="M10" s="50">
        <v>51.10</v>
      </c>
      <c r="N10" s="50">
        <v>4.9000000000000004</v>
      </c>
      <c r="O10" s="50">
        <v>0</v>
      </c>
      <c r="P10" s="50">
        <v>3.16</v>
      </c>
      <c r="Q10" s="50">
        <v>60.43</v>
      </c>
      <c r="R10" s="43"/>
      <c r="S10" s="43"/>
      <c r="T10" s="43"/>
      <c r="U10" s="43"/>
    </row>
    <row r="11" spans="1:21" s="11" customFormat="1" ht="15">
      <c r="A11" s="49" t="s">
        <v>738</v>
      </c>
      <c r="B11" s="50">
        <v>137.10</v>
      </c>
      <c r="C11" s="50">
        <v>60.27</v>
      </c>
      <c r="D11" s="50">
        <v>144.94999999999999</v>
      </c>
      <c r="E11" s="50">
        <v>2.88</v>
      </c>
      <c r="F11" s="50">
        <v>6.01</v>
      </c>
      <c r="G11" s="50">
        <v>126.19</v>
      </c>
      <c r="H11" s="50">
        <v>57.48</v>
      </c>
      <c r="I11" s="50">
        <v>1.33</v>
      </c>
      <c r="J11" s="50">
        <v>0.25</v>
      </c>
      <c r="K11" s="50">
        <v>334.07</v>
      </c>
      <c r="L11" s="50">
        <v>21.73</v>
      </c>
      <c r="M11" s="50">
        <v>50.21</v>
      </c>
      <c r="N11" s="50">
        <v>5</v>
      </c>
      <c r="O11" s="50">
        <v>0</v>
      </c>
      <c r="P11" s="50">
        <v>2.67</v>
      </c>
      <c r="Q11" s="50">
        <v>53.99</v>
      </c>
      <c r="R11" s="43"/>
      <c r="S11" s="43"/>
      <c r="T11" s="43"/>
      <c r="U11" s="43"/>
    </row>
    <row r="12" spans="1:21" s="11" customFormat="1" ht="15">
      <c r="A12" s="49" t="s">
        <v>739</v>
      </c>
      <c r="B12" s="50">
        <v>122.28</v>
      </c>
      <c r="C12" s="50">
        <v>58.73</v>
      </c>
      <c r="D12" s="50">
        <v>130.06</v>
      </c>
      <c r="E12" s="50">
        <v>2.62</v>
      </c>
      <c r="F12" s="50">
        <v>5.07</v>
      </c>
      <c r="G12" s="50">
        <v>82.04</v>
      </c>
      <c r="H12" s="50">
        <v>46.80</v>
      </c>
      <c r="I12" s="50">
        <v>1.22</v>
      </c>
      <c r="J12" s="50">
        <v>0.76</v>
      </c>
      <c r="K12" s="50">
        <v>355.61</v>
      </c>
      <c r="L12" s="50">
        <v>20.399999999999999</v>
      </c>
      <c r="M12" s="50">
        <v>54.58</v>
      </c>
      <c r="N12" s="50">
        <v>4.80</v>
      </c>
      <c r="O12" s="50">
        <v>0</v>
      </c>
      <c r="P12" s="50">
        <v>2.44</v>
      </c>
      <c r="Q12" s="50">
        <v>52.25</v>
      </c>
      <c r="R12" s="43"/>
      <c r="S12" s="43"/>
      <c r="T12" s="43"/>
      <c r="U12" s="43"/>
    </row>
    <row r="13" spans="1:21" s="11" customFormat="1" ht="15">
      <c r="A13" s="49" t="s">
        <v>740</v>
      </c>
      <c r="B13" s="50">
        <v>115.78</v>
      </c>
      <c r="C13" s="50">
        <v>62.79</v>
      </c>
      <c r="D13" s="50">
        <v>125.72</v>
      </c>
      <c r="E13" s="50">
        <v>3.07</v>
      </c>
      <c r="F13" s="50">
        <v>3.13</v>
      </c>
      <c r="G13" s="50">
        <v>158.35</v>
      </c>
      <c r="H13" s="50">
        <v>50.53</v>
      </c>
      <c r="I13" s="50">
        <v>1.26</v>
      </c>
      <c r="J13" s="50">
        <v>0.19</v>
      </c>
      <c r="K13" s="50">
        <v>359.39</v>
      </c>
      <c r="L13" s="50">
        <v>20.49</v>
      </c>
      <c r="M13" s="50">
        <v>57.62</v>
      </c>
      <c r="N13" s="50">
        <v>4.70</v>
      </c>
      <c r="O13" s="50">
        <v>0</v>
      </c>
      <c r="P13" s="50">
        <v>2.31</v>
      </c>
      <c r="Q13" s="50">
        <v>53.82</v>
      </c>
      <c r="R13" s="43"/>
      <c r="S13" s="43"/>
      <c r="T13" s="43"/>
      <c r="U13" s="43"/>
    </row>
    <row r="14" spans="1:21" s="11" customFormat="1" ht="15">
      <c r="A14" s="49" t="s">
        <v>741</v>
      </c>
      <c r="B14" s="50">
        <v>114.09</v>
      </c>
      <c r="C14" s="50">
        <v>61.08</v>
      </c>
      <c r="D14" s="50">
        <v>125.61</v>
      </c>
      <c r="E14" s="50">
        <v>3.01</v>
      </c>
      <c r="F14" s="50">
        <v>2.94</v>
      </c>
      <c r="G14" s="50">
        <v>232.07</v>
      </c>
      <c r="H14" s="50">
        <v>76.16</v>
      </c>
      <c r="I14" s="50">
        <v>1.25</v>
      </c>
      <c r="J14" s="50">
        <v>0.25</v>
      </c>
      <c r="K14" s="50">
        <v>355.09</v>
      </c>
      <c r="L14" s="50">
        <v>19.600000000000001</v>
      </c>
      <c r="M14" s="50">
        <v>64.53</v>
      </c>
      <c r="N14" s="50">
        <v>6.80</v>
      </c>
      <c r="O14" s="50">
        <v>0</v>
      </c>
      <c r="P14" s="50">
        <v>2.17</v>
      </c>
      <c r="Q14" s="50">
        <v>50.5</v>
      </c>
      <c r="R14" s="43"/>
      <c r="S14" s="43"/>
      <c r="T14" s="43"/>
      <c r="U14" s="43"/>
    </row>
    <row r="15" spans="1:21" s="11" customFormat="1" ht="15">
      <c r="A15" s="49" t="s">
        <v>742</v>
      </c>
      <c r="B15" s="50">
        <v>101.86</v>
      </c>
      <c r="C15" s="50">
        <v>61.49</v>
      </c>
      <c r="D15" s="50">
        <v>115.22</v>
      </c>
      <c r="E15" s="50">
        <v>5.27</v>
      </c>
      <c r="F15" s="50">
        <v>3.72</v>
      </c>
      <c r="G15" s="50">
        <v>232.07</v>
      </c>
      <c r="H15" s="50">
        <v>80.39</v>
      </c>
      <c r="I15" s="50">
        <v>1.19</v>
      </c>
      <c r="J15" s="50">
        <v>0.53</v>
      </c>
      <c r="K15" s="50">
        <v>355.02</v>
      </c>
      <c r="L15" s="50">
        <v>21.99</v>
      </c>
      <c r="M15" s="50">
        <v>56.99</v>
      </c>
      <c r="N15" s="50">
        <v>105.80</v>
      </c>
      <c r="O15" s="50">
        <v>0</v>
      </c>
      <c r="P15" s="50">
        <v>2.08</v>
      </c>
      <c r="Q15" s="50">
        <v>49.21</v>
      </c>
      <c r="R15" s="43"/>
      <c r="S15" s="43"/>
      <c r="T15" s="43"/>
      <c r="U15" s="43"/>
    </row>
    <row r="16" spans="1:21" s="11" customFormat="1" ht="15">
      <c r="A16" s="49" t="s">
        <v>743</v>
      </c>
      <c r="B16" s="50">
        <v>101.24</v>
      </c>
      <c r="C16" s="50">
        <v>60.11</v>
      </c>
      <c r="D16" s="50">
        <v>115.42</v>
      </c>
      <c r="E16" s="50">
        <v>3.29</v>
      </c>
      <c r="F16" s="50">
        <v>3.36</v>
      </c>
      <c r="G16" s="50">
        <v>219.26</v>
      </c>
      <c r="H16" s="50">
        <v>81.48</v>
      </c>
      <c r="I16" s="50">
        <v>1.1000000000000001</v>
      </c>
      <c r="J16" s="50">
        <v>0.70</v>
      </c>
      <c r="K16" s="50">
        <v>355.80</v>
      </c>
      <c r="L16" s="50">
        <v>27.34</v>
      </c>
      <c r="M16" s="50">
        <v>50.17</v>
      </c>
      <c r="N16" s="50">
        <v>285.20</v>
      </c>
      <c r="O16" s="50">
        <v>0</v>
      </c>
      <c r="P16" s="50">
        <v>2.19</v>
      </c>
      <c r="Q16" s="50">
        <v>53.56</v>
      </c>
      <c r="R16" s="43"/>
      <c r="S16" s="43"/>
      <c r="T16" s="43"/>
      <c r="U16" s="43"/>
    </row>
    <row r="17" spans="1:21" s="11" customFormat="1" ht="15">
      <c r="A17" s="49" t="s">
        <v>744</v>
      </c>
      <c r="B17" s="50">
        <v>91.32</v>
      </c>
      <c r="C17" s="50">
        <v>69.12</v>
      </c>
      <c r="D17" s="50">
        <v>105.23</v>
      </c>
      <c r="E17" s="50">
        <v>5.24</v>
      </c>
      <c r="F17" s="50">
        <v>3.82</v>
      </c>
      <c r="G17" s="50">
        <v>208.15</v>
      </c>
      <c r="H17" s="50">
        <v>81.48</v>
      </c>
      <c r="I17" s="50">
        <v>1.05</v>
      </c>
      <c r="J17" s="50">
        <v>1.37</v>
      </c>
      <c r="K17" s="50">
        <v>22.48</v>
      </c>
      <c r="L17" s="50">
        <v>30.37</v>
      </c>
      <c r="M17" s="50">
        <v>39.090000000000003</v>
      </c>
      <c r="N17" s="50">
        <v>498.5</v>
      </c>
      <c r="O17" s="50">
        <v>0</v>
      </c>
      <c r="P17" s="50">
        <v>2.13</v>
      </c>
      <c r="Q17" s="50">
        <v>51.29</v>
      </c>
      <c r="R17" s="43"/>
      <c r="S17" s="43"/>
      <c r="T17" s="43"/>
      <c r="U17" s="43"/>
    </row>
    <row r="18" spans="1:21" s="11" customFormat="1" ht="15">
      <c r="A18" s="49" t="s">
        <v>745</v>
      </c>
      <c r="B18" s="50">
        <v>69.62</v>
      </c>
      <c r="C18" s="50">
        <v>75.78</v>
      </c>
      <c r="D18" s="50">
        <v>96.84</v>
      </c>
      <c r="E18" s="50">
        <v>25.93</v>
      </c>
      <c r="F18" s="50">
        <v>15.06</v>
      </c>
      <c r="G18" s="50">
        <v>208.15</v>
      </c>
      <c r="H18" s="50">
        <v>76.66</v>
      </c>
      <c r="I18" s="50">
        <v>0.95</v>
      </c>
      <c r="J18" s="50">
        <v>1.04</v>
      </c>
      <c r="K18" s="50">
        <v>63.13</v>
      </c>
      <c r="L18" s="50">
        <v>32.32</v>
      </c>
      <c r="M18" s="50">
        <v>30.23</v>
      </c>
      <c r="N18" s="50">
        <v>639.5</v>
      </c>
      <c r="O18" s="50">
        <v>0</v>
      </c>
      <c r="P18" s="50">
        <v>1.91</v>
      </c>
      <c r="Q18" s="50">
        <v>48.87</v>
      </c>
      <c r="R18" s="43"/>
      <c r="S18" s="43"/>
      <c r="T18" s="43"/>
      <c r="U18" s="43"/>
    </row>
    <row r="19" spans="1:21" s="11" customFormat="1" ht="15">
      <c r="A19" s="49" t="s">
        <v>746</v>
      </c>
      <c r="B19" s="50">
        <v>54.52</v>
      </c>
      <c r="C19" s="50">
        <v>78.70</v>
      </c>
      <c r="D19" s="50">
        <v>88.82</v>
      </c>
      <c r="E19" s="50">
        <v>22.71</v>
      </c>
      <c r="F19" s="50">
        <v>10.40</v>
      </c>
      <c r="G19" s="50">
        <v>159.36000000000001</v>
      </c>
      <c r="H19" s="50">
        <v>66.23</v>
      </c>
      <c r="I19" s="50">
        <v>0.87</v>
      </c>
      <c r="J19" s="50">
        <v>0.80</v>
      </c>
      <c r="K19" s="50">
        <v>21.14</v>
      </c>
      <c r="L19" s="50">
        <v>35.47</v>
      </c>
      <c r="M19" s="50">
        <v>26.96</v>
      </c>
      <c r="N19" s="50">
        <v>795.80</v>
      </c>
      <c r="O19" s="50">
        <v>0</v>
      </c>
      <c r="P19" s="50">
        <v>1.81</v>
      </c>
      <c r="Q19" s="50">
        <v>46.79</v>
      </c>
      <c r="R19" s="43"/>
      <c r="S19" s="43"/>
      <c r="T19" s="43"/>
      <c r="U19" s="43"/>
    </row>
    <row r="20" spans="1:21" s="11" customFormat="1" ht="15">
      <c r="A20" s="49" t="s">
        <v>747</v>
      </c>
      <c r="B20" s="50">
        <v>36.880000000000003</v>
      </c>
      <c r="C20" s="50">
        <v>70.09</v>
      </c>
      <c r="D20" s="50">
        <v>69.81</v>
      </c>
      <c r="E20" s="50">
        <v>11.09</v>
      </c>
      <c r="F20" s="50">
        <v>10.93</v>
      </c>
      <c r="G20" s="50">
        <v>159.36000000000001</v>
      </c>
      <c r="H20" s="50">
        <v>65.290000000000006</v>
      </c>
      <c r="I20" s="50">
        <v>0.84</v>
      </c>
      <c r="J20" s="50">
        <v>0.55000000000000004</v>
      </c>
      <c r="K20" s="50">
        <v>12.02</v>
      </c>
      <c r="L20" s="50">
        <v>35.28</v>
      </c>
      <c r="M20" s="50">
        <v>30.5</v>
      </c>
      <c r="N20" s="50">
        <v>835</v>
      </c>
      <c r="O20" s="50">
        <v>0</v>
      </c>
      <c r="P20" s="50">
        <v>1.57</v>
      </c>
      <c r="Q20" s="50">
        <v>49.85</v>
      </c>
      <c r="R20" s="43"/>
      <c r="S20" s="43"/>
      <c r="T20" s="43"/>
      <c r="U20" s="43"/>
    </row>
    <row r="21" spans="1:21" s="11" customFormat="1" ht="15">
      <c r="A21" s="49" t="s">
        <v>748</v>
      </c>
      <c r="B21" s="50">
        <v>22.5</v>
      </c>
      <c r="C21" s="50">
        <v>71.739999999999995</v>
      </c>
      <c r="D21" s="50">
        <v>57.82</v>
      </c>
      <c r="E21" s="50">
        <v>5.09</v>
      </c>
      <c r="F21" s="50">
        <v>10.75</v>
      </c>
      <c r="G21" s="50">
        <v>76.62</v>
      </c>
      <c r="H21" s="50">
        <v>49.42</v>
      </c>
      <c r="I21" s="50">
        <v>0.75</v>
      </c>
      <c r="J21" s="50">
        <v>0.91</v>
      </c>
      <c r="K21" s="50">
        <v>356.90</v>
      </c>
      <c r="L21" s="50">
        <v>35.76</v>
      </c>
      <c r="M21" s="50">
        <v>29.24</v>
      </c>
      <c r="N21" s="50">
        <v>829</v>
      </c>
      <c r="O21" s="50">
        <v>0</v>
      </c>
      <c r="P21" s="50">
        <v>1.36</v>
      </c>
      <c r="Q21" s="50">
        <v>47.04</v>
      </c>
      <c r="R21" s="43"/>
      <c r="S21" s="43"/>
      <c r="T21" s="43"/>
      <c r="U21" s="43"/>
    </row>
    <row r="22" spans="1:21" s="11" customFormat="1" ht="15">
      <c r="A22" s="49" t="s">
        <v>749</v>
      </c>
      <c r="B22" s="50">
        <v>7.18</v>
      </c>
      <c r="C22" s="50">
        <v>70.11</v>
      </c>
      <c r="D22" s="50">
        <v>45.03</v>
      </c>
      <c r="E22" s="50">
        <v>4.96</v>
      </c>
      <c r="F22" s="50">
        <v>12.96</v>
      </c>
      <c r="G22" s="50">
        <v>58.96</v>
      </c>
      <c r="H22" s="50">
        <v>40.880000000000003</v>
      </c>
      <c r="I22" s="50">
        <v>0.69</v>
      </c>
      <c r="J22" s="50">
        <v>0.34</v>
      </c>
      <c r="K22" s="50">
        <v>323.02</v>
      </c>
      <c r="L22" s="50">
        <v>34.26</v>
      </c>
      <c r="M22" s="50">
        <v>29.19</v>
      </c>
      <c r="N22" s="50">
        <v>788.5</v>
      </c>
      <c r="O22" s="50">
        <v>0</v>
      </c>
      <c r="P22" s="50">
        <v>1.19</v>
      </c>
      <c r="Q22" s="50">
        <v>43.28</v>
      </c>
      <c r="R22" s="43"/>
      <c r="S22" s="43"/>
      <c r="T22" s="43"/>
      <c r="U22" s="43"/>
    </row>
    <row r="23" spans="1:21" s="11" customFormat="1" ht="15">
      <c r="A23" s="49" t="s">
        <v>750</v>
      </c>
      <c r="B23" s="50">
        <v>5.21</v>
      </c>
      <c r="C23" s="50">
        <v>59.57</v>
      </c>
      <c r="D23" s="50">
        <v>37.96</v>
      </c>
      <c r="E23" s="50">
        <v>4.49</v>
      </c>
      <c r="F23" s="50">
        <v>19.34</v>
      </c>
      <c r="G23" s="50">
        <v>55.03</v>
      </c>
      <c r="H23" s="50">
        <v>30.78</v>
      </c>
      <c r="I23" s="50">
        <v>0.61</v>
      </c>
      <c r="J23" s="50">
        <v>0.75</v>
      </c>
      <c r="K23" s="50">
        <v>240.27</v>
      </c>
      <c r="L23" s="50">
        <v>35.86</v>
      </c>
      <c r="M23" s="50">
        <v>27.16</v>
      </c>
      <c r="N23" s="50">
        <v>674.10</v>
      </c>
      <c r="O23" s="50">
        <v>0</v>
      </c>
      <c r="P23" s="50">
        <v>0.97</v>
      </c>
      <c r="Q23" s="50">
        <v>44.15</v>
      </c>
      <c r="R23" s="43"/>
      <c r="S23" s="43"/>
      <c r="T23" s="43"/>
      <c r="U23" s="43"/>
    </row>
    <row r="24" spans="1:21" s="11" customFormat="1" ht="15">
      <c r="A24" s="49" t="s">
        <v>751</v>
      </c>
      <c r="B24" s="50">
        <v>5.15</v>
      </c>
      <c r="C24" s="50">
        <v>52.75</v>
      </c>
      <c r="D24" s="50">
        <v>34.36</v>
      </c>
      <c r="E24" s="50">
        <v>4.51</v>
      </c>
      <c r="F24" s="50">
        <v>21.12</v>
      </c>
      <c r="G24" s="50">
        <v>55.03</v>
      </c>
      <c r="H24" s="50">
        <v>21.71</v>
      </c>
      <c r="I24" s="50">
        <v>0.63</v>
      </c>
      <c r="J24" s="50">
        <v>1.27</v>
      </c>
      <c r="K24" s="50">
        <v>195.18</v>
      </c>
      <c r="L24" s="50">
        <v>33.119999999999997</v>
      </c>
      <c r="M24" s="50">
        <v>28.42</v>
      </c>
      <c r="N24" s="50">
        <v>458</v>
      </c>
      <c r="O24" s="50">
        <v>0</v>
      </c>
      <c r="P24" s="50">
        <v>0.75</v>
      </c>
      <c r="Q24" s="50">
        <v>45.75</v>
      </c>
      <c r="R24" s="43"/>
      <c r="S24" s="43"/>
      <c r="T24" s="43"/>
      <c r="U24" s="43"/>
    </row>
    <row r="25" spans="1:21" s="11" customFormat="1" ht="15">
      <c r="A25" s="49" t="s">
        <v>752</v>
      </c>
      <c r="B25" s="50">
        <v>3.48</v>
      </c>
      <c r="C25" s="50">
        <v>50.63</v>
      </c>
      <c r="D25" s="50">
        <v>32.380000000000003</v>
      </c>
      <c r="E25" s="50">
        <v>4.8600000000000003</v>
      </c>
      <c r="F25" s="50">
        <v>37.49</v>
      </c>
      <c r="G25" s="50">
        <v>41.03</v>
      </c>
      <c r="H25" s="50">
        <v>21.71</v>
      </c>
      <c r="I25" s="50">
        <v>0.60</v>
      </c>
      <c r="J25" s="50">
        <v>1.23</v>
      </c>
      <c r="K25" s="50">
        <v>210.56</v>
      </c>
      <c r="L25" s="50">
        <v>31.89</v>
      </c>
      <c r="M25" s="50">
        <v>28.46</v>
      </c>
      <c r="N25" s="50">
        <v>147</v>
      </c>
      <c r="O25" s="50">
        <v>0</v>
      </c>
      <c r="P25" s="50">
        <v>0.69</v>
      </c>
      <c r="Q25" s="50">
        <v>45.59</v>
      </c>
      <c r="R25" s="43"/>
      <c r="S25" s="43"/>
      <c r="T25" s="43"/>
      <c r="U25" s="43"/>
    </row>
    <row r="26" spans="1:21" s="11" customFormat="1" ht="15">
      <c r="A26" s="49" t="s">
        <v>753</v>
      </c>
      <c r="B26" s="50">
        <v>7.36</v>
      </c>
      <c r="C26" s="50">
        <v>55.85</v>
      </c>
      <c r="D26" s="50">
        <v>38.46</v>
      </c>
      <c r="E26" s="50">
        <v>3.61</v>
      </c>
      <c r="F26" s="50">
        <v>14.97</v>
      </c>
      <c r="G26" s="50">
        <v>83.15</v>
      </c>
      <c r="H26" s="50">
        <v>21.97</v>
      </c>
      <c r="I26" s="50">
        <v>0.61</v>
      </c>
      <c r="J26" s="50">
        <v>2.3199999999999998</v>
      </c>
      <c r="K26" s="50">
        <v>24.03</v>
      </c>
      <c r="L26" s="50">
        <v>30.84</v>
      </c>
      <c r="M26" s="50">
        <v>35.799999999999997</v>
      </c>
      <c r="N26" s="50">
        <v>83.80</v>
      </c>
      <c r="O26" s="50">
        <v>0</v>
      </c>
      <c r="P26" s="50">
        <v>0.69</v>
      </c>
      <c r="Q26" s="50">
        <v>43.43</v>
      </c>
      <c r="R26" s="43"/>
      <c r="S26" s="43"/>
      <c r="T26" s="43"/>
      <c r="U26" s="43"/>
    </row>
    <row r="27" spans="1:21" s="11" customFormat="1" ht="15">
      <c r="A27" s="49" t="s">
        <v>754</v>
      </c>
      <c r="B27" s="50">
        <v>25.72</v>
      </c>
      <c r="C27" s="50">
        <v>80.06</v>
      </c>
      <c r="D27" s="50">
        <v>66.55</v>
      </c>
      <c r="E27" s="50">
        <v>8.2799999999999994</v>
      </c>
      <c r="F27" s="50">
        <v>14.73</v>
      </c>
      <c r="G27" s="50">
        <v>83.15</v>
      </c>
      <c r="H27" s="50">
        <v>21.97</v>
      </c>
      <c r="I27" s="50">
        <v>0.59</v>
      </c>
      <c r="J27" s="50">
        <v>0.45</v>
      </c>
      <c r="K27" s="50">
        <v>76.59</v>
      </c>
      <c r="L27" s="50">
        <v>27.74</v>
      </c>
      <c r="M27" s="50">
        <v>36.42</v>
      </c>
      <c r="N27" s="50">
        <v>8.60</v>
      </c>
      <c r="O27" s="50">
        <v>0</v>
      </c>
      <c r="P27" s="50">
        <v>1.44</v>
      </c>
      <c r="Q27" s="50">
        <v>44.07</v>
      </c>
      <c r="R27" s="43"/>
      <c r="S27" s="43"/>
      <c r="T27" s="43"/>
      <c r="U27" s="43"/>
    </row>
    <row r="28" spans="1:21" s="11" customFormat="1" ht="15">
      <c r="A28" s="49" t="s">
        <v>755</v>
      </c>
      <c r="B28" s="50">
        <v>24.27</v>
      </c>
      <c r="C28" s="50">
        <v>82.29</v>
      </c>
      <c r="D28" s="50">
        <v>66.62</v>
      </c>
      <c r="E28" s="50">
        <v>12.15</v>
      </c>
      <c r="F28" s="50">
        <v>12.16</v>
      </c>
      <c r="G28" s="50">
        <v>86.11</v>
      </c>
      <c r="H28" s="50">
        <v>27.23</v>
      </c>
      <c r="I28" s="50">
        <v>0.66</v>
      </c>
      <c r="J28" s="50">
        <v>0.89</v>
      </c>
      <c r="K28" s="50">
        <v>126.76</v>
      </c>
      <c r="L28" s="50">
        <v>27.25</v>
      </c>
      <c r="M28" s="50">
        <v>41.23</v>
      </c>
      <c r="N28" s="50">
        <v>4.5999999999999996</v>
      </c>
      <c r="O28" s="50">
        <v>0</v>
      </c>
      <c r="P28" s="50">
        <v>1.47</v>
      </c>
      <c r="Q28" s="50">
        <v>42.45</v>
      </c>
      <c r="R28" s="43"/>
      <c r="S28" s="43"/>
      <c r="T28" s="43"/>
      <c r="U28" s="43"/>
    </row>
    <row r="29" spans="1:21" s="11" customFormat="1" ht="15">
      <c r="A29" s="49" t="s">
        <v>756</v>
      </c>
      <c r="B29" s="50">
        <v>23.30</v>
      </c>
      <c r="C29" s="50">
        <v>76.86</v>
      </c>
      <c r="D29" s="50">
        <v>62.82</v>
      </c>
      <c r="E29" s="50">
        <v>10.46</v>
      </c>
      <c r="F29" s="50">
        <v>9.31</v>
      </c>
      <c r="G29" s="50">
        <v>86.11</v>
      </c>
      <c r="H29" s="50">
        <v>31.77</v>
      </c>
      <c r="I29" s="50">
        <v>0.76</v>
      </c>
      <c r="J29" s="50">
        <v>1.37</v>
      </c>
      <c r="K29" s="50">
        <v>128.63999999999999</v>
      </c>
      <c r="L29" s="50">
        <v>27.57</v>
      </c>
      <c r="M29" s="50">
        <v>47.21</v>
      </c>
      <c r="N29" s="50">
        <v>5.60</v>
      </c>
      <c r="O29" s="50">
        <v>0</v>
      </c>
      <c r="P29" s="50">
        <v>1.87</v>
      </c>
      <c r="Q29" s="50">
        <v>43.40</v>
      </c>
      <c r="R29" s="43"/>
      <c r="S29" s="43"/>
      <c r="T29" s="43"/>
      <c r="U29" s="43"/>
    </row>
    <row r="30" spans="1:21" s="11" customFormat="1" ht="15">
      <c r="A30" s="49" t="s">
        <v>757</v>
      </c>
      <c r="B30" s="50">
        <v>38.43</v>
      </c>
      <c r="C30" s="50">
        <v>79.91</v>
      </c>
      <c r="D30" s="50">
        <v>76.66</v>
      </c>
      <c r="E30" s="50">
        <v>9.90</v>
      </c>
      <c r="F30" s="50">
        <v>6.24</v>
      </c>
      <c r="G30" s="50">
        <v>94.25</v>
      </c>
      <c r="H30" s="50">
        <v>32.520000000000003</v>
      </c>
      <c r="I30" s="50">
        <v>0.89</v>
      </c>
      <c r="J30" s="50">
        <v>1.5</v>
      </c>
      <c r="K30" s="50">
        <v>204.06</v>
      </c>
      <c r="L30" s="50">
        <v>26.68</v>
      </c>
      <c r="M30" s="50">
        <v>44.84</v>
      </c>
      <c r="N30" s="50">
        <v>5</v>
      </c>
      <c r="O30" s="50">
        <v>0</v>
      </c>
      <c r="P30" s="50">
        <v>1.95</v>
      </c>
      <c r="Q30" s="50">
        <v>45.01</v>
      </c>
      <c r="R30" s="43"/>
      <c r="S30" s="43"/>
      <c r="T30" s="43"/>
      <c r="U30" s="43"/>
    </row>
    <row r="31" spans="1:21" s="11" customFormat="1" ht="15">
      <c r="A31" s="49" t="s">
        <v>758</v>
      </c>
      <c r="B31" s="50">
        <v>16.510000000000002</v>
      </c>
      <c r="C31" s="50">
        <v>57.04</v>
      </c>
      <c r="D31" s="50">
        <v>41.61</v>
      </c>
      <c r="E31" s="50">
        <v>3.05</v>
      </c>
      <c r="F31" s="50">
        <v>5.5</v>
      </c>
      <c r="G31" s="50">
        <v>94.25</v>
      </c>
      <c r="H31" s="50">
        <v>32.520000000000003</v>
      </c>
      <c r="I31" s="50">
        <v>0.79</v>
      </c>
      <c r="J31" s="50">
        <v>2.19</v>
      </c>
      <c r="K31" s="50">
        <v>215.42</v>
      </c>
      <c r="L31" s="50">
        <v>25.88</v>
      </c>
      <c r="M31" s="50">
        <v>46.65</v>
      </c>
      <c r="N31" s="50">
        <v>5.60</v>
      </c>
      <c r="O31" s="50">
        <v>0</v>
      </c>
      <c r="P31" s="50">
        <v>1.28</v>
      </c>
      <c r="Q31" s="50">
        <v>48.85</v>
      </c>
      <c r="R31" s="43"/>
      <c r="S31" s="43"/>
      <c r="T31" s="43"/>
      <c r="U31" s="43"/>
    </row>
    <row r="32" spans="1:21" s="11" customFormat="1" ht="15">
      <c r="A32" s="49" t="s">
        <v>759</v>
      </c>
      <c r="B32" s="50">
        <v>4.8899999999999997</v>
      </c>
      <c r="C32" s="50">
        <v>60.54</v>
      </c>
      <c r="D32" s="50">
        <v>37.86</v>
      </c>
      <c r="E32" s="50">
        <v>1.90</v>
      </c>
      <c r="F32" s="50">
        <v>12.58</v>
      </c>
      <c r="G32" s="50">
        <v>55.83</v>
      </c>
      <c r="H32" s="50">
        <v>27.77</v>
      </c>
      <c r="I32" s="50">
        <v>0.71</v>
      </c>
      <c r="J32" s="50">
        <v>1.31</v>
      </c>
      <c r="K32" s="50">
        <v>235.94</v>
      </c>
      <c r="L32" s="50">
        <v>24.51</v>
      </c>
      <c r="M32" s="50">
        <v>54.60</v>
      </c>
      <c r="N32" s="50">
        <v>6.90</v>
      </c>
      <c r="O32" s="50">
        <v>0</v>
      </c>
      <c r="P32" s="50">
        <v>0.94</v>
      </c>
      <c r="Q32" s="50">
        <v>42.57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3.48</v>
      </c>
      <c r="C34" s="28">
        <f t="shared" si="0"/>
        <v>50.630000000000003</v>
      </c>
      <c r="D34" s="28">
        <f t="shared" si="0"/>
        <v>32.380000000000003</v>
      </c>
      <c r="E34" s="28">
        <f t="shared" si="0"/>
        <v>1.8999999999999999</v>
      </c>
      <c r="F34" s="28">
        <f t="shared" si="0"/>
        <v>2.9399999999999999</v>
      </c>
      <c r="G34" s="28">
        <f t="shared" si="0"/>
        <v>41.030000000000001</v>
      </c>
      <c r="H34" s="28">
        <f t="shared" si="0"/>
        <v>21.710000000000001</v>
      </c>
      <c r="I34" s="28">
        <f t="shared" si="0"/>
        <v>0.58999999999999997</v>
      </c>
      <c r="J34" s="28">
        <f t="shared" si="0"/>
        <v>0.17000000000000001</v>
      </c>
      <c r="K34" s="28">
        <f t="shared" si="0"/>
        <v>12.02</v>
      </c>
      <c r="L34" s="28">
        <f t="shared" si="0"/>
        <v>19.600000000000001</v>
      </c>
      <c r="M34" s="28">
        <f t="shared" si="0"/>
        <v>26.960000000000001</v>
      </c>
      <c r="N34" s="28">
        <f t="shared" si="0"/>
        <v>4.5999999999999996</v>
      </c>
      <c r="O34" s="28">
        <f t="shared" si="0"/>
        <v>0</v>
      </c>
      <c r="P34" s="28">
        <f t="shared" si="0"/>
        <v>0.68999999999999995</v>
      </c>
      <c r="Q34" s="28">
        <f t="shared" si="0"/>
        <v>42.450000000000003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206.03999999999999</v>
      </c>
      <c r="C35" s="29">
        <f t="shared" si="1"/>
        <v>82.290000000000006</v>
      </c>
      <c r="D35" s="29">
        <f t="shared" si="1"/>
        <v>212.18000000000001</v>
      </c>
      <c r="E35" s="29">
        <f t="shared" si="1"/>
        <v>25.93</v>
      </c>
      <c r="F35" s="29">
        <f t="shared" si="1"/>
        <v>37.490000000000002</v>
      </c>
      <c r="G35" s="29">
        <f t="shared" si="1"/>
        <v>232.06999999999999</v>
      </c>
      <c r="H35" s="29">
        <f t="shared" si="1"/>
        <v>81.480000000000004</v>
      </c>
      <c r="I35" s="29">
        <f t="shared" si="1"/>
        <v>2.0499999999999998</v>
      </c>
      <c r="J35" s="29">
        <f t="shared" si="1"/>
        <v>2.3199999999999998</v>
      </c>
      <c r="K35" s="29">
        <f t="shared" si="1"/>
        <v>359.38999999999999</v>
      </c>
      <c r="L35" s="29">
        <f t="shared" si="1"/>
        <v>35.859999999999999</v>
      </c>
      <c r="M35" s="29">
        <f t="shared" si="1"/>
        <v>64.530000000000001</v>
      </c>
      <c r="N35" s="29">
        <f t="shared" si="1"/>
        <v>835</v>
      </c>
      <c r="O35" s="29">
        <f t="shared" si="1"/>
        <v>0</v>
      </c>
      <c r="P35" s="29">
        <f t="shared" si="1"/>
        <v>4.0099999999999998</v>
      </c>
      <c r="Q35" s="29">
        <f t="shared" si="1"/>
        <v>64.209999999999994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62.942500000000003</v>
      </c>
      <c r="C36" s="28">
        <f t="shared" si="2"/>
        <v>66.856250000000003</v>
      </c>
      <c r="D36" s="28">
        <f t="shared" si="2"/>
        <v>87.729583333333338</v>
      </c>
      <c r="E36" s="28">
        <f t="shared" si="2"/>
        <v>6.9054166666666674</v>
      </c>
      <c r="F36" s="28">
        <f t="shared" si="2"/>
        <v>10.411666666666667</v>
      </c>
      <c r="G36" s="28">
        <f t="shared" si="2"/>
        <v>126.34541666666672</v>
      </c>
      <c r="H36" s="28">
        <f t="shared" si="2"/>
        <v>48.910416666666663</v>
      </c>
      <c r="I36" s="28">
        <f t="shared" si="2"/>
        <v>0.96416666666666673</v>
      </c>
      <c r="J36" s="28">
        <f t="shared" si="2"/>
        <v>0.88916666666666666</v>
      </c>
      <c r="K36" s="28">
        <f t="shared" si="2"/>
        <v>220.16791666666668</v>
      </c>
      <c r="L36" s="28">
        <f t="shared" si="2"/>
        <v>27.936666666666664</v>
      </c>
      <c r="M36" s="28">
        <f t="shared" si="2"/>
        <v>42.460416666666667</v>
      </c>
      <c r="N36" s="28">
        <f t="shared" si="2"/>
        <v>258.65416666666675</v>
      </c>
      <c r="O36" s="28">
        <f t="shared" si="2"/>
        <v>0</v>
      </c>
      <c r="P36" s="28">
        <f t="shared" si="2"/>
        <v>1.7937499999999995</v>
      </c>
      <c r="Q36" s="28">
        <f t="shared" si="2"/>
        <v>48.764999999999993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59.295250726307351</v>
      </c>
      <c r="C37" s="28">
        <f t="shared" si="3" ref="C37:Q37">STDEV(C9:C32)</f>
        <v>9.7503747140927199</v>
      </c>
      <c r="D37" s="28">
        <f t="shared" si="3"/>
        <v>48.235808138512198</v>
      </c>
      <c r="E37" s="28">
        <f t="shared" si="3"/>
        <v>6.1074665488177269</v>
      </c>
      <c r="F37" s="28">
        <f t="shared" si="3"/>
        <v>7.8591163717639114</v>
      </c>
      <c r="G37" s="28">
        <f t="shared" si="3"/>
        <v>64.625686976697764</v>
      </c>
      <c r="H37" s="28">
        <f t="shared" si="3"/>
        <v>21.769966842891186</v>
      </c>
      <c r="I37" s="28">
        <f t="shared" si="3"/>
        <v>0.37541764182987103</v>
      </c>
      <c r="J37" s="28">
        <f t="shared" si="3"/>
        <v>0.59537285845066046</v>
      </c>
      <c r="K37" s="28">
        <f t="shared" si="3"/>
        <v>131.28700909206736</v>
      </c>
      <c r="L37" s="28">
        <f t="shared" si="3"/>
        <v>5.4929153316412815</v>
      </c>
      <c r="M37" s="28">
        <f t="shared" si="3"/>
        <v>11.985028878152331</v>
      </c>
      <c r="N37" s="28">
        <f t="shared" si="3"/>
        <v>328.17318330837696</v>
      </c>
      <c r="O37" s="28">
        <f t="shared" si="3"/>
        <v>0</v>
      </c>
      <c r="P37" s="28">
        <f t="shared" si="3"/>
        <v>0.8021157484509609</v>
      </c>
      <c r="Q37" s="28">
        <f t="shared" si="3"/>
        <v>5.6046052492571423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d7dad2-5684-4bdb-be34-f00877a253ec}">
  <sheetPr codeName=""/>
  <dimension ref="A1:U119"/>
  <sheetViews>
    <sheetView workbookViewId="0" topLeftCell="A1">
      <selection pane="topLeft" activeCell="G56" sqref="G56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6.4285714285714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30-03-2023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49" t="s">
        <v>760</v>
      </c>
      <c r="B9" s="50">
        <v>4.3499999999999996</v>
      </c>
      <c r="C9" s="50">
        <v>45.86</v>
      </c>
      <c r="D9" s="50">
        <v>30.54</v>
      </c>
      <c r="E9" s="50">
        <v>2.82</v>
      </c>
      <c r="F9" s="50">
        <v>22.07</v>
      </c>
      <c r="G9" s="50">
        <v>27.25</v>
      </c>
      <c r="H9" s="50">
        <v>22</v>
      </c>
      <c r="I9" s="50">
        <v>0.59</v>
      </c>
      <c r="J9" s="50">
        <v>0.63</v>
      </c>
      <c r="K9" s="50">
        <v>209.21</v>
      </c>
      <c r="L9" s="50">
        <v>24.15</v>
      </c>
      <c r="M9" s="50">
        <v>46.49</v>
      </c>
      <c r="N9" s="50">
        <v>5</v>
      </c>
      <c r="O9" s="50">
        <v>0</v>
      </c>
      <c r="P9" s="50">
        <v>0.71</v>
      </c>
      <c r="Q9" s="50">
        <v>39.15</v>
      </c>
      <c r="R9" s="43"/>
      <c r="S9" s="43"/>
      <c r="T9" s="43"/>
      <c r="U9" s="43"/>
    </row>
    <row r="10" spans="1:21" s="11" customFormat="1" ht="15">
      <c r="A10" s="49" t="s">
        <v>761</v>
      </c>
      <c r="B10" s="50">
        <v>5.48</v>
      </c>
      <c r="C10" s="50">
        <v>50.13</v>
      </c>
      <c r="D10" s="50">
        <v>33.61</v>
      </c>
      <c r="E10" s="50">
        <v>2.5</v>
      </c>
      <c r="F10" s="50">
        <v>16.70</v>
      </c>
      <c r="G10" s="50">
        <v>26.85</v>
      </c>
      <c r="H10" s="50">
        <v>18.57</v>
      </c>
      <c r="I10" s="50">
        <v>0.59</v>
      </c>
      <c r="J10" s="50">
        <v>0.76</v>
      </c>
      <c r="K10" s="50">
        <v>200.18</v>
      </c>
      <c r="L10" s="50">
        <v>24.17</v>
      </c>
      <c r="M10" s="50">
        <v>48.26</v>
      </c>
      <c r="N10" s="50">
        <v>4.9000000000000004</v>
      </c>
      <c r="O10" s="50">
        <v>0</v>
      </c>
      <c r="P10" s="50">
        <v>0.65</v>
      </c>
      <c r="Q10" s="50">
        <v>44.92</v>
      </c>
      <c r="R10" s="43"/>
      <c r="S10" s="43"/>
      <c r="T10" s="43"/>
      <c r="U10" s="43"/>
    </row>
    <row r="11" spans="1:21" s="11" customFormat="1" ht="15">
      <c r="A11" s="49" t="s">
        <v>762</v>
      </c>
      <c r="B11" s="50">
        <v>6.41</v>
      </c>
      <c r="C11" s="50">
        <v>56.17</v>
      </c>
      <c r="D11" s="50">
        <v>37.51</v>
      </c>
      <c r="E11" s="50">
        <v>2.34</v>
      </c>
      <c r="F11" s="50">
        <v>13.12</v>
      </c>
      <c r="G11" s="50">
        <v>32.08</v>
      </c>
      <c r="H11" s="50">
        <v>15.33</v>
      </c>
      <c r="I11" s="50">
        <v>0.56999999999999995</v>
      </c>
      <c r="J11" s="50">
        <v>0.25</v>
      </c>
      <c r="K11" s="50">
        <v>334.70</v>
      </c>
      <c r="L11" s="50">
        <v>23.34</v>
      </c>
      <c r="M11" s="50">
        <v>56.76</v>
      </c>
      <c r="N11" s="50">
        <v>5.40</v>
      </c>
      <c r="O11" s="50">
        <v>0</v>
      </c>
      <c r="P11" s="50">
        <v>0.56999999999999995</v>
      </c>
      <c r="Q11" s="50">
        <v>43.15</v>
      </c>
      <c r="R11" s="43"/>
      <c r="S11" s="43"/>
      <c r="T11" s="43"/>
      <c r="U11" s="43"/>
    </row>
    <row r="12" spans="1:21" s="11" customFormat="1" ht="15">
      <c r="A12" s="49" t="s">
        <v>763</v>
      </c>
      <c r="B12" s="50">
        <v>6.61</v>
      </c>
      <c r="C12" s="50">
        <v>44.59</v>
      </c>
      <c r="D12" s="50">
        <v>31.09</v>
      </c>
      <c r="E12" s="50">
        <v>2.29</v>
      </c>
      <c r="F12" s="50">
        <v>11.19</v>
      </c>
      <c r="G12" s="50">
        <v>32.08</v>
      </c>
      <c r="H12" s="50">
        <v>15.33</v>
      </c>
      <c r="I12" s="50">
        <v>0.56999999999999995</v>
      </c>
      <c r="J12" s="50">
        <v>0.44</v>
      </c>
      <c r="K12" s="50">
        <v>355.29</v>
      </c>
      <c r="L12" s="50">
        <v>22.34</v>
      </c>
      <c r="M12" s="50">
        <v>57.14</v>
      </c>
      <c r="N12" s="50">
        <v>4.80</v>
      </c>
      <c r="O12" s="50">
        <v>0</v>
      </c>
      <c r="P12" s="50">
        <v>0.56999999999999995</v>
      </c>
      <c r="Q12" s="50">
        <v>43.21</v>
      </c>
      <c r="R12" s="43"/>
      <c r="S12" s="43"/>
      <c r="T12" s="43"/>
      <c r="U12" s="43"/>
    </row>
    <row r="13" spans="1:21" s="11" customFormat="1" ht="15">
      <c r="A13" s="49" t="s">
        <v>764</v>
      </c>
      <c r="B13" s="50">
        <v>10.5</v>
      </c>
      <c r="C13" s="50">
        <v>50.07</v>
      </c>
      <c r="D13" s="50">
        <v>37.79</v>
      </c>
      <c r="E13" s="50">
        <v>1.97</v>
      </c>
      <c r="F13" s="50">
        <v>8.9499999999999993</v>
      </c>
      <c r="G13" s="50">
        <v>25.56</v>
      </c>
      <c r="H13" s="50">
        <v>14.07</v>
      </c>
      <c r="I13" s="50">
        <v>0.56000000000000005</v>
      </c>
      <c r="J13" s="50">
        <v>0.39</v>
      </c>
      <c r="K13" s="50">
        <v>277.49</v>
      </c>
      <c r="L13" s="50">
        <v>22.30</v>
      </c>
      <c r="M13" s="50">
        <v>62.20</v>
      </c>
      <c r="N13" s="50">
        <v>5.20</v>
      </c>
      <c r="O13" s="50">
        <v>0</v>
      </c>
      <c r="P13" s="50">
        <v>0.56000000000000005</v>
      </c>
      <c r="Q13" s="50">
        <v>39.06</v>
      </c>
      <c r="R13" s="43"/>
      <c r="S13" s="43"/>
      <c r="T13" s="43"/>
      <c r="U13" s="43"/>
    </row>
    <row r="14" spans="1:21" s="11" customFormat="1" ht="15">
      <c r="A14" s="49" t="s">
        <v>765</v>
      </c>
      <c r="B14" s="50">
        <v>14.53</v>
      </c>
      <c r="C14" s="50">
        <v>44.26</v>
      </c>
      <c r="D14" s="50">
        <v>36.64</v>
      </c>
      <c r="E14" s="50">
        <v>2.0699999999999998</v>
      </c>
      <c r="F14" s="50">
        <v>5.81</v>
      </c>
      <c r="G14" s="50">
        <v>38.72</v>
      </c>
      <c r="H14" s="50">
        <v>14.28</v>
      </c>
      <c r="I14" s="50">
        <v>0.57999999999999996</v>
      </c>
      <c r="J14" s="50">
        <v>0.28999999999999998</v>
      </c>
      <c r="K14" s="50">
        <v>325.52999999999997</v>
      </c>
      <c r="L14" s="50">
        <v>21.65</v>
      </c>
      <c r="M14" s="50">
        <v>63.10</v>
      </c>
      <c r="N14" s="50">
        <v>7.70</v>
      </c>
      <c r="O14" s="50">
        <v>0</v>
      </c>
      <c r="P14" s="50">
        <v>0.64</v>
      </c>
      <c r="Q14" s="50">
        <v>44.69</v>
      </c>
      <c r="R14" s="43"/>
      <c r="S14" s="43"/>
      <c r="T14" s="43"/>
      <c r="U14" s="43"/>
    </row>
    <row r="15" spans="1:21" s="11" customFormat="1" ht="15">
      <c r="A15" s="49" t="s">
        <v>766</v>
      </c>
      <c r="B15" s="50">
        <v>21.36</v>
      </c>
      <c r="C15" s="50">
        <v>59.49</v>
      </c>
      <c r="D15" s="50">
        <v>51.09</v>
      </c>
      <c r="E15" s="50">
        <v>2.74</v>
      </c>
      <c r="F15" s="50">
        <v>5.56</v>
      </c>
      <c r="G15" s="50">
        <v>53.13</v>
      </c>
      <c r="H15" s="50">
        <v>16.649999999999999</v>
      </c>
      <c r="I15" s="50">
        <v>0.59</v>
      </c>
      <c r="J15" s="50">
        <v>0.47</v>
      </c>
      <c r="K15" s="50">
        <v>348.61</v>
      </c>
      <c r="L15" s="50">
        <v>23.05</v>
      </c>
      <c r="M15" s="50">
        <v>62.23</v>
      </c>
      <c r="N15" s="50">
        <v>110.70</v>
      </c>
      <c r="O15" s="50">
        <v>0</v>
      </c>
      <c r="P15" s="50">
        <v>0.73</v>
      </c>
      <c r="Q15" s="50">
        <v>43.78</v>
      </c>
      <c r="R15" s="43"/>
      <c r="S15" s="43"/>
      <c r="T15" s="43"/>
      <c r="U15" s="43"/>
    </row>
    <row r="16" spans="1:21" s="11" customFormat="1" ht="15">
      <c r="A16" s="49" t="s">
        <v>767</v>
      </c>
      <c r="B16" s="50">
        <v>20</v>
      </c>
      <c r="C16" s="50">
        <v>48.09</v>
      </c>
      <c r="D16" s="50">
        <v>43.84</v>
      </c>
      <c r="E16" s="50">
        <v>4.1100000000000003</v>
      </c>
      <c r="F16" s="50">
        <v>9.51</v>
      </c>
      <c r="G16" s="50">
        <v>68.55</v>
      </c>
      <c r="H16" s="50">
        <v>20.62</v>
      </c>
      <c r="I16" s="50">
        <v>0.61</v>
      </c>
      <c r="J16" s="50">
        <v>0.63</v>
      </c>
      <c r="K16" s="50">
        <v>203.28</v>
      </c>
      <c r="L16" s="50">
        <v>26.12</v>
      </c>
      <c r="M16" s="50">
        <v>59.11</v>
      </c>
      <c r="N16" s="50">
        <v>303.80</v>
      </c>
      <c r="O16" s="50">
        <v>0</v>
      </c>
      <c r="P16" s="50">
        <v>0.79</v>
      </c>
      <c r="Q16" s="50">
        <v>41.24</v>
      </c>
      <c r="R16" s="43"/>
      <c r="S16" s="43"/>
      <c r="T16" s="43"/>
      <c r="U16" s="43"/>
    </row>
    <row r="17" spans="1:21" s="11" customFormat="1" ht="15">
      <c r="A17" s="49" t="s">
        <v>768</v>
      </c>
      <c r="B17" s="50">
        <v>18.170000000000002</v>
      </c>
      <c r="C17" s="50">
        <v>55.19</v>
      </c>
      <c r="D17" s="50">
        <v>45.97</v>
      </c>
      <c r="E17" s="50">
        <v>3.47</v>
      </c>
      <c r="F17" s="50">
        <v>8.7899999999999991</v>
      </c>
      <c r="G17" s="50">
        <v>68.55</v>
      </c>
      <c r="H17" s="50">
        <v>20.62</v>
      </c>
      <c r="I17" s="50">
        <v>0.60</v>
      </c>
      <c r="J17" s="50">
        <v>1.64</v>
      </c>
      <c r="K17" s="50">
        <v>126.08</v>
      </c>
      <c r="L17" s="50">
        <v>27.11</v>
      </c>
      <c r="M17" s="50">
        <v>48.43</v>
      </c>
      <c r="N17" s="50">
        <v>514.40</v>
      </c>
      <c r="O17" s="50">
        <v>0</v>
      </c>
      <c r="P17" s="50">
        <v>0.78</v>
      </c>
      <c r="Q17" s="50">
        <v>51.26</v>
      </c>
      <c r="R17" s="43"/>
      <c r="S17" s="43"/>
      <c r="T17" s="43"/>
      <c r="U17" s="43"/>
    </row>
    <row r="18" spans="1:21" s="11" customFormat="1" ht="15">
      <c r="A18" s="49" t="s">
        <v>769</v>
      </c>
      <c r="B18" s="50">
        <v>13.5</v>
      </c>
      <c r="C18" s="50">
        <v>35.409999999999997</v>
      </c>
      <c r="D18" s="50">
        <v>32</v>
      </c>
      <c r="E18" s="50">
        <v>3.48</v>
      </c>
      <c r="F18" s="50">
        <v>7.30</v>
      </c>
      <c r="G18" s="50">
        <v>50.75</v>
      </c>
      <c r="H18" s="50">
        <v>19.670000000000002</v>
      </c>
      <c r="I18" s="50">
        <v>0.61</v>
      </c>
      <c r="J18" s="50">
        <v>1.24</v>
      </c>
      <c r="K18" s="50">
        <v>188.05</v>
      </c>
      <c r="L18" s="50">
        <v>28.88</v>
      </c>
      <c r="M18" s="50">
        <v>42.39</v>
      </c>
      <c r="N18" s="50">
        <v>700</v>
      </c>
      <c r="O18" s="50">
        <v>0</v>
      </c>
      <c r="P18" s="50">
        <v>0.78</v>
      </c>
      <c r="Q18" s="50">
        <v>50.48</v>
      </c>
      <c r="R18" s="43"/>
      <c r="S18" s="43"/>
      <c r="T18" s="43"/>
      <c r="U18" s="43"/>
    </row>
    <row r="19" spans="1:21" s="11" customFormat="1" ht="15">
      <c r="A19" s="49" t="s">
        <v>770</v>
      </c>
      <c r="B19" s="50">
        <v>5.75</v>
      </c>
      <c r="C19" s="50">
        <v>57.79</v>
      </c>
      <c r="D19" s="50">
        <v>36.78</v>
      </c>
      <c r="E19" s="50">
        <v>3.05</v>
      </c>
      <c r="F19" s="50">
        <v>21.04</v>
      </c>
      <c r="G19" s="50">
        <v>50.75</v>
      </c>
      <c r="H19" s="50">
        <v>19.239999999999998</v>
      </c>
      <c r="I19" s="50">
        <v>0.60</v>
      </c>
      <c r="J19" s="50">
        <v>1.43</v>
      </c>
      <c r="K19" s="50">
        <v>203.63</v>
      </c>
      <c r="L19" s="50">
        <v>30.20</v>
      </c>
      <c r="M19" s="50">
        <v>41.08</v>
      </c>
      <c r="N19" s="50">
        <v>820.60</v>
      </c>
      <c r="O19" s="50">
        <v>0</v>
      </c>
      <c r="P19" s="50">
        <v>0.73</v>
      </c>
      <c r="Q19" s="50">
        <v>43.40</v>
      </c>
      <c r="R19" s="43"/>
      <c r="S19" s="43"/>
      <c r="T19" s="43"/>
      <c r="U19" s="43"/>
    </row>
    <row r="20" spans="1:21" s="11" customFormat="1" ht="15">
      <c r="A20" s="49" t="s">
        <v>771</v>
      </c>
      <c r="B20" s="50">
        <v>3.27</v>
      </c>
      <c r="C20" s="50">
        <v>25.99</v>
      </c>
      <c r="D20" s="50">
        <v>18.68</v>
      </c>
      <c r="E20" s="50">
        <v>2.59</v>
      </c>
      <c r="F20" s="50">
        <v>17.64</v>
      </c>
      <c r="G20" s="50">
        <v>38.24</v>
      </c>
      <c r="H20" s="50">
        <v>18.440000000000001</v>
      </c>
      <c r="I20" s="50">
        <v>0.51</v>
      </c>
      <c r="J20" s="50">
        <v>1.5</v>
      </c>
      <c r="K20" s="50">
        <v>220.37</v>
      </c>
      <c r="L20" s="50">
        <v>31.19</v>
      </c>
      <c r="M20" s="50">
        <v>38.31</v>
      </c>
      <c r="N20" s="50">
        <v>868.30</v>
      </c>
      <c r="O20" s="50">
        <v>0</v>
      </c>
      <c r="P20" s="50">
        <v>0.5</v>
      </c>
      <c r="Q20" s="50">
        <v>38.17</v>
      </c>
      <c r="R20" s="43"/>
      <c r="S20" s="43"/>
      <c r="T20" s="43"/>
      <c r="U20" s="43"/>
    </row>
    <row r="21" spans="1:21" s="11" customFormat="1" ht="15">
      <c r="A21" s="49" t="s">
        <v>772</v>
      </c>
      <c r="B21" s="50">
        <v>2.90</v>
      </c>
      <c r="C21" s="50">
        <v>25.69</v>
      </c>
      <c r="D21" s="50">
        <v>18.239999999999998</v>
      </c>
      <c r="E21" s="50">
        <v>2.57</v>
      </c>
      <c r="F21" s="50">
        <v>13.58</v>
      </c>
      <c r="G21" s="50">
        <v>38.24</v>
      </c>
      <c r="H21" s="50">
        <v>15.95</v>
      </c>
      <c r="I21" s="50">
        <v>0.5</v>
      </c>
      <c r="J21" s="50">
        <v>1.20</v>
      </c>
      <c r="K21" s="50">
        <v>245.34</v>
      </c>
      <c r="L21" s="50">
        <v>31.42</v>
      </c>
      <c r="M21" s="50">
        <v>39.36</v>
      </c>
      <c r="N21" s="50">
        <v>861.70</v>
      </c>
      <c r="O21" s="50">
        <v>0</v>
      </c>
      <c r="P21" s="50">
        <v>0.41</v>
      </c>
      <c r="Q21" s="50">
        <v>37.39</v>
      </c>
      <c r="R21" s="43"/>
      <c r="S21" s="43"/>
      <c r="T21" s="43"/>
      <c r="U21" s="43"/>
    </row>
    <row r="22" spans="1:21" s="11" customFormat="1" ht="15">
      <c r="A22" s="49" t="s">
        <v>773</v>
      </c>
      <c r="B22" s="50">
        <v>2.67</v>
      </c>
      <c r="C22" s="50">
        <v>22.49</v>
      </c>
      <c r="D22" s="50">
        <v>16.20</v>
      </c>
      <c r="E22" s="50">
        <v>2.67</v>
      </c>
      <c r="F22" s="50">
        <v>11.52</v>
      </c>
      <c r="G22" s="50">
        <v>31.16</v>
      </c>
      <c r="H22" s="50">
        <v>15.37</v>
      </c>
      <c r="I22" s="50">
        <v>0.49</v>
      </c>
      <c r="J22" s="50">
        <v>1.94</v>
      </c>
      <c r="K22" s="50">
        <v>224.20</v>
      </c>
      <c r="L22" s="50">
        <v>32.06</v>
      </c>
      <c r="M22" s="50">
        <v>40.770000000000003</v>
      </c>
      <c r="N22" s="50">
        <v>806</v>
      </c>
      <c r="O22" s="50">
        <v>0</v>
      </c>
      <c r="P22" s="50">
        <v>0.42</v>
      </c>
      <c r="Q22" s="50">
        <v>32.75</v>
      </c>
      <c r="R22" s="43"/>
      <c r="S22" s="43"/>
      <c r="T22" s="43"/>
      <c r="U22" s="43"/>
    </row>
    <row r="23" spans="1:21" s="11" customFormat="1" ht="15">
      <c r="A23" s="49" t="s">
        <v>774</v>
      </c>
      <c r="B23" s="50">
        <v>2.91</v>
      </c>
      <c r="C23" s="50">
        <v>53.93</v>
      </c>
      <c r="D23" s="50">
        <v>33.69</v>
      </c>
      <c r="E23" s="50">
        <v>2.94</v>
      </c>
      <c r="F23" s="50">
        <v>13.02</v>
      </c>
      <c r="G23" s="50">
        <v>31.16</v>
      </c>
      <c r="H23" s="50">
        <v>14.06</v>
      </c>
      <c r="I23" s="50">
        <v>0.49</v>
      </c>
      <c r="J23" s="50">
        <v>1.74</v>
      </c>
      <c r="K23" s="50">
        <v>216.39</v>
      </c>
      <c r="L23" s="50">
        <v>32.29</v>
      </c>
      <c r="M23" s="50">
        <v>36.72</v>
      </c>
      <c r="N23" s="50">
        <v>684.70</v>
      </c>
      <c r="O23" s="50">
        <v>0</v>
      </c>
      <c r="P23" s="50">
        <v>0.41</v>
      </c>
      <c r="Q23" s="50">
        <v>37.119999999999997</v>
      </c>
      <c r="R23" s="43"/>
      <c r="S23" s="43"/>
      <c r="T23" s="43"/>
      <c r="U23" s="43"/>
    </row>
    <row r="24" spans="1:21" s="11" customFormat="1" ht="15">
      <c r="A24" s="49" t="s">
        <v>775</v>
      </c>
      <c r="B24" s="50">
        <v>2.95</v>
      </c>
      <c r="C24" s="50">
        <v>22.35</v>
      </c>
      <c r="D24" s="50">
        <v>16.39</v>
      </c>
      <c r="E24" s="50">
        <v>3</v>
      </c>
      <c r="F24" s="50">
        <v>11.77</v>
      </c>
      <c r="G24" s="50">
        <v>28.86</v>
      </c>
      <c r="H24" s="50">
        <v>14.13</v>
      </c>
      <c r="I24" s="50">
        <v>0.5</v>
      </c>
      <c r="J24" s="50">
        <v>1.40</v>
      </c>
      <c r="K24" s="50">
        <v>226.09</v>
      </c>
      <c r="L24" s="50">
        <v>32.75</v>
      </c>
      <c r="M24" s="50">
        <v>34.15</v>
      </c>
      <c r="N24" s="50">
        <v>419.40</v>
      </c>
      <c r="O24" s="50">
        <v>0</v>
      </c>
      <c r="P24" s="50">
        <v>0.39</v>
      </c>
      <c r="Q24" s="50">
        <v>32.69</v>
      </c>
      <c r="R24" s="43"/>
      <c r="S24" s="43"/>
      <c r="T24" s="43"/>
      <c r="U24" s="43"/>
    </row>
    <row r="25" spans="1:21" s="11" customFormat="1" ht="15">
      <c r="A25" s="49" t="s">
        <v>776</v>
      </c>
      <c r="B25" s="50">
        <v>2.69</v>
      </c>
      <c r="C25" s="50">
        <v>24.81</v>
      </c>
      <c r="D25" s="50">
        <v>17.59</v>
      </c>
      <c r="E25" s="50">
        <v>2.02</v>
      </c>
      <c r="F25" s="50">
        <v>14.79</v>
      </c>
      <c r="G25" s="50">
        <v>30.23</v>
      </c>
      <c r="H25" s="50">
        <v>13.85</v>
      </c>
      <c r="I25" s="50">
        <v>0.5</v>
      </c>
      <c r="J25" s="50">
        <v>1.23</v>
      </c>
      <c r="K25" s="50">
        <v>237.01</v>
      </c>
      <c r="L25" s="50">
        <v>32.159999999999997</v>
      </c>
      <c r="M25" s="50">
        <v>36.71</v>
      </c>
      <c r="N25" s="50">
        <v>123.80</v>
      </c>
      <c r="O25" s="50">
        <v>0</v>
      </c>
      <c r="P25" s="50">
        <v>0.39</v>
      </c>
      <c r="Q25" s="50">
        <v>36.049999999999997</v>
      </c>
      <c r="R25" s="43"/>
      <c r="S25" s="43"/>
      <c r="T25" s="43"/>
      <c r="U25" s="43"/>
    </row>
    <row r="26" spans="1:21" s="11" customFormat="1" ht="15">
      <c r="A26" s="49" t="s">
        <v>777</v>
      </c>
      <c r="B26" s="50">
        <v>2.82</v>
      </c>
      <c r="C26" s="50">
        <v>40.78</v>
      </c>
      <c r="D26" s="50">
        <v>26.20</v>
      </c>
      <c r="E26" s="50">
        <v>3.41</v>
      </c>
      <c r="F26" s="50">
        <v>37.520000000000003</v>
      </c>
      <c r="G26" s="50">
        <v>30.23</v>
      </c>
      <c r="H26" s="50">
        <v>13.85</v>
      </c>
      <c r="I26" s="50">
        <v>0.49</v>
      </c>
      <c r="J26" s="50">
        <v>0.62</v>
      </c>
      <c r="K26" s="50">
        <v>245.37</v>
      </c>
      <c r="L26" s="50">
        <v>31.40</v>
      </c>
      <c r="M26" s="50">
        <v>39.340000000000003</v>
      </c>
      <c r="N26" s="50">
        <v>65.599999999999994</v>
      </c>
      <c r="O26" s="50">
        <v>0</v>
      </c>
      <c r="P26" s="50">
        <v>0.45</v>
      </c>
      <c r="Q26" s="50">
        <v>33.68</v>
      </c>
      <c r="R26" s="43"/>
      <c r="S26" s="43"/>
      <c r="T26" s="43"/>
      <c r="U26" s="43"/>
    </row>
    <row r="27" spans="1:21" s="11" customFormat="1" ht="15">
      <c r="A27" s="49" t="s">
        <v>778</v>
      </c>
      <c r="B27" s="50">
        <v>4.03</v>
      </c>
      <c r="C27" s="50">
        <v>52.28</v>
      </c>
      <c r="D27" s="50">
        <v>33.82</v>
      </c>
      <c r="E27" s="50">
        <v>4.46</v>
      </c>
      <c r="F27" s="50">
        <v>41.73</v>
      </c>
      <c r="G27" s="50">
        <v>33.89</v>
      </c>
      <c r="H27" s="50">
        <v>13.16</v>
      </c>
      <c r="I27" s="50">
        <v>0.52</v>
      </c>
      <c r="J27" s="50">
        <v>0.24</v>
      </c>
      <c r="K27" s="50">
        <v>291.25</v>
      </c>
      <c r="L27" s="50">
        <v>30.48</v>
      </c>
      <c r="M27" s="50">
        <v>42.20</v>
      </c>
      <c r="N27" s="50">
        <v>8.60</v>
      </c>
      <c r="O27" s="50">
        <v>0</v>
      </c>
      <c r="P27" s="50">
        <v>0.70</v>
      </c>
      <c r="Q27" s="50">
        <v>34.159999999999997</v>
      </c>
      <c r="R27" s="43"/>
      <c r="S27" s="43"/>
      <c r="T27" s="43"/>
      <c r="U27" s="43"/>
    </row>
    <row r="28" spans="1:21" s="11" customFormat="1" ht="15">
      <c r="A28" s="49" t="s">
        <v>779</v>
      </c>
      <c r="B28" s="50">
        <v>61.69</v>
      </c>
      <c r="C28" s="50">
        <v>85.65</v>
      </c>
      <c r="D28" s="50">
        <v>98.48</v>
      </c>
      <c r="E28" s="50">
        <v>4.4400000000000004</v>
      </c>
      <c r="F28" s="50">
        <v>23.87</v>
      </c>
      <c r="G28" s="50">
        <v>47.64</v>
      </c>
      <c r="H28" s="50">
        <v>19.73</v>
      </c>
      <c r="I28" s="50">
        <v>0.75</v>
      </c>
      <c r="J28" s="50">
        <v>1.42</v>
      </c>
      <c r="K28" s="50">
        <v>133.22</v>
      </c>
      <c r="L28" s="50">
        <v>29.27</v>
      </c>
      <c r="M28" s="50">
        <v>51.03</v>
      </c>
      <c r="N28" s="50">
        <v>5.5</v>
      </c>
      <c r="O28" s="50">
        <v>0</v>
      </c>
      <c r="P28" s="50">
        <v>2.12</v>
      </c>
      <c r="Q28" s="50">
        <v>39.270000000000003</v>
      </c>
      <c r="R28" s="43"/>
      <c r="S28" s="43"/>
      <c r="T28" s="43"/>
      <c r="U28" s="43"/>
    </row>
    <row r="29" spans="1:21" s="11" customFormat="1" ht="15">
      <c r="A29" s="49" t="s">
        <v>780</v>
      </c>
      <c r="B29" s="50">
        <v>15.28</v>
      </c>
      <c r="C29" s="50">
        <v>39.119999999999997</v>
      </c>
      <c r="D29" s="50">
        <v>32.17</v>
      </c>
      <c r="E29" s="50">
        <v>2.93</v>
      </c>
      <c r="F29" s="50">
        <v>10.62</v>
      </c>
      <c r="G29" s="50">
        <v>79.77</v>
      </c>
      <c r="H29" s="50">
        <v>21.81</v>
      </c>
      <c r="I29" s="50">
        <v>0.80</v>
      </c>
      <c r="J29" s="50">
        <v>2.11</v>
      </c>
      <c r="K29" s="50">
        <v>26.22</v>
      </c>
      <c r="L29" s="50">
        <v>26.58</v>
      </c>
      <c r="M29" s="50">
        <v>86.70</v>
      </c>
      <c r="N29" s="50">
        <v>9.6999999999999993</v>
      </c>
      <c r="O29" s="50">
        <v>1</v>
      </c>
      <c r="P29" s="50">
        <v>0.88</v>
      </c>
      <c r="Q29" s="50">
        <v>36.67</v>
      </c>
      <c r="R29" s="43"/>
      <c r="S29" s="43"/>
      <c r="T29" s="43"/>
      <c r="U29" s="43"/>
    </row>
    <row r="30" spans="1:21" s="11" customFormat="1" ht="15">
      <c r="A30" s="49" t="s">
        <v>781</v>
      </c>
      <c r="B30" s="50">
        <v>5.29</v>
      </c>
      <c r="C30" s="50">
        <v>50.74</v>
      </c>
      <c r="D30" s="50">
        <v>32.64</v>
      </c>
      <c r="E30" s="50">
        <v>2.0099999999999998</v>
      </c>
      <c r="F30" s="50">
        <v>10.34</v>
      </c>
      <c r="G30" s="50">
        <v>79.77</v>
      </c>
      <c r="H30" s="50">
        <v>21.81</v>
      </c>
      <c r="I30" s="50">
        <v>0.64</v>
      </c>
      <c r="J30" s="50">
        <v>3.18</v>
      </c>
      <c r="K30" s="50">
        <v>143.74</v>
      </c>
      <c r="L30" s="50">
        <v>22.60</v>
      </c>
      <c r="M30" s="50">
        <v>79.98</v>
      </c>
      <c r="N30" s="50">
        <v>10.30</v>
      </c>
      <c r="O30" s="50">
        <v>6.60</v>
      </c>
      <c r="P30" s="50">
        <v>0.73</v>
      </c>
      <c r="Q30" s="50">
        <v>34.96</v>
      </c>
      <c r="R30" s="43"/>
      <c r="S30" s="43"/>
      <c r="T30" s="43"/>
      <c r="U30" s="43"/>
    </row>
    <row r="31" spans="1:21" s="11" customFormat="1" ht="15">
      <c r="A31" s="49" t="s">
        <v>782</v>
      </c>
      <c r="B31" s="50">
        <v>4.21</v>
      </c>
      <c r="C31" s="50">
        <v>43.92</v>
      </c>
      <c r="D31" s="50">
        <v>29.15</v>
      </c>
      <c r="E31" s="50">
        <v>2.11</v>
      </c>
      <c r="F31" s="50">
        <v>4.91</v>
      </c>
      <c r="G31" s="50">
        <v>50.33</v>
      </c>
      <c r="H31" s="50">
        <v>19.84</v>
      </c>
      <c r="I31" s="50">
        <v>0.59</v>
      </c>
      <c r="J31" s="50">
        <v>3.12</v>
      </c>
      <c r="K31" s="50">
        <v>119.74</v>
      </c>
      <c r="L31" s="50">
        <v>22.97</v>
      </c>
      <c r="M31" s="50">
        <v>67.34</v>
      </c>
      <c r="N31" s="50">
        <v>5.0999999999999996</v>
      </c>
      <c r="O31" s="50">
        <v>0</v>
      </c>
      <c r="P31" s="50">
        <v>0.65</v>
      </c>
      <c r="Q31" s="50">
        <v>39.47</v>
      </c>
      <c r="R31" s="43"/>
      <c r="S31" s="43"/>
      <c r="T31" s="43"/>
      <c r="U31" s="43"/>
    </row>
    <row r="32" spans="1:21" s="11" customFormat="1" ht="15">
      <c r="A32" s="49" t="s">
        <v>783</v>
      </c>
      <c r="B32" s="50">
        <v>4.1500000000000004</v>
      </c>
      <c r="C32" s="50">
        <v>34.79</v>
      </c>
      <c r="D32" s="50">
        <v>24.26</v>
      </c>
      <c r="E32" s="50">
        <v>1.95</v>
      </c>
      <c r="F32" s="50">
        <v>5.12</v>
      </c>
      <c r="G32" s="50">
        <v>42.45</v>
      </c>
      <c r="H32" s="50">
        <v>19.84</v>
      </c>
      <c r="I32" s="50">
        <v>0.56999999999999995</v>
      </c>
      <c r="J32" s="50">
        <v>2.96</v>
      </c>
      <c r="K32" s="50">
        <v>116.15</v>
      </c>
      <c r="L32" s="50">
        <v>23.11</v>
      </c>
      <c r="M32" s="50">
        <v>59.94</v>
      </c>
      <c r="N32" s="50">
        <v>4.5</v>
      </c>
      <c r="O32" s="50">
        <v>0</v>
      </c>
      <c r="P32" s="50">
        <v>0.56000000000000005</v>
      </c>
      <c r="Q32" s="50">
        <v>43.36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2.6699999999999999</v>
      </c>
      <c r="C34" s="28">
        <f t="shared" si="0"/>
        <v>22.350000000000001</v>
      </c>
      <c r="D34" s="28">
        <f t="shared" si="0"/>
        <v>16.199999999999999</v>
      </c>
      <c r="E34" s="28">
        <f t="shared" si="0"/>
        <v>1.95</v>
      </c>
      <c r="F34" s="28">
        <f t="shared" si="0"/>
        <v>4.9100000000000001</v>
      </c>
      <c r="G34" s="28">
        <f t="shared" si="0"/>
        <v>25.559999999999999</v>
      </c>
      <c r="H34" s="28">
        <f t="shared" si="0"/>
        <v>13.16</v>
      </c>
      <c r="I34" s="28">
        <f t="shared" si="0"/>
        <v>0.48999999999999999</v>
      </c>
      <c r="J34" s="28">
        <f t="shared" si="0"/>
        <v>0.23999999999999999</v>
      </c>
      <c r="K34" s="28">
        <f t="shared" si="0"/>
        <v>26.219999999999999</v>
      </c>
      <c r="L34" s="28">
        <f t="shared" si="0"/>
        <v>21.649999999999999</v>
      </c>
      <c r="M34" s="28">
        <f t="shared" si="0"/>
        <v>34.149999999999999</v>
      </c>
      <c r="N34" s="28">
        <f t="shared" si="0"/>
        <v>4.5</v>
      </c>
      <c r="O34" s="28">
        <f t="shared" si="0"/>
        <v>0</v>
      </c>
      <c r="P34" s="28">
        <f t="shared" si="0"/>
        <v>0.39000000000000001</v>
      </c>
      <c r="Q34" s="28">
        <f t="shared" si="0"/>
        <v>32.689999999999998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61.689999999999998</v>
      </c>
      <c r="C35" s="29">
        <f t="shared" si="1"/>
        <v>85.650000000000006</v>
      </c>
      <c r="D35" s="29">
        <f t="shared" si="1"/>
        <v>98.480000000000004</v>
      </c>
      <c r="E35" s="29">
        <f t="shared" si="1"/>
        <v>4.46</v>
      </c>
      <c r="F35" s="29">
        <f t="shared" si="1"/>
        <v>41.729999999999997</v>
      </c>
      <c r="G35" s="29">
        <f t="shared" si="1"/>
        <v>79.769999999999996</v>
      </c>
      <c r="H35" s="29">
        <f t="shared" si="1"/>
        <v>22</v>
      </c>
      <c r="I35" s="29">
        <f t="shared" si="1"/>
        <v>0.80000000000000004</v>
      </c>
      <c r="J35" s="29">
        <f t="shared" si="1"/>
        <v>3.1800000000000002</v>
      </c>
      <c r="K35" s="29">
        <f t="shared" si="1"/>
        <v>355.29000000000002</v>
      </c>
      <c r="L35" s="29">
        <f t="shared" si="1"/>
        <v>32.75</v>
      </c>
      <c r="M35" s="29">
        <f t="shared" si="1"/>
        <v>86.700000000000003</v>
      </c>
      <c r="N35" s="29">
        <f t="shared" si="1"/>
        <v>868.29999999999995</v>
      </c>
      <c r="O35" s="29">
        <f t="shared" si="1"/>
        <v>6.5999999999999996</v>
      </c>
      <c r="P35" s="29">
        <f t="shared" si="1"/>
        <v>2.1200000000000001</v>
      </c>
      <c r="Q35" s="29">
        <f t="shared" si="1"/>
        <v>51.259999999999998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10.063333333333333</v>
      </c>
      <c r="C36" s="28">
        <f t="shared" si="2"/>
        <v>44.566249999999997</v>
      </c>
      <c r="D36" s="28">
        <f t="shared" si="2"/>
        <v>33.932083333333338</v>
      </c>
      <c r="E36" s="28">
        <f t="shared" si="2"/>
        <v>2.830833333333334</v>
      </c>
      <c r="F36" s="28">
        <f t="shared" si="2"/>
        <v>14.436250000000003</v>
      </c>
      <c r="G36" s="28">
        <f t="shared" si="2"/>
        <v>43.176666666666669</v>
      </c>
      <c r="H36" s="28">
        <f t="shared" si="2"/>
        <v>17.425833333333337</v>
      </c>
      <c r="I36" s="28">
        <f t="shared" si="2"/>
        <v>0.57583333333333331</v>
      </c>
      <c r="J36" s="28">
        <f t="shared" si="2"/>
        <v>1.2845833333333334</v>
      </c>
      <c r="K36" s="28">
        <f t="shared" si="2"/>
        <v>217.3808333333333</v>
      </c>
      <c r="L36" s="28">
        <f t="shared" si="2"/>
        <v>27.149583333333339</v>
      </c>
      <c r="M36" s="28">
        <f t="shared" si="2"/>
        <v>51.655833333333334</v>
      </c>
      <c r="N36" s="28">
        <f t="shared" si="2"/>
        <v>264.82083333333338</v>
      </c>
      <c r="O36" s="28">
        <f t="shared" si="2"/>
        <v>0.31666666666666665</v>
      </c>
      <c r="P36" s="28">
        <f t="shared" si="2"/>
        <v>0.67166666666666675</v>
      </c>
      <c r="Q36" s="28">
        <f t="shared" si="2"/>
        <v>40.00333333333333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12.516451319091541</v>
      </c>
      <c r="C37" s="28">
        <f t="shared" si="3" ref="C37:Q37">STDEV(C9:C32)</f>
        <v>14.581329280520228</v>
      </c>
      <c r="D37" s="28">
        <f t="shared" si="3"/>
        <v>16.576024587433142</v>
      </c>
      <c r="E37" s="28">
        <f t="shared" si="3"/>
        <v>0.74872016405194308</v>
      </c>
      <c r="F37" s="28">
        <f t="shared" si="3"/>
        <v>9.3578201718971421</v>
      </c>
      <c r="G37" s="28">
        <f t="shared" si="3"/>
        <v>16.565861089094916</v>
      </c>
      <c r="H37" s="28">
        <f t="shared" si="3"/>
        <v>3.0239060784049459</v>
      </c>
      <c r="I37" s="28">
        <f t="shared" si="3"/>
        <v>0.076948128585129741</v>
      </c>
      <c r="J37" s="28">
        <f t="shared" si="3"/>
        <v>0.8901879584948762</v>
      </c>
      <c r="K37" s="28">
        <f t="shared" si="3"/>
        <v>81.194638338547648</v>
      </c>
      <c r="L37" s="28">
        <f t="shared" si="3"/>
        <v>4.008048944384214</v>
      </c>
      <c r="M37" s="28">
        <f t="shared" si="3"/>
        <v>13.986251297696572</v>
      </c>
      <c r="N37" s="28">
        <f t="shared" si="3"/>
        <v>340.10261236633545</v>
      </c>
      <c r="O37" s="28">
        <f t="shared" si="3"/>
        <v>1.3537923116890587</v>
      </c>
      <c r="P37" s="28">
        <f t="shared" si="3"/>
        <v>0.34110646899231578</v>
      </c>
      <c r="Q37" s="28">
        <f t="shared" si="3"/>
        <v>5.0850904542138124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b4a5aef-c1f8-47c9-80e5-f6ac70a3557f}">
  <sheetPr codeName=""/>
  <dimension ref="A1:U119"/>
  <sheetViews>
    <sheetView workbookViewId="0" topLeftCell="A1">
      <selection pane="topLeft" activeCell="H66" sqref="H66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6.4285714285714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31-03-2023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49" t="s">
        <v>784</v>
      </c>
      <c r="B9" s="50">
        <v>3.78</v>
      </c>
      <c r="C9" s="50">
        <v>29.15</v>
      </c>
      <c r="D9" s="50">
        <v>20.86</v>
      </c>
      <c r="E9" s="50">
        <v>1.66</v>
      </c>
      <c r="F9" s="50">
        <v>5.5</v>
      </c>
      <c r="G9" s="50">
        <v>42.10</v>
      </c>
      <c r="H9" s="50">
        <v>13.20</v>
      </c>
      <c r="I9" s="50">
        <v>0.52</v>
      </c>
      <c r="J9" s="50">
        <v>1.58</v>
      </c>
      <c r="K9" s="50">
        <v>105.69</v>
      </c>
      <c r="L9" s="50">
        <v>23.11</v>
      </c>
      <c r="M9" s="50">
        <v>62.5</v>
      </c>
      <c r="N9" s="50">
        <v>4.80</v>
      </c>
      <c r="O9" s="50">
        <v>0</v>
      </c>
      <c r="P9" s="50">
        <v>0.45</v>
      </c>
      <c r="Q9" s="50">
        <v>41.77</v>
      </c>
      <c r="R9" s="43"/>
      <c r="S9" s="43"/>
      <c r="T9" s="43"/>
      <c r="U9" s="43"/>
    </row>
    <row r="10" spans="1:21" s="11" customFormat="1" ht="15">
      <c r="A10" s="49" t="s">
        <v>785</v>
      </c>
      <c r="B10" s="50">
        <v>4.51</v>
      </c>
      <c r="C10" s="50">
        <v>30.14</v>
      </c>
      <c r="D10" s="50">
        <v>21.59</v>
      </c>
      <c r="E10" s="50">
        <v>1.53</v>
      </c>
      <c r="F10" s="50">
        <v>5.92</v>
      </c>
      <c r="G10" s="50">
        <v>35.630000000000003</v>
      </c>
      <c r="H10" s="50">
        <v>12.58</v>
      </c>
      <c r="I10" s="50">
        <v>0.52</v>
      </c>
      <c r="J10" s="50">
        <v>0.87</v>
      </c>
      <c r="K10" s="50">
        <v>179.71</v>
      </c>
      <c r="L10" s="50">
        <v>22.33</v>
      </c>
      <c r="M10" s="50">
        <v>68.22</v>
      </c>
      <c r="N10" s="50">
        <v>5.0999999999999996</v>
      </c>
      <c r="O10" s="50">
        <v>0</v>
      </c>
      <c r="P10" s="50">
        <v>0.42</v>
      </c>
      <c r="Q10" s="50">
        <v>40.340000000000003</v>
      </c>
      <c r="R10" s="43"/>
      <c r="S10" s="43"/>
      <c r="T10" s="43"/>
      <c r="U10" s="43"/>
    </row>
    <row r="11" spans="1:21" s="11" customFormat="1" ht="15">
      <c r="A11" s="49" t="s">
        <v>786</v>
      </c>
      <c r="B11" s="50">
        <v>5.0599999999999996</v>
      </c>
      <c r="C11" s="50">
        <v>29.19</v>
      </c>
      <c r="D11" s="50">
        <v>21.39</v>
      </c>
      <c r="E11" s="50">
        <v>1.5</v>
      </c>
      <c r="F11" s="50">
        <v>6.80</v>
      </c>
      <c r="G11" s="50">
        <v>29.72</v>
      </c>
      <c r="H11" s="50">
        <v>10.84</v>
      </c>
      <c r="I11" s="50">
        <v>0.53</v>
      </c>
      <c r="J11" s="50">
        <v>1.74</v>
      </c>
      <c r="K11" s="50">
        <v>346.33</v>
      </c>
      <c r="L11" s="50">
        <v>21.43</v>
      </c>
      <c r="M11" s="50">
        <v>76.08</v>
      </c>
      <c r="N11" s="50">
        <v>5</v>
      </c>
      <c r="O11" s="50">
        <v>0</v>
      </c>
      <c r="P11" s="50">
        <v>0.39</v>
      </c>
      <c r="Q11" s="50">
        <v>40.369999999999997</v>
      </c>
      <c r="R11" s="43"/>
      <c r="S11" s="43"/>
      <c r="T11" s="43"/>
      <c r="U11" s="43"/>
    </row>
    <row r="12" spans="1:21" s="11" customFormat="1" ht="15">
      <c r="A12" s="49" t="s">
        <v>787</v>
      </c>
      <c r="B12" s="50">
        <v>5.17</v>
      </c>
      <c r="C12" s="50">
        <v>27.16</v>
      </c>
      <c r="D12" s="50">
        <v>20.71</v>
      </c>
      <c r="E12" s="50">
        <v>1.74</v>
      </c>
      <c r="F12" s="50">
        <v>4.38</v>
      </c>
      <c r="G12" s="50">
        <v>34.17</v>
      </c>
      <c r="H12" s="50">
        <v>13.58</v>
      </c>
      <c r="I12" s="50">
        <v>0.53</v>
      </c>
      <c r="J12" s="50">
        <v>2.0699999999999998</v>
      </c>
      <c r="K12" s="50">
        <v>24.04</v>
      </c>
      <c r="L12" s="50">
        <v>20.72</v>
      </c>
      <c r="M12" s="50">
        <v>79.42</v>
      </c>
      <c r="N12" s="50">
        <v>5.40</v>
      </c>
      <c r="O12" s="50">
        <v>0</v>
      </c>
      <c r="P12" s="50">
        <v>0.46</v>
      </c>
      <c r="Q12" s="50">
        <v>36.31</v>
      </c>
      <c r="R12" s="43"/>
      <c r="S12" s="43"/>
      <c r="T12" s="43"/>
      <c r="U12" s="43"/>
    </row>
    <row r="13" spans="1:21" s="11" customFormat="1" ht="15">
      <c r="A13" s="49" t="s">
        <v>788</v>
      </c>
      <c r="B13" s="50">
        <v>6.05</v>
      </c>
      <c r="C13" s="50">
        <v>28.95</v>
      </c>
      <c r="D13" s="50">
        <v>22.57</v>
      </c>
      <c r="E13" s="50">
        <v>2.12</v>
      </c>
      <c r="F13" s="50">
        <v>4.92</v>
      </c>
      <c r="G13" s="50">
        <v>43.53</v>
      </c>
      <c r="H13" s="50">
        <v>14.78</v>
      </c>
      <c r="I13" s="50">
        <v>0.51</v>
      </c>
      <c r="J13" s="50">
        <v>1.48</v>
      </c>
      <c r="K13" s="50">
        <v>100.92</v>
      </c>
      <c r="L13" s="50">
        <v>20</v>
      </c>
      <c r="M13" s="50">
        <v>77.31</v>
      </c>
      <c r="N13" s="50">
        <v>4.80</v>
      </c>
      <c r="O13" s="50">
        <v>0</v>
      </c>
      <c r="P13" s="50">
        <v>0.5</v>
      </c>
      <c r="Q13" s="50">
        <v>38.60</v>
      </c>
      <c r="R13" s="43"/>
      <c r="S13" s="43"/>
      <c r="T13" s="43"/>
      <c r="U13" s="43"/>
    </row>
    <row r="14" spans="1:21" s="11" customFormat="1" ht="15">
      <c r="A14" s="49" t="s">
        <v>789</v>
      </c>
      <c r="B14" s="50">
        <v>6.48</v>
      </c>
      <c r="C14" s="50">
        <v>29.29</v>
      </c>
      <c r="D14" s="50">
        <v>23.03</v>
      </c>
      <c r="E14" s="50">
        <v>1.54</v>
      </c>
      <c r="F14" s="50">
        <v>3.83</v>
      </c>
      <c r="G14" s="50">
        <v>43.53</v>
      </c>
      <c r="H14" s="50">
        <v>14.78</v>
      </c>
      <c r="I14" s="50">
        <v>0.53</v>
      </c>
      <c r="J14" s="50">
        <v>1.71</v>
      </c>
      <c r="K14" s="50">
        <v>105.37</v>
      </c>
      <c r="L14" s="50">
        <v>19.75</v>
      </c>
      <c r="M14" s="50">
        <v>78.209999999999994</v>
      </c>
      <c r="N14" s="50">
        <v>10</v>
      </c>
      <c r="O14" s="50">
        <v>0</v>
      </c>
      <c r="P14" s="50">
        <v>0.49</v>
      </c>
      <c r="Q14" s="50">
        <v>40.520000000000003</v>
      </c>
      <c r="R14" s="43"/>
      <c r="S14" s="43"/>
      <c r="T14" s="43"/>
      <c r="U14" s="43"/>
    </row>
    <row r="15" spans="1:21" s="11" customFormat="1" ht="15">
      <c r="A15" s="49" t="s">
        <v>790</v>
      </c>
      <c r="B15" s="50">
        <v>6.81</v>
      </c>
      <c r="C15" s="50">
        <v>29.17</v>
      </c>
      <c r="D15" s="50">
        <v>23.04</v>
      </c>
      <c r="E15" s="50">
        <v>1.52</v>
      </c>
      <c r="F15" s="50">
        <v>3.75</v>
      </c>
      <c r="G15" s="50">
        <v>39.619999999999997</v>
      </c>
      <c r="H15" s="50">
        <v>12.62</v>
      </c>
      <c r="I15" s="50">
        <v>0.52</v>
      </c>
      <c r="J15" s="50">
        <v>2.37</v>
      </c>
      <c r="K15" s="50">
        <v>114.06</v>
      </c>
      <c r="L15" s="50">
        <v>19.579999999999998</v>
      </c>
      <c r="M15" s="50">
        <v>79.06</v>
      </c>
      <c r="N15" s="50">
        <v>86.10</v>
      </c>
      <c r="O15" s="50">
        <v>0</v>
      </c>
      <c r="P15" s="50">
        <v>0.45</v>
      </c>
      <c r="Q15" s="50">
        <v>41.91</v>
      </c>
      <c r="R15" s="43"/>
      <c r="S15" s="43"/>
      <c r="T15" s="43"/>
      <c r="U15" s="43"/>
    </row>
    <row r="16" spans="1:21" s="11" customFormat="1" ht="15">
      <c r="A16" s="49" t="s">
        <v>791</v>
      </c>
      <c r="B16" s="50">
        <v>6.23</v>
      </c>
      <c r="C16" s="50">
        <v>26.86</v>
      </c>
      <c r="D16" s="50">
        <v>21.36</v>
      </c>
      <c r="E16" s="50">
        <v>1.77</v>
      </c>
      <c r="F16" s="50">
        <v>3.59</v>
      </c>
      <c r="G16" s="50">
        <v>32.76</v>
      </c>
      <c r="H16" s="50">
        <v>14.59</v>
      </c>
      <c r="I16" s="50">
        <v>0.53</v>
      </c>
      <c r="J16" s="50">
        <v>1.80</v>
      </c>
      <c r="K16" s="50">
        <v>112.75</v>
      </c>
      <c r="L16" s="50">
        <v>21</v>
      </c>
      <c r="M16" s="50">
        <v>79.67</v>
      </c>
      <c r="N16" s="50">
        <v>310</v>
      </c>
      <c r="O16" s="50">
        <v>0</v>
      </c>
      <c r="P16" s="50">
        <v>0.46</v>
      </c>
      <c r="Q16" s="50">
        <v>43.66</v>
      </c>
      <c r="R16" s="43"/>
      <c r="S16" s="43"/>
      <c r="T16" s="43"/>
      <c r="U16" s="43"/>
    </row>
    <row r="17" spans="1:21" s="11" customFormat="1" ht="15">
      <c r="A17" s="49" t="s">
        <v>792</v>
      </c>
      <c r="B17" s="50">
        <v>6.05</v>
      </c>
      <c r="C17" s="50">
        <v>29.66</v>
      </c>
      <c r="D17" s="50">
        <v>22.91</v>
      </c>
      <c r="E17" s="50">
        <v>2.34</v>
      </c>
      <c r="F17" s="50">
        <v>4.9400000000000004</v>
      </c>
      <c r="G17" s="50">
        <v>29.34</v>
      </c>
      <c r="H17" s="50">
        <v>14.59</v>
      </c>
      <c r="I17" s="50">
        <v>0.52</v>
      </c>
      <c r="J17" s="50">
        <v>1.1299999999999999</v>
      </c>
      <c r="K17" s="50">
        <v>133.41999999999999</v>
      </c>
      <c r="L17" s="50">
        <v>23.23</v>
      </c>
      <c r="M17" s="50">
        <v>75.239999999999995</v>
      </c>
      <c r="N17" s="50">
        <v>524.5</v>
      </c>
      <c r="O17" s="50">
        <v>0</v>
      </c>
      <c r="P17" s="50">
        <v>0.46</v>
      </c>
      <c r="Q17" s="50">
        <v>38.96</v>
      </c>
      <c r="R17" s="43"/>
      <c r="S17" s="43"/>
      <c r="T17" s="43"/>
      <c r="U17" s="43"/>
    </row>
    <row r="18" spans="1:21" s="11" customFormat="1" ht="15">
      <c r="A18" s="49" t="s">
        <v>793</v>
      </c>
      <c r="B18" s="50">
        <v>5.77</v>
      </c>
      <c r="C18" s="50">
        <v>29.08</v>
      </c>
      <c r="D18" s="50">
        <v>21.90</v>
      </c>
      <c r="E18" s="50">
        <v>2.0099999999999998</v>
      </c>
      <c r="F18" s="50">
        <v>4.93</v>
      </c>
      <c r="G18" s="50">
        <v>26.06</v>
      </c>
      <c r="H18" s="50">
        <v>14.27</v>
      </c>
      <c r="I18" s="50">
        <v>0.51</v>
      </c>
      <c r="J18" s="50">
        <v>1.32</v>
      </c>
      <c r="K18" s="50">
        <v>185.66</v>
      </c>
      <c r="L18" s="50">
        <v>26.66</v>
      </c>
      <c r="M18" s="50">
        <v>65.63</v>
      </c>
      <c r="N18" s="50">
        <v>738.10</v>
      </c>
      <c r="O18" s="50">
        <v>0</v>
      </c>
      <c r="P18" s="50">
        <v>0.46</v>
      </c>
      <c r="Q18" s="50">
        <v>39.14</v>
      </c>
      <c r="R18" s="43"/>
      <c r="S18" s="43"/>
      <c r="T18" s="43"/>
      <c r="U18" s="43"/>
    </row>
    <row r="19" spans="1:21" s="11" customFormat="1" ht="15">
      <c r="A19" s="49" t="s">
        <v>794</v>
      </c>
      <c r="B19" s="50">
        <v>4.3899999999999997</v>
      </c>
      <c r="C19" s="50">
        <v>27.31</v>
      </c>
      <c r="D19" s="50">
        <v>18.96</v>
      </c>
      <c r="E19" s="50">
        <v>2.23</v>
      </c>
      <c r="F19" s="50">
        <v>18.23</v>
      </c>
      <c r="G19" s="50">
        <v>25.97</v>
      </c>
      <c r="H19" s="50">
        <v>14.27</v>
      </c>
      <c r="I19" s="50">
        <v>0.52</v>
      </c>
      <c r="J19" s="50">
        <v>1</v>
      </c>
      <c r="K19" s="50">
        <v>206.58</v>
      </c>
      <c r="L19" s="50">
        <v>28.86</v>
      </c>
      <c r="M19" s="50">
        <v>53.85</v>
      </c>
      <c r="N19" s="50">
        <v>839</v>
      </c>
      <c r="O19" s="50">
        <v>0</v>
      </c>
      <c r="P19" s="50">
        <v>0.52</v>
      </c>
      <c r="Q19" s="50">
        <v>40.119999999999997</v>
      </c>
      <c r="R19" s="43"/>
      <c r="S19" s="43"/>
      <c r="T19" s="43"/>
      <c r="U19" s="43"/>
    </row>
    <row r="20" spans="1:21" s="11" customFormat="1" ht="15">
      <c r="A20" s="49" t="s">
        <v>795</v>
      </c>
      <c r="B20" s="50">
        <v>4.88</v>
      </c>
      <c r="C20" s="50">
        <v>32.78</v>
      </c>
      <c r="D20" s="50">
        <v>23.74</v>
      </c>
      <c r="E20" s="50">
        <v>2.71</v>
      </c>
      <c r="F20" s="50">
        <v>13.86</v>
      </c>
      <c r="G20" s="50">
        <v>25.97</v>
      </c>
      <c r="H20" s="50">
        <v>14.53</v>
      </c>
      <c r="I20" s="50">
        <v>0.49</v>
      </c>
      <c r="J20" s="50">
        <v>0.48</v>
      </c>
      <c r="K20" s="50">
        <v>321.81</v>
      </c>
      <c r="L20" s="50">
        <v>30.78</v>
      </c>
      <c r="M20" s="50">
        <v>51.15</v>
      </c>
      <c r="N20" s="50">
        <v>936.70</v>
      </c>
      <c r="O20" s="50">
        <v>0</v>
      </c>
      <c r="P20" s="50">
        <v>0.55000000000000004</v>
      </c>
      <c r="Q20" s="50">
        <v>28.35</v>
      </c>
      <c r="R20" s="43"/>
      <c r="S20" s="43"/>
      <c r="T20" s="43"/>
      <c r="U20" s="43"/>
    </row>
    <row r="21" spans="1:21" s="11" customFormat="1" ht="15">
      <c r="A21" s="49" t="s">
        <v>796</v>
      </c>
      <c r="B21" s="50">
        <v>4.5599999999999996</v>
      </c>
      <c r="C21" s="50">
        <v>29.11</v>
      </c>
      <c r="D21" s="50">
        <v>21.38</v>
      </c>
      <c r="E21" s="50">
        <v>2.95</v>
      </c>
      <c r="F21" s="50">
        <v>11.44</v>
      </c>
      <c r="G21" s="50">
        <v>30.63</v>
      </c>
      <c r="H21" s="50">
        <v>17.100000000000001</v>
      </c>
      <c r="I21" s="50">
        <v>0.54</v>
      </c>
      <c r="J21" s="50">
        <v>0.76</v>
      </c>
      <c r="K21" s="50">
        <v>355.66</v>
      </c>
      <c r="L21" s="50">
        <v>33.33</v>
      </c>
      <c r="M21" s="50">
        <v>44.87</v>
      </c>
      <c r="N21" s="50">
        <v>902.80</v>
      </c>
      <c r="O21" s="50">
        <v>0</v>
      </c>
      <c r="P21" s="50">
        <v>0.59</v>
      </c>
      <c r="Q21" s="50">
        <v>29.60</v>
      </c>
      <c r="R21" s="43"/>
      <c r="S21" s="43"/>
      <c r="T21" s="43"/>
      <c r="U21" s="43"/>
    </row>
    <row r="22" spans="1:21" s="11" customFormat="1" ht="15">
      <c r="A22" s="49" t="s">
        <v>797</v>
      </c>
      <c r="B22" s="50">
        <v>5.24</v>
      </c>
      <c r="C22" s="50">
        <v>27.59</v>
      </c>
      <c r="D22" s="50">
        <v>20.60</v>
      </c>
      <c r="E22" s="50">
        <v>4.95</v>
      </c>
      <c r="F22" s="50">
        <v>18.54</v>
      </c>
      <c r="G22" s="50">
        <v>35.08</v>
      </c>
      <c r="H22" s="50">
        <v>19.079999999999998</v>
      </c>
      <c r="I22" s="50">
        <v>0.54</v>
      </c>
      <c r="J22" s="50">
        <v>0.96</v>
      </c>
      <c r="K22" s="50">
        <v>344.77</v>
      </c>
      <c r="L22" s="50">
        <v>33.729999999999997</v>
      </c>
      <c r="M22" s="50">
        <v>39.03</v>
      </c>
      <c r="N22" s="50">
        <v>800</v>
      </c>
      <c r="O22" s="50">
        <v>0</v>
      </c>
      <c r="P22" s="50">
        <v>0.66</v>
      </c>
      <c r="Q22" s="50">
        <v>28.87</v>
      </c>
      <c r="R22" s="43"/>
      <c r="S22" s="43"/>
      <c r="T22" s="43"/>
      <c r="U22" s="43"/>
    </row>
    <row r="23" spans="1:21" s="11" customFormat="1" ht="15">
      <c r="A23" s="49" t="s">
        <v>798</v>
      </c>
      <c r="B23" s="50">
        <v>3.5</v>
      </c>
      <c r="C23" s="50">
        <v>34.200000000000003</v>
      </c>
      <c r="D23" s="50">
        <v>23.12</v>
      </c>
      <c r="E23" s="50">
        <v>5.22</v>
      </c>
      <c r="F23" s="50">
        <v>26.51</v>
      </c>
      <c r="G23" s="50">
        <v>42.49</v>
      </c>
      <c r="H23" s="50">
        <v>19.079999999999998</v>
      </c>
      <c r="I23" s="50">
        <v>0.56000000000000005</v>
      </c>
      <c r="J23" s="50">
        <v>0.27</v>
      </c>
      <c r="K23" s="50">
        <v>359.74</v>
      </c>
      <c r="L23" s="50">
        <v>33.630000000000003</v>
      </c>
      <c r="M23" s="50">
        <v>35.74</v>
      </c>
      <c r="N23" s="50">
        <v>709.40</v>
      </c>
      <c r="O23" s="50">
        <v>0</v>
      </c>
      <c r="P23" s="50">
        <v>0.80</v>
      </c>
      <c r="Q23" s="50">
        <v>25.76</v>
      </c>
      <c r="R23" s="43"/>
      <c r="S23" s="43"/>
      <c r="T23" s="43"/>
      <c r="U23" s="43"/>
    </row>
    <row r="24" spans="1:21" s="11" customFormat="1" ht="15">
      <c r="A24" s="49" t="s">
        <v>799</v>
      </c>
      <c r="B24" s="50">
        <v>3.28</v>
      </c>
      <c r="C24" s="50">
        <v>37.60</v>
      </c>
      <c r="D24" s="50">
        <v>24.51</v>
      </c>
      <c r="E24" s="50">
        <v>5.60</v>
      </c>
      <c r="F24" s="50">
        <v>22.28</v>
      </c>
      <c r="G24" s="50">
        <v>47.17</v>
      </c>
      <c r="H24" s="50">
        <v>18.30</v>
      </c>
      <c r="I24" s="50">
        <v>0.53</v>
      </c>
      <c r="J24" s="50">
        <v>0.63</v>
      </c>
      <c r="K24" s="50">
        <v>314.13</v>
      </c>
      <c r="L24" s="50">
        <v>31.08</v>
      </c>
      <c r="M24" s="50">
        <v>36.61</v>
      </c>
      <c r="N24" s="50">
        <v>338.5</v>
      </c>
      <c r="O24" s="50">
        <v>0</v>
      </c>
      <c r="P24" s="50">
        <v>0.82</v>
      </c>
      <c r="Q24" s="50">
        <v>30.56</v>
      </c>
      <c r="R24" s="43"/>
      <c r="S24" s="43"/>
      <c r="T24" s="43"/>
      <c r="U24" s="43"/>
    </row>
    <row r="25" spans="1:21" s="11" customFormat="1" ht="15">
      <c r="A25" s="49" t="s">
        <v>800</v>
      </c>
      <c r="B25" s="50">
        <v>5.0199999999999996</v>
      </c>
      <c r="C25" s="50">
        <v>34.340000000000003</v>
      </c>
      <c r="D25" s="50">
        <v>24.72</v>
      </c>
      <c r="E25" s="50">
        <v>3.99</v>
      </c>
      <c r="F25" s="50">
        <v>22.26</v>
      </c>
      <c r="G25" s="50">
        <v>47.17</v>
      </c>
      <c r="H25" s="50">
        <v>18.30</v>
      </c>
      <c r="I25" s="50">
        <v>0.53</v>
      </c>
      <c r="J25" s="50">
        <v>2.81</v>
      </c>
      <c r="K25" s="50">
        <v>234.27</v>
      </c>
      <c r="L25" s="50">
        <v>28.14</v>
      </c>
      <c r="M25" s="50">
        <v>43.13</v>
      </c>
      <c r="N25" s="50">
        <v>102.60</v>
      </c>
      <c r="O25" s="50">
        <v>0</v>
      </c>
      <c r="P25" s="50">
        <v>0.70</v>
      </c>
      <c r="Q25" s="50">
        <v>23.33</v>
      </c>
      <c r="R25" s="43"/>
      <c r="S25" s="43"/>
      <c r="T25" s="43"/>
      <c r="U25" s="43"/>
    </row>
    <row r="26" spans="1:21" s="11" customFormat="1" ht="15">
      <c r="A26" s="49" t="s">
        <v>801</v>
      </c>
      <c r="B26" s="50">
        <v>6.47</v>
      </c>
      <c r="C26" s="50">
        <v>36.96</v>
      </c>
      <c r="D26" s="50">
        <v>26.46</v>
      </c>
      <c r="E26" s="50">
        <v>2.2799999999999998</v>
      </c>
      <c r="F26" s="50">
        <v>8.7899999999999991</v>
      </c>
      <c r="G26" s="50">
        <v>44.18</v>
      </c>
      <c r="H26" s="50">
        <v>17.72</v>
      </c>
      <c r="I26" s="50">
        <v>0.53</v>
      </c>
      <c r="J26" s="50">
        <v>2.64</v>
      </c>
      <c r="K26" s="50">
        <v>356.91</v>
      </c>
      <c r="L26" s="50">
        <v>26.21</v>
      </c>
      <c r="M26" s="50">
        <v>59.53</v>
      </c>
      <c r="N26" s="50">
        <v>63.40</v>
      </c>
      <c r="O26" s="50">
        <v>0</v>
      </c>
      <c r="P26" s="50">
        <v>0.63</v>
      </c>
      <c r="Q26" s="50">
        <v>31.62</v>
      </c>
      <c r="R26" s="43"/>
      <c r="S26" s="43"/>
      <c r="T26" s="43"/>
      <c r="U26" s="43"/>
    </row>
    <row r="27" spans="1:21" s="11" customFormat="1" ht="15">
      <c r="A27" s="49" t="s">
        <v>802</v>
      </c>
      <c r="B27" s="50">
        <v>6.16</v>
      </c>
      <c r="C27" s="50">
        <v>43.37</v>
      </c>
      <c r="D27" s="50">
        <v>29.52</v>
      </c>
      <c r="E27" s="50">
        <v>2.19</v>
      </c>
      <c r="F27" s="50">
        <v>6.96</v>
      </c>
      <c r="G27" s="50">
        <v>50.21</v>
      </c>
      <c r="H27" s="50">
        <v>19.95</v>
      </c>
      <c r="I27" s="50">
        <v>0.51</v>
      </c>
      <c r="J27" s="50">
        <v>2.2799999999999998</v>
      </c>
      <c r="K27" s="50">
        <v>17.21</v>
      </c>
      <c r="L27" s="50">
        <v>22.57</v>
      </c>
      <c r="M27" s="50">
        <v>63.82</v>
      </c>
      <c r="N27" s="50">
        <v>11.20</v>
      </c>
      <c r="O27" s="50">
        <v>0</v>
      </c>
      <c r="P27" s="50">
        <v>0.75</v>
      </c>
      <c r="Q27" s="50">
        <v>31.16</v>
      </c>
      <c r="R27" s="43"/>
      <c r="S27" s="43"/>
      <c r="T27" s="43"/>
      <c r="U27" s="43"/>
    </row>
    <row r="28" spans="1:21" s="11" customFormat="1" ht="15">
      <c r="A28" s="49" t="s">
        <v>803</v>
      </c>
      <c r="B28" s="50">
        <v>6.72</v>
      </c>
      <c r="C28" s="50">
        <v>50.63</v>
      </c>
      <c r="D28" s="50">
        <v>35.07</v>
      </c>
      <c r="E28" s="50">
        <v>2.35</v>
      </c>
      <c r="F28" s="50">
        <v>5.76</v>
      </c>
      <c r="G28" s="50">
        <v>50.21</v>
      </c>
      <c r="H28" s="50">
        <v>20.39</v>
      </c>
      <c r="I28" s="50">
        <v>0.54</v>
      </c>
      <c r="J28" s="50">
        <v>1.88</v>
      </c>
      <c r="K28" s="50">
        <v>25.27</v>
      </c>
      <c r="L28" s="50">
        <v>22.25</v>
      </c>
      <c r="M28" s="50">
        <v>63.51</v>
      </c>
      <c r="N28" s="50">
        <v>4.9000000000000004</v>
      </c>
      <c r="O28" s="50">
        <v>0</v>
      </c>
      <c r="P28" s="50">
        <v>0.89</v>
      </c>
      <c r="Q28" s="50">
        <v>31.28</v>
      </c>
      <c r="R28" s="43"/>
      <c r="S28" s="43"/>
      <c r="T28" s="43"/>
      <c r="U28" s="43"/>
    </row>
    <row r="29" spans="1:21" s="11" customFormat="1" ht="15">
      <c r="A29" s="49" t="s">
        <v>804</v>
      </c>
      <c r="B29" s="50">
        <v>10.78</v>
      </c>
      <c r="C29" s="50">
        <v>45.74</v>
      </c>
      <c r="D29" s="50">
        <v>34.40</v>
      </c>
      <c r="E29" s="50">
        <v>3.33</v>
      </c>
      <c r="F29" s="50">
        <v>6.80</v>
      </c>
      <c r="G29" s="50">
        <v>62</v>
      </c>
      <c r="H29" s="50">
        <v>20.39</v>
      </c>
      <c r="I29" s="50">
        <v>0.56999999999999995</v>
      </c>
      <c r="J29" s="50">
        <v>0.56000000000000005</v>
      </c>
      <c r="K29" s="50">
        <v>100.69</v>
      </c>
      <c r="L29" s="50">
        <v>21.79</v>
      </c>
      <c r="M29" s="50">
        <v>67.88</v>
      </c>
      <c r="N29" s="50">
        <v>4.70</v>
      </c>
      <c r="O29" s="50">
        <v>0</v>
      </c>
      <c r="P29" s="50">
        <v>1.06</v>
      </c>
      <c r="Q29" s="50">
        <v>35.08</v>
      </c>
      <c r="R29" s="43"/>
      <c r="S29" s="43"/>
      <c r="T29" s="43"/>
      <c r="U29" s="43"/>
    </row>
    <row r="30" spans="1:21" s="11" customFormat="1" ht="15">
      <c r="A30" s="49" t="s">
        <v>805</v>
      </c>
      <c r="B30" s="50">
        <v>13.15</v>
      </c>
      <c r="C30" s="50">
        <v>40.74</v>
      </c>
      <c r="D30" s="50">
        <v>33.51</v>
      </c>
      <c r="E30" s="50">
        <v>2.4500000000000002</v>
      </c>
      <c r="F30" s="50">
        <v>3.93</v>
      </c>
      <c r="G30" s="50">
        <v>62</v>
      </c>
      <c r="H30" s="50">
        <v>23.93</v>
      </c>
      <c r="I30" s="50">
        <v>0.60</v>
      </c>
      <c r="J30" s="50">
        <v>1.30</v>
      </c>
      <c r="K30" s="50">
        <v>127.06</v>
      </c>
      <c r="L30" s="50">
        <v>21.85</v>
      </c>
      <c r="M30" s="50">
        <v>67.959999999999994</v>
      </c>
      <c r="N30" s="50">
        <v>4.9000000000000004</v>
      </c>
      <c r="O30" s="50">
        <v>0</v>
      </c>
      <c r="P30" s="50">
        <v>1.1299999999999999</v>
      </c>
      <c r="Q30" s="50">
        <v>37.049999999999997</v>
      </c>
      <c r="R30" s="43"/>
      <c r="S30" s="43"/>
      <c r="T30" s="43"/>
      <c r="U30" s="43"/>
    </row>
    <row r="31" spans="1:21" s="11" customFormat="1" ht="15">
      <c r="A31" s="49" t="s">
        <v>806</v>
      </c>
      <c r="B31" s="50">
        <v>9.7100000000000009</v>
      </c>
      <c r="C31" s="50">
        <v>41.54</v>
      </c>
      <c r="D31" s="50">
        <v>30.97</v>
      </c>
      <c r="E31" s="50">
        <v>1.95</v>
      </c>
      <c r="F31" s="50">
        <v>6.17</v>
      </c>
      <c r="G31" s="50">
        <v>61.59</v>
      </c>
      <c r="H31" s="50">
        <v>23.93</v>
      </c>
      <c r="I31" s="50">
        <v>0.60</v>
      </c>
      <c r="J31" s="50">
        <v>1.22</v>
      </c>
      <c r="K31" s="50">
        <v>185.01</v>
      </c>
      <c r="L31" s="50">
        <v>21.46</v>
      </c>
      <c r="M31" s="50">
        <v>71.510000000000005</v>
      </c>
      <c r="N31" s="50">
        <v>5.80</v>
      </c>
      <c r="O31" s="50">
        <v>0</v>
      </c>
      <c r="P31" s="50">
        <v>1.06</v>
      </c>
      <c r="Q31" s="50">
        <v>38.79</v>
      </c>
      <c r="R31" s="43"/>
      <c r="S31" s="43"/>
      <c r="T31" s="43"/>
      <c r="U31" s="43"/>
    </row>
    <row r="32" spans="1:21" s="11" customFormat="1" ht="15">
      <c r="A32" s="49" t="s">
        <v>807</v>
      </c>
      <c r="B32" s="50">
        <v>7.06</v>
      </c>
      <c r="C32" s="50">
        <v>35.51</v>
      </c>
      <c r="D32" s="50">
        <v>26.99</v>
      </c>
      <c r="E32" s="50">
        <v>2.16</v>
      </c>
      <c r="F32" s="50">
        <v>6.89</v>
      </c>
      <c r="G32" s="50">
        <v>56.32</v>
      </c>
      <c r="H32" s="50">
        <v>16.100000000000001</v>
      </c>
      <c r="I32" s="50">
        <v>0.57999999999999996</v>
      </c>
      <c r="J32" s="50">
        <v>0.85</v>
      </c>
      <c r="K32" s="50">
        <v>231.12</v>
      </c>
      <c r="L32" s="50">
        <v>21.64</v>
      </c>
      <c r="M32" s="50">
        <v>67.69</v>
      </c>
      <c r="N32" s="50">
        <v>5.20</v>
      </c>
      <c r="O32" s="50">
        <v>0</v>
      </c>
      <c r="P32" s="50">
        <v>0.93</v>
      </c>
      <c r="Q32" s="50">
        <v>38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3.2799999999999998</v>
      </c>
      <c r="C34" s="28">
        <f t="shared" si="0"/>
        <v>26.859999999999999</v>
      </c>
      <c r="D34" s="28">
        <f t="shared" si="0"/>
        <v>18.960000000000001</v>
      </c>
      <c r="E34" s="28">
        <f t="shared" si="0"/>
        <v>1.5</v>
      </c>
      <c r="F34" s="28">
        <f t="shared" si="0"/>
        <v>3.5899999999999999</v>
      </c>
      <c r="G34" s="28">
        <f t="shared" si="0"/>
        <v>25.969999999999999</v>
      </c>
      <c r="H34" s="28">
        <f t="shared" si="0"/>
        <v>10.84</v>
      </c>
      <c r="I34" s="28">
        <f t="shared" si="0"/>
        <v>0.48999999999999999</v>
      </c>
      <c r="J34" s="28">
        <f t="shared" si="0"/>
        <v>0.27000000000000002</v>
      </c>
      <c r="K34" s="28">
        <f t="shared" si="0"/>
        <v>17.210000000000001</v>
      </c>
      <c r="L34" s="28">
        <f t="shared" si="0"/>
        <v>19.579999999999998</v>
      </c>
      <c r="M34" s="28">
        <f t="shared" si="0"/>
        <v>35.740000000000002</v>
      </c>
      <c r="N34" s="28">
        <f t="shared" si="0"/>
        <v>4.7000000000000002</v>
      </c>
      <c r="O34" s="28">
        <f t="shared" si="0"/>
        <v>0</v>
      </c>
      <c r="P34" s="28">
        <f t="shared" si="0"/>
        <v>0.39000000000000001</v>
      </c>
      <c r="Q34" s="28">
        <f t="shared" si="0"/>
        <v>23.329999999999998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13.15</v>
      </c>
      <c r="C35" s="29">
        <f t="shared" si="1"/>
        <v>50.630000000000003</v>
      </c>
      <c r="D35" s="29">
        <f t="shared" si="1"/>
        <v>35.07</v>
      </c>
      <c r="E35" s="29">
        <f t="shared" si="1"/>
        <v>5.5999999999999996</v>
      </c>
      <c r="F35" s="29">
        <f t="shared" si="1"/>
        <v>26.510000000000002</v>
      </c>
      <c r="G35" s="29">
        <f t="shared" si="1"/>
        <v>62</v>
      </c>
      <c r="H35" s="29">
        <f t="shared" si="1"/>
        <v>23.93</v>
      </c>
      <c r="I35" s="29">
        <f t="shared" si="1"/>
        <v>0.59999999999999998</v>
      </c>
      <c r="J35" s="29">
        <f t="shared" si="1"/>
        <v>2.8100000000000001</v>
      </c>
      <c r="K35" s="29">
        <f t="shared" si="1"/>
        <v>359.74000000000001</v>
      </c>
      <c r="L35" s="29">
        <f t="shared" si="1"/>
        <v>33.729999999999997</v>
      </c>
      <c r="M35" s="29">
        <f t="shared" si="1"/>
        <v>79.670000000000002</v>
      </c>
      <c r="N35" s="29">
        <f t="shared" si="1"/>
        <v>936.70000000000005</v>
      </c>
      <c r="O35" s="29">
        <f t="shared" si="1"/>
        <v>0</v>
      </c>
      <c r="P35" s="29">
        <f t="shared" si="1"/>
        <v>1.1299999999999999</v>
      </c>
      <c r="Q35" s="29">
        <f t="shared" si="1"/>
        <v>43.659999999999997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6.117916666666666</v>
      </c>
      <c r="C36" s="28">
        <f t="shared" si="2"/>
        <v>33.58625</v>
      </c>
      <c r="D36" s="28">
        <f t="shared" si="2"/>
        <v>24.721249999999998</v>
      </c>
      <c r="E36" s="28">
        <f t="shared" si="2"/>
        <v>2.5870833333333336</v>
      </c>
      <c r="F36" s="28">
        <f t="shared" si="2"/>
        <v>9.4574999999999978</v>
      </c>
      <c r="G36" s="28">
        <f t="shared" si="2"/>
        <v>41.560416666666661</v>
      </c>
      <c r="H36" s="28">
        <f t="shared" si="2"/>
        <v>16.620833333333334</v>
      </c>
      <c r="I36" s="28">
        <f t="shared" si="2"/>
        <v>0.53583333333333327</v>
      </c>
      <c r="J36" s="28">
        <f t="shared" si="2"/>
        <v>1.4045833333333333</v>
      </c>
      <c r="K36" s="28">
        <f t="shared" si="2"/>
        <v>191.17416666666668</v>
      </c>
      <c r="L36" s="28">
        <f t="shared" si="2"/>
        <v>24.797083333333333</v>
      </c>
      <c r="M36" s="28">
        <f t="shared" si="2"/>
        <v>62.817500000000003</v>
      </c>
      <c r="N36" s="28">
        <f t="shared" si="2"/>
        <v>267.62083333333328</v>
      </c>
      <c r="O36" s="28">
        <f t="shared" si="2"/>
        <v>0</v>
      </c>
      <c r="P36" s="28">
        <f t="shared" si="2"/>
        <v>0.65125</v>
      </c>
      <c r="Q36" s="28">
        <f t="shared" si="2"/>
        <v>35.46458333333333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2.2852513498265514</v>
      </c>
      <c r="C37" s="28">
        <f t="shared" si="3" ref="C37:Q37">STDEV(C9:C32)</f>
        <v>6.6238533462157632</v>
      </c>
      <c r="D37" s="28">
        <f t="shared" si="3"/>
        <v>4.6528563574011947</v>
      </c>
      <c r="E37" s="28">
        <f t="shared" si="3"/>
        <v>1.1922593793031073</v>
      </c>
      <c r="F37" s="28">
        <f t="shared" si="3"/>
        <v>6.9106875326491979</v>
      </c>
      <c r="G37" s="28">
        <f t="shared" si="3"/>
        <v>11.480254685542807</v>
      </c>
      <c r="H37" s="28">
        <f t="shared" si="3"/>
        <v>3.5073821733801416</v>
      </c>
      <c r="I37" s="28">
        <f t="shared" si="3"/>
        <v>0.027649462085605061</v>
      </c>
      <c r="J37" s="28">
        <f t="shared" si="3"/>
        <v>0.69845779908413153</v>
      </c>
      <c r="K37" s="28">
        <f t="shared" si="3"/>
        <v>114.76727335812227</v>
      </c>
      <c r="L37" s="28">
        <f t="shared" si="3"/>
        <v>4.7493500508803361</v>
      </c>
      <c r="M37" s="28">
        <f t="shared" si="3"/>
        <v>14.315746954649775</v>
      </c>
      <c r="N37" s="28">
        <f t="shared" si="3"/>
        <v>353.47580690740432</v>
      </c>
      <c r="O37" s="28">
        <f t="shared" si="3"/>
        <v>0</v>
      </c>
      <c r="P37" s="28">
        <f t="shared" si="3"/>
        <v>0.22750656942258773</v>
      </c>
      <c r="Q37" s="28">
        <f t="shared" si="3"/>
        <v>5.6903885243427172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8edd6de-ef85-49dc-b542-94084c183147}">
  <sheetPr codeName=""/>
  <dimension ref="A1:X55"/>
  <sheetViews>
    <sheetView tabSelected="1" workbookViewId="0" topLeftCell="A1">
      <pane xSplit="1" ySplit="8" topLeftCell="B9" activePane="bottomRight" state="frozen"/>
      <selection pane="topLeft" activeCell="B2" sqref="B2"/>
      <selection pane="topRight" activeCell="B2" sqref="B2"/>
      <selection pane="bottomLeft" activeCell="B2" sqref="B2"/>
      <selection pane="bottomRight" activeCell="D67" sqref="D67"/>
    </sheetView>
  </sheetViews>
  <sheetFormatPr defaultColWidth="8.85881696428571" defaultRowHeight="15"/>
  <cols>
    <col min="1" max="1" width="17.4285714285714" style="11" customWidth="1"/>
    <col min="2" max="2" width="17.8571428571429" style="11" customWidth="1"/>
    <col min="3" max="3" width="9.85714285714286" style="11" customWidth="1"/>
    <col min="4" max="4" width="12.5714285714286" style="11" customWidth="1"/>
    <col min="5" max="5" width="9.71428571428571" style="11" customWidth="1"/>
    <col min="6" max="6" width="8.85714285714286" style="11"/>
    <col min="7" max="7" width="11.2857142857143" style="11" customWidth="1"/>
    <col min="8" max="8" width="12.4285714285714" style="11" customWidth="1"/>
    <col min="9" max="9" width="13" style="11" customWidth="1"/>
    <col min="10" max="10" width="8.85714285714286" style="11"/>
    <col min="11" max="11" width="9.71428571428571" style="11" customWidth="1"/>
    <col min="12" max="12" width="11" style="11" customWidth="1"/>
    <col min="13" max="13" width="10" style="11" customWidth="1"/>
    <col min="14" max="16" width="8.85714285714286" style="11"/>
    <col min="17" max="17" width="9.71428571428571" style="11" customWidth="1"/>
    <col min="18" max="18" width="8.85714285714286" style="11"/>
    <col min="19" max="19" width="12.1428571428571" style="11" customWidth="1"/>
    <col min="20" max="20" width="12.7142857142857" style="11" customWidth="1"/>
    <col min="21" max="16384" width="8.85714285714286" style="11"/>
  </cols>
  <sheetData>
    <row r="1" spans="1:21" s="21" customFormat="1" ht="27.75" customHeight="1">
      <c r="A1" s="14" t="s">
        <v>2</v>
      </c>
      <c r="B1" s="23" t="s">
        <v>42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01-03-2023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25"/>
      <c r="B8" s="29" t="s">
        <v>22</v>
      </c>
      <c r="C8" s="29" t="s">
        <v>22</v>
      </c>
      <c r="D8" s="29" t="s">
        <v>62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ht="15">
      <c r="A9" s="36" t="str">
        <f>'01'!$B$2</f>
        <v>01-03-2023 01:00</v>
      </c>
      <c r="B9" s="24">
        <f>'01'!B36</f>
        <v>58.803749999999987</v>
      </c>
      <c r="C9" s="24">
        <f>'01'!C36</f>
        <v>113.81458333333335</v>
      </c>
      <c r="D9" s="24">
        <f>'01'!D36</f>
        <v>107.6075</v>
      </c>
      <c r="E9" s="24">
        <f>'01'!E36</f>
        <v>11.603333333333333</v>
      </c>
      <c r="F9" s="24">
        <f>'01'!F36</f>
        <v>15.04916666666667</v>
      </c>
      <c r="G9" s="24">
        <f>'01'!G36</f>
        <v>142.06125000000003</v>
      </c>
      <c r="H9" s="24">
        <f>'01'!H36</f>
        <v>66.828333333333347</v>
      </c>
      <c r="I9" s="24">
        <f>'01'!I36</f>
        <v>1.0166666666666668</v>
      </c>
      <c r="J9" s="24">
        <f>'01'!J36</f>
        <v>0.5033333333333333</v>
      </c>
      <c r="K9" s="24">
        <f>'01'!K36</f>
        <v>219.60749999999999</v>
      </c>
      <c r="L9" s="24">
        <f>'01'!L36</f>
        <v>28.636666666666667</v>
      </c>
      <c r="M9" s="24">
        <f>'01'!M36</f>
        <v>42.307083333333338</v>
      </c>
      <c r="N9" s="24">
        <f>'01'!N36</f>
        <v>156.38750000000002</v>
      </c>
      <c r="O9" s="24">
        <f>'01'!O36</f>
        <v>0</v>
      </c>
      <c r="P9" s="30">
        <f>'01'!$P$36</f>
        <v>2.0583333333333336</v>
      </c>
      <c r="Q9" s="24">
        <f>'01'!Q36</f>
        <v>31.016250000000003</v>
      </c>
      <c r="R9" s="45"/>
      <c r="S9" s="45"/>
      <c r="T9" s="45"/>
      <c r="U9" s="46"/>
    </row>
    <row r="10" spans="1:21" s="34" customFormat="1" ht="15">
      <c r="A10" s="36" t="str">
        <f>'02'!$B$2</f>
        <v>02-03-2023 01:00</v>
      </c>
      <c r="B10" s="33">
        <f>'02'!B36</f>
        <v>40.338749999999997</v>
      </c>
      <c r="C10" s="33">
        <f>'02'!C36</f>
        <v>127.01666666666669</v>
      </c>
      <c r="D10" s="33">
        <f>'02'!D36</f>
        <v>100.33375000000001</v>
      </c>
      <c r="E10" s="33">
        <f>'02'!E36</f>
        <v>11.076249999999996</v>
      </c>
      <c r="F10" s="33">
        <f>'02'!F36</f>
        <v>9.6166666666666654</v>
      </c>
      <c r="G10" s="33">
        <f>'02'!G36</f>
        <v>128.83124999999998</v>
      </c>
      <c r="H10" s="33">
        <f>'02'!H36</f>
        <v>63.351666666666652</v>
      </c>
      <c r="I10" s="33">
        <f>'02'!I36</f>
        <v>0.8879166666666668</v>
      </c>
      <c r="J10" s="33">
        <f>'02'!J36</f>
        <v>0.55958333333333343</v>
      </c>
      <c r="K10" s="33">
        <f>'02'!K36</f>
        <v>226.10500000000002</v>
      </c>
      <c r="L10" s="33">
        <f>'02'!L36</f>
        <v>28.91</v>
      </c>
      <c r="M10" s="33">
        <f>'02'!M36</f>
        <v>44.522083333333335</v>
      </c>
      <c r="N10" s="33">
        <f>'02'!N36</f>
        <v>139.94166666666663</v>
      </c>
      <c r="O10" s="33">
        <f>'02'!O36</f>
        <v>0</v>
      </c>
      <c r="P10" s="30">
        <f>'02'!$P$36</f>
        <v>1.9524999999999999</v>
      </c>
      <c r="Q10" s="33">
        <f>'02'!Q36</f>
        <v>33.680416666666666</v>
      </c>
      <c r="R10" s="47"/>
      <c r="S10" s="47"/>
      <c r="T10" s="47"/>
      <c r="U10" s="47"/>
    </row>
    <row r="11" spans="1:21" s="34" customFormat="1" ht="15">
      <c r="A11" s="36" t="str">
        <f>'03'!$B$2</f>
        <v>03-03-2023 01:00</v>
      </c>
      <c r="B11" s="33">
        <f>'03'!B36</f>
        <v>67.599583333333342</v>
      </c>
      <c r="C11" s="33">
        <f>'03'!C36</f>
        <v>109.75999999999999</v>
      </c>
      <c r="D11" s="33">
        <f>'03'!D36</f>
        <v>113.38958333333335</v>
      </c>
      <c r="E11" s="33">
        <f>'03'!E36</f>
        <v>14.286666666666669</v>
      </c>
      <c r="F11" s="33">
        <f>'03'!F36</f>
        <v>15.897500000000001</v>
      </c>
      <c r="G11" s="33">
        <f>'03'!G36</f>
        <v>138.8478260869565</v>
      </c>
      <c r="H11" s="33">
        <f>'03'!H36</f>
        <v>58.916521739130438</v>
      </c>
      <c r="I11" s="33">
        <f>'03'!I36</f>
        <v>0.97083333333333366</v>
      </c>
      <c r="J11" s="33">
        <f>'03'!J36</f>
        <v>0.77833333333333321</v>
      </c>
      <c r="K11" s="33">
        <f>'03'!K36</f>
        <v>159.68583333333331</v>
      </c>
      <c r="L11" s="33">
        <f>'03'!L36</f>
        <v>28.959166666666665</v>
      </c>
      <c r="M11" s="33">
        <f>'03'!M36</f>
        <v>40.708749999999995</v>
      </c>
      <c r="N11" s="33">
        <f>'03'!N36</f>
        <v>166.37916666666669</v>
      </c>
      <c r="O11" s="33">
        <f>'03'!O36</f>
        <v>0</v>
      </c>
      <c r="P11" s="30">
        <f>'03'!$P$36</f>
        <v>2.0825000000000005</v>
      </c>
      <c r="Q11" s="33">
        <f>'03'!Q36</f>
        <v>31.763181818181817</v>
      </c>
      <c r="R11" s="47"/>
      <c r="S11" s="47"/>
      <c r="T11" s="47"/>
      <c r="U11" s="47"/>
    </row>
    <row r="12" spans="1:21" s="34" customFormat="1" ht="15">
      <c r="A12" s="36" t="str">
        <f>'04'!$B$2</f>
        <v>04-03-2023 01:00</v>
      </c>
      <c r="B12" s="33">
        <f>'04'!B36</f>
        <v>100.56708333333336</v>
      </c>
      <c r="C12" s="33">
        <f>'04'!C36</f>
        <v>101.53208333333333</v>
      </c>
      <c r="D12" s="33">
        <f>'04'!D36</f>
        <v>135.74791666666667</v>
      </c>
      <c r="E12" s="33">
        <f>'04'!E36</f>
        <v>11.956250000000004</v>
      </c>
      <c r="F12" s="33">
        <f>'04'!F36</f>
        <v>11.819166666666666</v>
      </c>
      <c r="G12" s="33">
        <f>'04'!G36</f>
        <v>139.60208333333333</v>
      </c>
      <c r="H12" s="33">
        <f>'04'!H36</f>
        <v>54.800833333333323</v>
      </c>
      <c r="I12" s="33">
        <f>'04'!I36</f>
        <v>1.3154166666666667</v>
      </c>
      <c r="J12" s="33">
        <f>'04'!J36</f>
        <v>0.55666666666666687</v>
      </c>
      <c r="K12" s="33">
        <f>'04'!K36</f>
        <v>215.80499999999998</v>
      </c>
      <c r="L12" s="33">
        <f>'04'!L36</f>
        <v>28.965416666666659</v>
      </c>
      <c r="M12" s="33">
        <f>'04'!M36</f>
        <v>37.717083333333335</v>
      </c>
      <c r="N12" s="33">
        <f>'04'!N36</f>
        <v>183.65416666666667</v>
      </c>
      <c r="O12" s="33">
        <f>'04'!O36</f>
        <v>0</v>
      </c>
      <c r="P12" s="30">
        <f>'04'!$P$36</f>
        <v>2.5374999999999992</v>
      </c>
      <c r="Q12" s="33">
        <f>'04'!Q36</f>
        <v>32.069166666666668</v>
      </c>
      <c r="R12" s="47"/>
      <c r="S12" s="47"/>
      <c r="T12" s="47"/>
      <c r="U12" s="47"/>
    </row>
    <row r="13" spans="1:21" s="34" customFormat="1" ht="15">
      <c r="A13" s="36" t="str">
        <f>'05'!$B$2</f>
        <v>05-03-2023 01:00</v>
      </c>
      <c r="B13" s="33">
        <f>'05'!B36</f>
        <v>66.077916666666681</v>
      </c>
      <c r="C13" s="33">
        <f>'05'!C36</f>
        <v>114.79875</v>
      </c>
      <c r="D13" s="33">
        <f>'05'!D36</f>
        <v>115.985</v>
      </c>
      <c r="E13" s="33">
        <f>'05'!E36</f>
        <v>6.538333333333334</v>
      </c>
      <c r="F13" s="33">
        <f>'05'!F36</f>
        <v>3.6662500000000002</v>
      </c>
      <c r="G13" s="33">
        <f>'05'!G36</f>
        <v>121.30045454545456</v>
      </c>
      <c r="H13" s="33">
        <f>'05'!H36</f>
        <v>52.812916666666659</v>
      </c>
      <c r="I13" s="33">
        <f>'05'!I36</f>
        <v>1.0487500000000001</v>
      </c>
      <c r="J13" s="33">
        <f>'05'!J36</f>
        <v>0.68458333333333321</v>
      </c>
      <c r="K13" s="33">
        <f>'05'!K36</f>
        <v>194.84916666666663</v>
      </c>
      <c r="L13" s="33">
        <f>'05'!L36</f>
        <v>29.184166666666666</v>
      </c>
      <c r="M13" s="33">
        <f>'05'!M36</f>
        <v>33.469166666666673</v>
      </c>
      <c r="N13" s="33">
        <f>'05'!N36</f>
        <v>172.05833333333331</v>
      </c>
      <c r="O13" s="33">
        <f>'05'!O36</f>
        <v>0</v>
      </c>
      <c r="P13" s="30">
        <f>'05'!$P$36</f>
        <v>2.1825000000000006</v>
      </c>
      <c r="Q13" s="33">
        <f>'05'!Q36</f>
        <v>34.023333333333333</v>
      </c>
      <c r="R13" s="47"/>
      <c r="S13" s="47"/>
      <c r="T13" s="47"/>
      <c r="U13" s="47"/>
    </row>
    <row r="14" spans="1:21" s="34" customFormat="1" ht="15">
      <c r="A14" s="36" t="str">
        <f>'06'!$B$2</f>
        <v>06-03-2023 01:00</v>
      </c>
      <c r="B14" s="33">
        <f>'06'!B36</f>
        <v>47.868749999999999</v>
      </c>
      <c r="C14" s="33">
        <f>'06'!C36</f>
        <v>110.57833333333333</v>
      </c>
      <c r="D14" s="33">
        <f>'06'!D36</f>
        <v>98.895833333333329</v>
      </c>
      <c r="E14" s="33">
        <f>'06'!E36</f>
        <v>7.2304166666666667</v>
      </c>
      <c r="F14" s="33">
        <f>'06'!F36</f>
        <v>4.8533333333333335</v>
      </c>
      <c r="G14" s="33">
        <f>'06'!G36</f>
        <v>116.0865217391304</v>
      </c>
      <c r="H14" s="33">
        <f>'06'!H36</f>
        <v>47.69478260869564</v>
      </c>
      <c r="I14" s="33">
        <f>'06'!I36</f>
        <v>0.90708333333333346</v>
      </c>
      <c r="J14" s="33">
        <f>'06'!J36</f>
        <v>0.69041666666666657</v>
      </c>
      <c r="K14" s="33">
        <f>'06'!K36</f>
        <v>227.75416666666663</v>
      </c>
      <c r="L14" s="33">
        <f>'06'!L36</f>
        <v>29.283333333333331</v>
      </c>
      <c r="M14" s="33">
        <f>'06'!M36</f>
        <v>37.092083333333328</v>
      </c>
      <c r="N14" s="33">
        <f>'06'!N36</f>
        <v>187.44166666666672</v>
      </c>
      <c r="O14" s="33">
        <f>'06'!O36</f>
        <v>0</v>
      </c>
      <c r="P14" s="30">
        <f>'06'!$P$36</f>
        <v>1.9837499999999997</v>
      </c>
      <c r="Q14" s="33">
        <f>'06'!Q36</f>
        <v>31.014583333333338</v>
      </c>
      <c r="R14" s="47"/>
      <c r="S14" s="47"/>
      <c r="T14" s="47"/>
      <c r="U14" s="47"/>
    </row>
    <row r="15" spans="1:21" s="34" customFormat="1" ht="15">
      <c r="A15" s="36" t="str">
        <f>'07'!$B$2</f>
        <v>07-03-2023 01:00</v>
      </c>
      <c r="B15" s="33">
        <f>'07'!B36</f>
        <v>38.237916666666671</v>
      </c>
      <c r="C15" s="33">
        <f>'07'!C36</f>
        <v>107.24166666666663</v>
      </c>
      <c r="D15" s="33">
        <f>'07'!D36</f>
        <v>89.563333333333333</v>
      </c>
      <c r="E15" s="33">
        <f>'07'!E36</f>
        <v>5.8483333333333327</v>
      </c>
      <c r="F15" s="33">
        <f>'07'!F36</f>
        <v>3.6374999999999993</v>
      </c>
      <c r="G15" s="33">
        <f>'07'!G36</f>
        <v>93.782857142857125</v>
      </c>
      <c r="H15" s="33">
        <f>'07'!H36</f>
        <v>42.627142857142857</v>
      </c>
      <c r="I15" s="33">
        <f>'07'!I36</f>
        <v>0.74749999999999972</v>
      </c>
      <c r="J15" s="33">
        <f>'07'!J36</f>
        <v>1.1770833333333335</v>
      </c>
      <c r="K15" s="33">
        <f>'07'!K36</f>
        <v>92.417083333333338</v>
      </c>
      <c r="L15" s="33">
        <f>'07'!L36</f>
        <v>28.774583333333336</v>
      </c>
      <c r="M15" s="33">
        <f>'07'!M36</f>
        <v>36.630833333333335</v>
      </c>
      <c r="N15" s="33">
        <f>'07'!N37</f>
        <v>208.36095074917813</v>
      </c>
      <c r="O15" s="33">
        <f>'07'!O37</f>
        <v>0</v>
      </c>
      <c r="P15" s="30">
        <f>'07'!$P$36</f>
        <v>1.4541666666666666</v>
      </c>
      <c r="Q15" s="33">
        <f>'07'!Q36</f>
        <v>31.587916666666672</v>
      </c>
      <c r="R15" s="47"/>
      <c r="S15" s="47"/>
      <c r="T15" s="47"/>
      <c r="U15" s="47"/>
    </row>
    <row r="16" spans="1:21" s="34" customFormat="1" ht="15">
      <c r="A16" s="36" t="str">
        <f>'08'!$B$2</f>
        <v>08-03-2023 01:00</v>
      </c>
      <c r="B16" s="33">
        <f>'08'!B36</f>
        <v>7.4866666666666655</v>
      </c>
      <c r="C16" s="33">
        <f>'08'!C36</f>
        <v>97.658749999999998</v>
      </c>
      <c r="D16" s="33">
        <f>'08'!D36</f>
        <v>59.520416666666669</v>
      </c>
      <c r="E16" s="33">
        <f>'08'!E36</f>
        <v>4.2379166666666661</v>
      </c>
      <c r="F16" s="33">
        <f>'08'!F36</f>
        <v>3.5620833333333337</v>
      </c>
      <c r="G16" s="33">
        <f>'08'!G36</f>
        <v>50.979583333333345</v>
      </c>
      <c r="H16" s="33">
        <f>'08'!H36</f>
        <v>25.793333333333326</v>
      </c>
      <c r="I16" s="33">
        <f>'08'!I36</f>
        <v>0.60708333333333353</v>
      </c>
      <c r="J16" s="33">
        <f>'08'!J36</f>
        <v>0.57958333333333345</v>
      </c>
      <c r="K16" s="33">
        <f>'08'!K36</f>
        <v>237.82583333333332</v>
      </c>
      <c r="L16" s="33">
        <f>'08'!L36</f>
        <v>27.247083333333332</v>
      </c>
      <c r="M16" s="33">
        <f>'08'!M36</f>
        <v>51.263749999999995</v>
      </c>
      <c r="N16" s="33">
        <f>'08'!N36</f>
        <v>247.96249999999995</v>
      </c>
      <c r="O16" s="33">
        <f>'08'!O36</f>
        <v>0.10833333333333334</v>
      </c>
      <c r="P16" s="30">
        <f>'08'!$P$36</f>
        <v>1.0483333333333331</v>
      </c>
      <c r="Q16" s="33">
        <f>'08'!Q36</f>
        <v>32.471249999999998</v>
      </c>
      <c r="R16" s="47"/>
      <c r="S16" s="47"/>
      <c r="T16" s="47"/>
      <c r="U16" s="47"/>
    </row>
    <row r="17" spans="1:24" s="34" customFormat="1" ht="15">
      <c r="A17" s="36" t="str">
        <f>'09'!$B$2</f>
        <v>09-03-2023 01:00</v>
      </c>
      <c r="B17" s="33">
        <f>'09'!B36</f>
        <v>13.091666666666669</v>
      </c>
      <c r="C17" s="33">
        <f>'09'!C36</f>
        <v>92.978749999999991</v>
      </c>
      <c r="D17" s="33">
        <f>'09'!D36</f>
        <v>61.48416666666666</v>
      </c>
      <c r="E17" s="33">
        <f>'09'!E36</f>
        <v>4.3483333333333336</v>
      </c>
      <c r="F17" s="33">
        <f>'09'!F36</f>
        <v>5.524166666666666</v>
      </c>
      <c r="G17" s="33">
        <f>'09'!G36</f>
        <v>57.77272727272728</v>
      </c>
      <c r="H17" s="33">
        <f>'09'!H36</f>
        <v>26.598636363636363</v>
      </c>
      <c r="I17" s="33">
        <f>'09'!I36</f>
        <v>0.68166666666666664</v>
      </c>
      <c r="J17" s="33">
        <f>'09'!J36</f>
        <v>0.88375000000000004</v>
      </c>
      <c r="K17" s="33">
        <f>'09'!K36</f>
        <v>180.45458333333332</v>
      </c>
      <c r="L17" s="33">
        <f>'09'!L36</f>
        <v>28.802916666666665</v>
      </c>
      <c r="M17" s="33">
        <f>'09'!M36</f>
        <v>40.353749999999984</v>
      </c>
      <c r="N17" s="33">
        <f>'09'!N37</f>
        <v>339.12129459184985</v>
      </c>
      <c r="O17" s="33">
        <f>'09'!O37</f>
        <v>0</v>
      </c>
      <c r="P17" s="30">
        <f>'09'!$P$36</f>
        <v>1.1737499999999998</v>
      </c>
      <c r="Q17" s="33">
        <f>'09'!Q36</f>
        <v>31.456249999999997</v>
      </c>
      <c r="R17" s="47"/>
      <c r="S17" s="47"/>
      <c r="T17" s="47"/>
      <c r="U17" s="47"/>
      <c r="V17" s="35"/>
      <c r="W17" s="35"/>
      <c r="X17" s="35"/>
    </row>
    <row r="18" spans="1:21" s="34" customFormat="1" ht="15">
      <c r="A18" s="36" t="str">
        <f>'10'!$B$2</f>
        <v>10-03-2023 01:00</v>
      </c>
      <c r="B18" s="33">
        <f>'10'!B36</f>
        <v>17.942499999999999</v>
      </c>
      <c r="C18" s="33">
        <f>'10'!C36</f>
        <v>97.34708333333333</v>
      </c>
      <c r="D18" s="33">
        <f>'10'!D36</f>
        <v>67.399583333333325</v>
      </c>
      <c r="E18" s="33">
        <f>'10'!E36</f>
        <v>4.3545833333333333</v>
      </c>
      <c r="F18" s="33">
        <f>'10'!F36</f>
        <v>4.7299999999999995</v>
      </c>
      <c r="G18" s="33">
        <f>'10'!G36</f>
        <v>80.684166666666655</v>
      </c>
      <c r="H18" s="33">
        <f>'10'!H36</f>
        <v>27.102916666666669</v>
      </c>
      <c r="I18" s="33">
        <f>'10'!I36</f>
        <v>0.68666666666666687</v>
      </c>
      <c r="J18" s="33">
        <f>'10'!J36</f>
        <v>0.94916666666666671</v>
      </c>
      <c r="K18" s="33">
        <f>'10'!K36</f>
        <v>99.016249999999971</v>
      </c>
      <c r="L18" s="33">
        <f>'10'!L36</f>
        <v>29.234166666666667</v>
      </c>
      <c r="M18" s="33">
        <f>'10'!M36</f>
        <v>36.111666666666657</v>
      </c>
      <c r="N18" s="33">
        <f>'10'!N36</f>
        <v>258.46666666666664</v>
      </c>
      <c r="O18" s="33">
        <f>'10'!O36</f>
        <v>0</v>
      </c>
      <c r="P18" s="30">
        <f>'10'!$P$36</f>
        <v>1.3633333333333333</v>
      </c>
      <c r="Q18" s="33">
        <f>'10'!Q36</f>
        <v>30.395833333333332</v>
      </c>
      <c r="R18" s="47"/>
      <c r="S18" s="47"/>
      <c r="T18" s="47"/>
      <c r="U18" s="47"/>
    </row>
    <row r="19" spans="1:21" s="34" customFormat="1" ht="15">
      <c r="A19" s="36" t="str">
        <f>'11'!$B$2</f>
        <v>11-03-2023 01:00</v>
      </c>
      <c r="B19" s="33">
        <f>'11'!B36</f>
        <v>28.171250000000001</v>
      </c>
      <c r="C19" s="33">
        <f>'11'!C36</f>
        <v>117.10458333333332</v>
      </c>
      <c r="D19" s="33">
        <f>'11'!D36</f>
        <v>85.807083333333352</v>
      </c>
      <c r="E19" s="33">
        <f>'11'!E36</f>
        <v>4.1008333333333331</v>
      </c>
      <c r="F19" s="33">
        <f>'11'!F36</f>
        <v>3.7050000000000001</v>
      </c>
      <c r="G19" s="33">
        <f>'11'!G36</f>
        <v>98.723749999999981</v>
      </c>
      <c r="H19" s="33">
        <f>'11'!H36</f>
        <v>37.009583333333332</v>
      </c>
      <c r="I19" s="33">
        <f>'11'!I36</f>
        <v>0.83833333333333326</v>
      </c>
      <c r="J19" s="33">
        <f>'11'!J36</f>
        <v>0.51124999999999998</v>
      </c>
      <c r="K19" s="33">
        <f>'11'!K36</f>
        <v>238.77750000000003</v>
      </c>
      <c r="L19" s="33">
        <f>'11'!L36</f>
        <v>28.767083333333336</v>
      </c>
      <c r="M19" s="33">
        <f>'11'!M36</f>
        <v>41.244583333333331</v>
      </c>
      <c r="N19" s="33">
        <f>'11'!N36</f>
        <v>251.52916666666667</v>
      </c>
      <c r="O19" s="33">
        <f>'11'!O36</f>
        <v>0</v>
      </c>
      <c r="P19" s="33">
        <f>'11'!P36</f>
        <v>1.7262500000000005</v>
      </c>
      <c r="Q19" s="33">
        <f>'11'!Q36</f>
        <v>35.753333333333337</v>
      </c>
      <c r="R19" s="47"/>
      <c r="S19" s="47"/>
      <c r="T19" s="47"/>
      <c r="U19" s="47"/>
    </row>
    <row r="20" spans="1:21" s="34" customFormat="1" ht="15">
      <c r="A20" s="36" t="str">
        <f>'12'!$B$2</f>
        <v>12-03-2023 01:00</v>
      </c>
      <c r="B20" s="33">
        <f>'12'!B36</f>
        <v>49.927916666666654</v>
      </c>
      <c r="C20" s="33">
        <f>'12'!C36</f>
        <v>115.99875000000002</v>
      </c>
      <c r="D20" s="33">
        <f>'12'!D36</f>
        <v>102.64208333333335</v>
      </c>
      <c r="E20" s="33">
        <f>'12'!E36</f>
        <v>4.496249999999999</v>
      </c>
      <c r="F20" s="33">
        <f>'12'!F36</f>
        <v>4.1079166666666653</v>
      </c>
      <c r="G20" s="33">
        <f>'12'!G36</f>
        <v>97.833333333333357</v>
      </c>
      <c r="H20" s="33">
        <f>'12'!H36</f>
        <v>37.042083333333345</v>
      </c>
      <c r="I20" s="33">
        <f>'12'!I36</f>
        <v>0.93458333333333332</v>
      </c>
      <c r="J20" s="33">
        <f>'12'!J36</f>
        <v>0.56625000000000003</v>
      </c>
      <c r="K20" s="33">
        <f>'12'!K36</f>
        <v>201.20291666666671</v>
      </c>
      <c r="L20" s="33">
        <f>'12'!L36</f>
        <v>29.212916666666668</v>
      </c>
      <c r="M20" s="33">
        <f>'12'!M36</f>
        <v>38.617083333333333</v>
      </c>
      <c r="N20" s="33">
        <f>'12'!N36</f>
        <v>267.6875</v>
      </c>
      <c r="O20" s="33">
        <f>'12'!O36</f>
        <v>0</v>
      </c>
      <c r="P20" s="33">
        <f>'12'!P36</f>
        <v>1.7741666666666671</v>
      </c>
      <c r="Q20" s="33">
        <f>'12'!Q36</f>
        <v>35.622083333333329</v>
      </c>
      <c r="R20" s="47"/>
      <c r="S20" s="47"/>
      <c r="T20" s="47"/>
      <c r="U20" s="47"/>
    </row>
    <row r="21" spans="1:21" s="34" customFormat="1" ht="15">
      <c r="A21" s="36" t="str">
        <f>'13'!$B$2</f>
        <v>13-03-2023 01:00</v>
      </c>
      <c r="B21" s="33">
        <f>'13'!B36</f>
        <v>53.729999999999997</v>
      </c>
      <c r="C21" s="33">
        <f>'13'!C36</f>
        <v>134.25916666666666</v>
      </c>
      <c r="D21" s="33">
        <f>'13'!D36</f>
        <v>116.30250000000001</v>
      </c>
      <c r="E21" s="33">
        <f>'13'!E36</f>
        <v>14.100454545454546</v>
      </c>
      <c r="F21" s="33">
        <f>'13'!F36</f>
        <v>23.899166666666662</v>
      </c>
      <c r="G21" s="33">
        <f>'13'!G36</f>
        <v>118.50391304347825</v>
      </c>
      <c r="H21" s="33">
        <f>'13'!H36</f>
        <v>42.353478260869565</v>
      </c>
      <c r="I21" s="33">
        <f>'13'!I36</f>
        <v>0.97708333333333364</v>
      </c>
      <c r="J21" s="33">
        <f>'13'!J36</f>
        <v>0.52958333333333341</v>
      </c>
      <c r="K21" s="33">
        <f>'13'!K36</f>
        <v>193.58166666666671</v>
      </c>
      <c r="L21" s="33">
        <f>'13'!L36</f>
        <v>29.405416666666667</v>
      </c>
      <c r="M21" s="33">
        <f>'13'!M36</f>
        <v>36.175000000000004</v>
      </c>
      <c r="N21" s="33">
        <f>'13'!N36</f>
        <v>249.81250000000003</v>
      </c>
      <c r="O21" s="33">
        <f>'13'!O36</f>
        <v>0</v>
      </c>
      <c r="P21" s="33">
        <f>'13'!P36</f>
        <v>1.9437499999999996</v>
      </c>
      <c r="Q21" s="33">
        <f>'13'!Q36</f>
        <v>30.142272727272726</v>
      </c>
      <c r="R21" s="47"/>
      <c r="S21" s="47"/>
      <c r="T21" s="47"/>
      <c r="U21" s="47"/>
    </row>
    <row r="22" spans="1:21" s="34" customFormat="1" ht="15">
      <c r="A22" s="36" t="str">
        <f>'14'!$B$2</f>
        <v>14-03-2023 01:00</v>
      </c>
      <c r="B22" s="30">
        <f>'14'!B36</f>
        <v>50.436086956521748</v>
      </c>
      <c r="C22" s="30">
        <f>'14'!C36</f>
        <v>166.88565217391303</v>
      </c>
      <c r="D22" s="30">
        <f>'14'!D36</f>
        <v>132.50347826086957</v>
      </c>
      <c r="E22" s="30">
        <f>'14'!E36</f>
        <v>18.851739130434783</v>
      </c>
      <c r="F22" s="30">
        <f>'14'!F36</f>
        <v>23.959130434782612</v>
      </c>
      <c r="G22" s="30">
        <f>'14'!G36</f>
        <v>111.35608695652174</v>
      </c>
      <c r="H22" s="30">
        <f>'14'!H36</f>
        <v>43.390434782608686</v>
      </c>
      <c r="I22" s="30">
        <f>'14'!I36</f>
        <v>0.93318181818181822</v>
      </c>
      <c r="J22" s="30">
        <f>'14'!J36</f>
        <v>0.74478260869565249</v>
      </c>
      <c r="K22" s="30">
        <f>'14'!K36</f>
        <v>187.45086956521737</v>
      </c>
      <c r="L22" s="30">
        <f>'14'!L36</f>
        <v>29.109130434782603</v>
      </c>
      <c r="M22" s="30">
        <f>'14'!M36</f>
        <v>33.559130434782617</v>
      </c>
      <c r="N22" s="30">
        <f>'14'!N36</f>
        <v>218.28260869565219</v>
      </c>
      <c r="O22" s="30">
        <f>'14'!O36</f>
        <v>0</v>
      </c>
      <c r="P22" s="30">
        <f>'14'!P36</f>
        <v>1.9534782608695649</v>
      </c>
      <c r="Q22" s="30">
        <f>'14'!Q36</f>
        <v>35.376666666666672</v>
      </c>
      <c r="R22" s="48"/>
      <c r="S22" s="48"/>
      <c r="T22" s="48"/>
      <c r="U22" s="48"/>
    </row>
    <row r="23" spans="1:21" s="34" customFormat="1" ht="15">
      <c r="A23" s="36" t="str">
        <f>'15'!$B$2</f>
        <v>15-03-2023 01:00</v>
      </c>
      <c r="B23" s="33">
        <f>'15'!B36</f>
        <v>20.905833333333334</v>
      </c>
      <c r="C23" s="33">
        <f>'15'!C36</f>
        <v>115.67791666666666</v>
      </c>
      <c r="D23" s="33">
        <f>'15'!D36</f>
        <v>84.873333333333335</v>
      </c>
      <c r="E23" s="33">
        <f>'15'!E36</f>
        <v>8.6870833333333319</v>
      </c>
      <c r="F23" s="33">
        <f>'15'!F36</f>
        <v>21.560000000000002</v>
      </c>
      <c r="G23" s="33">
        <f>'15'!G36</f>
        <v>79.092083333333349</v>
      </c>
      <c r="H23" s="33">
        <f>'15'!H36</f>
        <v>28.967500000000001</v>
      </c>
      <c r="I23" s="33">
        <f>'15'!I36</f>
        <v>0.66583333333333328</v>
      </c>
      <c r="J23" s="33">
        <f>'15'!J36</f>
        <v>0.53166666666666662</v>
      </c>
      <c r="K23" s="33">
        <f>'15'!K36</f>
        <v>245.60333333333327</v>
      </c>
      <c r="L23" s="33">
        <f>'15'!L36</f>
        <v>28.987916666666667</v>
      </c>
      <c r="M23" s="33">
        <f>'15'!M36</f>
        <v>31.703750000000003</v>
      </c>
      <c r="N23" s="33">
        <f>'15'!N36</f>
        <v>236.05833333333331</v>
      </c>
      <c r="O23" s="33">
        <f>'15'!O36</f>
        <v>0</v>
      </c>
      <c r="P23" s="30">
        <f>'15'!P36</f>
        <v>1.2808333333333335</v>
      </c>
      <c r="Q23" s="30">
        <f>'15'!Q36</f>
        <v>36.340833333333329</v>
      </c>
      <c r="R23" s="48"/>
      <c r="S23" s="48"/>
      <c r="T23" s="48"/>
      <c r="U23" s="47"/>
    </row>
    <row r="24" spans="1:21" s="34" customFormat="1" ht="15">
      <c r="A24" s="36" t="str">
        <f>'16'!$B$2</f>
        <v>16-03-2023 01:00</v>
      </c>
      <c r="B24" s="33">
        <f>'16'!B36</f>
        <v>11.695833333333335</v>
      </c>
      <c r="C24" s="33">
        <f>'16'!C36</f>
        <v>70.510000000000005</v>
      </c>
      <c r="D24" s="33">
        <f>'16'!D36</f>
        <v>49.732916666666675</v>
      </c>
      <c r="E24" s="33">
        <f>'16'!E36</f>
        <v>5.1379166666666665</v>
      </c>
      <c r="F24" s="33">
        <f>'16'!F36</f>
        <v>7.0187499999999998</v>
      </c>
      <c r="G24" s="33">
        <f>'16'!G36</f>
        <v>88.224583333333342</v>
      </c>
      <c r="H24" s="33">
        <f>'16'!H36</f>
        <v>29.235833333333336</v>
      </c>
      <c r="I24" s="33">
        <f>'16'!I36</f>
        <v>0.55076923076923079</v>
      </c>
      <c r="J24" s="33">
        <f>'16'!J36</f>
        <v>0.82750000000000012</v>
      </c>
      <c r="K24" s="33">
        <f>'16'!K36</f>
        <v>263.4329166666667</v>
      </c>
      <c r="L24" s="33">
        <f>'16'!L36</f>
        <v>23.648750000000003</v>
      </c>
      <c r="M24" s="33">
        <f>'16'!M36</f>
        <v>44.210416666666674</v>
      </c>
      <c r="N24" s="33">
        <f>'16'!N36</f>
        <v>103.81666666666668</v>
      </c>
      <c r="O24" s="33">
        <f>'16'!O36</f>
        <v>0</v>
      </c>
      <c r="P24" s="30">
        <f>'16'!P36</f>
        <v>1.0579166666666671</v>
      </c>
      <c r="Q24" s="30">
        <f>'16'!Q36</f>
        <v>25.558333333333337</v>
      </c>
      <c r="R24" s="48"/>
      <c r="S24" s="48"/>
      <c r="T24" s="48"/>
      <c r="U24" s="47"/>
    </row>
    <row r="25" spans="1:21" s="34" customFormat="1" ht="15">
      <c r="A25" s="36" t="str">
        <f>'17'!$B$2</f>
        <v>17-03-2023 01:00</v>
      </c>
      <c r="B25" s="33">
        <f>'17'!B36</f>
        <v>5.8929166666666672</v>
      </c>
      <c r="C25" s="33">
        <f>'17'!C36</f>
        <v>57.054166666666681</v>
      </c>
      <c r="D25" s="33">
        <f>'17'!D36</f>
        <v>37.774999999999999</v>
      </c>
      <c r="E25" s="33">
        <f>'17'!E36</f>
        <v>2.7629166666666669</v>
      </c>
      <c r="F25" s="33">
        <f>'17'!F36</f>
        <v>5.5145833333333343</v>
      </c>
      <c r="G25" s="33">
        <f>'17'!G36</f>
        <v>49.898333333333333</v>
      </c>
      <c r="H25" s="33">
        <f>'17'!H36</f>
        <v>22.394166666666667</v>
      </c>
      <c r="I25" s="33">
        <f>'17'!I36</f>
        <v>0.5575</v>
      </c>
      <c r="J25" s="33">
        <f>'17'!J36</f>
        <v>0.79749999999999999</v>
      </c>
      <c r="K25" s="33">
        <f>'17'!K36</f>
        <v>251.98874999999998</v>
      </c>
      <c r="L25" s="33">
        <f>'17'!L36</f>
        <v>23.589583333333334</v>
      </c>
      <c r="M25" s="33">
        <f>'17'!M36</f>
        <v>50.089583333333316</v>
      </c>
      <c r="N25" s="33">
        <f>'17'!N36</f>
        <v>207.60833333333332</v>
      </c>
      <c r="O25" s="33">
        <f>'17'!O36</f>
        <v>0</v>
      </c>
      <c r="P25" s="30">
        <f>'17'!P36</f>
        <v>0.81958333333333344</v>
      </c>
      <c r="Q25" s="30">
        <f>'17'!Q36</f>
        <v>24.411249999999999</v>
      </c>
      <c r="R25" s="48"/>
      <c r="S25" s="48"/>
      <c r="T25" s="48"/>
      <c r="U25" s="47"/>
    </row>
    <row r="26" spans="1:21" s="34" customFormat="1" ht="15">
      <c r="A26" s="36" t="str">
        <f>'18'!$B$2</f>
        <v>18-03-2023 01:00</v>
      </c>
      <c r="B26" s="33">
        <f>'18'!B36</f>
        <v>12.551666666666664</v>
      </c>
      <c r="C26" s="33">
        <f>'18'!C36</f>
        <v>57.990000000000009</v>
      </c>
      <c r="D26" s="33">
        <f>'18'!D36</f>
        <v>43.314166666666665</v>
      </c>
      <c r="E26" s="33">
        <f>'18'!E36</f>
        <v>2.5808333333333335</v>
      </c>
      <c r="F26" s="33">
        <f>'18'!F36</f>
        <v>2.3133333333333326</v>
      </c>
      <c r="G26" s="33">
        <f>'18'!G36</f>
        <v>48.657500000000006</v>
      </c>
      <c r="H26" s="33">
        <f>'18'!H36</f>
        <v>20.005416666666665</v>
      </c>
      <c r="I26" s="33">
        <f>'18'!I36</f>
        <v>0.56208333333333338</v>
      </c>
      <c r="J26" s="33">
        <f>'18'!J36</f>
        <v>1.2449999999999999</v>
      </c>
      <c r="K26" s="33">
        <f>'18'!K36</f>
        <v>191.52750000000003</v>
      </c>
      <c r="L26" s="33">
        <f>'18'!L36</f>
        <v>19.050000000000001</v>
      </c>
      <c r="M26" s="33">
        <f>'18'!M36</f>
        <v>73.937083333333334</v>
      </c>
      <c r="N26" s="33">
        <f>'18'!N36</f>
        <v>114.85000000000004</v>
      </c>
      <c r="O26" s="33">
        <f>'18'!O36</f>
        <v>0.083333333333333329</v>
      </c>
      <c r="P26" s="30">
        <f>'18'!P36</f>
        <v>0.7583333333333333</v>
      </c>
      <c r="Q26" s="30">
        <f>'18'!Q36</f>
        <v>28.178749999999994</v>
      </c>
      <c r="R26" s="48"/>
      <c r="S26" s="48"/>
      <c r="T26" s="48"/>
      <c r="U26" s="47"/>
    </row>
    <row r="27" spans="1:21" s="34" customFormat="1" ht="15">
      <c r="A27" s="36" t="str">
        <f>'19'!$B$2</f>
        <v>19-03-2023 01:00</v>
      </c>
      <c r="B27" s="33">
        <f>'19'!B36</f>
        <v>13.413333333333334</v>
      </c>
      <c r="C27" s="33">
        <f>'19'!C36</f>
        <v>56.596250000000005</v>
      </c>
      <c r="D27" s="33">
        <f>'19'!D36</f>
        <v>43.261249999999997</v>
      </c>
      <c r="E27" s="33">
        <f>'19'!E36</f>
        <v>2.1283333333333334</v>
      </c>
      <c r="F27" s="33">
        <f>'19'!F36</f>
        <v>2.5116666666666663</v>
      </c>
      <c r="G27" s="33">
        <f>'19'!G36</f>
        <v>46.532916666666658</v>
      </c>
      <c r="H27" s="33">
        <f>'19'!H36</f>
        <v>15.964583333333332</v>
      </c>
      <c r="I27" s="33">
        <f>'19'!I36</f>
        <v>0.54916666666666669</v>
      </c>
      <c r="J27" s="33">
        <f>'19'!J36</f>
        <v>0.90125</v>
      </c>
      <c r="K27" s="33">
        <f>'19'!K36</f>
        <v>228.85749999999996</v>
      </c>
      <c r="L27" s="33">
        <f>'19'!L36</f>
        <v>19.076249999999998</v>
      </c>
      <c r="M27" s="33">
        <f>'19'!M36</f>
        <v>77.498749999999987</v>
      </c>
      <c r="N27" s="33">
        <f>'19'!N36</f>
        <v>190.47916666666666</v>
      </c>
      <c r="O27" s="33">
        <f>'19'!O36</f>
        <v>0.15833333333333335</v>
      </c>
      <c r="P27" s="30">
        <f>'19'!P36</f>
        <v>0.71499999999999997</v>
      </c>
      <c r="Q27" s="30">
        <f>'19'!Q36</f>
        <v>32.666666666666671</v>
      </c>
      <c r="R27" s="48"/>
      <c r="S27" s="48"/>
      <c r="T27" s="48"/>
      <c r="U27" s="47"/>
    </row>
    <row r="28" spans="1:21" s="34" customFormat="1" ht="15">
      <c r="A28" s="36" t="str">
        <f>'20'!$B$2</f>
        <v>20-03-2023 01:00</v>
      </c>
      <c r="B28" s="33">
        <f>'20'!B36</f>
        <v>29.289166666666663</v>
      </c>
      <c r="C28" s="33">
        <f>'20'!C36</f>
        <v>58.675416666666671</v>
      </c>
      <c r="D28" s="33">
        <f>'20'!D36</f>
        <v>56.597499999999989</v>
      </c>
      <c r="E28" s="33">
        <f>'20'!E36</f>
        <v>2.7633333333333336</v>
      </c>
      <c r="F28" s="33">
        <f>'20'!F36</f>
        <v>5.922083333333334</v>
      </c>
      <c r="G28" s="33">
        <f>'20'!G36</f>
        <v>54.990454545454547</v>
      </c>
      <c r="H28" s="33">
        <f>'20'!H36</f>
        <v>16.63363636363637</v>
      </c>
      <c r="I28" s="33">
        <f>'20'!I36</f>
        <v>0.58583333333333321</v>
      </c>
      <c r="J28" s="33">
        <f>'20'!J36</f>
        <v>0.37666666666666671</v>
      </c>
      <c r="K28" s="33">
        <f>'20'!K36</f>
        <v>294.17875000000004</v>
      </c>
      <c r="L28" s="33">
        <f>'20'!L36</f>
        <v>21.997916666666665</v>
      </c>
      <c r="M28" s="33">
        <f>'20'!M36</f>
        <v>64.629166666666663</v>
      </c>
      <c r="N28" s="33">
        <f>'20'!N36</f>
        <v>291.23750000000001</v>
      </c>
      <c r="O28" s="33">
        <f>'20'!O36</f>
        <v>0</v>
      </c>
      <c r="P28" s="30">
        <f>'20'!P36</f>
        <v>0.94333333333333325</v>
      </c>
      <c r="Q28" s="30">
        <f>'20'!Q36</f>
        <v>37.540416666666665</v>
      </c>
      <c r="R28" s="48"/>
      <c r="S28" s="48"/>
      <c r="T28" s="48"/>
      <c r="U28" s="47"/>
    </row>
    <row r="29" spans="1:21" s="34" customFormat="1" ht="15">
      <c r="A29" s="36" t="str">
        <f>'21'!$B$2</f>
        <v>21-03-2023 01:00</v>
      </c>
      <c r="B29" s="33">
        <f>'21'!B36</f>
        <v>25.028749999999999</v>
      </c>
      <c r="C29" s="33">
        <f>'21'!C36</f>
        <v>54.177916666666654</v>
      </c>
      <c r="D29" s="33">
        <f>'21'!D36</f>
        <v>51.024166666666673</v>
      </c>
      <c r="E29" s="33">
        <f>'21'!E36</f>
        <v>2.5479166666666666</v>
      </c>
      <c r="F29" s="33">
        <f>'21'!F36</f>
        <v>4.0829166666666659</v>
      </c>
      <c r="G29" s="33">
        <f>'21'!G36</f>
        <v>45.509130434782612</v>
      </c>
      <c r="H29" s="33">
        <f>'21'!H36</f>
        <v>17.323478260869564</v>
      </c>
      <c r="I29" s="33">
        <f>'21'!I36</f>
        <v>0.64124999999999976</v>
      </c>
      <c r="J29" s="33">
        <f>'21'!J36</f>
        <v>1.2004166666666667</v>
      </c>
      <c r="K29" s="33">
        <f>'21'!K36</f>
        <v>211.01625000000001</v>
      </c>
      <c r="L29" s="33">
        <f>'21'!L36</f>
        <v>21.437083333333334</v>
      </c>
      <c r="M29" s="33">
        <f>'21'!M36</f>
        <v>70.966250000000002</v>
      </c>
      <c r="N29" s="33">
        <f>'21'!N36</f>
        <v>238.01249999999996</v>
      </c>
      <c r="O29" s="33">
        <f>'21'!O36</f>
        <v>0.058333333333333327</v>
      </c>
      <c r="P29" s="30">
        <f>'21'!P36</f>
        <v>0.75124999999999986</v>
      </c>
      <c r="Q29" s="30">
        <f>'21'!Q36</f>
        <v>46.293333333333329</v>
      </c>
      <c r="R29" s="48"/>
      <c r="S29" s="48"/>
      <c r="T29" s="48"/>
      <c r="U29" s="47"/>
    </row>
    <row r="30" spans="1:21" s="34" customFormat="1" ht="15">
      <c r="A30" s="36" t="str">
        <f>'22'!$B$2</f>
        <v>22-03-2023 01:00</v>
      </c>
      <c r="B30" s="33">
        <f>'22'!B36</f>
        <v>17.879583333333336</v>
      </c>
      <c r="C30" s="33">
        <f>'22'!C36</f>
        <v>57.745000000000005</v>
      </c>
      <c r="D30" s="33">
        <f>'22'!D36</f>
        <v>46.908750000000005</v>
      </c>
      <c r="E30" s="33">
        <f>'22'!E36</f>
        <v>3.0283333333333342</v>
      </c>
      <c r="F30" s="33">
        <f>'22'!F36</f>
        <v>4.9004166666666658</v>
      </c>
      <c r="G30" s="33">
        <f>'22'!G36</f>
        <v>53.155652173913047</v>
      </c>
      <c r="H30" s="33">
        <f>'22'!H36</f>
        <v>18.953913043478259</v>
      </c>
      <c r="I30" s="33">
        <f>'22'!I36</f>
        <v>0.56999999999999995</v>
      </c>
      <c r="J30" s="33">
        <f>'22'!J36</f>
        <v>1.0754166666666665</v>
      </c>
      <c r="K30" s="33">
        <f>'22'!K36</f>
        <v>205.37083333333331</v>
      </c>
      <c r="L30" s="33">
        <f>'22'!L36</f>
        <v>22.864166666666666</v>
      </c>
      <c r="M30" s="33">
        <f>'22'!M36</f>
        <v>63.184166666666663</v>
      </c>
      <c r="N30" s="33">
        <f>'22'!N36</f>
        <v>241.34583333333327</v>
      </c>
      <c r="O30" s="33">
        <f>'22'!O36</f>
        <v>0</v>
      </c>
      <c r="P30" s="30">
        <f>'22'!P36</f>
        <v>0.67791666666666661</v>
      </c>
      <c r="Q30" s="30">
        <f>'22'!Q36</f>
        <v>48.35916666666666</v>
      </c>
      <c r="R30" s="48"/>
      <c r="S30" s="47"/>
      <c r="T30" s="47"/>
      <c r="U30" s="47"/>
    </row>
    <row r="31" spans="1:21" s="34" customFormat="1" ht="15">
      <c r="A31" s="36" t="str">
        <f>'23'!$B$2</f>
        <v>23-03-2023 01:00</v>
      </c>
      <c r="B31" s="33">
        <f>'23'!B36</f>
        <v>47.383333333333333</v>
      </c>
      <c r="C31" s="33">
        <f>'23'!C36</f>
        <v>74.724999999999994</v>
      </c>
      <c r="D31" s="33">
        <f>'23'!D36</f>
        <v>79.761250000000004</v>
      </c>
      <c r="E31" s="33">
        <f>'23'!E36</f>
        <v>3.0025000000000008</v>
      </c>
      <c r="F31" s="33">
        <f>'23'!F36</f>
        <v>4.6791666666666663</v>
      </c>
      <c r="G31" s="33">
        <f>'23'!G36</f>
        <v>101.36041666666667</v>
      </c>
      <c r="H31" s="33">
        <f>'23'!H36</f>
        <v>31.992916666666659</v>
      </c>
      <c r="I31" s="33">
        <f>'23'!I36</f>
        <v>0.71541666666666648</v>
      </c>
      <c r="J31" s="33">
        <f>'23'!J36</f>
        <v>0.58583333333333332</v>
      </c>
      <c r="K31" s="33">
        <f>'23'!K36</f>
        <v>228.72041666666669</v>
      </c>
      <c r="L31" s="33">
        <f>'23'!L36</f>
        <v>24.712500000000002</v>
      </c>
      <c r="M31" s="33">
        <f>'23'!M36</f>
        <v>58.073333333333331</v>
      </c>
      <c r="N31" s="33">
        <f>'23'!N36</f>
        <v>264.52499999999998</v>
      </c>
      <c r="O31" s="33">
        <f>'23'!O36</f>
        <v>0</v>
      </c>
      <c r="P31" s="33">
        <f>'23'!P36</f>
        <v>1.2949999999999999</v>
      </c>
      <c r="Q31" s="33">
        <f>'23'!Q36</f>
        <v>55.394583333333323</v>
      </c>
      <c r="R31" s="47"/>
      <c r="S31" s="47"/>
      <c r="T31" s="47"/>
      <c r="U31" s="47"/>
    </row>
    <row r="32" spans="1:21" s="34" customFormat="1" ht="15">
      <c r="A32" s="36" t="str">
        <f>'24'!$B$2</f>
        <v>24-03-2023 01:00</v>
      </c>
      <c r="B32" s="33">
        <f>'24'!B36</f>
        <v>41.289090909090902</v>
      </c>
      <c r="C32" s="33">
        <f>'24'!C36</f>
        <v>69.093181818181819</v>
      </c>
      <c r="D32" s="33">
        <f>'24'!D36</f>
        <v>72.028181818181821</v>
      </c>
      <c r="E32" s="33">
        <f>'24'!E36</f>
        <v>2.7674999999999996</v>
      </c>
      <c r="F32" s="33">
        <f>'24'!F36</f>
        <v>6.6963636363636372</v>
      </c>
      <c r="G32" s="33">
        <f>'24'!G36</f>
        <v>82.4077272727273</v>
      </c>
      <c r="H32" s="33">
        <f>'24'!H36</f>
        <v>28.536818181818191</v>
      </c>
      <c r="I32" s="33">
        <f>'24'!I36</f>
        <v>0.76642857142857146</v>
      </c>
      <c r="J32" s="33">
        <f>'24'!J36</f>
        <v>0.46818181818181814</v>
      </c>
      <c r="K32" s="33">
        <f>'24'!K36</f>
        <v>290.50772727272732</v>
      </c>
      <c r="L32" s="33">
        <f>'24'!L36</f>
        <v>25.512272727272727</v>
      </c>
      <c r="M32" s="33">
        <f>'24'!M36</f>
        <v>55.085454545454539</v>
      </c>
      <c r="N32" s="33">
        <f>'24'!N36</f>
        <v>241.17727272727276</v>
      </c>
      <c r="O32" s="33">
        <f>'24'!O36</f>
        <v>0</v>
      </c>
      <c r="P32" s="33">
        <f>'24'!P36</f>
        <v>1.0990909090909093</v>
      </c>
      <c r="Q32" s="33">
        <f>'24'!Q36</f>
        <v>48.158571428571435</v>
      </c>
      <c r="R32" s="47"/>
      <c r="S32" s="47"/>
      <c r="T32" s="47"/>
      <c r="U32" s="47"/>
    </row>
    <row r="33" spans="1:21" s="34" customFormat="1" ht="15">
      <c r="A33" s="36" t="str">
        <f>'25'!$B$2</f>
        <v>25-03-2023 01:00</v>
      </c>
      <c r="B33" s="33">
        <f>'25'!B36</f>
        <v>30.560833333333331</v>
      </c>
      <c r="C33" s="33">
        <f>'25'!C36</f>
        <v>55.563749999999999</v>
      </c>
      <c r="D33" s="33">
        <f>'25'!D36</f>
        <v>56.074999999999996</v>
      </c>
      <c r="E33" s="33">
        <f>'25'!E36</f>
        <v>7.140833333333334</v>
      </c>
      <c r="F33" s="33">
        <f>'25'!F36</f>
        <v>12.033333333333333</v>
      </c>
      <c r="G33" s="33">
        <f>'25'!G36</f>
        <v>76.785833333333343</v>
      </c>
      <c r="H33" s="33">
        <f>'25'!H36</f>
        <v>27.862499999999994</v>
      </c>
      <c r="I33" s="33">
        <f>'25'!I36</f>
        <v>0.59785714285714275</v>
      </c>
      <c r="J33" s="33">
        <f>'25'!J36</f>
        <v>0.62791666666666668</v>
      </c>
      <c r="K33" s="33">
        <f>'25'!K36</f>
        <v>272.81749999999994</v>
      </c>
      <c r="L33" s="33">
        <f>'25'!L36</f>
        <v>27.041666666666661</v>
      </c>
      <c r="M33" s="33">
        <f>'25'!M36</f>
        <v>51.587499999999999</v>
      </c>
      <c r="N33" s="33">
        <f>'25'!N36</f>
        <v>263.17916666666662</v>
      </c>
      <c r="O33" s="33">
        <f>'25'!O36</f>
        <v>0</v>
      </c>
      <c r="P33" s="33">
        <f>'25'!P36</f>
        <v>0.98458333333333359</v>
      </c>
      <c r="Q33" s="33">
        <f>'25'!Q36</f>
        <v>34.320833333333326</v>
      </c>
      <c r="R33" s="47"/>
      <c r="S33" s="47"/>
      <c r="T33" s="47"/>
      <c r="U33" s="47"/>
    </row>
    <row r="34" spans="1:21" s="34" customFormat="1" ht="15">
      <c r="A34" s="36" t="str">
        <f>'26'!$B$2</f>
        <v>26-03-2023 01:00</v>
      </c>
      <c r="B34" s="33">
        <f>'26'!B36</f>
        <v>12.76791666666667</v>
      </c>
      <c r="C34" s="33">
        <f>'26'!C36</f>
        <v>49.579583333333339</v>
      </c>
      <c r="D34" s="33">
        <f>'26'!D36</f>
        <v>38.550833333333337</v>
      </c>
      <c r="E34" s="33">
        <f>'26'!E36</f>
        <v>2.8433333333333333</v>
      </c>
      <c r="F34" s="33">
        <f>'26'!F36</f>
        <v>6.6437500000000007</v>
      </c>
      <c r="G34" s="33">
        <f>'26'!G36</f>
        <v>55.3125</v>
      </c>
      <c r="H34" s="33">
        <f>'26'!H36</f>
        <v>21.396666666666661</v>
      </c>
      <c r="I34" s="33">
        <f>'26'!I36</f>
        <v>0.56999999999999984</v>
      </c>
      <c r="J34" s="33">
        <f>'26'!J36</f>
        <v>1.0116666666666665</v>
      </c>
      <c r="K34" s="33">
        <f>'26'!K36</f>
        <v>250.39875000000004</v>
      </c>
      <c r="L34" s="33">
        <f>'26'!L36</f>
        <v>26.748333333333335</v>
      </c>
      <c r="M34" s="33">
        <f>'26'!M36</f>
        <v>56.440416666666664</v>
      </c>
      <c r="N34" s="33">
        <f>'26'!N36</f>
        <v>253.59583333333339</v>
      </c>
      <c r="O34" s="33">
        <f>'26'!O36</f>
        <v>0</v>
      </c>
      <c r="P34" s="33">
        <f>'26'!P36</f>
        <v>0.71708333333333318</v>
      </c>
      <c r="Q34" s="33">
        <f>'26'!Q36</f>
        <v>46.439583333333339</v>
      </c>
      <c r="R34" s="47"/>
      <c r="S34" s="47"/>
      <c r="T34" s="47"/>
      <c r="U34" s="47"/>
    </row>
    <row r="35" spans="1:21" s="34" customFormat="1" ht="15">
      <c r="A35" s="36" t="str">
        <f>'27'!$B$2</f>
        <v>27-03-2023 01:00</v>
      </c>
      <c r="B35" s="33">
        <f>'27'!B36</f>
        <v>31.877916666666668</v>
      </c>
      <c r="C35" s="33">
        <f>'27'!C36</f>
        <v>50.930833333333332</v>
      </c>
      <c r="D35" s="33">
        <f>'27'!D36</f>
        <v>54.666249999999998</v>
      </c>
      <c r="E35" s="33">
        <f>'27'!E36</f>
        <v>4.2312500000000011</v>
      </c>
      <c r="F35" s="33">
        <f>'27'!F36</f>
        <v>10.192083333333334</v>
      </c>
      <c r="G35" s="33">
        <f>'27'!G36</f>
        <v>46.905909090909091</v>
      </c>
      <c r="H35" s="33">
        <f>'27'!H36</f>
        <v>17.592272727272725</v>
      </c>
      <c r="I35" s="33">
        <f>'27'!I36</f>
        <v>0.64916666666666678</v>
      </c>
      <c r="J35" s="33">
        <f>'27'!J36</f>
        <v>0.77041666666666664</v>
      </c>
      <c r="K35" s="33">
        <f>'27'!K36</f>
        <v>208.94083333333333</v>
      </c>
      <c r="L35" s="33">
        <f>'27'!L36</f>
        <v>25.95291666666667</v>
      </c>
      <c r="M35" s="33">
        <f>'27'!M36</f>
        <v>54.34458333333334</v>
      </c>
      <c r="N35" s="33">
        <f>'27'!N36</f>
        <v>271.48333333333341</v>
      </c>
      <c r="O35" s="33">
        <f>'27'!O36</f>
        <v>0</v>
      </c>
      <c r="P35" s="30">
        <f>'27'!P36</f>
        <v>0.99333333333333329</v>
      </c>
      <c r="Q35" s="33">
        <f>'27'!Q36</f>
        <v>45.112916666666671</v>
      </c>
      <c r="R35" s="47"/>
      <c r="S35" s="47"/>
      <c r="T35" s="47"/>
      <c r="U35" s="47"/>
    </row>
    <row r="36" spans="1:21" s="34" customFormat="1" ht="15">
      <c r="A36" s="36" t="str">
        <f>'28'!$B$2</f>
        <v>28-03-2023 01:00</v>
      </c>
      <c r="B36" s="33">
        <f>'28'!B36</f>
        <v>77.560000000000016</v>
      </c>
      <c r="C36" s="33">
        <f>'28'!C36</f>
        <v>64.155000000000001</v>
      </c>
      <c r="D36" s="33">
        <f>'28'!D36</f>
        <v>98.686666666666682</v>
      </c>
      <c r="E36" s="33">
        <f>'28'!E36</f>
        <v>5.2137500000000001</v>
      </c>
      <c r="F36" s="33">
        <f>'28'!F36</f>
        <v>12.371666666666668</v>
      </c>
      <c r="G36" s="33">
        <f>'28'!G36</f>
        <v>115.99541666666666</v>
      </c>
      <c r="H36" s="33">
        <f>'28'!H36</f>
        <v>45.158750000000005</v>
      </c>
      <c r="I36" s="33">
        <f>'28'!I36</f>
        <v>0.92916666666666659</v>
      </c>
      <c r="J36" s="33">
        <f>'28'!J36</f>
        <v>0.46624999999999989</v>
      </c>
      <c r="K36" s="33">
        <f>'28'!K36</f>
        <v>282.25625000000002</v>
      </c>
      <c r="L36" s="33">
        <f>'28'!L36</f>
        <v>27.30916666666667</v>
      </c>
      <c r="M36" s="33">
        <f>'28'!M36</f>
        <v>41.814166666666658</v>
      </c>
      <c r="N36" s="33">
        <f>'28'!N36</f>
        <v>266.05416666666667</v>
      </c>
      <c r="O36" s="33">
        <f>'28'!O36</f>
        <v>0</v>
      </c>
      <c r="P36" s="30">
        <f>'28'!P36</f>
        <v>1.7683333333333333</v>
      </c>
      <c r="Q36" s="33">
        <f>'28'!Q36</f>
        <v>44.110833333333339</v>
      </c>
      <c r="R36" s="47"/>
      <c r="S36" s="47"/>
      <c r="T36" s="47"/>
      <c r="U36" s="47"/>
    </row>
    <row r="37" spans="1:21" s="34" customFormat="1" ht="15">
      <c r="A37" s="36" t="str">
        <f>'29'!$B$2</f>
        <v>29-03-2023 01:00</v>
      </c>
      <c r="B37" s="33">
        <f>'29'!B36</f>
        <v>62.942500000000003</v>
      </c>
      <c r="C37" s="33">
        <f>'29'!C36</f>
        <v>66.856250000000003</v>
      </c>
      <c r="D37" s="33">
        <f>'29'!D36</f>
        <v>87.729583333333338</v>
      </c>
      <c r="E37" s="33">
        <f>'29'!E36</f>
        <v>6.9054166666666674</v>
      </c>
      <c r="F37" s="33">
        <f>'29'!F36</f>
        <v>10.411666666666667</v>
      </c>
      <c r="G37" s="33">
        <f>'29'!G36</f>
        <v>126.34541666666672</v>
      </c>
      <c r="H37" s="33">
        <f>'29'!H36</f>
        <v>48.910416666666663</v>
      </c>
      <c r="I37" s="33">
        <f>'29'!I36</f>
        <v>0.96416666666666673</v>
      </c>
      <c r="J37" s="33">
        <f>'29'!J36</f>
        <v>0.88916666666666666</v>
      </c>
      <c r="K37" s="33">
        <f>'29'!K36</f>
        <v>220.16791666666668</v>
      </c>
      <c r="L37" s="33">
        <f>'29'!L36</f>
        <v>27.936666666666664</v>
      </c>
      <c r="M37" s="33">
        <f>'29'!M36</f>
        <v>42.460416666666667</v>
      </c>
      <c r="N37" s="33">
        <f>'29'!N36</f>
        <v>258.65416666666675</v>
      </c>
      <c r="O37" s="33">
        <f>'29'!O36</f>
        <v>0</v>
      </c>
      <c r="P37" s="33">
        <f>'29'!P36</f>
        <v>1.7937499999999995</v>
      </c>
      <c r="Q37" s="33">
        <f>'29'!Q36</f>
        <v>48.764999999999993</v>
      </c>
      <c r="R37" s="47"/>
      <c r="S37" s="47"/>
      <c r="T37" s="47"/>
      <c r="U37" s="47"/>
    </row>
    <row r="38" spans="1:21" s="34" customFormat="1" ht="15">
      <c r="A38" s="36" t="str">
        <f>'30'!$B$2</f>
        <v>30-03-2023 01:00</v>
      </c>
      <c r="B38" s="33">
        <f>'30'!B36</f>
        <v>10.063333333333333</v>
      </c>
      <c r="C38" s="33">
        <f>'30'!C36</f>
        <v>44.566249999999997</v>
      </c>
      <c r="D38" s="33">
        <f>'30'!D36</f>
        <v>33.932083333333338</v>
      </c>
      <c r="E38" s="33">
        <f>'30'!E36</f>
        <v>2.830833333333334</v>
      </c>
      <c r="F38" s="33">
        <f>'30'!F36</f>
        <v>14.436250000000003</v>
      </c>
      <c r="G38" s="33">
        <f>'30'!G36</f>
        <v>43.176666666666669</v>
      </c>
      <c r="H38" s="33">
        <f>'30'!H36</f>
        <v>17.425833333333337</v>
      </c>
      <c r="I38" s="33">
        <f>'30'!I36</f>
        <v>0.57583333333333331</v>
      </c>
      <c r="J38" s="33">
        <f>'30'!J36</f>
        <v>1.2845833333333334</v>
      </c>
      <c r="K38" s="33">
        <f>'30'!K36</f>
        <v>217.3808333333333</v>
      </c>
      <c r="L38" s="33">
        <f>'30'!L36</f>
        <v>27.149583333333339</v>
      </c>
      <c r="M38" s="33">
        <f>'30'!M36</f>
        <v>51.655833333333334</v>
      </c>
      <c r="N38" s="33">
        <f>'30'!N36</f>
        <v>264.82083333333338</v>
      </c>
      <c r="O38" s="33">
        <f>'30'!O36</f>
        <v>0.31666666666666665</v>
      </c>
      <c r="P38" s="33">
        <f>'30'!P36</f>
        <v>0.67166666666666675</v>
      </c>
      <c r="Q38" s="33">
        <f>'30'!Q36</f>
        <v>40.00333333333333</v>
      </c>
      <c r="R38" s="47"/>
      <c r="S38" s="47"/>
      <c r="T38" s="47"/>
      <c r="U38" s="47"/>
    </row>
    <row r="39" spans="1:21" s="34" customFormat="1" ht="15">
      <c r="A39" s="36" t="str">
        <f>'31'!$B$2</f>
        <v>31-03-2023 01:00</v>
      </c>
      <c r="B39" s="33">
        <f>'31'!B36</f>
        <v>6.117916666666666</v>
      </c>
      <c r="C39" s="33">
        <f>'31'!C36</f>
        <v>33.58625</v>
      </c>
      <c r="D39" s="33">
        <f>'31'!D36</f>
        <v>24.721249999999998</v>
      </c>
      <c r="E39" s="33">
        <f>'31'!E36</f>
        <v>2.5870833333333336</v>
      </c>
      <c r="F39" s="33">
        <f>'31'!F36</f>
        <v>9.4574999999999978</v>
      </c>
      <c r="G39" s="33">
        <f>'31'!G36</f>
        <v>41.560416666666661</v>
      </c>
      <c r="H39" s="33">
        <f>'31'!H36</f>
        <v>16.620833333333334</v>
      </c>
      <c r="I39" s="33">
        <f>'31'!I36</f>
        <v>0.53583333333333327</v>
      </c>
      <c r="J39" s="33">
        <f>'31'!J36</f>
        <v>1.4045833333333333</v>
      </c>
      <c r="K39" s="33">
        <f>'31'!K36</f>
        <v>191.17416666666668</v>
      </c>
      <c r="L39" s="33">
        <f>'31'!L36</f>
        <v>24.797083333333333</v>
      </c>
      <c r="M39" s="33">
        <f>'31'!M36</f>
        <v>62.817500000000003</v>
      </c>
      <c r="N39" s="33">
        <f>'31'!N36</f>
        <v>267.62083333333328</v>
      </c>
      <c r="O39" s="33">
        <f>'31'!O36</f>
        <v>0</v>
      </c>
      <c r="P39" s="33">
        <f>'31'!P36</f>
        <v>0.65125</v>
      </c>
      <c r="Q39" s="33">
        <f>'31'!Q36</f>
        <v>35.46458333333333</v>
      </c>
      <c r="R39" s="47"/>
      <c r="S39" s="47"/>
      <c r="T39" s="47"/>
      <c r="U39" s="47"/>
    </row>
    <row r="40" spans="1:21" s="34" customFormat="1" ht="15">
      <c r="A40" s="36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47"/>
      <c r="S40" s="47"/>
      <c r="T40" s="47"/>
      <c r="U40" s="47"/>
    </row>
    <row r="41" spans="1:21" s="21" customFormat="1" ht="15">
      <c r="A41" s="14" t="s">
        <v>30</v>
      </c>
      <c r="B41" s="15">
        <f t="shared" si="0" ref="B41:Q41">MIN(B9:B38)</f>
        <v>5.8929166666666672</v>
      </c>
      <c r="C41" s="15">
        <f t="shared" si="0"/>
        <v>44.566249999999997</v>
      </c>
      <c r="D41" s="15">
        <f t="shared" si="0"/>
        <v>33.932083333333338</v>
      </c>
      <c r="E41" s="15">
        <f t="shared" si="0"/>
        <v>2.1283333333333334</v>
      </c>
      <c r="F41" s="15">
        <f t="shared" si="0"/>
        <v>2.3133333333333326</v>
      </c>
      <c r="G41" s="15">
        <f t="shared" si="0"/>
        <v>43.176666666666669</v>
      </c>
      <c r="H41" s="15">
        <f t="shared" si="0"/>
        <v>15.964583333333332</v>
      </c>
      <c r="I41" s="15">
        <f t="shared" si="0"/>
        <v>0.54916666666666669</v>
      </c>
      <c r="J41" s="15">
        <f t="shared" si="0"/>
        <v>0.37666666666666671</v>
      </c>
      <c r="K41" s="15">
        <f t="shared" si="0"/>
        <v>92.417083333333338</v>
      </c>
      <c r="L41" s="15">
        <f t="shared" si="0"/>
        <v>19.050000000000001</v>
      </c>
      <c r="M41" s="15">
        <f t="shared" si="0"/>
        <v>31.703750000000003</v>
      </c>
      <c r="N41" s="15">
        <f t="shared" si="0"/>
        <v>103.81666666666668</v>
      </c>
      <c r="O41" s="15">
        <f t="shared" si="0"/>
        <v>0</v>
      </c>
      <c r="P41" s="15">
        <f t="shared" si="0"/>
        <v>0.67166666666666675</v>
      </c>
      <c r="Q41" s="15">
        <f t="shared" si="0"/>
        <v>24.411249999999999</v>
      </c>
      <c r="R41" s="28"/>
      <c r="S41" s="28"/>
      <c r="T41" s="28"/>
      <c r="U41" s="28"/>
    </row>
    <row r="42" spans="1:21" s="21" customFormat="1" ht="15">
      <c r="A42" s="14" t="s">
        <v>31</v>
      </c>
      <c r="B42" s="15">
        <f t="shared" si="1" ref="B42:Q42">MAX(B9:B38)</f>
        <v>100.56708333333336</v>
      </c>
      <c r="C42" s="15">
        <f t="shared" si="1"/>
        <v>166.88565217391303</v>
      </c>
      <c r="D42" s="15">
        <f t="shared" si="1"/>
        <v>135.74791666666667</v>
      </c>
      <c r="E42" s="15">
        <f t="shared" si="1"/>
        <v>18.851739130434783</v>
      </c>
      <c r="F42" s="15">
        <f t="shared" si="1"/>
        <v>23.959130434782612</v>
      </c>
      <c r="G42" s="15">
        <f t="shared" si="1"/>
        <v>142.06125000000003</v>
      </c>
      <c r="H42" s="15">
        <f t="shared" si="1"/>
        <v>66.828333333333347</v>
      </c>
      <c r="I42" s="15">
        <f t="shared" si="1"/>
        <v>1.3154166666666667</v>
      </c>
      <c r="J42" s="15">
        <f t="shared" si="1"/>
        <v>1.2845833333333334</v>
      </c>
      <c r="K42" s="15">
        <f t="shared" si="1"/>
        <v>294.17875000000004</v>
      </c>
      <c r="L42" s="15">
        <f t="shared" si="1"/>
        <v>29.405416666666667</v>
      </c>
      <c r="M42" s="15">
        <f t="shared" si="1"/>
        <v>77.498749999999987</v>
      </c>
      <c r="N42" s="15">
        <f t="shared" si="1"/>
        <v>339.12129459184985</v>
      </c>
      <c r="O42" s="15">
        <f t="shared" si="1"/>
        <v>0.31666666666666665</v>
      </c>
      <c r="P42" s="15">
        <f t="shared" si="1"/>
        <v>2.5374999999999992</v>
      </c>
      <c r="Q42" s="15">
        <f t="shared" si="1"/>
        <v>55.394583333333323</v>
      </c>
      <c r="R42" s="28"/>
      <c r="S42" s="28"/>
      <c r="T42" s="28"/>
      <c r="U42" s="28"/>
    </row>
    <row r="43" spans="1:21" s="21" customFormat="1" ht="15">
      <c r="A43" s="14" t="s">
        <v>32</v>
      </c>
      <c r="B43" s="15">
        <f t="shared" si="2" ref="B43:Q43">AVERAGE(B9:B38)</f>
        <v>36.379394817742643</v>
      </c>
      <c r="C43" s="15">
        <f t="shared" si="2"/>
        <v>87.029044466403136</v>
      </c>
      <c r="D43" s="15">
        <f t="shared" si="2"/>
        <v>77.403305335968369</v>
      </c>
      <c r="E43" s="15">
        <f t="shared" si="2"/>
        <v>6.2533925669740889</v>
      </c>
      <c r="F43" s="15">
        <f t="shared" si="2"/>
        <v>8.8438359134826552</v>
      </c>
      <c r="G43" s="15">
        <f t="shared" si="2"/>
        <v>87.023878121274862</v>
      </c>
      <c r="H43" s="15">
        <f t="shared" si="2"/>
        <v>34.489245506305288</v>
      </c>
      <c r="I43" s="15">
        <f t="shared" si="2"/>
        <v>0.7667745587745588</v>
      </c>
      <c r="J43" s="15">
        <f t="shared" si="2"/>
        <v>0.75912659200702681</v>
      </c>
      <c r="K43" s="15">
        <f t="shared" si="2"/>
        <v>217.92331433904263</v>
      </c>
      <c r="L43" s="15">
        <f t="shared" si="2"/>
        <v>26.583560660957396</v>
      </c>
      <c r="M43" s="15">
        <f t="shared" si="2"/>
        <v>47.915097277118996</v>
      </c>
      <c r="N43" s="15">
        <f t="shared" si="2"/>
        <v>225.13279311435397</v>
      </c>
      <c r="O43" s="15">
        <f t="shared" si="2"/>
        <v>0.024166666666666666</v>
      </c>
      <c r="P43" s="15">
        <f t="shared" si="2"/>
        <v>1.3853773056653493</v>
      </c>
      <c r="Q43" s="15">
        <f t="shared" si="2"/>
        <v>36.600898088023087</v>
      </c>
      <c r="R43" s="28"/>
      <c r="S43" s="28"/>
      <c r="T43" s="28"/>
      <c r="U43" s="28"/>
    </row>
    <row r="44" spans="1:21" s="21" customFormat="1" ht="15">
      <c r="A44" s="14" t="s">
        <v>38</v>
      </c>
      <c r="B44" s="15">
        <f t="shared" si="3" ref="B44:Q44">STDEV(B9:B38)</f>
        <v>23.739115044231951</v>
      </c>
      <c r="C44" s="15">
        <f t="shared" si="3"/>
        <v>31.50717316293516</v>
      </c>
      <c r="D44" s="15">
        <f t="shared" si="3"/>
        <v>29.890082008457941</v>
      </c>
      <c r="E44" s="15">
        <f t="shared" si="3"/>
        <v>4.267202874164111</v>
      </c>
      <c r="F44" s="15">
        <f t="shared" si="3"/>
        <v>6.2088342005059056</v>
      </c>
      <c r="G44" s="15">
        <f t="shared" si="3"/>
        <v>33.23366711984081</v>
      </c>
      <c r="H44" s="15">
        <f t="shared" si="3"/>
        <v>15.061353441999715</v>
      </c>
      <c r="I44" s="15">
        <f t="shared" si="3"/>
        <v>0.19707593181186361</v>
      </c>
      <c r="J44" s="15">
        <f t="shared" si="3"/>
        <v>0.25574738392933982</v>
      </c>
      <c r="K44" s="15">
        <f t="shared" si="3"/>
        <v>46.436188657906825</v>
      </c>
      <c r="L44" s="15">
        <f t="shared" si="3"/>
        <v>3.1293519082016994</v>
      </c>
      <c r="M44" s="15">
        <f t="shared" si="3"/>
        <v>12.560428251780106</v>
      </c>
      <c r="N44" s="15">
        <f t="shared" si="3"/>
        <v>53.613737217520061</v>
      </c>
      <c r="O44" s="15">
        <f t="shared" si="3"/>
        <v>0.066930154593200605</v>
      </c>
      <c r="P44" s="15">
        <f t="shared" si="3"/>
        <v>0.54770905269874526</v>
      </c>
      <c r="Q44" s="15">
        <f t="shared" si="3"/>
        <v>7.7477804950939468</v>
      </c>
      <c r="R44" s="28"/>
      <c r="S44" s="28"/>
      <c r="T44" s="28"/>
      <c r="U44" s="28"/>
    </row>
    <row r="45" spans="1:21" s="21" customFormat="1" ht="15">
      <c r="A45" s="14" t="s">
        <v>33</v>
      </c>
      <c r="B45" s="12">
        <f>COUNT(B9:B39)</f>
        <v>31</v>
      </c>
      <c r="C45" s="12">
        <f t="shared" si="4" ref="C45:Q45">COUNT(C9:C39)</f>
        <v>31</v>
      </c>
      <c r="D45" s="12">
        <f t="shared" si="4"/>
        <v>31</v>
      </c>
      <c r="E45" s="12">
        <f t="shared" si="4"/>
        <v>31</v>
      </c>
      <c r="F45" s="12">
        <f t="shared" si="4"/>
        <v>31</v>
      </c>
      <c r="G45" s="12">
        <f t="shared" si="4"/>
        <v>31</v>
      </c>
      <c r="H45" s="12">
        <f t="shared" si="4"/>
        <v>31</v>
      </c>
      <c r="I45" s="12">
        <f t="shared" si="4"/>
        <v>31</v>
      </c>
      <c r="J45" s="12">
        <f t="shared" si="4"/>
        <v>31</v>
      </c>
      <c r="K45" s="12">
        <f t="shared" si="4"/>
        <v>31</v>
      </c>
      <c r="L45" s="12">
        <f t="shared" si="4"/>
        <v>31</v>
      </c>
      <c r="M45" s="12">
        <f t="shared" si="4"/>
        <v>31</v>
      </c>
      <c r="N45" s="12">
        <f t="shared" si="4"/>
        <v>31</v>
      </c>
      <c r="O45" s="12">
        <f t="shared" si="4"/>
        <v>31</v>
      </c>
      <c r="P45" s="12">
        <f t="shared" si="4"/>
        <v>31</v>
      </c>
      <c r="Q45" s="12">
        <f t="shared" si="4"/>
        <v>31</v>
      </c>
      <c r="R45" s="29"/>
      <c r="S45" s="29"/>
      <c r="T45" s="29"/>
      <c r="U45" s="29"/>
    </row>
    <row r="46" spans="1:21" s="21" customFormat="1" ht="15">
      <c r="A46" s="14" t="s">
        <v>34</v>
      </c>
      <c r="B46" s="12" t="str">
        <f>IF(B45&gt;=28,"&gt;90%",IF(B45&lt;=28,"&lt;90%"))</f>
        <v>&gt;90%</v>
      </c>
      <c r="C46" s="12" t="str">
        <f t="shared" si="5" ref="C46:Q46">IF(C45&gt;=28,"&gt;90%",IF(C45&lt;=28,"&lt;90%"))</f>
        <v>&gt;90%</v>
      </c>
      <c r="D46" s="12" t="str">
        <f t="shared" si="5"/>
        <v>&gt;90%</v>
      </c>
      <c r="E46" s="12" t="str">
        <f t="shared" si="5"/>
        <v>&gt;90%</v>
      </c>
      <c r="F46" s="12" t="str">
        <f t="shared" si="5"/>
        <v>&gt;90%</v>
      </c>
      <c r="G46" s="12" t="str">
        <f t="shared" si="5"/>
        <v>&gt;90%</v>
      </c>
      <c r="H46" s="12" t="str">
        <f t="shared" si="5"/>
        <v>&gt;90%</v>
      </c>
      <c r="I46" s="12" t="str">
        <f t="shared" si="5"/>
        <v>&gt;90%</v>
      </c>
      <c r="J46" s="12" t="str">
        <f t="shared" si="5"/>
        <v>&gt;90%</v>
      </c>
      <c r="K46" s="12" t="str">
        <f t="shared" si="5"/>
        <v>&gt;90%</v>
      </c>
      <c r="L46" s="12" t="str">
        <f t="shared" si="5"/>
        <v>&gt;90%</v>
      </c>
      <c r="M46" s="12" t="str">
        <f t="shared" si="5"/>
        <v>&gt;90%</v>
      </c>
      <c r="N46" s="12" t="str">
        <f t="shared" si="5"/>
        <v>&gt;90%</v>
      </c>
      <c r="O46" s="12" t="str">
        <f t="shared" si="5"/>
        <v>&gt;90%</v>
      </c>
      <c r="P46" s="12" t="str">
        <f t="shared" si="5"/>
        <v>&gt;90%</v>
      </c>
      <c r="Q46" s="12" t="str">
        <f t="shared" si="5"/>
        <v>&gt;90%</v>
      </c>
      <c r="R46" s="29"/>
      <c r="S46" s="29"/>
      <c r="T46" s="29"/>
      <c r="U46" s="29"/>
    </row>
    <row r="47" spans="1:21" s="21" customFormat="1" ht="15">
      <c r="A47" s="14" t="s">
        <v>1</v>
      </c>
      <c r="B47" s="12" t="str">
        <f>IF(B45&gt;=28,"OK",IF(B45&lt;=28,"LESS"))</f>
        <v>OK</v>
      </c>
      <c r="C47" s="12" t="str">
        <f t="shared" si="6" ref="C47:Q47">IF(C45&gt;=28,"OK",IF(C45&lt;=28,"LESS"))</f>
        <v>OK</v>
      </c>
      <c r="D47" s="12" t="str">
        <f t="shared" si="6"/>
        <v>OK</v>
      </c>
      <c r="E47" s="12" t="str">
        <f t="shared" si="6"/>
        <v>OK</v>
      </c>
      <c r="F47" s="12" t="str">
        <f t="shared" si="6"/>
        <v>OK</v>
      </c>
      <c r="G47" s="12" t="str">
        <f t="shared" si="6"/>
        <v>OK</v>
      </c>
      <c r="H47" s="12" t="str">
        <f t="shared" si="6"/>
        <v>OK</v>
      </c>
      <c r="I47" s="12" t="str">
        <f t="shared" si="6"/>
        <v>OK</v>
      </c>
      <c r="J47" s="12" t="str">
        <f t="shared" si="6"/>
        <v>OK</v>
      </c>
      <c r="K47" s="12" t="str">
        <f t="shared" si="6"/>
        <v>OK</v>
      </c>
      <c r="L47" s="12" t="str">
        <f t="shared" si="6"/>
        <v>OK</v>
      </c>
      <c r="M47" s="12" t="str">
        <f t="shared" si="6"/>
        <v>OK</v>
      </c>
      <c r="N47" s="12" t="str">
        <f t="shared" si="6"/>
        <v>OK</v>
      </c>
      <c r="O47" s="12" t="str">
        <f t="shared" si="6"/>
        <v>OK</v>
      </c>
      <c r="P47" s="12" t="str">
        <f t="shared" si="6"/>
        <v>OK</v>
      </c>
      <c r="Q47" s="12" t="str">
        <f t="shared" si="6"/>
        <v>OK</v>
      </c>
      <c r="R47" s="29"/>
      <c r="S47" s="29"/>
      <c r="T47" s="29"/>
      <c r="U47" s="29"/>
    </row>
    <row r="48" spans="2:20" ht="1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</row>
    <row r="50" spans="1:16" ht="15">
      <c r="A50" s="14" t="s">
        <v>35</v>
      </c>
      <c r="B50" s="40" t="s">
        <v>61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15">
      <c r="A51" s="13"/>
      <c r="B51" s="21"/>
      <c r="C51" s="21"/>
      <c r="D51" s="1"/>
      <c r="E51" s="1"/>
      <c r="F51" s="1"/>
      <c r="G51" s="1"/>
      <c r="H51" s="1"/>
      <c r="I51" s="1"/>
      <c r="J51" s="21"/>
      <c r="K51" s="21"/>
      <c r="L51" s="21"/>
      <c r="M51" s="21"/>
      <c r="N51" s="21"/>
      <c r="O51" s="21"/>
      <c r="P51" s="21"/>
    </row>
    <row r="52" spans="1:16" ht="15.75">
      <c r="A52" s="17" t="s">
        <v>36</v>
      </c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</row>
    <row r="53" spans="1:16" ht="1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ht="15">
      <c r="A55" s="13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</sheetData>
  <sheetProtection/>
  <mergeCells count="1">
    <mergeCell ref="B52:P52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Template/>
  <Manager/>
  <Company>wbpcb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2018-07-30T12:51:54Z</cp:lastPrinted>
  <dcterms:created xsi:type="dcterms:W3CDTF">2013-08-23T16:44:31Z</dcterms:created>
  <dcterms:modified xsi:type="dcterms:W3CDTF">2023-04-01T15:58:36Z</dcterms:modified>
  <cp:category/>
</cp:coreProperties>
</file>