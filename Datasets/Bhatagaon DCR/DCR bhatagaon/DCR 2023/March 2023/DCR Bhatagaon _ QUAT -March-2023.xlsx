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0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0" l="1"/>
  <c r="I111" i="40"/>
  <c r="J110" i="33"/>
  <c r="J112" i="33" s="1"/>
  <c r="H110" i="33"/>
  <c r="H112" i="33" s="1"/>
  <c r="G110" i="33"/>
  <c r="G112" i="33"/>
  <c r="I110" i="32"/>
  <c r="I112" i="32"/>
  <c r="H110" i="32"/>
  <c r="H111" i="32" s="1"/>
  <c r="G110" i="32"/>
  <c r="G111" i="32" s="1"/>
  <c r="H110" i="31"/>
  <c r="H111" i="31"/>
  <c r="I110" i="31"/>
  <c r="I111" i="31"/>
  <c r="J110" i="31"/>
  <c r="J111" i="31" s="1"/>
  <c r="K110" i="31"/>
  <c r="L110" i="31"/>
  <c r="M110" i="31"/>
  <c r="N110" i="31"/>
  <c r="O110" i="31"/>
  <c r="P110" i="31"/>
  <c r="Q110" i="31"/>
  <c r="G110" i="31"/>
  <c r="G111" i="31" s="1"/>
  <c r="I110" i="30"/>
  <c r="I112" i="30"/>
  <c r="E110" i="29"/>
  <c r="E111" i="29" s="1"/>
  <c r="I110" i="29"/>
  <c r="I112" i="29"/>
  <c r="Q110" i="29"/>
  <c r="Q112" i="29" s="1"/>
  <c r="P110" i="29"/>
  <c r="P111" i="29"/>
  <c r="O110" i="29"/>
  <c r="O111" i="29" s="1"/>
  <c r="K110" i="29"/>
  <c r="L110" i="29"/>
  <c r="L112" i="29" s="1"/>
  <c r="M110" i="29"/>
  <c r="N110" i="29"/>
  <c r="J110" i="29"/>
  <c r="J111" i="29"/>
  <c r="G110" i="29"/>
  <c r="H110" i="29"/>
  <c r="H112" i="29"/>
  <c r="F110" i="29"/>
  <c r="F112" i="29" s="1"/>
  <c r="C110" i="29"/>
  <c r="D110" i="29"/>
  <c r="D112" i="29"/>
  <c r="B110" i="29"/>
  <c r="B111" i="29"/>
  <c r="J110" i="28"/>
  <c r="J112" i="28" s="1"/>
  <c r="I110" i="27"/>
  <c r="I112" i="27" s="1"/>
  <c r="H110" i="27"/>
  <c r="H111" i="27"/>
  <c r="G110" i="27"/>
  <c r="G111" i="27"/>
  <c r="C110" i="26"/>
  <c r="C111" i="26" s="1"/>
  <c r="D110" i="26"/>
  <c r="D112" i="26" s="1"/>
  <c r="E110" i="26"/>
  <c r="F110" i="26"/>
  <c r="G110" i="26"/>
  <c r="G112" i="26"/>
  <c r="H110" i="26"/>
  <c r="I110" i="26"/>
  <c r="J110" i="26"/>
  <c r="K110" i="26"/>
  <c r="L110" i="26"/>
  <c r="M110" i="26"/>
  <c r="N110" i="26"/>
  <c r="O110" i="26"/>
  <c r="P110" i="26"/>
  <c r="Q110" i="26"/>
  <c r="B110" i="26"/>
  <c r="B112" i="26" s="1"/>
  <c r="H110" i="25"/>
  <c r="H111" i="25"/>
  <c r="G110" i="25"/>
  <c r="G111" i="25"/>
  <c r="C110" i="25"/>
  <c r="C112" i="25" s="1"/>
  <c r="D110" i="25"/>
  <c r="D111" i="25" s="1"/>
  <c r="E110" i="25"/>
  <c r="F110" i="25"/>
  <c r="I110" i="25"/>
  <c r="J110" i="25"/>
  <c r="K110" i="25"/>
  <c r="L110" i="25"/>
  <c r="M110" i="25"/>
  <c r="N110" i="25"/>
  <c r="O110" i="25"/>
  <c r="P110" i="25"/>
  <c r="Q110" i="25"/>
  <c r="B110" i="25"/>
  <c r="B112" i="25"/>
  <c r="H110" i="22"/>
  <c r="H111" i="22" s="1"/>
  <c r="G110" i="22"/>
  <c r="G112" i="22"/>
  <c r="I110" i="21"/>
  <c r="I111" i="21" s="1"/>
  <c r="I110" i="20"/>
  <c r="I112" i="20" s="1"/>
  <c r="Q110" i="19"/>
  <c r="Q112" i="19" s="1"/>
  <c r="P110" i="19"/>
  <c r="P111" i="19"/>
  <c r="K110" i="19"/>
  <c r="K111" i="19" s="1"/>
  <c r="L110" i="19"/>
  <c r="L111" i="19"/>
  <c r="M110" i="19"/>
  <c r="N110" i="19"/>
  <c r="O110" i="19"/>
  <c r="J110" i="19"/>
  <c r="J112" i="19"/>
  <c r="I110" i="19"/>
  <c r="I111" i="19"/>
  <c r="H110" i="19"/>
  <c r="H112" i="19" s="1"/>
  <c r="G110" i="19"/>
  <c r="G112" i="19"/>
  <c r="F110" i="19"/>
  <c r="F112" i="19"/>
  <c r="E110" i="19"/>
  <c r="E111" i="19"/>
  <c r="C110" i="19"/>
  <c r="C112" i="19" s="1"/>
  <c r="D110" i="19"/>
  <c r="D112" i="19" s="1"/>
  <c r="B110" i="19"/>
  <c r="B111" i="19"/>
  <c r="J110" i="18"/>
  <c r="I110" i="18"/>
  <c r="I111" i="18" s="1"/>
  <c r="H110" i="18"/>
  <c r="G110" i="18"/>
  <c r="G112" i="18"/>
  <c r="Q110" i="17"/>
  <c r="Q112" i="17"/>
  <c r="Q110" i="16"/>
  <c r="Q112" i="16"/>
  <c r="Q110" i="15"/>
  <c r="Q111" i="15" s="1"/>
  <c r="H110" i="14"/>
  <c r="H111" i="14" s="1"/>
  <c r="G110" i="14"/>
  <c r="G112" i="14"/>
  <c r="Q110" i="14"/>
  <c r="I110" i="14"/>
  <c r="I111" i="14" s="1"/>
  <c r="I110" i="13"/>
  <c r="I111" i="13" s="1"/>
  <c r="F110" i="12"/>
  <c r="F111" i="12"/>
  <c r="I110" i="12"/>
  <c r="I112" i="12" s="1"/>
  <c r="C110" i="11"/>
  <c r="C111" i="11"/>
  <c r="D110" i="11"/>
  <c r="D111" i="11" s="1"/>
  <c r="B110" i="11"/>
  <c r="B111" i="11"/>
  <c r="I110" i="11"/>
  <c r="I111" i="11" s="1"/>
  <c r="H110" i="11"/>
  <c r="H111" i="11" s="1"/>
  <c r="G110" i="11"/>
  <c r="G112" i="11" s="1"/>
  <c r="G110" i="10"/>
  <c r="G111" i="10"/>
  <c r="P110" i="8"/>
  <c r="P111" i="8" s="1"/>
  <c r="H110" i="8"/>
  <c r="H111" i="8"/>
  <c r="G110" i="8"/>
  <c r="G112" i="8" s="1"/>
  <c r="C110" i="8"/>
  <c r="C111" i="8"/>
  <c r="D110" i="8"/>
  <c r="D111" i="8" s="1"/>
  <c r="E110" i="8"/>
  <c r="F110" i="8"/>
  <c r="I110" i="8"/>
  <c r="J110" i="8"/>
  <c r="K110" i="8"/>
  <c r="L110" i="8"/>
  <c r="M110" i="8"/>
  <c r="N110" i="8"/>
  <c r="O110" i="8"/>
  <c r="Q110" i="8"/>
  <c r="B110" i="8"/>
  <c r="B112" i="8" s="1"/>
  <c r="I110" i="3"/>
  <c r="I112" i="3"/>
  <c r="I110" i="2"/>
  <c r="I111" i="2" s="1"/>
  <c r="I110" i="41"/>
  <c r="I111" i="41" s="1"/>
  <c r="I110" i="44"/>
  <c r="I112" i="44" s="1"/>
  <c r="H39" i="39"/>
  <c r="Q110" i="44"/>
  <c r="Q111" i="44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/>
  <c r="J110" i="44"/>
  <c r="J111" i="44" s="1"/>
  <c r="H110" i="44"/>
  <c r="H112" i="44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9" i="39" s="1"/>
  <c r="P108" i="44"/>
  <c r="P39" i="39"/>
  <c r="O108" i="44"/>
  <c r="O39" i="39" s="1"/>
  <c r="N108" i="44"/>
  <c r="N39" i="39" s="1"/>
  <c r="M108" i="44"/>
  <c r="M39" i="39" s="1"/>
  <c r="L108" i="44"/>
  <c r="L39" i="39" s="1"/>
  <c r="K108" i="44"/>
  <c r="K39" i="39"/>
  <c r="J108" i="44"/>
  <c r="J39" i="39"/>
  <c r="I108" i="44"/>
  <c r="I39" i="39"/>
  <c r="H108" i="44"/>
  <c r="G108" i="44"/>
  <c r="G39" i="39"/>
  <c r="F108" i="44"/>
  <c r="F39" i="39" s="1"/>
  <c r="E108" i="44"/>
  <c r="E39" i="39" s="1"/>
  <c r="D108" i="44"/>
  <c r="D39" i="39" s="1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J110" i="41"/>
  <c r="J112" i="41" s="1"/>
  <c r="H110" i="41"/>
  <c r="H112" i="41"/>
  <c r="J110" i="40"/>
  <c r="J111" i="40"/>
  <c r="H110" i="40"/>
  <c r="H111" i="40" s="1"/>
  <c r="I110" i="33"/>
  <c r="I112" i="33"/>
  <c r="J110" i="32"/>
  <c r="J111" i="32"/>
  <c r="Q112" i="31"/>
  <c r="J110" i="30"/>
  <c r="J112" i="30" s="1"/>
  <c r="H110" i="30"/>
  <c r="H112" i="30" s="1"/>
  <c r="I110" i="28"/>
  <c r="I112" i="28"/>
  <c r="H110" i="28"/>
  <c r="H111" i="28" s="1"/>
  <c r="C110" i="27"/>
  <c r="C111" i="27"/>
  <c r="D110" i="27"/>
  <c r="D111" i="27" s="1"/>
  <c r="E110" i="27"/>
  <c r="E112" i="27" s="1"/>
  <c r="F110" i="27"/>
  <c r="F112" i="27" s="1"/>
  <c r="J110" i="27"/>
  <c r="J112" i="27" s="1"/>
  <c r="K110" i="27"/>
  <c r="K112" i="27" s="1"/>
  <c r="L110" i="27"/>
  <c r="M110" i="27"/>
  <c r="N110" i="27"/>
  <c r="O110" i="27"/>
  <c r="O112" i="27"/>
  <c r="P110" i="27"/>
  <c r="P112" i="27" s="1"/>
  <c r="Q110" i="27"/>
  <c r="Q112" i="27"/>
  <c r="Q111" i="26"/>
  <c r="J111" i="26"/>
  <c r="I112" i="26"/>
  <c r="H111" i="26"/>
  <c r="F112" i="26"/>
  <c r="E112" i="26"/>
  <c r="Q111" i="25"/>
  <c r="P111" i="25"/>
  <c r="O111" i="25"/>
  <c r="N111" i="25"/>
  <c r="M112" i="25"/>
  <c r="L112" i="25"/>
  <c r="K112" i="25"/>
  <c r="J112" i="25"/>
  <c r="I111" i="25"/>
  <c r="F112" i="25"/>
  <c r="E111" i="25"/>
  <c r="J110" i="24"/>
  <c r="J111" i="24" s="1"/>
  <c r="I110" i="24"/>
  <c r="I112" i="24" s="1"/>
  <c r="H110" i="24"/>
  <c r="H111" i="24" s="1"/>
  <c r="J110" i="23"/>
  <c r="J112" i="23" s="1"/>
  <c r="I110" i="23"/>
  <c r="I111" i="23" s="1"/>
  <c r="H110" i="23"/>
  <c r="J110" i="22"/>
  <c r="J112" i="22" s="1"/>
  <c r="I110" i="22"/>
  <c r="I112" i="22"/>
  <c r="J110" i="21"/>
  <c r="J111" i="21"/>
  <c r="H110" i="21"/>
  <c r="H111" i="21"/>
  <c r="H110" i="20"/>
  <c r="H111" i="20"/>
  <c r="J110" i="20"/>
  <c r="J111" i="20"/>
  <c r="J110" i="17"/>
  <c r="J112" i="17"/>
  <c r="I110" i="17"/>
  <c r="I111" i="17"/>
  <c r="H110" i="17"/>
  <c r="H112" i="17" s="1"/>
  <c r="H110" i="16"/>
  <c r="H111" i="16"/>
  <c r="I110" i="16"/>
  <c r="I111" i="16"/>
  <c r="J110" i="16"/>
  <c r="J112" i="16"/>
  <c r="H110" i="15"/>
  <c r="H111" i="15"/>
  <c r="I110" i="15"/>
  <c r="I112" i="15" s="1"/>
  <c r="J110" i="15"/>
  <c r="J112" i="15"/>
  <c r="Q111" i="14"/>
  <c r="J110" i="14"/>
  <c r="J111" i="14"/>
  <c r="J110" i="13"/>
  <c r="J112" i="13" s="1"/>
  <c r="H110" i="13"/>
  <c r="H112" i="13" s="1"/>
  <c r="J110" i="12"/>
  <c r="J111" i="12" s="1"/>
  <c r="H110" i="12"/>
  <c r="H112" i="12" s="1"/>
  <c r="J110" i="11"/>
  <c r="J111" i="11" s="1"/>
  <c r="J110" i="10"/>
  <c r="J112" i="10" s="1"/>
  <c r="I110" i="10"/>
  <c r="I112" i="10" s="1"/>
  <c r="H110" i="10"/>
  <c r="H112" i="10"/>
  <c r="J110" i="9"/>
  <c r="J111" i="9" s="1"/>
  <c r="I110" i="9"/>
  <c r="I111" i="9" s="1"/>
  <c r="H110" i="9"/>
  <c r="H111" i="9" s="1"/>
  <c r="Q111" i="8"/>
  <c r="J112" i="8"/>
  <c r="I111" i="8"/>
  <c r="O112" i="8"/>
  <c r="L112" i="8"/>
  <c r="K111" i="8"/>
  <c r="F111" i="8"/>
  <c r="E111" i="8"/>
  <c r="B2" i="23"/>
  <c r="C110" i="2"/>
  <c r="C111" i="2" s="1"/>
  <c r="D110" i="2"/>
  <c r="E110" i="2"/>
  <c r="E111" i="2" s="1"/>
  <c r="F110" i="2"/>
  <c r="F112" i="2" s="1"/>
  <c r="G110" i="2"/>
  <c r="G112" i="2" s="1"/>
  <c r="H110" i="2"/>
  <c r="J110" i="2"/>
  <c r="K110" i="2"/>
  <c r="K111" i="2" s="1"/>
  <c r="L110" i="2"/>
  <c r="L112" i="2" s="1"/>
  <c r="M110" i="2"/>
  <c r="M112" i="2"/>
  <c r="N110" i="2"/>
  <c r="N112" i="2" s="1"/>
  <c r="O110" i="2"/>
  <c r="P110" i="2"/>
  <c r="P112" i="2"/>
  <c r="Q110" i="2"/>
  <c r="C110" i="3"/>
  <c r="C111" i="3" s="1"/>
  <c r="D110" i="3"/>
  <c r="D111" i="3" s="1"/>
  <c r="E110" i="3"/>
  <c r="E112" i="3" s="1"/>
  <c r="F110" i="3"/>
  <c r="F111" i="3" s="1"/>
  <c r="G110" i="3"/>
  <c r="G111" i="3"/>
  <c r="H110" i="3"/>
  <c r="H112" i="3" s="1"/>
  <c r="J110" i="3"/>
  <c r="J111" i="3" s="1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1" i="3"/>
  <c r="Q110" i="41"/>
  <c r="Q111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G110" i="41"/>
  <c r="G112" i="4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/>
  <c r="M108" i="4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G110" i="40"/>
  <c r="G112" i="40" s="1"/>
  <c r="F110" i="40"/>
  <c r="F112" i="40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/>
  <c r="O110" i="33"/>
  <c r="O112" i="33"/>
  <c r="N110" i="33"/>
  <c r="N112" i="33"/>
  <c r="M110" i="33"/>
  <c r="M112" i="33"/>
  <c r="L110" i="33"/>
  <c r="L112" i="33"/>
  <c r="K110" i="33"/>
  <c r="K111" i="33"/>
  <c r="F110" i="33"/>
  <c r="F112" i="33"/>
  <c r="E110" i="33"/>
  <c r="E112" i="33" s="1"/>
  <c r="D110" i="33"/>
  <c r="D112" i="33"/>
  <c r="C110" i="33"/>
  <c r="C112" i="33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J108" i="33"/>
  <c r="I108" i="33"/>
  <c r="I36" i="39"/>
  <c r="H108" i="33"/>
  <c r="H36" i="39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 s="1"/>
  <c r="M110" i="32"/>
  <c r="M112" i="32" s="1"/>
  <c r="L110" i="32"/>
  <c r="L112" i="32" s="1"/>
  <c r="K110" i="32"/>
  <c r="K112" i="32" s="1"/>
  <c r="F110" i="32"/>
  <c r="F112" i="32" s="1"/>
  <c r="E110" i="32"/>
  <c r="E111" i="32" s="1"/>
  <c r="D110" i="32"/>
  <c r="D112" i="32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/>
  <c r="H108" i="32"/>
  <c r="G108" i="32"/>
  <c r="F108" i="32"/>
  <c r="F35" i="39" s="1"/>
  <c r="E108" i="32"/>
  <c r="D108" i="32"/>
  <c r="C108" i="32"/>
  <c r="B108" i="32"/>
  <c r="B35" i="39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2" i="31"/>
  <c r="O112" i="31"/>
  <c r="N112" i="31"/>
  <c r="M111" i="31"/>
  <c r="L112" i="31"/>
  <c r="K111" i="3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F34" i="39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1" i="30" s="1"/>
  <c r="F110" i="30"/>
  <c r="F112" i="30" s="1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 s="1"/>
  <c r="C108" i="30"/>
  <c r="C33" i="39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N112" i="29"/>
  <c r="M112" i="29"/>
  <c r="K112" i="29"/>
  <c r="G111" i="29"/>
  <c r="C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J32" i="39"/>
  <c r="I108" i="29"/>
  <c r="H108" i="29"/>
  <c r="G108" i="29"/>
  <c r="F108" i="29"/>
  <c r="E108" i="29"/>
  <c r="E32" i="39"/>
  <c r="D108" i="2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/>
  <c r="O110" i="28"/>
  <c r="O112" i="28"/>
  <c r="N110" i="28"/>
  <c r="N112" i="28"/>
  <c r="M110" i="28"/>
  <c r="M112" i="28"/>
  <c r="L110" i="28"/>
  <c r="L112" i="28"/>
  <c r="K110" i="28"/>
  <c r="K112" i="28"/>
  <c r="G110" i="28"/>
  <c r="G112" i="28"/>
  <c r="F110" i="28"/>
  <c r="F112" i="28"/>
  <c r="E110" i="28"/>
  <c r="E112" i="28"/>
  <c r="D110" i="28"/>
  <c r="D112" i="28"/>
  <c r="C110" i="28"/>
  <c r="C112" i="28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/>
  <c r="J108" i="28"/>
  <c r="I108" i="28"/>
  <c r="H108" i="28"/>
  <c r="H31" i="39"/>
  <c r="G108" i="28"/>
  <c r="F108" i="28"/>
  <c r="E108" i="28"/>
  <c r="E31" i="39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N112" i="27"/>
  <c r="M112" i="27"/>
  <c r="L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/>
  <c r="M108" i="27"/>
  <c r="L108" i="27"/>
  <c r="K108" i="27"/>
  <c r="K30" i="39"/>
  <c r="J108" i="27"/>
  <c r="J30" i="39"/>
  <c r="I108" i="27"/>
  <c r="H108" i="27"/>
  <c r="H30" i="39" s="1"/>
  <c r="G108" i="27"/>
  <c r="G30" i="39" s="1"/>
  <c r="F108" i="27"/>
  <c r="E108" i="27"/>
  <c r="E30" i="39" s="1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2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J28" i="39" s="1"/>
  <c r="I108" i="25"/>
  <c r="I28" i="39" s="1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/>
  <c r="O110" i="24"/>
  <c r="O112" i="24"/>
  <c r="N110" i="24"/>
  <c r="N112" i="24"/>
  <c r="M110" i="24"/>
  <c r="M112" i="24"/>
  <c r="L110" i="24"/>
  <c r="L112" i="24"/>
  <c r="K110" i="24"/>
  <c r="K111" i="24"/>
  <c r="G110" i="24"/>
  <c r="G112" i="24"/>
  <c r="F110" i="24"/>
  <c r="F112" i="24"/>
  <c r="E110" i="24"/>
  <c r="E112" i="24"/>
  <c r="D110" i="24"/>
  <c r="D112" i="24"/>
  <c r="C110" i="24"/>
  <c r="C112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/>
  <c r="O108" i="24"/>
  <c r="N108" i="24"/>
  <c r="N27" i="39" s="1"/>
  <c r="M108" i="24"/>
  <c r="L108" i="24"/>
  <c r="K108" i="24"/>
  <c r="K27" i="39" s="1"/>
  <c r="J108" i="24"/>
  <c r="I108" i="24"/>
  <c r="H108" i="24"/>
  <c r="G108" i="24"/>
  <c r="F108" i="24"/>
  <c r="E108" i="24"/>
  <c r="E27" i="39"/>
  <c r="D108" i="24"/>
  <c r="D27" i="39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/>
  <c r="P110" i="23"/>
  <c r="P112" i="23"/>
  <c r="O110" i="23"/>
  <c r="O112" i="23"/>
  <c r="N110" i="23"/>
  <c r="N112" i="23"/>
  <c r="M110" i="23"/>
  <c r="M111" i="23"/>
  <c r="L110" i="23"/>
  <c r="L112" i="23"/>
  <c r="K110" i="23"/>
  <c r="K111" i="23"/>
  <c r="H112" i="23"/>
  <c r="G110" i="23"/>
  <c r="G111" i="23" s="1"/>
  <c r="F110" i="23"/>
  <c r="F111" i="23" s="1"/>
  <c r="E110" i="23"/>
  <c r="E112" i="23" s="1"/>
  <c r="D110" i="23"/>
  <c r="D112" i="23" s="1"/>
  <c r="C110" i="23"/>
  <c r="C112" i="23" s="1"/>
  <c r="B110" i="23"/>
  <c r="B111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/>
  <c r="L108" i="23"/>
  <c r="K108" i="23"/>
  <c r="J108" i="23"/>
  <c r="I108" i="23"/>
  <c r="H108" i="23"/>
  <c r="H26" i="39"/>
  <c r="G108" i="23"/>
  <c r="G26" i="39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/>
  <c r="O110" i="22"/>
  <c r="O112" i="22"/>
  <c r="N110" i="22"/>
  <c r="N112" i="22"/>
  <c r="M110" i="22"/>
  <c r="M111" i="22"/>
  <c r="L110" i="22"/>
  <c r="L111" i="22"/>
  <c r="K110" i="22"/>
  <c r="K112" i="22"/>
  <c r="F110" i="22"/>
  <c r="F111" i="22" s="1"/>
  <c r="E110" i="22"/>
  <c r="E112" i="22"/>
  <c r="D110" i="22"/>
  <c r="D112" i="22"/>
  <c r="C110" i="22"/>
  <c r="C111" i="22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/>
  <c r="O110" i="21"/>
  <c r="O112" i="21"/>
  <c r="N110" i="21"/>
  <c r="N112" i="21"/>
  <c r="M110" i="21"/>
  <c r="M112" i="21"/>
  <c r="L110" i="21"/>
  <c r="L112" i="21"/>
  <c r="K110" i="21"/>
  <c r="K112" i="21"/>
  <c r="G110" i="21"/>
  <c r="G112" i="21"/>
  <c r="F110" i="21"/>
  <c r="F112" i="21" s="1"/>
  <c r="E110" i="21"/>
  <c r="E112" i="21"/>
  <c r="D110" i="21"/>
  <c r="D111" i="21"/>
  <c r="C110" i="21"/>
  <c r="C112" i="21"/>
  <c r="B110" i="21"/>
  <c r="B111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 s="1"/>
  <c r="L108" i="21"/>
  <c r="L24" i="39"/>
  <c r="K108" i="21"/>
  <c r="K24" i="39"/>
  <c r="J108" i="21"/>
  <c r="J24" i="39"/>
  <c r="I108" i="21"/>
  <c r="I24" i="39"/>
  <c r="H108" i="21"/>
  <c r="G108" i="21"/>
  <c r="F108" i="21"/>
  <c r="E108" i="21"/>
  <c r="D108" i="21"/>
  <c r="D24" i="39"/>
  <c r="C108" i="21"/>
  <c r="C24" i="39" s="1"/>
  <c r="B108" i="21"/>
  <c r="B24" i="39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 s="1"/>
  <c r="K110" i="20"/>
  <c r="K112" i="20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P23" i="39" s="1"/>
  <c r="O108" i="20"/>
  <c r="N108" i="20"/>
  <c r="M108" i="20"/>
  <c r="L108" i="20"/>
  <c r="K108" i="20"/>
  <c r="J108" i="20"/>
  <c r="J23" i="39" s="1"/>
  <c r="I108" i="20"/>
  <c r="I23" i="39" s="1"/>
  <c r="H108" i="20"/>
  <c r="G108" i="20"/>
  <c r="F108" i="20"/>
  <c r="F23" i="39" s="1"/>
  <c r="E108" i="20"/>
  <c r="D108" i="20"/>
  <c r="D23" i="39" s="1"/>
  <c r="C108" i="20"/>
  <c r="C23" i="39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O112" i="19"/>
  <c r="N111" i="19"/>
  <c r="M111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/>
  <c r="J108" i="19"/>
  <c r="I108" i="19"/>
  <c r="I22" i="39"/>
  <c r="H108" i="19"/>
  <c r="G108" i="19"/>
  <c r="H22" i="39" s="1"/>
  <c r="F108" i="19"/>
  <c r="F22" i="39" s="1"/>
  <c r="E108" i="19"/>
  <c r="E22" i="39" s="1"/>
  <c r="D108" i="19"/>
  <c r="D22" i="39" s="1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/>
  <c r="N110" i="18"/>
  <c r="N112" i="18"/>
  <c r="M110" i="18"/>
  <c r="M111" i="18"/>
  <c r="L110" i="18"/>
  <c r="L112" i="18"/>
  <c r="K110" i="18"/>
  <c r="K112" i="18" s="1"/>
  <c r="J111" i="18"/>
  <c r="H112" i="18"/>
  <c r="F110" i="18"/>
  <c r="F112" i="18"/>
  <c r="E110" i="18"/>
  <c r="E112" i="18"/>
  <c r="D110" i="18"/>
  <c r="D112" i="18"/>
  <c r="C110" i="18"/>
  <c r="C111" i="18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I21" i="39"/>
  <c r="H108" i="18"/>
  <c r="H21" i="39"/>
  <c r="G108" i="18"/>
  <c r="F108" i="18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2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1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K108" i="17"/>
  <c r="K20" i="39"/>
  <c r="J108" i="17"/>
  <c r="J20" i="39"/>
  <c r="I108" i="17"/>
  <c r="I20" i="39"/>
  <c r="H108" i="17"/>
  <c r="H20" i="39"/>
  <c r="G108" i="17"/>
  <c r="G20" i="39"/>
  <c r="F108" i="17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/>
  <c r="O110" i="16"/>
  <c r="O112" i="16"/>
  <c r="N110" i="16"/>
  <c r="N112" i="16"/>
  <c r="M110" i="16"/>
  <c r="M112" i="16"/>
  <c r="L110" i="16"/>
  <c r="L112" i="16"/>
  <c r="K110" i="16"/>
  <c r="K112" i="16" s="1"/>
  <c r="G110" i="16"/>
  <c r="G112" i="16"/>
  <c r="F110" i="16"/>
  <c r="F112" i="16"/>
  <c r="E110" i="16"/>
  <c r="E112" i="16"/>
  <c r="D110" i="16"/>
  <c r="D112" i="16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/>
  <c r="N108" i="16"/>
  <c r="M108" i="16"/>
  <c r="M19" i="39" s="1"/>
  <c r="L108" i="16"/>
  <c r="K108" i="16"/>
  <c r="J108" i="16"/>
  <c r="J19" i="39" s="1"/>
  <c r="I108" i="16"/>
  <c r="I19" i="39" s="1"/>
  <c r="H108" i="16"/>
  <c r="G108" i="16"/>
  <c r="F108" i="16"/>
  <c r="E108" i="16"/>
  <c r="E19" i="39" s="1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2" i="15" s="1"/>
  <c r="M110" i="15"/>
  <c r="M112" i="15" s="1"/>
  <c r="L110" i="15"/>
  <c r="L111" i="15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 s="1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N110" i="14"/>
  <c r="N112" i="14"/>
  <c r="M110" i="14"/>
  <c r="M112" i="14"/>
  <c r="L110" i="14"/>
  <c r="L112" i="14" s="1"/>
  <c r="K110" i="14"/>
  <c r="K112" i="14"/>
  <c r="F110" i="14"/>
  <c r="F111" i="14"/>
  <c r="E110" i="14"/>
  <c r="E112" i="14"/>
  <c r="D110" i="14"/>
  <c r="D112" i="14"/>
  <c r="C110" i="14"/>
  <c r="C112" i="14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P17" i="39" s="1"/>
  <c r="O108" i="14"/>
  <c r="N108" i="14"/>
  <c r="N17" i="39"/>
  <c r="M108" i="14"/>
  <c r="L108" i="14"/>
  <c r="K108" i="14"/>
  <c r="K17" i="39"/>
  <c r="J108" i="14"/>
  <c r="I108" i="14"/>
  <c r="H108" i="14"/>
  <c r="H17" i="39"/>
  <c r="G108" i="14"/>
  <c r="G17" i="39"/>
  <c r="F108" i="14"/>
  <c r="F17" i="39"/>
  <c r="E108" i="14"/>
  <c r="E17" i="39" s="1"/>
  <c r="D108" i="14"/>
  <c r="D17" i="39"/>
  <c r="C108" i="14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1" i="13" s="1"/>
  <c r="O110" i="13"/>
  <c r="O111" i="13" s="1"/>
  <c r="N110" i="13"/>
  <c r="N112" i="13" s="1"/>
  <c r="M110" i="13"/>
  <c r="M112" i="13"/>
  <c r="L110" i="13"/>
  <c r="L112" i="13" s="1"/>
  <c r="K110" i="13"/>
  <c r="K112" i="13" s="1"/>
  <c r="G110" i="13"/>
  <c r="G112" i="13" s="1"/>
  <c r="F110" i="13"/>
  <c r="F112" i="13" s="1"/>
  <c r="E110" i="13"/>
  <c r="E112" i="13" s="1"/>
  <c r="D110" i="13"/>
  <c r="D111" i="13" s="1"/>
  <c r="C110" i="13"/>
  <c r="C112" i="13" s="1"/>
  <c r="B110" i="13"/>
  <c r="B112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/>
  <c r="P110" i="12"/>
  <c r="P112" i="12"/>
  <c r="O110" i="12"/>
  <c r="O111" i="12"/>
  <c r="N110" i="12"/>
  <c r="N112" i="12"/>
  <c r="M110" i="12"/>
  <c r="M111" i="12" s="1"/>
  <c r="L110" i="12"/>
  <c r="L112" i="12"/>
  <c r="K110" i="12"/>
  <c r="K111" i="12"/>
  <c r="G110" i="12"/>
  <c r="G112" i="12"/>
  <c r="E110" i="12"/>
  <c r="E111" i="12"/>
  <c r="D110" i="12"/>
  <c r="D112" i="12"/>
  <c r="C110" i="12"/>
  <c r="C112" i="12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L15" i="39" s="1"/>
  <c r="K108" i="12"/>
  <c r="K15" i="39" s="1"/>
  <c r="J108" i="12"/>
  <c r="I108" i="12"/>
  <c r="I15" i="39"/>
  <c r="H108" i="12"/>
  <c r="G108" i="12"/>
  <c r="F108" i="12"/>
  <c r="E108" i="12"/>
  <c r="E15" i="39"/>
  <c r="D108" i="12"/>
  <c r="D15" i="39" s="1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/>
  <c r="P110" i="11"/>
  <c r="P112" i="11"/>
  <c r="O110" i="11"/>
  <c r="O112" i="11"/>
  <c r="N110" i="11"/>
  <c r="N112" i="11" s="1"/>
  <c r="M110" i="11"/>
  <c r="M112" i="11"/>
  <c r="L110" i="11"/>
  <c r="L112" i="11"/>
  <c r="K110" i="11"/>
  <c r="K112" i="11"/>
  <c r="F110" i="11"/>
  <c r="F112" i="1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 s="1"/>
  <c r="N108" i="11"/>
  <c r="N14" i="39"/>
  <c r="M108" i="11"/>
  <c r="M14" i="39"/>
  <c r="L108" i="1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C14" i="39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1" i="10"/>
  <c r="P110" i="10"/>
  <c r="P112" i="10"/>
  <c r="O110" i="10"/>
  <c r="O111" i="10"/>
  <c r="N110" i="10"/>
  <c r="N112" i="10"/>
  <c r="M110" i="10"/>
  <c r="M111" i="10" s="1"/>
  <c r="L110" i="10"/>
  <c r="L111" i="10"/>
  <c r="K110" i="10"/>
  <c r="K112" i="10"/>
  <c r="F110" i="10"/>
  <c r="F111" i="10"/>
  <c r="E110" i="10"/>
  <c r="E112" i="10"/>
  <c r="D110" i="10"/>
  <c r="D112" i="10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 s="1"/>
  <c r="G108" i="10"/>
  <c r="G13" i="39"/>
  <c r="F108" i="10"/>
  <c r="F13" i="39"/>
  <c r="E108" i="10"/>
  <c r="E13" i="39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/>
  <c r="O110" i="9"/>
  <c r="O111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/>
  <c r="D110" i="9"/>
  <c r="D111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/>
  <c r="F108" i="9"/>
  <c r="E108" i="9"/>
  <c r="E12" i="39" s="1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/>
  <c r="O108" i="8"/>
  <c r="O11" i="39"/>
  <c r="N108" i="8"/>
  <c r="N11" i="39"/>
  <c r="M108" i="8"/>
  <c r="M11" i="39"/>
  <c r="L108" i="8"/>
  <c r="L11" i="39"/>
  <c r="K108" i="8"/>
  <c r="K11" i="39" s="1"/>
  <c r="J108" i="8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P112" i="3"/>
  <c r="O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/>
  <c r="M108" i="3"/>
  <c r="M10" i="39" s="1"/>
  <c r="L108" i="3"/>
  <c r="L10" i="39"/>
  <c r="K108" i="3"/>
  <c r="K10" i="39"/>
  <c r="J108" i="3"/>
  <c r="J10" i="39"/>
  <c r="I108" i="3"/>
  <c r="I10" i="39"/>
  <c r="H108" i="3"/>
  <c r="H10" i="39"/>
  <c r="G108" i="3"/>
  <c r="G10" i="39"/>
  <c r="F108" i="3"/>
  <c r="F10" i="39"/>
  <c r="E108" i="3"/>
  <c r="E10" i="39" s="1"/>
  <c r="D108" i="3"/>
  <c r="D10" i="39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Q35" i="39"/>
  <c r="M35" i="39"/>
  <c r="L35" i="39"/>
  <c r="K35" i="39"/>
  <c r="H35" i="39"/>
  <c r="D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C22" i="39"/>
  <c r="Q21" i="39"/>
  <c r="P21" i="39"/>
  <c r="M21" i="39"/>
  <c r="L21" i="39"/>
  <c r="K21" i="39"/>
  <c r="J21" i="39"/>
  <c r="G21" i="39"/>
  <c r="F21" i="39"/>
  <c r="D21" i="39"/>
  <c r="C21" i="39"/>
  <c r="B21" i="39"/>
  <c r="M20" i="39"/>
  <c r="E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M17" i="39"/>
  <c r="L17" i="39"/>
  <c r="I17" i="39"/>
  <c r="C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H15" i="39"/>
  <c r="G15" i="39"/>
  <c r="F15" i="39"/>
  <c r="C15" i="39"/>
  <c r="L14" i="39"/>
  <c r="I14" i="39"/>
  <c r="H14" i="39"/>
  <c r="F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/>
  <c r="E45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M33" i="39"/>
  <c r="L33" i="39"/>
  <c r="J33" i="39"/>
  <c r="I33" i="39"/>
  <c r="H33" i="39"/>
  <c r="F33" i="39"/>
  <c r="B33" i="39"/>
  <c r="Q32" i="39"/>
  <c r="O32" i="39"/>
  <c r="N32" i="39"/>
  <c r="K32" i="39"/>
  <c r="I32" i="39"/>
  <c r="G32" i="39"/>
  <c r="F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H28" i="39"/>
  <c r="G28" i="39"/>
  <c r="B28" i="39"/>
  <c r="O27" i="39"/>
  <c r="M27" i="39"/>
  <c r="L27" i="39"/>
  <c r="H27" i="39"/>
  <c r="G27" i="39"/>
  <c r="B27" i="39"/>
  <c r="O26" i="39"/>
  <c r="I25" i="39"/>
  <c r="P24" i="39"/>
  <c r="H24" i="39"/>
  <c r="N23" i="39"/>
  <c r="O22" i="39"/>
  <c r="O21" i="39"/>
  <c r="P20" i="39"/>
  <c r="F20" i="39"/>
  <c r="D20" i="39"/>
  <c r="F18" i="39"/>
  <c r="M16" i="39"/>
  <c r="K16" i="39"/>
  <c r="J15" i="39"/>
  <c r="Q12" i="39"/>
  <c r="O12" i="39"/>
  <c r="B12" i="39"/>
  <c r="P10" i="39"/>
  <c r="P36" i="39"/>
  <c r="E34" i="39"/>
  <c r="E26" i="39"/>
  <c r="P18" i="39"/>
  <c r="Q17" i="39"/>
  <c r="P15" i="39"/>
  <c r="B2" i="2"/>
  <c r="A9" i="39"/>
  <c r="B2" i="39"/>
  <c r="D2" i="5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H32" i="39"/>
  <c r="D32" i="39"/>
  <c r="N29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N16" i="39"/>
  <c r="K28" i="6"/>
  <c r="J28" i="6"/>
  <c r="J13" i="39"/>
  <c r="D9" i="5"/>
  <c r="D10" i="5"/>
  <c r="I119" i="6"/>
  <c r="J101" i="6"/>
  <c r="J81" i="6"/>
  <c r="J61" i="6"/>
  <c r="I21" i="6"/>
  <c r="O9" i="39"/>
  <c r="O41" i="39" s="1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N111" i="29"/>
  <c r="M111" i="29"/>
  <c r="L111" i="29"/>
  <c r="K111" i="29"/>
  <c r="D111" i="29"/>
  <c r="C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P111" i="24"/>
  <c r="O111" i="24"/>
  <c r="N111" i="24"/>
  <c r="M111" i="24"/>
  <c r="L111" i="24"/>
  <c r="Q111" i="24"/>
  <c r="F111" i="24"/>
  <c r="E111" i="24"/>
  <c r="D111" i="24"/>
  <c r="C111" i="24"/>
  <c r="B111" i="24"/>
  <c r="P111" i="23"/>
  <c r="N111" i="23"/>
  <c r="L111" i="23"/>
  <c r="H111" i="23"/>
  <c r="E111" i="23"/>
  <c r="D111" i="23"/>
  <c r="C111" i="23"/>
  <c r="P111" i="22"/>
  <c r="N111" i="22"/>
  <c r="K111" i="22"/>
  <c r="E111" i="22"/>
  <c r="D111" i="22"/>
  <c r="B111" i="22"/>
  <c r="Q111" i="21"/>
  <c r="N111" i="21"/>
  <c r="L111" i="21"/>
  <c r="K111" i="21"/>
  <c r="E111" i="21"/>
  <c r="C111" i="21"/>
  <c r="O111" i="20"/>
  <c r="Q112" i="20"/>
  <c r="M111" i="20"/>
  <c r="L111" i="20"/>
  <c r="K111" i="20"/>
  <c r="G111" i="20"/>
  <c r="F111" i="20"/>
  <c r="E111" i="20"/>
  <c r="D111" i="20"/>
  <c r="B111" i="20"/>
  <c r="Q111" i="18"/>
  <c r="P111" i="18"/>
  <c r="O111" i="18"/>
  <c r="N111" i="18"/>
  <c r="L111" i="18"/>
  <c r="H111" i="18"/>
  <c r="F111" i="18"/>
  <c r="E111" i="18"/>
  <c r="D111" i="18"/>
  <c r="P111" i="17"/>
  <c r="O111" i="17"/>
  <c r="G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P111" i="12"/>
  <c r="N111" i="12"/>
  <c r="L111" i="12"/>
  <c r="D111" i="12"/>
  <c r="C111" i="12"/>
  <c r="B111" i="12"/>
  <c r="O111" i="11"/>
  <c r="N111" i="11"/>
  <c r="M111" i="11"/>
  <c r="L111" i="11"/>
  <c r="K111" i="11"/>
  <c r="E111" i="11"/>
  <c r="P111" i="10"/>
  <c r="N111" i="10"/>
  <c r="K111" i="10"/>
  <c r="C111" i="10"/>
  <c r="B111" i="10"/>
  <c r="P111" i="9"/>
  <c r="N111" i="9"/>
  <c r="E111" i="9"/>
  <c r="C111" i="9"/>
  <c r="M111" i="8"/>
  <c r="P111" i="3"/>
  <c r="O111" i="3"/>
  <c r="H111" i="3"/>
  <c r="C112" i="30"/>
  <c r="C112" i="17"/>
  <c r="D112" i="3"/>
  <c r="M111" i="2"/>
  <c r="K112" i="2"/>
  <c r="Q111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L111" i="2"/>
  <c r="F112" i="3"/>
  <c r="M111" i="3"/>
  <c r="J111" i="10"/>
  <c r="I111" i="10"/>
  <c r="I112" i="9"/>
  <c r="L111" i="8"/>
  <c r="O111" i="8"/>
  <c r="I112" i="8"/>
  <c r="F112" i="8"/>
  <c r="N111" i="8"/>
  <c r="J111" i="13"/>
  <c r="P112" i="13"/>
  <c r="J112" i="12"/>
  <c r="G111" i="12"/>
  <c r="O112" i="12"/>
  <c r="J112" i="11"/>
  <c r="Q112" i="11"/>
  <c r="P111" i="11"/>
  <c r="C111" i="16"/>
  <c r="I112" i="16"/>
  <c r="P111" i="16"/>
  <c r="I111" i="15"/>
  <c r="Q112" i="14"/>
  <c r="I112" i="14"/>
  <c r="B112" i="14"/>
  <c r="J112" i="14"/>
  <c r="B112" i="18"/>
  <c r="J112" i="18"/>
  <c r="J111" i="17"/>
  <c r="I112" i="17"/>
  <c r="H111" i="17"/>
  <c r="N112" i="17"/>
  <c r="L112" i="17"/>
  <c r="M111" i="17"/>
  <c r="K112" i="17"/>
  <c r="F112" i="17"/>
  <c r="D112" i="17"/>
  <c r="E112" i="17"/>
  <c r="J112" i="20"/>
  <c r="M112" i="19"/>
  <c r="P112" i="25"/>
  <c r="O112" i="25"/>
  <c r="N112" i="25"/>
  <c r="L111" i="25"/>
  <c r="J111" i="25"/>
  <c r="F111" i="25"/>
  <c r="Q112" i="25"/>
  <c r="J112" i="24"/>
  <c r="I111" i="24"/>
  <c r="H112" i="24"/>
  <c r="J111" i="23"/>
  <c r="Q111" i="23"/>
  <c r="O111" i="23"/>
  <c r="I112" i="23"/>
  <c r="G112" i="23"/>
  <c r="J111" i="22"/>
  <c r="Q112" i="22"/>
  <c r="J112" i="21"/>
  <c r="P112" i="21"/>
  <c r="D112" i="27"/>
  <c r="C112" i="27"/>
  <c r="Q111" i="27"/>
  <c r="Q112" i="26"/>
  <c r="J112" i="26"/>
  <c r="I111" i="26"/>
  <c r="G111" i="26"/>
  <c r="F111" i="26"/>
  <c r="E111" i="26"/>
  <c r="H112" i="26"/>
  <c r="P112" i="26"/>
  <c r="O111" i="27"/>
  <c r="K111" i="27"/>
  <c r="J111" i="27"/>
  <c r="B112" i="32"/>
  <c r="J112" i="32"/>
  <c r="I112" i="31"/>
  <c r="P111" i="31"/>
  <c r="J111" i="30"/>
  <c r="H111" i="30"/>
  <c r="G112" i="30"/>
  <c r="H111" i="29"/>
  <c r="G112" i="29"/>
  <c r="I111" i="28"/>
  <c r="H112" i="28"/>
  <c r="B111" i="28"/>
  <c r="J112" i="40"/>
  <c r="H112" i="40"/>
  <c r="D111" i="40"/>
  <c r="J111" i="41"/>
  <c r="H111" i="41"/>
  <c r="Q112" i="41"/>
  <c r="P111" i="2"/>
  <c r="F111" i="2"/>
  <c r="B111" i="2"/>
  <c r="J112" i="3"/>
  <c r="L112" i="3"/>
  <c r="C112" i="3"/>
  <c r="K112" i="8"/>
  <c r="Q112" i="8"/>
  <c r="F112" i="9"/>
  <c r="Q112" i="9"/>
  <c r="D111" i="10"/>
  <c r="O112" i="10"/>
  <c r="H111" i="10"/>
  <c r="M112" i="12"/>
  <c r="K112" i="12"/>
  <c r="D112" i="13"/>
  <c r="O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N112" i="20"/>
  <c r="F111" i="21"/>
  <c r="D112" i="21"/>
  <c r="O111" i="21"/>
  <c r="I111" i="22"/>
  <c r="L112" i="22"/>
  <c r="F112" i="22"/>
  <c r="F112" i="23"/>
  <c r="G111" i="24"/>
  <c r="M111" i="25"/>
  <c r="E112" i="25"/>
  <c r="O112" i="26"/>
  <c r="F111" i="27"/>
  <c r="P112" i="28"/>
  <c r="K111" i="30"/>
  <c r="F111" i="30"/>
  <c r="Q112" i="30"/>
  <c r="M112" i="31"/>
  <c r="K112" i="31"/>
  <c r="J112" i="31"/>
  <c r="E112" i="32"/>
  <c r="P111" i="32"/>
  <c r="C112" i="32"/>
  <c r="N112" i="32"/>
  <c r="K112" i="33"/>
  <c r="E111" i="33"/>
  <c r="Q112" i="33"/>
  <c r="L111" i="40"/>
  <c r="I112" i="41"/>
  <c r="Q112" i="44"/>
  <c r="P111" i="44"/>
  <c r="O111" i="44"/>
  <c r="N111" i="44"/>
  <c r="M111" i="44"/>
  <c r="L111" i="44"/>
  <c r="K111" i="44"/>
  <c r="J112" i="44"/>
  <c r="I111" i="44"/>
  <c r="H111" i="44"/>
  <c r="G111" i="44"/>
  <c r="F111" i="44"/>
  <c r="E111" i="44"/>
  <c r="D111" i="44"/>
  <c r="C111" i="44"/>
  <c r="B111" i="44"/>
  <c r="P112" i="8"/>
  <c r="D112" i="8"/>
  <c r="C112" i="8"/>
  <c r="B111" i="8"/>
  <c r="G111" i="8"/>
  <c r="J111" i="8"/>
  <c r="H112" i="8"/>
  <c r="E112" i="8"/>
  <c r="E111" i="3"/>
  <c r="N112" i="3"/>
  <c r="G112" i="3"/>
  <c r="Q112" i="3"/>
  <c r="I111" i="3"/>
  <c r="I112" i="2"/>
  <c r="G112" i="10"/>
  <c r="F112" i="10"/>
  <c r="Q112" i="10"/>
  <c r="D112" i="9"/>
  <c r="H112" i="9"/>
  <c r="M111" i="9"/>
  <c r="O112" i="9"/>
  <c r="J112" i="9"/>
  <c r="B111" i="9"/>
  <c r="K111" i="9"/>
  <c r="B111" i="13"/>
  <c r="M111" i="13"/>
  <c r="I112" i="13"/>
  <c r="F112" i="12"/>
  <c r="I111" i="12"/>
  <c r="H111" i="12"/>
  <c r="Q111" i="12"/>
  <c r="E112" i="12"/>
  <c r="D112" i="11"/>
  <c r="C112" i="11"/>
  <c r="B112" i="11"/>
  <c r="H112" i="11"/>
  <c r="G111" i="11"/>
  <c r="F111" i="11"/>
  <c r="I112" i="11"/>
  <c r="I112" i="18"/>
  <c r="G111" i="18"/>
  <c r="Q111" i="17"/>
  <c r="Q111" i="16"/>
  <c r="Q112" i="15"/>
  <c r="H112" i="14"/>
  <c r="I111" i="20"/>
  <c r="H112" i="20"/>
  <c r="Q111" i="19"/>
  <c r="P112" i="19"/>
  <c r="L112" i="19"/>
  <c r="G111" i="19"/>
  <c r="F111" i="19"/>
  <c r="B112" i="19"/>
  <c r="H111" i="19"/>
  <c r="I112" i="19"/>
  <c r="E112" i="19"/>
  <c r="G22" i="39"/>
  <c r="C111" i="19"/>
  <c r="N112" i="19"/>
  <c r="J111" i="19"/>
  <c r="O111" i="19"/>
  <c r="D111" i="19"/>
  <c r="K112" i="24"/>
  <c r="M112" i="23"/>
  <c r="B112" i="23"/>
  <c r="K112" i="23"/>
  <c r="H112" i="22"/>
  <c r="C112" i="22"/>
  <c r="O111" i="22"/>
  <c r="G111" i="22"/>
  <c r="M112" i="22"/>
  <c r="I112" i="21"/>
  <c r="G111" i="21"/>
  <c r="H112" i="21"/>
  <c r="M111" i="21"/>
  <c r="B112" i="21"/>
  <c r="D111" i="26"/>
  <c r="B111" i="26"/>
  <c r="C112" i="26"/>
  <c r="M111" i="26"/>
  <c r="H112" i="25"/>
  <c r="D112" i="25"/>
  <c r="G112" i="25"/>
  <c r="B111" i="25"/>
  <c r="C111" i="25"/>
  <c r="K111" i="25"/>
  <c r="I112" i="25"/>
  <c r="I111" i="29"/>
  <c r="Q111" i="29"/>
  <c r="P112" i="29"/>
  <c r="O112" i="29"/>
  <c r="J112" i="29"/>
  <c r="F111" i="29"/>
  <c r="E112" i="29"/>
  <c r="B112" i="29"/>
  <c r="J111" i="28"/>
  <c r="H112" i="27"/>
  <c r="G112" i="27"/>
  <c r="G112" i="31"/>
  <c r="H112" i="31"/>
  <c r="I111" i="30"/>
  <c r="I111" i="32"/>
  <c r="H112" i="32"/>
  <c r="G112" i="32"/>
  <c r="I112" i="40"/>
  <c r="J111" i="33"/>
  <c r="H111" i="33"/>
  <c r="G111" i="33"/>
  <c r="C45" i="39" l="1"/>
  <c r="C42" i="39"/>
  <c r="C43" i="39"/>
  <c r="C44" i="39"/>
  <c r="C41" i="39"/>
  <c r="O42" i="39"/>
  <c r="O43" i="39"/>
  <c r="O44" i="39"/>
  <c r="B44" i="39"/>
  <c r="B42" i="39"/>
  <c r="B43" i="39"/>
  <c r="B41" i="39"/>
  <c r="B45" i="39"/>
  <c r="Q43" i="39"/>
  <c r="Q41" i="39"/>
  <c r="Q44" i="39"/>
  <c r="Q42" i="39"/>
  <c r="Q45" i="39"/>
  <c r="P42" i="39"/>
  <c r="P43" i="39"/>
  <c r="P44" i="39"/>
  <c r="P45" i="39"/>
  <c r="P41" i="39"/>
  <c r="M45" i="39"/>
  <c r="N43" i="39"/>
  <c r="N44" i="39"/>
  <c r="N42" i="39"/>
  <c r="N45" i="39"/>
  <c r="N41" i="39"/>
  <c r="M42" i="39"/>
  <c r="M41" i="39"/>
  <c r="M44" i="39"/>
  <c r="M43" i="39"/>
  <c r="L41" i="39"/>
  <c r="L44" i="39"/>
  <c r="L45" i="39"/>
  <c r="L43" i="39"/>
  <c r="L42" i="39"/>
  <c r="E41" i="39"/>
  <c r="E43" i="39"/>
  <c r="E42" i="39"/>
  <c r="E44" i="39"/>
  <c r="D44" i="5"/>
  <c r="K42" i="39"/>
  <c r="K43" i="39"/>
  <c r="K45" i="39"/>
  <c r="K44" i="39"/>
  <c r="K41" i="39"/>
  <c r="J45" i="39"/>
  <c r="J44" i="39"/>
  <c r="J41" i="39"/>
  <c r="J42" i="39"/>
  <c r="J43" i="39"/>
  <c r="I44" i="39"/>
  <c r="I45" i="39"/>
  <c r="I42" i="39"/>
  <c r="I41" i="39"/>
  <c r="I43" i="39"/>
  <c r="H43" i="39"/>
  <c r="H44" i="39"/>
  <c r="H45" i="39"/>
  <c r="H42" i="39"/>
  <c r="H41" i="39"/>
  <c r="G44" i="39"/>
  <c r="G45" i="39"/>
  <c r="G43" i="39"/>
  <c r="G42" i="39"/>
  <c r="G41" i="39"/>
  <c r="F45" i="39"/>
  <c r="F44" i="39"/>
  <c r="F43" i="39"/>
  <c r="F42" i="39"/>
  <c r="F41" i="39"/>
  <c r="E46" i="39"/>
  <c r="E47" i="39"/>
  <c r="D44" i="39"/>
  <c r="D45" i="39"/>
  <c r="D41" i="39"/>
  <c r="D42" i="39"/>
  <c r="D43" i="39"/>
  <c r="O45" i="39"/>
  <c r="N46" i="39" l="1"/>
  <c r="N47" i="39"/>
  <c r="H46" i="39"/>
  <c r="H47" i="39"/>
  <c r="B46" i="39"/>
  <c r="B47" i="39"/>
  <c r="K46" i="39"/>
  <c r="K47" i="39"/>
  <c r="D47" i="39"/>
  <c r="D46" i="39"/>
  <c r="M47" i="39"/>
  <c r="M46" i="39"/>
  <c r="I47" i="39"/>
  <c r="I46" i="39"/>
  <c r="P46" i="39"/>
  <c r="P47" i="39"/>
  <c r="L47" i="39"/>
  <c r="L46" i="39"/>
  <c r="F47" i="39"/>
  <c r="F46" i="39"/>
  <c r="Q47" i="39"/>
  <c r="Q46" i="39"/>
  <c r="O47" i="39"/>
  <c r="O46" i="39"/>
  <c r="G47" i="39"/>
  <c r="G46" i="39"/>
  <c r="J47" i="39"/>
  <c r="J46" i="39"/>
  <c r="C47" i="39"/>
  <c r="C46" i="39"/>
</calcChain>
</file>

<file path=xl/sharedStrings.xml><?xml version="1.0" encoding="utf-8"?>
<sst xmlns="http://schemas.openxmlformats.org/spreadsheetml/2006/main" count="6460" uniqueCount="3225">
  <si>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</si>
  <si>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</si>
  <si>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</si>
  <si>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</si>
  <si>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</si>
  <si>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</si>
  <si>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</si>
  <si>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</si>
  <si>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</si>
  <si>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</si>
  <si>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</si>
  <si>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</si>
  <si>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</si>
  <si>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</si>
  <si>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</si>
  <si>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</si>
  <si>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</si>
  <si>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</si>
  <si>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</si>
  <si>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</si>
  <si>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</si>
  <si>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</si>
  <si>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</si>
  <si>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</si>
  <si>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</si>
  <si>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</si>
  <si>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</si>
  <si>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</si>
  <si>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</si>
  <si>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</si>
  <si>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</si>
  <si>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</si>
  <si>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</si>
  <si>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</si>
  <si>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</si>
  <si>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</si>
  <si>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</si>
  <si>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</si>
  <si>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</si>
  <si>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</si>
  <si>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</si>
  <si>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</si>
  <si>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</si>
  <si>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</si>
  <si>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</si>
  <si>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</si>
  <si>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</si>
  <si>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</si>
  <si>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</si>
  <si>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</si>
  <si>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</si>
  <si>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</si>
  <si>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</si>
  <si>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</si>
  <si>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</si>
  <si>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</si>
  <si>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</si>
  <si>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</si>
  <si>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</si>
  <si>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</si>
  <si>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</si>
  <si>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</si>
  <si>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</si>
  <si>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</si>
  <si>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</si>
  <si>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</si>
  <si>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</si>
  <si>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</si>
  <si>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</si>
  <si>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</si>
  <si>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</si>
  <si>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</si>
  <si>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</si>
  <si>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</si>
  <si>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</si>
  <si>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</si>
  <si>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</si>
  <si>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</si>
  <si>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</si>
  <si>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</si>
  <si>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</si>
  <si>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</si>
  <si>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</si>
  <si>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</si>
  <si>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</si>
  <si>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</si>
  <si>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</si>
  <si>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</si>
  <si>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</si>
  <si>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</si>
  <si>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</si>
  <si>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</si>
  <si>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</si>
  <si>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</si>
  <si>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</si>
  <si>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</si>
  <si>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</si>
  <si>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</si>
  <si>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</si>
  <si>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</si>
  <si>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</si>
  <si>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</si>
  <si>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</si>
  <si>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</si>
  <si>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</si>
  <si>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</si>
  <si>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</si>
  <si>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</si>
  <si>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</si>
  <si>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</si>
  <si>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</si>
  <si>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</si>
  <si>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</si>
  <si>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</si>
  <si>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</si>
  <si>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</si>
  <si>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</si>
  <si>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</si>
  <si>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</si>
  <si>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</si>
  <si>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</si>
  <si>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</si>
  <si>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</si>
  <si>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</si>
  <si>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</si>
  <si>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</si>
  <si>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</si>
  <si>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</si>
  <si>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</si>
  <si>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</si>
  <si>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</si>
  <si>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</si>
  <si>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</si>
  <si>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</si>
  <si>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</si>
  <si>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</si>
  <si>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</si>
  <si>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</si>
  <si>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</si>
  <si>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</si>
  <si>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</si>
  <si>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</si>
  <si>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</si>
  <si>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</si>
  <si>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</si>
  <si>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</si>
  <si>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</si>
  <si>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</si>
  <si>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</si>
  <si>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</si>
  <si>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</si>
  <si>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</si>
  <si>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</si>
  <si>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</si>
  <si>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</si>
  <si>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</si>
  <si>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</si>
  <si>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</si>
  <si>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</si>
  <si>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</si>
  <si>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</si>
  <si>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</si>
  <si>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</si>
  <si>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</si>
  <si>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</si>
  <si>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</si>
  <si>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</si>
  <si>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</si>
  <si>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</si>
  <si>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</si>
  <si>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</si>
  <si>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</si>
  <si>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</si>
  <si>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</si>
  <si>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</si>
  <si>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</si>
  <si>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</si>
  <si>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</si>
  <si>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</si>
  <si>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</si>
  <si>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</si>
  <si>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</si>
  <si>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</si>
  <si>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</si>
  <si>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</si>
  <si>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</si>
  <si>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</si>
  <si>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</si>
  <si>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</si>
  <si>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</si>
  <si>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</si>
  <si>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</si>
  <si>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</si>
  <si>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</si>
  <si>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</si>
  <si>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</si>
  <si>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</si>
  <si>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</si>
  <si>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</si>
  <si>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</si>
  <si>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</si>
  <si>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</si>
  <si>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</si>
  <si>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</si>
  <si>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</si>
  <si>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</si>
  <si>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</si>
  <si>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</si>
  <si>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</si>
  <si>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</si>
  <si>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</si>
  <si>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</si>
  <si>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</si>
  <si>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</si>
  <si>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</si>
  <si>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</si>
  <si>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</si>
  <si>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</si>
  <si>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</si>
  <si>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</si>
  <si>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</si>
  <si>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</si>
  <si>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</si>
  <si>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</si>
  <si>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</si>
  <si>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</si>
  <si>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</si>
  <si>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</si>
  <si>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</si>
  <si>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</si>
  <si>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</si>
  <si>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</si>
  <si>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</si>
  <si>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</si>
  <si>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</si>
  <si>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</si>
  <si>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</si>
  <si>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</si>
  <si>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</si>
  <si>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</si>
  <si>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</si>
  <si>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</si>
  <si>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</si>
  <si>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ppb</t>
  </si>
  <si>
    <t>01-03-2023 00:15</t>
  </si>
  <si>
    <t>01-03-2023 00:30</t>
  </si>
  <si>
    <t>01-03-2023 00:45</t>
  </si>
  <si>
    <t>01-03-2023 01:00</t>
  </si>
  <si>
    <t>01-03-2023 01:15</t>
  </si>
  <si>
    <t>01-03-2023 01:30</t>
  </si>
  <si>
    <t>01-03-2023 01:45</t>
  </si>
  <si>
    <t>01-03-2023 02:00</t>
  </si>
  <si>
    <t>01-03-2023 02:15</t>
  </si>
  <si>
    <t>01-03-2023 02:30</t>
  </si>
  <si>
    <t>01-03-2023 02:45</t>
  </si>
  <si>
    <t>01-03-2023 03:00</t>
  </si>
  <si>
    <t>01-03-2023 03:15</t>
  </si>
  <si>
    <t>01-03-2023 03:30</t>
  </si>
  <si>
    <t>01-03-2023 03:45</t>
  </si>
  <si>
    <t>01-03-2023 04:00</t>
  </si>
  <si>
    <t>01-03-2023 04:15</t>
  </si>
  <si>
    <t>01-03-2023 04:30</t>
  </si>
  <si>
    <t>01-03-2023 04:45</t>
  </si>
  <si>
    <t>01-03-2023 05:00</t>
  </si>
  <si>
    <t>01-03-2023 05:15</t>
  </si>
  <si>
    <t>01-03-2023 05:30</t>
  </si>
  <si>
    <t>01-03-2023 05:45</t>
  </si>
  <si>
    <t>01-03-2023 06:00</t>
  </si>
  <si>
    <t>01-03-2023 06:15</t>
  </si>
  <si>
    <t>01-03-2023 06:30</t>
  </si>
  <si>
    <t>01-03-2023 06:45</t>
  </si>
  <si>
    <t>01-03-2023 07:00</t>
  </si>
  <si>
    <t>01-03-2023 07:15</t>
  </si>
  <si>
    <t>01-03-2023 07:30</t>
  </si>
  <si>
    <t>01-03-2023 07:45</t>
  </si>
  <si>
    <t>01-03-2023 08:00</t>
  </si>
  <si>
    <t>01-03-2023 08:15</t>
  </si>
  <si>
    <t>01-03-2023 08:30</t>
  </si>
  <si>
    <t>01-03-2023 08:45</t>
  </si>
  <si>
    <t>01-03-2023 09:00</t>
  </si>
  <si>
    <t>01-03-2023 09:15</t>
  </si>
  <si>
    <t>01-03-2023 09:30</t>
  </si>
  <si>
    <t>01-03-2023 09:45</t>
  </si>
  <si>
    <t>01-03-2023 10:00</t>
  </si>
  <si>
    <t>01-03-2023 10:15</t>
  </si>
  <si>
    <t>01-03-2023 10:30</t>
  </si>
  <si>
    <t>01-03-2023 10:45</t>
  </si>
  <si>
    <t>01-03-2023 11:00</t>
  </si>
  <si>
    <t>01-03-2023 11:15</t>
  </si>
  <si>
    <t>01-03-2023 11:30</t>
  </si>
  <si>
    <t>01-03-2023 11:45</t>
  </si>
  <si>
    <t>01-03-2023 12:00</t>
  </si>
  <si>
    <t>01-03-2023 12:15</t>
  </si>
  <si>
    <t>01-03-2023 12:30</t>
  </si>
  <si>
    <t>01-03-2023 12:45</t>
  </si>
  <si>
    <t>01-03-2023 13:00</t>
  </si>
  <si>
    <t>01-03-2023 13:15</t>
  </si>
  <si>
    <t>01-03-2023 13:30</t>
  </si>
  <si>
    <t>01-03-2023 13:45</t>
  </si>
  <si>
    <t>01-03-2023 14:00</t>
  </si>
  <si>
    <t>01-03-2023 14:15</t>
  </si>
  <si>
    <t>01-03-2023 14:30</t>
  </si>
  <si>
    <t>01-03-2023 14:45</t>
  </si>
  <si>
    <t>01-03-2023 15:00</t>
  </si>
  <si>
    <t>01-03-2023 15:15</t>
  </si>
  <si>
    <t>01-03-2023 15:30</t>
  </si>
  <si>
    <t>01-03-2023 15:45</t>
  </si>
  <si>
    <t>01-03-2023 16:00</t>
  </si>
  <si>
    <t>01-03-2023 16:15</t>
  </si>
  <si>
    <t>01-03-2023 16:30</t>
  </si>
  <si>
    <t>01-03-2023 16:45</t>
  </si>
  <si>
    <t>01-03-2023 17:00</t>
  </si>
  <si>
    <t>01-03-2023 17:15</t>
  </si>
  <si>
    <t>01-03-2023 17:30</t>
  </si>
  <si>
    <t>01-03-2023 17:45</t>
  </si>
  <si>
    <t>01-03-2023 18:00</t>
  </si>
  <si>
    <t>01-03-2023 18:15</t>
  </si>
  <si>
    <t>01-03-2023 18:30</t>
  </si>
  <si>
    <t>01-03-2023 18:45</t>
  </si>
  <si>
    <t>01-03-2023 19:00</t>
  </si>
  <si>
    <t>01-03-2023 19:15</t>
  </si>
  <si>
    <t>01-03-2023 19:30</t>
  </si>
  <si>
    <t>01-03-2023 19:45</t>
  </si>
  <si>
    <t>01-03-2023 20:00</t>
  </si>
  <si>
    <t>01-03-2023 20:15</t>
  </si>
  <si>
    <t>01-03-2023 20:30</t>
  </si>
  <si>
    <t>01-03-2023 20:45</t>
  </si>
  <si>
    <t>01-03-2023 21:00</t>
  </si>
  <si>
    <t>01-03-2023 21:15</t>
  </si>
  <si>
    <t>01-03-2023 21:30</t>
  </si>
  <si>
    <t>01-03-2023 21:45</t>
  </si>
  <si>
    <t>01-03-2023 22:00</t>
  </si>
  <si>
    <t>01-03-2023 22:15</t>
  </si>
  <si>
    <t>01-03-2023 22:30</t>
  </si>
  <si>
    <t>01-03-2023 22:45</t>
  </si>
  <si>
    <t>01-03-2023 23:00</t>
  </si>
  <si>
    <t>01-03-2023 23:15</t>
  </si>
  <si>
    <t>01-03-2023 23:30</t>
  </si>
  <si>
    <t>01-03-2023 23:45</t>
  </si>
  <si>
    <t>01-03-2023 24:00</t>
  </si>
  <si>
    <t>02-03-2023 00:15</t>
  </si>
  <si>
    <t>02-03-2023 00:30</t>
  </si>
  <si>
    <t>02-03-2023 00:45</t>
  </si>
  <si>
    <t>02-03-2023 01:00</t>
  </si>
  <si>
    <t>02-03-2023 01:15</t>
  </si>
  <si>
    <t>02-03-2023 01:30</t>
  </si>
  <si>
    <t>02-03-2023 01:45</t>
  </si>
  <si>
    <t>02-03-2023 02:00</t>
  </si>
  <si>
    <t>02-03-2023 02:15</t>
  </si>
  <si>
    <t>02-03-2023 02:30</t>
  </si>
  <si>
    <t>02-03-2023 02:45</t>
  </si>
  <si>
    <t>02-03-2023 03:00</t>
  </si>
  <si>
    <t>02-03-2023 03:15</t>
  </si>
  <si>
    <t>02-03-2023 03:30</t>
  </si>
  <si>
    <t>02-03-2023 03:45</t>
  </si>
  <si>
    <t>02-03-2023 04:00</t>
  </si>
  <si>
    <t>02-03-2023 04:15</t>
  </si>
  <si>
    <t>02-03-2023 04:30</t>
  </si>
  <si>
    <t>02-03-2023 04:45</t>
  </si>
  <si>
    <t>02-03-2023 05:00</t>
  </si>
  <si>
    <t>02-03-2023 05:15</t>
  </si>
  <si>
    <t>02-03-2023 05:30</t>
  </si>
  <si>
    <t>02-03-2023 05:45</t>
  </si>
  <si>
    <t>02-03-2023 06:00</t>
  </si>
  <si>
    <t>02-03-2023 06:15</t>
  </si>
  <si>
    <t>02-03-2023 06:30</t>
  </si>
  <si>
    <t>02-03-2023 06:45</t>
  </si>
  <si>
    <t>02-03-2023 07:00</t>
  </si>
  <si>
    <t>02-03-2023 07:15</t>
  </si>
  <si>
    <t>02-03-2023 07:30</t>
  </si>
  <si>
    <t>02-03-2023 07:45</t>
  </si>
  <si>
    <t>02-03-2023 08:00</t>
  </si>
  <si>
    <t>02-03-2023 08:15</t>
  </si>
  <si>
    <t>02-03-2023 08:30</t>
  </si>
  <si>
    <t>02-03-2023 08:45</t>
  </si>
  <si>
    <t>02-03-2023 09:00</t>
  </si>
  <si>
    <t>02-03-2023 09:15</t>
  </si>
  <si>
    <t>02-03-2023 09:30</t>
  </si>
  <si>
    <t>02-03-2023 09:45</t>
  </si>
  <si>
    <t>02-03-2023 10:00</t>
  </si>
  <si>
    <t>02-03-2023 10:15</t>
  </si>
  <si>
    <t>02-03-2023 10:30</t>
  </si>
  <si>
    <t>02-03-2023 10:45</t>
  </si>
  <si>
    <t>02-03-2023 11:00</t>
  </si>
  <si>
    <t>02-03-2023 11:15</t>
  </si>
  <si>
    <t>02-03-2023 11:30</t>
  </si>
  <si>
    <t>02-03-2023 11:45</t>
  </si>
  <si>
    <t>02-03-2023 12:00</t>
  </si>
  <si>
    <t>02-03-2023 12:15</t>
  </si>
  <si>
    <t>02-03-2023 12:30</t>
  </si>
  <si>
    <t>02-03-2023 12:45</t>
  </si>
  <si>
    <t>02-03-2023 13:00</t>
  </si>
  <si>
    <t>02-03-2023 13:15</t>
  </si>
  <si>
    <t>02-03-2023 13:30</t>
  </si>
  <si>
    <t>02-03-2023 13:45</t>
  </si>
  <si>
    <t>02-03-2023 14:00</t>
  </si>
  <si>
    <t>02-03-2023 14:15</t>
  </si>
  <si>
    <t>02-03-2023 14:30</t>
  </si>
  <si>
    <t>02-03-2023 14:45</t>
  </si>
  <si>
    <t>02-03-2023 15:00</t>
  </si>
  <si>
    <t>02-03-2023 15:15</t>
  </si>
  <si>
    <t>02-03-2023 15:30</t>
  </si>
  <si>
    <t>02-03-2023 15:45</t>
  </si>
  <si>
    <t>02-03-2023 16:00</t>
  </si>
  <si>
    <t>02-03-2023 16:15</t>
  </si>
  <si>
    <t>02-03-2023 16:30</t>
  </si>
  <si>
    <t>02-03-2023 16:45</t>
  </si>
  <si>
    <t>02-03-2023 17:00</t>
  </si>
  <si>
    <t>02-03-2023 17:15</t>
  </si>
  <si>
    <t>02-03-2023 17:30</t>
  </si>
  <si>
    <t>02-03-2023 17:45</t>
  </si>
  <si>
    <t>02-03-2023 18:00</t>
  </si>
  <si>
    <t>02-03-2023 18:15</t>
  </si>
  <si>
    <t>02-03-2023 18:30</t>
  </si>
  <si>
    <t>02-03-2023 18:45</t>
  </si>
  <si>
    <t>02-03-2023 19:00</t>
  </si>
  <si>
    <t>02-03-2023 19:15</t>
  </si>
  <si>
    <t>02-03-2023 19:30</t>
  </si>
  <si>
    <t>02-03-2023 19:45</t>
  </si>
  <si>
    <t>02-03-2023 20:00</t>
  </si>
  <si>
    <t>02-03-2023 20:15</t>
  </si>
  <si>
    <t>02-03-2023 20:30</t>
  </si>
  <si>
    <t>02-03-2023 20:45</t>
  </si>
  <si>
    <t>02-03-2023 21:00</t>
  </si>
  <si>
    <t>02-03-2023 21:15</t>
  </si>
  <si>
    <t>02-03-2023 21:30</t>
  </si>
  <si>
    <t>02-03-2023 21:45</t>
  </si>
  <si>
    <t>02-03-2023 22:00</t>
  </si>
  <si>
    <t>02-03-2023 22:15</t>
  </si>
  <si>
    <t>02-03-2023 22:30</t>
  </si>
  <si>
    <t>02-03-2023 22:45</t>
  </si>
  <si>
    <t>02-03-2023 23:00</t>
  </si>
  <si>
    <t>02-03-2023 23:15</t>
  </si>
  <si>
    <t>02-03-2023 23:30</t>
  </si>
  <si>
    <t>02-03-2023 23:45</t>
  </si>
  <si>
    <t>02-03-2023 24:00</t>
  </si>
  <si>
    <t>03-03-2023 00:15</t>
  </si>
  <si>
    <t>03-03-2023 00:30</t>
  </si>
  <si>
    <t>03-03-2023 00:45</t>
  </si>
  <si>
    <t>03-03-2023 01:00</t>
  </si>
  <si>
    <t>03-03-2023 01:15</t>
  </si>
  <si>
    <t>03-03-2023 01:30</t>
  </si>
  <si>
    <t>03-03-2023 01:45</t>
  </si>
  <si>
    <t>03-03-2023 02:00</t>
  </si>
  <si>
    <t>03-03-2023 02:15</t>
  </si>
  <si>
    <t>03-03-2023 02:30</t>
  </si>
  <si>
    <t>03-03-2023 02:45</t>
  </si>
  <si>
    <t>03-03-2023 03:00</t>
  </si>
  <si>
    <t>03-03-2023 03:15</t>
  </si>
  <si>
    <t>03-03-2023 03:30</t>
  </si>
  <si>
    <t>03-03-2023 03:45</t>
  </si>
  <si>
    <t>03-03-2023 04:00</t>
  </si>
  <si>
    <t>03-03-2023 04:15</t>
  </si>
  <si>
    <t>03-03-2023 04:30</t>
  </si>
  <si>
    <t>03-03-2023 04:45</t>
  </si>
  <si>
    <t>03-03-2023 05:00</t>
  </si>
  <si>
    <t>03-03-2023 05:15</t>
  </si>
  <si>
    <t>03-03-2023 05:30</t>
  </si>
  <si>
    <t>03-03-2023 05:45</t>
  </si>
  <si>
    <t>03-03-2023 06:00</t>
  </si>
  <si>
    <t>03-03-2023 06:15</t>
  </si>
  <si>
    <t>03-03-2023 06:30</t>
  </si>
  <si>
    <t>03-03-2023 06:45</t>
  </si>
  <si>
    <t>03-03-2023 07:00</t>
  </si>
  <si>
    <t>03-03-2023 07:15</t>
  </si>
  <si>
    <t>03-03-2023 07:30</t>
  </si>
  <si>
    <t>03-03-2023 07:45</t>
  </si>
  <si>
    <t>03-03-2023 08:00</t>
  </si>
  <si>
    <t>03-03-2023 08:15</t>
  </si>
  <si>
    <t>03-03-2023 08:30</t>
  </si>
  <si>
    <t>03-03-2023 08:45</t>
  </si>
  <si>
    <t>03-03-2023 09:00</t>
  </si>
  <si>
    <t>03-03-2023 09:15</t>
  </si>
  <si>
    <t>03-03-2023 09:30</t>
  </si>
  <si>
    <t>03-03-2023 09:45</t>
  </si>
  <si>
    <t>03-03-2023 10:00</t>
  </si>
  <si>
    <t>03-03-2023 10:15</t>
  </si>
  <si>
    <t>03-03-2023 10:30</t>
  </si>
  <si>
    <t>03-03-2023 10:45</t>
  </si>
  <si>
    <t>03-03-2023 11:00</t>
  </si>
  <si>
    <t>03-03-2023 11:15</t>
  </si>
  <si>
    <t>03-03-2023 11:30</t>
  </si>
  <si>
    <t>03-03-2023 11:45</t>
  </si>
  <si>
    <t>03-03-2023 12:00</t>
  </si>
  <si>
    <t>03-03-2023 12:15</t>
  </si>
  <si>
    <t>03-03-2023 12:30</t>
  </si>
  <si>
    <t>03-03-2023 12:45</t>
  </si>
  <si>
    <t>03-03-2023 13:00</t>
  </si>
  <si>
    <t>03-03-2023 13:15</t>
  </si>
  <si>
    <t>03-03-2023 13:30</t>
  </si>
  <si>
    <t>03-03-2023 13:45</t>
  </si>
  <si>
    <t>03-03-2023 14:00</t>
  </si>
  <si>
    <t>03-03-2023 14:15</t>
  </si>
  <si>
    <t>03-03-2023 14:30</t>
  </si>
  <si>
    <t>03-03-2023 14:45</t>
  </si>
  <si>
    <t>03-03-2023 15:00</t>
  </si>
  <si>
    <t>03-03-2023 15:15</t>
  </si>
  <si>
    <t>03-03-2023 15:30</t>
  </si>
  <si>
    <t>03-03-2023 15:45</t>
  </si>
  <si>
    <t>03-03-2023 16:00</t>
  </si>
  <si>
    <t>03-03-2023 16:15</t>
  </si>
  <si>
    <t>03-03-2023 16:30</t>
  </si>
  <si>
    <t>03-03-2023 16:45</t>
  </si>
  <si>
    <t>03-03-2023 17:00</t>
  </si>
  <si>
    <t>03-03-2023 17:15</t>
  </si>
  <si>
    <t>03-03-2023 17:30</t>
  </si>
  <si>
    <t>03-03-2023 17:45</t>
  </si>
  <si>
    <t>03-03-2023 18:00</t>
  </si>
  <si>
    <t>03-03-2023 18:15</t>
  </si>
  <si>
    <t>03-03-2023 18:30</t>
  </si>
  <si>
    <t>03-03-2023 18:45</t>
  </si>
  <si>
    <t>03-03-2023 19:00</t>
  </si>
  <si>
    <t>03-03-2023 19:15</t>
  </si>
  <si>
    <t>03-03-2023 19:30</t>
  </si>
  <si>
    <t>03-03-2023 19:45</t>
  </si>
  <si>
    <t>03-03-2023 20:00</t>
  </si>
  <si>
    <t>03-03-2023 20:15</t>
  </si>
  <si>
    <t>03-03-2023 20:30</t>
  </si>
  <si>
    <t>03-03-2023 20:45</t>
  </si>
  <si>
    <t>03-03-2023 21:00</t>
  </si>
  <si>
    <t>03-03-2023 21:15</t>
  </si>
  <si>
    <t>03-03-2023 21:30</t>
  </si>
  <si>
    <t>03-03-2023 21:45</t>
  </si>
  <si>
    <t>03-03-2023 22:00</t>
  </si>
  <si>
    <t>03-03-2023 22:15</t>
  </si>
  <si>
    <t>03-03-2023 22:30</t>
  </si>
  <si>
    <t>03-03-2023 22:45</t>
  </si>
  <si>
    <t>03-03-2023 23:00</t>
  </si>
  <si>
    <t>03-03-2023 23:15</t>
  </si>
  <si>
    <t>03-03-2023 23:30</t>
  </si>
  <si>
    <t>03-03-2023 23:45</t>
  </si>
  <si>
    <t>03-03-2023 24:00</t>
  </si>
  <si>
    <t>847 ug/cm2</t>
  </si>
  <si>
    <t>835 ug/cm2</t>
  </si>
  <si>
    <t xml:space="preserve">01/03/2023 -31/03/2023 </t>
  </si>
  <si>
    <t>04-03-2023 00:15</t>
  </si>
  <si>
    <t>04-03-2023 00:30</t>
  </si>
  <si>
    <t>04-03-2023 00:45</t>
  </si>
  <si>
    <t>04-03-2023 01:00</t>
  </si>
  <si>
    <t>04-03-2023 01:15</t>
  </si>
  <si>
    <t>04-03-2023 01:30</t>
  </si>
  <si>
    <t>04-03-2023 01:45</t>
  </si>
  <si>
    <t>04-03-2023 02:00</t>
  </si>
  <si>
    <t>04-03-2023 02:15</t>
  </si>
  <si>
    <t>04-03-2023 02:30</t>
  </si>
  <si>
    <t>04-03-2023 02:45</t>
  </si>
  <si>
    <t>04-03-2023 03:00</t>
  </si>
  <si>
    <t>04-03-2023 03:15</t>
  </si>
  <si>
    <t>04-03-2023 03:30</t>
  </si>
  <si>
    <t>04-03-2023 03:45</t>
  </si>
  <si>
    <t>04-03-2023 04:00</t>
  </si>
  <si>
    <t>04-03-2023 04:15</t>
  </si>
  <si>
    <t>04-03-2023 04:30</t>
  </si>
  <si>
    <t>04-03-2023 04:45</t>
  </si>
  <si>
    <t>04-03-2023 05:00</t>
  </si>
  <si>
    <t>04-03-2023 05:15</t>
  </si>
  <si>
    <t>04-03-2023 05:30</t>
  </si>
  <si>
    <t>04-03-2023 05:45</t>
  </si>
  <si>
    <t>04-03-2023 06:00</t>
  </si>
  <si>
    <t>04-03-2023 06:15</t>
  </si>
  <si>
    <t>04-03-2023 06:30</t>
  </si>
  <si>
    <t>04-03-2023 06:45</t>
  </si>
  <si>
    <t>04-03-2023 07:00</t>
  </si>
  <si>
    <t>04-03-2023 07:15</t>
  </si>
  <si>
    <t>04-03-2023 07:30</t>
  </si>
  <si>
    <t>04-03-2023 07:45</t>
  </si>
  <si>
    <t>04-03-2023 08:00</t>
  </si>
  <si>
    <t>04-03-2023 08:15</t>
  </si>
  <si>
    <t>04-03-2023 08:30</t>
  </si>
  <si>
    <t>04-03-2023 08:45</t>
  </si>
  <si>
    <t>04-03-2023 09:00</t>
  </si>
  <si>
    <t>04-03-2023 09:15</t>
  </si>
  <si>
    <t>04-03-2023 09:30</t>
  </si>
  <si>
    <t>04-03-2023 09:45</t>
  </si>
  <si>
    <t>04-03-2023 10:00</t>
  </si>
  <si>
    <t>04-03-2023 10:15</t>
  </si>
  <si>
    <t>04-03-2023 10:30</t>
  </si>
  <si>
    <t>04-03-2023 10:45</t>
  </si>
  <si>
    <t>04-03-2023 11:00</t>
  </si>
  <si>
    <t>04-03-2023 11:15</t>
  </si>
  <si>
    <t>04-03-2023 11:30</t>
  </si>
  <si>
    <t>04-03-2023 11:45</t>
  </si>
  <si>
    <t>04-03-2023 12:00</t>
  </si>
  <si>
    <t>04-03-2023 12:15</t>
  </si>
  <si>
    <t>04-03-2023 12:30</t>
  </si>
  <si>
    <t>04-03-2023 12:45</t>
  </si>
  <si>
    <t>04-03-2023 13:00</t>
  </si>
  <si>
    <t>04-03-2023 13:15</t>
  </si>
  <si>
    <t>04-03-2023 13:30</t>
  </si>
  <si>
    <t>04-03-2023 13:45</t>
  </si>
  <si>
    <t>04-03-2023 14:00</t>
  </si>
  <si>
    <t>04-03-2023 14:15</t>
  </si>
  <si>
    <t>04-03-2023 14:30</t>
  </si>
  <si>
    <t>04-03-2023 14:45</t>
  </si>
  <si>
    <t>04-03-2023 15:00</t>
  </si>
  <si>
    <t>04-03-2023 15:15</t>
  </si>
  <si>
    <t>04-03-2023 15:30</t>
  </si>
  <si>
    <t>04-03-2023 15:45</t>
  </si>
  <si>
    <t>04-03-2023 16:00</t>
  </si>
  <si>
    <t>04-03-2023 16:15</t>
  </si>
  <si>
    <t>04-03-2023 16:30</t>
  </si>
  <si>
    <t>04-03-2023 16:45</t>
  </si>
  <si>
    <t>04-03-2023 17:00</t>
  </si>
  <si>
    <t>04-03-2023 17:15</t>
  </si>
  <si>
    <t>04-03-2023 17:30</t>
  </si>
  <si>
    <t>04-03-2023 17:45</t>
  </si>
  <si>
    <t>04-03-2023 18:00</t>
  </si>
  <si>
    <t>04-03-2023 18:15</t>
  </si>
  <si>
    <t>04-03-2023 18:30</t>
  </si>
  <si>
    <t>04-03-2023 18:45</t>
  </si>
  <si>
    <t>04-03-2023 19:00</t>
  </si>
  <si>
    <t>04-03-2023 19:15</t>
  </si>
  <si>
    <t>04-03-2023 19:30</t>
  </si>
  <si>
    <t>04-03-2023 19:45</t>
  </si>
  <si>
    <t>04-03-2023 20:00</t>
  </si>
  <si>
    <t>04-03-2023 20:15</t>
  </si>
  <si>
    <t>04-03-2023 20:30</t>
  </si>
  <si>
    <t>04-03-2023 20:45</t>
  </si>
  <si>
    <t>04-03-2023 21:00</t>
  </si>
  <si>
    <t>04-03-2023 21:15</t>
  </si>
  <si>
    <t>04-03-2023 21:30</t>
  </si>
  <si>
    <t>04-03-2023 21:45</t>
  </si>
  <si>
    <t>04-03-2023 22:00</t>
  </si>
  <si>
    <t>04-03-2023 22:15</t>
  </si>
  <si>
    <t>04-03-2023 22:30</t>
  </si>
  <si>
    <t>04-03-2023 22:45</t>
  </si>
  <si>
    <t>04-03-2023 23:00</t>
  </si>
  <si>
    <t>04-03-2023 23:15</t>
  </si>
  <si>
    <t>04-03-2023 23:30</t>
  </si>
  <si>
    <t>04-03-2023 23:45</t>
  </si>
  <si>
    <t>04-03-2023 24:00</t>
  </si>
  <si>
    <t>05-03-2023 00:15</t>
  </si>
  <si>
    <t>05-03-2023 00:30</t>
  </si>
  <si>
    <t>05-03-2023 00:45</t>
  </si>
  <si>
    <t>05-03-2023 01:00</t>
  </si>
  <si>
    <t>05-03-2023 01:15</t>
  </si>
  <si>
    <t>05-03-2023 01:30</t>
  </si>
  <si>
    <t>05-03-2023 01:45</t>
  </si>
  <si>
    <t>05-03-2023 02:00</t>
  </si>
  <si>
    <t>05-03-2023 02:15</t>
  </si>
  <si>
    <t>05-03-2023 02:30</t>
  </si>
  <si>
    <t>05-03-2023 02:45</t>
  </si>
  <si>
    <t>05-03-2023 03:00</t>
  </si>
  <si>
    <t>05-03-2023 03:15</t>
  </si>
  <si>
    <t>05-03-2023 03:30</t>
  </si>
  <si>
    <t>05-03-2023 03:45</t>
  </si>
  <si>
    <t>05-03-2023 04:00</t>
  </si>
  <si>
    <t>05-03-2023 04:15</t>
  </si>
  <si>
    <t>05-03-2023 04:30</t>
  </si>
  <si>
    <t>05-03-2023 04:45</t>
  </si>
  <si>
    <t>05-03-2023 05:00</t>
  </si>
  <si>
    <t>05-03-2023 05:15</t>
  </si>
  <si>
    <t>05-03-2023 05:30</t>
  </si>
  <si>
    <t>05-03-2023 05:45</t>
  </si>
  <si>
    <t>05-03-2023 06:00</t>
  </si>
  <si>
    <t>05-03-2023 06:15</t>
  </si>
  <si>
    <t>05-03-2023 06:30</t>
  </si>
  <si>
    <t>05-03-2023 06:45</t>
  </si>
  <si>
    <t>05-03-2023 07:00</t>
  </si>
  <si>
    <t>05-03-2023 07:15</t>
  </si>
  <si>
    <t>05-03-2023 07:30</t>
  </si>
  <si>
    <t>05-03-2023 07:45</t>
  </si>
  <si>
    <t>05-03-2023 08:00</t>
  </si>
  <si>
    <t>05-03-2023 08:15</t>
  </si>
  <si>
    <t>05-03-2023 08:30</t>
  </si>
  <si>
    <t>05-03-2023 08:45</t>
  </si>
  <si>
    <t>05-03-2023 09:00</t>
  </si>
  <si>
    <t>05-03-2023 09:15</t>
  </si>
  <si>
    <t>05-03-2023 09:30</t>
  </si>
  <si>
    <t>05-03-2023 09:45</t>
  </si>
  <si>
    <t>05-03-2023 10:00</t>
  </si>
  <si>
    <t>05-03-2023 10:15</t>
  </si>
  <si>
    <t>05-03-2023 10:30</t>
  </si>
  <si>
    <t>05-03-2023 10:45</t>
  </si>
  <si>
    <t>05-03-2023 11:00</t>
  </si>
  <si>
    <t>05-03-2023 11:15</t>
  </si>
  <si>
    <t>05-03-2023 11:30</t>
  </si>
  <si>
    <t>05-03-2023 11:45</t>
  </si>
  <si>
    <t>05-03-2023 12:00</t>
  </si>
  <si>
    <t>05-03-2023 12:15</t>
  </si>
  <si>
    <t>05-03-2023 12:30</t>
  </si>
  <si>
    <t>05-03-2023 12:45</t>
  </si>
  <si>
    <t>05-03-2023 13:00</t>
  </si>
  <si>
    <t>05-03-2023 13:15</t>
  </si>
  <si>
    <t>05-03-2023 13:30</t>
  </si>
  <si>
    <t>05-03-2023 13:45</t>
  </si>
  <si>
    <t>05-03-2023 14:00</t>
  </si>
  <si>
    <t>05-03-2023 14:15</t>
  </si>
  <si>
    <t>05-03-2023 14:30</t>
  </si>
  <si>
    <t>05-03-2023 14:45</t>
  </si>
  <si>
    <t>05-03-2023 15:00</t>
  </si>
  <si>
    <t>05-03-2023 15:15</t>
  </si>
  <si>
    <t>05-03-2023 15:30</t>
  </si>
  <si>
    <t>05-03-2023 15:45</t>
  </si>
  <si>
    <t>05-03-2023 16:00</t>
  </si>
  <si>
    <t>05-03-2023 16:15</t>
  </si>
  <si>
    <t>05-03-2023 16:30</t>
  </si>
  <si>
    <t>05-03-2023 16:45</t>
  </si>
  <si>
    <t>05-03-2023 17:00</t>
  </si>
  <si>
    <t>05-03-2023 17:15</t>
  </si>
  <si>
    <t>05-03-2023 17:30</t>
  </si>
  <si>
    <t>05-03-2023 17:45</t>
  </si>
  <si>
    <t>05-03-2023 18:00</t>
  </si>
  <si>
    <t>05-03-2023 18:15</t>
  </si>
  <si>
    <t>05-03-2023 18:30</t>
  </si>
  <si>
    <t>05-03-2023 18:45</t>
  </si>
  <si>
    <t>05-03-2023 19:00</t>
  </si>
  <si>
    <t>05-03-2023 19:15</t>
  </si>
  <si>
    <t>05-03-2023 19:30</t>
  </si>
  <si>
    <t>05-03-2023 19:45</t>
  </si>
  <si>
    <t>05-03-2023 20:00</t>
  </si>
  <si>
    <t>05-03-2023 20:15</t>
  </si>
  <si>
    <t>05-03-2023 20:30</t>
  </si>
  <si>
    <t>05-03-2023 20:45</t>
  </si>
  <si>
    <t>05-03-2023 21:00</t>
  </si>
  <si>
    <t>05-03-2023 21:15</t>
  </si>
  <si>
    <t>05-03-2023 21:30</t>
  </si>
  <si>
    <t>05-03-2023 21:45</t>
  </si>
  <si>
    <t>05-03-2023 22:00</t>
  </si>
  <si>
    <t>05-03-2023 22:15</t>
  </si>
  <si>
    <t>05-03-2023 22:30</t>
  </si>
  <si>
    <t>05-03-2023 22:45</t>
  </si>
  <si>
    <t>05-03-2023 23:00</t>
  </si>
  <si>
    <t>05-03-2023 23:15</t>
  </si>
  <si>
    <t>05-03-2023 23:30</t>
  </si>
  <si>
    <t>05-03-2023 23:45</t>
  </si>
  <si>
    <t>05-03-2023 24:00</t>
  </si>
  <si>
    <t>06-03-2023 00:15</t>
  </si>
  <si>
    <t>06-03-2023 00:30</t>
  </si>
  <si>
    <t>06-03-2023 00:45</t>
  </si>
  <si>
    <t>06-03-2023 01:00</t>
  </si>
  <si>
    <t>06-03-2023 01:15</t>
  </si>
  <si>
    <t>06-03-2023 01:30</t>
  </si>
  <si>
    <t>06-03-2023 01:45</t>
  </si>
  <si>
    <t>06-03-2023 02:00</t>
  </si>
  <si>
    <t>06-03-2023 02:15</t>
  </si>
  <si>
    <t>06-03-2023 02:30</t>
  </si>
  <si>
    <t>06-03-2023 02:45</t>
  </si>
  <si>
    <t>06-03-2023 03:00</t>
  </si>
  <si>
    <t>06-03-2023 03:15</t>
  </si>
  <si>
    <t>06-03-2023 03:30</t>
  </si>
  <si>
    <t>06-03-2023 03:45</t>
  </si>
  <si>
    <t>06-03-2023 04:00</t>
  </si>
  <si>
    <t>06-03-2023 04:15</t>
  </si>
  <si>
    <t>06-03-2023 04:30</t>
  </si>
  <si>
    <t>06-03-2023 04:45</t>
  </si>
  <si>
    <t>06-03-2023 05:00</t>
  </si>
  <si>
    <t>06-03-2023 05:15</t>
  </si>
  <si>
    <t>06-03-2023 05:30</t>
  </si>
  <si>
    <t>06-03-2023 05:45</t>
  </si>
  <si>
    <t>06-03-2023 06:00</t>
  </si>
  <si>
    <t>06-03-2023 06:15</t>
  </si>
  <si>
    <t>06-03-2023 06:30</t>
  </si>
  <si>
    <t>06-03-2023 06:45</t>
  </si>
  <si>
    <t>06-03-2023 07:00</t>
  </si>
  <si>
    <t>06-03-2023 07:15</t>
  </si>
  <si>
    <t>06-03-2023 07:30</t>
  </si>
  <si>
    <t>06-03-2023 07:45</t>
  </si>
  <si>
    <t>06-03-2023 08:00</t>
  </si>
  <si>
    <t>06-03-2023 08:15</t>
  </si>
  <si>
    <t>06-03-2023 08:30</t>
  </si>
  <si>
    <t>06-03-2023 08:45</t>
  </si>
  <si>
    <t>06-03-2023 09:00</t>
  </si>
  <si>
    <t>06-03-2023 09:15</t>
  </si>
  <si>
    <t>06-03-2023 09:30</t>
  </si>
  <si>
    <t>06-03-2023 09:45</t>
  </si>
  <si>
    <t>06-03-2023 10:00</t>
  </si>
  <si>
    <t>06-03-2023 10:15</t>
  </si>
  <si>
    <t>06-03-2023 10:30</t>
  </si>
  <si>
    <t>06-03-2023 10:45</t>
  </si>
  <si>
    <t>06-03-2023 11:00</t>
  </si>
  <si>
    <t>06-03-2023 11:15</t>
  </si>
  <si>
    <t>06-03-2023 11:30</t>
  </si>
  <si>
    <t>06-03-2023 11:45</t>
  </si>
  <si>
    <t>06-03-2023 12:00</t>
  </si>
  <si>
    <t>06-03-2023 12:15</t>
  </si>
  <si>
    <t>06-03-2023 12:30</t>
  </si>
  <si>
    <t>06-03-2023 12:45</t>
  </si>
  <si>
    <t>06-03-2023 13:00</t>
  </si>
  <si>
    <t>06-03-2023 13:15</t>
  </si>
  <si>
    <t>06-03-2023 13:30</t>
  </si>
  <si>
    <t>06-03-2023 13:45</t>
  </si>
  <si>
    <t>06-03-2023 14:00</t>
  </si>
  <si>
    <t>06-03-2023 14:15</t>
  </si>
  <si>
    <t>06-03-2023 14:30</t>
  </si>
  <si>
    <t>06-03-2023 14:45</t>
  </si>
  <si>
    <t>06-03-2023 15:00</t>
  </si>
  <si>
    <t>06-03-2023 15:15</t>
  </si>
  <si>
    <t>06-03-2023 15:30</t>
  </si>
  <si>
    <t>06-03-2023 15:45</t>
  </si>
  <si>
    <t>06-03-2023 16:00</t>
  </si>
  <si>
    <t>06-03-2023 16:15</t>
  </si>
  <si>
    <t>06-03-2023 16:30</t>
  </si>
  <si>
    <t>06-03-2023 16:45</t>
  </si>
  <si>
    <t>06-03-2023 17:00</t>
  </si>
  <si>
    <t>06-03-2023 17:15</t>
  </si>
  <si>
    <t>06-03-2023 17:30</t>
  </si>
  <si>
    <t>06-03-2023 17:45</t>
  </si>
  <si>
    <t>06-03-2023 18:00</t>
  </si>
  <si>
    <t>06-03-2023 18:15</t>
  </si>
  <si>
    <t>06-03-2023 18:30</t>
  </si>
  <si>
    <t>06-03-2023 18:45</t>
  </si>
  <si>
    <t>06-03-2023 19:00</t>
  </si>
  <si>
    <t>06-03-2023 19:15</t>
  </si>
  <si>
    <t>06-03-2023 19:30</t>
  </si>
  <si>
    <t>06-03-2023 19:45</t>
  </si>
  <si>
    <t>06-03-2023 20:00</t>
  </si>
  <si>
    <t>06-03-2023 20:15</t>
  </si>
  <si>
    <t>06-03-2023 20:30</t>
  </si>
  <si>
    <t>06-03-2023 20:45</t>
  </si>
  <si>
    <t>06-03-2023 21:00</t>
  </si>
  <si>
    <t>06-03-2023 21:15</t>
  </si>
  <si>
    <t>06-03-2023 21:30</t>
  </si>
  <si>
    <t>06-03-2023 21:45</t>
  </si>
  <si>
    <t>06-03-2023 22:00</t>
  </si>
  <si>
    <t>06-03-2023 22:15</t>
  </si>
  <si>
    <t>06-03-2023 22:30</t>
  </si>
  <si>
    <t>06-03-2023 22:45</t>
  </si>
  <si>
    <t>06-03-2023 23:00</t>
  </si>
  <si>
    <t>06-03-2023 23:15</t>
  </si>
  <si>
    <t>06-03-2023 23:30</t>
  </si>
  <si>
    <t>06-03-2023 23:45</t>
  </si>
  <si>
    <t>06-03-2023 24:00</t>
  </si>
  <si>
    <t>07-03-2023 00:15</t>
  </si>
  <si>
    <t>07-03-2023 00:30</t>
  </si>
  <si>
    <t>07-03-2023 00:45</t>
  </si>
  <si>
    <t>07-03-2023 01:00</t>
  </si>
  <si>
    <t>07-03-2023 01:15</t>
  </si>
  <si>
    <t>07-03-2023 01:30</t>
  </si>
  <si>
    <t>07-03-2023 01:45</t>
  </si>
  <si>
    <t>07-03-2023 02:00</t>
  </si>
  <si>
    <t>07-03-2023 02:15</t>
  </si>
  <si>
    <t>07-03-2023 02:30</t>
  </si>
  <si>
    <t>07-03-2023 02:45</t>
  </si>
  <si>
    <t>07-03-2023 03:00</t>
  </si>
  <si>
    <t>07-03-2023 03:15</t>
  </si>
  <si>
    <t>07-03-2023 03:30</t>
  </si>
  <si>
    <t>07-03-2023 03:45</t>
  </si>
  <si>
    <t>07-03-2023 04:00</t>
  </si>
  <si>
    <t>07-03-2023 04:15</t>
  </si>
  <si>
    <t>07-03-2023 04:30</t>
  </si>
  <si>
    <t>07-03-2023 04:45</t>
  </si>
  <si>
    <t>07-03-2023 05:00</t>
  </si>
  <si>
    <t>07-03-2023 05:15</t>
  </si>
  <si>
    <t>07-03-2023 05:30</t>
  </si>
  <si>
    <t>07-03-2023 05:45</t>
  </si>
  <si>
    <t>07-03-2023 06:00</t>
  </si>
  <si>
    <t>07-03-2023 06:15</t>
  </si>
  <si>
    <t>07-03-2023 06:30</t>
  </si>
  <si>
    <t>07-03-2023 06:45</t>
  </si>
  <si>
    <t>07-03-2023 07:00</t>
  </si>
  <si>
    <t>07-03-2023 07:15</t>
  </si>
  <si>
    <t>07-03-2023 07:30</t>
  </si>
  <si>
    <t>07-03-2023 07:45</t>
  </si>
  <si>
    <t>07-03-2023 08:00</t>
  </si>
  <si>
    <t>07-03-2023 08:15</t>
  </si>
  <si>
    <t>07-03-2023 08:30</t>
  </si>
  <si>
    <t>07-03-2023 08:45</t>
  </si>
  <si>
    <t>07-03-2023 09:00</t>
  </si>
  <si>
    <t>07-03-2023 09:15</t>
  </si>
  <si>
    <t>07-03-2023 09:30</t>
  </si>
  <si>
    <t>07-03-2023 09:45</t>
  </si>
  <si>
    <t>07-03-2023 10:00</t>
  </si>
  <si>
    <t>07-03-2023 10:15</t>
  </si>
  <si>
    <t>07-03-2023 10:30</t>
  </si>
  <si>
    <t>07-03-2023 10:45</t>
  </si>
  <si>
    <t>07-03-2023 11:00</t>
  </si>
  <si>
    <t>07-03-2023 11:15</t>
  </si>
  <si>
    <t>07-03-2023 11:30</t>
  </si>
  <si>
    <t>07-03-2023 11:45</t>
  </si>
  <si>
    <t>07-03-2023 12:00</t>
  </si>
  <si>
    <t>07-03-2023 12:15</t>
  </si>
  <si>
    <t>07-03-2023 12:30</t>
  </si>
  <si>
    <t>07-03-2023 12:45</t>
  </si>
  <si>
    <t>07-03-2023 13:00</t>
  </si>
  <si>
    <t>07-03-2023 13:15</t>
  </si>
  <si>
    <t>07-03-2023 13:30</t>
  </si>
  <si>
    <t>07-03-2023 13:45</t>
  </si>
  <si>
    <t>07-03-2023 14:00</t>
  </si>
  <si>
    <t>07-03-2023 14:15</t>
  </si>
  <si>
    <t>07-03-2023 14:30</t>
  </si>
  <si>
    <t>07-03-2023 14:45</t>
  </si>
  <si>
    <t>07-03-2023 15:00</t>
  </si>
  <si>
    <t>07-03-2023 15:15</t>
  </si>
  <si>
    <t>07-03-2023 15:30</t>
  </si>
  <si>
    <t>07-03-2023 15:45</t>
  </si>
  <si>
    <t>07-03-2023 16:00</t>
  </si>
  <si>
    <t>07-03-2023 16:15</t>
  </si>
  <si>
    <t>07-03-2023 16:30</t>
  </si>
  <si>
    <t>07-03-2023 16:45</t>
  </si>
  <si>
    <t>07-03-2023 17:00</t>
  </si>
  <si>
    <t>07-03-2023 17:15</t>
  </si>
  <si>
    <t>07-03-2023 17:30</t>
  </si>
  <si>
    <t>07-03-2023 17:45</t>
  </si>
  <si>
    <t>07-03-2023 18:00</t>
  </si>
  <si>
    <t>07-03-2023 18:15</t>
  </si>
  <si>
    <t>07-03-2023 18:30</t>
  </si>
  <si>
    <t>07-03-2023 18:45</t>
  </si>
  <si>
    <t>07-03-2023 19:00</t>
  </si>
  <si>
    <t>07-03-2023 19:15</t>
  </si>
  <si>
    <t>07-03-2023 19:30</t>
  </si>
  <si>
    <t>07-03-2023 19:45</t>
  </si>
  <si>
    <t>07-03-2023 20:00</t>
  </si>
  <si>
    <t>07-03-2023 20:15</t>
  </si>
  <si>
    <t>07-03-2023 20:30</t>
  </si>
  <si>
    <t>07-03-2023 20:45</t>
  </si>
  <si>
    <t>07-03-2023 21:00</t>
  </si>
  <si>
    <t>07-03-2023 21:15</t>
  </si>
  <si>
    <t>07-03-2023 21:30</t>
  </si>
  <si>
    <t>07-03-2023 21:45</t>
  </si>
  <si>
    <t>07-03-2023 22:00</t>
  </si>
  <si>
    <t>07-03-2023 22:15</t>
  </si>
  <si>
    <t>07-03-2023 22:30</t>
  </si>
  <si>
    <t>07-03-2023 22:45</t>
  </si>
  <si>
    <t>07-03-2023 23:00</t>
  </si>
  <si>
    <t>07-03-2023 23:15</t>
  </si>
  <si>
    <t>07-03-2023 23:30</t>
  </si>
  <si>
    <t>07-03-2023 23:45</t>
  </si>
  <si>
    <t>07-03-2023 24:00</t>
  </si>
  <si>
    <t>08-03-2023 00:15</t>
  </si>
  <si>
    <t>08-03-2023 00:30</t>
  </si>
  <si>
    <t>08-03-2023 00:45</t>
  </si>
  <si>
    <t>08-03-2023 01:00</t>
  </si>
  <si>
    <t>08-03-2023 01:15</t>
  </si>
  <si>
    <t>08-03-2023 01:30</t>
  </si>
  <si>
    <t>08-03-2023 01:45</t>
  </si>
  <si>
    <t>08-03-2023 02:00</t>
  </si>
  <si>
    <t>08-03-2023 02:15</t>
  </si>
  <si>
    <t>08-03-2023 02:30</t>
  </si>
  <si>
    <t>08-03-2023 02:45</t>
  </si>
  <si>
    <t>08-03-2023 03:00</t>
  </si>
  <si>
    <t>08-03-2023 03:15</t>
  </si>
  <si>
    <t>08-03-2023 03:30</t>
  </si>
  <si>
    <t>08-03-2023 03:45</t>
  </si>
  <si>
    <t>08-03-2023 04:00</t>
  </si>
  <si>
    <t>08-03-2023 04:15</t>
  </si>
  <si>
    <t>08-03-2023 04:30</t>
  </si>
  <si>
    <t>08-03-2023 04:45</t>
  </si>
  <si>
    <t>08-03-2023 05:00</t>
  </si>
  <si>
    <t>08-03-2023 05:15</t>
  </si>
  <si>
    <t>08-03-2023 05:30</t>
  </si>
  <si>
    <t>08-03-2023 05:45</t>
  </si>
  <si>
    <t>08-03-2023 06:00</t>
  </si>
  <si>
    <t>08-03-2023 06:15</t>
  </si>
  <si>
    <t>08-03-2023 06:30</t>
  </si>
  <si>
    <t>08-03-2023 06:45</t>
  </si>
  <si>
    <t>08-03-2023 07:00</t>
  </si>
  <si>
    <t>08-03-2023 07:15</t>
  </si>
  <si>
    <t>08-03-2023 07:30</t>
  </si>
  <si>
    <t>08-03-2023 07:45</t>
  </si>
  <si>
    <t>08-03-2023 08:00</t>
  </si>
  <si>
    <t>08-03-2023 08:15</t>
  </si>
  <si>
    <t>08-03-2023 08:30</t>
  </si>
  <si>
    <t>08-03-2023 08:45</t>
  </si>
  <si>
    <t>08-03-2023 09:00</t>
  </si>
  <si>
    <t>08-03-2023 09:15</t>
  </si>
  <si>
    <t>08-03-2023 09:30</t>
  </si>
  <si>
    <t>08-03-2023 09:45</t>
  </si>
  <si>
    <t>08-03-2023 10:00</t>
  </si>
  <si>
    <t>08-03-2023 10:15</t>
  </si>
  <si>
    <t>08-03-2023 10:30</t>
  </si>
  <si>
    <t>08-03-2023 10:45</t>
  </si>
  <si>
    <t>08-03-2023 11:00</t>
  </si>
  <si>
    <t>08-03-2023 11:15</t>
  </si>
  <si>
    <t>08-03-2023 11:30</t>
  </si>
  <si>
    <t>08-03-2023 11:45</t>
  </si>
  <si>
    <t>08-03-2023 12:00</t>
  </si>
  <si>
    <t>08-03-2023 12:15</t>
  </si>
  <si>
    <t>08-03-2023 12:30</t>
  </si>
  <si>
    <t>08-03-2023 12:45</t>
  </si>
  <si>
    <t>08-03-2023 13:00</t>
  </si>
  <si>
    <t>08-03-2023 13:15</t>
  </si>
  <si>
    <t>08-03-2023 13:30</t>
  </si>
  <si>
    <t>08-03-2023 13:45</t>
  </si>
  <si>
    <t>08-03-2023 14:00</t>
  </si>
  <si>
    <t>08-03-2023 14:15</t>
  </si>
  <si>
    <t>08-03-2023 14:30</t>
  </si>
  <si>
    <t>08-03-2023 14:45</t>
  </si>
  <si>
    <t>08-03-2023 15:00</t>
  </si>
  <si>
    <t>08-03-2023 15:15</t>
  </si>
  <si>
    <t>08-03-2023 15:30</t>
  </si>
  <si>
    <t>08-03-2023 15:45</t>
  </si>
  <si>
    <t>08-03-2023 16:00</t>
  </si>
  <si>
    <t>08-03-2023 16:15</t>
  </si>
  <si>
    <t>08-03-2023 16:30</t>
  </si>
  <si>
    <t>08-03-2023 16:45</t>
  </si>
  <si>
    <t>08-03-2023 17:00</t>
  </si>
  <si>
    <t>08-03-2023 17:15</t>
  </si>
  <si>
    <t>08-03-2023 17:30</t>
  </si>
  <si>
    <t>08-03-2023 17:45</t>
  </si>
  <si>
    <t>08-03-2023 18:00</t>
  </si>
  <si>
    <t>08-03-2023 18:15</t>
  </si>
  <si>
    <t>08-03-2023 18:30</t>
  </si>
  <si>
    <t>08-03-2023 18:45</t>
  </si>
  <si>
    <t>08-03-2023 19:00</t>
  </si>
  <si>
    <t>08-03-2023 19:15</t>
  </si>
  <si>
    <t>08-03-2023 19:30</t>
  </si>
  <si>
    <t>08-03-2023 19:45</t>
  </si>
  <si>
    <t>08-03-2023 20:00</t>
  </si>
  <si>
    <t>08-03-2023 20:15</t>
  </si>
  <si>
    <t>08-03-2023 20:30</t>
  </si>
  <si>
    <t>08-03-2023 20:45</t>
  </si>
  <si>
    <t>08-03-2023 21:00</t>
  </si>
  <si>
    <t>08-03-2023 21:15</t>
  </si>
  <si>
    <t>08-03-2023 21:30</t>
  </si>
  <si>
    <t>08-03-2023 21:45</t>
  </si>
  <si>
    <t>08-03-2023 22:00</t>
  </si>
  <si>
    <t>08-03-2023 22:15</t>
  </si>
  <si>
    <t>08-03-2023 22:30</t>
  </si>
  <si>
    <t>08-03-2023 22:45</t>
  </si>
  <si>
    <t>08-03-2023 23:00</t>
  </si>
  <si>
    <t>08-03-2023 23:15</t>
  </si>
  <si>
    <t>08-03-2023 23:30</t>
  </si>
  <si>
    <t>08-03-2023 23:45</t>
  </si>
  <si>
    <t>08-03-2023 24:00</t>
  </si>
  <si>
    <t>THROWING GULAL(COLOR) GOT THE READING VERY HIGH</t>
  </si>
  <si>
    <t>09-03-2023 00:15</t>
  </si>
  <si>
    <t>09-03-2023 00:30</t>
  </si>
  <si>
    <t>09-03-2023 00:45</t>
  </si>
  <si>
    <t>09-03-2023 01:00</t>
  </si>
  <si>
    <t>09-03-2023 01:15</t>
  </si>
  <si>
    <t>09-03-2023 01:30</t>
  </si>
  <si>
    <t>09-03-2023 01:45</t>
  </si>
  <si>
    <t>09-03-2023 02:00</t>
  </si>
  <si>
    <t>09-03-2023 02:15</t>
  </si>
  <si>
    <t>09-03-2023 02:30</t>
  </si>
  <si>
    <t>09-03-2023 02:45</t>
  </si>
  <si>
    <t>09-03-2023 03:00</t>
  </si>
  <si>
    <t>09-03-2023 03:15</t>
  </si>
  <si>
    <t>09-03-2023 03:30</t>
  </si>
  <si>
    <t>09-03-2023 03:45</t>
  </si>
  <si>
    <t>09-03-2023 04:00</t>
  </si>
  <si>
    <t>09-03-2023 04:15</t>
  </si>
  <si>
    <t>09-03-2023 04:30</t>
  </si>
  <si>
    <t>09-03-2023 04:45</t>
  </si>
  <si>
    <t>09-03-2023 05:00</t>
  </si>
  <si>
    <t>09-03-2023 05:15</t>
  </si>
  <si>
    <t>09-03-2023 05:30</t>
  </si>
  <si>
    <t>09-03-2023 05:45</t>
  </si>
  <si>
    <t>09-03-2023 06:00</t>
  </si>
  <si>
    <t>09-03-2023 06:15</t>
  </si>
  <si>
    <t>09-03-2023 06:30</t>
  </si>
  <si>
    <t>09-03-2023 06:45</t>
  </si>
  <si>
    <t>09-03-2023 07:00</t>
  </si>
  <si>
    <t>09-03-2023 07:15</t>
  </si>
  <si>
    <t>09-03-2023 07:30</t>
  </si>
  <si>
    <t>09-03-2023 07:45</t>
  </si>
  <si>
    <t>09-03-2023 08:00</t>
  </si>
  <si>
    <t>09-03-2023 08:15</t>
  </si>
  <si>
    <t>09-03-2023 08:30</t>
  </si>
  <si>
    <t>09-03-2023 08:45</t>
  </si>
  <si>
    <t>09-03-2023 09:00</t>
  </si>
  <si>
    <t>09-03-2023 09:15</t>
  </si>
  <si>
    <t>09-03-2023 09:30</t>
  </si>
  <si>
    <t>09-03-2023 09:45</t>
  </si>
  <si>
    <t>09-03-2023 10:00</t>
  </si>
  <si>
    <t>09-03-2023 10:15</t>
  </si>
  <si>
    <t>09-03-2023 10:30</t>
  </si>
  <si>
    <t>09-03-2023 10:45</t>
  </si>
  <si>
    <t>09-03-2023 11:00</t>
  </si>
  <si>
    <t>09-03-2023 11:15</t>
  </si>
  <si>
    <t>09-03-2023 11:30</t>
  </si>
  <si>
    <t>09-03-2023 11:45</t>
  </si>
  <si>
    <t>09-03-2023 12:00</t>
  </si>
  <si>
    <t>09-03-2023 12:15</t>
  </si>
  <si>
    <t>09-03-2023 12:30</t>
  </si>
  <si>
    <t>09-03-2023 12:45</t>
  </si>
  <si>
    <t>09-03-2023 13:00</t>
  </si>
  <si>
    <t>09-03-2023 13:15</t>
  </si>
  <si>
    <t>09-03-2023 13:30</t>
  </si>
  <si>
    <t>09-03-2023 13:45</t>
  </si>
  <si>
    <t>09-03-2023 14:00</t>
  </si>
  <si>
    <t>09-03-2023 14:15</t>
  </si>
  <si>
    <t>09-03-2023 14:30</t>
  </si>
  <si>
    <t>09-03-2023 14:45</t>
  </si>
  <si>
    <t>09-03-2023 15:00</t>
  </si>
  <si>
    <t>09-03-2023 15:15</t>
  </si>
  <si>
    <t>09-03-2023 15:30</t>
  </si>
  <si>
    <t>09-03-2023 15:45</t>
  </si>
  <si>
    <t>09-03-2023 16:00</t>
  </si>
  <si>
    <t>09-03-2023 16:15</t>
  </si>
  <si>
    <t>09-03-2023 16:30</t>
  </si>
  <si>
    <t>09-03-2023 16:45</t>
  </si>
  <si>
    <t>09-03-2023 17:00</t>
  </si>
  <si>
    <t>09-03-2023 17:15</t>
  </si>
  <si>
    <t>09-03-2023 17:30</t>
  </si>
  <si>
    <t>09-03-2023 17:45</t>
  </si>
  <si>
    <t>09-03-2023 18:00</t>
  </si>
  <si>
    <t>09-03-2023 18:15</t>
  </si>
  <si>
    <t>09-03-2023 18:30</t>
  </si>
  <si>
    <t>09-03-2023 18:45</t>
  </si>
  <si>
    <t>09-03-2023 19:00</t>
  </si>
  <si>
    <t>09-03-2023 19:15</t>
  </si>
  <si>
    <t>09-03-2023 19:30</t>
  </si>
  <si>
    <t>09-03-2023 19:45</t>
  </si>
  <si>
    <t>09-03-2023 20:00</t>
  </si>
  <si>
    <t>09-03-2023 20:15</t>
  </si>
  <si>
    <t>09-03-2023 20:30</t>
  </si>
  <si>
    <t>09-03-2023 20:45</t>
  </si>
  <si>
    <t>09-03-2023 21:00</t>
  </si>
  <si>
    <t>09-03-2023 21:15</t>
  </si>
  <si>
    <t>09-03-2023 21:30</t>
  </si>
  <si>
    <t>09-03-2023 21:45</t>
  </si>
  <si>
    <t>09-03-2023 22:00</t>
  </si>
  <si>
    <t>09-03-2023 22:15</t>
  </si>
  <si>
    <t>09-03-2023 22:30</t>
  </si>
  <si>
    <t>09-03-2023 22:45</t>
  </si>
  <si>
    <t>09-03-2023 23:00</t>
  </si>
  <si>
    <t>09-03-2023 23:15</t>
  </si>
  <si>
    <t>09-03-2023 23:30</t>
  </si>
  <si>
    <t>09-03-2023 23:45</t>
  </si>
  <si>
    <t>09-03-2023 24:00</t>
  </si>
  <si>
    <t>10-03-2023 00:15</t>
  </si>
  <si>
    <t>10-03-2023 00:30</t>
  </si>
  <si>
    <t>10-03-2023 00:45</t>
  </si>
  <si>
    <t>10-03-2023 01:00</t>
  </si>
  <si>
    <t>10-03-2023 01:15</t>
  </si>
  <si>
    <t>10-03-2023 01:30</t>
  </si>
  <si>
    <t>10-03-2023 01:45</t>
  </si>
  <si>
    <t>10-03-2023 02:00</t>
  </si>
  <si>
    <t>10-03-2023 02:15</t>
  </si>
  <si>
    <t>10-03-2023 02:30</t>
  </si>
  <si>
    <t>10-03-2023 02:45</t>
  </si>
  <si>
    <t>10-03-2023 03:00</t>
  </si>
  <si>
    <t>10-03-2023 03:15</t>
  </si>
  <si>
    <t>10-03-2023 03:30</t>
  </si>
  <si>
    <t>10-03-2023 03:45</t>
  </si>
  <si>
    <t>10-03-2023 04:00</t>
  </si>
  <si>
    <t>10-03-2023 04:15</t>
  </si>
  <si>
    <t>10-03-2023 04:30</t>
  </si>
  <si>
    <t>10-03-2023 04:45</t>
  </si>
  <si>
    <t>10-03-2023 05:00</t>
  </si>
  <si>
    <t>10-03-2023 05:15</t>
  </si>
  <si>
    <t>10-03-2023 05:30</t>
  </si>
  <si>
    <t>10-03-2023 05:45</t>
  </si>
  <si>
    <t>10-03-2023 06:00</t>
  </si>
  <si>
    <t>10-03-2023 06:15</t>
  </si>
  <si>
    <t>10-03-2023 06:30</t>
  </si>
  <si>
    <t>10-03-2023 06:45</t>
  </si>
  <si>
    <t>10-03-2023 07:00</t>
  </si>
  <si>
    <t>10-03-2023 07:15</t>
  </si>
  <si>
    <t>10-03-2023 07:30</t>
  </si>
  <si>
    <t>10-03-2023 07:45</t>
  </si>
  <si>
    <t>10-03-2023 08:00</t>
  </si>
  <si>
    <t>10-03-2023 08:15</t>
  </si>
  <si>
    <t>10-03-2023 08:30</t>
  </si>
  <si>
    <t>10-03-2023 08:45</t>
  </si>
  <si>
    <t>10-03-2023 09:00</t>
  </si>
  <si>
    <t>10-03-2023 09:15</t>
  </si>
  <si>
    <t>10-03-2023 09:30</t>
  </si>
  <si>
    <t>10-03-2023 09:45</t>
  </si>
  <si>
    <t>10-03-2023 10:00</t>
  </si>
  <si>
    <t>10-03-2023 10:15</t>
  </si>
  <si>
    <t>10-03-2023 10:30</t>
  </si>
  <si>
    <t>10-03-2023 10:45</t>
  </si>
  <si>
    <t>10-03-2023 11:00</t>
  </si>
  <si>
    <t>10-03-2023 11:15</t>
  </si>
  <si>
    <t>10-03-2023 11:30</t>
  </si>
  <si>
    <t>10-03-2023 11:45</t>
  </si>
  <si>
    <t>10-03-2023 12:00</t>
  </si>
  <si>
    <t>10-03-2023 12:15</t>
  </si>
  <si>
    <t>10-03-2023 12:30</t>
  </si>
  <si>
    <t>10-03-2023 12:45</t>
  </si>
  <si>
    <t>10-03-2023 13:00</t>
  </si>
  <si>
    <t>10-03-2023 13:15</t>
  </si>
  <si>
    <t>10-03-2023 13:30</t>
  </si>
  <si>
    <t>10-03-2023 13:45</t>
  </si>
  <si>
    <t>10-03-2023 14:00</t>
  </si>
  <si>
    <t>10-03-2023 14:15</t>
  </si>
  <si>
    <t>10-03-2023 14:30</t>
  </si>
  <si>
    <t>10-03-2023 14:45</t>
  </si>
  <si>
    <t>10-03-2023 15:00</t>
  </si>
  <si>
    <t>10-03-2023 15:15</t>
  </si>
  <si>
    <t>10-03-2023 15:30</t>
  </si>
  <si>
    <t>10-03-2023 15:45</t>
  </si>
  <si>
    <t>10-03-2023 16:00</t>
  </si>
  <si>
    <t>10-03-2023 16:15</t>
  </si>
  <si>
    <t>10-03-2023 16:30</t>
  </si>
  <si>
    <t>10-03-2023 16:45</t>
  </si>
  <si>
    <t>10-03-2023 17:00</t>
  </si>
  <si>
    <t>10-03-2023 17:15</t>
  </si>
  <si>
    <t>10-03-2023 17:30</t>
  </si>
  <si>
    <t>10-03-2023 17:45</t>
  </si>
  <si>
    <t>10-03-2023 18:00</t>
  </si>
  <si>
    <t>10-03-2023 18:15</t>
  </si>
  <si>
    <t>10-03-2023 18:30</t>
  </si>
  <si>
    <t>10-03-2023 18:45</t>
  </si>
  <si>
    <t>10-03-2023 19:00</t>
  </si>
  <si>
    <t>10-03-2023 19:15</t>
  </si>
  <si>
    <t>10-03-2023 19:30</t>
  </si>
  <si>
    <t>10-03-2023 19:45</t>
  </si>
  <si>
    <t>10-03-2023 20:00</t>
  </si>
  <si>
    <t>10-03-2023 20:15</t>
  </si>
  <si>
    <t>10-03-2023 20:30</t>
  </si>
  <si>
    <t>10-03-2023 20:45</t>
  </si>
  <si>
    <t>10-03-2023 21:00</t>
  </si>
  <si>
    <t>10-03-2023 21:15</t>
  </si>
  <si>
    <t>10-03-2023 21:30</t>
  </si>
  <si>
    <t>10-03-2023 21:45</t>
  </si>
  <si>
    <t>10-03-2023 22:00</t>
  </si>
  <si>
    <t>10-03-2023 22:15</t>
  </si>
  <si>
    <t>10-03-2023 22:30</t>
  </si>
  <si>
    <t>10-03-2023 22:45</t>
  </si>
  <si>
    <t>10-03-2023 23:00</t>
  </si>
  <si>
    <t>10-03-2023 23:15</t>
  </si>
  <si>
    <t>10-03-2023 23:30</t>
  </si>
  <si>
    <t>10-03-2023 23:45</t>
  </si>
  <si>
    <t>10-03-2023 24:00</t>
  </si>
  <si>
    <t>11-03-2023 00:15</t>
  </si>
  <si>
    <t>11-03-2023 00:30</t>
  </si>
  <si>
    <t>11-03-2023 00:45</t>
  </si>
  <si>
    <t>11-03-2023 01:00</t>
  </si>
  <si>
    <t>11-03-2023 01:15</t>
  </si>
  <si>
    <t>11-03-2023 01:30</t>
  </si>
  <si>
    <t>11-03-2023 01:45</t>
  </si>
  <si>
    <t>11-03-2023 02:00</t>
  </si>
  <si>
    <t>11-03-2023 02:15</t>
  </si>
  <si>
    <t>11-03-2023 02:30</t>
  </si>
  <si>
    <t>11-03-2023 02:45</t>
  </si>
  <si>
    <t>11-03-2023 03:00</t>
  </si>
  <si>
    <t>11-03-2023 03:15</t>
  </si>
  <si>
    <t>11-03-2023 03:30</t>
  </si>
  <si>
    <t>11-03-2023 03:45</t>
  </si>
  <si>
    <t>11-03-2023 04:00</t>
  </si>
  <si>
    <t>11-03-2023 04:15</t>
  </si>
  <si>
    <t>11-03-2023 04:30</t>
  </si>
  <si>
    <t>11-03-2023 04:45</t>
  </si>
  <si>
    <t>11-03-2023 05:00</t>
  </si>
  <si>
    <t>11-03-2023 05:15</t>
  </si>
  <si>
    <t>11-03-2023 05:30</t>
  </si>
  <si>
    <t>11-03-2023 05:45</t>
  </si>
  <si>
    <t>11-03-2023 06:00</t>
  </si>
  <si>
    <t>11-03-2023 06:15</t>
  </si>
  <si>
    <t>11-03-2023 06:30</t>
  </si>
  <si>
    <t>11-03-2023 06:45</t>
  </si>
  <si>
    <t>11-03-2023 07:00</t>
  </si>
  <si>
    <t>11-03-2023 07:15</t>
  </si>
  <si>
    <t>11-03-2023 07:30</t>
  </si>
  <si>
    <t>11-03-2023 07:45</t>
  </si>
  <si>
    <t>11-03-2023 08:00</t>
  </si>
  <si>
    <t>11-03-2023 08:15</t>
  </si>
  <si>
    <t>11-03-2023 08:30</t>
  </si>
  <si>
    <t>11-03-2023 08:45</t>
  </si>
  <si>
    <t>11-03-2023 09:00</t>
  </si>
  <si>
    <t>11-03-2023 09:15</t>
  </si>
  <si>
    <t>11-03-2023 09:30</t>
  </si>
  <si>
    <t>11-03-2023 09:45</t>
  </si>
  <si>
    <t>11-03-2023 10:00</t>
  </si>
  <si>
    <t>11-03-2023 10:15</t>
  </si>
  <si>
    <t>11-03-2023 10:30</t>
  </si>
  <si>
    <t>11-03-2023 10:45</t>
  </si>
  <si>
    <t>11-03-2023 11:00</t>
  </si>
  <si>
    <t>11-03-2023 11:15</t>
  </si>
  <si>
    <t>11-03-2023 11:30</t>
  </si>
  <si>
    <t>11-03-2023 11:45</t>
  </si>
  <si>
    <t>11-03-2023 12:00</t>
  </si>
  <si>
    <t>11-03-2023 12:15</t>
  </si>
  <si>
    <t>11-03-2023 12:30</t>
  </si>
  <si>
    <t>11-03-2023 12:45</t>
  </si>
  <si>
    <t>11-03-2023 13:00</t>
  </si>
  <si>
    <t>11-03-2023 13:15</t>
  </si>
  <si>
    <t>11-03-2023 13:30</t>
  </si>
  <si>
    <t>11-03-2023 13:45</t>
  </si>
  <si>
    <t>11-03-2023 14:00</t>
  </si>
  <si>
    <t>11-03-2023 14:15</t>
  </si>
  <si>
    <t>11-03-2023 14:30</t>
  </si>
  <si>
    <t>11-03-2023 14:45</t>
  </si>
  <si>
    <t>11-03-2023 15:00</t>
  </si>
  <si>
    <t>11-03-2023 15:15</t>
  </si>
  <si>
    <t>11-03-2023 15:30</t>
  </si>
  <si>
    <t>11-03-2023 15:45</t>
  </si>
  <si>
    <t>11-03-2023 16:00</t>
  </si>
  <si>
    <t>11-03-2023 16:15</t>
  </si>
  <si>
    <t>11-03-2023 16:30</t>
  </si>
  <si>
    <t>11-03-2023 16:45</t>
  </si>
  <si>
    <t>11-03-2023 17:00</t>
  </si>
  <si>
    <t>11-03-2023 17:15</t>
  </si>
  <si>
    <t>11-03-2023 17:30</t>
  </si>
  <si>
    <t>11-03-2023 17:45</t>
  </si>
  <si>
    <t>11-03-2023 18:00</t>
  </si>
  <si>
    <t>11-03-2023 18:15</t>
  </si>
  <si>
    <t>11-03-2023 18:30</t>
  </si>
  <si>
    <t>11-03-2023 18:45</t>
  </si>
  <si>
    <t>11-03-2023 19:00</t>
  </si>
  <si>
    <t>11-03-2023 19:15</t>
  </si>
  <si>
    <t>11-03-2023 19:30</t>
  </si>
  <si>
    <t>11-03-2023 19:45</t>
  </si>
  <si>
    <t>11-03-2023 20:00</t>
  </si>
  <si>
    <t>11-03-2023 20:15</t>
  </si>
  <si>
    <t>11-03-2023 20:30</t>
  </si>
  <si>
    <t>11-03-2023 20:45</t>
  </si>
  <si>
    <t>11-03-2023 21:00</t>
  </si>
  <si>
    <t>11-03-2023 21:15</t>
  </si>
  <si>
    <t>11-03-2023 21:30</t>
  </si>
  <si>
    <t>11-03-2023 21:45</t>
  </si>
  <si>
    <t>11-03-2023 22:00</t>
  </si>
  <si>
    <t>11-03-2023 22:15</t>
  </si>
  <si>
    <t>11-03-2023 22:30</t>
  </si>
  <si>
    <t>11-03-2023 22:45</t>
  </si>
  <si>
    <t>11-03-2023 23:00</t>
  </si>
  <si>
    <t>11-03-2023 23:15</t>
  </si>
  <si>
    <t>11-03-2023 23:30</t>
  </si>
  <si>
    <t>11-03-2023 23:45</t>
  </si>
  <si>
    <t>11-03-2023 24:00</t>
  </si>
  <si>
    <t>12-03-2023 00:15</t>
  </si>
  <si>
    <t>12-03-2023 00:30</t>
  </si>
  <si>
    <t>12-03-2023 00:45</t>
  </si>
  <si>
    <t>12-03-2023 01:00</t>
  </si>
  <si>
    <t>12-03-2023 01:15</t>
  </si>
  <si>
    <t>12-03-2023 01:30</t>
  </si>
  <si>
    <t>12-03-2023 01:45</t>
  </si>
  <si>
    <t>12-03-2023 02:00</t>
  </si>
  <si>
    <t>12-03-2023 02:15</t>
  </si>
  <si>
    <t>12-03-2023 02:30</t>
  </si>
  <si>
    <t>12-03-2023 02:45</t>
  </si>
  <si>
    <t>12-03-2023 03:00</t>
  </si>
  <si>
    <t>12-03-2023 03:15</t>
  </si>
  <si>
    <t>12-03-2023 03:30</t>
  </si>
  <si>
    <t>12-03-2023 03:45</t>
  </si>
  <si>
    <t>12-03-2023 04:00</t>
  </si>
  <si>
    <t>12-03-2023 04:15</t>
  </si>
  <si>
    <t>12-03-2023 04:30</t>
  </si>
  <si>
    <t>12-03-2023 04:45</t>
  </si>
  <si>
    <t>12-03-2023 05:00</t>
  </si>
  <si>
    <t>12-03-2023 05:15</t>
  </si>
  <si>
    <t>12-03-2023 05:30</t>
  </si>
  <si>
    <t>12-03-2023 05:45</t>
  </si>
  <si>
    <t>12-03-2023 06:00</t>
  </si>
  <si>
    <t>12-03-2023 06:15</t>
  </si>
  <si>
    <t>12-03-2023 06:30</t>
  </si>
  <si>
    <t>12-03-2023 06:45</t>
  </si>
  <si>
    <t>12-03-2023 07:00</t>
  </si>
  <si>
    <t>12-03-2023 07:15</t>
  </si>
  <si>
    <t>12-03-2023 07:30</t>
  </si>
  <si>
    <t>12-03-2023 07:45</t>
  </si>
  <si>
    <t>12-03-2023 08:00</t>
  </si>
  <si>
    <t>12-03-2023 08:15</t>
  </si>
  <si>
    <t>12-03-2023 08:30</t>
  </si>
  <si>
    <t>12-03-2023 08:45</t>
  </si>
  <si>
    <t>12-03-2023 09:00</t>
  </si>
  <si>
    <t>12-03-2023 09:15</t>
  </si>
  <si>
    <t>12-03-2023 09:30</t>
  </si>
  <si>
    <t>12-03-2023 09:45</t>
  </si>
  <si>
    <t>12-03-2023 10:00</t>
  </si>
  <si>
    <t>12-03-2023 10:15</t>
  </si>
  <si>
    <t>12-03-2023 10:30</t>
  </si>
  <si>
    <t>12-03-2023 10:45</t>
  </si>
  <si>
    <t>12-03-2023 11:00</t>
  </si>
  <si>
    <t>12-03-2023 11:15</t>
  </si>
  <si>
    <t>12-03-2023 11:30</t>
  </si>
  <si>
    <t>12-03-2023 11:45</t>
  </si>
  <si>
    <t>12-03-2023 12:00</t>
  </si>
  <si>
    <t>12-03-2023 12:15</t>
  </si>
  <si>
    <t>12-03-2023 12:30</t>
  </si>
  <si>
    <t>12-03-2023 12:45</t>
  </si>
  <si>
    <t>12-03-2023 13:00</t>
  </si>
  <si>
    <t>12-03-2023 13:15</t>
  </si>
  <si>
    <t>12-03-2023 13:30</t>
  </si>
  <si>
    <t>12-03-2023 13:45</t>
  </si>
  <si>
    <t>12-03-2023 14:00</t>
  </si>
  <si>
    <t>12-03-2023 14:15</t>
  </si>
  <si>
    <t>12-03-2023 14:30</t>
  </si>
  <si>
    <t>12-03-2023 14:45</t>
  </si>
  <si>
    <t>12-03-2023 15:00</t>
  </si>
  <si>
    <t>12-03-2023 15:15</t>
  </si>
  <si>
    <t>12-03-2023 15:30</t>
  </si>
  <si>
    <t>12-03-2023 15:45</t>
  </si>
  <si>
    <t>12-03-2023 16:00</t>
  </si>
  <si>
    <t>12-03-2023 16:15</t>
  </si>
  <si>
    <t>12-03-2023 16:30</t>
  </si>
  <si>
    <t>12-03-2023 16:45</t>
  </si>
  <si>
    <t>12-03-2023 17:00</t>
  </si>
  <si>
    <t>12-03-2023 17:15</t>
  </si>
  <si>
    <t>12-03-2023 17:30</t>
  </si>
  <si>
    <t>12-03-2023 17:45</t>
  </si>
  <si>
    <t>12-03-2023 18:00</t>
  </si>
  <si>
    <t>12-03-2023 18:15</t>
  </si>
  <si>
    <t>12-03-2023 18:30</t>
  </si>
  <si>
    <t>12-03-2023 18:45</t>
  </si>
  <si>
    <t>12-03-2023 19:00</t>
  </si>
  <si>
    <t>12-03-2023 19:15</t>
  </si>
  <si>
    <t>12-03-2023 19:30</t>
  </si>
  <si>
    <t>12-03-2023 19:45</t>
  </si>
  <si>
    <t>12-03-2023 20:00</t>
  </si>
  <si>
    <t>12-03-2023 20:15</t>
  </si>
  <si>
    <t>12-03-2023 20:30</t>
  </si>
  <si>
    <t>12-03-2023 20:45</t>
  </si>
  <si>
    <t>12-03-2023 21:00</t>
  </si>
  <si>
    <t>12-03-2023 21:15</t>
  </si>
  <si>
    <t>12-03-2023 21:30</t>
  </si>
  <si>
    <t>12-03-2023 21:45</t>
  </si>
  <si>
    <t>12-03-2023 22:00</t>
  </si>
  <si>
    <t>12-03-2023 22:15</t>
  </si>
  <si>
    <t>12-03-2023 22:30</t>
  </si>
  <si>
    <t>12-03-2023 22:45</t>
  </si>
  <si>
    <t>12-03-2023 23:00</t>
  </si>
  <si>
    <t>12-03-2023 23:15</t>
  </si>
  <si>
    <t>12-03-2023 23:30</t>
  </si>
  <si>
    <t>12-03-2023 23:45</t>
  </si>
  <si>
    <t>12-03-2023 24:00</t>
  </si>
  <si>
    <t>13-03-2023 00:15</t>
  </si>
  <si>
    <t>13-03-2023 00:30</t>
  </si>
  <si>
    <t>13-03-2023 00:45</t>
  </si>
  <si>
    <t>13-03-2023 01:00</t>
  </si>
  <si>
    <t>13-03-2023 01:15</t>
  </si>
  <si>
    <t>13-03-2023 01:30</t>
  </si>
  <si>
    <t>13-03-2023 01:45</t>
  </si>
  <si>
    <t>13-03-2023 02:00</t>
  </si>
  <si>
    <t>13-03-2023 02:15</t>
  </si>
  <si>
    <t>13-03-2023 02:30</t>
  </si>
  <si>
    <t>13-03-2023 02:45</t>
  </si>
  <si>
    <t>13-03-2023 03:00</t>
  </si>
  <si>
    <t>13-03-2023 03:15</t>
  </si>
  <si>
    <t>13-03-2023 03:30</t>
  </si>
  <si>
    <t>13-03-2023 03:45</t>
  </si>
  <si>
    <t>13-03-2023 04:00</t>
  </si>
  <si>
    <t>13-03-2023 04:15</t>
  </si>
  <si>
    <t>13-03-2023 04:30</t>
  </si>
  <si>
    <t>13-03-2023 04:45</t>
  </si>
  <si>
    <t>13-03-2023 05:00</t>
  </si>
  <si>
    <t>13-03-2023 05:15</t>
  </si>
  <si>
    <t>13-03-2023 05:30</t>
  </si>
  <si>
    <t>13-03-2023 05:45</t>
  </si>
  <si>
    <t>13-03-2023 06:00</t>
  </si>
  <si>
    <t>13-03-2023 06:15</t>
  </si>
  <si>
    <t>13-03-2023 06:30</t>
  </si>
  <si>
    <t>13-03-2023 06:45</t>
  </si>
  <si>
    <t>13-03-2023 07:00</t>
  </si>
  <si>
    <t>13-03-2023 07:15</t>
  </si>
  <si>
    <t>13-03-2023 07:30</t>
  </si>
  <si>
    <t>13-03-2023 07:45</t>
  </si>
  <si>
    <t>13-03-2023 08:00</t>
  </si>
  <si>
    <t>13-03-2023 08:15</t>
  </si>
  <si>
    <t>13-03-2023 08:30</t>
  </si>
  <si>
    <t>13-03-2023 08:45</t>
  </si>
  <si>
    <t>13-03-2023 09:00</t>
  </si>
  <si>
    <t>13-03-2023 09:15</t>
  </si>
  <si>
    <t>13-03-2023 09:30</t>
  </si>
  <si>
    <t>13-03-2023 09:45</t>
  </si>
  <si>
    <t>13-03-2023 10:00</t>
  </si>
  <si>
    <t>13-03-2023 10:15</t>
  </si>
  <si>
    <t>13-03-2023 10:30</t>
  </si>
  <si>
    <t>13-03-2023 10:45</t>
  </si>
  <si>
    <t>13-03-2023 11:00</t>
  </si>
  <si>
    <t>13-03-2023 11:15</t>
  </si>
  <si>
    <t>13-03-2023 11:30</t>
  </si>
  <si>
    <t>13-03-2023 11:45</t>
  </si>
  <si>
    <t>13-03-2023 12:00</t>
  </si>
  <si>
    <t>13-03-2023 12:15</t>
  </si>
  <si>
    <t>13-03-2023 12:30</t>
  </si>
  <si>
    <t>13-03-2023 12:45</t>
  </si>
  <si>
    <t>13-03-2023 13:00</t>
  </si>
  <si>
    <t>13-03-2023 13:15</t>
  </si>
  <si>
    <t>13-03-2023 13:30</t>
  </si>
  <si>
    <t>13-03-2023 13:45</t>
  </si>
  <si>
    <t>13-03-2023 14:00</t>
  </si>
  <si>
    <t>13-03-2023 14:15</t>
  </si>
  <si>
    <t>13-03-2023 14:30</t>
  </si>
  <si>
    <t>13-03-2023 14:45</t>
  </si>
  <si>
    <t>13-03-2023 15:00</t>
  </si>
  <si>
    <t>13-03-2023 15:15</t>
  </si>
  <si>
    <t>13-03-2023 15:30</t>
  </si>
  <si>
    <t>13-03-2023 15:45</t>
  </si>
  <si>
    <t>13-03-2023 16:00</t>
  </si>
  <si>
    <t>13-03-2023 16:15</t>
  </si>
  <si>
    <t>13-03-2023 16:30</t>
  </si>
  <si>
    <t>13-03-2023 16:45</t>
  </si>
  <si>
    <t>13-03-2023 17:00</t>
  </si>
  <si>
    <t>13-03-2023 17:15</t>
  </si>
  <si>
    <t>13-03-2023 17:30</t>
  </si>
  <si>
    <t>13-03-2023 17:45</t>
  </si>
  <si>
    <t>13-03-2023 18:00</t>
  </si>
  <si>
    <t>13-03-2023 18:15</t>
  </si>
  <si>
    <t>13-03-2023 18:30</t>
  </si>
  <si>
    <t>13-03-2023 18:45</t>
  </si>
  <si>
    <t>13-03-2023 19:00</t>
  </si>
  <si>
    <t>13-03-2023 19:15</t>
  </si>
  <si>
    <t>13-03-2023 19:30</t>
  </si>
  <si>
    <t>13-03-2023 19:45</t>
  </si>
  <si>
    <t>13-03-2023 20:00</t>
  </si>
  <si>
    <t>13-03-2023 20:15</t>
  </si>
  <si>
    <t>13-03-2023 20:30</t>
  </si>
  <si>
    <t>13-03-2023 20:45</t>
  </si>
  <si>
    <t>13-03-2023 21:00</t>
  </si>
  <si>
    <t>13-03-2023 21:15</t>
  </si>
  <si>
    <t>13-03-2023 21:30</t>
  </si>
  <si>
    <t>13-03-2023 21:45</t>
  </si>
  <si>
    <t>13-03-2023 22:00</t>
  </si>
  <si>
    <t>13-03-2023 22:15</t>
  </si>
  <si>
    <t>13-03-2023 22:30</t>
  </si>
  <si>
    <t>13-03-2023 22:45</t>
  </si>
  <si>
    <t>13-03-2023 23:00</t>
  </si>
  <si>
    <t>13-03-2023 23:15</t>
  </si>
  <si>
    <t>13-03-2023 23:30</t>
  </si>
  <si>
    <t>13-03-2023 23:45</t>
  </si>
  <si>
    <t>13-03-2023 24:00</t>
  </si>
  <si>
    <t>14-03-2023 00:15</t>
  </si>
  <si>
    <t>14-03-2023 00:30</t>
  </si>
  <si>
    <t>14-03-2023 00:45</t>
  </si>
  <si>
    <t>14-03-2023 01:00</t>
  </si>
  <si>
    <t>14-03-2023 01:15</t>
  </si>
  <si>
    <t>14-03-2023 01:30</t>
  </si>
  <si>
    <t>14-03-2023 01:45</t>
  </si>
  <si>
    <t>14-03-2023 02:00</t>
  </si>
  <si>
    <t>14-03-2023 02:15</t>
  </si>
  <si>
    <t>14-03-2023 02:30</t>
  </si>
  <si>
    <t>14-03-2023 02:45</t>
  </si>
  <si>
    <t>14-03-2023 03:00</t>
  </si>
  <si>
    <t>14-03-2023 03:15</t>
  </si>
  <si>
    <t>14-03-2023 03:30</t>
  </si>
  <si>
    <t>14-03-2023 03:45</t>
  </si>
  <si>
    <t>14-03-2023 04:00</t>
  </si>
  <si>
    <t>14-03-2023 04:15</t>
  </si>
  <si>
    <t>14-03-2023 04:30</t>
  </si>
  <si>
    <t>14-03-2023 04:45</t>
  </si>
  <si>
    <t>14-03-2023 05:00</t>
  </si>
  <si>
    <t>14-03-2023 05:15</t>
  </si>
  <si>
    <t>14-03-2023 05:30</t>
  </si>
  <si>
    <t>14-03-2023 05:45</t>
  </si>
  <si>
    <t>14-03-2023 06:00</t>
  </si>
  <si>
    <t>14-03-2023 06:15</t>
  </si>
  <si>
    <t>14-03-2023 06:30</t>
  </si>
  <si>
    <t>14-03-2023 06:45</t>
  </si>
  <si>
    <t>14-03-2023 07:00</t>
  </si>
  <si>
    <t>14-03-2023 07:15</t>
  </si>
  <si>
    <t>14-03-2023 07:30</t>
  </si>
  <si>
    <t>14-03-2023 07:45</t>
  </si>
  <si>
    <t>14-03-2023 08:00</t>
  </si>
  <si>
    <t>14-03-2023 08:15</t>
  </si>
  <si>
    <t>14-03-2023 08:30</t>
  </si>
  <si>
    <t>14-03-2023 08:45</t>
  </si>
  <si>
    <t>14-03-2023 09:00</t>
  </si>
  <si>
    <t>14-03-2023 09:15</t>
  </si>
  <si>
    <t>14-03-2023 09:30</t>
  </si>
  <si>
    <t>14-03-2023 09:45</t>
  </si>
  <si>
    <t>14-03-2023 10:00</t>
  </si>
  <si>
    <t>14-03-2023 10:15</t>
  </si>
  <si>
    <t>14-03-2023 10:30</t>
  </si>
  <si>
    <t>14-03-2023 10:45</t>
  </si>
  <si>
    <t>14-03-2023 11:00</t>
  </si>
  <si>
    <t>14-03-2023 11:15</t>
  </si>
  <si>
    <t>14-03-2023 11:30</t>
  </si>
  <si>
    <t>14-03-2023 11:45</t>
  </si>
  <si>
    <t>14-03-2023 12:00</t>
  </si>
  <si>
    <t>14-03-2023 12:15</t>
  </si>
  <si>
    <t>14-03-2023 12:30</t>
  </si>
  <si>
    <t>14-03-2023 12:45</t>
  </si>
  <si>
    <t>14-03-2023 13:00</t>
  </si>
  <si>
    <t>14-03-2023 13:15</t>
  </si>
  <si>
    <t>14-03-2023 13:30</t>
  </si>
  <si>
    <t>14-03-2023 13:45</t>
  </si>
  <si>
    <t>14-03-2023 14:00</t>
  </si>
  <si>
    <t>14-03-2023 14:15</t>
  </si>
  <si>
    <t>14-03-2023 14:30</t>
  </si>
  <si>
    <t>14-03-2023 14:45</t>
  </si>
  <si>
    <t>14-03-2023 15:00</t>
  </si>
  <si>
    <t>14-03-2023 15:15</t>
  </si>
  <si>
    <t>14-03-2023 15:30</t>
  </si>
  <si>
    <t>14-03-2023 15:45</t>
  </si>
  <si>
    <t>14-03-2023 16:00</t>
  </si>
  <si>
    <t>14-03-2023 16:15</t>
  </si>
  <si>
    <t>14-03-2023 16:30</t>
  </si>
  <si>
    <t>14-03-2023 16:45</t>
  </si>
  <si>
    <t>14-03-2023 17:00</t>
  </si>
  <si>
    <t>14-03-2023 17:15</t>
  </si>
  <si>
    <t>14-03-2023 17:30</t>
  </si>
  <si>
    <t>14-03-2023 17:45</t>
  </si>
  <si>
    <t>14-03-2023 18:00</t>
  </si>
  <si>
    <t>14-03-2023 18:15</t>
  </si>
  <si>
    <t>14-03-2023 18:30</t>
  </si>
  <si>
    <t>14-03-2023 18:45</t>
  </si>
  <si>
    <t>14-03-2023 19:00</t>
  </si>
  <si>
    <t>14-03-2023 19:15</t>
  </si>
  <si>
    <t>14-03-2023 19:30</t>
  </si>
  <si>
    <t>14-03-2023 19:45</t>
  </si>
  <si>
    <t>14-03-2023 20:00</t>
  </si>
  <si>
    <t>14-03-2023 20:15</t>
  </si>
  <si>
    <t>14-03-2023 20:30</t>
  </si>
  <si>
    <t>14-03-2023 20:45</t>
  </si>
  <si>
    <t>14-03-2023 21:00</t>
  </si>
  <si>
    <t>14-03-2023 21:15</t>
  </si>
  <si>
    <t>14-03-2023 21:30</t>
  </si>
  <si>
    <t>14-03-2023 21:45</t>
  </si>
  <si>
    <t>14-03-2023 22:00</t>
  </si>
  <si>
    <t>14-03-2023 22:15</t>
  </si>
  <si>
    <t>14-03-2023 22:30</t>
  </si>
  <si>
    <t>14-03-2023 22:45</t>
  </si>
  <si>
    <t>14-03-2023 23:00</t>
  </si>
  <si>
    <t>14-03-2023 23:15</t>
  </si>
  <si>
    <t>14-03-2023 23:30</t>
  </si>
  <si>
    <t>14-03-2023 23:45</t>
  </si>
  <si>
    <t>14-03-2023 24:00</t>
  </si>
  <si>
    <t>15-03-2023 00:15</t>
  </si>
  <si>
    <t>15-03-2023 00:30</t>
  </si>
  <si>
    <t>15-03-2023 00:45</t>
  </si>
  <si>
    <t>15-03-2023 01:00</t>
  </si>
  <si>
    <t>15-03-2023 01:15</t>
  </si>
  <si>
    <t>15-03-2023 01:30</t>
  </si>
  <si>
    <t>15-03-2023 01:45</t>
  </si>
  <si>
    <t>15-03-2023 02:00</t>
  </si>
  <si>
    <t>15-03-2023 02:15</t>
  </si>
  <si>
    <t>15-03-2023 02:30</t>
  </si>
  <si>
    <t>15-03-2023 02:45</t>
  </si>
  <si>
    <t>15-03-2023 03:00</t>
  </si>
  <si>
    <t>15-03-2023 03:15</t>
  </si>
  <si>
    <t>15-03-2023 03:30</t>
  </si>
  <si>
    <t>15-03-2023 03:45</t>
  </si>
  <si>
    <t>15-03-2023 04:00</t>
  </si>
  <si>
    <t>15-03-2023 04:15</t>
  </si>
  <si>
    <t>15-03-2023 04:30</t>
  </si>
  <si>
    <t>15-03-2023 04:45</t>
  </si>
  <si>
    <t>15-03-2023 05:00</t>
  </si>
  <si>
    <t>15-03-2023 05:15</t>
  </si>
  <si>
    <t>15-03-2023 05:30</t>
  </si>
  <si>
    <t>15-03-2023 05:45</t>
  </si>
  <si>
    <t>15-03-2023 06:00</t>
  </si>
  <si>
    <t>15-03-2023 06:15</t>
  </si>
  <si>
    <t>15-03-2023 06:30</t>
  </si>
  <si>
    <t>15-03-2023 06:45</t>
  </si>
  <si>
    <t>15-03-2023 07:00</t>
  </si>
  <si>
    <t>15-03-2023 07:15</t>
  </si>
  <si>
    <t>15-03-2023 07:30</t>
  </si>
  <si>
    <t>15-03-2023 07:45</t>
  </si>
  <si>
    <t>15-03-2023 08:00</t>
  </si>
  <si>
    <t>15-03-2023 08:15</t>
  </si>
  <si>
    <t>15-03-2023 08:30</t>
  </si>
  <si>
    <t>15-03-2023 08:45</t>
  </si>
  <si>
    <t>15-03-2023 09:00</t>
  </si>
  <si>
    <t>15-03-2023 09:15</t>
  </si>
  <si>
    <t>15-03-2023 09:30</t>
  </si>
  <si>
    <t>15-03-2023 09:45</t>
  </si>
  <si>
    <t>15-03-2023 10:00</t>
  </si>
  <si>
    <t>15-03-2023 10:15</t>
  </si>
  <si>
    <t>15-03-2023 10:30</t>
  </si>
  <si>
    <t>15-03-2023 10:45</t>
  </si>
  <si>
    <t>15-03-2023 11:00</t>
  </si>
  <si>
    <t>15-03-2023 11:15</t>
  </si>
  <si>
    <t>15-03-2023 11:30</t>
  </si>
  <si>
    <t>15-03-2023 11:45</t>
  </si>
  <si>
    <t>15-03-2023 12:00</t>
  </si>
  <si>
    <t>15-03-2023 12:15</t>
  </si>
  <si>
    <t>15-03-2023 12:30</t>
  </si>
  <si>
    <t>15-03-2023 12:45</t>
  </si>
  <si>
    <t>15-03-2023 13:00</t>
  </si>
  <si>
    <t>15-03-2023 13:15</t>
  </si>
  <si>
    <t>15-03-2023 13:30</t>
  </si>
  <si>
    <t>15-03-2023 13:45</t>
  </si>
  <si>
    <t>15-03-2023 14:00</t>
  </si>
  <si>
    <t>15-03-2023 14:15</t>
  </si>
  <si>
    <t>15-03-2023 14:30</t>
  </si>
  <si>
    <t>15-03-2023 14:45</t>
  </si>
  <si>
    <t>15-03-2023 15:00</t>
  </si>
  <si>
    <t>15-03-2023 15:15</t>
  </si>
  <si>
    <t>15-03-2023 15:30</t>
  </si>
  <si>
    <t>15-03-2023 15:45</t>
  </si>
  <si>
    <t>15-03-2023 16:00</t>
  </si>
  <si>
    <t>15-03-2023 16:15</t>
  </si>
  <si>
    <t>15-03-2023 16:30</t>
  </si>
  <si>
    <t>15-03-2023 16:45</t>
  </si>
  <si>
    <t>15-03-2023 17:00</t>
  </si>
  <si>
    <t>15-03-2023 17:15</t>
  </si>
  <si>
    <t>15-03-2023 17:30</t>
  </si>
  <si>
    <t>15-03-2023 17:45</t>
  </si>
  <si>
    <t>15-03-2023 18:00</t>
  </si>
  <si>
    <t>15-03-2023 18:15</t>
  </si>
  <si>
    <t>15-03-2023 18:30</t>
  </si>
  <si>
    <t>15-03-2023 18:45</t>
  </si>
  <si>
    <t>15-03-2023 19:00</t>
  </si>
  <si>
    <t>15-03-2023 19:15</t>
  </si>
  <si>
    <t>15-03-2023 19:30</t>
  </si>
  <si>
    <t>15-03-2023 19:45</t>
  </si>
  <si>
    <t>15-03-2023 20:00</t>
  </si>
  <si>
    <t>15-03-2023 20:15</t>
  </si>
  <si>
    <t>15-03-2023 20:30</t>
  </si>
  <si>
    <t>15-03-2023 20:45</t>
  </si>
  <si>
    <t>15-03-2023 21:00</t>
  </si>
  <si>
    <t>15-03-2023 21:15</t>
  </si>
  <si>
    <t>15-03-2023 21:30</t>
  </si>
  <si>
    <t>15-03-2023 21:45</t>
  </si>
  <si>
    <t>15-03-2023 22:00</t>
  </si>
  <si>
    <t>15-03-2023 22:15</t>
  </si>
  <si>
    <t>15-03-2023 22:30</t>
  </si>
  <si>
    <t>15-03-2023 22:45</t>
  </si>
  <si>
    <t>15-03-2023 23:00</t>
  </si>
  <si>
    <t>15-03-2023 23:15</t>
  </si>
  <si>
    <t>15-03-2023 23:30</t>
  </si>
  <si>
    <t>15-03-2023 23:45</t>
  </si>
  <si>
    <t>15-03-2023 24:00</t>
  </si>
  <si>
    <t>sukant sir</t>
  </si>
  <si>
    <t>16-03-2023 00:15</t>
  </si>
  <si>
    <t>16-03-2023 00:30</t>
  </si>
  <si>
    <t>16-03-2023 00:45</t>
  </si>
  <si>
    <t>16-03-2023 01:00</t>
  </si>
  <si>
    <t>16-03-2023 01:15</t>
  </si>
  <si>
    <t>16-03-2023 01:30</t>
  </si>
  <si>
    <t>16-03-2023 01:45</t>
  </si>
  <si>
    <t>16-03-2023 02:00</t>
  </si>
  <si>
    <t>16-03-2023 02:15</t>
  </si>
  <si>
    <t>16-03-2023 02:30</t>
  </si>
  <si>
    <t>16-03-2023 02:45</t>
  </si>
  <si>
    <t>16-03-2023 03:00</t>
  </si>
  <si>
    <t>16-03-2023 03:15</t>
  </si>
  <si>
    <t>16-03-2023 03:30</t>
  </si>
  <si>
    <t>16-03-2023 03:45</t>
  </si>
  <si>
    <t>16-03-2023 04:00</t>
  </si>
  <si>
    <t>16-03-2023 04:15</t>
  </si>
  <si>
    <t>16-03-2023 04:30</t>
  </si>
  <si>
    <t>16-03-2023 04:45</t>
  </si>
  <si>
    <t>16-03-2023 05:00</t>
  </si>
  <si>
    <t>16-03-2023 05:15</t>
  </si>
  <si>
    <t>16-03-2023 05:30</t>
  </si>
  <si>
    <t>16-03-2023 05:45</t>
  </si>
  <si>
    <t>16-03-2023 06:00</t>
  </si>
  <si>
    <t>16-03-2023 06:15</t>
  </si>
  <si>
    <t>16-03-2023 06:30</t>
  </si>
  <si>
    <t>16-03-2023 06:45</t>
  </si>
  <si>
    <t>16-03-2023 07:00</t>
  </si>
  <si>
    <t>16-03-2023 07:15</t>
  </si>
  <si>
    <t>16-03-2023 07:30</t>
  </si>
  <si>
    <t>16-03-2023 07:45</t>
  </si>
  <si>
    <t>16-03-2023 08:00</t>
  </si>
  <si>
    <t>16-03-2023 08:15</t>
  </si>
  <si>
    <t>16-03-2023 08:30</t>
  </si>
  <si>
    <t>16-03-2023 08:45</t>
  </si>
  <si>
    <t>16-03-2023 09:00</t>
  </si>
  <si>
    <t>16-03-2023 09:15</t>
  </si>
  <si>
    <t>16-03-2023 09:30</t>
  </si>
  <si>
    <t>16-03-2023 09:45</t>
  </si>
  <si>
    <t>16-03-2023 10:00</t>
  </si>
  <si>
    <t>16-03-2023 10:15</t>
  </si>
  <si>
    <t>16-03-2023 10:30</t>
  </si>
  <si>
    <t>16-03-2023 10:45</t>
  </si>
  <si>
    <t>16-03-2023 11:00</t>
  </si>
  <si>
    <t>16-03-2023 11:15</t>
  </si>
  <si>
    <t>16-03-2023 11:30</t>
  </si>
  <si>
    <t>16-03-2023 11:45</t>
  </si>
  <si>
    <t>16-03-2023 12:00</t>
  </si>
  <si>
    <t>16-03-2023 12:15</t>
  </si>
  <si>
    <t>16-03-2023 12:30</t>
  </si>
  <si>
    <t>16-03-2023 12:45</t>
  </si>
  <si>
    <t>16-03-2023 13:00</t>
  </si>
  <si>
    <t>16-03-2023 13:15</t>
  </si>
  <si>
    <t>16-03-2023 13:30</t>
  </si>
  <si>
    <t>16-03-2023 13:45</t>
  </si>
  <si>
    <t>16-03-2023 14:00</t>
  </si>
  <si>
    <t>16-03-2023 14:15</t>
  </si>
  <si>
    <t>16-03-2023 14:30</t>
  </si>
  <si>
    <t>16-03-2023 14:45</t>
  </si>
  <si>
    <t>16-03-2023 15:00</t>
  </si>
  <si>
    <t>16-03-2023 15:15</t>
  </si>
  <si>
    <t>16-03-2023 15:30</t>
  </si>
  <si>
    <t>16-03-2023 15:45</t>
  </si>
  <si>
    <t>16-03-2023 16:00</t>
  </si>
  <si>
    <t>16-03-2023 16:15</t>
  </si>
  <si>
    <t>16-03-2023 16:30</t>
  </si>
  <si>
    <t>16-03-2023 16:45</t>
  </si>
  <si>
    <t>16-03-2023 17:00</t>
  </si>
  <si>
    <t>16-03-2023 17:15</t>
  </si>
  <si>
    <t>16-03-2023 17:30</t>
  </si>
  <si>
    <t>16-03-2023 17:45</t>
  </si>
  <si>
    <t>16-03-2023 18:00</t>
  </si>
  <si>
    <t>16-03-2023 18:15</t>
  </si>
  <si>
    <t>16-03-2023 18:30</t>
  </si>
  <si>
    <t>16-03-2023 18:45</t>
  </si>
  <si>
    <t>16-03-2023 19:00</t>
  </si>
  <si>
    <t>16-03-2023 19:15</t>
  </si>
  <si>
    <t>16-03-2023 19:30</t>
  </si>
  <si>
    <t>16-03-2023 19:45</t>
  </si>
  <si>
    <t>16-03-2023 20:00</t>
  </si>
  <si>
    <t>16-03-2023 20:15</t>
  </si>
  <si>
    <t>16-03-2023 20:30</t>
  </si>
  <si>
    <t>16-03-2023 20:45</t>
  </si>
  <si>
    <t>16-03-2023 21:00</t>
  </si>
  <si>
    <t>16-03-2023 21:15</t>
  </si>
  <si>
    <t>16-03-2023 21:30</t>
  </si>
  <si>
    <t>16-03-2023 21:45</t>
  </si>
  <si>
    <t>16-03-2023 22:00</t>
  </si>
  <si>
    <t>16-03-2023 22:15</t>
  </si>
  <si>
    <t>16-03-2023 22:30</t>
  </si>
  <si>
    <t>16-03-2023 22:45</t>
  </si>
  <si>
    <t>16-03-2023 23:00</t>
  </si>
  <si>
    <t>16-03-2023 23:15</t>
  </si>
  <si>
    <t>16-03-2023 23:30</t>
  </si>
  <si>
    <t>16-03-2023 23:45</t>
  </si>
  <si>
    <t>16-03-2023 24:00</t>
  </si>
  <si>
    <t>17-03-2023 00:15</t>
  </si>
  <si>
    <t>17-03-2023 00:30</t>
  </si>
  <si>
    <t>17-03-2023 00:45</t>
  </si>
  <si>
    <t>17-03-2023 01:00</t>
  </si>
  <si>
    <t>17-03-2023 01:15</t>
  </si>
  <si>
    <t>17-03-2023 01:30</t>
  </si>
  <si>
    <t>17-03-2023 01:45</t>
  </si>
  <si>
    <t>17-03-2023 02:00</t>
  </si>
  <si>
    <t>17-03-2023 02:15</t>
  </si>
  <si>
    <t>17-03-2023 02:30</t>
  </si>
  <si>
    <t>17-03-2023 02:45</t>
  </si>
  <si>
    <t>17-03-2023 03:00</t>
  </si>
  <si>
    <t>17-03-2023 03:15</t>
  </si>
  <si>
    <t>17-03-2023 03:30</t>
  </si>
  <si>
    <t>17-03-2023 03:45</t>
  </si>
  <si>
    <t>17-03-2023 04:00</t>
  </si>
  <si>
    <t>17-03-2023 04:15</t>
  </si>
  <si>
    <t>17-03-2023 04:30</t>
  </si>
  <si>
    <t>17-03-2023 04:45</t>
  </si>
  <si>
    <t>17-03-2023 05:00</t>
  </si>
  <si>
    <t>17-03-2023 05:15</t>
  </si>
  <si>
    <t>17-03-2023 05:30</t>
  </si>
  <si>
    <t>17-03-2023 05:45</t>
  </si>
  <si>
    <t>17-03-2023 06:00</t>
  </si>
  <si>
    <t>17-03-2023 06:15</t>
  </si>
  <si>
    <t>17-03-2023 06:30</t>
  </si>
  <si>
    <t>17-03-2023 06:45</t>
  </si>
  <si>
    <t>17-03-2023 07:00</t>
  </si>
  <si>
    <t>17-03-2023 07:15</t>
  </si>
  <si>
    <t>17-03-2023 07:30</t>
  </si>
  <si>
    <t>17-03-2023 07:45</t>
  </si>
  <si>
    <t>17-03-2023 08:00</t>
  </si>
  <si>
    <t>17-03-2023 08:15</t>
  </si>
  <si>
    <t>17-03-2023 08:30</t>
  </si>
  <si>
    <t>17-03-2023 08:45</t>
  </si>
  <si>
    <t>17-03-2023 09:00</t>
  </si>
  <si>
    <t>17-03-2023 09:15</t>
  </si>
  <si>
    <t>17-03-2023 09:30</t>
  </si>
  <si>
    <t>17-03-2023 09:45</t>
  </si>
  <si>
    <t>17-03-2023 10:00</t>
  </si>
  <si>
    <t>17-03-2023 10:15</t>
  </si>
  <si>
    <t>17-03-2023 10:30</t>
  </si>
  <si>
    <t>17-03-2023 10:45</t>
  </si>
  <si>
    <t>17-03-2023 11:00</t>
  </si>
  <si>
    <t>17-03-2023 11:15</t>
  </si>
  <si>
    <t>17-03-2023 11:30</t>
  </si>
  <si>
    <t>17-03-2023 11:45</t>
  </si>
  <si>
    <t>17-03-2023 12:00</t>
  </si>
  <si>
    <t>17-03-2023 12:15</t>
  </si>
  <si>
    <t>17-03-2023 12:30</t>
  </si>
  <si>
    <t>17-03-2023 12:45</t>
  </si>
  <si>
    <t>17-03-2023 13:00</t>
  </si>
  <si>
    <t>17-03-2023 13:15</t>
  </si>
  <si>
    <t>17-03-2023 13:30</t>
  </si>
  <si>
    <t>17-03-2023 13:45</t>
  </si>
  <si>
    <t>17-03-2023 14:00</t>
  </si>
  <si>
    <t>17-03-2023 14:15</t>
  </si>
  <si>
    <t>17-03-2023 14:30</t>
  </si>
  <si>
    <t>17-03-2023 14:45</t>
  </si>
  <si>
    <t>17-03-2023 15:00</t>
  </si>
  <si>
    <t>17-03-2023 15:15</t>
  </si>
  <si>
    <t>17-03-2023 15:30</t>
  </si>
  <si>
    <t>17-03-2023 15:45</t>
  </si>
  <si>
    <t>17-03-2023 16:00</t>
  </si>
  <si>
    <t>17-03-2023 16:15</t>
  </si>
  <si>
    <t>17-03-2023 16:30</t>
  </si>
  <si>
    <t>17-03-2023 16:45</t>
  </si>
  <si>
    <t>17-03-2023 17:00</t>
  </si>
  <si>
    <t>17-03-2023 17:15</t>
  </si>
  <si>
    <t>17-03-2023 17:30</t>
  </si>
  <si>
    <t>17-03-2023 17:45</t>
  </si>
  <si>
    <t>17-03-2023 18:00</t>
  </si>
  <si>
    <t>17-03-2023 18:15</t>
  </si>
  <si>
    <t>17-03-2023 18:30</t>
  </si>
  <si>
    <t>17-03-2023 18:45</t>
  </si>
  <si>
    <t>17-03-2023 19:00</t>
  </si>
  <si>
    <t>17-03-2023 19:15</t>
  </si>
  <si>
    <t>17-03-2023 19:30</t>
  </si>
  <si>
    <t>17-03-2023 19:45</t>
  </si>
  <si>
    <t>17-03-2023 20:00</t>
  </si>
  <si>
    <t>17-03-2023 20:15</t>
  </si>
  <si>
    <t>17-03-2023 20:30</t>
  </si>
  <si>
    <t>17-03-2023 20:45</t>
  </si>
  <si>
    <t>17-03-2023 21:00</t>
  </si>
  <si>
    <t>17-03-2023 21:15</t>
  </si>
  <si>
    <t>17-03-2023 21:30</t>
  </si>
  <si>
    <t>17-03-2023 21:45</t>
  </si>
  <si>
    <t>17-03-2023 22:00</t>
  </si>
  <si>
    <t>17-03-2023 22:15</t>
  </si>
  <si>
    <t>17-03-2023 22:30</t>
  </si>
  <si>
    <t>17-03-2023 22:45</t>
  </si>
  <si>
    <t>17-03-2023 23:00</t>
  </si>
  <si>
    <t>17-03-2023 23:15</t>
  </si>
  <si>
    <t>17-03-2023 23:30</t>
  </si>
  <si>
    <t>17-03-2023 23:45</t>
  </si>
  <si>
    <t>17-03-2023 24:00</t>
  </si>
  <si>
    <t>18-03-2023 00:15</t>
  </si>
  <si>
    <t>18-03-2023 00:30</t>
  </si>
  <si>
    <t>18-03-2023 00:45</t>
  </si>
  <si>
    <t>18-03-2023 01:00</t>
  </si>
  <si>
    <t>18-03-2023 01:15</t>
  </si>
  <si>
    <t>18-03-2023 01:30</t>
  </si>
  <si>
    <t>18-03-2023 01:45</t>
  </si>
  <si>
    <t>18-03-2023 02:00</t>
  </si>
  <si>
    <t>18-03-2023 02:15</t>
  </si>
  <si>
    <t>18-03-2023 02:30</t>
  </si>
  <si>
    <t>18-03-2023 02:45</t>
  </si>
  <si>
    <t>18-03-2023 03:00</t>
  </si>
  <si>
    <t>18-03-2023 03:15</t>
  </si>
  <si>
    <t>18-03-2023 03:30</t>
  </si>
  <si>
    <t>18-03-2023 03:45</t>
  </si>
  <si>
    <t>18-03-2023 04:00</t>
  </si>
  <si>
    <t>18-03-2023 04:15</t>
  </si>
  <si>
    <t>18-03-2023 04:30</t>
  </si>
  <si>
    <t>18-03-2023 04:45</t>
  </si>
  <si>
    <t>18-03-2023 05:00</t>
  </si>
  <si>
    <t>18-03-2023 05:15</t>
  </si>
  <si>
    <t>18-03-2023 05:30</t>
  </si>
  <si>
    <t>18-03-2023 05:45</t>
  </si>
  <si>
    <t>18-03-2023 06:00</t>
  </si>
  <si>
    <t>18-03-2023 06:15</t>
  </si>
  <si>
    <t>18-03-2023 06:30</t>
  </si>
  <si>
    <t>18-03-2023 06:45</t>
  </si>
  <si>
    <t>18-03-2023 07:00</t>
  </si>
  <si>
    <t>18-03-2023 07:15</t>
  </si>
  <si>
    <t>18-03-2023 07:30</t>
  </si>
  <si>
    <t>18-03-2023 07:45</t>
  </si>
  <si>
    <t>18-03-2023 08:00</t>
  </si>
  <si>
    <t>18-03-2023 08:15</t>
  </si>
  <si>
    <t>18-03-2023 08:30</t>
  </si>
  <si>
    <t>18-03-2023 08:45</t>
  </si>
  <si>
    <t>18-03-2023 09:00</t>
  </si>
  <si>
    <t>18-03-2023 09:15</t>
  </si>
  <si>
    <t>18-03-2023 09:30</t>
  </si>
  <si>
    <t>18-03-2023 09:45</t>
  </si>
  <si>
    <t>18-03-2023 10:00</t>
  </si>
  <si>
    <t>18-03-2023 10:15</t>
  </si>
  <si>
    <t>18-03-2023 10:30</t>
  </si>
  <si>
    <t>18-03-2023 10:45</t>
  </si>
  <si>
    <t>18-03-2023 11:00</t>
  </si>
  <si>
    <t>18-03-2023 11:15</t>
  </si>
  <si>
    <t>18-03-2023 11:30</t>
  </si>
  <si>
    <t>18-03-2023 11:45</t>
  </si>
  <si>
    <t>18-03-2023 12:00</t>
  </si>
  <si>
    <t>18-03-2023 12:15</t>
  </si>
  <si>
    <t>18-03-2023 12:30</t>
  </si>
  <si>
    <t>18-03-2023 12:45</t>
  </si>
  <si>
    <t>18-03-2023 13:00</t>
  </si>
  <si>
    <t>18-03-2023 13:15</t>
  </si>
  <si>
    <t>18-03-2023 13:30</t>
  </si>
  <si>
    <t>18-03-2023 13:45</t>
  </si>
  <si>
    <t>18-03-2023 14:00</t>
  </si>
  <si>
    <t>18-03-2023 14:15</t>
  </si>
  <si>
    <t>18-03-2023 14:30</t>
  </si>
  <si>
    <t>18-03-2023 14:45</t>
  </si>
  <si>
    <t>18-03-2023 15:00</t>
  </si>
  <si>
    <t>18-03-2023 15:15</t>
  </si>
  <si>
    <t>18-03-2023 15:30</t>
  </si>
  <si>
    <t>18-03-2023 15:45</t>
  </si>
  <si>
    <t>18-03-2023 16:00</t>
  </si>
  <si>
    <t>18-03-2023 16:15</t>
  </si>
  <si>
    <t>18-03-2023 16:30</t>
  </si>
  <si>
    <t>18-03-2023 16:45</t>
  </si>
  <si>
    <t>18-03-2023 17:00</t>
  </si>
  <si>
    <t>18-03-2023 17:15</t>
  </si>
  <si>
    <t>18-03-2023 17:30</t>
  </si>
  <si>
    <t>18-03-2023 17:45</t>
  </si>
  <si>
    <t>18-03-2023 18:00</t>
  </si>
  <si>
    <t>18-03-2023 18:15</t>
  </si>
  <si>
    <t>18-03-2023 18:30</t>
  </si>
  <si>
    <t>18-03-2023 18:45</t>
  </si>
  <si>
    <t>18-03-2023 19:00</t>
  </si>
  <si>
    <t>18-03-2023 19:15</t>
  </si>
  <si>
    <t>18-03-2023 19:30</t>
  </si>
  <si>
    <t>18-03-2023 19:45</t>
  </si>
  <si>
    <t>18-03-2023 20:00</t>
  </si>
  <si>
    <t>18-03-2023 20:15</t>
  </si>
  <si>
    <t>18-03-2023 20:30</t>
  </si>
  <si>
    <t>18-03-2023 20:45</t>
  </si>
  <si>
    <t>18-03-2023 21:00</t>
  </si>
  <si>
    <t>18-03-2023 21:15</t>
  </si>
  <si>
    <t>18-03-2023 21:30</t>
  </si>
  <si>
    <t>18-03-2023 21:45</t>
  </si>
  <si>
    <t>18-03-2023 22:00</t>
  </si>
  <si>
    <t>18-03-2023 22:15</t>
  </si>
  <si>
    <t>18-03-2023 22:30</t>
  </si>
  <si>
    <t>18-03-2023 22:45</t>
  </si>
  <si>
    <t>18-03-2023 23:00</t>
  </si>
  <si>
    <t>18-03-2023 23:15</t>
  </si>
  <si>
    <t>18-03-2023 23:30</t>
  </si>
  <si>
    <t>18-03-2023 23:45</t>
  </si>
  <si>
    <t>18-03-2023 24:00</t>
  </si>
  <si>
    <t>19-03-2023 00:15</t>
  </si>
  <si>
    <t>19-03-2023 00:30</t>
  </si>
  <si>
    <t>19-03-2023 00:45</t>
  </si>
  <si>
    <t>19-03-2023 01:00</t>
  </si>
  <si>
    <t>19-03-2023 01:15</t>
  </si>
  <si>
    <t>19-03-2023 01:30</t>
  </si>
  <si>
    <t>19-03-2023 01:45</t>
  </si>
  <si>
    <t>19-03-2023 02:00</t>
  </si>
  <si>
    <t>19-03-2023 02:15</t>
  </si>
  <si>
    <t>19-03-2023 02:30</t>
  </si>
  <si>
    <t>19-03-2023 02:45</t>
  </si>
  <si>
    <t>19-03-2023 03:00</t>
  </si>
  <si>
    <t>19-03-2023 03:15</t>
  </si>
  <si>
    <t>19-03-2023 03:30</t>
  </si>
  <si>
    <t>19-03-2023 03:45</t>
  </si>
  <si>
    <t>19-03-2023 04:00</t>
  </si>
  <si>
    <t>19-03-2023 04:15</t>
  </si>
  <si>
    <t>19-03-2023 04:30</t>
  </si>
  <si>
    <t>19-03-2023 04:45</t>
  </si>
  <si>
    <t>19-03-2023 05:00</t>
  </si>
  <si>
    <t>19-03-2023 05:15</t>
  </si>
  <si>
    <t>19-03-2023 05:30</t>
  </si>
  <si>
    <t>19-03-2023 05:45</t>
  </si>
  <si>
    <t>19-03-2023 06:00</t>
  </si>
  <si>
    <t>19-03-2023 06:15</t>
  </si>
  <si>
    <t>19-03-2023 06:30</t>
  </si>
  <si>
    <t>19-03-2023 06:45</t>
  </si>
  <si>
    <t>19-03-2023 07:00</t>
  </si>
  <si>
    <t>19-03-2023 07:15</t>
  </si>
  <si>
    <t>19-03-2023 07:30</t>
  </si>
  <si>
    <t>19-03-2023 07:45</t>
  </si>
  <si>
    <t>19-03-2023 08:00</t>
  </si>
  <si>
    <t>19-03-2023 08:15</t>
  </si>
  <si>
    <t>19-03-2023 08:30</t>
  </si>
  <si>
    <t>19-03-2023 08:45</t>
  </si>
  <si>
    <t>19-03-2023 09:00</t>
  </si>
  <si>
    <t>19-03-2023 09:15</t>
  </si>
  <si>
    <t>19-03-2023 09:30</t>
  </si>
  <si>
    <t>19-03-2023 09:45</t>
  </si>
  <si>
    <t>19-03-2023 10:00</t>
  </si>
  <si>
    <t>19-03-2023 10:15</t>
  </si>
  <si>
    <t>19-03-2023 10:30</t>
  </si>
  <si>
    <t>19-03-2023 10:45</t>
  </si>
  <si>
    <t>19-03-2023 11:00</t>
  </si>
  <si>
    <t>19-03-2023 11:15</t>
  </si>
  <si>
    <t>19-03-2023 11:30</t>
  </si>
  <si>
    <t>19-03-2023 11:45</t>
  </si>
  <si>
    <t>19-03-2023 12:00</t>
  </si>
  <si>
    <t>19-03-2023 12:15</t>
  </si>
  <si>
    <t>19-03-2023 12:30</t>
  </si>
  <si>
    <t>19-03-2023 12:45</t>
  </si>
  <si>
    <t>19-03-2023 13:00</t>
  </si>
  <si>
    <t>19-03-2023 13:15</t>
  </si>
  <si>
    <t>19-03-2023 13:30</t>
  </si>
  <si>
    <t>19-03-2023 13:45</t>
  </si>
  <si>
    <t>19-03-2023 14:00</t>
  </si>
  <si>
    <t>19-03-2023 14:15</t>
  </si>
  <si>
    <t>19-03-2023 14:30</t>
  </si>
  <si>
    <t>19-03-2023 14:45</t>
  </si>
  <si>
    <t>19-03-2023 15:00</t>
  </si>
  <si>
    <t>19-03-2023 15:15</t>
  </si>
  <si>
    <t>19-03-2023 15:30</t>
  </si>
  <si>
    <t>19-03-2023 15:45</t>
  </si>
  <si>
    <t>19-03-2023 16:00</t>
  </si>
  <si>
    <t>19-03-2023 16:15</t>
  </si>
  <si>
    <t>19-03-2023 16:30</t>
  </si>
  <si>
    <t>19-03-2023 16:45</t>
  </si>
  <si>
    <t>19-03-2023 17:00</t>
  </si>
  <si>
    <t>19-03-2023 17:15</t>
  </si>
  <si>
    <t>19-03-2023 17:30</t>
  </si>
  <si>
    <t>19-03-2023 17:45</t>
  </si>
  <si>
    <t>19-03-2023 18:00</t>
  </si>
  <si>
    <t>19-03-2023 18:15</t>
  </si>
  <si>
    <t>19-03-2023 18:30</t>
  </si>
  <si>
    <t>19-03-2023 18:45</t>
  </si>
  <si>
    <t>19-03-2023 19:00</t>
  </si>
  <si>
    <t>19-03-2023 19:15</t>
  </si>
  <si>
    <t>19-03-2023 19:30</t>
  </si>
  <si>
    <t>19-03-2023 19:45</t>
  </si>
  <si>
    <t>19-03-2023 20:00</t>
  </si>
  <si>
    <t>19-03-2023 20:15</t>
  </si>
  <si>
    <t>19-03-2023 20:30</t>
  </si>
  <si>
    <t>19-03-2023 20:45</t>
  </si>
  <si>
    <t>19-03-2023 21:00</t>
  </si>
  <si>
    <t>19-03-2023 21:15</t>
  </si>
  <si>
    <t>19-03-2023 21:30</t>
  </si>
  <si>
    <t>19-03-2023 21:45</t>
  </si>
  <si>
    <t>19-03-2023 22:00</t>
  </si>
  <si>
    <t>19-03-2023 22:15</t>
  </si>
  <si>
    <t>19-03-2023 22:30</t>
  </si>
  <si>
    <t>19-03-2023 22:45</t>
  </si>
  <si>
    <t>19-03-2023 23:00</t>
  </si>
  <si>
    <t>19-03-2023 23:15</t>
  </si>
  <si>
    <t>19-03-2023 23:30</t>
  </si>
  <si>
    <t>19-03-2023 23:45</t>
  </si>
  <si>
    <t>19-03-2023 24:00</t>
  </si>
  <si>
    <t>20-03-2023 00:15</t>
  </si>
  <si>
    <t>20-03-2023 00:30</t>
  </si>
  <si>
    <t>20-03-2023 00:45</t>
  </si>
  <si>
    <t>20-03-2023 01:00</t>
  </si>
  <si>
    <t>20-03-2023 01:15</t>
  </si>
  <si>
    <t>20-03-2023 01:30</t>
  </si>
  <si>
    <t>20-03-2023 01:45</t>
  </si>
  <si>
    <t>20-03-2023 02:00</t>
  </si>
  <si>
    <t>20-03-2023 02:15</t>
  </si>
  <si>
    <t>20-03-2023 02:30</t>
  </si>
  <si>
    <t>20-03-2023 02:45</t>
  </si>
  <si>
    <t>20-03-2023 03:00</t>
  </si>
  <si>
    <t>20-03-2023 03:15</t>
  </si>
  <si>
    <t>20-03-2023 03:30</t>
  </si>
  <si>
    <t>20-03-2023 03:45</t>
  </si>
  <si>
    <t>20-03-2023 04:00</t>
  </si>
  <si>
    <t>20-03-2023 04:15</t>
  </si>
  <si>
    <t>20-03-2023 04:30</t>
  </si>
  <si>
    <t>20-03-2023 04:45</t>
  </si>
  <si>
    <t>20-03-2023 05:00</t>
  </si>
  <si>
    <t>20-03-2023 05:15</t>
  </si>
  <si>
    <t>20-03-2023 05:30</t>
  </si>
  <si>
    <t>20-03-2023 05:45</t>
  </si>
  <si>
    <t>20-03-2023 06:00</t>
  </si>
  <si>
    <t>20-03-2023 06:15</t>
  </si>
  <si>
    <t>20-03-2023 06:30</t>
  </si>
  <si>
    <t>20-03-2023 06:45</t>
  </si>
  <si>
    <t>20-03-2023 07:00</t>
  </si>
  <si>
    <t>20-03-2023 07:15</t>
  </si>
  <si>
    <t>20-03-2023 07:30</t>
  </si>
  <si>
    <t>20-03-2023 07:45</t>
  </si>
  <si>
    <t>20-03-2023 08:00</t>
  </si>
  <si>
    <t>20-03-2023 08:15</t>
  </si>
  <si>
    <t>20-03-2023 08:30</t>
  </si>
  <si>
    <t>20-03-2023 08:45</t>
  </si>
  <si>
    <t>20-03-2023 09:00</t>
  </si>
  <si>
    <t>20-03-2023 09:15</t>
  </si>
  <si>
    <t>20-03-2023 09:30</t>
  </si>
  <si>
    <t>20-03-2023 09:45</t>
  </si>
  <si>
    <t>20-03-2023 10:00</t>
  </si>
  <si>
    <t>20-03-2023 10:15</t>
  </si>
  <si>
    <t>20-03-2023 10:30</t>
  </si>
  <si>
    <t>20-03-2023 10:45</t>
  </si>
  <si>
    <t>20-03-2023 11:00</t>
  </si>
  <si>
    <t>20-03-2023 11:15</t>
  </si>
  <si>
    <t>20-03-2023 11:30</t>
  </si>
  <si>
    <t>20-03-2023 11:45</t>
  </si>
  <si>
    <t>20-03-2023 12:00</t>
  </si>
  <si>
    <t>20-03-2023 12:15</t>
  </si>
  <si>
    <t>20-03-2023 12:30</t>
  </si>
  <si>
    <t>20-03-2023 12:45</t>
  </si>
  <si>
    <t>20-03-2023 13:00</t>
  </si>
  <si>
    <t>20-03-2023 13:15</t>
  </si>
  <si>
    <t>20-03-2023 13:30</t>
  </si>
  <si>
    <t>20-03-2023 13:45</t>
  </si>
  <si>
    <t>20-03-2023 14:00</t>
  </si>
  <si>
    <t>20-03-2023 14:15</t>
  </si>
  <si>
    <t>20-03-2023 14:30</t>
  </si>
  <si>
    <t>20-03-2023 14:45</t>
  </si>
  <si>
    <t>20-03-2023 15:00</t>
  </si>
  <si>
    <t>20-03-2023 15:15</t>
  </si>
  <si>
    <t>20-03-2023 15:30</t>
  </si>
  <si>
    <t>20-03-2023 15:45</t>
  </si>
  <si>
    <t>20-03-2023 16:00</t>
  </si>
  <si>
    <t>20-03-2023 16:15</t>
  </si>
  <si>
    <t>20-03-2023 16:30</t>
  </si>
  <si>
    <t>20-03-2023 16:45</t>
  </si>
  <si>
    <t>20-03-2023 17:00</t>
  </si>
  <si>
    <t>20-03-2023 17:15</t>
  </si>
  <si>
    <t>20-03-2023 17:30</t>
  </si>
  <si>
    <t>20-03-2023 17:45</t>
  </si>
  <si>
    <t>20-03-2023 18:00</t>
  </si>
  <si>
    <t>20-03-2023 18:15</t>
  </si>
  <si>
    <t>20-03-2023 18:30</t>
  </si>
  <si>
    <t>20-03-2023 18:45</t>
  </si>
  <si>
    <t>20-03-2023 19:00</t>
  </si>
  <si>
    <t>20-03-2023 19:15</t>
  </si>
  <si>
    <t>20-03-2023 19:30</t>
  </si>
  <si>
    <t>20-03-2023 19:45</t>
  </si>
  <si>
    <t>20-03-2023 20:00</t>
  </si>
  <si>
    <t>20-03-2023 20:15</t>
  </si>
  <si>
    <t>20-03-2023 20:30</t>
  </si>
  <si>
    <t>20-03-2023 20:45</t>
  </si>
  <si>
    <t>20-03-2023 21:00</t>
  </si>
  <si>
    <t>20-03-2023 21:15</t>
  </si>
  <si>
    <t>20-03-2023 21:30</t>
  </si>
  <si>
    <t>20-03-2023 21:45</t>
  </si>
  <si>
    <t>20-03-2023 22:00</t>
  </si>
  <si>
    <t>20-03-2023 22:15</t>
  </si>
  <si>
    <t>20-03-2023 22:30</t>
  </si>
  <si>
    <t>20-03-2023 22:45</t>
  </si>
  <si>
    <t>20-03-2023 23:00</t>
  </si>
  <si>
    <t>20-03-2023 23:15</t>
  </si>
  <si>
    <t>20-03-2023 23:30</t>
  </si>
  <si>
    <t>20-03-2023 23:45</t>
  </si>
  <si>
    <t>20-03-2023 24:00</t>
  </si>
  <si>
    <t>21-03-2023 00:15</t>
  </si>
  <si>
    <t>21-03-2023 00:30</t>
  </si>
  <si>
    <t>21-03-2023 00:45</t>
  </si>
  <si>
    <t>21-03-2023 01:00</t>
  </si>
  <si>
    <t>21-03-2023 01:15</t>
  </si>
  <si>
    <t>21-03-2023 01:30</t>
  </si>
  <si>
    <t>21-03-2023 01:45</t>
  </si>
  <si>
    <t>21-03-2023 02:00</t>
  </si>
  <si>
    <t>21-03-2023 02:15</t>
  </si>
  <si>
    <t>21-03-2023 02:30</t>
  </si>
  <si>
    <t>21-03-2023 02:45</t>
  </si>
  <si>
    <t>21-03-2023 03:00</t>
  </si>
  <si>
    <t>21-03-2023 03:15</t>
  </si>
  <si>
    <t>21-03-2023 03:30</t>
  </si>
  <si>
    <t>21-03-2023 03:45</t>
  </si>
  <si>
    <t>21-03-2023 04:00</t>
  </si>
  <si>
    <t>21-03-2023 04:15</t>
  </si>
  <si>
    <t>21-03-2023 04:30</t>
  </si>
  <si>
    <t>21-03-2023 04:45</t>
  </si>
  <si>
    <t>21-03-2023 05:00</t>
  </si>
  <si>
    <t>21-03-2023 05:15</t>
  </si>
  <si>
    <t>21-03-2023 05:30</t>
  </si>
  <si>
    <t>21-03-2023 05:45</t>
  </si>
  <si>
    <t>21-03-2023 06:00</t>
  </si>
  <si>
    <t>21-03-2023 06:15</t>
  </si>
  <si>
    <t>21-03-2023 06:30</t>
  </si>
  <si>
    <t>21-03-2023 06:45</t>
  </si>
  <si>
    <t>21-03-2023 07:00</t>
  </si>
  <si>
    <t>21-03-2023 07:15</t>
  </si>
  <si>
    <t>21-03-2023 07:30</t>
  </si>
  <si>
    <t>21-03-2023 07:45</t>
  </si>
  <si>
    <t>21-03-2023 08:00</t>
  </si>
  <si>
    <t>21-03-2023 08:15</t>
  </si>
  <si>
    <t>21-03-2023 08:30</t>
  </si>
  <si>
    <t>21-03-2023 08:45</t>
  </si>
  <si>
    <t>21-03-2023 09:00</t>
  </si>
  <si>
    <t>21-03-2023 09:15</t>
  </si>
  <si>
    <t>21-03-2023 09:30</t>
  </si>
  <si>
    <t>21-03-2023 09:45</t>
  </si>
  <si>
    <t>21-03-2023 10:00</t>
  </si>
  <si>
    <t>21-03-2023 10:15</t>
  </si>
  <si>
    <t>21-03-2023 10:30</t>
  </si>
  <si>
    <t>21-03-2023 10:45</t>
  </si>
  <si>
    <t>21-03-2023 11:00</t>
  </si>
  <si>
    <t>21-03-2023 11:15</t>
  </si>
  <si>
    <t>21-03-2023 11:30</t>
  </si>
  <si>
    <t>21-03-2023 11:45</t>
  </si>
  <si>
    <t>21-03-2023 12:00</t>
  </si>
  <si>
    <t>21-03-2023 12:15</t>
  </si>
  <si>
    <t>21-03-2023 12:30</t>
  </si>
  <si>
    <t>21-03-2023 12:45</t>
  </si>
  <si>
    <t>21-03-2023 13:00</t>
  </si>
  <si>
    <t>21-03-2023 13:15</t>
  </si>
  <si>
    <t>21-03-2023 13:30</t>
  </si>
  <si>
    <t>21-03-2023 13:45</t>
  </si>
  <si>
    <t>21-03-2023 14:00</t>
  </si>
  <si>
    <t>21-03-2023 14:15</t>
  </si>
  <si>
    <t>21-03-2023 14:30</t>
  </si>
  <si>
    <t>21-03-2023 14:45</t>
  </si>
  <si>
    <t>21-03-2023 15:00</t>
  </si>
  <si>
    <t>21-03-2023 15:15</t>
  </si>
  <si>
    <t>21-03-2023 15:30</t>
  </si>
  <si>
    <t>21-03-2023 15:45</t>
  </si>
  <si>
    <t>21-03-2023 16:00</t>
  </si>
  <si>
    <t>21-03-2023 16:15</t>
  </si>
  <si>
    <t>21-03-2023 16:30</t>
  </si>
  <si>
    <t>21-03-2023 16:45</t>
  </si>
  <si>
    <t>21-03-2023 17:00</t>
  </si>
  <si>
    <t>21-03-2023 17:15</t>
  </si>
  <si>
    <t>21-03-2023 17:30</t>
  </si>
  <si>
    <t>21-03-2023 17:45</t>
  </si>
  <si>
    <t>21-03-2023 18:00</t>
  </si>
  <si>
    <t>21-03-2023 18:15</t>
  </si>
  <si>
    <t>21-03-2023 18:30</t>
  </si>
  <si>
    <t>21-03-2023 18:45</t>
  </si>
  <si>
    <t>21-03-2023 19:00</t>
  </si>
  <si>
    <t>21-03-2023 19:15</t>
  </si>
  <si>
    <t>21-03-2023 19:30</t>
  </si>
  <si>
    <t>21-03-2023 19:45</t>
  </si>
  <si>
    <t>21-03-2023 20:00</t>
  </si>
  <si>
    <t>21-03-2023 20:15</t>
  </si>
  <si>
    <t>21-03-2023 20:30</t>
  </si>
  <si>
    <t>21-03-2023 20:45</t>
  </si>
  <si>
    <t>21-03-2023 21:00</t>
  </si>
  <si>
    <t>21-03-2023 21:15</t>
  </si>
  <si>
    <t>21-03-2023 21:30</t>
  </si>
  <si>
    <t>21-03-2023 21:45</t>
  </si>
  <si>
    <t>21-03-2023 22:00</t>
  </si>
  <si>
    <t>21-03-2023 22:15</t>
  </si>
  <si>
    <t>21-03-2023 22:30</t>
  </si>
  <si>
    <t>21-03-2023 22:45</t>
  </si>
  <si>
    <t>21-03-2023 23:00</t>
  </si>
  <si>
    <t>21-03-2023 23:15</t>
  </si>
  <si>
    <t>21-03-2023 23:30</t>
  </si>
  <si>
    <t>21-03-2023 23:45</t>
  </si>
  <si>
    <t>21-03-2023 24:00</t>
  </si>
  <si>
    <t>22-03-2023 00:15</t>
  </si>
  <si>
    <t>22-03-2023 00:30</t>
  </si>
  <si>
    <t>22-03-2023 00:45</t>
  </si>
  <si>
    <t>22-03-2023 01:00</t>
  </si>
  <si>
    <t>22-03-2023 01:15</t>
  </si>
  <si>
    <t>22-03-2023 01:30</t>
  </si>
  <si>
    <t>22-03-2023 01:45</t>
  </si>
  <si>
    <t>22-03-2023 02:00</t>
  </si>
  <si>
    <t>22-03-2023 02:15</t>
  </si>
  <si>
    <t>22-03-2023 02:30</t>
  </si>
  <si>
    <t>22-03-2023 02:45</t>
  </si>
  <si>
    <t>22-03-2023 03:00</t>
  </si>
  <si>
    <t>22-03-2023 03:15</t>
  </si>
  <si>
    <t>22-03-2023 03:30</t>
  </si>
  <si>
    <t>22-03-2023 03:45</t>
  </si>
  <si>
    <t>22-03-2023 04:00</t>
  </si>
  <si>
    <t>22-03-2023 04:15</t>
  </si>
  <si>
    <t>22-03-2023 04:30</t>
  </si>
  <si>
    <t>22-03-2023 04:45</t>
  </si>
  <si>
    <t>22-03-2023 05:00</t>
  </si>
  <si>
    <t>22-03-2023 05:15</t>
  </si>
  <si>
    <t>22-03-2023 05:30</t>
  </si>
  <si>
    <t>22-03-2023 05:45</t>
  </si>
  <si>
    <t>22-03-2023 06:00</t>
  </si>
  <si>
    <t>22-03-2023 06:15</t>
  </si>
  <si>
    <t>22-03-2023 06:30</t>
  </si>
  <si>
    <t>22-03-2023 06:45</t>
  </si>
  <si>
    <t>22-03-2023 07:00</t>
  </si>
  <si>
    <t>22-03-2023 07:15</t>
  </si>
  <si>
    <t>22-03-2023 07:30</t>
  </si>
  <si>
    <t>22-03-2023 07:45</t>
  </si>
  <si>
    <t>22-03-2023 08:00</t>
  </si>
  <si>
    <t>22-03-2023 08:15</t>
  </si>
  <si>
    <t>22-03-2023 08:30</t>
  </si>
  <si>
    <t>22-03-2023 08:45</t>
  </si>
  <si>
    <t>22-03-2023 09:00</t>
  </si>
  <si>
    <t>22-03-2023 09:15</t>
  </si>
  <si>
    <t>22-03-2023 09:30</t>
  </si>
  <si>
    <t>22-03-2023 09:45</t>
  </si>
  <si>
    <t>22-03-2023 10:00</t>
  </si>
  <si>
    <t>22-03-2023 10:15</t>
  </si>
  <si>
    <t>22-03-2023 10:30</t>
  </si>
  <si>
    <t>22-03-2023 10:45</t>
  </si>
  <si>
    <t>22-03-2023 11:00</t>
  </si>
  <si>
    <t>22-03-2023 11:15</t>
  </si>
  <si>
    <t>22-03-2023 11:30</t>
  </si>
  <si>
    <t>22-03-2023 11:45</t>
  </si>
  <si>
    <t>22-03-2023 12:00</t>
  </si>
  <si>
    <t>22-03-2023 12:15</t>
  </si>
  <si>
    <t>22-03-2023 12:30</t>
  </si>
  <si>
    <t>22-03-2023 12:45</t>
  </si>
  <si>
    <t>22-03-2023 13:00</t>
  </si>
  <si>
    <t>22-03-2023 13:15</t>
  </si>
  <si>
    <t>22-03-2023 13:30</t>
  </si>
  <si>
    <t>22-03-2023 13:45</t>
  </si>
  <si>
    <t>22-03-2023 14:00</t>
  </si>
  <si>
    <t>22-03-2023 14:15</t>
  </si>
  <si>
    <t>22-03-2023 14:30</t>
  </si>
  <si>
    <t>22-03-2023 14:45</t>
  </si>
  <si>
    <t>22-03-2023 15:00</t>
  </si>
  <si>
    <t>22-03-2023 15:15</t>
  </si>
  <si>
    <t>22-03-2023 15:30</t>
  </si>
  <si>
    <t>22-03-2023 15:45</t>
  </si>
  <si>
    <t>22-03-2023 16:00</t>
  </si>
  <si>
    <t>22-03-2023 16:15</t>
  </si>
  <si>
    <t>22-03-2023 16:30</t>
  </si>
  <si>
    <t>22-03-2023 16:45</t>
  </si>
  <si>
    <t>22-03-2023 17:00</t>
  </si>
  <si>
    <t>22-03-2023 17:15</t>
  </si>
  <si>
    <t>22-03-2023 17:30</t>
  </si>
  <si>
    <t>22-03-2023 17:45</t>
  </si>
  <si>
    <t>22-03-2023 18:00</t>
  </si>
  <si>
    <t>22-03-2023 18:15</t>
  </si>
  <si>
    <t>22-03-2023 18:30</t>
  </si>
  <si>
    <t>22-03-2023 18:45</t>
  </si>
  <si>
    <t>22-03-2023 19:00</t>
  </si>
  <si>
    <t>22-03-2023 19:15</t>
  </si>
  <si>
    <t>22-03-2023 19:30</t>
  </si>
  <si>
    <t>22-03-2023 19:45</t>
  </si>
  <si>
    <t>22-03-2023 20:00</t>
  </si>
  <si>
    <t>22-03-2023 20:15</t>
  </si>
  <si>
    <t>22-03-2023 20:30</t>
  </si>
  <si>
    <t>22-03-2023 20:45</t>
  </si>
  <si>
    <t>22-03-2023 21:00</t>
  </si>
  <si>
    <t>22-03-2023 21:15</t>
  </si>
  <si>
    <t>22-03-2023 21:30</t>
  </si>
  <si>
    <t>22-03-2023 21:45</t>
  </si>
  <si>
    <t>22-03-2023 22:00</t>
  </si>
  <si>
    <t>22-03-2023 22:15</t>
  </si>
  <si>
    <t>22-03-2023 22:30</t>
  </si>
  <si>
    <t>22-03-2023 22:45</t>
  </si>
  <si>
    <t>22-03-2023 23:00</t>
  </si>
  <si>
    <t>22-03-2023 23:15</t>
  </si>
  <si>
    <t>22-03-2023 23:30</t>
  </si>
  <si>
    <t>22-03-2023 23:45</t>
  </si>
  <si>
    <t>22-03-2023 24:00</t>
  </si>
  <si>
    <t>23-03-2023 00:15</t>
  </si>
  <si>
    <t>23-03-2023 00:30</t>
  </si>
  <si>
    <t>23-03-2023 00:45</t>
  </si>
  <si>
    <t>23-03-2023 01:00</t>
  </si>
  <si>
    <t>23-03-2023 01:15</t>
  </si>
  <si>
    <t>23-03-2023 01:30</t>
  </si>
  <si>
    <t>23-03-2023 01:45</t>
  </si>
  <si>
    <t>23-03-2023 02:00</t>
  </si>
  <si>
    <t>23-03-2023 02:15</t>
  </si>
  <si>
    <t>23-03-2023 02:30</t>
  </si>
  <si>
    <t>23-03-2023 02:45</t>
  </si>
  <si>
    <t>23-03-2023 03:00</t>
  </si>
  <si>
    <t>23-03-2023 03:15</t>
  </si>
  <si>
    <t>23-03-2023 03:30</t>
  </si>
  <si>
    <t>23-03-2023 03:45</t>
  </si>
  <si>
    <t>23-03-2023 04:00</t>
  </si>
  <si>
    <t>23-03-2023 04:15</t>
  </si>
  <si>
    <t>23-03-2023 04:30</t>
  </si>
  <si>
    <t>23-03-2023 04:45</t>
  </si>
  <si>
    <t>23-03-2023 05:00</t>
  </si>
  <si>
    <t>23-03-2023 05:15</t>
  </si>
  <si>
    <t>23-03-2023 05:30</t>
  </si>
  <si>
    <t>23-03-2023 05:45</t>
  </si>
  <si>
    <t>23-03-2023 06:00</t>
  </si>
  <si>
    <t>23-03-2023 06:15</t>
  </si>
  <si>
    <t>23-03-2023 06:30</t>
  </si>
  <si>
    <t>23-03-2023 06:45</t>
  </si>
  <si>
    <t>23-03-2023 07:00</t>
  </si>
  <si>
    <t>23-03-2023 07:15</t>
  </si>
  <si>
    <t>23-03-2023 07:30</t>
  </si>
  <si>
    <t>23-03-2023 07:45</t>
  </si>
  <si>
    <t>23-03-2023 08:00</t>
  </si>
  <si>
    <t>23-03-2023 08:15</t>
  </si>
  <si>
    <t>23-03-2023 08:30</t>
  </si>
  <si>
    <t>23-03-2023 08:45</t>
  </si>
  <si>
    <t>23-03-2023 09:00</t>
  </si>
  <si>
    <t>23-03-2023 09:15</t>
  </si>
  <si>
    <t>23-03-2023 09:30</t>
  </si>
  <si>
    <t>23-03-2023 09:45</t>
  </si>
  <si>
    <t>23-03-2023 10:00</t>
  </si>
  <si>
    <t>23-03-2023 10:15</t>
  </si>
  <si>
    <t>23-03-2023 10:30</t>
  </si>
  <si>
    <t>23-03-2023 10:45</t>
  </si>
  <si>
    <t>23-03-2023 11:00</t>
  </si>
  <si>
    <t>23-03-2023 11:15</t>
  </si>
  <si>
    <t>23-03-2023 11:30</t>
  </si>
  <si>
    <t>23-03-2023 11:45</t>
  </si>
  <si>
    <t>23-03-2023 12:00</t>
  </si>
  <si>
    <t>23-03-2023 12:15</t>
  </si>
  <si>
    <t>23-03-2023 12:30</t>
  </si>
  <si>
    <t>23-03-2023 12:45</t>
  </si>
  <si>
    <t>23-03-2023 13:00</t>
  </si>
  <si>
    <t>23-03-2023 13:15</t>
  </si>
  <si>
    <t>23-03-2023 13:30</t>
  </si>
  <si>
    <t>23-03-2023 13:45</t>
  </si>
  <si>
    <t>23-03-2023 14:00</t>
  </si>
  <si>
    <t>23-03-2023 14:15</t>
  </si>
  <si>
    <t>23-03-2023 14:30</t>
  </si>
  <si>
    <t>23-03-2023 14:45</t>
  </si>
  <si>
    <t>23-03-2023 15:00</t>
  </si>
  <si>
    <t>23-03-2023 15:15</t>
  </si>
  <si>
    <t>23-03-2023 15:30</t>
  </si>
  <si>
    <t>23-03-2023 15:45</t>
  </si>
  <si>
    <t>23-03-2023 16:00</t>
  </si>
  <si>
    <t>23-03-2023 16:15</t>
  </si>
  <si>
    <t>23-03-2023 16:30</t>
  </si>
  <si>
    <t>23-03-2023 16:45</t>
  </si>
  <si>
    <t>23-03-2023 17:00</t>
  </si>
  <si>
    <t>23-03-2023 17:15</t>
  </si>
  <si>
    <t>23-03-2023 17:30</t>
  </si>
  <si>
    <t>23-03-2023 17:45</t>
  </si>
  <si>
    <t>23-03-2023 18:00</t>
  </si>
  <si>
    <t>23-03-2023 18:15</t>
  </si>
  <si>
    <t>23-03-2023 18:30</t>
  </si>
  <si>
    <t>23-03-2023 18:45</t>
  </si>
  <si>
    <t>23-03-2023 19:00</t>
  </si>
  <si>
    <t>23-03-2023 19:15</t>
  </si>
  <si>
    <t>23-03-2023 19:30</t>
  </si>
  <si>
    <t>23-03-2023 19:45</t>
  </si>
  <si>
    <t>23-03-2023 20:00</t>
  </si>
  <si>
    <t>23-03-2023 20:15</t>
  </si>
  <si>
    <t>23-03-2023 20:30</t>
  </si>
  <si>
    <t>23-03-2023 20:45</t>
  </si>
  <si>
    <t>23-03-2023 21:00</t>
  </si>
  <si>
    <t>23-03-2023 21:15</t>
  </si>
  <si>
    <t>23-03-2023 21:30</t>
  </si>
  <si>
    <t>23-03-2023 21:45</t>
  </si>
  <si>
    <t>23-03-2023 22:00</t>
  </si>
  <si>
    <t>23-03-2023 22:15</t>
  </si>
  <si>
    <t>23-03-2023 22:30</t>
  </si>
  <si>
    <t>23-03-2023 22:45</t>
  </si>
  <si>
    <t>23-03-2023 23:00</t>
  </si>
  <si>
    <t>23-03-2023 23:15</t>
  </si>
  <si>
    <t>23-03-2023 23:30</t>
  </si>
  <si>
    <t>23-03-2023 23:45</t>
  </si>
  <si>
    <t>23-03-2023 24:00</t>
  </si>
  <si>
    <t>24-03-2023 00:15</t>
  </si>
  <si>
    <t>24-03-2023 00:30</t>
  </si>
  <si>
    <t>24-03-2023 00:45</t>
  </si>
  <si>
    <t>24-03-2023 01:00</t>
  </si>
  <si>
    <t>24-03-2023 01:15</t>
  </si>
  <si>
    <t>24-03-2023 01:30</t>
  </si>
  <si>
    <t>24-03-2023 01:45</t>
  </si>
  <si>
    <t>24-03-2023 02:00</t>
  </si>
  <si>
    <t>24-03-2023 02:15</t>
  </si>
  <si>
    <t>24-03-2023 02:30</t>
  </si>
  <si>
    <t>24-03-2023 02:45</t>
  </si>
  <si>
    <t>24-03-2023 03:00</t>
  </si>
  <si>
    <t>24-03-2023 03:15</t>
  </si>
  <si>
    <t>24-03-2023 03:30</t>
  </si>
  <si>
    <t>24-03-2023 03:45</t>
  </si>
  <si>
    <t>24-03-2023 04:00</t>
  </si>
  <si>
    <t>24-03-2023 04:15</t>
  </si>
  <si>
    <t>24-03-2023 04:30</t>
  </si>
  <si>
    <t>24-03-2023 04:45</t>
  </si>
  <si>
    <t>24-03-2023 05:00</t>
  </si>
  <si>
    <t>24-03-2023 05:15</t>
  </si>
  <si>
    <t>24-03-2023 05:30</t>
  </si>
  <si>
    <t>24-03-2023 05:45</t>
  </si>
  <si>
    <t>24-03-2023 06:00</t>
  </si>
  <si>
    <t>24-03-2023 06:15</t>
  </si>
  <si>
    <t>24-03-2023 06:30</t>
  </si>
  <si>
    <t>24-03-2023 06:45</t>
  </si>
  <si>
    <t>24-03-2023 07:00</t>
  </si>
  <si>
    <t>24-03-2023 07:15</t>
  </si>
  <si>
    <t>24-03-2023 07:30</t>
  </si>
  <si>
    <t>24-03-2023 07:45</t>
  </si>
  <si>
    <t>24-03-2023 08:00</t>
  </si>
  <si>
    <t>24-03-2023 08:15</t>
  </si>
  <si>
    <t>24-03-2023 08:30</t>
  </si>
  <si>
    <t>24-03-2023 08:45</t>
  </si>
  <si>
    <t>24-03-2023 09:00</t>
  </si>
  <si>
    <t>24-03-2023 09:15</t>
  </si>
  <si>
    <t>24-03-2023 09:30</t>
  </si>
  <si>
    <t>24-03-2023 09:45</t>
  </si>
  <si>
    <t>24-03-2023 10:00</t>
  </si>
  <si>
    <t>24-03-2023 10:15</t>
  </si>
  <si>
    <t>24-03-2023 10:30</t>
  </si>
  <si>
    <t>24-03-2023 10:45</t>
  </si>
  <si>
    <t>24-03-2023 11:00</t>
  </si>
  <si>
    <t>24-03-2023 11:15</t>
  </si>
  <si>
    <t>24-03-2023 11:30</t>
  </si>
  <si>
    <t>24-03-2023 11:45</t>
  </si>
  <si>
    <t>24-03-2023 12:00</t>
  </si>
  <si>
    <t>24-03-2023 12:15</t>
  </si>
  <si>
    <t>24-03-2023 12:30</t>
  </si>
  <si>
    <t>24-03-2023 12:45</t>
  </si>
  <si>
    <t>24-03-2023 13:00</t>
  </si>
  <si>
    <t>24-03-2023 13:15</t>
  </si>
  <si>
    <t>24-03-2023 13:30</t>
  </si>
  <si>
    <t>24-03-2023 13:45</t>
  </si>
  <si>
    <t>24-03-2023 14:00</t>
  </si>
  <si>
    <t>24-03-2023 14:15</t>
  </si>
  <si>
    <t>24-03-2023 14:30</t>
  </si>
  <si>
    <t>24-03-2023 14:45</t>
  </si>
  <si>
    <t>24-03-2023 15:00</t>
  </si>
  <si>
    <t>24-03-2023 15:15</t>
  </si>
  <si>
    <t>24-03-2023 15:30</t>
  </si>
  <si>
    <t>24-03-2023 15:45</t>
  </si>
  <si>
    <t>24-03-2023 16:00</t>
  </si>
  <si>
    <t>24-03-2023 16:15</t>
  </si>
  <si>
    <t>24-03-2023 16:30</t>
  </si>
  <si>
    <t>24-03-2023 16:45</t>
  </si>
  <si>
    <t>24-03-2023 17:00</t>
  </si>
  <si>
    <t>24-03-2023 17:15</t>
  </si>
  <si>
    <t>24-03-2023 17:30</t>
  </si>
  <si>
    <t>24-03-2023 17:45</t>
  </si>
  <si>
    <t>24-03-2023 18:00</t>
  </si>
  <si>
    <t>24-03-2023 18:15</t>
  </si>
  <si>
    <t>24-03-2023 18:30</t>
  </si>
  <si>
    <t>24-03-2023 18:45</t>
  </si>
  <si>
    <t>24-03-2023 19:00</t>
  </si>
  <si>
    <t>24-03-2023 19:15</t>
  </si>
  <si>
    <t>24-03-2023 19:30</t>
  </si>
  <si>
    <t>24-03-2023 19:45</t>
  </si>
  <si>
    <t>24-03-2023 20:00</t>
  </si>
  <si>
    <t>24-03-2023 20:15</t>
  </si>
  <si>
    <t>24-03-2023 20:30</t>
  </si>
  <si>
    <t>24-03-2023 20:45</t>
  </si>
  <si>
    <t>24-03-2023 21:00</t>
  </si>
  <si>
    <t>24-03-2023 21:15</t>
  </si>
  <si>
    <t>24-03-2023 21:30</t>
  </si>
  <si>
    <t>24-03-2023 21:45</t>
  </si>
  <si>
    <t>24-03-2023 22:00</t>
  </si>
  <si>
    <t>24-03-2023 22:15</t>
  </si>
  <si>
    <t>24-03-2023 22:30</t>
  </si>
  <si>
    <t>24-03-2023 22:45</t>
  </si>
  <si>
    <t>24-03-2023 23:00</t>
  </si>
  <si>
    <t>24-03-2023 23:15</t>
  </si>
  <si>
    <t>24-03-2023 23:30</t>
  </si>
  <si>
    <t>24-03-2023 23:45</t>
  </si>
  <si>
    <t>24-03-2023 24:00</t>
  </si>
  <si>
    <t>25-03-2023 00:15</t>
  </si>
  <si>
    <t>25-03-2023 00:30</t>
  </si>
  <si>
    <t>25-03-2023 00:45</t>
  </si>
  <si>
    <t>25-03-2023 01:00</t>
  </si>
  <si>
    <t>25-03-2023 01:15</t>
  </si>
  <si>
    <t>25-03-2023 01:30</t>
  </si>
  <si>
    <t>25-03-2023 01:45</t>
  </si>
  <si>
    <t>25-03-2023 02:00</t>
  </si>
  <si>
    <t>25-03-2023 02:15</t>
  </si>
  <si>
    <t>25-03-2023 02:30</t>
  </si>
  <si>
    <t>25-03-2023 02:45</t>
  </si>
  <si>
    <t>25-03-2023 03:00</t>
  </si>
  <si>
    <t>25-03-2023 03:15</t>
  </si>
  <si>
    <t>25-03-2023 03:30</t>
  </si>
  <si>
    <t>25-03-2023 03:45</t>
  </si>
  <si>
    <t>25-03-2023 04:00</t>
  </si>
  <si>
    <t>25-03-2023 04:15</t>
  </si>
  <si>
    <t>25-03-2023 04:30</t>
  </si>
  <si>
    <t>25-03-2023 04:45</t>
  </si>
  <si>
    <t>25-03-2023 05:00</t>
  </si>
  <si>
    <t>25-03-2023 05:15</t>
  </si>
  <si>
    <t>25-03-2023 05:30</t>
  </si>
  <si>
    <t>25-03-2023 05:45</t>
  </si>
  <si>
    <t>25-03-2023 06:00</t>
  </si>
  <si>
    <t>25-03-2023 06:15</t>
  </si>
  <si>
    <t>25-03-2023 06:30</t>
  </si>
  <si>
    <t>25-03-2023 06:45</t>
  </si>
  <si>
    <t>25-03-2023 07:00</t>
  </si>
  <si>
    <t>25-03-2023 07:15</t>
  </si>
  <si>
    <t>25-03-2023 07:30</t>
  </si>
  <si>
    <t>25-03-2023 07:45</t>
  </si>
  <si>
    <t>25-03-2023 08:00</t>
  </si>
  <si>
    <t>25-03-2023 08:15</t>
  </si>
  <si>
    <t>25-03-2023 08:30</t>
  </si>
  <si>
    <t>25-03-2023 08:45</t>
  </si>
  <si>
    <t>25-03-2023 09:00</t>
  </si>
  <si>
    <t>25-03-2023 09:15</t>
  </si>
  <si>
    <t>25-03-2023 09:30</t>
  </si>
  <si>
    <t>25-03-2023 09:45</t>
  </si>
  <si>
    <t>25-03-2023 10:00</t>
  </si>
  <si>
    <t>25-03-2023 10:15</t>
  </si>
  <si>
    <t>25-03-2023 10:30</t>
  </si>
  <si>
    <t>25-03-2023 10:45</t>
  </si>
  <si>
    <t>25-03-2023 11:00</t>
  </si>
  <si>
    <t>25-03-2023 11:15</t>
  </si>
  <si>
    <t>25-03-2023 11:30</t>
  </si>
  <si>
    <t>25-03-2023 11:45</t>
  </si>
  <si>
    <t>25-03-2023 12:00</t>
  </si>
  <si>
    <t>25-03-2023 12:15</t>
  </si>
  <si>
    <t>25-03-2023 12:30</t>
  </si>
  <si>
    <t>25-03-2023 12:45</t>
  </si>
  <si>
    <t>25-03-2023 13:00</t>
  </si>
  <si>
    <t>25-03-2023 13:15</t>
  </si>
  <si>
    <t>25-03-2023 13:30</t>
  </si>
  <si>
    <t>25-03-2023 13:45</t>
  </si>
  <si>
    <t>25-03-2023 14:00</t>
  </si>
  <si>
    <t>25-03-2023 14:15</t>
  </si>
  <si>
    <t>25-03-2023 14:30</t>
  </si>
  <si>
    <t>25-03-2023 14:45</t>
  </si>
  <si>
    <t>25-03-2023 15:00</t>
  </si>
  <si>
    <t>25-03-2023 15:15</t>
  </si>
  <si>
    <t>25-03-2023 15:30</t>
  </si>
  <si>
    <t>25-03-2023 15:45</t>
  </si>
  <si>
    <t>25-03-2023 16:00</t>
  </si>
  <si>
    <t>25-03-2023 16:15</t>
  </si>
  <si>
    <t>25-03-2023 16:30</t>
  </si>
  <si>
    <t>25-03-2023 16:45</t>
  </si>
  <si>
    <t>25-03-2023 17:00</t>
  </si>
  <si>
    <t>25-03-2023 17:15</t>
  </si>
  <si>
    <t>25-03-2023 17:30</t>
  </si>
  <si>
    <t>25-03-2023 17:45</t>
  </si>
  <si>
    <t>25-03-2023 18:00</t>
  </si>
  <si>
    <t>25-03-2023 18:15</t>
  </si>
  <si>
    <t>25-03-2023 18:30</t>
  </si>
  <si>
    <t>25-03-2023 18:45</t>
  </si>
  <si>
    <t>25-03-2023 19:00</t>
  </si>
  <si>
    <t>25-03-2023 19:15</t>
  </si>
  <si>
    <t>25-03-2023 19:30</t>
  </si>
  <si>
    <t>25-03-2023 19:45</t>
  </si>
  <si>
    <t>25-03-2023 20:00</t>
  </si>
  <si>
    <t>25-03-2023 20:15</t>
  </si>
  <si>
    <t>25-03-2023 20:30</t>
  </si>
  <si>
    <t>25-03-2023 20:45</t>
  </si>
  <si>
    <t>25-03-2023 21:00</t>
  </si>
  <si>
    <t>25-03-2023 21:15</t>
  </si>
  <si>
    <t>25-03-2023 21:30</t>
  </si>
  <si>
    <t>25-03-2023 21:45</t>
  </si>
  <si>
    <t>25-03-2023 22:00</t>
  </si>
  <si>
    <t>25-03-2023 22:15</t>
  </si>
  <si>
    <t>25-03-2023 22:30</t>
  </si>
  <si>
    <t>25-03-2023 22:45</t>
  </si>
  <si>
    <t>25-03-2023 23:00</t>
  </si>
  <si>
    <t>25-03-2023 23:15</t>
  </si>
  <si>
    <t>25-03-2023 23:30</t>
  </si>
  <si>
    <t>25-03-2023 23:45</t>
  </si>
  <si>
    <t>25-03-2023 24:00</t>
  </si>
  <si>
    <t>26-03-2023 00:15</t>
  </si>
  <si>
    <t>26-03-2023 00:30</t>
  </si>
  <si>
    <t>26-03-2023 00:45</t>
  </si>
  <si>
    <t>26-03-2023 01:00</t>
  </si>
  <si>
    <t>26-03-2023 01:15</t>
  </si>
  <si>
    <t>26-03-2023 01:30</t>
  </si>
  <si>
    <t>26-03-2023 01:45</t>
  </si>
  <si>
    <t>26-03-2023 02:00</t>
  </si>
  <si>
    <t>26-03-2023 02:15</t>
  </si>
  <si>
    <t>26-03-2023 02:30</t>
  </si>
  <si>
    <t>26-03-2023 02:45</t>
  </si>
  <si>
    <t>26-03-2023 03:00</t>
  </si>
  <si>
    <t>26-03-2023 03:15</t>
  </si>
  <si>
    <t>26-03-2023 03:30</t>
  </si>
  <si>
    <t>26-03-2023 03:45</t>
  </si>
  <si>
    <t>26-03-2023 04:00</t>
  </si>
  <si>
    <t>26-03-2023 04:15</t>
  </si>
  <si>
    <t>26-03-2023 04:30</t>
  </si>
  <si>
    <t>26-03-2023 04:45</t>
  </si>
  <si>
    <t>26-03-2023 05:00</t>
  </si>
  <si>
    <t>26-03-2023 05:15</t>
  </si>
  <si>
    <t>26-03-2023 05:30</t>
  </si>
  <si>
    <t>26-03-2023 05:45</t>
  </si>
  <si>
    <t>26-03-2023 06:00</t>
  </si>
  <si>
    <t>26-03-2023 06:15</t>
  </si>
  <si>
    <t>26-03-2023 06:30</t>
  </si>
  <si>
    <t>26-03-2023 06:45</t>
  </si>
  <si>
    <t>26-03-2023 07:00</t>
  </si>
  <si>
    <t>26-03-2023 07:15</t>
  </si>
  <si>
    <t>26-03-2023 07:30</t>
  </si>
  <si>
    <t>26-03-2023 07:45</t>
  </si>
  <si>
    <t>26-03-2023 08:00</t>
  </si>
  <si>
    <t>26-03-2023 08:15</t>
  </si>
  <si>
    <t>26-03-2023 08:30</t>
  </si>
  <si>
    <t>26-03-2023 08:45</t>
  </si>
  <si>
    <t>26-03-2023 09:00</t>
  </si>
  <si>
    <t>26-03-2023 09:15</t>
  </si>
  <si>
    <t>26-03-2023 09:30</t>
  </si>
  <si>
    <t>26-03-2023 09:45</t>
  </si>
  <si>
    <t>26-03-2023 10:00</t>
  </si>
  <si>
    <t>26-03-2023 10:15</t>
  </si>
  <si>
    <t>26-03-2023 10:30</t>
  </si>
  <si>
    <t>26-03-2023 10:45</t>
  </si>
  <si>
    <t>26-03-2023 11:00</t>
  </si>
  <si>
    <t>26-03-2023 11:15</t>
  </si>
  <si>
    <t>26-03-2023 11:30</t>
  </si>
  <si>
    <t>26-03-2023 11:45</t>
  </si>
  <si>
    <t>26-03-2023 12:00</t>
  </si>
  <si>
    <t>26-03-2023 12:15</t>
  </si>
  <si>
    <t>26-03-2023 12:30</t>
  </si>
  <si>
    <t>26-03-2023 12:45</t>
  </si>
  <si>
    <t>26-03-2023 13:00</t>
  </si>
  <si>
    <t>26-03-2023 13:15</t>
  </si>
  <si>
    <t>26-03-2023 13:30</t>
  </si>
  <si>
    <t>26-03-2023 13:45</t>
  </si>
  <si>
    <t>26-03-2023 14:00</t>
  </si>
  <si>
    <t>26-03-2023 14:15</t>
  </si>
  <si>
    <t>26-03-2023 14:30</t>
  </si>
  <si>
    <t>26-03-2023 14:45</t>
  </si>
  <si>
    <t>26-03-2023 15:00</t>
  </si>
  <si>
    <t>26-03-2023 15:15</t>
  </si>
  <si>
    <t>26-03-2023 15:30</t>
  </si>
  <si>
    <t>26-03-2023 15:45</t>
  </si>
  <si>
    <t>26-03-2023 16:00</t>
  </si>
  <si>
    <t>26-03-2023 16:15</t>
  </si>
  <si>
    <t>26-03-2023 16:30</t>
  </si>
  <si>
    <t>26-03-2023 16:45</t>
  </si>
  <si>
    <t>26-03-2023 17:00</t>
  </si>
  <si>
    <t>26-03-2023 17:15</t>
  </si>
  <si>
    <t>26-03-2023 17:30</t>
  </si>
  <si>
    <t>26-03-2023 17:45</t>
  </si>
  <si>
    <t>26-03-2023 18:00</t>
  </si>
  <si>
    <t>26-03-2023 18:15</t>
  </si>
  <si>
    <t>26-03-2023 18:30</t>
  </si>
  <si>
    <t>26-03-2023 18:45</t>
  </si>
  <si>
    <t>26-03-2023 19:00</t>
  </si>
  <si>
    <t>26-03-2023 19:15</t>
  </si>
  <si>
    <t>26-03-2023 19:30</t>
  </si>
  <si>
    <t>26-03-2023 19:45</t>
  </si>
  <si>
    <t>26-03-2023 20:00</t>
  </si>
  <si>
    <t>26-03-2023 20:15</t>
  </si>
  <si>
    <t>26-03-2023 20:30</t>
  </si>
  <si>
    <t>26-03-2023 20:45</t>
  </si>
  <si>
    <t>26-03-2023 21:00</t>
  </si>
  <si>
    <t>26-03-2023 21:15</t>
  </si>
  <si>
    <t>26-03-2023 21:30</t>
  </si>
  <si>
    <t>26-03-2023 21:45</t>
  </si>
  <si>
    <t>26-03-2023 22:00</t>
  </si>
  <si>
    <t>26-03-2023 22:15</t>
  </si>
  <si>
    <t>26-03-2023 22:30</t>
  </si>
  <si>
    <t>26-03-2023 22:45</t>
  </si>
  <si>
    <t>26-03-2023 23:00</t>
  </si>
  <si>
    <t>26-03-2023 23:15</t>
  </si>
  <si>
    <t>26-03-2023 23:30</t>
  </si>
  <si>
    <t>26-03-2023 23:45</t>
  </si>
  <si>
    <t>26-03-2023 24:00</t>
  </si>
  <si>
    <t>27-03-2023 00:15</t>
  </si>
  <si>
    <t>27-03-2023 00:30</t>
  </si>
  <si>
    <t>27-03-2023 00:45</t>
  </si>
  <si>
    <t>27-03-2023 01:00</t>
  </si>
  <si>
    <t>27-03-2023 01:15</t>
  </si>
  <si>
    <t>27-03-2023 01:30</t>
  </si>
  <si>
    <t>27-03-2023 01:45</t>
  </si>
  <si>
    <t>27-03-2023 02:00</t>
  </si>
  <si>
    <t>27-03-2023 02:15</t>
  </si>
  <si>
    <t>27-03-2023 02:30</t>
  </si>
  <si>
    <t>27-03-2023 02:45</t>
  </si>
  <si>
    <t>27-03-2023 03:00</t>
  </si>
  <si>
    <t>27-03-2023 03:15</t>
  </si>
  <si>
    <t>27-03-2023 03:30</t>
  </si>
  <si>
    <t>27-03-2023 03:45</t>
  </si>
  <si>
    <t>27-03-2023 04:00</t>
  </si>
  <si>
    <t>27-03-2023 04:15</t>
  </si>
  <si>
    <t>27-03-2023 04:30</t>
  </si>
  <si>
    <t>27-03-2023 04:45</t>
  </si>
  <si>
    <t>27-03-2023 05:00</t>
  </si>
  <si>
    <t>27-03-2023 05:15</t>
  </si>
  <si>
    <t>27-03-2023 05:30</t>
  </si>
  <si>
    <t>27-03-2023 05:45</t>
  </si>
  <si>
    <t>27-03-2023 06:00</t>
  </si>
  <si>
    <t>27-03-2023 06:15</t>
  </si>
  <si>
    <t>27-03-2023 06:30</t>
  </si>
  <si>
    <t>27-03-2023 06:45</t>
  </si>
  <si>
    <t>27-03-2023 07:00</t>
  </si>
  <si>
    <t>27-03-2023 07:15</t>
  </si>
  <si>
    <t>27-03-2023 07:30</t>
  </si>
  <si>
    <t>27-03-2023 07:45</t>
  </si>
  <si>
    <t>27-03-2023 08:00</t>
  </si>
  <si>
    <t>27-03-2023 08:15</t>
  </si>
  <si>
    <t>27-03-2023 08:30</t>
  </si>
  <si>
    <t>27-03-2023 08:45</t>
  </si>
  <si>
    <t>27-03-2023 09:00</t>
  </si>
  <si>
    <t>27-03-2023 09:15</t>
  </si>
  <si>
    <t>27-03-2023 09:30</t>
  </si>
  <si>
    <t>27-03-2023 09:45</t>
  </si>
  <si>
    <t>27-03-2023 10:00</t>
  </si>
  <si>
    <t>27-03-2023 10:15</t>
  </si>
  <si>
    <t>27-03-2023 10:30</t>
  </si>
  <si>
    <t>27-03-2023 10:45</t>
  </si>
  <si>
    <t>27-03-2023 11:00</t>
  </si>
  <si>
    <t>27-03-2023 11:15</t>
  </si>
  <si>
    <t>27-03-2023 11:30</t>
  </si>
  <si>
    <t>27-03-2023 11:45</t>
  </si>
  <si>
    <t>27-03-2023 12:00</t>
  </si>
  <si>
    <t>27-03-2023 12:15</t>
  </si>
  <si>
    <t>27-03-2023 12:30</t>
  </si>
  <si>
    <t>27-03-2023 12:45</t>
  </si>
  <si>
    <t>27-03-2023 13:00</t>
  </si>
  <si>
    <t>27-03-2023 13:15</t>
  </si>
  <si>
    <t>27-03-2023 13:30</t>
  </si>
  <si>
    <t>27-03-2023 13:45</t>
  </si>
  <si>
    <t>27-03-2023 14:00</t>
  </si>
  <si>
    <t>27-03-2023 14:15</t>
  </si>
  <si>
    <t>27-03-2023 14:30</t>
  </si>
  <si>
    <t>27-03-2023 14:45</t>
  </si>
  <si>
    <t>27-03-2023 15:00</t>
  </si>
  <si>
    <t>27-03-2023 15:15</t>
  </si>
  <si>
    <t>27-03-2023 15:30</t>
  </si>
  <si>
    <t>27-03-2023 15:45</t>
  </si>
  <si>
    <t>27-03-2023 16:00</t>
  </si>
  <si>
    <t>27-03-2023 16:15</t>
  </si>
  <si>
    <t>27-03-2023 16:30</t>
  </si>
  <si>
    <t>27-03-2023 16:45</t>
  </si>
  <si>
    <t>27-03-2023 17:00</t>
  </si>
  <si>
    <t>27-03-2023 17:15</t>
  </si>
  <si>
    <t>27-03-2023 17:30</t>
  </si>
  <si>
    <t>27-03-2023 17:45</t>
  </si>
  <si>
    <t>27-03-2023 18:00</t>
  </si>
  <si>
    <t>27-03-2023 18:15</t>
  </si>
  <si>
    <t>27-03-2023 18:30</t>
  </si>
  <si>
    <t>27-03-2023 18:45</t>
  </si>
  <si>
    <t>27-03-2023 19:00</t>
  </si>
  <si>
    <t>27-03-2023 19:15</t>
  </si>
  <si>
    <t>27-03-2023 19:30</t>
  </si>
  <si>
    <t>27-03-2023 19:45</t>
  </si>
  <si>
    <t>27-03-2023 20:00</t>
  </si>
  <si>
    <t>27-03-2023 20:15</t>
  </si>
  <si>
    <t>27-03-2023 20:30</t>
  </si>
  <si>
    <t>27-03-2023 20:45</t>
  </si>
  <si>
    <t>27-03-2023 21:00</t>
  </si>
  <si>
    <t>27-03-2023 21:15</t>
  </si>
  <si>
    <t>27-03-2023 21:30</t>
  </si>
  <si>
    <t>27-03-2023 21:45</t>
  </si>
  <si>
    <t>27-03-2023 22:00</t>
  </si>
  <si>
    <t>27-03-2023 22:15</t>
  </si>
  <si>
    <t>27-03-2023 22:30</t>
  </si>
  <si>
    <t>27-03-2023 22:45</t>
  </si>
  <si>
    <t>27-03-2023 23:00</t>
  </si>
  <si>
    <t>27-03-2023 23:15</t>
  </si>
  <si>
    <t>27-03-2023 23:30</t>
  </si>
  <si>
    <t>27-03-2023 23:45</t>
  </si>
  <si>
    <t>27-03-2023 24:00</t>
  </si>
  <si>
    <t>28-03-2023 00:15</t>
  </si>
  <si>
    <t>28-03-2023 00:30</t>
  </si>
  <si>
    <t>28-03-2023 00:45</t>
  </si>
  <si>
    <t>28-03-2023 01:00</t>
  </si>
  <si>
    <t>28-03-2023 01:15</t>
  </si>
  <si>
    <t>28-03-2023 01:30</t>
  </si>
  <si>
    <t>28-03-2023 01:45</t>
  </si>
  <si>
    <t>28-03-2023 02:00</t>
  </si>
  <si>
    <t>28-03-2023 02:15</t>
  </si>
  <si>
    <t>28-03-2023 02:30</t>
  </si>
  <si>
    <t>28-03-2023 02:45</t>
  </si>
  <si>
    <t>28-03-2023 03:00</t>
  </si>
  <si>
    <t>28-03-2023 03:15</t>
  </si>
  <si>
    <t>28-03-2023 03:30</t>
  </si>
  <si>
    <t>28-03-2023 03:45</t>
  </si>
  <si>
    <t>28-03-2023 04:00</t>
  </si>
  <si>
    <t>28-03-2023 04:15</t>
  </si>
  <si>
    <t>28-03-2023 04:30</t>
  </si>
  <si>
    <t>28-03-2023 04:45</t>
  </si>
  <si>
    <t>28-03-2023 05:00</t>
  </si>
  <si>
    <t>28-03-2023 05:15</t>
  </si>
  <si>
    <t>28-03-2023 05:30</t>
  </si>
  <si>
    <t>28-03-2023 05:45</t>
  </si>
  <si>
    <t>28-03-2023 06:00</t>
  </si>
  <si>
    <t>28-03-2023 06:15</t>
  </si>
  <si>
    <t>28-03-2023 06:30</t>
  </si>
  <si>
    <t>28-03-2023 06:45</t>
  </si>
  <si>
    <t>28-03-2023 07:00</t>
  </si>
  <si>
    <t>28-03-2023 07:15</t>
  </si>
  <si>
    <t>28-03-2023 07:30</t>
  </si>
  <si>
    <t>28-03-2023 07:45</t>
  </si>
  <si>
    <t>28-03-2023 08:00</t>
  </si>
  <si>
    <t>28-03-2023 08:15</t>
  </si>
  <si>
    <t>28-03-2023 08:30</t>
  </si>
  <si>
    <t>28-03-2023 08:45</t>
  </si>
  <si>
    <t>28-03-2023 09:00</t>
  </si>
  <si>
    <t>28-03-2023 09:15</t>
  </si>
  <si>
    <t>28-03-2023 09:30</t>
  </si>
  <si>
    <t>28-03-2023 09:45</t>
  </si>
  <si>
    <t>28-03-2023 10:00</t>
  </si>
  <si>
    <t>28-03-2023 10:15</t>
  </si>
  <si>
    <t>28-03-2023 10:30</t>
  </si>
  <si>
    <t>28-03-2023 10:45</t>
  </si>
  <si>
    <t>28-03-2023 11:00</t>
  </si>
  <si>
    <t>28-03-2023 11:15</t>
  </si>
  <si>
    <t>28-03-2023 11:30</t>
  </si>
  <si>
    <t>28-03-2023 11:45</t>
  </si>
  <si>
    <t>28-03-2023 12:00</t>
  </si>
  <si>
    <t>28-03-2023 12:15</t>
  </si>
  <si>
    <t>28-03-2023 12:30</t>
  </si>
  <si>
    <t>28-03-2023 12:45</t>
  </si>
  <si>
    <t>28-03-2023 13:00</t>
  </si>
  <si>
    <t>28-03-2023 13:15</t>
  </si>
  <si>
    <t>28-03-2023 13:30</t>
  </si>
  <si>
    <t>28-03-2023 13:45</t>
  </si>
  <si>
    <t>28-03-2023 14:00</t>
  </si>
  <si>
    <t>28-03-2023 14:15</t>
  </si>
  <si>
    <t>28-03-2023 14:30</t>
  </si>
  <si>
    <t>28-03-2023 14:45</t>
  </si>
  <si>
    <t>28-03-2023 15:00</t>
  </si>
  <si>
    <t>28-03-2023 15:15</t>
  </si>
  <si>
    <t>28-03-2023 15:30</t>
  </si>
  <si>
    <t>28-03-2023 15:45</t>
  </si>
  <si>
    <t>28-03-2023 16:00</t>
  </si>
  <si>
    <t>28-03-2023 16:15</t>
  </si>
  <si>
    <t>28-03-2023 16:30</t>
  </si>
  <si>
    <t>28-03-2023 16:45</t>
  </si>
  <si>
    <t>28-03-2023 17:00</t>
  </si>
  <si>
    <t>28-03-2023 17:15</t>
  </si>
  <si>
    <t>28-03-2023 17:30</t>
  </si>
  <si>
    <t>28-03-2023 17:45</t>
  </si>
  <si>
    <t>28-03-2023 18:00</t>
  </si>
  <si>
    <t>28-03-2023 18:15</t>
  </si>
  <si>
    <t>28-03-2023 18:30</t>
  </si>
  <si>
    <t>28-03-2023 18:45</t>
  </si>
  <si>
    <t>28-03-2023 19:00</t>
  </si>
  <si>
    <t>28-03-2023 19:15</t>
  </si>
  <si>
    <t>28-03-2023 19:30</t>
  </si>
  <si>
    <t>28-03-2023 19:45</t>
  </si>
  <si>
    <t>28-03-2023 20:00</t>
  </si>
  <si>
    <t>28-03-2023 20:15</t>
  </si>
  <si>
    <t>28-03-2023 20:30</t>
  </si>
  <si>
    <t>28-03-2023 20:45</t>
  </si>
  <si>
    <t>28-03-2023 21:00</t>
  </si>
  <si>
    <t>28-03-2023 21:15</t>
  </si>
  <si>
    <t>28-03-2023 21:30</t>
  </si>
  <si>
    <t>28-03-2023 21:45</t>
  </si>
  <si>
    <t>28-03-2023 22:00</t>
  </si>
  <si>
    <t>28-03-2023 22:15</t>
  </si>
  <si>
    <t>28-03-2023 22:30</t>
  </si>
  <si>
    <t>28-03-2023 22:45</t>
  </si>
  <si>
    <t>28-03-2023 23:00</t>
  </si>
  <si>
    <t>28-03-2023 23:15</t>
  </si>
  <si>
    <t>28-03-2023 23:30</t>
  </si>
  <si>
    <t>28-03-2023 23:45</t>
  </si>
  <si>
    <t>28-03-2023 24:00</t>
  </si>
  <si>
    <t>29-03-2023 00:15</t>
  </si>
  <si>
    <t>29-03-2023 00:30</t>
  </si>
  <si>
    <t>29-03-2023 00:45</t>
  </si>
  <si>
    <t>29-03-2023 01:00</t>
  </si>
  <si>
    <t>29-03-2023 01:15</t>
  </si>
  <si>
    <t>29-03-2023 01:30</t>
  </si>
  <si>
    <t>29-03-2023 01:45</t>
  </si>
  <si>
    <t>29-03-2023 02:00</t>
  </si>
  <si>
    <t>29-03-2023 02:15</t>
  </si>
  <si>
    <t>29-03-2023 02:30</t>
  </si>
  <si>
    <t>29-03-2023 02:45</t>
  </si>
  <si>
    <t>29-03-2023 03:00</t>
  </si>
  <si>
    <t>29-03-2023 03:15</t>
  </si>
  <si>
    <t>29-03-2023 03:30</t>
  </si>
  <si>
    <t>29-03-2023 03:45</t>
  </si>
  <si>
    <t>29-03-2023 04:00</t>
  </si>
  <si>
    <t>29-03-2023 04:15</t>
  </si>
  <si>
    <t>29-03-2023 04:30</t>
  </si>
  <si>
    <t>29-03-2023 04:45</t>
  </si>
  <si>
    <t>29-03-2023 05:00</t>
  </si>
  <si>
    <t>29-03-2023 05:15</t>
  </si>
  <si>
    <t>29-03-2023 05:30</t>
  </si>
  <si>
    <t>29-03-2023 05:45</t>
  </si>
  <si>
    <t>29-03-2023 06:00</t>
  </si>
  <si>
    <t>29-03-2023 06:15</t>
  </si>
  <si>
    <t>29-03-2023 06:30</t>
  </si>
  <si>
    <t>29-03-2023 06:45</t>
  </si>
  <si>
    <t>29-03-2023 07:00</t>
  </si>
  <si>
    <t>29-03-2023 07:15</t>
  </si>
  <si>
    <t>29-03-2023 07:30</t>
  </si>
  <si>
    <t>29-03-2023 07:45</t>
  </si>
  <si>
    <t>29-03-2023 08:00</t>
  </si>
  <si>
    <t>29-03-2023 08:15</t>
  </si>
  <si>
    <t>29-03-2023 08:30</t>
  </si>
  <si>
    <t>29-03-2023 08:45</t>
  </si>
  <si>
    <t>29-03-2023 09:00</t>
  </si>
  <si>
    <t>29-03-2023 09:15</t>
  </si>
  <si>
    <t>29-03-2023 09:30</t>
  </si>
  <si>
    <t>29-03-2023 09:45</t>
  </si>
  <si>
    <t>29-03-2023 10:00</t>
  </si>
  <si>
    <t>29-03-2023 10:15</t>
  </si>
  <si>
    <t>29-03-2023 10:30</t>
  </si>
  <si>
    <t>29-03-2023 10:45</t>
  </si>
  <si>
    <t>29-03-2023 11:00</t>
  </si>
  <si>
    <t>29-03-2023 11:15</t>
  </si>
  <si>
    <t>29-03-2023 11:30</t>
  </si>
  <si>
    <t>29-03-2023 11:45</t>
  </si>
  <si>
    <t>29-03-2023 12:00</t>
  </si>
  <si>
    <t>29-03-2023 12:15</t>
  </si>
  <si>
    <t>29-03-2023 12:30</t>
  </si>
  <si>
    <t>29-03-2023 12:45</t>
  </si>
  <si>
    <t>29-03-2023 13:00</t>
  </si>
  <si>
    <t>29-03-2023 13:15</t>
  </si>
  <si>
    <t>29-03-2023 13:30</t>
  </si>
  <si>
    <t>29-03-2023 13:45</t>
  </si>
  <si>
    <t>29-03-2023 14:00</t>
  </si>
  <si>
    <t>29-03-2023 14:15</t>
  </si>
  <si>
    <t>29-03-2023 14:30</t>
  </si>
  <si>
    <t>29-03-2023 14:45</t>
  </si>
  <si>
    <t>29-03-2023 15:00</t>
  </si>
  <si>
    <t>29-03-2023 15:15</t>
  </si>
  <si>
    <t>29-03-2023 15:30</t>
  </si>
  <si>
    <t>29-03-2023 15:45</t>
  </si>
  <si>
    <t>29-03-2023 16:00</t>
  </si>
  <si>
    <t>29-03-2023 16:15</t>
  </si>
  <si>
    <t>29-03-2023 16:30</t>
  </si>
  <si>
    <t>29-03-2023 16:45</t>
  </si>
  <si>
    <t>29-03-2023 17:00</t>
  </si>
  <si>
    <t>29-03-2023 17:15</t>
  </si>
  <si>
    <t>29-03-2023 17:30</t>
  </si>
  <si>
    <t>29-03-2023 17:45</t>
  </si>
  <si>
    <t>29-03-2023 18:00</t>
  </si>
  <si>
    <t>29-03-2023 18:15</t>
  </si>
  <si>
    <t>29-03-2023 18:30</t>
  </si>
  <si>
    <t>29-03-2023 18:45</t>
  </si>
  <si>
    <t>29-03-2023 19:00</t>
  </si>
  <si>
    <t>29-03-2023 19:15</t>
  </si>
  <si>
    <t>29-03-2023 19:30</t>
  </si>
  <si>
    <t>29-03-2023 19:45</t>
  </si>
  <si>
    <t>29-03-2023 20:00</t>
  </si>
  <si>
    <t>29-03-2023 20:15</t>
  </si>
  <si>
    <t>29-03-2023 20:30</t>
  </si>
  <si>
    <t>29-03-2023 20:45</t>
  </si>
  <si>
    <t>29-03-2023 21:00</t>
  </si>
  <si>
    <t>29-03-2023 21:15</t>
  </si>
  <si>
    <t>29-03-2023 21:30</t>
  </si>
  <si>
    <t>29-03-2023 21:45</t>
  </si>
  <si>
    <t>29-03-2023 22:00</t>
  </si>
  <si>
    <t>29-03-2023 22:15</t>
  </si>
  <si>
    <t>29-03-2023 22:30</t>
  </si>
  <si>
    <t>29-03-2023 22:45</t>
  </si>
  <si>
    <t>29-03-2023 23:00</t>
  </si>
  <si>
    <t>29-03-2023 23:15</t>
  </si>
  <si>
    <t>29-03-2023 23:30</t>
  </si>
  <si>
    <t>29-03-2023 23:45</t>
  </si>
  <si>
    <t>29-03-2023 24:00</t>
  </si>
  <si>
    <t>30-03-2023 00:15</t>
  </si>
  <si>
    <t>30-03-2023 00:30</t>
  </si>
  <si>
    <t>30-03-2023 00:45</t>
  </si>
  <si>
    <t>30-03-2023 01:00</t>
  </si>
  <si>
    <t>30-03-2023 01:15</t>
  </si>
  <si>
    <t>30-03-2023 01:30</t>
  </si>
  <si>
    <t>30-03-2023 01:45</t>
  </si>
  <si>
    <t>30-03-2023 02:00</t>
  </si>
  <si>
    <t>30-03-2023 02:15</t>
  </si>
  <si>
    <t>30-03-2023 02:30</t>
  </si>
  <si>
    <t>30-03-2023 02:45</t>
  </si>
  <si>
    <t>30-03-2023 03:00</t>
  </si>
  <si>
    <t>30-03-2023 03:15</t>
  </si>
  <si>
    <t>30-03-2023 03:30</t>
  </si>
  <si>
    <t>30-03-2023 03:45</t>
  </si>
  <si>
    <t>30-03-2023 04:00</t>
  </si>
  <si>
    <t>30-03-2023 04:15</t>
  </si>
  <si>
    <t>30-03-2023 04:30</t>
  </si>
  <si>
    <t>30-03-2023 04:45</t>
  </si>
  <si>
    <t>30-03-2023 05:00</t>
  </si>
  <si>
    <t>30-03-2023 05:15</t>
  </si>
  <si>
    <t>30-03-2023 05:30</t>
  </si>
  <si>
    <t>30-03-2023 05:45</t>
  </si>
  <si>
    <t>30-03-2023 06:00</t>
  </si>
  <si>
    <t>30-03-2023 06:15</t>
  </si>
  <si>
    <t>30-03-2023 06:30</t>
  </si>
  <si>
    <t>30-03-2023 06:45</t>
  </si>
  <si>
    <t>30-03-2023 07:00</t>
  </si>
  <si>
    <t>30-03-2023 07:15</t>
  </si>
  <si>
    <t>30-03-2023 07:30</t>
  </si>
  <si>
    <t>30-03-2023 07:45</t>
  </si>
  <si>
    <t>30-03-2023 08:00</t>
  </si>
  <si>
    <t>30-03-2023 08:15</t>
  </si>
  <si>
    <t>30-03-2023 08:30</t>
  </si>
  <si>
    <t>30-03-2023 08:45</t>
  </si>
  <si>
    <t>30-03-2023 09:00</t>
  </si>
  <si>
    <t>30-03-2023 09:15</t>
  </si>
  <si>
    <t>30-03-2023 09:30</t>
  </si>
  <si>
    <t>30-03-2023 09:45</t>
  </si>
  <si>
    <t>30-03-2023 10:00</t>
  </si>
  <si>
    <t>30-03-2023 10:15</t>
  </si>
  <si>
    <t>30-03-2023 10:30</t>
  </si>
  <si>
    <t>30-03-2023 10:45</t>
  </si>
  <si>
    <t>30-03-2023 11:00</t>
  </si>
  <si>
    <t>30-03-2023 11:15</t>
  </si>
  <si>
    <t>30-03-2023 11:30</t>
  </si>
  <si>
    <t>30-03-2023 11:45</t>
  </si>
  <si>
    <t>30-03-2023 12:00</t>
  </si>
  <si>
    <t>30-03-2023 12:15</t>
  </si>
  <si>
    <t>30-03-2023 12:30</t>
  </si>
  <si>
    <t>30-03-2023 12:45</t>
  </si>
  <si>
    <t>30-03-2023 13:00</t>
  </si>
  <si>
    <t>30-03-2023 13:15</t>
  </si>
  <si>
    <t>30-03-2023 13:30</t>
  </si>
  <si>
    <t>30-03-2023 13:45</t>
  </si>
  <si>
    <t>30-03-2023 14:00</t>
  </si>
  <si>
    <t>30-03-2023 14:15</t>
  </si>
  <si>
    <t>30-03-2023 14:30</t>
  </si>
  <si>
    <t>30-03-2023 14:45</t>
  </si>
  <si>
    <t>30-03-2023 15:00</t>
  </si>
  <si>
    <t>30-03-2023 15:15</t>
  </si>
  <si>
    <t>30-03-2023 15:30</t>
  </si>
  <si>
    <t>30-03-2023 15:45</t>
  </si>
  <si>
    <t>30-03-2023 16:00</t>
  </si>
  <si>
    <t>30-03-2023 16:15</t>
  </si>
  <si>
    <t>30-03-2023 16:30</t>
  </si>
  <si>
    <t>30-03-2023 16:45</t>
  </si>
  <si>
    <t>30-03-2023 17:00</t>
  </si>
  <si>
    <t>30-03-2023 17:15</t>
  </si>
  <si>
    <t>30-03-2023 17:30</t>
  </si>
  <si>
    <t>30-03-2023 17:45</t>
  </si>
  <si>
    <t>30-03-2023 18:00</t>
  </si>
  <si>
    <t>30-03-2023 18:15</t>
  </si>
  <si>
    <t>30-03-2023 18:30</t>
  </si>
  <si>
    <t>30-03-2023 18:45</t>
  </si>
  <si>
    <t>30-03-2023 19:00</t>
  </si>
  <si>
    <t>30-03-2023 19:15</t>
  </si>
  <si>
    <t>30-03-2023 19:30</t>
  </si>
  <si>
    <t>30-03-2023 19:45</t>
  </si>
  <si>
    <t>30-03-2023 20:00</t>
  </si>
  <si>
    <t>30-03-2023 20:15</t>
  </si>
  <si>
    <t>30-03-2023 20:30</t>
  </si>
  <si>
    <t>30-03-2023 20:45</t>
  </si>
  <si>
    <t>30-03-2023 21:00</t>
  </si>
  <si>
    <t>30-03-2023 21:15</t>
  </si>
  <si>
    <t>30-03-2023 21:30</t>
  </si>
  <si>
    <t>30-03-2023 21:45</t>
  </si>
  <si>
    <t>30-03-2023 22:00</t>
  </si>
  <si>
    <t>30-03-2023 22:15</t>
  </si>
  <si>
    <t>30-03-2023 22:30</t>
  </si>
  <si>
    <t>30-03-2023 22:45</t>
  </si>
  <si>
    <t>30-03-2023 23:00</t>
  </si>
  <si>
    <t>30-03-2023 23:15</t>
  </si>
  <si>
    <t>30-03-2023 23:30</t>
  </si>
  <si>
    <t>30-03-2023 23:45</t>
  </si>
  <si>
    <t>30-03-2023 24:00</t>
  </si>
  <si>
    <t>31-03-2023 00:15</t>
  </si>
  <si>
    <t>31-03-2023 00:30</t>
  </si>
  <si>
    <t>31-03-2023 00:45</t>
  </si>
  <si>
    <t>31-03-2023 01:00</t>
  </si>
  <si>
    <t>31-03-2023 01:15</t>
  </si>
  <si>
    <t>31-03-2023 01:30</t>
  </si>
  <si>
    <t>31-03-2023 01:45</t>
  </si>
  <si>
    <t>31-03-2023 02:00</t>
  </si>
  <si>
    <t>31-03-2023 02:15</t>
  </si>
  <si>
    <t>31-03-2023 02:30</t>
  </si>
  <si>
    <t>31-03-2023 02:45</t>
  </si>
  <si>
    <t>31-03-2023 03:00</t>
  </si>
  <si>
    <t>31-03-2023 03:15</t>
  </si>
  <si>
    <t>31-03-2023 03:30</t>
  </si>
  <si>
    <t>31-03-2023 03:45</t>
  </si>
  <si>
    <t>31-03-2023 04:00</t>
  </si>
  <si>
    <t>31-03-2023 04:15</t>
  </si>
  <si>
    <t>31-03-2023 04:30</t>
  </si>
  <si>
    <t>31-03-2023 04:45</t>
  </si>
  <si>
    <t>31-03-2023 05:00</t>
  </si>
  <si>
    <t>31-03-2023 05:15</t>
  </si>
  <si>
    <t>31-03-2023 05:30</t>
  </si>
  <si>
    <t>31-03-2023 05:45</t>
  </si>
  <si>
    <t>31-03-2023 06:00</t>
  </si>
  <si>
    <t>31-03-2023 06:15</t>
  </si>
  <si>
    <t>31-03-2023 06:30</t>
  </si>
  <si>
    <t>31-03-2023 06:45</t>
  </si>
  <si>
    <t>31-03-2023 07:00</t>
  </si>
  <si>
    <t>31-03-2023 07:15</t>
  </si>
  <si>
    <t>31-03-2023 07:30</t>
  </si>
  <si>
    <t>31-03-2023 07:45</t>
  </si>
  <si>
    <t>31-03-2023 08:00</t>
  </si>
  <si>
    <t>31-03-2023 08:15</t>
  </si>
  <si>
    <t>31-03-2023 08:30</t>
  </si>
  <si>
    <t>31-03-2023 08:45</t>
  </si>
  <si>
    <t>31-03-2023 09:00</t>
  </si>
  <si>
    <t>31-03-2023 09:15</t>
  </si>
  <si>
    <t>31-03-2023 09:30</t>
  </si>
  <si>
    <t>31-03-2023 09:45</t>
  </si>
  <si>
    <t>31-03-2023 10:00</t>
  </si>
  <si>
    <t>31-03-2023 10:15</t>
  </si>
  <si>
    <t>31-03-2023 10:30</t>
  </si>
  <si>
    <t>31-03-2023 10:45</t>
  </si>
  <si>
    <t>31-03-2023 11:00</t>
  </si>
  <si>
    <t>31-03-2023 11:15</t>
  </si>
  <si>
    <t>31-03-2023 11:30</t>
  </si>
  <si>
    <t>31-03-2023 11:45</t>
  </si>
  <si>
    <t>31-03-2023 12:00</t>
  </si>
  <si>
    <t>31-03-2023 12:15</t>
  </si>
  <si>
    <t>31-03-2023 12:30</t>
  </si>
  <si>
    <t>31-03-2023 12:45</t>
  </si>
  <si>
    <t>31-03-2023 13:00</t>
  </si>
  <si>
    <t>31-03-2023 13:15</t>
  </si>
  <si>
    <t>31-03-2023 13:30</t>
  </si>
  <si>
    <t>31-03-2023 13:45</t>
  </si>
  <si>
    <t>31-03-2023 14:00</t>
  </si>
  <si>
    <t>31-03-2023 14:15</t>
  </si>
  <si>
    <t>31-03-2023 14:30</t>
  </si>
  <si>
    <t>31-03-2023 14:45</t>
  </si>
  <si>
    <t>31-03-2023 15:00</t>
  </si>
  <si>
    <t>31-03-2023 15:15</t>
  </si>
  <si>
    <t>31-03-2023 15:30</t>
  </si>
  <si>
    <t>31-03-2023 15:45</t>
  </si>
  <si>
    <t>31-03-2023 16:00</t>
  </si>
  <si>
    <t>31-03-2023 16:15</t>
  </si>
  <si>
    <t>31-03-2023 16:30</t>
  </si>
  <si>
    <t>31-03-2023 16:45</t>
  </si>
  <si>
    <t>31-03-2023 17:00</t>
  </si>
  <si>
    <t>31-03-2023 17:15</t>
  </si>
  <si>
    <t>31-03-2023 17:30</t>
  </si>
  <si>
    <t>31-03-2023 17:45</t>
  </si>
  <si>
    <t>31-03-2023 18:00</t>
  </si>
  <si>
    <t>31-03-2023 18:15</t>
  </si>
  <si>
    <t>31-03-2023 18:30</t>
  </si>
  <si>
    <t>31-03-2023 18:45</t>
  </si>
  <si>
    <t>31-03-2023 19:00</t>
  </si>
  <si>
    <t>31-03-2023 19:15</t>
  </si>
  <si>
    <t>31-03-2023 19:30</t>
  </si>
  <si>
    <t>31-03-2023 19:45</t>
  </si>
  <si>
    <t>31-03-2023 20:00</t>
  </si>
  <si>
    <t>31-03-2023 20:15</t>
  </si>
  <si>
    <t>31-03-2023 20:30</t>
  </si>
  <si>
    <t>31-03-2023 20:45</t>
  </si>
  <si>
    <t>31-03-2023 21:00</t>
  </si>
  <si>
    <t>31-03-2023 21:15</t>
  </si>
  <si>
    <t>31-03-2023 21:30</t>
  </si>
  <si>
    <t>31-03-2023 21:45</t>
  </si>
  <si>
    <t>31-03-2023 22:00</t>
  </si>
  <si>
    <t>31-03-2023 22:15</t>
  </si>
  <si>
    <t>31-03-2023 22:30</t>
  </si>
  <si>
    <t>31-03-2023 22:45</t>
  </si>
  <si>
    <t>31-03-2023 23:00</t>
  </si>
  <si>
    <t>31-03-2023 23:15</t>
  </si>
  <si>
    <t>31-03-2023 23:30</t>
  </si>
  <si>
    <t>31-03-2023 23:45</t>
  </si>
  <si>
    <t>31-03-2023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</si>
</sst>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54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01-03-2023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244</v>
      </c>
      <c r="B9" s="59">
        <v>113.61</v>
      </c>
      <c r="C9" s="59">
        <v>128.97</v>
      </c>
      <c r="D9" s="59">
        <v>161.25</v>
      </c>
      <c r="E9" s="59">
        <v>3.83</v>
      </c>
      <c r="F9" s="59">
        <v>4.3</v>
      </c>
      <c r="G9" s="59">
        <v>174.34</v>
      </c>
      <c r="H9" s="59">
        <v>66.95</v>
      </c>
      <c r="I9" s="59">
        <v>1.51</v>
      </c>
      <c r="J9" s="59">
        <v>0.03</v>
      </c>
      <c r="K9" s="59">
        <v>30.05</v>
      </c>
      <c r="L9" s="59">
        <v>22.82</v>
      </c>
      <c r="M9" s="59">
        <v>54.47</v>
      </c>
      <c r="N9" s="59">
        <v>3.5</v>
      </c>
      <c r="O9" s="59">
        <v>0</v>
      </c>
      <c r="P9" s="59">
        <v>3.29</v>
      </c>
      <c r="Q9" s="59">
        <v>37.31</v>
      </c>
      <c r="R9" s="197"/>
      <c r="S9" s="197"/>
      <c r="T9" s="197"/>
      <c r="U9" s="197"/>
    </row>
    <row r="10" spans="1:21" s="12" customFormat="1" x14ac:dyDescent="0.25">
      <c r="A10" s="200" t="s">
        <v>245</v>
      </c>
      <c r="B10" s="59">
        <v>112.17</v>
      </c>
      <c r="C10" s="59">
        <v>128.68</v>
      </c>
      <c r="D10" s="59">
        <v>159.93</v>
      </c>
      <c r="E10" s="59">
        <v>3.66</v>
      </c>
      <c r="F10" s="59">
        <v>4.3</v>
      </c>
      <c r="G10" s="59">
        <v>174.34</v>
      </c>
      <c r="H10" s="59">
        <v>66.95</v>
      </c>
      <c r="I10" s="59">
        <v>1.53</v>
      </c>
      <c r="J10" s="59">
        <v>0.06</v>
      </c>
      <c r="K10" s="59">
        <v>164.68</v>
      </c>
      <c r="L10" s="59">
        <v>22.48</v>
      </c>
      <c r="M10" s="59">
        <v>57.24</v>
      </c>
      <c r="N10" s="59">
        <v>4.5</v>
      </c>
      <c r="O10" s="59">
        <v>0</v>
      </c>
      <c r="P10" s="59">
        <v>3.23</v>
      </c>
      <c r="Q10" s="59">
        <v>37.229999999999997</v>
      </c>
      <c r="R10" s="197"/>
      <c r="S10" s="197"/>
      <c r="T10" s="197"/>
      <c r="U10" s="197"/>
    </row>
    <row r="11" spans="1:21" s="12" customFormat="1" x14ac:dyDescent="0.25">
      <c r="A11" s="200" t="s">
        <v>246</v>
      </c>
      <c r="B11" s="59">
        <v>108.79</v>
      </c>
      <c r="C11" s="59">
        <v>127.35</v>
      </c>
      <c r="D11" s="59">
        <v>156.47999999999999</v>
      </c>
      <c r="E11" s="59">
        <v>3.24</v>
      </c>
      <c r="F11" s="59">
        <v>4.3</v>
      </c>
      <c r="G11" s="59">
        <v>153.53</v>
      </c>
      <c r="H11" s="59">
        <v>62.36</v>
      </c>
      <c r="I11" s="59">
        <v>1.52</v>
      </c>
      <c r="J11" s="59">
        <v>0.06</v>
      </c>
      <c r="K11" s="59">
        <v>346.95</v>
      </c>
      <c r="L11" s="59">
        <v>22.42</v>
      </c>
      <c r="M11" s="59">
        <v>55.31</v>
      </c>
      <c r="N11" s="59">
        <v>4.0999999999999996</v>
      </c>
      <c r="O11" s="59">
        <v>0</v>
      </c>
      <c r="P11" s="59">
        <v>3.15</v>
      </c>
      <c r="Q11" s="59">
        <v>36.869999999999997</v>
      </c>
      <c r="R11" s="197"/>
      <c r="S11" s="197"/>
      <c r="T11" s="197"/>
      <c r="U11" s="197"/>
    </row>
    <row r="12" spans="1:21" s="12" customFormat="1" x14ac:dyDescent="0.25">
      <c r="A12" s="200" t="s">
        <v>247</v>
      </c>
      <c r="B12" s="59">
        <v>95.19</v>
      </c>
      <c r="C12" s="59">
        <v>125.65</v>
      </c>
      <c r="D12" s="59">
        <v>144.63</v>
      </c>
      <c r="E12" s="59">
        <v>3.04</v>
      </c>
      <c r="F12" s="59">
        <v>4.3</v>
      </c>
      <c r="G12" s="59">
        <v>143.63999999999999</v>
      </c>
      <c r="H12" s="59">
        <v>60.07</v>
      </c>
      <c r="I12" s="59">
        <v>1.5</v>
      </c>
      <c r="J12" s="59">
        <v>0.03</v>
      </c>
      <c r="K12" s="59">
        <v>132.19999999999999</v>
      </c>
      <c r="L12" s="59">
        <v>22.38</v>
      </c>
      <c r="M12" s="59">
        <v>53.93</v>
      </c>
      <c r="N12" s="59">
        <v>3.9</v>
      </c>
      <c r="O12" s="59">
        <v>0</v>
      </c>
      <c r="P12" s="59">
        <v>2.96</v>
      </c>
      <c r="Q12" s="59">
        <v>36.21</v>
      </c>
      <c r="R12" s="197"/>
      <c r="S12" s="197"/>
      <c r="T12" s="197"/>
      <c r="U12" s="197"/>
    </row>
    <row r="13" spans="1:21" s="12" customFormat="1" x14ac:dyDescent="0.25">
      <c r="A13" s="200" t="s">
        <v>248</v>
      </c>
      <c r="B13" s="59">
        <v>94.16</v>
      </c>
      <c r="C13" s="59">
        <v>123.72</v>
      </c>
      <c r="D13" s="59">
        <v>142.74</v>
      </c>
      <c r="E13" s="59">
        <v>3.61</v>
      </c>
      <c r="F13" s="59">
        <v>4.3</v>
      </c>
      <c r="G13" s="59">
        <v>143.63999999999999</v>
      </c>
      <c r="H13" s="59">
        <v>60.07</v>
      </c>
      <c r="I13" s="59">
        <v>1.48</v>
      </c>
      <c r="J13" s="59">
        <v>0.05</v>
      </c>
      <c r="K13" s="59">
        <v>226.41</v>
      </c>
      <c r="L13" s="59">
        <v>23.12</v>
      </c>
      <c r="M13" s="59">
        <v>49.92</v>
      </c>
      <c r="N13" s="59">
        <v>3.5</v>
      </c>
      <c r="O13" s="59">
        <v>0</v>
      </c>
      <c r="P13" s="59">
        <v>2.6</v>
      </c>
      <c r="Q13" s="59">
        <v>35.450000000000003</v>
      </c>
      <c r="R13" s="197"/>
      <c r="S13" s="197"/>
      <c r="T13" s="197"/>
      <c r="U13" s="197"/>
    </row>
    <row r="14" spans="1:21" s="12" customFormat="1" x14ac:dyDescent="0.25">
      <c r="A14" s="200" t="s">
        <v>249</v>
      </c>
      <c r="B14" s="59">
        <v>89.71</v>
      </c>
      <c r="C14" s="59">
        <v>119.88</v>
      </c>
      <c r="D14" s="59">
        <v>137.06</v>
      </c>
      <c r="E14" s="59">
        <v>3.65</v>
      </c>
      <c r="F14" s="59">
        <v>4.3</v>
      </c>
      <c r="G14" s="59">
        <v>143.63999999999999</v>
      </c>
      <c r="H14" s="59">
        <v>60.07</v>
      </c>
      <c r="I14" s="59">
        <v>1.44</v>
      </c>
      <c r="J14" s="59">
        <v>0.08</v>
      </c>
      <c r="K14" s="59">
        <v>357.7</v>
      </c>
      <c r="L14" s="59">
        <v>22.7</v>
      </c>
      <c r="M14" s="59">
        <v>53.78</v>
      </c>
      <c r="N14" s="59">
        <v>4.5</v>
      </c>
      <c r="O14" s="59">
        <v>0</v>
      </c>
      <c r="P14" s="59">
        <v>2.65</v>
      </c>
      <c r="Q14" s="59">
        <v>35.11</v>
      </c>
      <c r="R14" s="197"/>
      <c r="S14" s="197"/>
      <c r="T14" s="197"/>
      <c r="U14" s="197"/>
    </row>
    <row r="15" spans="1:21" s="12" customFormat="1" x14ac:dyDescent="0.25">
      <c r="A15" s="200" t="s">
        <v>250</v>
      </c>
      <c r="B15" s="59">
        <v>88.32</v>
      </c>
      <c r="C15" s="59">
        <v>116.78</v>
      </c>
      <c r="D15" s="59">
        <v>134.22999999999999</v>
      </c>
      <c r="E15" s="59">
        <v>3.57</v>
      </c>
      <c r="F15" s="59">
        <v>4.33</v>
      </c>
      <c r="G15" s="59">
        <v>117.05</v>
      </c>
      <c r="H15" s="59">
        <v>57.6</v>
      </c>
      <c r="I15" s="59">
        <v>1.43</v>
      </c>
      <c r="J15" s="59">
        <v>0.28999999999999998</v>
      </c>
      <c r="K15" s="59">
        <v>5.78</v>
      </c>
      <c r="L15" s="59">
        <v>22.38</v>
      </c>
      <c r="M15" s="59">
        <v>56.58</v>
      </c>
      <c r="N15" s="59">
        <v>4.4000000000000004</v>
      </c>
      <c r="O15" s="59">
        <v>0</v>
      </c>
      <c r="P15" s="59">
        <v>2.6</v>
      </c>
      <c r="Q15" s="59">
        <v>34.979999999999997</v>
      </c>
      <c r="R15" s="197"/>
      <c r="S15" s="197"/>
      <c r="T15" s="197"/>
      <c r="U15" s="197"/>
    </row>
    <row r="16" spans="1:21" s="12" customFormat="1" x14ac:dyDescent="0.25">
      <c r="A16" s="200" t="s">
        <v>251</v>
      </c>
      <c r="B16" s="59">
        <v>81.81</v>
      </c>
      <c r="C16" s="59">
        <v>112.72</v>
      </c>
      <c r="D16" s="59">
        <v>126.77</v>
      </c>
      <c r="E16" s="59">
        <v>3.21</v>
      </c>
      <c r="F16" s="59">
        <v>4.84</v>
      </c>
      <c r="G16" s="59">
        <v>103.76</v>
      </c>
      <c r="H16" s="59">
        <v>56.37</v>
      </c>
      <c r="I16" s="59">
        <v>1.41</v>
      </c>
      <c r="J16" s="59">
        <v>0.04</v>
      </c>
      <c r="K16" s="59">
        <v>335.18</v>
      </c>
      <c r="L16" s="59">
        <v>21.86</v>
      </c>
      <c r="M16" s="59">
        <v>55.99</v>
      </c>
      <c r="N16" s="59">
        <v>4.2</v>
      </c>
      <c r="O16" s="59">
        <v>0</v>
      </c>
      <c r="P16" s="59">
        <v>2.4700000000000002</v>
      </c>
      <c r="Q16" s="59">
        <v>34.9</v>
      </c>
      <c r="R16" s="197"/>
      <c r="S16" s="197"/>
      <c r="T16" s="197"/>
      <c r="U16" s="197"/>
    </row>
    <row r="17" spans="1:21" s="12" customFormat="1" x14ac:dyDescent="0.25">
      <c r="A17" s="200" t="s">
        <v>252</v>
      </c>
      <c r="B17" s="59">
        <v>76.78</v>
      </c>
      <c r="C17" s="59">
        <v>110.38</v>
      </c>
      <c r="D17" s="59">
        <v>121.44</v>
      </c>
      <c r="E17" s="59">
        <v>3.6</v>
      </c>
      <c r="F17" s="59">
        <v>5.29</v>
      </c>
      <c r="G17" s="59">
        <v>103.76</v>
      </c>
      <c r="H17" s="59">
        <v>56.37</v>
      </c>
      <c r="I17" s="59">
        <v>1.39</v>
      </c>
      <c r="J17" s="59">
        <v>0.15</v>
      </c>
      <c r="K17" s="59">
        <v>18.23</v>
      </c>
      <c r="L17" s="59">
        <v>21.71</v>
      </c>
      <c r="M17" s="59">
        <v>55.28</v>
      </c>
      <c r="N17" s="59">
        <v>4.4000000000000004</v>
      </c>
      <c r="O17" s="59">
        <v>0</v>
      </c>
      <c r="P17" s="59">
        <v>2.4</v>
      </c>
      <c r="Q17" s="59">
        <v>34.799999999999997</v>
      </c>
      <c r="R17" s="197"/>
      <c r="S17" s="197"/>
      <c r="T17" s="197"/>
      <c r="U17" s="197"/>
    </row>
    <row r="18" spans="1:21" s="12" customFormat="1" x14ac:dyDescent="0.25">
      <c r="A18" s="200" t="s">
        <v>253</v>
      </c>
      <c r="B18" s="59">
        <v>69.61</v>
      </c>
      <c r="C18" s="59">
        <v>112.95</v>
      </c>
      <c r="D18" s="59">
        <v>117.11</v>
      </c>
      <c r="E18" s="59">
        <v>4.24</v>
      </c>
      <c r="F18" s="59">
        <v>4.9000000000000004</v>
      </c>
      <c r="G18" s="59">
        <v>103.76</v>
      </c>
      <c r="H18" s="59">
        <v>56.37</v>
      </c>
      <c r="I18" s="59">
        <v>1.35</v>
      </c>
      <c r="J18" s="59">
        <v>0.06</v>
      </c>
      <c r="K18" s="59">
        <v>194.32</v>
      </c>
      <c r="L18" s="59">
        <v>22.02</v>
      </c>
      <c r="M18" s="59">
        <v>51.67</v>
      </c>
      <c r="N18" s="59">
        <v>4.0999999999999996</v>
      </c>
      <c r="O18" s="59">
        <v>0</v>
      </c>
      <c r="P18" s="59">
        <v>2.2999999999999998</v>
      </c>
      <c r="Q18" s="59">
        <v>34.909999999999997</v>
      </c>
      <c r="R18" s="197"/>
      <c r="S18" s="197"/>
      <c r="T18" s="197"/>
      <c r="U18" s="197"/>
    </row>
    <row r="19" spans="1:21" s="12" customFormat="1" x14ac:dyDescent="0.25">
      <c r="A19" s="200" t="s">
        <v>254</v>
      </c>
      <c r="B19" s="59">
        <v>73.22</v>
      </c>
      <c r="C19" s="59">
        <v>113.66</v>
      </c>
      <c r="D19" s="59">
        <v>120.41</v>
      </c>
      <c r="E19" s="59">
        <v>4.4000000000000004</v>
      </c>
      <c r="F19" s="59">
        <v>4.4000000000000004</v>
      </c>
      <c r="G19" s="59">
        <v>96.35</v>
      </c>
      <c r="H19" s="59">
        <v>51.79</v>
      </c>
      <c r="I19" s="59">
        <v>1.32</v>
      </c>
      <c r="J19" s="59">
        <v>0.13</v>
      </c>
      <c r="K19" s="59">
        <v>217.94</v>
      </c>
      <c r="L19" s="59">
        <v>22.07</v>
      </c>
      <c r="M19" s="59">
        <v>51.93</v>
      </c>
      <c r="N19" s="59">
        <v>4.3</v>
      </c>
      <c r="O19" s="59">
        <v>0</v>
      </c>
      <c r="P19" s="59">
        <v>2.34</v>
      </c>
      <c r="Q19" s="59">
        <v>35.15</v>
      </c>
      <c r="R19" s="197"/>
      <c r="S19" s="197"/>
      <c r="T19" s="197"/>
      <c r="U19" s="197"/>
    </row>
    <row r="20" spans="1:21" s="12" customFormat="1" x14ac:dyDescent="0.25">
      <c r="A20" s="200" t="s">
        <v>255</v>
      </c>
      <c r="B20" s="59">
        <v>72.97</v>
      </c>
      <c r="C20" s="59">
        <v>113.24</v>
      </c>
      <c r="D20" s="59">
        <v>119.97</v>
      </c>
      <c r="E20" s="59">
        <v>3.53</v>
      </c>
      <c r="F20" s="59">
        <v>4.3</v>
      </c>
      <c r="G20" s="59">
        <v>92.65</v>
      </c>
      <c r="H20" s="59">
        <v>49.5</v>
      </c>
      <c r="I20" s="59">
        <v>1.22</v>
      </c>
      <c r="J20" s="59">
        <v>0.3</v>
      </c>
      <c r="K20" s="59">
        <v>258.39999999999998</v>
      </c>
      <c r="L20" s="59">
        <v>22.06</v>
      </c>
      <c r="M20" s="59">
        <v>53.38</v>
      </c>
      <c r="N20" s="59">
        <v>3.7</v>
      </c>
      <c r="O20" s="59">
        <v>0</v>
      </c>
      <c r="P20" s="59">
        <v>2.31</v>
      </c>
      <c r="Q20" s="59">
        <v>35.93</v>
      </c>
      <c r="R20" s="197"/>
      <c r="S20" s="197"/>
      <c r="T20" s="197"/>
      <c r="U20" s="197"/>
    </row>
    <row r="21" spans="1:21" s="12" customFormat="1" x14ac:dyDescent="0.25">
      <c r="A21" s="200" t="s">
        <v>256</v>
      </c>
      <c r="B21" s="59">
        <v>68.95</v>
      </c>
      <c r="C21" s="59">
        <v>113.05</v>
      </c>
      <c r="D21" s="59">
        <v>116.64</v>
      </c>
      <c r="E21" s="59">
        <v>3.66</v>
      </c>
      <c r="F21" s="59">
        <v>4.3</v>
      </c>
      <c r="G21" s="59">
        <v>92.65</v>
      </c>
      <c r="H21" s="59">
        <v>49.5</v>
      </c>
      <c r="I21" s="59">
        <v>1.18</v>
      </c>
      <c r="J21" s="59">
        <v>0.12</v>
      </c>
      <c r="K21" s="59">
        <v>60.13</v>
      </c>
      <c r="L21" s="59">
        <v>21.57</v>
      </c>
      <c r="M21" s="59">
        <v>57.72</v>
      </c>
      <c r="N21" s="59">
        <v>4.7</v>
      </c>
      <c r="O21" s="59">
        <v>0</v>
      </c>
      <c r="P21" s="59">
        <v>2.2599999999999998</v>
      </c>
      <c r="Q21" s="59">
        <v>35.99</v>
      </c>
      <c r="R21" s="197"/>
      <c r="S21" s="197"/>
      <c r="T21" s="197"/>
      <c r="U21" s="197"/>
    </row>
    <row r="22" spans="1:21" s="12" customFormat="1" x14ac:dyDescent="0.25">
      <c r="A22" s="200" t="s">
        <v>257</v>
      </c>
      <c r="B22" s="59">
        <v>65.760000000000005</v>
      </c>
      <c r="C22" s="59">
        <v>113.06</v>
      </c>
      <c r="D22" s="59">
        <v>114.09</v>
      </c>
      <c r="E22" s="59">
        <v>2.95</v>
      </c>
      <c r="F22" s="59">
        <v>4.3</v>
      </c>
      <c r="G22" s="59">
        <v>92.65</v>
      </c>
      <c r="H22" s="59">
        <v>49.5</v>
      </c>
      <c r="I22" s="59">
        <v>1.25</v>
      </c>
      <c r="J22" s="59">
        <v>0.06</v>
      </c>
      <c r="K22" s="59">
        <v>348.12</v>
      </c>
      <c r="L22" s="59">
        <v>21.1</v>
      </c>
      <c r="M22" s="59">
        <v>59.47</v>
      </c>
      <c r="N22" s="59">
        <v>4.7</v>
      </c>
      <c r="O22" s="59">
        <v>0</v>
      </c>
      <c r="P22" s="59">
        <v>2.23</v>
      </c>
      <c r="Q22" s="59">
        <v>35.83</v>
      </c>
      <c r="R22" s="197"/>
      <c r="S22" s="197"/>
      <c r="T22" s="197"/>
      <c r="U22" s="197"/>
    </row>
    <row r="23" spans="1:21" s="12" customFormat="1" x14ac:dyDescent="0.25">
      <c r="A23" s="200" t="s">
        <v>258</v>
      </c>
      <c r="B23" s="59">
        <v>62.6</v>
      </c>
      <c r="C23" s="59">
        <v>113.09</v>
      </c>
      <c r="D23" s="59">
        <v>111.57</v>
      </c>
      <c r="E23" s="59">
        <v>3.73</v>
      </c>
      <c r="F23" s="59">
        <v>4.3</v>
      </c>
      <c r="G23" s="59">
        <v>120.35</v>
      </c>
      <c r="H23" s="59">
        <v>60.04</v>
      </c>
      <c r="I23" s="59">
        <v>1.18</v>
      </c>
      <c r="J23" s="59">
        <v>0.09</v>
      </c>
      <c r="K23" s="59">
        <v>12.03</v>
      </c>
      <c r="L23" s="59">
        <v>20.53</v>
      </c>
      <c r="M23" s="59">
        <v>64.069999999999993</v>
      </c>
      <c r="N23" s="59">
        <v>4.7</v>
      </c>
      <c r="O23" s="59">
        <v>0</v>
      </c>
      <c r="P23" s="59">
        <v>2.19</v>
      </c>
      <c r="Q23" s="59">
        <v>35.4</v>
      </c>
      <c r="R23" s="197"/>
      <c r="S23" s="197"/>
      <c r="T23" s="197"/>
      <c r="U23" s="197"/>
    </row>
    <row r="24" spans="1:21" s="12" customFormat="1" x14ac:dyDescent="0.25">
      <c r="A24" s="200" t="s">
        <v>259</v>
      </c>
      <c r="B24" s="59">
        <v>59.91</v>
      </c>
      <c r="C24" s="59">
        <v>113.04</v>
      </c>
      <c r="D24" s="59">
        <v>109.38</v>
      </c>
      <c r="E24" s="59">
        <v>3.29</v>
      </c>
      <c r="F24" s="59">
        <v>4.3</v>
      </c>
      <c r="G24" s="59">
        <v>134.19999999999999</v>
      </c>
      <c r="H24" s="59">
        <v>65.319999999999993</v>
      </c>
      <c r="I24" s="59">
        <v>1.2</v>
      </c>
      <c r="J24" s="59">
        <v>0.05</v>
      </c>
      <c r="K24" s="59">
        <v>299.91000000000003</v>
      </c>
      <c r="L24" s="59">
        <v>20.329999999999998</v>
      </c>
      <c r="M24" s="59">
        <v>62.77</v>
      </c>
      <c r="N24" s="59">
        <v>4.5</v>
      </c>
      <c r="O24" s="59">
        <v>0</v>
      </c>
      <c r="P24" s="59">
        <v>2.15</v>
      </c>
      <c r="Q24" s="59">
        <v>35.06</v>
      </c>
      <c r="R24" s="197"/>
      <c r="S24" s="197"/>
      <c r="T24" s="197"/>
      <c r="U24" s="197"/>
    </row>
    <row r="25" spans="1:21" s="12" customFormat="1" x14ac:dyDescent="0.25">
      <c r="A25" s="200" t="s">
        <v>260</v>
      </c>
      <c r="B25" s="59">
        <v>57.62</v>
      </c>
      <c r="C25" s="59">
        <v>113.77</v>
      </c>
      <c r="D25" s="59">
        <v>107.95</v>
      </c>
      <c r="E25" s="59">
        <v>4.0199999999999996</v>
      </c>
      <c r="F25" s="59">
        <v>4.3099999999999996</v>
      </c>
      <c r="G25" s="59">
        <v>134.19999999999999</v>
      </c>
      <c r="H25" s="59">
        <v>65.319999999999993</v>
      </c>
      <c r="I25" s="59">
        <v>1.22</v>
      </c>
      <c r="J25" s="59">
        <v>0.04</v>
      </c>
      <c r="K25" s="59">
        <v>107.26</v>
      </c>
      <c r="L25" s="59">
        <v>20.43</v>
      </c>
      <c r="M25" s="59">
        <v>62.73</v>
      </c>
      <c r="N25" s="59">
        <v>4.3</v>
      </c>
      <c r="O25" s="59">
        <v>0</v>
      </c>
      <c r="P25" s="59">
        <v>2.13</v>
      </c>
      <c r="Q25" s="59">
        <v>34.99</v>
      </c>
      <c r="R25" s="197"/>
      <c r="S25" s="197"/>
      <c r="T25" s="197"/>
      <c r="U25" s="197"/>
    </row>
    <row r="26" spans="1:21" s="12" customFormat="1" x14ac:dyDescent="0.25">
      <c r="A26" s="200" t="s">
        <v>261</v>
      </c>
      <c r="B26" s="59">
        <v>59.46</v>
      </c>
      <c r="C26" s="59">
        <v>114.87</v>
      </c>
      <c r="D26" s="59">
        <v>110.04</v>
      </c>
      <c r="E26" s="59">
        <v>4.54</v>
      </c>
      <c r="F26" s="59">
        <v>4.3</v>
      </c>
      <c r="G26" s="59">
        <v>134.19999999999999</v>
      </c>
      <c r="H26" s="59">
        <v>65.319999999999993</v>
      </c>
      <c r="I26" s="59">
        <v>1.19</v>
      </c>
      <c r="J26" s="59">
        <v>0.08</v>
      </c>
      <c r="K26" s="59">
        <v>334.89</v>
      </c>
      <c r="L26" s="59">
        <v>20.56</v>
      </c>
      <c r="M26" s="59">
        <v>62.69</v>
      </c>
      <c r="N26" s="59">
        <v>4.5</v>
      </c>
      <c r="O26" s="59">
        <v>0</v>
      </c>
      <c r="P26" s="59">
        <v>2.1</v>
      </c>
      <c r="Q26" s="59">
        <v>34.270000000000003</v>
      </c>
      <c r="R26" s="197"/>
      <c r="S26" s="197"/>
      <c r="T26" s="197"/>
      <c r="U26" s="197"/>
    </row>
    <row r="27" spans="1:21" s="12" customFormat="1" x14ac:dyDescent="0.25">
      <c r="A27" s="200" t="s">
        <v>262</v>
      </c>
      <c r="B27" s="59">
        <v>58.58</v>
      </c>
      <c r="C27" s="59">
        <v>114.06</v>
      </c>
      <c r="D27" s="59">
        <v>108.88</v>
      </c>
      <c r="E27" s="59">
        <v>4.4800000000000004</v>
      </c>
      <c r="F27" s="59">
        <v>4.3</v>
      </c>
      <c r="G27" s="59">
        <v>157.91</v>
      </c>
      <c r="H27" s="59">
        <v>74.83</v>
      </c>
      <c r="I27" s="59">
        <v>1.1000000000000001</v>
      </c>
      <c r="J27" s="59">
        <v>0.14000000000000001</v>
      </c>
      <c r="K27" s="59">
        <v>261.10000000000002</v>
      </c>
      <c r="L27" s="59">
        <v>20.96</v>
      </c>
      <c r="M27" s="59">
        <v>61.03</v>
      </c>
      <c r="N27" s="59">
        <v>3.3</v>
      </c>
      <c r="O27" s="59">
        <v>0</v>
      </c>
      <c r="P27" s="59">
        <v>2.09</v>
      </c>
      <c r="Q27" s="59">
        <v>33.700000000000003</v>
      </c>
      <c r="R27" s="197"/>
      <c r="S27" s="197"/>
      <c r="T27" s="197"/>
      <c r="U27" s="197"/>
    </row>
    <row r="28" spans="1:21" s="12" customFormat="1" x14ac:dyDescent="0.25">
      <c r="A28" s="200" t="s">
        <v>263</v>
      </c>
      <c r="B28" s="59">
        <v>63.03</v>
      </c>
      <c r="C28" s="59">
        <v>114.12</v>
      </c>
      <c r="D28" s="59">
        <v>112.49</v>
      </c>
      <c r="E28" s="59">
        <v>4.55</v>
      </c>
      <c r="F28" s="59">
        <v>4.3</v>
      </c>
      <c r="G28" s="59">
        <v>169.76</v>
      </c>
      <c r="H28" s="59">
        <v>79.58</v>
      </c>
      <c r="I28" s="59">
        <v>1.1200000000000001</v>
      </c>
      <c r="J28" s="59">
        <v>0.12</v>
      </c>
      <c r="K28" s="59">
        <v>292.45</v>
      </c>
      <c r="L28" s="59">
        <v>21.22</v>
      </c>
      <c r="M28" s="59">
        <v>59.45</v>
      </c>
      <c r="N28" s="59">
        <v>3.6</v>
      </c>
      <c r="O28" s="59">
        <v>0</v>
      </c>
      <c r="P28" s="59">
        <v>2.08</v>
      </c>
      <c r="Q28" s="59">
        <v>33.32</v>
      </c>
      <c r="R28" s="197"/>
      <c r="S28" s="197"/>
      <c r="T28" s="197"/>
      <c r="U28" s="197"/>
    </row>
    <row r="29" spans="1:21" s="12" customFormat="1" x14ac:dyDescent="0.25">
      <c r="A29" s="200" t="s">
        <v>264</v>
      </c>
      <c r="B29" s="59">
        <v>67.84</v>
      </c>
      <c r="C29" s="59">
        <v>113.5</v>
      </c>
      <c r="D29" s="59">
        <v>116</v>
      </c>
      <c r="E29" s="59">
        <v>4.99</v>
      </c>
      <c r="F29" s="59">
        <v>4.3</v>
      </c>
      <c r="G29" s="59">
        <v>169.76</v>
      </c>
      <c r="H29" s="59">
        <v>79.58</v>
      </c>
      <c r="I29" s="59">
        <v>1.1000000000000001</v>
      </c>
      <c r="J29" s="59">
        <v>0.15</v>
      </c>
      <c r="K29" s="59">
        <v>30.92</v>
      </c>
      <c r="L29" s="59">
        <v>20.55</v>
      </c>
      <c r="M29" s="59">
        <v>63.8</v>
      </c>
      <c r="N29" s="59">
        <v>4.7</v>
      </c>
      <c r="O29" s="59">
        <v>0</v>
      </c>
      <c r="P29" s="59">
        <v>2.09</v>
      </c>
      <c r="Q29" s="59">
        <v>33.43</v>
      </c>
      <c r="R29" s="197"/>
      <c r="S29" s="197"/>
      <c r="T29" s="197"/>
      <c r="U29" s="197"/>
    </row>
    <row r="30" spans="1:21" s="12" customFormat="1" x14ac:dyDescent="0.25">
      <c r="A30" s="200" t="s">
        <v>265</v>
      </c>
      <c r="B30" s="59">
        <v>71.14</v>
      </c>
      <c r="C30" s="59">
        <v>115.07</v>
      </c>
      <c r="D30" s="59">
        <v>119.51</v>
      </c>
      <c r="E30" s="59">
        <v>4.53</v>
      </c>
      <c r="F30" s="59">
        <v>4.3600000000000003</v>
      </c>
      <c r="G30" s="59">
        <v>169.76</v>
      </c>
      <c r="H30" s="59">
        <v>79.58</v>
      </c>
      <c r="I30" s="59">
        <v>1.06</v>
      </c>
      <c r="J30" s="59">
        <v>0.14000000000000001</v>
      </c>
      <c r="K30" s="59">
        <v>159.91999999999999</v>
      </c>
      <c r="L30" s="59">
        <v>20.28</v>
      </c>
      <c r="M30" s="59">
        <v>60.6</v>
      </c>
      <c r="N30" s="59">
        <v>4.5</v>
      </c>
      <c r="O30" s="59">
        <v>0</v>
      </c>
      <c r="P30" s="59">
        <v>2.0699999999999998</v>
      </c>
      <c r="Q30" s="59">
        <v>33.630000000000003</v>
      </c>
      <c r="R30" s="197"/>
      <c r="S30" s="197"/>
      <c r="T30" s="197"/>
      <c r="U30" s="197"/>
    </row>
    <row r="31" spans="1:21" s="12" customFormat="1" x14ac:dyDescent="0.25">
      <c r="A31" s="200" t="s">
        <v>266</v>
      </c>
      <c r="B31" s="59">
        <v>73.34</v>
      </c>
      <c r="C31" s="59">
        <v>113.12</v>
      </c>
      <c r="D31" s="59">
        <v>120.2</v>
      </c>
      <c r="E31" s="59">
        <v>4.71</v>
      </c>
      <c r="F31" s="59">
        <v>4.91</v>
      </c>
      <c r="G31" s="59">
        <v>172.45</v>
      </c>
      <c r="H31" s="59">
        <v>81.48</v>
      </c>
      <c r="I31" s="59">
        <v>1.06</v>
      </c>
      <c r="J31" s="59">
        <v>0.06</v>
      </c>
      <c r="K31" s="59">
        <v>204.72</v>
      </c>
      <c r="L31" s="59">
        <v>20.32</v>
      </c>
      <c r="M31" s="59">
        <v>65.22</v>
      </c>
      <c r="N31" s="59">
        <v>4.5</v>
      </c>
      <c r="O31" s="59">
        <v>0</v>
      </c>
      <c r="P31" s="59">
        <v>2.06</v>
      </c>
      <c r="Q31" s="59">
        <v>33.71</v>
      </c>
      <c r="R31" s="197"/>
      <c r="S31" s="197"/>
      <c r="T31" s="197"/>
      <c r="U31" s="197"/>
    </row>
    <row r="32" spans="1:21" s="12" customFormat="1" x14ac:dyDescent="0.25">
      <c r="A32" s="200" t="s">
        <v>267</v>
      </c>
      <c r="B32" s="59">
        <v>81.349999999999994</v>
      </c>
      <c r="C32" s="59">
        <v>111.93</v>
      </c>
      <c r="D32" s="59">
        <v>125.96</v>
      </c>
      <c r="E32" s="59">
        <v>4.74</v>
      </c>
      <c r="F32" s="59">
        <v>4.3</v>
      </c>
      <c r="G32" s="59">
        <v>173.73</v>
      </c>
      <c r="H32" s="59">
        <v>82.43</v>
      </c>
      <c r="I32" s="59">
        <v>1.07</v>
      </c>
      <c r="J32" s="59">
        <v>0.06</v>
      </c>
      <c r="K32" s="59">
        <v>357.2</v>
      </c>
      <c r="L32" s="59">
        <v>20.05</v>
      </c>
      <c r="M32" s="59">
        <v>70.099999999999994</v>
      </c>
      <c r="N32" s="59">
        <v>4.5</v>
      </c>
      <c r="O32" s="59">
        <v>0</v>
      </c>
      <c r="P32" s="59">
        <v>2.06</v>
      </c>
      <c r="Q32" s="59">
        <v>33.96</v>
      </c>
      <c r="R32" s="197"/>
      <c r="S32" s="197"/>
      <c r="T32" s="197"/>
      <c r="U32" s="197"/>
    </row>
    <row r="33" spans="1:21" s="12" customFormat="1" x14ac:dyDescent="0.25">
      <c r="A33" s="200" t="s">
        <v>268</v>
      </c>
      <c r="B33" s="59">
        <v>90.04</v>
      </c>
      <c r="C33" s="59">
        <v>114.01</v>
      </c>
      <c r="D33" s="59">
        <v>134.08000000000001</v>
      </c>
      <c r="E33" s="59">
        <v>4.92</v>
      </c>
      <c r="F33" s="59">
        <v>4.3</v>
      </c>
      <c r="G33" s="59">
        <v>173.73</v>
      </c>
      <c r="H33" s="59">
        <v>82.43</v>
      </c>
      <c r="I33" s="59">
        <v>1.07</v>
      </c>
      <c r="J33" s="59">
        <v>0.06</v>
      </c>
      <c r="K33" s="59">
        <v>281.57</v>
      </c>
      <c r="L33" s="59">
        <v>20.170000000000002</v>
      </c>
      <c r="M33" s="59">
        <v>67</v>
      </c>
      <c r="N33" s="59">
        <v>4.8</v>
      </c>
      <c r="O33" s="59">
        <v>0</v>
      </c>
      <c r="P33" s="59">
        <v>2.0699999999999998</v>
      </c>
      <c r="Q33" s="59">
        <v>34.4</v>
      </c>
      <c r="R33" s="197"/>
      <c r="S33" s="197"/>
      <c r="T33" s="197"/>
      <c r="U33" s="197"/>
    </row>
    <row r="34" spans="1:21" s="12" customFormat="1" x14ac:dyDescent="0.25">
      <c r="A34" s="200" t="s">
        <v>269</v>
      </c>
      <c r="B34" s="59">
        <v>101</v>
      </c>
      <c r="C34" s="59">
        <v>114.79</v>
      </c>
      <c r="D34" s="59">
        <v>143.30000000000001</v>
      </c>
      <c r="E34" s="59">
        <v>5.0199999999999996</v>
      </c>
      <c r="F34" s="59">
        <v>4.3</v>
      </c>
      <c r="G34" s="59">
        <v>173.73</v>
      </c>
      <c r="H34" s="59">
        <v>82.43</v>
      </c>
      <c r="I34" s="59">
        <v>1.1200000000000001</v>
      </c>
      <c r="J34" s="59">
        <v>0.23</v>
      </c>
      <c r="K34" s="59">
        <v>232.08</v>
      </c>
      <c r="L34" s="59">
        <v>20.8</v>
      </c>
      <c r="M34" s="59">
        <v>63.95</v>
      </c>
      <c r="N34" s="59">
        <v>7.7</v>
      </c>
      <c r="O34" s="59">
        <v>0</v>
      </c>
      <c r="P34" s="59">
        <v>2.09</v>
      </c>
      <c r="Q34" s="59">
        <v>36.25</v>
      </c>
      <c r="R34" s="197"/>
      <c r="S34" s="197"/>
      <c r="T34" s="197"/>
      <c r="U34" s="197"/>
    </row>
    <row r="35" spans="1:21" s="12" customFormat="1" x14ac:dyDescent="0.25">
      <c r="A35" s="200" t="s">
        <v>270</v>
      </c>
      <c r="B35" s="59">
        <v>102.61</v>
      </c>
      <c r="C35" s="59">
        <v>114.3</v>
      </c>
      <c r="D35" s="59">
        <v>144.32</v>
      </c>
      <c r="E35" s="59">
        <v>5.44</v>
      </c>
      <c r="F35" s="59">
        <v>4.3</v>
      </c>
      <c r="G35" s="59">
        <v>175.62</v>
      </c>
      <c r="H35" s="59">
        <v>81.260000000000005</v>
      </c>
      <c r="I35" s="59">
        <v>1.1100000000000001</v>
      </c>
      <c r="J35" s="59">
        <v>0.33</v>
      </c>
      <c r="K35" s="59">
        <v>40.380000000000003</v>
      </c>
      <c r="L35" s="59">
        <v>20.32</v>
      </c>
      <c r="M35" s="59">
        <v>66.97</v>
      </c>
      <c r="N35" s="59">
        <v>18.8</v>
      </c>
      <c r="O35" s="59">
        <v>0</v>
      </c>
      <c r="P35" s="59">
        <v>2.0299999999999998</v>
      </c>
      <c r="Q35" s="59">
        <v>36.799999999999997</v>
      </c>
      <c r="R35" s="197"/>
      <c r="S35" s="197"/>
      <c r="T35" s="197"/>
      <c r="U35" s="197"/>
    </row>
    <row r="36" spans="1:21" s="12" customFormat="1" x14ac:dyDescent="0.25">
      <c r="A36" s="200" t="s">
        <v>271</v>
      </c>
      <c r="B36" s="59">
        <v>99.45</v>
      </c>
      <c r="C36" s="59">
        <v>112.38</v>
      </c>
      <c r="D36" s="59">
        <v>140.72999999999999</v>
      </c>
      <c r="E36" s="59">
        <v>4.72</v>
      </c>
      <c r="F36" s="59">
        <v>4.3</v>
      </c>
      <c r="G36" s="59">
        <v>176.56</v>
      </c>
      <c r="H36" s="59">
        <v>80.67</v>
      </c>
      <c r="I36" s="59">
        <v>1.0900000000000001</v>
      </c>
      <c r="J36" s="59">
        <v>0.25</v>
      </c>
      <c r="K36" s="59">
        <v>69.41</v>
      </c>
      <c r="L36" s="59">
        <v>20.2</v>
      </c>
      <c r="M36" s="59">
        <v>67.7</v>
      </c>
      <c r="N36" s="59">
        <v>36.4</v>
      </c>
      <c r="O36" s="59">
        <v>0</v>
      </c>
      <c r="P36" s="59">
        <v>1.99</v>
      </c>
      <c r="Q36" s="59">
        <v>36.47</v>
      </c>
      <c r="R36" s="197"/>
      <c r="S36" s="197"/>
      <c r="T36" s="197"/>
      <c r="U36" s="197"/>
    </row>
    <row r="37" spans="1:21" s="12" customFormat="1" x14ac:dyDescent="0.25">
      <c r="A37" s="200" t="s">
        <v>272</v>
      </c>
      <c r="B37" s="59">
        <v>95.8</v>
      </c>
      <c r="C37" s="59">
        <v>110.81</v>
      </c>
      <c r="D37" s="59">
        <v>136.94</v>
      </c>
      <c r="E37" s="59">
        <v>4.83</v>
      </c>
      <c r="F37" s="59">
        <v>4.3</v>
      </c>
      <c r="G37" s="59">
        <v>176.56</v>
      </c>
      <c r="H37" s="59">
        <v>80.67</v>
      </c>
      <c r="I37" s="59">
        <v>1.07</v>
      </c>
      <c r="J37" s="59">
        <v>0.19</v>
      </c>
      <c r="K37" s="59">
        <v>52.88</v>
      </c>
      <c r="L37" s="59">
        <v>21</v>
      </c>
      <c r="M37" s="59">
        <v>64.13</v>
      </c>
      <c r="N37" s="59">
        <v>65.5</v>
      </c>
      <c r="O37" s="59">
        <v>0</v>
      </c>
      <c r="P37" s="59">
        <v>1.97</v>
      </c>
      <c r="Q37" s="59">
        <v>36.04</v>
      </c>
      <c r="R37" s="197"/>
      <c r="S37" s="197"/>
      <c r="T37" s="197"/>
      <c r="U37" s="197"/>
    </row>
    <row r="38" spans="1:21" s="12" customFormat="1" x14ac:dyDescent="0.25">
      <c r="A38" s="200" t="s">
        <v>273</v>
      </c>
      <c r="B38" s="59">
        <v>92.54</v>
      </c>
      <c r="C38" s="59">
        <v>110.2</v>
      </c>
      <c r="D38" s="59">
        <v>133.97999999999999</v>
      </c>
      <c r="E38" s="59">
        <v>5.03</v>
      </c>
      <c r="F38" s="59">
        <v>4.3</v>
      </c>
      <c r="G38" s="59">
        <v>176.56</v>
      </c>
      <c r="H38" s="59">
        <v>80.67</v>
      </c>
      <c r="I38" s="59">
        <v>1.04</v>
      </c>
      <c r="J38" s="59">
        <v>0.23</v>
      </c>
      <c r="K38" s="59">
        <v>66.34</v>
      </c>
      <c r="L38" s="59">
        <v>22.35</v>
      </c>
      <c r="M38" s="59">
        <v>60.3</v>
      </c>
      <c r="N38" s="59">
        <v>92.9</v>
      </c>
      <c r="O38" s="59">
        <v>0</v>
      </c>
      <c r="P38" s="59">
        <v>2.0499999999999998</v>
      </c>
      <c r="Q38" s="59">
        <v>35.619999999999997</v>
      </c>
      <c r="R38" s="197"/>
      <c r="S38" s="197"/>
      <c r="T38" s="197"/>
      <c r="U38" s="197"/>
    </row>
    <row r="39" spans="1:21" s="12" customFormat="1" x14ac:dyDescent="0.25">
      <c r="A39" s="200" t="s">
        <v>274</v>
      </c>
      <c r="B39" s="59">
        <v>89.13</v>
      </c>
      <c r="C39" s="59">
        <v>110.75</v>
      </c>
      <c r="D39" s="59">
        <v>131.55000000000001</v>
      </c>
      <c r="E39" s="59">
        <v>4.83</v>
      </c>
      <c r="F39" s="59">
        <v>4.3</v>
      </c>
      <c r="G39" s="59">
        <v>144.76</v>
      </c>
      <c r="H39" s="59">
        <v>74.88</v>
      </c>
      <c r="I39" s="59">
        <v>1.01</v>
      </c>
      <c r="J39" s="59">
        <v>0.14000000000000001</v>
      </c>
      <c r="K39" s="59">
        <v>17.829999999999998</v>
      </c>
      <c r="L39" s="59">
        <v>23.56</v>
      </c>
      <c r="M39" s="59">
        <v>55.18</v>
      </c>
      <c r="N39" s="59">
        <v>117.4</v>
      </c>
      <c r="O39" s="59">
        <v>0</v>
      </c>
      <c r="P39" s="59">
        <v>2.0499999999999998</v>
      </c>
      <c r="Q39" s="59">
        <v>35.33</v>
      </c>
      <c r="R39" s="197"/>
      <c r="S39" s="197"/>
      <c r="T39" s="197"/>
      <c r="U39" s="197"/>
    </row>
    <row r="40" spans="1:21" s="12" customFormat="1" x14ac:dyDescent="0.25">
      <c r="A40" s="200" t="s">
        <v>275</v>
      </c>
      <c r="B40" s="59">
        <v>86.48</v>
      </c>
      <c r="C40" s="59">
        <v>113.62</v>
      </c>
      <c r="D40" s="59">
        <v>131.01</v>
      </c>
      <c r="E40" s="59">
        <v>3.5</v>
      </c>
      <c r="F40" s="59">
        <v>4.3</v>
      </c>
      <c r="G40" s="59">
        <v>128.86000000000001</v>
      </c>
      <c r="H40" s="59">
        <v>71.989999999999995</v>
      </c>
      <c r="I40" s="59">
        <v>0.99</v>
      </c>
      <c r="J40" s="59">
        <v>0.18</v>
      </c>
      <c r="K40" s="59">
        <v>359.36</v>
      </c>
      <c r="L40" s="59">
        <v>25.49</v>
      </c>
      <c r="M40" s="59">
        <v>49.31</v>
      </c>
      <c r="N40" s="59">
        <v>148.6</v>
      </c>
      <c r="O40" s="59">
        <v>0</v>
      </c>
      <c r="P40" s="59">
        <v>2.12</v>
      </c>
      <c r="Q40" s="59">
        <v>34.909999999999997</v>
      </c>
      <c r="R40" s="197"/>
      <c r="S40" s="197"/>
      <c r="T40" s="197"/>
      <c r="U40" s="197"/>
    </row>
    <row r="41" spans="1:21" s="12" customFormat="1" x14ac:dyDescent="0.25">
      <c r="A41" s="200" t="s">
        <v>276</v>
      </c>
      <c r="B41" s="59">
        <v>85.69</v>
      </c>
      <c r="C41" s="59">
        <v>115.85</v>
      </c>
      <c r="D41" s="59">
        <v>131.61000000000001</v>
      </c>
      <c r="E41" s="59">
        <v>5.6</v>
      </c>
      <c r="F41" s="59">
        <v>4.3099999999999996</v>
      </c>
      <c r="G41" s="59">
        <v>128.86000000000001</v>
      </c>
      <c r="H41" s="59">
        <v>71.989999999999995</v>
      </c>
      <c r="I41" s="59">
        <v>0.97</v>
      </c>
      <c r="J41" s="59">
        <v>0.34</v>
      </c>
      <c r="K41" s="59">
        <v>15.24</v>
      </c>
      <c r="L41" s="59">
        <v>26.92</v>
      </c>
      <c r="M41" s="59">
        <v>44.94</v>
      </c>
      <c r="N41" s="59">
        <v>171.6</v>
      </c>
      <c r="O41" s="59">
        <v>0</v>
      </c>
      <c r="P41" s="59">
        <v>2.15</v>
      </c>
      <c r="Q41" s="59">
        <v>34.33</v>
      </c>
      <c r="R41" s="197"/>
      <c r="S41" s="197"/>
      <c r="T41" s="197"/>
      <c r="U41" s="197"/>
    </row>
    <row r="42" spans="1:21" s="12" customFormat="1" x14ac:dyDescent="0.25">
      <c r="A42" s="200" t="s">
        <v>277</v>
      </c>
      <c r="B42" s="59">
        <v>82.01</v>
      </c>
      <c r="C42" s="59">
        <v>116.43</v>
      </c>
      <c r="D42" s="59">
        <v>128.97999999999999</v>
      </c>
      <c r="E42" s="59">
        <v>6.84</v>
      </c>
      <c r="F42" s="59">
        <v>4.51</v>
      </c>
      <c r="G42" s="59">
        <v>128.86000000000001</v>
      </c>
      <c r="H42" s="59">
        <v>71.989999999999995</v>
      </c>
      <c r="I42" s="59">
        <v>0.96</v>
      </c>
      <c r="J42" s="59">
        <v>0.36</v>
      </c>
      <c r="K42" s="59">
        <v>24.83</v>
      </c>
      <c r="L42" s="59">
        <v>27.67</v>
      </c>
      <c r="M42" s="59">
        <v>43.95</v>
      </c>
      <c r="N42" s="59">
        <v>204</v>
      </c>
      <c r="O42" s="59">
        <v>0</v>
      </c>
      <c r="P42" s="59">
        <v>2.2200000000000002</v>
      </c>
      <c r="Q42" s="59">
        <v>33.92</v>
      </c>
      <c r="R42" s="197"/>
      <c r="S42" s="197"/>
      <c r="T42" s="197"/>
      <c r="U42" s="197"/>
    </row>
    <row r="43" spans="1:21" s="12" customFormat="1" x14ac:dyDescent="0.25">
      <c r="A43" s="200" t="s">
        <v>278</v>
      </c>
      <c r="B43" s="59">
        <v>81.91</v>
      </c>
      <c r="C43" s="59">
        <v>118.46</v>
      </c>
      <c r="D43" s="59">
        <v>130.02000000000001</v>
      </c>
      <c r="E43" s="59">
        <v>7.88</v>
      </c>
      <c r="F43" s="59">
        <v>4.84</v>
      </c>
      <c r="G43" s="59">
        <v>128.86000000000001</v>
      </c>
      <c r="H43" s="59">
        <v>114.83</v>
      </c>
      <c r="I43" s="59">
        <v>0.95</v>
      </c>
      <c r="J43" s="59">
        <v>0.3</v>
      </c>
      <c r="K43" s="59">
        <v>107.11</v>
      </c>
      <c r="L43" s="59">
        <v>27.59</v>
      </c>
      <c r="M43" s="59">
        <v>43.68</v>
      </c>
      <c r="N43" s="59">
        <v>245.9</v>
      </c>
      <c r="O43" s="59">
        <v>0</v>
      </c>
      <c r="P43" s="59">
        <v>2.27</v>
      </c>
      <c r="Q43" s="59">
        <v>33.950000000000003</v>
      </c>
      <c r="R43" s="197"/>
      <c r="S43" s="197"/>
      <c r="T43" s="197"/>
      <c r="U43" s="197"/>
    </row>
    <row r="44" spans="1:21" s="12" customFormat="1" x14ac:dyDescent="0.25">
      <c r="A44" s="200" t="s">
        <v>279</v>
      </c>
      <c r="B44" s="59">
        <v>73.900000000000006</v>
      </c>
      <c r="C44" s="59">
        <v>121.28</v>
      </c>
      <c r="D44" s="59">
        <v>125.15</v>
      </c>
      <c r="E44" s="59">
        <v>17.79</v>
      </c>
      <c r="F44" s="59">
        <v>6.44</v>
      </c>
      <c r="G44" s="59">
        <v>296.77999999999997</v>
      </c>
      <c r="H44" s="59">
        <v>136.25</v>
      </c>
      <c r="I44" s="59">
        <v>0.95</v>
      </c>
      <c r="J44" s="59">
        <v>0.45</v>
      </c>
      <c r="K44" s="59">
        <v>113.91</v>
      </c>
      <c r="L44" s="59">
        <v>27.76</v>
      </c>
      <c r="M44" s="59">
        <v>40.479999999999997</v>
      </c>
      <c r="N44" s="59">
        <v>281.89999999999998</v>
      </c>
      <c r="O44" s="59">
        <v>0</v>
      </c>
      <c r="P44" s="59">
        <v>2.31</v>
      </c>
      <c r="Q44" s="59">
        <v>34.49</v>
      </c>
      <c r="R44" s="197"/>
      <c r="S44" s="197"/>
      <c r="T44" s="197"/>
      <c r="U44" s="197"/>
    </row>
    <row r="45" spans="1:21" s="12" customFormat="1" x14ac:dyDescent="0.25">
      <c r="A45" s="200" t="s">
        <v>280</v>
      </c>
      <c r="B45" s="59">
        <v>73.7</v>
      </c>
      <c r="C45" s="59">
        <v>124.8</v>
      </c>
      <c r="D45" s="59">
        <v>126.93</v>
      </c>
      <c r="E45" s="59">
        <v>19.239999999999998</v>
      </c>
      <c r="F45" s="59">
        <v>6.56</v>
      </c>
      <c r="G45" s="59">
        <v>296.77999999999997</v>
      </c>
      <c r="H45" s="59">
        <v>136.25</v>
      </c>
      <c r="I45" s="59">
        <v>0.95</v>
      </c>
      <c r="J45" s="59">
        <v>0.36</v>
      </c>
      <c r="K45" s="59">
        <v>142.30000000000001</v>
      </c>
      <c r="L45" s="59">
        <v>28.64</v>
      </c>
      <c r="M45" s="59">
        <v>36.64</v>
      </c>
      <c r="N45" s="59">
        <v>336.7</v>
      </c>
      <c r="O45" s="59">
        <v>0</v>
      </c>
      <c r="P45" s="59">
        <v>2.34</v>
      </c>
      <c r="Q45" s="59">
        <v>34.54</v>
      </c>
      <c r="R45" s="197"/>
      <c r="S45" s="197"/>
      <c r="T45" s="197"/>
      <c r="U45" s="197"/>
    </row>
    <row r="46" spans="1:21" s="12" customFormat="1" x14ac:dyDescent="0.25">
      <c r="A46" s="200" t="s">
        <v>281</v>
      </c>
      <c r="B46" s="59">
        <v>69.33</v>
      </c>
      <c r="C46" s="59">
        <v>122.05</v>
      </c>
      <c r="D46" s="59">
        <v>121.91</v>
      </c>
      <c r="E46" s="59">
        <v>13.11</v>
      </c>
      <c r="F46" s="59">
        <v>7.23</v>
      </c>
      <c r="G46" s="59">
        <v>296.77999999999997</v>
      </c>
      <c r="H46" s="59">
        <v>136.25</v>
      </c>
      <c r="I46" s="59">
        <v>0.95</v>
      </c>
      <c r="J46" s="59">
        <v>0.39</v>
      </c>
      <c r="K46" s="59">
        <v>9.48</v>
      </c>
      <c r="L46" s="59">
        <v>31.27</v>
      </c>
      <c r="M46" s="59">
        <v>28</v>
      </c>
      <c r="N46" s="59">
        <v>377.2</v>
      </c>
      <c r="O46" s="59">
        <v>0</v>
      </c>
      <c r="P46" s="59">
        <v>2.2799999999999998</v>
      </c>
      <c r="Q46" s="59">
        <v>34.79</v>
      </c>
      <c r="R46" s="197"/>
      <c r="S46" s="197"/>
      <c r="T46" s="197"/>
      <c r="U46" s="197"/>
    </row>
    <row r="47" spans="1:21" s="12" customFormat="1" x14ac:dyDescent="0.25">
      <c r="A47" s="200" t="s">
        <v>282</v>
      </c>
      <c r="B47" s="59">
        <v>66.62</v>
      </c>
      <c r="C47" s="59">
        <v>124.88</v>
      </c>
      <c r="D47" s="59">
        <v>121.3</v>
      </c>
      <c r="E47" s="59">
        <v>16.489999999999998</v>
      </c>
      <c r="F47" s="59">
        <v>8.59</v>
      </c>
      <c r="G47" s="59">
        <v>233.38</v>
      </c>
      <c r="H47" s="59">
        <v>115.41</v>
      </c>
      <c r="I47" s="59">
        <v>0.96</v>
      </c>
      <c r="J47" s="59">
        <v>0.33</v>
      </c>
      <c r="K47" s="59">
        <v>1.1399999999999999</v>
      </c>
      <c r="L47" s="59">
        <v>32.81</v>
      </c>
      <c r="M47" s="59">
        <v>27.52</v>
      </c>
      <c r="N47" s="59">
        <v>389.7</v>
      </c>
      <c r="O47" s="59">
        <v>0</v>
      </c>
      <c r="P47" s="59">
        <v>2.29</v>
      </c>
      <c r="Q47" s="59">
        <v>34.9</v>
      </c>
      <c r="R47" s="197"/>
      <c r="S47" s="197"/>
      <c r="T47" s="197"/>
      <c r="U47" s="197"/>
    </row>
    <row r="48" spans="1:21" s="12" customFormat="1" x14ac:dyDescent="0.25">
      <c r="A48" s="200" t="s">
        <v>283</v>
      </c>
      <c r="B48" s="59">
        <v>63.29</v>
      </c>
      <c r="C48" s="59">
        <v>126.92</v>
      </c>
      <c r="D48" s="59">
        <v>119.76</v>
      </c>
      <c r="E48" s="59">
        <v>9.5500000000000007</v>
      </c>
      <c r="F48" s="59">
        <v>6.74</v>
      </c>
      <c r="G48" s="59">
        <v>233.38</v>
      </c>
      <c r="H48" s="59">
        <v>105</v>
      </c>
      <c r="I48" s="59">
        <v>0.93</v>
      </c>
      <c r="J48" s="59">
        <v>0.39</v>
      </c>
      <c r="K48" s="59">
        <v>4.91</v>
      </c>
      <c r="L48" s="59">
        <v>33.68</v>
      </c>
      <c r="M48" s="59">
        <v>26.43</v>
      </c>
      <c r="N48" s="59">
        <v>402.2</v>
      </c>
      <c r="O48" s="59">
        <v>0</v>
      </c>
      <c r="P48" s="59">
        <v>2.2999999999999998</v>
      </c>
      <c r="Q48" s="59">
        <v>35.67</v>
      </c>
      <c r="R48" s="197"/>
      <c r="S48" s="197"/>
      <c r="T48" s="197"/>
      <c r="U48" s="197"/>
    </row>
    <row r="49" spans="1:21" s="12" customFormat="1" x14ac:dyDescent="0.25">
      <c r="A49" s="200" t="s">
        <v>284</v>
      </c>
      <c r="B49" s="59">
        <v>57.36</v>
      </c>
      <c r="C49" s="59">
        <v>131.76</v>
      </c>
      <c r="D49" s="59">
        <v>117.67</v>
      </c>
      <c r="E49" s="59">
        <v>8.17</v>
      </c>
      <c r="F49" s="59">
        <v>5.59</v>
      </c>
      <c r="G49" s="59">
        <v>233.38</v>
      </c>
      <c r="H49" s="59">
        <v>105</v>
      </c>
      <c r="I49" s="59">
        <v>0.94</v>
      </c>
      <c r="J49" s="59">
        <v>0.45</v>
      </c>
      <c r="K49" s="59">
        <v>5.77</v>
      </c>
      <c r="L49" s="59">
        <v>34.33</v>
      </c>
      <c r="M49" s="59">
        <v>25.05</v>
      </c>
      <c r="N49" s="59">
        <v>425.8</v>
      </c>
      <c r="O49" s="59">
        <v>0</v>
      </c>
      <c r="P49" s="59">
        <v>2.29</v>
      </c>
      <c r="Q49" s="59">
        <v>36.39</v>
      </c>
      <c r="R49" s="197"/>
      <c r="S49" s="197"/>
      <c r="T49" s="197"/>
      <c r="U49" s="197"/>
    </row>
    <row r="50" spans="1:21" s="12" customFormat="1" x14ac:dyDescent="0.25">
      <c r="A50" s="200" t="s">
        <v>285</v>
      </c>
      <c r="B50" s="59">
        <v>50.33</v>
      </c>
      <c r="C50" s="59">
        <v>136.41999999999999</v>
      </c>
      <c r="D50" s="59">
        <v>114.6</v>
      </c>
      <c r="E50" s="59">
        <v>6.53</v>
      </c>
      <c r="F50" s="59">
        <v>4.84</v>
      </c>
      <c r="G50" s="59">
        <v>233.38</v>
      </c>
      <c r="H50" s="59">
        <v>105</v>
      </c>
      <c r="I50" s="59">
        <v>0.95</v>
      </c>
      <c r="J50" s="59">
        <v>0.56999999999999995</v>
      </c>
      <c r="K50" s="59">
        <v>352.66</v>
      </c>
      <c r="L50" s="59">
        <v>35.200000000000003</v>
      </c>
      <c r="M50" s="59">
        <v>24.95</v>
      </c>
      <c r="N50" s="59">
        <v>449.8</v>
      </c>
      <c r="O50" s="59">
        <v>0</v>
      </c>
      <c r="P50" s="59">
        <v>2.25</v>
      </c>
      <c r="Q50" s="59">
        <v>36.25</v>
      </c>
      <c r="R50" s="197"/>
      <c r="S50" s="197"/>
      <c r="T50" s="197"/>
      <c r="U50" s="197"/>
    </row>
    <row r="51" spans="1:21" s="12" customFormat="1" x14ac:dyDescent="0.25">
      <c r="A51" s="200" t="s">
        <v>286</v>
      </c>
      <c r="B51" s="59">
        <v>35.18</v>
      </c>
      <c r="C51" s="59">
        <v>142.03</v>
      </c>
      <c r="D51" s="59">
        <v>105.55</v>
      </c>
      <c r="E51" s="59">
        <v>7.91</v>
      </c>
      <c r="F51" s="59">
        <v>7.41</v>
      </c>
      <c r="G51" s="59">
        <v>175.4</v>
      </c>
      <c r="H51" s="59">
        <v>87.93</v>
      </c>
      <c r="I51" s="59">
        <v>0.93</v>
      </c>
      <c r="J51" s="59">
        <v>0.37</v>
      </c>
      <c r="K51" s="59">
        <v>352.41</v>
      </c>
      <c r="L51" s="59">
        <v>34.11</v>
      </c>
      <c r="M51" s="59">
        <v>25.99</v>
      </c>
      <c r="N51" s="59">
        <v>458</v>
      </c>
      <c r="O51" s="59">
        <v>0</v>
      </c>
      <c r="P51" s="59">
        <v>2.0699999999999998</v>
      </c>
      <c r="Q51" s="59">
        <v>34.56</v>
      </c>
      <c r="R51" s="197"/>
      <c r="S51" s="197"/>
      <c r="T51" s="197"/>
      <c r="U51" s="197"/>
    </row>
    <row r="52" spans="1:21" s="12" customFormat="1" x14ac:dyDescent="0.25">
      <c r="A52" s="200" t="s">
        <v>287</v>
      </c>
      <c r="B52" s="59">
        <v>12.92</v>
      </c>
      <c r="C52" s="59">
        <v>147.63999999999999</v>
      </c>
      <c r="D52" s="59">
        <v>90.8</v>
      </c>
      <c r="E52" s="59">
        <v>7.69</v>
      </c>
      <c r="F52" s="59">
        <v>7.84</v>
      </c>
      <c r="G52" s="59">
        <v>146.41</v>
      </c>
      <c r="H52" s="59">
        <v>79.39</v>
      </c>
      <c r="I52" s="59">
        <v>0.91</v>
      </c>
      <c r="J52" s="59">
        <v>0.65</v>
      </c>
      <c r="K52" s="59">
        <v>352.61</v>
      </c>
      <c r="L52" s="59">
        <v>35.86</v>
      </c>
      <c r="M52" s="59">
        <v>24.04</v>
      </c>
      <c r="N52" s="59">
        <v>466.8</v>
      </c>
      <c r="O52" s="59">
        <v>0</v>
      </c>
      <c r="P52" s="59">
        <v>1.83</v>
      </c>
      <c r="Q52" s="59">
        <v>29.25</v>
      </c>
      <c r="R52" s="197"/>
      <c r="S52" s="197"/>
      <c r="T52" s="197"/>
      <c r="U52" s="197"/>
    </row>
    <row r="53" spans="1:21" s="12" customFormat="1" x14ac:dyDescent="0.25">
      <c r="A53" s="200" t="s">
        <v>288</v>
      </c>
      <c r="B53" s="59">
        <v>2.9</v>
      </c>
      <c r="C53" s="59">
        <v>93.42</v>
      </c>
      <c r="D53" s="59">
        <v>52.84</v>
      </c>
      <c r="E53" s="59">
        <v>13.21</v>
      </c>
      <c r="F53" s="59">
        <v>41.8</v>
      </c>
      <c r="G53" s="59">
        <v>146.41</v>
      </c>
      <c r="H53" s="59">
        <v>79.39</v>
      </c>
      <c r="I53" s="59">
        <v>0.81</v>
      </c>
      <c r="J53" s="59">
        <v>0.17</v>
      </c>
      <c r="K53" s="59">
        <v>348.07</v>
      </c>
      <c r="L53" s="59">
        <v>34.71</v>
      </c>
      <c r="M53" s="59">
        <v>23.83</v>
      </c>
      <c r="N53" s="59">
        <v>482.7</v>
      </c>
      <c r="O53" s="59">
        <v>0</v>
      </c>
      <c r="P53" s="59">
        <v>1.1599999999999999</v>
      </c>
      <c r="Q53" s="59">
        <v>22.79</v>
      </c>
      <c r="R53" s="197"/>
      <c r="S53" s="197"/>
      <c r="T53" s="197"/>
      <c r="U53" s="197"/>
    </row>
    <row r="54" spans="1:21" s="12" customFormat="1" x14ac:dyDescent="0.25">
      <c r="A54" s="200" t="s">
        <v>289</v>
      </c>
      <c r="B54" s="59">
        <v>1.58</v>
      </c>
      <c r="C54" s="59">
        <v>55.97</v>
      </c>
      <c r="D54" s="59">
        <v>31.11</v>
      </c>
      <c r="E54" s="59">
        <v>24.03</v>
      </c>
      <c r="F54" s="59">
        <v>63.33</v>
      </c>
      <c r="G54" s="59">
        <v>146.41</v>
      </c>
      <c r="H54" s="59">
        <v>79.39</v>
      </c>
      <c r="I54" s="59">
        <v>0.71</v>
      </c>
      <c r="J54" s="59">
        <v>0.3</v>
      </c>
      <c r="K54" s="59">
        <v>355.32</v>
      </c>
      <c r="L54" s="59">
        <v>34.25</v>
      </c>
      <c r="M54" s="59">
        <v>24.22</v>
      </c>
      <c r="N54" s="59">
        <v>490.7</v>
      </c>
      <c r="O54" s="59">
        <v>0</v>
      </c>
      <c r="P54" s="59">
        <v>0.74</v>
      </c>
      <c r="Q54" s="59">
        <v>16.48</v>
      </c>
      <c r="R54" s="197"/>
      <c r="S54" s="197"/>
      <c r="T54" s="197"/>
      <c r="U54" s="197"/>
    </row>
    <row r="55" spans="1:21" s="12" customFormat="1" x14ac:dyDescent="0.25">
      <c r="A55" s="200" t="s">
        <v>290</v>
      </c>
      <c r="B55" s="59">
        <v>2.39</v>
      </c>
      <c r="C55" s="59">
        <v>57.9</v>
      </c>
      <c r="D55" s="59">
        <v>32.83</v>
      </c>
      <c r="E55" s="59">
        <v>18.27</v>
      </c>
      <c r="F55" s="59">
        <v>37.08</v>
      </c>
      <c r="G55" s="59">
        <v>85.08</v>
      </c>
      <c r="H55" s="59">
        <v>49.71</v>
      </c>
      <c r="I55" s="59">
        <v>0.55000000000000004</v>
      </c>
      <c r="J55" s="59">
        <v>0.49</v>
      </c>
      <c r="K55" s="59">
        <v>359.51</v>
      </c>
      <c r="L55" s="59">
        <v>36.380000000000003</v>
      </c>
      <c r="M55" s="59">
        <v>21.92</v>
      </c>
      <c r="N55" s="59">
        <v>489.2</v>
      </c>
      <c r="O55" s="59">
        <v>0</v>
      </c>
      <c r="P55" s="59">
        <v>0.7</v>
      </c>
      <c r="Q55" s="59">
        <v>15.5</v>
      </c>
      <c r="R55" s="197"/>
      <c r="S55" s="197"/>
      <c r="T55" s="197"/>
      <c r="U55" s="197"/>
    </row>
    <row r="56" spans="1:21" s="12" customFormat="1" x14ac:dyDescent="0.25">
      <c r="A56" s="200" t="s">
        <v>291</v>
      </c>
      <c r="B56" s="59">
        <v>2.56</v>
      </c>
      <c r="C56" s="59">
        <v>61.14</v>
      </c>
      <c r="D56" s="59">
        <v>34.75</v>
      </c>
      <c r="E56" s="59">
        <v>8.83</v>
      </c>
      <c r="F56" s="59">
        <v>23.11</v>
      </c>
      <c r="G56" s="59">
        <v>54.42</v>
      </c>
      <c r="H56" s="59">
        <v>34.880000000000003</v>
      </c>
      <c r="I56" s="59">
        <v>0.47</v>
      </c>
      <c r="J56" s="59">
        <v>0.08</v>
      </c>
      <c r="K56" s="59">
        <v>212.73</v>
      </c>
      <c r="L56" s="59">
        <v>35.5</v>
      </c>
      <c r="M56" s="59">
        <v>22.14</v>
      </c>
      <c r="N56" s="59">
        <v>497.7</v>
      </c>
      <c r="O56" s="59">
        <v>0</v>
      </c>
      <c r="P56" s="59">
        <v>0.72</v>
      </c>
      <c r="Q56" s="59">
        <v>15.61</v>
      </c>
      <c r="R56" s="197"/>
      <c r="S56" s="197"/>
      <c r="T56" s="197"/>
      <c r="U56" s="197"/>
    </row>
    <row r="57" spans="1:21" s="12" customFormat="1" x14ac:dyDescent="0.25">
      <c r="A57" s="200" t="s">
        <v>292</v>
      </c>
      <c r="B57" s="59">
        <v>2.83</v>
      </c>
      <c r="C57" s="59">
        <v>63.14</v>
      </c>
      <c r="D57" s="59">
        <v>36.08</v>
      </c>
      <c r="E57" s="59">
        <v>11.1</v>
      </c>
      <c r="F57" s="59">
        <v>21.3</v>
      </c>
      <c r="G57" s="59">
        <v>54.42</v>
      </c>
      <c r="H57" s="59">
        <v>34.880000000000003</v>
      </c>
      <c r="I57" s="59">
        <v>0.47</v>
      </c>
      <c r="J57" s="59">
        <v>0.19</v>
      </c>
      <c r="K57" s="59">
        <v>341.52</v>
      </c>
      <c r="L57" s="59">
        <v>35.130000000000003</v>
      </c>
      <c r="M57" s="59">
        <v>22.49</v>
      </c>
      <c r="N57" s="59">
        <v>492.2</v>
      </c>
      <c r="O57" s="59">
        <v>0</v>
      </c>
      <c r="P57" s="59">
        <v>0.72</v>
      </c>
      <c r="Q57" s="59">
        <v>16.09</v>
      </c>
      <c r="R57" s="197"/>
      <c r="S57" s="197"/>
      <c r="T57" s="197"/>
      <c r="U57" s="197"/>
    </row>
    <row r="58" spans="1:21" s="12" customFormat="1" x14ac:dyDescent="0.25">
      <c r="A58" s="200" t="s">
        <v>293</v>
      </c>
      <c r="B58" s="59">
        <v>2.04</v>
      </c>
      <c r="C58" s="59">
        <v>66.08</v>
      </c>
      <c r="D58" s="59">
        <v>37.06</v>
      </c>
      <c r="E58" s="59">
        <v>8.82</v>
      </c>
      <c r="F58" s="59">
        <v>15.09</v>
      </c>
      <c r="G58" s="59">
        <v>54.42</v>
      </c>
      <c r="H58" s="59">
        <v>34.880000000000003</v>
      </c>
      <c r="I58" s="59">
        <v>0.48</v>
      </c>
      <c r="J58" s="59">
        <v>0.53</v>
      </c>
      <c r="K58" s="59">
        <v>3.18</v>
      </c>
      <c r="L58" s="59">
        <v>36.47</v>
      </c>
      <c r="M58" s="59">
        <v>21.44</v>
      </c>
      <c r="N58" s="59">
        <v>484.3</v>
      </c>
      <c r="O58" s="59">
        <v>0</v>
      </c>
      <c r="P58" s="59">
        <v>0.71</v>
      </c>
      <c r="Q58" s="59">
        <v>16.690000000000001</v>
      </c>
      <c r="R58" s="197"/>
      <c r="S58" s="197"/>
      <c r="T58" s="197"/>
      <c r="U58" s="197"/>
    </row>
    <row r="59" spans="1:21" s="12" customFormat="1" x14ac:dyDescent="0.25">
      <c r="A59" s="200" t="s">
        <v>294</v>
      </c>
      <c r="B59" s="59">
        <v>3.46</v>
      </c>
      <c r="C59" s="59">
        <v>65.67</v>
      </c>
      <c r="D59" s="59">
        <v>37.97</v>
      </c>
      <c r="E59" s="59">
        <v>10.46</v>
      </c>
      <c r="F59" s="59">
        <v>27.03</v>
      </c>
      <c r="G59" s="59">
        <v>65.5</v>
      </c>
      <c r="H59" s="59">
        <v>31.31</v>
      </c>
      <c r="I59" s="59">
        <v>0.48</v>
      </c>
      <c r="J59" s="59">
        <v>0.34</v>
      </c>
      <c r="K59" s="59">
        <v>22.79</v>
      </c>
      <c r="L59" s="59">
        <v>37.08</v>
      </c>
      <c r="M59" s="59">
        <v>20.239999999999998</v>
      </c>
      <c r="N59" s="59">
        <v>471.3</v>
      </c>
      <c r="O59" s="59">
        <v>0</v>
      </c>
      <c r="P59" s="59">
        <v>0.73</v>
      </c>
      <c r="Q59" s="59">
        <v>17.38</v>
      </c>
      <c r="R59" s="197"/>
      <c r="S59" s="197"/>
      <c r="T59" s="197"/>
      <c r="U59" s="197"/>
    </row>
    <row r="60" spans="1:21" s="12" customFormat="1" x14ac:dyDescent="0.25">
      <c r="A60" s="200" t="s">
        <v>295</v>
      </c>
      <c r="B60" s="59">
        <v>2.42</v>
      </c>
      <c r="C60" s="59">
        <v>70.94</v>
      </c>
      <c r="D60" s="59">
        <v>40.049999999999997</v>
      </c>
      <c r="E60" s="59">
        <v>8.9499999999999993</v>
      </c>
      <c r="F60" s="59">
        <v>15.88</v>
      </c>
      <c r="G60" s="59">
        <v>70.760000000000005</v>
      </c>
      <c r="H60" s="59">
        <v>29.52</v>
      </c>
      <c r="I60" s="59">
        <v>0.49</v>
      </c>
      <c r="J60" s="59">
        <v>0.71</v>
      </c>
      <c r="K60" s="59">
        <v>186.35</v>
      </c>
      <c r="L60" s="59">
        <v>34.81</v>
      </c>
      <c r="M60" s="59">
        <v>22.47</v>
      </c>
      <c r="N60" s="59">
        <v>469.4</v>
      </c>
      <c r="O60" s="59">
        <v>0</v>
      </c>
      <c r="P60" s="59">
        <v>0.75</v>
      </c>
      <c r="Q60" s="59">
        <v>18.39</v>
      </c>
      <c r="R60" s="197"/>
      <c r="S60" s="197"/>
      <c r="T60" s="197"/>
      <c r="U60" s="197"/>
    </row>
    <row r="61" spans="1:21" s="12" customFormat="1" x14ac:dyDescent="0.25">
      <c r="A61" s="200" t="s">
        <v>296</v>
      </c>
      <c r="B61" s="59">
        <v>1.56</v>
      </c>
      <c r="C61" s="59">
        <v>65.08</v>
      </c>
      <c r="D61" s="59">
        <v>36.130000000000003</v>
      </c>
      <c r="E61" s="59">
        <v>14.61</v>
      </c>
      <c r="F61" s="59">
        <v>27.06</v>
      </c>
      <c r="G61" s="59">
        <v>70.760000000000005</v>
      </c>
      <c r="H61" s="59">
        <v>29.52</v>
      </c>
      <c r="I61" s="59">
        <v>0.5</v>
      </c>
      <c r="J61" s="59">
        <v>0.66</v>
      </c>
      <c r="K61" s="59">
        <v>152.12</v>
      </c>
      <c r="L61" s="59">
        <v>33.96</v>
      </c>
      <c r="M61" s="59">
        <v>23.76</v>
      </c>
      <c r="N61" s="59">
        <v>454.3</v>
      </c>
      <c r="O61" s="59">
        <v>0</v>
      </c>
      <c r="P61" s="59">
        <v>0.81</v>
      </c>
      <c r="Q61" s="59">
        <v>19.63</v>
      </c>
      <c r="R61" s="197"/>
      <c r="S61" s="197"/>
      <c r="T61" s="197"/>
      <c r="U61" s="197"/>
    </row>
    <row r="62" spans="1:21" s="12" customFormat="1" x14ac:dyDescent="0.25">
      <c r="A62" s="200" t="s">
        <v>297</v>
      </c>
      <c r="B62" s="59">
        <v>1.56</v>
      </c>
      <c r="C62" s="59">
        <v>68.84</v>
      </c>
      <c r="D62" s="59">
        <v>38.200000000000003</v>
      </c>
      <c r="E62" s="59">
        <v>13.35</v>
      </c>
      <c r="F62" s="59">
        <v>12.88</v>
      </c>
      <c r="G62" s="59">
        <v>70.760000000000005</v>
      </c>
      <c r="H62" s="59">
        <v>29.52</v>
      </c>
      <c r="I62" s="59">
        <v>0.52</v>
      </c>
      <c r="J62" s="59">
        <v>0.13</v>
      </c>
      <c r="K62" s="59">
        <v>120.03</v>
      </c>
      <c r="L62" s="59">
        <v>34.44</v>
      </c>
      <c r="M62" s="59">
        <v>23.54</v>
      </c>
      <c r="N62" s="59">
        <v>436.9</v>
      </c>
      <c r="O62" s="59">
        <v>0</v>
      </c>
      <c r="P62" s="59">
        <v>0.87</v>
      </c>
      <c r="Q62" s="59">
        <v>20.56</v>
      </c>
      <c r="R62" s="197"/>
      <c r="S62" s="197"/>
      <c r="T62" s="197"/>
      <c r="U62" s="197"/>
    </row>
    <row r="63" spans="1:21" s="12" customFormat="1" x14ac:dyDescent="0.25">
      <c r="A63" s="200" t="s">
        <v>298</v>
      </c>
      <c r="B63" s="59">
        <v>2.1800000000000002</v>
      </c>
      <c r="C63" s="59">
        <v>73.67</v>
      </c>
      <c r="D63" s="59">
        <v>41.37</v>
      </c>
      <c r="E63" s="59">
        <v>8.9700000000000006</v>
      </c>
      <c r="F63" s="59">
        <v>20.45</v>
      </c>
      <c r="G63" s="59">
        <v>63.52</v>
      </c>
      <c r="H63" s="59">
        <v>35.409999999999997</v>
      </c>
      <c r="I63" s="59">
        <v>0.53</v>
      </c>
      <c r="J63" s="59">
        <v>0.12</v>
      </c>
      <c r="K63" s="59">
        <v>48.37</v>
      </c>
      <c r="L63" s="59">
        <v>36.909999999999997</v>
      </c>
      <c r="M63" s="59">
        <v>19.75</v>
      </c>
      <c r="N63" s="59">
        <v>429.2</v>
      </c>
      <c r="O63" s="59">
        <v>0</v>
      </c>
      <c r="P63" s="59">
        <v>0.96</v>
      </c>
      <c r="Q63" s="59">
        <v>22.47</v>
      </c>
      <c r="R63" s="197"/>
      <c r="S63" s="197"/>
      <c r="T63" s="197"/>
      <c r="U63" s="197"/>
    </row>
    <row r="64" spans="1:21" s="12" customFormat="1" x14ac:dyDescent="0.25">
      <c r="A64" s="200" t="s">
        <v>299</v>
      </c>
      <c r="B64" s="59">
        <v>1.58</v>
      </c>
      <c r="C64" s="59">
        <v>76.790000000000006</v>
      </c>
      <c r="D64" s="59">
        <v>42.6</v>
      </c>
      <c r="E64" s="59">
        <v>7.51</v>
      </c>
      <c r="F64" s="59">
        <v>17.73</v>
      </c>
      <c r="G64" s="59">
        <v>60.07</v>
      </c>
      <c r="H64" s="59">
        <v>38.36</v>
      </c>
      <c r="I64" s="59">
        <v>0.56999999999999995</v>
      </c>
      <c r="J64" s="59">
        <v>0.75</v>
      </c>
      <c r="K64" s="59">
        <v>166.31</v>
      </c>
      <c r="L64" s="59">
        <v>34.71</v>
      </c>
      <c r="M64" s="59">
        <v>19.059999999999999</v>
      </c>
      <c r="N64" s="59">
        <v>421.1</v>
      </c>
      <c r="O64" s="59">
        <v>0</v>
      </c>
      <c r="P64" s="59">
        <v>0.92</v>
      </c>
      <c r="Q64" s="59">
        <v>22.54</v>
      </c>
      <c r="R64" s="197"/>
      <c r="S64" s="197"/>
      <c r="T64" s="197"/>
      <c r="U64" s="197"/>
    </row>
    <row r="65" spans="1:21" s="12" customFormat="1" x14ac:dyDescent="0.25">
      <c r="A65" s="200" t="s">
        <v>300</v>
      </c>
      <c r="B65" s="59">
        <v>1.55</v>
      </c>
      <c r="C65" s="59">
        <v>68.239999999999995</v>
      </c>
      <c r="D65" s="59">
        <v>37.869999999999997</v>
      </c>
      <c r="E65" s="59">
        <v>8.27</v>
      </c>
      <c r="F65" s="59">
        <v>20.13</v>
      </c>
      <c r="G65" s="59">
        <v>60.07</v>
      </c>
      <c r="H65" s="59">
        <v>38.36</v>
      </c>
      <c r="I65" s="59">
        <v>0.56000000000000005</v>
      </c>
      <c r="J65" s="59">
        <v>1.1599999999999999</v>
      </c>
      <c r="K65" s="59">
        <v>177.58</v>
      </c>
      <c r="L65" s="59">
        <v>34.380000000000003</v>
      </c>
      <c r="M65" s="59">
        <v>20.41</v>
      </c>
      <c r="N65" s="59">
        <v>412.4</v>
      </c>
      <c r="O65" s="59">
        <v>0</v>
      </c>
      <c r="P65" s="59">
        <v>0.86</v>
      </c>
      <c r="Q65" s="59">
        <v>22.4</v>
      </c>
      <c r="R65" s="197"/>
      <c r="S65" s="197"/>
      <c r="T65" s="197"/>
      <c r="U65" s="197"/>
    </row>
    <row r="66" spans="1:21" s="12" customFormat="1" x14ac:dyDescent="0.25">
      <c r="A66" s="200" t="s">
        <v>301</v>
      </c>
      <c r="B66" s="59">
        <v>1.43</v>
      </c>
      <c r="C66" s="59">
        <v>66.459999999999994</v>
      </c>
      <c r="D66" s="59">
        <v>36.78</v>
      </c>
      <c r="E66" s="59">
        <v>8.83</v>
      </c>
      <c r="F66" s="59">
        <v>27.15</v>
      </c>
      <c r="G66" s="59">
        <v>60.07</v>
      </c>
      <c r="H66" s="59">
        <v>38.36</v>
      </c>
      <c r="I66" s="59">
        <v>0.53</v>
      </c>
      <c r="J66" s="59">
        <v>0.21</v>
      </c>
      <c r="K66" s="59">
        <v>202.97</v>
      </c>
      <c r="L66" s="59">
        <v>34.96</v>
      </c>
      <c r="M66" s="59">
        <v>18.88</v>
      </c>
      <c r="N66" s="59">
        <v>394.9</v>
      </c>
      <c r="O66" s="59">
        <v>0</v>
      </c>
      <c r="P66" s="59">
        <v>0.79</v>
      </c>
      <c r="Q66" s="59">
        <v>22.32</v>
      </c>
      <c r="R66" s="197"/>
      <c r="S66" s="197"/>
      <c r="T66" s="197"/>
      <c r="U66" s="197"/>
    </row>
    <row r="67" spans="1:21" s="12" customFormat="1" x14ac:dyDescent="0.25">
      <c r="A67" s="200" t="s">
        <v>302</v>
      </c>
      <c r="B67" s="59">
        <v>1.3</v>
      </c>
      <c r="C67" s="59">
        <v>65.959999999999994</v>
      </c>
      <c r="D67" s="59">
        <v>36.4</v>
      </c>
      <c r="E67" s="59">
        <v>6.83</v>
      </c>
      <c r="F67" s="59">
        <v>17.7</v>
      </c>
      <c r="G67" s="59">
        <v>43.26</v>
      </c>
      <c r="H67" s="59">
        <v>26.28</v>
      </c>
      <c r="I67" s="59">
        <v>0.51</v>
      </c>
      <c r="J67" s="59">
        <v>0.97</v>
      </c>
      <c r="K67" s="59">
        <v>182.19</v>
      </c>
      <c r="L67" s="59">
        <v>34.56</v>
      </c>
      <c r="M67" s="59">
        <v>15.69</v>
      </c>
      <c r="N67" s="59">
        <v>393.7</v>
      </c>
      <c r="O67" s="59">
        <v>0</v>
      </c>
      <c r="P67" s="59">
        <v>0.75</v>
      </c>
      <c r="Q67" s="59">
        <v>21.86</v>
      </c>
      <c r="R67" s="197"/>
      <c r="S67" s="197"/>
      <c r="T67" s="197"/>
      <c r="U67" s="197"/>
    </row>
    <row r="68" spans="1:21" s="12" customFormat="1" x14ac:dyDescent="0.25">
      <c r="A68" s="200" t="s">
        <v>303</v>
      </c>
      <c r="B68" s="59">
        <v>1.3</v>
      </c>
      <c r="C68" s="59">
        <v>65.739999999999995</v>
      </c>
      <c r="D68" s="59">
        <v>36.28</v>
      </c>
      <c r="E68" s="59">
        <v>6.04</v>
      </c>
      <c r="F68" s="59">
        <v>14.2</v>
      </c>
      <c r="G68" s="59">
        <v>34.85</v>
      </c>
      <c r="H68" s="59">
        <v>20.25</v>
      </c>
      <c r="I68" s="59">
        <v>0.51</v>
      </c>
      <c r="J68" s="59">
        <v>1.08</v>
      </c>
      <c r="K68" s="59">
        <v>171.88</v>
      </c>
      <c r="L68" s="59">
        <v>34.76</v>
      </c>
      <c r="M68" s="59">
        <v>16.21</v>
      </c>
      <c r="N68" s="59">
        <v>365.4</v>
      </c>
      <c r="O68" s="59">
        <v>0</v>
      </c>
      <c r="P68" s="59">
        <v>0.71</v>
      </c>
      <c r="Q68" s="59">
        <v>21.95</v>
      </c>
      <c r="R68" s="197"/>
      <c r="S68" s="197"/>
      <c r="T68" s="197"/>
      <c r="U68" s="197"/>
    </row>
    <row r="69" spans="1:21" s="12" customFormat="1" x14ac:dyDescent="0.25">
      <c r="A69" s="200" t="s">
        <v>304</v>
      </c>
      <c r="B69" s="59">
        <v>1.39</v>
      </c>
      <c r="C69" s="59">
        <v>63.23</v>
      </c>
      <c r="D69" s="59">
        <v>34.97</v>
      </c>
      <c r="E69" s="59">
        <v>7.77</v>
      </c>
      <c r="F69" s="59">
        <v>27.21</v>
      </c>
      <c r="G69" s="59">
        <v>34.85</v>
      </c>
      <c r="H69" s="59">
        <v>20.25</v>
      </c>
      <c r="I69" s="59">
        <v>0.5</v>
      </c>
      <c r="J69" s="59">
        <v>0.84</v>
      </c>
      <c r="K69" s="59">
        <v>167.95</v>
      </c>
      <c r="L69" s="59">
        <v>34.49</v>
      </c>
      <c r="M69" s="59">
        <v>16.11</v>
      </c>
      <c r="N69" s="59">
        <v>326.89999999999998</v>
      </c>
      <c r="O69" s="59">
        <v>0</v>
      </c>
      <c r="P69" s="59">
        <v>0.65</v>
      </c>
      <c r="Q69" s="59">
        <v>22.5</v>
      </c>
      <c r="R69" s="197"/>
      <c r="S69" s="197"/>
      <c r="T69" s="197"/>
      <c r="U69" s="197"/>
    </row>
    <row r="70" spans="1:21" s="12" customFormat="1" x14ac:dyDescent="0.25">
      <c r="A70" s="200" t="s">
        <v>305</v>
      </c>
      <c r="B70" s="59">
        <v>1.77</v>
      </c>
      <c r="C70" s="59">
        <v>60.2</v>
      </c>
      <c r="D70" s="59">
        <v>33.6</v>
      </c>
      <c r="E70" s="59">
        <v>7.38</v>
      </c>
      <c r="F70" s="59">
        <v>21.73</v>
      </c>
      <c r="G70" s="59">
        <v>34.85</v>
      </c>
      <c r="H70" s="59">
        <v>20.25</v>
      </c>
      <c r="I70" s="59">
        <v>0.5</v>
      </c>
      <c r="J70" s="59">
        <v>0.68</v>
      </c>
      <c r="K70" s="59">
        <v>183.78</v>
      </c>
      <c r="L70" s="59">
        <v>34.43</v>
      </c>
      <c r="M70" s="59">
        <v>16.23</v>
      </c>
      <c r="N70" s="59">
        <v>290.3</v>
      </c>
      <c r="O70" s="59">
        <v>0</v>
      </c>
      <c r="P70" s="59">
        <v>0.64</v>
      </c>
      <c r="Q70" s="59">
        <v>23.05</v>
      </c>
      <c r="R70" s="197"/>
      <c r="S70" s="197"/>
      <c r="T70" s="197"/>
      <c r="U70" s="197"/>
    </row>
    <row r="71" spans="1:21" s="12" customFormat="1" x14ac:dyDescent="0.25">
      <c r="A71" s="200" t="s">
        <v>306</v>
      </c>
      <c r="B71" s="59">
        <v>2.04</v>
      </c>
      <c r="C71" s="59">
        <v>58.06</v>
      </c>
      <c r="D71" s="59">
        <v>32.630000000000003</v>
      </c>
      <c r="E71" s="59">
        <v>8.2100000000000009</v>
      </c>
      <c r="F71" s="59">
        <v>27.68</v>
      </c>
      <c r="G71" s="59">
        <v>39.78</v>
      </c>
      <c r="H71" s="59">
        <v>16.350000000000001</v>
      </c>
      <c r="I71" s="59">
        <v>0.51</v>
      </c>
      <c r="J71" s="59">
        <v>0.98</v>
      </c>
      <c r="K71" s="59">
        <v>178</v>
      </c>
      <c r="L71" s="59">
        <v>34.21</v>
      </c>
      <c r="M71" s="59">
        <v>16.940000000000001</v>
      </c>
      <c r="N71" s="59">
        <v>248.4</v>
      </c>
      <c r="O71" s="59">
        <v>0</v>
      </c>
      <c r="P71" s="59">
        <v>0.6</v>
      </c>
      <c r="Q71" s="59">
        <v>22.66</v>
      </c>
      <c r="R71" s="197"/>
      <c r="S71" s="197"/>
      <c r="T71" s="197"/>
      <c r="U71" s="197"/>
    </row>
    <row r="72" spans="1:21" s="12" customFormat="1" x14ac:dyDescent="0.25">
      <c r="A72" s="200" t="s">
        <v>307</v>
      </c>
      <c r="B72" s="59">
        <v>1.58</v>
      </c>
      <c r="C72" s="59">
        <v>58.12</v>
      </c>
      <c r="D72" s="59">
        <v>32.299999999999997</v>
      </c>
      <c r="E72" s="59">
        <v>3.73</v>
      </c>
      <c r="F72" s="59">
        <v>32.42</v>
      </c>
      <c r="G72" s="59">
        <v>42.13</v>
      </c>
      <c r="H72" s="59">
        <v>14.41</v>
      </c>
      <c r="I72" s="59">
        <v>0.53</v>
      </c>
      <c r="J72" s="59">
        <v>0.86</v>
      </c>
      <c r="K72" s="59">
        <v>177.6</v>
      </c>
      <c r="L72" s="59">
        <v>33.78</v>
      </c>
      <c r="M72" s="59">
        <v>17.649999999999999</v>
      </c>
      <c r="N72" s="59">
        <v>194.2</v>
      </c>
      <c r="O72" s="59">
        <v>0</v>
      </c>
      <c r="P72" s="59">
        <v>0.59</v>
      </c>
      <c r="Q72" s="59">
        <v>22.16</v>
      </c>
      <c r="R72" s="197"/>
      <c r="S72" s="197"/>
      <c r="T72" s="197"/>
      <c r="U72" s="197"/>
    </row>
    <row r="73" spans="1:21" s="12" customFormat="1" x14ac:dyDescent="0.25">
      <c r="A73" s="200" t="s">
        <v>308</v>
      </c>
      <c r="B73" s="59">
        <v>1.75</v>
      </c>
      <c r="C73" s="59">
        <v>57.27</v>
      </c>
      <c r="D73" s="59">
        <v>31.96</v>
      </c>
      <c r="E73" s="59">
        <v>8.76</v>
      </c>
      <c r="F73" s="59">
        <v>45.7</v>
      </c>
      <c r="G73" s="59">
        <v>42.13</v>
      </c>
      <c r="H73" s="59">
        <v>14.41</v>
      </c>
      <c r="I73" s="59">
        <v>0.53</v>
      </c>
      <c r="J73" s="59">
        <v>0.37</v>
      </c>
      <c r="K73" s="59">
        <v>168.04</v>
      </c>
      <c r="L73" s="59">
        <v>33.81</v>
      </c>
      <c r="M73" s="59">
        <v>17.57</v>
      </c>
      <c r="N73" s="59">
        <v>136.4</v>
      </c>
      <c r="O73" s="59">
        <v>0</v>
      </c>
      <c r="P73" s="59">
        <v>0.54</v>
      </c>
      <c r="Q73" s="59">
        <v>21.98</v>
      </c>
      <c r="R73" s="197"/>
      <c r="S73" s="197"/>
      <c r="T73" s="197"/>
      <c r="U73" s="197"/>
    </row>
    <row r="74" spans="1:21" s="12" customFormat="1" x14ac:dyDescent="0.25">
      <c r="A74" s="200" t="s">
        <v>309</v>
      </c>
      <c r="B74" s="59">
        <v>3.12</v>
      </c>
      <c r="C74" s="59">
        <v>65.56</v>
      </c>
      <c r="D74" s="59">
        <v>37.64</v>
      </c>
      <c r="E74" s="59">
        <v>8.48</v>
      </c>
      <c r="F74" s="59">
        <v>28.56</v>
      </c>
      <c r="G74" s="59">
        <v>42.13</v>
      </c>
      <c r="H74" s="59">
        <v>14.41</v>
      </c>
      <c r="I74" s="59">
        <v>0.5</v>
      </c>
      <c r="J74" s="59">
        <v>0.56000000000000005</v>
      </c>
      <c r="K74" s="59">
        <v>170.61</v>
      </c>
      <c r="L74" s="59">
        <v>33.71</v>
      </c>
      <c r="M74" s="59">
        <v>18.07</v>
      </c>
      <c r="N74" s="59">
        <v>101.6</v>
      </c>
      <c r="O74" s="59">
        <v>0</v>
      </c>
      <c r="P74" s="59">
        <v>0.6</v>
      </c>
      <c r="Q74" s="59">
        <v>22.2</v>
      </c>
      <c r="R74" s="197"/>
      <c r="S74" s="197"/>
      <c r="T74" s="197"/>
      <c r="U74" s="197"/>
    </row>
    <row r="75" spans="1:21" s="12" customFormat="1" x14ac:dyDescent="0.25">
      <c r="A75" s="200" t="s">
        <v>310</v>
      </c>
      <c r="B75" s="59">
        <v>2.12</v>
      </c>
      <c r="C75" s="59">
        <v>57.96</v>
      </c>
      <c r="D75" s="59">
        <v>32.64</v>
      </c>
      <c r="E75" s="59">
        <v>8.4499999999999993</v>
      </c>
      <c r="F75" s="59">
        <v>33.33</v>
      </c>
      <c r="G75" s="59">
        <v>38.200000000000003</v>
      </c>
      <c r="H75" s="59">
        <v>18.07</v>
      </c>
      <c r="I75" s="59">
        <v>0.52</v>
      </c>
      <c r="J75" s="59">
        <v>0.47</v>
      </c>
      <c r="K75" s="59">
        <v>214.09</v>
      </c>
      <c r="L75" s="59">
        <v>33.409999999999997</v>
      </c>
      <c r="M75" s="59">
        <v>17.72</v>
      </c>
      <c r="N75" s="59">
        <v>84.9</v>
      </c>
      <c r="O75" s="59">
        <v>0</v>
      </c>
      <c r="P75" s="59">
        <v>0.56000000000000005</v>
      </c>
      <c r="Q75" s="59">
        <v>22.72</v>
      </c>
      <c r="R75" s="197"/>
      <c r="S75" s="197"/>
      <c r="T75" s="197"/>
      <c r="U75" s="197"/>
    </row>
    <row r="76" spans="1:21" s="12" customFormat="1" x14ac:dyDescent="0.25">
      <c r="A76" s="200" t="s">
        <v>311</v>
      </c>
      <c r="B76" s="59">
        <v>1.98</v>
      </c>
      <c r="C76" s="59">
        <v>58.2</v>
      </c>
      <c r="D76" s="59">
        <v>32.659999999999997</v>
      </c>
      <c r="E76" s="59">
        <v>8.66</v>
      </c>
      <c r="F76" s="59">
        <v>34.01</v>
      </c>
      <c r="G76" s="59">
        <v>36.229999999999997</v>
      </c>
      <c r="H76" s="59">
        <v>19.899999999999999</v>
      </c>
      <c r="I76" s="59">
        <v>0.54</v>
      </c>
      <c r="J76" s="59">
        <v>0.63</v>
      </c>
      <c r="K76" s="59">
        <v>170.93</v>
      </c>
      <c r="L76" s="59">
        <v>33.049999999999997</v>
      </c>
      <c r="M76" s="59">
        <v>17.87</v>
      </c>
      <c r="N76" s="59">
        <v>59.4</v>
      </c>
      <c r="O76" s="59">
        <v>0</v>
      </c>
      <c r="P76" s="59">
        <v>0.53</v>
      </c>
      <c r="Q76" s="59">
        <v>23.51</v>
      </c>
      <c r="R76" s="197"/>
      <c r="S76" s="197"/>
      <c r="T76" s="197"/>
      <c r="U76" s="197"/>
    </row>
    <row r="77" spans="1:21" s="12" customFormat="1" x14ac:dyDescent="0.25">
      <c r="A77" s="200" t="s">
        <v>312</v>
      </c>
      <c r="B77" s="59">
        <v>2.16</v>
      </c>
      <c r="C77" s="59">
        <v>63.96</v>
      </c>
      <c r="D77" s="59">
        <v>35.99</v>
      </c>
      <c r="E77" s="59">
        <v>7.01</v>
      </c>
      <c r="F77" s="59">
        <v>26.23</v>
      </c>
      <c r="G77" s="59">
        <v>36.229999999999997</v>
      </c>
      <c r="H77" s="59">
        <v>19.899999999999999</v>
      </c>
      <c r="I77" s="59">
        <v>0.55000000000000004</v>
      </c>
      <c r="J77" s="59">
        <v>0.12</v>
      </c>
      <c r="K77" s="59">
        <v>228.32</v>
      </c>
      <c r="L77" s="59">
        <v>32.85</v>
      </c>
      <c r="M77" s="59">
        <v>17.82</v>
      </c>
      <c r="N77" s="59">
        <v>42.1</v>
      </c>
      <c r="O77" s="59">
        <v>0</v>
      </c>
      <c r="P77" s="59">
        <v>0.55000000000000004</v>
      </c>
      <c r="Q77" s="59">
        <v>25.12</v>
      </c>
      <c r="R77" s="197"/>
      <c r="S77" s="197"/>
      <c r="T77" s="197"/>
      <c r="U77" s="197"/>
    </row>
    <row r="78" spans="1:21" s="12" customFormat="1" x14ac:dyDescent="0.25">
      <c r="A78" s="200" t="s">
        <v>313</v>
      </c>
      <c r="B78" s="59">
        <v>1.94</v>
      </c>
      <c r="C78" s="59">
        <v>68.83</v>
      </c>
      <c r="D78" s="59">
        <v>38.49</v>
      </c>
      <c r="E78" s="59">
        <v>7.68</v>
      </c>
      <c r="F78" s="59">
        <v>25.5</v>
      </c>
      <c r="G78" s="59">
        <v>36.229999999999997</v>
      </c>
      <c r="H78" s="59">
        <v>19.899999999999999</v>
      </c>
      <c r="I78" s="59">
        <v>0.53</v>
      </c>
      <c r="J78" s="59">
        <v>0.25</v>
      </c>
      <c r="K78" s="59">
        <v>173.01</v>
      </c>
      <c r="L78" s="59">
        <v>32.479999999999997</v>
      </c>
      <c r="M78" s="59">
        <v>18.95</v>
      </c>
      <c r="N78" s="59">
        <v>29.2</v>
      </c>
      <c r="O78" s="59">
        <v>0</v>
      </c>
      <c r="P78" s="59">
        <v>0.57999999999999996</v>
      </c>
      <c r="Q78" s="59">
        <v>25.63</v>
      </c>
      <c r="R78" s="197"/>
      <c r="S78" s="197"/>
      <c r="T78" s="197"/>
      <c r="U78" s="197"/>
    </row>
    <row r="79" spans="1:21" s="12" customFormat="1" x14ac:dyDescent="0.25">
      <c r="A79" s="200" t="s">
        <v>314</v>
      </c>
      <c r="B79" s="59">
        <v>18.329999999999998</v>
      </c>
      <c r="C79" s="59">
        <v>101.49</v>
      </c>
      <c r="D79" s="59">
        <v>69.67</v>
      </c>
      <c r="E79" s="59">
        <v>7.58</v>
      </c>
      <c r="F79" s="59">
        <v>11.47</v>
      </c>
      <c r="G79" s="59">
        <v>43</v>
      </c>
      <c r="H79" s="59">
        <v>22.29</v>
      </c>
      <c r="I79" s="59">
        <v>0.55000000000000004</v>
      </c>
      <c r="J79" s="59">
        <v>0.18</v>
      </c>
      <c r="K79" s="59">
        <v>14.13</v>
      </c>
      <c r="L79" s="59">
        <v>31.61</v>
      </c>
      <c r="M79" s="59">
        <v>25.17</v>
      </c>
      <c r="N79" s="59">
        <v>18.3</v>
      </c>
      <c r="O79" s="59">
        <v>0</v>
      </c>
      <c r="P79" s="59">
        <v>1.1499999999999999</v>
      </c>
      <c r="Q79" s="59">
        <v>25.28</v>
      </c>
      <c r="R79" s="197"/>
      <c r="S79" s="197"/>
      <c r="T79" s="197"/>
      <c r="U79" s="197"/>
    </row>
    <row r="80" spans="1:21" s="12" customFormat="1" x14ac:dyDescent="0.25">
      <c r="A80" s="200" t="s">
        <v>315</v>
      </c>
      <c r="B80" s="59">
        <v>45.18</v>
      </c>
      <c r="C80" s="59">
        <v>123.3</v>
      </c>
      <c r="D80" s="59">
        <v>103.24</v>
      </c>
      <c r="E80" s="59">
        <v>7.55</v>
      </c>
      <c r="F80" s="59">
        <v>6.29</v>
      </c>
      <c r="G80" s="59">
        <v>46.39</v>
      </c>
      <c r="H80" s="59">
        <v>23.48</v>
      </c>
      <c r="I80" s="59">
        <v>0.56999999999999995</v>
      </c>
      <c r="J80" s="59">
        <v>0.12</v>
      </c>
      <c r="K80" s="59">
        <v>35.479999999999997</v>
      </c>
      <c r="L80" s="59">
        <v>30.45</v>
      </c>
      <c r="M80" s="59">
        <v>27.83</v>
      </c>
      <c r="N80" s="59">
        <v>9.6</v>
      </c>
      <c r="O80" s="59">
        <v>0</v>
      </c>
      <c r="P80" s="59">
        <v>1.64</v>
      </c>
      <c r="Q80" s="59">
        <v>24.84</v>
      </c>
      <c r="R80" s="197"/>
      <c r="S80" s="197"/>
      <c r="T80" s="197"/>
      <c r="U80" s="197"/>
    </row>
    <row r="81" spans="1:26" s="12" customFormat="1" x14ac:dyDescent="0.25">
      <c r="A81" s="200" t="s">
        <v>316</v>
      </c>
      <c r="B81" s="59">
        <v>46.93</v>
      </c>
      <c r="C81" s="59">
        <v>120.31</v>
      </c>
      <c r="D81" s="59">
        <v>102.99</v>
      </c>
      <c r="E81" s="59">
        <v>7.46</v>
      </c>
      <c r="F81" s="59">
        <v>4.9000000000000004</v>
      </c>
      <c r="G81" s="59">
        <v>46.39</v>
      </c>
      <c r="H81" s="59">
        <v>23.48</v>
      </c>
      <c r="I81" s="59">
        <v>0.66</v>
      </c>
      <c r="J81" s="59">
        <v>0.17</v>
      </c>
      <c r="K81" s="59">
        <v>21.47</v>
      </c>
      <c r="L81" s="59">
        <v>29.51</v>
      </c>
      <c r="M81" s="59">
        <v>30.63</v>
      </c>
      <c r="N81" s="59">
        <v>5.7</v>
      </c>
      <c r="O81" s="59">
        <v>0</v>
      </c>
      <c r="P81" s="59">
        <v>1.6</v>
      </c>
      <c r="Q81" s="59">
        <v>24.72</v>
      </c>
      <c r="R81" s="197"/>
      <c r="S81" s="197"/>
      <c r="T81" s="197"/>
      <c r="U81" s="197"/>
    </row>
    <row r="82" spans="1:26" s="12" customFormat="1" x14ac:dyDescent="0.25">
      <c r="A82" s="200" t="s">
        <v>317</v>
      </c>
      <c r="B82" s="59">
        <v>33.58</v>
      </c>
      <c r="C82" s="59">
        <v>118.86</v>
      </c>
      <c r="D82" s="59">
        <v>91.48</v>
      </c>
      <c r="E82" s="59">
        <v>6.29</v>
      </c>
      <c r="F82" s="59">
        <v>5.95</v>
      </c>
      <c r="G82" s="59">
        <v>46.39</v>
      </c>
      <c r="H82" s="59">
        <v>23.48</v>
      </c>
      <c r="I82" s="59">
        <v>0.8</v>
      </c>
      <c r="J82" s="59">
        <v>0.1</v>
      </c>
      <c r="K82" s="59">
        <v>55</v>
      </c>
      <c r="L82" s="59">
        <v>28.89</v>
      </c>
      <c r="M82" s="59">
        <v>32.19</v>
      </c>
      <c r="N82" s="59">
        <v>4.8</v>
      </c>
      <c r="O82" s="59">
        <v>0</v>
      </c>
      <c r="P82" s="59">
        <v>1.56</v>
      </c>
      <c r="Q82" s="59">
        <v>27.59</v>
      </c>
      <c r="R82" s="197"/>
      <c r="S82" s="197"/>
      <c r="T82" s="197"/>
      <c r="U82" s="197"/>
    </row>
    <row r="83" spans="1:26" s="12" customFormat="1" x14ac:dyDescent="0.25">
      <c r="A83" s="200" t="s">
        <v>318</v>
      </c>
      <c r="B83" s="59">
        <v>38.64</v>
      </c>
      <c r="C83" s="59">
        <v>122.54</v>
      </c>
      <c r="D83" s="59">
        <v>97.57</v>
      </c>
      <c r="E83" s="59">
        <v>9.18</v>
      </c>
      <c r="F83" s="59">
        <v>9.9</v>
      </c>
      <c r="G83" s="59">
        <v>119.8</v>
      </c>
      <c r="H83" s="59">
        <v>42.66</v>
      </c>
      <c r="I83" s="59">
        <v>0.76</v>
      </c>
      <c r="J83" s="59">
        <v>0.23</v>
      </c>
      <c r="K83" s="59">
        <v>16.95</v>
      </c>
      <c r="L83" s="59">
        <v>28.63</v>
      </c>
      <c r="M83" s="59">
        <v>33.75</v>
      </c>
      <c r="N83" s="59">
        <v>4.0999999999999996</v>
      </c>
      <c r="O83" s="59">
        <v>0</v>
      </c>
      <c r="P83" s="59">
        <v>2.0299999999999998</v>
      </c>
      <c r="Q83" s="59">
        <v>28.34</v>
      </c>
      <c r="R83" s="197"/>
      <c r="S83" s="197"/>
      <c r="T83" s="197"/>
      <c r="U83" s="197"/>
    </row>
    <row r="84" spans="1:26" s="12" customFormat="1" x14ac:dyDescent="0.25">
      <c r="A84" s="200" t="s">
        <v>319</v>
      </c>
      <c r="B84" s="59">
        <v>35.32</v>
      </c>
      <c r="C84" s="59">
        <v>134.55000000000001</v>
      </c>
      <c r="D84" s="59">
        <v>101.54</v>
      </c>
      <c r="E84" s="59">
        <v>23.31</v>
      </c>
      <c r="F84" s="59">
        <v>11.81</v>
      </c>
      <c r="G84" s="59">
        <v>154.69999999999999</v>
      </c>
      <c r="H84" s="59">
        <v>52.25</v>
      </c>
      <c r="I84" s="59">
        <v>0.73</v>
      </c>
      <c r="J84" s="59">
        <v>0.16</v>
      </c>
      <c r="K84" s="59">
        <v>26.06</v>
      </c>
      <c r="L84" s="59">
        <v>28.63</v>
      </c>
      <c r="M84" s="59">
        <v>34.200000000000003</v>
      </c>
      <c r="N84" s="59">
        <v>3.9</v>
      </c>
      <c r="O84" s="59">
        <v>0</v>
      </c>
      <c r="P84" s="59">
        <v>2.16</v>
      </c>
      <c r="Q84" s="59">
        <v>27.94</v>
      </c>
      <c r="R84" s="197"/>
      <c r="S84" s="197"/>
      <c r="T84" s="197"/>
      <c r="U84" s="197"/>
    </row>
    <row r="85" spans="1:26" s="12" customFormat="1" x14ac:dyDescent="0.25">
      <c r="A85" s="200" t="s">
        <v>320</v>
      </c>
      <c r="B85" s="59">
        <v>34.020000000000003</v>
      </c>
      <c r="C85" s="59">
        <v>137.69999999999999</v>
      </c>
      <c r="D85" s="59">
        <v>102.24</v>
      </c>
      <c r="E85" s="59">
        <v>22.75</v>
      </c>
      <c r="F85" s="59">
        <v>8.66</v>
      </c>
      <c r="G85" s="59">
        <v>154.69999999999999</v>
      </c>
      <c r="H85" s="59">
        <v>52.25</v>
      </c>
      <c r="I85" s="59">
        <v>0.86</v>
      </c>
      <c r="J85" s="59">
        <v>0.36</v>
      </c>
      <c r="K85" s="59">
        <v>110.71</v>
      </c>
      <c r="L85" s="59">
        <v>28.68</v>
      </c>
      <c r="M85" s="59">
        <v>35.79</v>
      </c>
      <c r="N85" s="59">
        <v>4</v>
      </c>
      <c r="O85" s="59">
        <v>0</v>
      </c>
      <c r="P85" s="59">
        <v>1.89</v>
      </c>
      <c r="Q85" s="59">
        <v>27.55</v>
      </c>
      <c r="R85" s="197"/>
      <c r="S85" s="197"/>
      <c r="T85" s="197"/>
      <c r="U85" s="197"/>
    </row>
    <row r="86" spans="1:26" s="12" customFormat="1" x14ac:dyDescent="0.25">
      <c r="A86" s="200" t="s">
        <v>321</v>
      </c>
      <c r="B86" s="59">
        <v>48.58</v>
      </c>
      <c r="C86" s="59">
        <v>130.99</v>
      </c>
      <c r="D86" s="59">
        <v>110.2</v>
      </c>
      <c r="E86" s="59">
        <v>15.38</v>
      </c>
      <c r="F86" s="59">
        <v>9.8000000000000007</v>
      </c>
      <c r="G86" s="59">
        <v>154.69999999999999</v>
      </c>
      <c r="H86" s="59">
        <v>52.25</v>
      </c>
      <c r="I86" s="59">
        <v>0.9</v>
      </c>
      <c r="J86" s="59">
        <v>0.26</v>
      </c>
      <c r="K86" s="59">
        <v>79.180000000000007</v>
      </c>
      <c r="L86" s="59">
        <v>28.97</v>
      </c>
      <c r="M86" s="59">
        <v>36.119999999999997</v>
      </c>
      <c r="N86" s="59">
        <v>3.7</v>
      </c>
      <c r="O86" s="59">
        <v>0</v>
      </c>
      <c r="P86" s="59">
        <v>2.15</v>
      </c>
      <c r="Q86" s="59">
        <v>27.05</v>
      </c>
      <c r="R86" s="197"/>
      <c r="S86" s="197"/>
      <c r="T86" s="197"/>
      <c r="U86" s="197"/>
    </row>
    <row r="87" spans="1:26" s="12" customFormat="1" x14ac:dyDescent="0.25">
      <c r="A87" s="200" t="s">
        <v>322</v>
      </c>
      <c r="B87" s="59">
        <v>78</v>
      </c>
      <c r="C87" s="59">
        <v>145.87</v>
      </c>
      <c r="D87" s="59">
        <v>142.01</v>
      </c>
      <c r="E87" s="59">
        <v>15.77</v>
      </c>
      <c r="F87" s="59">
        <v>4.97</v>
      </c>
      <c r="G87" s="59">
        <v>146.53</v>
      </c>
      <c r="H87" s="59">
        <v>59.57</v>
      </c>
      <c r="I87" s="59">
        <v>1.01</v>
      </c>
      <c r="J87" s="59">
        <v>0.15</v>
      </c>
      <c r="K87" s="59">
        <v>71.400000000000006</v>
      </c>
      <c r="L87" s="59">
        <v>27.75</v>
      </c>
      <c r="M87" s="59">
        <v>42.61</v>
      </c>
      <c r="N87" s="59">
        <v>4.8</v>
      </c>
      <c r="O87" s="59">
        <v>0</v>
      </c>
      <c r="P87" s="59">
        <v>2.71</v>
      </c>
      <c r="Q87" s="59">
        <v>26.24</v>
      </c>
      <c r="R87" s="197"/>
      <c r="S87" s="197"/>
      <c r="T87" s="197"/>
      <c r="U87" s="197"/>
    </row>
    <row r="88" spans="1:26" s="12" customFormat="1" x14ac:dyDescent="0.25">
      <c r="A88" s="200" t="s">
        <v>323</v>
      </c>
      <c r="B88" s="59">
        <v>73.069999999999993</v>
      </c>
      <c r="C88" s="59">
        <v>148.32</v>
      </c>
      <c r="D88" s="59">
        <v>139.41</v>
      </c>
      <c r="E88" s="59">
        <v>9.17</v>
      </c>
      <c r="F88" s="59">
        <v>4.76</v>
      </c>
      <c r="G88" s="59">
        <v>142.44999999999999</v>
      </c>
      <c r="H88" s="59">
        <v>63.23</v>
      </c>
      <c r="I88" s="59">
        <v>1.1299999999999999</v>
      </c>
      <c r="J88" s="59">
        <v>0.13</v>
      </c>
      <c r="K88" s="59">
        <v>72.45</v>
      </c>
      <c r="L88" s="59">
        <v>27.32</v>
      </c>
      <c r="M88" s="59">
        <v>40.64</v>
      </c>
      <c r="N88" s="59">
        <v>4.5</v>
      </c>
      <c r="O88" s="59">
        <v>0</v>
      </c>
      <c r="P88" s="59">
        <v>2.4500000000000002</v>
      </c>
      <c r="Q88" s="59">
        <v>26.92</v>
      </c>
      <c r="R88" s="197"/>
      <c r="S88" s="197"/>
      <c r="T88" s="197"/>
      <c r="U88" s="197"/>
    </row>
    <row r="89" spans="1:26" s="12" customFormat="1" x14ac:dyDescent="0.25">
      <c r="A89" s="200" t="s">
        <v>324</v>
      </c>
      <c r="B89" s="59">
        <v>84.04</v>
      </c>
      <c r="C89" s="59">
        <v>140.54</v>
      </c>
      <c r="D89" s="59">
        <v>143.91999999999999</v>
      </c>
      <c r="E89" s="59">
        <v>11.82</v>
      </c>
      <c r="F89" s="59">
        <v>4.72</v>
      </c>
      <c r="G89" s="59">
        <v>142.44999999999999</v>
      </c>
      <c r="H89" s="59">
        <v>63.23</v>
      </c>
      <c r="I89" s="59">
        <v>1.27</v>
      </c>
      <c r="J89" s="59">
        <v>0.15</v>
      </c>
      <c r="K89" s="59">
        <v>45.17</v>
      </c>
      <c r="L89" s="59">
        <v>26.93</v>
      </c>
      <c r="M89" s="59">
        <v>45.09</v>
      </c>
      <c r="N89" s="59">
        <v>4.5</v>
      </c>
      <c r="O89" s="59">
        <v>0</v>
      </c>
      <c r="P89" s="59">
        <v>3.17</v>
      </c>
      <c r="Q89" s="59">
        <v>27.92</v>
      </c>
      <c r="R89" s="197"/>
      <c r="S89" s="197"/>
      <c r="T89" s="197"/>
      <c r="U89" s="197"/>
    </row>
    <row r="90" spans="1:26" s="12" customFormat="1" x14ac:dyDescent="0.25">
      <c r="A90" s="200" t="s">
        <v>325</v>
      </c>
      <c r="B90" s="59">
        <v>92.62</v>
      </c>
      <c r="C90" s="59">
        <v>144.80000000000001</v>
      </c>
      <c r="D90" s="59">
        <v>153.13999999999999</v>
      </c>
      <c r="E90" s="59">
        <v>12.35</v>
      </c>
      <c r="F90" s="59">
        <v>4.59</v>
      </c>
      <c r="G90" s="59">
        <v>142.44999999999999</v>
      </c>
      <c r="H90" s="59">
        <v>63.23</v>
      </c>
      <c r="I90" s="59">
        <v>1.25</v>
      </c>
      <c r="J90" s="59">
        <v>0.11</v>
      </c>
      <c r="K90" s="59">
        <v>28.78</v>
      </c>
      <c r="L90" s="59">
        <v>26.64</v>
      </c>
      <c r="M90" s="59">
        <v>46.29</v>
      </c>
      <c r="N90" s="59">
        <v>4.5</v>
      </c>
      <c r="O90" s="59">
        <v>0</v>
      </c>
      <c r="P90" s="59">
        <v>3.5</v>
      </c>
      <c r="Q90" s="59">
        <v>28.54</v>
      </c>
      <c r="R90" s="197"/>
      <c r="S90" s="197"/>
      <c r="T90" s="197"/>
      <c r="U90" s="197"/>
    </row>
    <row r="91" spans="1:26" s="12" customFormat="1" x14ac:dyDescent="0.25">
      <c r="A91" s="200" t="s">
        <v>326</v>
      </c>
      <c r="B91" s="59">
        <v>83.45</v>
      </c>
      <c r="C91" s="59">
        <v>136.16999999999999</v>
      </c>
      <c r="D91" s="59">
        <v>141.03</v>
      </c>
      <c r="E91" s="59">
        <v>8.77</v>
      </c>
      <c r="F91" s="59">
        <v>4.6900000000000004</v>
      </c>
      <c r="G91" s="59">
        <v>184.35</v>
      </c>
      <c r="H91" s="59">
        <v>66.209999999999994</v>
      </c>
      <c r="I91" s="59">
        <v>1.35</v>
      </c>
      <c r="J91" s="59">
        <v>0.04</v>
      </c>
      <c r="K91" s="59">
        <v>67.56</v>
      </c>
      <c r="L91" s="59">
        <v>26.23</v>
      </c>
      <c r="M91" s="59">
        <v>47.44</v>
      </c>
      <c r="N91" s="59">
        <v>4.7</v>
      </c>
      <c r="O91" s="59">
        <v>0</v>
      </c>
      <c r="P91" s="59">
        <v>2.67</v>
      </c>
      <c r="Q91" s="59">
        <v>29.86</v>
      </c>
      <c r="R91" s="197"/>
      <c r="S91" s="197"/>
      <c r="T91" s="197"/>
      <c r="U91" s="197"/>
    </row>
    <row r="92" spans="1:26" s="12" customFormat="1" x14ac:dyDescent="0.25">
      <c r="A92" s="200" t="s">
        <v>327</v>
      </c>
      <c r="B92" s="59">
        <v>94.53</v>
      </c>
      <c r="C92" s="59">
        <v>139.32</v>
      </c>
      <c r="D92" s="59">
        <v>151.65</v>
      </c>
      <c r="E92" s="59">
        <v>6.65</v>
      </c>
      <c r="F92" s="59">
        <v>4.5999999999999996</v>
      </c>
      <c r="G92" s="59">
        <v>205.3</v>
      </c>
      <c r="H92" s="59">
        <v>67.7</v>
      </c>
      <c r="I92" s="59">
        <v>1.42</v>
      </c>
      <c r="J92" s="59">
        <v>0.15</v>
      </c>
      <c r="K92" s="59">
        <v>26.66</v>
      </c>
      <c r="L92" s="59">
        <v>26.06</v>
      </c>
      <c r="M92" s="59">
        <v>47.34</v>
      </c>
      <c r="N92" s="59">
        <v>4.5</v>
      </c>
      <c r="O92" s="59">
        <v>0</v>
      </c>
      <c r="P92" s="59">
        <v>2.84</v>
      </c>
      <c r="Q92" s="59">
        <v>32.58</v>
      </c>
      <c r="R92" s="197"/>
      <c r="S92" s="197"/>
      <c r="T92" s="197"/>
      <c r="U92" s="197"/>
    </row>
    <row r="93" spans="1:26" s="12" customFormat="1" x14ac:dyDescent="0.25">
      <c r="A93" s="200" t="s">
        <v>328</v>
      </c>
      <c r="B93" s="59">
        <v>86.32</v>
      </c>
      <c r="C93" s="59">
        <v>135.44999999999999</v>
      </c>
      <c r="D93" s="59">
        <v>142.94</v>
      </c>
      <c r="E93" s="59">
        <v>4.8099999999999996</v>
      </c>
      <c r="F93" s="59">
        <v>4.43</v>
      </c>
      <c r="G93" s="59">
        <v>205.3</v>
      </c>
      <c r="H93" s="59">
        <v>67.7</v>
      </c>
      <c r="I93" s="59">
        <v>1.36</v>
      </c>
      <c r="J93" s="59">
        <v>0.15</v>
      </c>
      <c r="K93" s="59">
        <v>0.46</v>
      </c>
      <c r="L93" s="59">
        <v>25.98</v>
      </c>
      <c r="M93" s="59">
        <v>48.48</v>
      </c>
      <c r="N93" s="59">
        <v>4.2</v>
      </c>
      <c r="O93" s="59">
        <v>0</v>
      </c>
      <c r="P93" s="59">
        <v>2.78</v>
      </c>
      <c r="Q93" s="59">
        <v>34.5</v>
      </c>
      <c r="R93" s="197"/>
      <c r="S93" s="197"/>
      <c r="T93" s="197"/>
      <c r="U93" s="197"/>
    </row>
    <row r="94" spans="1:26" s="12" customFormat="1" x14ac:dyDescent="0.25">
      <c r="A94" s="200" t="s">
        <v>329</v>
      </c>
      <c r="B94" s="59">
        <v>84.22</v>
      </c>
      <c r="C94" s="59">
        <v>138.28</v>
      </c>
      <c r="D94" s="59">
        <v>142.81</v>
      </c>
      <c r="E94" s="59">
        <v>4.5999999999999996</v>
      </c>
      <c r="F94" s="59">
        <v>4.37</v>
      </c>
      <c r="G94" s="59">
        <v>205.3</v>
      </c>
      <c r="H94" s="59">
        <v>67.7</v>
      </c>
      <c r="I94" s="59">
        <v>1.35</v>
      </c>
      <c r="J94" s="59">
        <v>0.11</v>
      </c>
      <c r="K94" s="59">
        <v>47.65</v>
      </c>
      <c r="L94" s="59">
        <v>26.56</v>
      </c>
      <c r="M94" s="59">
        <v>43.15</v>
      </c>
      <c r="N94" s="59">
        <v>3.8</v>
      </c>
      <c r="O94" s="59">
        <v>0</v>
      </c>
      <c r="P94" s="59">
        <v>2.86</v>
      </c>
      <c r="Q94" s="59">
        <v>35.590000000000003</v>
      </c>
      <c r="R94" s="197"/>
      <c r="S94" s="197"/>
      <c r="T94" s="197"/>
      <c r="U94" s="197"/>
    </row>
    <row r="95" spans="1:26" s="12" customFormat="1" x14ac:dyDescent="0.25">
      <c r="A95" s="200" t="s">
        <v>330</v>
      </c>
      <c r="B95" s="59">
        <v>85.91</v>
      </c>
      <c r="C95" s="59">
        <v>141.80000000000001</v>
      </c>
      <c r="D95" s="59">
        <v>146.1</v>
      </c>
      <c r="E95" s="59">
        <v>5.88</v>
      </c>
      <c r="F95" s="59">
        <v>4.3499999999999996</v>
      </c>
      <c r="G95" s="59">
        <v>209.21</v>
      </c>
      <c r="H95" s="59">
        <v>69.849999999999994</v>
      </c>
      <c r="I95" s="59">
        <v>1.36</v>
      </c>
      <c r="J95" s="59">
        <v>0.2</v>
      </c>
      <c r="K95" s="59">
        <v>33.53</v>
      </c>
      <c r="L95" s="59">
        <v>26.57</v>
      </c>
      <c r="M95" s="59">
        <v>42.99</v>
      </c>
      <c r="N95" s="59">
        <v>4.3</v>
      </c>
      <c r="O95" s="59">
        <v>0</v>
      </c>
      <c r="P95" s="59">
        <v>3</v>
      </c>
      <c r="Q95" s="59">
        <v>35.47</v>
      </c>
      <c r="R95" s="197"/>
      <c r="S95" s="197"/>
      <c r="T95" s="197"/>
      <c r="U95" s="197"/>
    </row>
    <row r="96" spans="1:26" s="12" customFormat="1" x14ac:dyDescent="0.25">
      <c r="A96" s="200" t="s">
        <v>331</v>
      </c>
      <c r="B96" s="59">
        <v>82.16</v>
      </c>
      <c r="C96" s="59">
        <v>139.66999999999999</v>
      </c>
      <c r="D96" s="59">
        <v>141.93</v>
      </c>
      <c r="E96" s="59">
        <v>5.47</v>
      </c>
      <c r="F96" s="59">
        <v>4.75</v>
      </c>
      <c r="G96" s="59">
        <v>211.07</v>
      </c>
      <c r="H96" s="59">
        <v>70.92</v>
      </c>
      <c r="I96" s="59">
        <v>1.35</v>
      </c>
      <c r="J96" s="59">
        <v>0.37</v>
      </c>
      <c r="K96" s="59">
        <v>19.09</v>
      </c>
      <c r="L96" s="59">
        <v>26.28</v>
      </c>
      <c r="M96" s="59">
        <v>45.49</v>
      </c>
      <c r="N96" s="59">
        <v>4.2</v>
      </c>
      <c r="O96" s="59">
        <v>0</v>
      </c>
      <c r="P96" s="59">
        <v>2.96</v>
      </c>
      <c r="Q96" s="59">
        <v>35.729999999999997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332</v>
      </c>
      <c r="B97" s="59">
        <v>78.849999999999994</v>
      </c>
      <c r="C97" s="59">
        <v>137.31</v>
      </c>
      <c r="D97" s="59">
        <v>137.97</v>
      </c>
      <c r="E97" s="59">
        <v>5.6</v>
      </c>
      <c r="F97" s="59">
        <v>5.0599999999999996</v>
      </c>
      <c r="G97" s="59">
        <v>211.07</v>
      </c>
      <c r="H97" s="59">
        <v>70.92</v>
      </c>
      <c r="I97" s="59">
        <v>1.35</v>
      </c>
      <c r="J97" s="59">
        <v>0.91</v>
      </c>
      <c r="K97" s="59">
        <v>17.78</v>
      </c>
      <c r="L97" s="59">
        <v>26.38</v>
      </c>
      <c r="M97" s="59">
        <v>44.78</v>
      </c>
      <c r="N97" s="59">
        <v>2.9</v>
      </c>
      <c r="O97" s="59">
        <v>0</v>
      </c>
      <c r="P97" s="59">
        <v>2.95</v>
      </c>
      <c r="Q97" s="59">
        <v>35.75</v>
      </c>
      <c r="R97" s="197"/>
      <c r="S97" s="197"/>
      <c r="T97" s="197"/>
      <c r="U97" s="197"/>
    </row>
    <row r="98" spans="1:33" s="12" customFormat="1" x14ac:dyDescent="0.25">
      <c r="A98" s="200" t="s">
        <v>333</v>
      </c>
      <c r="B98" s="59">
        <v>71.89</v>
      </c>
      <c r="C98" s="59">
        <v>134.79</v>
      </c>
      <c r="D98" s="59">
        <v>130.99</v>
      </c>
      <c r="E98" s="59">
        <v>10.199999999999999</v>
      </c>
      <c r="F98" s="59">
        <v>7.2</v>
      </c>
      <c r="G98" s="59">
        <v>211.07</v>
      </c>
      <c r="H98" s="59">
        <v>70.92</v>
      </c>
      <c r="I98" s="59">
        <v>1.35</v>
      </c>
      <c r="J98" s="59">
        <v>0.91</v>
      </c>
      <c r="K98" s="59">
        <v>14.24</v>
      </c>
      <c r="L98" s="59">
        <v>26.73</v>
      </c>
      <c r="M98" s="59">
        <v>40.22</v>
      </c>
      <c r="N98" s="59">
        <v>3.4</v>
      </c>
      <c r="O98" s="59">
        <v>0</v>
      </c>
      <c r="P98" s="59">
        <v>2.84</v>
      </c>
      <c r="Q98" s="59">
        <v>35.1</v>
      </c>
      <c r="R98" s="197"/>
      <c r="S98" s="197"/>
      <c r="T98" s="197"/>
      <c r="U98" s="197"/>
    </row>
    <row r="99" spans="1:33" s="12" customFormat="1" x14ac:dyDescent="0.25">
      <c r="A99" s="200" t="s">
        <v>334</v>
      </c>
      <c r="B99" s="59">
        <v>64.540000000000006</v>
      </c>
      <c r="C99" s="59">
        <v>134.80000000000001</v>
      </c>
      <c r="D99" s="59">
        <v>125.11</v>
      </c>
      <c r="E99" s="59">
        <v>18.2</v>
      </c>
      <c r="F99" s="59">
        <v>9.24</v>
      </c>
      <c r="G99" s="59">
        <v>166.84</v>
      </c>
      <c r="H99" s="59">
        <v>71.59</v>
      </c>
      <c r="I99" s="59">
        <v>1.32</v>
      </c>
      <c r="J99" s="59">
        <v>0.82</v>
      </c>
      <c r="K99" s="59">
        <v>17.899999999999999</v>
      </c>
      <c r="L99" s="59">
        <v>26.7</v>
      </c>
      <c r="M99" s="59">
        <v>40.159999999999997</v>
      </c>
      <c r="N99" s="59">
        <v>4.0999999999999996</v>
      </c>
      <c r="O99" s="59">
        <v>0</v>
      </c>
      <c r="P99" s="59">
        <v>2.75</v>
      </c>
      <c r="Q99" s="59">
        <v>34.159999999999997</v>
      </c>
      <c r="R99" s="197"/>
      <c r="S99" s="197"/>
      <c r="T99" s="197"/>
      <c r="U99" s="197"/>
    </row>
    <row r="100" spans="1:33" s="12" customFormat="1" x14ac:dyDescent="0.25">
      <c r="A100" s="200" t="s">
        <v>335</v>
      </c>
      <c r="B100" s="59">
        <v>63.07</v>
      </c>
      <c r="C100" s="59">
        <v>134.82</v>
      </c>
      <c r="D100" s="59">
        <v>123.94</v>
      </c>
      <c r="E100" s="59">
        <v>8.56</v>
      </c>
      <c r="F100" s="59">
        <v>8.25</v>
      </c>
      <c r="G100" s="59">
        <v>145.81</v>
      </c>
      <c r="H100" s="59">
        <v>71.92</v>
      </c>
      <c r="I100" s="59">
        <v>1.27</v>
      </c>
      <c r="J100" s="59">
        <v>1.74</v>
      </c>
      <c r="K100" s="59">
        <v>21.55</v>
      </c>
      <c r="L100" s="59">
        <v>26.87</v>
      </c>
      <c r="M100" s="59">
        <v>38.97</v>
      </c>
      <c r="N100" s="59">
        <v>3.6</v>
      </c>
      <c r="O100" s="59">
        <v>0</v>
      </c>
      <c r="P100" s="59">
        <v>2.68</v>
      </c>
      <c r="Q100" s="59">
        <v>33.54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336</v>
      </c>
      <c r="B101" s="59">
        <v>53.19</v>
      </c>
      <c r="C101" s="59">
        <v>129.66</v>
      </c>
      <c r="D101" s="59">
        <v>113.17</v>
      </c>
      <c r="E101" s="59">
        <v>10.66</v>
      </c>
      <c r="F101" s="59">
        <v>10.45</v>
      </c>
      <c r="G101" s="59">
        <v>145.81</v>
      </c>
      <c r="H101" s="59">
        <v>71.92</v>
      </c>
      <c r="I101" s="59">
        <v>1.23</v>
      </c>
      <c r="J101" s="59">
        <v>1.1499999999999999</v>
      </c>
      <c r="K101" s="59">
        <v>17.190000000000001</v>
      </c>
      <c r="L101" s="59">
        <v>26.97</v>
      </c>
      <c r="M101" s="59">
        <v>37.94</v>
      </c>
      <c r="N101" s="59">
        <v>4.5</v>
      </c>
      <c r="O101" s="59">
        <v>0</v>
      </c>
      <c r="P101" s="59">
        <v>2.4900000000000002</v>
      </c>
      <c r="Q101" s="59">
        <v>33.11</v>
      </c>
      <c r="R101" s="197"/>
      <c r="S101" s="197"/>
      <c r="T101" s="197"/>
      <c r="U101" s="197"/>
    </row>
    <row r="102" spans="1:33" s="12" customFormat="1" x14ac:dyDescent="0.25">
      <c r="A102" s="200" t="s">
        <v>337</v>
      </c>
      <c r="B102" s="59">
        <v>47.63</v>
      </c>
      <c r="C102" s="59">
        <v>128.78</v>
      </c>
      <c r="D102" s="59">
        <v>108.22</v>
      </c>
      <c r="E102" s="59">
        <v>20.3</v>
      </c>
      <c r="F102" s="59">
        <v>11.61</v>
      </c>
      <c r="G102" s="59">
        <v>145.81</v>
      </c>
      <c r="H102" s="59">
        <v>71.92</v>
      </c>
      <c r="I102" s="59">
        <v>1.22</v>
      </c>
      <c r="J102" s="59">
        <v>1</v>
      </c>
      <c r="K102" s="59">
        <v>17.82</v>
      </c>
      <c r="L102" s="59">
        <v>27.01</v>
      </c>
      <c r="M102" s="59">
        <v>37.200000000000003</v>
      </c>
      <c r="N102" s="59">
        <v>4.3</v>
      </c>
      <c r="O102" s="59">
        <v>0</v>
      </c>
      <c r="P102" s="59">
        <v>2.4500000000000002</v>
      </c>
      <c r="Q102" s="59">
        <v>32.76</v>
      </c>
      <c r="R102" s="197"/>
      <c r="S102" s="197"/>
      <c r="T102" s="197"/>
      <c r="U102" s="197"/>
    </row>
    <row r="103" spans="1:33" s="12" customFormat="1" x14ac:dyDescent="0.25">
      <c r="A103" s="200" t="s">
        <v>338</v>
      </c>
      <c r="B103" s="59">
        <v>42.49</v>
      </c>
      <c r="C103" s="59">
        <v>127.24</v>
      </c>
      <c r="D103" s="59">
        <v>103.25</v>
      </c>
      <c r="E103" s="59">
        <v>31.95</v>
      </c>
      <c r="F103" s="59">
        <v>12.3</v>
      </c>
      <c r="G103" s="59">
        <v>124.42</v>
      </c>
      <c r="H103" s="59">
        <v>64.25</v>
      </c>
      <c r="I103" s="59">
        <v>1.1499999999999999</v>
      </c>
      <c r="J103" s="59">
        <v>0.93</v>
      </c>
      <c r="K103" s="59">
        <v>18.55</v>
      </c>
      <c r="L103" s="59">
        <v>26.79</v>
      </c>
      <c r="M103" s="59">
        <v>38.03</v>
      </c>
      <c r="N103" s="59">
        <v>4.3</v>
      </c>
      <c r="O103" s="59">
        <v>0</v>
      </c>
      <c r="P103" s="59">
        <v>2.46</v>
      </c>
      <c r="Q103" s="59">
        <v>32.369999999999997</v>
      </c>
      <c r="R103" s="197"/>
      <c r="S103" s="197"/>
      <c r="T103" s="197"/>
      <c r="U103" s="197"/>
    </row>
    <row r="104" spans="1:33" s="12" customFormat="1" x14ac:dyDescent="0.25">
      <c r="A104" s="200" t="s">
        <v>339</v>
      </c>
      <c r="B104" s="59">
        <v>38.56</v>
      </c>
      <c r="C104" s="59">
        <v>122.74</v>
      </c>
      <c r="D104" s="59">
        <v>97.61</v>
      </c>
      <c r="E104" s="59">
        <v>18.809999999999999</v>
      </c>
      <c r="F104" s="59">
        <v>12.52</v>
      </c>
      <c r="G104" s="59">
        <v>114.24</v>
      </c>
      <c r="H104" s="59">
        <v>60.41</v>
      </c>
      <c r="I104" s="59">
        <v>1.05</v>
      </c>
      <c r="J104" s="59">
        <v>1.05</v>
      </c>
      <c r="K104" s="59">
        <v>15.98</v>
      </c>
      <c r="L104" s="59">
        <v>26.73</v>
      </c>
      <c r="M104" s="59">
        <v>37.299999999999997</v>
      </c>
      <c r="N104" s="59">
        <v>4.2</v>
      </c>
      <c r="O104" s="59">
        <v>0</v>
      </c>
      <c r="P104" s="59">
        <v>2.35</v>
      </c>
      <c r="Q104" s="59">
        <v>32.119999999999997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1.3</v>
      </c>
      <c r="C106" s="66">
        <f>MIN(C9:C104)</f>
        <v>55.97</v>
      </c>
      <c r="D106" s="66">
        <f t="shared" ref="D106:Q106" si="0">MIN(D9:D104)</f>
        <v>31.11</v>
      </c>
      <c r="E106" s="66">
        <f t="shared" si="0"/>
        <v>2.95</v>
      </c>
      <c r="F106" s="66">
        <f t="shared" si="0"/>
        <v>4.3</v>
      </c>
      <c r="G106" s="66">
        <f t="shared" si="0"/>
        <v>34.85</v>
      </c>
      <c r="H106" s="66">
        <f t="shared" si="0"/>
        <v>14.41</v>
      </c>
      <c r="I106" s="66">
        <f t="shared" si="0"/>
        <v>0.47</v>
      </c>
      <c r="J106" s="66">
        <f t="shared" si="0"/>
        <v>0.03</v>
      </c>
      <c r="K106" s="66">
        <f t="shared" si="0"/>
        <v>0.46</v>
      </c>
      <c r="L106" s="66">
        <f t="shared" si="0"/>
        <v>20.05</v>
      </c>
      <c r="M106" s="66">
        <f t="shared" si="0"/>
        <v>15.69</v>
      </c>
      <c r="N106" s="66">
        <f t="shared" si="0"/>
        <v>2.9</v>
      </c>
      <c r="O106" s="66">
        <f t="shared" si="0"/>
        <v>0</v>
      </c>
      <c r="P106" s="66">
        <f t="shared" si="0"/>
        <v>0.53</v>
      </c>
      <c r="Q106" s="66">
        <f t="shared" si="0"/>
        <v>15.5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113.61</v>
      </c>
      <c r="C107" s="65">
        <f t="shared" ref="C107:Q107" si="1">MAX(C9:C104)</f>
        <v>148.32</v>
      </c>
      <c r="D107" s="65">
        <f t="shared" si="1"/>
        <v>161.25</v>
      </c>
      <c r="E107" s="65">
        <f t="shared" si="1"/>
        <v>31.95</v>
      </c>
      <c r="F107" s="65">
        <f t="shared" si="1"/>
        <v>63.33</v>
      </c>
      <c r="G107" s="65">
        <f t="shared" si="1"/>
        <v>296.77999999999997</v>
      </c>
      <c r="H107" s="65">
        <f t="shared" si="1"/>
        <v>136.25</v>
      </c>
      <c r="I107" s="65">
        <f t="shared" si="1"/>
        <v>1.53</v>
      </c>
      <c r="J107" s="65">
        <f t="shared" si="1"/>
        <v>1.74</v>
      </c>
      <c r="K107" s="65">
        <f t="shared" si="1"/>
        <v>359.51</v>
      </c>
      <c r="L107" s="65">
        <f t="shared" si="1"/>
        <v>37.08</v>
      </c>
      <c r="M107" s="65">
        <f t="shared" si="1"/>
        <v>70.099999999999994</v>
      </c>
      <c r="N107" s="65">
        <f t="shared" si="1"/>
        <v>497.7</v>
      </c>
      <c r="O107" s="65">
        <f t="shared" si="1"/>
        <v>0</v>
      </c>
      <c r="P107" s="65">
        <f t="shared" si="1"/>
        <v>3.5</v>
      </c>
      <c r="Q107" s="65">
        <f t="shared" si="1"/>
        <v>37.31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52.425208333333309</v>
      </c>
      <c r="C108" s="66">
        <f t="shared" ref="C108:Q108" si="2">AVERAGE(C9:C104)</f>
        <v>108.04760416666669</v>
      </c>
      <c r="D108" s="66">
        <f t="shared" si="2"/>
        <v>100.62760416666667</v>
      </c>
      <c r="E108" s="66">
        <f t="shared" si="2"/>
        <v>8.5639583333333302</v>
      </c>
      <c r="F108" s="66">
        <f t="shared" si="2"/>
        <v>11.576770833333329</v>
      </c>
      <c r="G108" s="66">
        <f t="shared" si="2"/>
        <v>129.99791666666661</v>
      </c>
      <c r="H108" s="66">
        <f t="shared" si="2"/>
        <v>59.900416666666615</v>
      </c>
      <c r="I108" s="66">
        <f t="shared" si="2"/>
        <v>0.9708333333333331</v>
      </c>
      <c r="J108" s="66">
        <f t="shared" si="2"/>
        <v>0.35687499999999989</v>
      </c>
      <c r="K108" s="66">
        <f t="shared" si="2"/>
        <v>137.02812499999999</v>
      </c>
      <c r="L108" s="66">
        <f t="shared" si="2"/>
        <v>27.924479166666668</v>
      </c>
      <c r="M108" s="66">
        <f t="shared" si="2"/>
        <v>39.751249999999992</v>
      </c>
      <c r="N108" s="66">
        <f t="shared" si="2"/>
        <v>141.99479166666666</v>
      </c>
      <c r="O108" s="66">
        <f t="shared" si="2"/>
        <v>0</v>
      </c>
      <c r="P108" s="66">
        <f t="shared" si="2"/>
        <v>1.9126041666666664</v>
      </c>
      <c r="Q108" s="66">
        <f t="shared" si="2"/>
        <v>30.007916666666677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36.063853750321307</v>
      </c>
      <c r="C109" s="66">
        <f t="shared" ref="C109:Q109" si="3">STDEV(C9:C104)</f>
        <v>28.253751897842207</v>
      </c>
      <c r="D109" s="66">
        <f t="shared" si="3"/>
        <v>42.200419372942129</v>
      </c>
      <c r="E109" s="66">
        <f t="shared" si="3"/>
        <v>5.5348742160702553</v>
      </c>
      <c r="F109" s="66">
        <f t="shared" si="3"/>
        <v>11.256451857050147</v>
      </c>
      <c r="G109" s="66">
        <f t="shared" si="3"/>
        <v>64.641219453659488</v>
      </c>
      <c r="H109" s="66">
        <f t="shared" si="3"/>
        <v>27.770264972928761</v>
      </c>
      <c r="I109" s="66">
        <f t="shared" si="3"/>
        <v>0.332985432482586</v>
      </c>
      <c r="J109" s="66">
        <f t="shared" si="3"/>
        <v>0.33755876681347152</v>
      </c>
      <c r="K109" s="66">
        <f t="shared" si="3"/>
        <v>119.47526973626228</v>
      </c>
      <c r="L109" s="66">
        <f t="shared" si="3"/>
        <v>5.4810995573384913</v>
      </c>
      <c r="M109" s="66">
        <f t="shared" si="3"/>
        <v>16.573061480671157</v>
      </c>
      <c r="N109" s="66">
        <f t="shared" si="3"/>
        <v>186.2107105121234</v>
      </c>
      <c r="O109" s="66">
        <f t="shared" si="3"/>
        <v>0</v>
      </c>
      <c r="P109" s="66">
        <f t="shared" si="3"/>
        <v>0.82141372970682558</v>
      </c>
      <c r="Q109" s="66">
        <f t="shared" si="3"/>
        <v>6.4220373741583705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>COUNT(I9:I104)</f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A105" sqref="A10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02-03-2023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340</v>
      </c>
      <c r="B9" s="59">
        <v>39.32</v>
      </c>
      <c r="C9" s="59">
        <v>129.52000000000001</v>
      </c>
      <c r="D9" s="59">
        <v>101.97</v>
      </c>
      <c r="E9" s="59">
        <v>10.57</v>
      </c>
      <c r="F9" s="59">
        <v>6.96</v>
      </c>
      <c r="G9" s="59">
        <v>114.24</v>
      </c>
      <c r="H9" s="59">
        <v>60.41</v>
      </c>
      <c r="I9" s="59">
        <v>1.02</v>
      </c>
      <c r="J9" s="59">
        <v>0.78</v>
      </c>
      <c r="K9" s="59">
        <v>16.440000000000001</v>
      </c>
      <c r="L9" s="59">
        <v>26.47</v>
      </c>
      <c r="M9" s="59">
        <v>38.1</v>
      </c>
      <c r="N9" s="59">
        <v>4.5</v>
      </c>
      <c r="O9" s="59">
        <v>0</v>
      </c>
      <c r="P9" s="59">
        <v>2.36</v>
      </c>
      <c r="Q9" s="59">
        <v>32.08</v>
      </c>
      <c r="R9" s="197"/>
      <c r="S9" s="197"/>
      <c r="T9" s="197"/>
      <c r="U9" s="197"/>
    </row>
    <row r="10" spans="1:21" s="12" customFormat="1" x14ac:dyDescent="0.25">
      <c r="A10" s="200" t="s">
        <v>341</v>
      </c>
      <c r="B10" s="59">
        <v>36.979999999999997</v>
      </c>
      <c r="C10" s="59">
        <v>130.41999999999999</v>
      </c>
      <c r="D10" s="59">
        <v>100.59</v>
      </c>
      <c r="E10" s="59">
        <v>8.94</v>
      </c>
      <c r="F10" s="59">
        <v>5.04</v>
      </c>
      <c r="G10" s="59">
        <v>114.24</v>
      </c>
      <c r="H10" s="59">
        <v>60.41</v>
      </c>
      <c r="I10" s="59">
        <v>1.01</v>
      </c>
      <c r="J10" s="59">
        <v>0.81</v>
      </c>
      <c r="K10" s="59">
        <v>16.8</v>
      </c>
      <c r="L10" s="59">
        <v>26.1</v>
      </c>
      <c r="M10" s="59">
        <v>40.25</v>
      </c>
      <c r="N10" s="59">
        <v>4.5</v>
      </c>
      <c r="O10" s="59">
        <v>0</v>
      </c>
      <c r="P10" s="59">
        <v>2.2999999999999998</v>
      </c>
      <c r="Q10" s="59">
        <v>32.92</v>
      </c>
      <c r="R10" s="197"/>
      <c r="S10" s="197"/>
      <c r="T10" s="197"/>
      <c r="U10" s="197"/>
    </row>
    <row r="11" spans="1:21" s="12" customFormat="1" x14ac:dyDescent="0.25">
      <c r="A11" s="200" t="s">
        <v>342</v>
      </c>
      <c r="B11" s="59">
        <v>33.6</v>
      </c>
      <c r="C11" s="59">
        <v>129.82</v>
      </c>
      <c r="D11" s="59">
        <v>97.55</v>
      </c>
      <c r="E11" s="59">
        <v>9.84</v>
      </c>
      <c r="F11" s="59">
        <v>4.8099999999999996</v>
      </c>
      <c r="G11" s="59">
        <v>113.88</v>
      </c>
      <c r="H11" s="59">
        <v>56.96</v>
      </c>
      <c r="I11" s="59">
        <v>1.03</v>
      </c>
      <c r="J11" s="59">
        <v>0.69</v>
      </c>
      <c r="K11" s="59">
        <v>16.760000000000002</v>
      </c>
      <c r="L11" s="59">
        <v>25.72</v>
      </c>
      <c r="M11" s="59">
        <v>42.09</v>
      </c>
      <c r="N11" s="59">
        <v>4.5999999999999996</v>
      </c>
      <c r="O11" s="59">
        <v>0</v>
      </c>
      <c r="P11" s="59">
        <v>2.23</v>
      </c>
      <c r="Q11" s="59">
        <v>33.049999999999997</v>
      </c>
      <c r="R11" s="197"/>
      <c r="S11" s="197"/>
      <c r="T11" s="197"/>
      <c r="U11" s="197"/>
    </row>
    <row r="12" spans="1:21" s="12" customFormat="1" x14ac:dyDescent="0.25">
      <c r="A12" s="200" t="s">
        <v>343</v>
      </c>
      <c r="B12" s="59">
        <v>31.46</v>
      </c>
      <c r="C12" s="59">
        <v>129.56</v>
      </c>
      <c r="D12" s="59">
        <v>95.69</v>
      </c>
      <c r="E12" s="59">
        <v>8.74</v>
      </c>
      <c r="F12" s="59">
        <v>4.37</v>
      </c>
      <c r="G12" s="59">
        <v>113.7</v>
      </c>
      <c r="H12" s="59">
        <v>55.32</v>
      </c>
      <c r="I12" s="59">
        <v>0.95</v>
      </c>
      <c r="J12" s="59">
        <v>0.63</v>
      </c>
      <c r="K12" s="59">
        <v>17.96</v>
      </c>
      <c r="L12" s="59">
        <v>25.44</v>
      </c>
      <c r="M12" s="59">
        <v>43.24</v>
      </c>
      <c r="N12" s="59">
        <v>4.5</v>
      </c>
      <c r="O12" s="59">
        <v>0</v>
      </c>
      <c r="P12" s="59">
        <v>2.16</v>
      </c>
      <c r="Q12" s="59">
        <v>33.03</v>
      </c>
      <c r="R12" s="197"/>
      <c r="S12" s="197"/>
      <c r="T12" s="197"/>
      <c r="U12" s="197"/>
    </row>
    <row r="13" spans="1:21" s="12" customFormat="1" x14ac:dyDescent="0.25">
      <c r="A13" s="200" t="s">
        <v>344</v>
      </c>
      <c r="B13" s="59">
        <v>28.29</v>
      </c>
      <c r="C13" s="59">
        <v>128.05000000000001</v>
      </c>
      <c r="D13" s="59">
        <v>92.31</v>
      </c>
      <c r="E13" s="59">
        <v>10.02</v>
      </c>
      <c r="F13" s="59">
        <v>4.51</v>
      </c>
      <c r="G13" s="59">
        <v>113.7</v>
      </c>
      <c r="H13" s="59">
        <v>55.32</v>
      </c>
      <c r="I13" s="59">
        <v>0.9</v>
      </c>
      <c r="J13" s="59">
        <v>0.19</v>
      </c>
      <c r="K13" s="59">
        <v>48.62</v>
      </c>
      <c r="L13" s="59">
        <v>25.19</v>
      </c>
      <c r="M13" s="59">
        <v>44.34</v>
      </c>
      <c r="N13" s="59">
        <v>4.7</v>
      </c>
      <c r="O13" s="59">
        <v>0</v>
      </c>
      <c r="P13" s="59">
        <v>2.0299999999999998</v>
      </c>
      <c r="Q13" s="59">
        <v>32.97</v>
      </c>
      <c r="R13" s="197"/>
      <c r="S13" s="197"/>
      <c r="T13" s="197"/>
      <c r="U13" s="197"/>
    </row>
    <row r="14" spans="1:21" s="12" customFormat="1" x14ac:dyDescent="0.25">
      <c r="A14" s="200" t="s">
        <v>345</v>
      </c>
      <c r="B14" s="59">
        <v>26.37</v>
      </c>
      <c r="C14" s="59">
        <v>127.89</v>
      </c>
      <c r="D14" s="59">
        <v>90.68</v>
      </c>
      <c r="E14" s="59">
        <v>8.7200000000000006</v>
      </c>
      <c r="F14" s="59">
        <v>4.54</v>
      </c>
      <c r="G14" s="59">
        <v>113.7</v>
      </c>
      <c r="H14" s="59">
        <v>55.32</v>
      </c>
      <c r="I14" s="59">
        <v>0.88</v>
      </c>
      <c r="J14" s="59">
        <v>0.59</v>
      </c>
      <c r="K14" s="59">
        <v>211.32</v>
      </c>
      <c r="L14" s="59">
        <v>24.97</v>
      </c>
      <c r="M14" s="59">
        <v>44.78</v>
      </c>
      <c r="N14" s="59">
        <v>4.0999999999999996</v>
      </c>
      <c r="O14" s="59">
        <v>0</v>
      </c>
      <c r="P14" s="59">
        <v>2.04</v>
      </c>
      <c r="Q14" s="59">
        <v>32.89</v>
      </c>
      <c r="R14" s="197"/>
      <c r="S14" s="197"/>
      <c r="T14" s="197"/>
      <c r="U14" s="197"/>
    </row>
    <row r="15" spans="1:21" s="12" customFormat="1" x14ac:dyDescent="0.25">
      <c r="A15" s="200" t="s">
        <v>346</v>
      </c>
      <c r="B15" s="59">
        <v>25.07</v>
      </c>
      <c r="C15" s="59">
        <v>127.77</v>
      </c>
      <c r="D15" s="59">
        <v>89.57</v>
      </c>
      <c r="E15" s="59">
        <v>7.59</v>
      </c>
      <c r="F15" s="59">
        <v>4.5</v>
      </c>
      <c r="G15" s="59">
        <v>138.43</v>
      </c>
      <c r="H15" s="59">
        <v>59.46</v>
      </c>
      <c r="I15" s="59">
        <v>0.85</v>
      </c>
      <c r="J15" s="59">
        <v>0.26</v>
      </c>
      <c r="K15" s="59">
        <v>231.07</v>
      </c>
      <c r="L15" s="59">
        <v>24.18</v>
      </c>
      <c r="M15" s="59">
        <v>48.05</v>
      </c>
      <c r="N15" s="59">
        <v>5.0999999999999996</v>
      </c>
      <c r="O15" s="59">
        <v>0</v>
      </c>
      <c r="P15" s="59">
        <v>2</v>
      </c>
      <c r="Q15" s="59">
        <v>32.57</v>
      </c>
      <c r="R15" s="197"/>
      <c r="S15" s="197"/>
      <c r="T15" s="197"/>
      <c r="U15" s="197"/>
    </row>
    <row r="16" spans="1:21" s="12" customFormat="1" x14ac:dyDescent="0.25">
      <c r="A16" s="200" t="s">
        <v>347</v>
      </c>
      <c r="B16" s="59">
        <v>22.95</v>
      </c>
      <c r="C16" s="59">
        <v>124.13</v>
      </c>
      <c r="D16" s="59">
        <v>85.86</v>
      </c>
      <c r="E16" s="59">
        <v>6.38</v>
      </c>
      <c r="F16" s="59">
        <v>4.3600000000000003</v>
      </c>
      <c r="G16" s="59">
        <v>150.80000000000001</v>
      </c>
      <c r="H16" s="59">
        <v>61.53</v>
      </c>
      <c r="I16" s="59">
        <v>0.83</v>
      </c>
      <c r="J16" s="59">
        <v>0.51</v>
      </c>
      <c r="K16" s="59">
        <v>207.03</v>
      </c>
      <c r="L16" s="59">
        <v>23.62</v>
      </c>
      <c r="M16" s="59">
        <v>50.39</v>
      </c>
      <c r="N16" s="59">
        <v>4.5999999999999996</v>
      </c>
      <c r="O16" s="59">
        <v>0</v>
      </c>
      <c r="P16" s="59">
        <v>1.95</v>
      </c>
      <c r="Q16" s="59">
        <v>31.86</v>
      </c>
      <c r="R16" s="197"/>
      <c r="S16" s="197"/>
      <c r="T16" s="197"/>
      <c r="U16" s="197"/>
    </row>
    <row r="17" spans="1:21" s="12" customFormat="1" x14ac:dyDescent="0.25">
      <c r="A17" s="200" t="s">
        <v>348</v>
      </c>
      <c r="B17" s="59">
        <v>20.6</v>
      </c>
      <c r="C17" s="59">
        <v>117.39</v>
      </c>
      <c r="D17" s="59">
        <v>80.260000000000005</v>
      </c>
      <c r="E17" s="59">
        <v>5.45</v>
      </c>
      <c r="F17" s="59">
        <v>5.16</v>
      </c>
      <c r="G17" s="59">
        <v>150.80000000000001</v>
      </c>
      <c r="H17" s="59">
        <v>61.53</v>
      </c>
      <c r="I17" s="59">
        <v>0.82</v>
      </c>
      <c r="J17" s="59">
        <v>0.11</v>
      </c>
      <c r="K17" s="59">
        <v>322.57</v>
      </c>
      <c r="L17" s="59">
        <v>23.3</v>
      </c>
      <c r="M17" s="59">
        <v>51.65</v>
      </c>
      <c r="N17" s="59">
        <v>4.8</v>
      </c>
      <c r="O17" s="59">
        <v>0</v>
      </c>
      <c r="P17" s="59">
        <v>1.89</v>
      </c>
      <c r="Q17" s="59">
        <v>31.11</v>
      </c>
      <c r="R17" s="197"/>
      <c r="S17" s="197"/>
      <c r="T17" s="197"/>
      <c r="U17" s="197"/>
    </row>
    <row r="18" spans="1:21" s="12" customFormat="1" x14ac:dyDescent="0.25">
      <c r="A18" s="200" t="s">
        <v>349</v>
      </c>
      <c r="B18" s="59">
        <v>19.760000000000002</v>
      </c>
      <c r="C18" s="59">
        <v>115.16</v>
      </c>
      <c r="D18" s="59">
        <v>78.36</v>
      </c>
      <c r="E18" s="59">
        <v>5.76</v>
      </c>
      <c r="F18" s="59">
        <v>5.25</v>
      </c>
      <c r="G18" s="59">
        <v>150.80000000000001</v>
      </c>
      <c r="H18" s="59">
        <v>61.53</v>
      </c>
      <c r="I18" s="59">
        <v>0.8</v>
      </c>
      <c r="J18" s="59">
        <v>0.09</v>
      </c>
      <c r="K18" s="59">
        <v>313</v>
      </c>
      <c r="L18" s="59">
        <v>22.56</v>
      </c>
      <c r="M18" s="59">
        <v>55.38</v>
      </c>
      <c r="N18" s="59">
        <v>4.8</v>
      </c>
      <c r="O18" s="59">
        <v>0</v>
      </c>
      <c r="P18" s="59">
        <v>1.84</v>
      </c>
      <c r="Q18" s="59">
        <v>30.78</v>
      </c>
      <c r="R18" s="197"/>
      <c r="S18" s="197"/>
      <c r="T18" s="197"/>
      <c r="U18" s="197"/>
    </row>
    <row r="19" spans="1:21" s="12" customFormat="1" x14ac:dyDescent="0.25">
      <c r="A19" s="200" t="s">
        <v>350</v>
      </c>
      <c r="B19" s="59">
        <v>19.55</v>
      </c>
      <c r="C19" s="59">
        <v>110.13</v>
      </c>
      <c r="D19" s="59">
        <v>75.41</v>
      </c>
      <c r="E19" s="59">
        <v>5.83</v>
      </c>
      <c r="F19" s="59">
        <v>5.87</v>
      </c>
      <c r="G19" s="59">
        <v>117.14</v>
      </c>
      <c r="H19" s="59">
        <v>56.32</v>
      </c>
      <c r="I19" s="59">
        <v>0.78</v>
      </c>
      <c r="J19" s="59">
        <v>0.16</v>
      </c>
      <c r="K19" s="59">
        <v>331.8</v>
      </c>
      <c r="L19" s="59">
        <v>22.26</v>
      </c>
      <c r="M19" s="59">
        <v>55.98</v>
      </c>
      <c r="N19" s="59">
        <v>4.5</v>
      </c>
      <c r="O19" s="59">
        <v>0</v>
      </c>
      <c r="P19" s="59">
        <v>1.79</v>
      </c>
      <c r="Q19" s="59">
        <v>30.91</v>
      </c>
      <c r="R19" s="197"/>
      <c r="S19" s="197"/>
      <c r="T19" s="197"/>
      <c r="U19" s="197"/>
    </row>
    <row r="20" spans="1:21" s="12" customFormat="1" x14ac:dyDescent="0.25">
      <c r="A20" s="200" t="s">
        <v>351</v>
      </c>
      <c r="B20" s="59">
        <v>20.52</v>
      </c>
      <c r="C20" s="59">
        <v>113.07</v>
      </c>
      <c r="D20" s="59">
        <v>77.81</v>
      </c>
      <c r="E20" s="59">
        <v>4.8</v>
      </c>
      <c r="F20" s="59">
        <v>5.0199999999999996</v>
      </c>
      <c r="G20" s="59">
        <v>100.32</v>
      </c>
      <c r="H20" s="59">
        <v>53.72</v>
      </c>
      <c r="I20" s="59">
        <v>0.76</v>
      </c>
      <c r="J20" s="59">
        <v>0.18</v>
      </c>
      <c r="K20" s="59">
        <v>308.56</v>
      </c>
      <c r="L20" s="59">
        <v>22.11</v>
      </c>
      <c r="M20" s="59">
        <v>58.61</v>
      </c>
      <c r="N20" s="59">
        <v>4.4000000000000004</v>
      </c>
      <c r="O20" s="59">
        <v>0</v>
      </c>
      <c r="P20" s="59">
        <v>1.81</v>
      </c>
      <c r="Q20" s="59">
        <v>31.16</v>
      </c>
      <c r="R20" s="197"/>
      <c r="S20" s="197"/>
      <c r="T20" s="197"/>
      <c r="U20" s="197"/>
    </row>
    <row r="21" spans="1:21" s="12" customFormat="1" x14ac:dyDescent="0.25">
      <c r="A21" s="200" t="s">
        <v>352</v>
      </c>
      <c r="B21" s="59">
        <v>19.899999999999999</v>
      </c>
      <c r="C21" s="59">
        <v>109.81</v>
      </c>
      <c r="D21" s="59">
        <v>75.510000000000005</v>
      </c>
      <c r="E21" s="59">
        <v>4.82</v>
      </c>
      <c r="F21" s="59">
        <v>5.0199999999999996</v>
      </c>
      <c r="G21" s="59">
        <v>100.32</v>
      </c>
      <c r="H21" s="59">
        <v>53.72</v>
      </c>
      <c r="I21" s="59">
        <v>0.76</v>
      </c>
      <c r="J21" s="59">
        <v>0.14000000000000001</v>
      </c>
      <c r="K21" s="59">
        <v>323.94</v>
      </c>
      <c r="L21" s="59">
        <v>22.27</v>
      </c>
      <c r="M21" s="59">
        <v>55.28</v>
      </c>
      <c r="N21" s="59">
        <v>4.2</v>
      </c>
      <c r="O21" s="59">
        <v>0</v>
      </c>
      <c r="P21" s="59">
        <v>1.76</v>
      </c>
      <c r="Q21" s="59">
        <v>31.46</v>
      </c>
      <c r="R21" s="197"/>
      <c r="S21" s="197"/>
      <c r="T21" s="197"/>
      <c r="U21" s="197"/>
    </row>
    <row r="22" spans="1:21" s="12" customFormat="1" x14ac:dyDescent="0.25">
      <c r="A22" s="200" t="s">
        <v>353</v>
      </c>
      <c r="B22" s="59">
        <v>20.399999999999999</v>
      </c>
      <c r="C22" s="59">
        <v>109.66</v>
      </c>
      <c r="D22" s="59">
        <v>75.84</v>
      </c>
      <c r="E22" s="59">
        <v>4.63</v>
      </c>
      <c r="F22" s="59">
        <v>4.62</v>
      </c>
      <c r="G22" s="59">
        <v>100.32</v>
      </c>
      <c r="H22" s="59">
        <v>53.72</v>
      </c>
      <c r="I22" s="59">
        <v>0.76</v>
      </c>
      <c r="J22" s="59">
        <v>0.2</v>
      </c>
      <c r="K22" s="59">
        <v>330.15</v>
      </c>
      <c r="L22" s="59">
        <v>21.78</v>
      </c>
      <c r="M22" s="59">
        <v>57.8</v>
      </c>
      <c r="N22" s="59">
        <v>4.7</v>
      </c>
      <c r="O22" s="59">
        <v>0</v>
      </c>
      <c r="P22" s="59">
        <v>1.75</v>
      </c>
      <c r="Q22" s="59">
        <v>31.64</v>
      </c>
      <c r="R22" s="197"/>
      <c r="S22" s="197"/>
      <c r="T22" s="197"/>
      <c r="U22" s="197"/>
    </row>
    <row r="23" spans="1:21" s="12" customFormat="1" x14ac:dyDescent="0.25">
      <c r="A23" s="200" t="s">
        <v>354</v>
      </c>
      <c r="B23" s="59">
        <v>19.09</v>
      </c>
      <c r="C23" s="59">
        <v>104.21</v>
      </c>
      <c r="D23" s="59">
        <v>71.78</v>
      </c>
      <c r="E23" s="59">
        <v>4.72</v>
      </c>
      <c r="F23" s="59">
        <v>6.33</v>
      </c>
      <c r="G23" s="59">
        <v>103.15</v>
      </c>
      <c r="H23" s="59">
        <v>50.02</v>
      </c>
      <c r="I23" s="59">
        <v>0.77</v>
      </c>
      <c r="J23" s="59">
        <v>0.13</v>
      </c>
      <c r="K23" s="59">
        <v>358.7</v>
      </c>
      <c r="L23" s="59">
        <v>21.75</v>
      </c>
      <c r="M23" s="59">
        <v>59.39</v>
      </c>
      <c r="N23" s="59">
        <v>4.7</v>
      </c>
      <c r="O23" s="59">
        <v>0</v>
      </c>
      <c r="P23" s="59">
        <v>1.67</v>
      </c>
      <c r="Q23" s="59">
        <v>31.95</v>
      </c>
      <c r="R23" s="197"/>
      <c r="S23" s="197"/>
      <c r="T23" s="197"/>
      <c r="U23" s="197"/>
    </row>
    <row r="24" spans="1:21" s="12" customFormat="1" x14ac:dyDescent="0.25">
      <c r="A24" s="200" t="s">
        <v>355</v>
      </c>
      <c r="B24" s="59">
        <v>21.32</v>
      </c>
      <c r="C24" s="59">
        <v>109.16</v>
      </c>
      <c r="D24" s="59">
        <v>76.290000000000006</v>
      </c>
      <c r="E24" s="59">
        <v>2.68</v>
      </c>
      <c r="F24" s="59">
        <v>4.5199999999999996</v>
      </c>
      <c r="G24" s="59">
        <v>104.57</v>
      </c>
      <c r="H24" s="59">
        <v>48.17</v>
      </c>
      <c r="I24" s="59">
        <v>0.75</v>
      </c>
      <c r="J24" s="59">
        <v>0.12</v>
      </c>
      <c r="K24" s="59">
        <v>347.69</v>
      </c>
      <c r="L24" s="59">
        <v>21.66</v>
      </c>
      <c r="M24" s="59">
        <v>59.1</v>
      </c>
      <c r="N24" s="59">
        <v>4.5</v>
      </c>
      <c r="O24" s="59">
        <v>0</v>
      </c>
      <c r="P24" s="59">
        <v>1.69</v>
      </c>
      <c r="Q24" s="59">
        <v>33.090000000000003</v>
      </c>
      <c r="R24" s="197"/>
      <c r="S24" s="197"/>
      <c r="T24" s="197"/>
      <c r="U24" s="197"/>
    </row>
    <row r="25" spans="1:21" s="12" customFormat="1" x14ac:dyDescent="0.25">
      <c r="A25" s="200" t="s">
        <v>356</v>
      </c>
      <c r="B25" s="59">
        <v>21.23</v>
      </c>
      <c r="C25" s="59">
        <v>109.48</v>
      </c>
      <c r="D25" s="59">
        <v>76.400000000000006</v>
      </c>
      <c r="E25" s="59">
        <v>4.8</v>
      </c>
      <c r="F25" s="59">
        <v>4.3099999999999996</v>
      </c>
      <c r="G25" s="59">
        <v>104.57</v>
      </c>
      <c r="H25" s="59">
        <v>48.17</v>
      </c>
      <c r="I25" s="59">
        <v>0.76</v>
      </c>
      <c r="J25" s="59">
        <v>0.05</v>
      </c>
      <c r="K25" s="59">
        <v>261.79000000000002</v>
      </c>
      <c r="L25" s="59">
        <v>21.7</v>
      </c>
      <c r="M25" s="59">
        <v>56.84</v>
      </c>
      <c r="N25" s="59">
        <v>4.3</v>
      </c>
      <c r="O25" s="59">
        <v>0</v>
      </c>
      <c r="P25" s="59">
        <v>1.66</v>
      </c>
      <c r="Q25" s="59">
        <v>33.61</v>
      </c>
      <c r="R25" s="197"/>
      <c r="S25" s="197"/>
      <c r="T25" s="197"/>
      <c r="U25" s="197"/>
    </row>
    <row r="26" spans="1:21" s="12" customFormat="1" x14ac:dyDescent="0.25">
      <c r="A26" s="200" t="s">
        <v>357</v>
      </c>
      <c r="B26" s="59">
        <v>20.11</v>
      </c>
      <c r="C26" s="59">
        <v>108.87</v>
      </c>
      <c r="D26" s="59">
        <v>75.17</v>
      </c>
      <c r="E26" s="59">
        <v>4.75</v>
      </c>
      <c r="F26" s="59">
        <v>4.3</v>
      </c>
      <c r="G26" s="59">
        <v>104.57</v>
      </c>
      <c r="H26" s="59">
        <v>48.17</v>
      </c>
      <c r="I26" s="59">
        <v>0.76</v>
      </c>
      <c r="J26" s="59">
        <v>0.02</v>
      </c>
      <c r="K26" s="59">
        <v>284.77999999999997</v>
      </c>
      <c r="L26" s="59">
        <v>22.21</v>
      </c>
      <c r="M26" s="59">
        <v>56.94</v>
      </c>
      <c r="N26" s="59">
        <v>3.9</v>
      </c>
      <c r="O26" s="59">
        <v>0</v>
      </c>
      <c r="P26" s="59">
        <v>1.61</v>
      </c>
      <c r="Q26" s="59">
        <v>33.56</v>
      </c>
      <c r="R26" s="197"/>
      <c r="S26" s="197"/>
      <c r="T26" s="197"/>
      <c r="U26" s="197"/>
    </row>
    <row r="27" spans="1:21" s="12" customFormat="1" x14ac:dyDescent="0.25">
      <c r="A27" s="200" t="s">
        <v>358</v>
      </c>
      <c r="B27" s="59">
        <v>19.77</v>
      </c>
      <c r="C27" s="59">
        <v>108.69</v>
      </c>
      <c r="D27" s="59">
        <v>74.8</v>
      </c>
      <c r="E27" s="59">
        <v>4.59</v>
      </c>
      <c r="F27" s="59">
        <v>4.8499999999999996</v>
      </c>
      <c r="G27" s="59">
        <v>103.46</v>
      </c>
      <c r="H27" s="59">
        <v>47.25</v>
      </c>
      <c r="I27" s="59">
        <v>0.75</v>
      </c>
      <c r="J27" s="59">
        <v>0.16</v>
      </c>
      <c r="K27" s="59">
        <v>252.1</v>
      </c>
      <c r="L27" s="59">
        <v>22.03</v>
      </c>
      <c r="M27" s="59">
        <v>58</v>
      </c>
      <c r="N27" s="59">
        <v>4.2</v>
      </c>
      <c r="O27" s="59">
        <v>0</v>
      </c>
      <c r="P27" s="59">
        <v>1.57</v>
      </c>
      <c r="Q27" s="59">
        <v>33.51</v>
      </c>
      <c r="R27" s="197"/>
      <c r="S27" s="197"/>
      <c r="T27" s="197"/>
      <c r="U27" s="197"/>
    </row>
    <row r="28" spans="1:21" s="12" customFormat="1" x14ac:dyDescent="0.25">
      <c r="A28" s="200" t="s">
        <v>359</v>
      </c>
      <c r="B28" s="59">
        <v>20.61</v>
      </c>
      <c r="C28" s="59">
        <v>108.44</v>
      </c>
      <c r="D28" s="59">
        <v>75.33</v>
      </c>
      <c r="E28" s="59">
        <v>4.57</v>
      </c>
      <c r="F28" s="59">
        <v>4.59</v>
      </c>
      <c r="G28" s="59">
        <v>102.91</v>
      </c>
      <c r="H28" s="59">
        <v>46.79</v>
      </c>
      <c r="I28" s="59">
        <v>0.74</v>
      </c>
      <c r="J28" s="59">
        <v>0.04</v>
      </c>
      <c r="K28" s="59">
        <v>310.5</v>
      </c>
      <c r="L28" s="59">
        <v>22.16</v>
      </c>
      <c r="M28" s="59">
        <v>57.5</v>
      </c>
      <c r="N28" s="59">
        <v>4.5999999999999996</v>
      </c>
      <c r="O28" s="59">
        <v>0</v>
      </c>
      <c r="P28" s="59">
        <v>1.53</v>
      </c>
      <c r="Q28" s="59">
        <v>33.51</v>
      </c>
      <c r="R28" s="197"/>
      <c r="S28" s="197"/>
      <c r="T28" s="197"/>
      <c r="U28" s="197"/>
    </row>
    <row r="29" spans="1:21" s="12" customFormat="1" x14ac:dyDescent="0.25">
      <c r="A29" s="200" t="s">
        <v>360</v>
      </c>
      <c r="B29" s="59">
        <v>22.24</v>
      </c>
      <c r="C29" s="59">
        <v>108.39</v>
      </c>
      <c r="D29" s="59">
        <v>76.61</v>
      </c>
      <c r="E29" s="59">
        <v>4.1399999999999997</v>
      </c>
      <c r="F29" s="59">
        <v>4.3</v>
      </c>
      <c r="G29" s="59">
        <v>102.91</v>
      </c>
      <c r="H29" s="59">
        <v>46.79</v>
      </c>
      <c r="I29" s="59">
        <v>0.73</v>
      </c>
      <c r="J29" s="59">
        <v>0.03</v>
      </c>
      <c r="K29" s="59">
        <v>46.21</v>
      </c>
      <c r="L29" s="59">
        <v>21.99</v>
      </c>
      <c r="M29" s="59">
        <v>58.6</v>
      </c>
      <c r="N29" s="59">
        <v>4.2</v>
      </c>
      <c r="O29" s="59">
        <v>0</v>
      </c>
      <c r="P29" s="59">
        <v>1.5</v>
      </c>
      <c r="Q29" s="59">
        <v>33.57</v>
      </c>
      <c r="R29" s="197"/>
      <c r="S29" s="197"/>
      <c r="T29" s="197"/>
      <c r="U29" s="197"/>
    </row>
    <row r="30" spans="1:21" s="12" customFormat="1" x14ac:dyDescent="0.25">
      <c r="A30" s="200" t="s">
        <v>361</v>
      </c>
      <c r="B30" s="59">
        <v>22.46</v>
      </c>
      <c r="C30" s="59">
        <v>107.24</v>
      </c>
      <c r="D30" s="59">
        <v>76.150000000000006</v>
      </c>
      <c r="E30" s="59">
        <v>4.71</v>
      </c>
      <c r="F30" s="59">
        <v>4.3</v>
      </c>
      <c r="G30" s="59">
        <v>102.91</v>
      </c>
      <c r="H30" s="59">
        <v>46.79</v>
      </c>
      <c r="I30" s="59">
        <v>0.72</v>
      </c>
      <c r="J30" s="59">
        <v>0.05</v>
      </c>
      <c r="K30" s="59">
        <v>150.49</v>
      </c>
      <c r="L30" s="59">
        <v>22.03</v>
      </c>
      <c r="M30" s="59">
        <v>58.02</v>
      </c>
      <c r="N30" s="59">
        <v>4.5</v>
      </c>
      <c r="O30" s="59">
        <v>0</v>
      </c>
      <c r="P30" s="59">
        <v>1.47</v>
      </c>
      <c r="Q30" s="59">
        <v>33.17</v>
      </c>
      <c r="R30" s="197"/>
      <c r="S30" s="197"/>
      <c r="T30" s="197"/>
      <c r="U30" s="197"/>
    </row>
    <row r="31" spans="1:21" s="12" customFormat="1" x14ac:dyDescent="0.25">
      <c r="A31" s="200" t="s">
        <v>362</v>
      </c>
      <c r="B31" s="59">
        <v>28.18</v>
      </c>
      <c r="C31" s="59">
        <v>106.23</v>
      </c>
      <c r="D31" s="59">
        <v>80.180000000000007</v>
      </c>
      <c r="E31" s="59">
        <v>4.3899999999999997</v>
      </c>
      <c r="F31" s="59">
        <v>4.3</v>
      </c>
      <c r="G31" s="59">
        <v>102.92</v>
      </c>
      <c r="H31" s="59">
        <v>45</v>
      </c>
      <c r="I31" s="59">
        <v>0.72</v>
      </c>
      <c r="J31" s="59">
        <v>0.06</v>
      </c>
      <c r="K31" s="59">
        <v>6.08</v>
      </c>
      <c r="L31" s="59">
        <v>21.59</v>
      </c>
      <c r="M31" s="59">
        <v>61.26</v>
      </c>
      <c r="N31" s="59">
        <v>4.5999999999999996</v>
      </c>
      <c r="O31" s="59">
        <v>0</v>
      </c>
      <c r="P31" s="59">
        <v>1.46</v>
      </c>
      <c r="Q31" s="59">
        <v>32.200000000000003</v>
      </c>
      <c r="R31" s="197"/>
      <c r="S31" s="197"/>
      <c r="T31" s="197"/>
      <c r="U31" s="197"/>
    </row>
    <row r="32" spans="1:21" s="12" customFormat="1" x14ac:dyDescent="0.25">
      <c r="A32" s="200" t="s">
        <v>363</v>
      </c>
      <c r="B32" s="59">
        <v>29.53</v>
      </c>
      <c r="C32" s="59">
        <v>108.28</v>
      </c>
      <c r="D32" s="59">
        <v>82.39</v>
      </c>
      <c r="E32" s="59">
        <v>4.34</v>
      </c>
      <c r="F32" s="59">
        <v>4.3</v>
      </c>
      <c r="G32" s="59">
        <v>102.92</v>
      </c>
      <c r="H32" s="59">
        <v>44.1</v>
      </c>
      <c r="I32" s="59">
        <v>0.72</v>
      </c>
      <c r="J32" s="59">
        <v>0.06</v>
      </c>
      <c r="K32" s="59">
        <v>24.35</v>
      </c>
      <c r="L32" s="59">
        <v>21.45</v>
      </c>
      <c r="M32" s="59">
        <v>62.15</v>
      </c>
      <c r="N32" s="59">
        <v>4.5999999999999996</v>
      </c>
      <c r="O32" s="59">
        <v>0</v>
      </c>
      <c r="P32" s="59">
        <v>1.47</v>
      </c>
      <c r="Q32" s="59">
        <v>31.78</v>
      </c>
      <c r="R32" s="197"/>
      <c r="S32" s="197"/>
      <c r="T32" s="197"/>
      <c r="U32" s="197"/>
    </row>
    <row r="33" spans="1:21" s="12" customFormat="1" x14ac:dyDescent="0.25">
      <c r="A33" s="200" t="s">
        <v>364</v>
      </c>
      <c r="B33" s="59">
        <v>39.380000000000003</v>
      </c>
      <c r="C33" s="59">
        <v>108.65</v>
      </c>
      <c r="D33" s="59">
        <v>90.49</v>
      </c>
      <c r="E33" s="59">
        <v>4.4400000000000004</v>
      </c>
      <c r="F33" s="59">
        <v>4.3</v>
      </c>
      <c r="G33" s="59">
        <v>102.92</v>
      </c>
      <c r="H33" s="59">
        <v>44.1</v>
      </c>
      <c r="I33" s="59">
        <v>0.73</v>
      </c>
      <c r="J33" s="59">
        <v>0.03</v>
      </c>
      <c r="K33" s="59">
        <v>11.87</v>
      </c>
      <c r="L33" s="59">
        <v>21.34</v>
      </c>
      <c r="M33" s="59">
        <v>63.12</v>
      </c>
      <c r="N33" s="59">
        <v>5.0999999999999996</v>
      </c>
      <c r="O33" s="59">
        <v>0</v>
      </c>
      <c r="P33" s="59">
        <v>1.5</v>
      </c>
      <c r="Q33" s="59">
        <v>31.96</v>
      </c>
      <c r="R33" s="197"/>
      <c r="S33" s="197"/>
      <c r="T33" s="197"/>
      <c r="U33" s="197"/>
    </row>
    <row r="34" spans="1:21" s="12" customFormat="1" x14ac:dyDescent="0.25">
      <c r="A34" s="200" t="s">
        <v>365</v>
      </c>
      <c r="B34" s="59">
        <v>40.67</v>
      </c>
      <c r="C34" s="59">
        <v>109.41</v>
      </c>
      <c r="D34" s="59">
        <v>91.95</v>
      </c>
      <c r="E34" s="59">
        <v>5.39</v>
      </c>
      <c r="F34" s="59">
        <v>4.3</v>
      </c>
      <c r="G34" s="59">
        <v>102.92</v>
      </c>
      <c r="H34" s="59">
        <v>44.1</v>
      </c>
      <c r="I34" s="59">
        <v>0.74</v>
      </c>
      <c r="J34" s="59">
        <v>0.12</v>
      </c>
      <c r="K34" s="59">
        <v>273.57</v>
      </c>
      <c r="L34" s="59">
        <v>21.59</v>
      </c>
      <c r="M34" s="59">
        <v>63.12</v>
      </c>
      <c r="N34" s="59">
        <v>8.4</v>
      </c>
      <c r="O34" s="59">
        <v>0</v>
      </c>
      <c r="P34" s="59">
        <v>1.52</v>
      </c>
      <c r="Q34" s="59">
        <v>32.119999999999997</v>
      </c>
      <c r="R34" s="197"/>
      <c r="S34" s="197"/>
      <c r="T34" s="197"/>
      <c r="U34" s="197"/>
    </row>
    <row r="35" spans="1:21" s="12" customFormat="1" x14ac:dyDescent="0.25">
      <c r="A35" s="200" t="s">
        <v>366</v>
      </c>
      <c r="B35" s="59">
        <v>42.62</v>
      </c>
      <c r="C35" s="59">
        <v>108.78</v>
      </c>
      <c r="D35" s="59">
        <v>93.17</v>
      </c>
      <c r="E35" s="59">
        <v>5.36</v>
      </c>
      <c r="F35" s="59">
        <v>4.3099999999999996</v>
      </c>
      <c r="G35" s="59">
        <v>125.12</v>
      </c>
      <c r="H35" s="59">
        <v>57.91</v>
      </c>
      <c r="I35" s="59">
        <v>0.75</v>
      </c>
      <c r="J35" s="59">
        <v>0.15</v>
      </c>
      <c r="K35" s="59">
        <v>1.32</v>
      </c>
      <c r="L35" s="59">
        <v>21.49</v>
      </c>
      <c r="M35" s="59">
        <v>64.930000000000007</v>
      </c>
      <c r="N35" s="59">
        <v>18.2</v>
      </c>
      <c r="O35" s="59">
        <v>0</v>
      </c>
      <c r="P35" s="59">
        <v>1.54</v>
      </c>
      <c r="Q35" s="59">
        <v>32.46</v>
      </c>
      <c r="R35" s="197"/>
      <c r="S35" s="197"/>
      <c r="T35" s="197"/>
      <c r="U35" s="197"/>
    </row>
    <row r="36" spans="1:21" s="12" customFormat="1" x14ac:dyDescent="0.25">
      <c r="A36" s="200" t="s">
        <v>367</v>
      </c>
      <c r="B36" s="59">
        <v>50.39</v>
      </c>
      <c r="C36" s="59">
        <v>109.34</v>
      </c>
      <c r="D36" s="59">
        <v>99.71</v>
      </c>
      <c r="E36" s="59">
        <v>5.36</v>
      </c>
      <c r="F36" s="59">
        <v>4.41</v>
      </c>
      <c r="G36" s="59">
        <v>135.68</v>
      </c>
      <c r="H36" s="59">
        <v>64.819999999999993</v>
      </c>
      <c r="I36" s="59">
        <v>0.75</v>
      </c>
      <c r="J36" s="59">
        <v>0.11</v>
      </c>
      <c r="K36" s="59">
        <v>280.33999999999997</v>
      </c>
      <c r="L36" s="59">
        <v>21.87</v>
      </c>
      <c r="M36" s="59">
        <v>63.98</v>
      </c>
      <c r="N36" s="59">
        <v>33.4</v>
      </c>
      <c r="O36" s="59">
        <v>0</v>
      </c>
      <c r="P36" s="59">
        <v>1.63</v>
      </c>
      <c r="Q36" s="59">
        <v>32.880000000000003</v>
      </c>
      <c r="R36" s="197"/>
      <c r="S36" s="197"/>
      <c r="T36" s="197"/>
      <c r="U36" s="197"/>
    </row>
    <row r="37" spans="1:21" s="12" customFormat="1" x14ac:dyDescent="0.25">
      <c r="A37" s="200" t="s">
        <v>368</v>
      </c>
      <c r="B37" s="59">
        <v>50.1</v>
      </c>
      <c r="C37" s="59">
        <v>108.06</v>
      </c>
      <c r="D37" s="59">
        <v>98.77</v>
      </c>
      <c r="E37" s="59">
        <v>7</v>
      </c>
      <c r="F37" s="59">
        <v>4.37</v>
      </c>
      <c r="G37" s="59">
        <v>135.68</v>
      </c>
      <c r="H37" s="59">
        <v>64.819999999999993</v>
      </c>
      <c r="I37" s="59">
        <v>0.77</v>
      </c>
      <c r="J37" s="59">
        <v>7.0000000000000007E-2</v>
      </c>
      <c r="K37" s="59">
        <v>269.20999999999998</v>
      </c>
      <c r="L37" s="59">
        <v>22.71</v>
      </c>
      <c r="M37" s="59">
        <v>60.27</v>
      </c>
      <c r="N37" s="59">
        <v>57.3</v>
      </c>
      <c r="O37" s="59">
        <v>0</v>
      </c>
      <c r="P37" s="59">
        <v>1.66</v>
      </c>
      <c r="Q37" s="59">
        <v>33.229999999999997</v>
      </c>
      <c r="R37" s="197"/>
      <c r="S37" s="197"/>
      <c r="T37" s="197"/>
      <c r="U37" s="197"/>
    </row>
    <row r="38" spans="1:21" s="12" customFormat="1" x14ac:dyDescent="0.25">
      <c r="A38" s="200" t="s">
        <v>369</v>
      </c>
      <c r="B38" s="59">
        <v>50.41</v>
      </c>
      <c r="C38" s="59">
        <v>109.65</v>
      </c>
      <c r="D38" s="59">
        <v>99.9</v>
      </c>
      <c r="E38" s="59">
        <v>6.18</v>
      </c>
      <c r="F38" s="59">
        <v>4.32</v>
      </c>
      <c r="G38" s="59">
        <v>135.68</v>
      </c>
      <c r="H38" s="59">
        <v>64.819999999999993</v>
      </c>
      <c r="I38" s="59">
        <v>0.78</v>
      </c>
      <c r="J38" s="59">
        <v>0.15</v>
      </c>
      <c r="K38" s="59">
        <v>213.23</v>
      </c>
      <c r="L38" s="59">
        <v>24.05</v>
      </c>
      <c r="M38" s="59">
        <v>56.36</v>
      </c>
      <c r="N38" s="59">
        <v>84.8</v>
      </c>
      <c r="O38" s="59">
        <v>0</v>
      </c>
      <c r="P38" s="59">
        <v>1.66</v>
      </c>
      <c r="Q38" s="59">
        <v>34.6</v>
      </c>
      <c r="R38" s="197"/>
      <c r="S38" s="197"/>
      <c r="T38" s="197"/>
      <c r="U38" s="197"/>
    </row>
    <row r="39" spans="1:21" s="12" customFormat="1" x14ac:dyDescent="0.25">
      <c r="A39" s="200" t="s">
        <v>370</v>
      </c>
      <c r="B39" s="59">
        <v>56.27</v>
      </c>
      <c r="C39" s="59">
        <v>112.72</v>
      </c>
      <c r="D39" s="59">
        <v>106.29</v>
      </c>
      <c r="E39" s="59">
        <v>5.49</v>
      </c>
      <c r="F39" s="59">
        <v>4.3</v>
      </c>
      <c r="G39" s="59">
        <v>135.68</v>
      </c>
      <c r="H39" s="59">
        <v>111.15</v>
      </c>
      <c r="I39" s="59">
        <v>0.79</v>
      </c>
      <c r="J39" s="59">
        <v>0.06</v>
      </c>
      <c r="K39" s="59">
        <v>66.23</v>
      </c>
      <c r="L39" s="59">
        <v>25.59</v>
      </c>
      <c r="M39" s="59">
        <v>53.57</v>
      </c>
      <c r="N39" s="59">
        <v>114.7</v>
      </c>
      <c r="O39" s="59">
        <v>0</v>
      </c>
      <c r="P39" s="59">
        <v>1.72</v>
      </c>
      <c r="Q39" s="59">
        <v>35.369999999999997</v>
      </c>
      <c r="R39" s="197"/>
      <c r="S39" s="197"/>
      <c r="T39" s="197"/>
      <c r="U39" s="197"/>
    </row>
    <row r="40" spans="1:21" s="12" customFormat="1" x14ac:dyDescent="0.25">
      <c r="A40" s="200" t="s">
        <v>371</v>
      </c>
      <c r="B40" s="59">
        <v>65.62</v>
      </c>
      <c r="C40" s="59">
        <v>119.09</v>
      </c>
      <c r="D40" s="59">
        <v>117.3</v>
      </c>
      <c r="E40" s="59">
        <v>2.86</v>
      </c>
      <c r="F40" s="59">
        <v>4.34</v>
      </c>
      <c r="G40" s="59">
        <v>297.24</v>
      </c>
      <c r="H40" s="59">
        <v>134.31</v>
      </c>
      <c r="I40" s="59">
        <v>0.81</v>
      </c>
      <c r="J40" s="59">
        <v>0.09</v>
      </c>
      <c r="K40" s="59">
        <v>159.24</v>
      </c>
      <c r="L40" s="59">
        <v>27.21</v>
      </c>
      <c r="M40" s="59">
        <v>49.14</v>
      </c>
      <c r="N40" s="59">
        <v>143.1</v>
      </c>
      <c r="O40" s="59">
        <v>0</v>
      </c>
      <c r="P40" s="59">
        <v>1.84</v>
      </c>
      <c r="Q40" s="59">
        <v>35.979999999999997</v>
      </c>
      <c r="R40" s="197"/>
      <c r="S40" s="197"/>
      <c r="T40" s="197"/>
      <c r="U40" s="197"/>
    </row>
    <row r="41" spans="1:21" s="12" customFormat="1" x14ac:dyDescent="0.25">
      <c r="A41" s="200" t="s">
        <v>372</v>
      </c>
      <c r="B41" s="59">
        <v>70.58</v>
      </c>
      <c r="C41" s="59">
        <v>122.27</v>
      </c>
      <c r="D41" s="59">
        <v>123.04</v>
      </c>
      <c r="E41" s="59">
        <v>4.5599999999999996</v>
      </c>
      <c r="F41" s="59">
        <v>4.3</v>
      </c>
      <c r="G41" s="59">
        <v>297.24</v>
      </c>
      <c r="H41" s="59">
        <v>134.31</v>
      </c>
      <c r="I41" s="59">
        <v>0.84</v>
      </c>
      <c r="J41" s="59">
        <v>0.41</v>
      </c>
      <c r="K41" s="59">
        <v>217.39</v>
      </c>
      <c r="L41" s="59">
        <v>27.04</v>
      </c>
      <c r="M41" s="59">
        <v>50.21</v>
      </c>
      <c r="N41" s="59">
        <v>171.7</v>
      </c>
      <c r="O41" s="59">
        <v>0</v>
      </c>
      <c r="P41" s="59">
        <v>1.93</v>
      </c>
      <c r="Q41" s="59">
        <v>36.64</v>
      </c>
      <c r="R41" s="197"/>
      <c r="S41" s="197"/>
      <c r="T41" s="197"/>
      <c r="U41" s="197"/>
    </row>
    <row r="42" spans="1:21" s="12" customFormat="1" x14ac:dyDescent="0.25">
      <c r="A42" s="200" t="s">
        <v>373</v>
      </c>
      <c r="B42" s="59">
        <v>69.349999999999994</v>
      </c>
      <c r="C42" s="59">
        <v>124.12</v>
      </c>
      <c r="D42" s="59">
        <v>123.07</v>
      </c>
      <c r="E42" s="59">
        <v>4.3899999999999997</v>
      </c>
      <c r="F42" s="59">
        <v>4.3</v>
      </c>
      <c r="G42" s="59">
        <v>297.24</v>
      </c>
      <c r="H42" s="59">
        <v>134.31</v>
      </c>
      <c r="I42" s="59">
        <v>0.86</v>
      </c>
      <c r="J42" s="59">
        <v>0.8</v>
      </c>
      <c r="K42" s="59">
        <v>215.62</v>
      </c>
      <c r="L42" s="59">
        <v>24.88</v>
      </c>
      <c r="M42" s="59">
        <v>56.25</v>
      </c>
      <c r="N42" s="59">
        <v>201</v>
      </c>
      <c r="O42" s="59">
        <v>0</v>
      </c>
      <c r="P42" s="59">
        <v>1.93</v>
      </c>
      <c r="Q42" s="59">
        <v>36.39</v>
      </c>
      <c r="R42" s="197"/>
      <c r="S42" s="197"/>
      <c r="T42" s="197"/>
      <c r="U42" s="197"/>
    </row>
    <row r="43" spans="1:21" s="12" customFormat="1" x14ac:dyDescent="0.25">
      <c r="A43" s="200" t="s">
        <v>374</v>
      </c>
      <c r="B43" s="59">
        <v>63.62</v>
      </c>
      <c r="C43" s="59">
        <v>123.98</v>
      </c>
      <c r="D43" s="59">
        <v>118.4</v>
      </c>
      <c r="E43" s="59">
        <v>4.46</v>
      </c>
      <c r="F43" s="59">
        <v>4.3099999999999996</v>
      </c>
      <c r="G43" s="59">
        <v>196.53</v>
      </c>
      <c r="H43" s="59">
        <v>108.45</v>
      </c>
      <c r="I43" s="59">
        <v>0.88</v>
      </c>
      <c r="J43" s="59">
        <v>1.69</v>
      </c>
      <c r="K43" s="59">
        <v>174.18</v>
      </c>
      <c r="L43" s="59">
        <v>24.66</v>
      </c>
      <c r="M43" s="59">
        <v>54.49</v>
      </c>
      <c r="N43" s="59">
        <v>239</v>
      </c>
      <c r="O43" s="59">
        <v>0</v>
      </c>
      <c r="P43" s="59">
        <v>1.9</v>
      </c>
      <c r="Q43" s="59">
        <v>35.79</v>
      </c>
      <c r="R43" s="197"/>
      <c r="S43" s="197"/>
      <c r="T43" s="197"/>
      <c r="U43" s="197"/>
    </row>
    <row r="44" spans="1:21" s="12" customFormat="1" x14ac:dyDescent="0.25">
      <c r="A44" s="200" t="s">
        <v>375</v>
      </c>
      <c r="B44" s="59">
        <v>57.85</v>
      </c>
      <c r="C44" s="59">
        <v>123.7</v>
      </c>
      <c r="D44" s="59">
        <v>113.62</v>
      </c>
      <c r="E44" s="59">
        <v>3.78</v>
      </c>
      <c r="F44" s="59">
        <v>4.32</v>
      </c>
      <c r="G44" s="59">
        <v>196.53</v>
      </c>
      <c r="H44" s="59">
        <v>95.52</v>
      </c>
      <c r="I44" s="59">
        <v>0.86</v>
      </c>
      <c r="J44" s="59">
        <v>1.1000000000000001</v>
      </c>
      <c r="K44" s="59">
        <v>175.3</v>
      </c>
      <c r="L44" s="59">
        <v>25.17</v>
      </c>
      <c r="M44" s="59">
        <v>52.04</v>
      </c>
      <c r="N44" s="59">
        <v>265.3</v>
      </c>
      <c r="O44" s="59">
        <v>0</v>
      </c>
      <c r="P44" s="59">
        <v>1.84</v>
      </c>
      <c r="Q44" s="59">
        <v>35.28</v>
      </c>
      <c r="R44" s="197"/>
      <c r="S44" s="197"/>
      <c r="T44" s="197"/>
      <c r="U44" s="197"/>
    </row>
    <row r="45" spans="1:21" s="12" customFormat="1" x14ac:dyDescent="0.25">
      <c r="A45" s="200" t="s">
        <v>376</v>
      </c>
      <c r="B45" s="59">
        <v>50.21</v>
      </c>
      <c r="C45" s="59">
        <v>119.07</v>
      </c>
      <c r="D45" s="59">
        <v>104.93</v>
      </c>
      <c r="E45" s="59">
        <v>4.3600000000000003</v>
      </c>
      <c r="F45" s="59">
        <v>4.41</v>
      </c>
      <c r="G45" s="59">
        <v>196.53</v>
      </c>
      <c r="H45" s="59">
        <v>95.52</v>
      </c>
      <c r="I45" s="59">
        <v>0.84</v>
      </c>
      <c r="J45" s="59">
        <v>0.68</v>
      </c>
      <c r="K45" s="59">
        <v>161.51</v>
      </c>
      <c r="L45" s="59">
        <v>26.51</v>
      </c>
      <c r="M45" s="59">
        <v>48.55</v>
      </c>
      <c r="N45" s="59">
        <v>307.2</v>
      </c>
      <c r="O45" s="59">
        <v>0</v>
      </c>
      <c r="P45" s="59">
        <v>1.8</v>
      </c>
      <c r="Q45" s="59">
        <v>34.409999999999997</v>
      </c>
      <c r="R45" s="197"/>
      <c r="S45" s="197"/>
      <c r="T45" s="197"/>
      <c r="U45" s="197"/>
    </row>
    <row r="46" spans="1:21" s="12" customFormat="1" x14ac:dyDescent="0.25">
      <c r="A46" s="200" t="s">
        <v>377</v>
      </c>
      <c r="B46" s="59">
        <v>47.78</v>
      </c>
      <c r="C46" s="59">
        <v>120.02</v>
      </c>
      <c r="D46" s="59">
        <v>103.51</v>
      </c>
      <c r="E46" s="59">
        <v>4.17</v>
      </c>
      <c r="F46" s="59">
        <v>5.13</v>
      </c>
      <c r="G46" s="59">
        <v>196.53</v>
      </c>
      <c r="H46" s="59">
        <v>95.52</v>
      </c>
      <c r="I46" s="59">
        <v>0.82</v>
      </c>
      <c r="J46" s="59">
        <v>0.12</v>
      </c>
      <c r="K46" s="59">
        <v>240.32</v>
      </c>
      <c r="L46" s="59">
        <v>28.43</v>
      </c>
      <c r="M46" s="59">
        <v>42.72</v>
      </c>
      <c r="N46" s="59">
        <v>329.1</v>
      </c>
      <c r="O46" s="59">
        <v>0</v>
      </c>
      <c r="P46" s="59">
        <v>1.77</v>
      </c>
      <c r="Q46" s="59">
        <v>33.14</v>
      </c>
      <c r="R46" s="197"/>
      <c r="S46" s="197"/>
      <c r="T46" s="197"/>
      <c r="U46" s="197"/>
    </row>
    <row r="47" spans="1:21" s="12" customFormat="1" x14ac:dyDescent="0.25">
      <c r="A47" s="200" t="s">
        <v>378</v>
      </c>
      <c r="B47" s="59">
        <v>44.31</v>
      </c>
      <c r="C47" s="59">
        <v>119.89</v>
      </c>
      <c r="D47" s="59">
        <v>100.66</v>
      </c>
      <c r="E47" s="59">
        <v>4.18</v>
      </c>
      <c r="F47" s="59">
        <v>5.55</v>
      </c>
      <c r="G47" s="59">
        <v>124.12</v>
      </c>
      <c r="H47" s="59">
        <v>68.680000000000007</v>
      </c>
      <c r="I47" s="59">
        <v>0.81</v>
      </c>
      <c r="J47" s="59">
        <v>0.19</v>
      </c>
      <c r="K47" s="59">
        <v>224.49</v>
      </c>
      <c r="L47" s="59">
        <v>28.1</v>
      </c>
      <c r="M47" s="59">
        <v>41.21</v>
      </c>
      <c r="N47" s="59">
        <v>355.6</v>
      </c>
      <c r="O47" s="59">
        <v>0</v>
      </c>
      <c r="P47" s="59">
        <v>1.74</v>
      </c>
      <c r="Q47" s="59">
        <v>32.6</v>
      </c>
      <c r="R47" s="197"/>
      <c r="S47" s="197"/>
      <c r="T47" s="197"/>
      <c r="U47" s="197"/>
    </row>
    <row r="48" spans="1:21" s="12" customFormat="1" x14ac:dyDescent="0.25">
      <c r="A48" s="200" t="s">
        <v>379</v>
      </c>
      <c r="B48" s="59">
        <v>37.909999999999997</v>
      </c>
      <c r="C48" s="59">
        <v>119.28</v>
      </c>
      <c r="D48" s="59">
        <v>95.18</v>
      </c>
      <c r="E48" s="59">
        <v>4.26</v>
      </c>
      <c r="F48" s="59">
        <v>5.71</v>
      </c>
      <c r="G48" s="59">
        <v>89.69</v>
      </c>
      <c r="H48" s="59">
        <v>55.26</v>
      </c>
      <c r="I48" s="59">
        <v>0.8</v>
      </c>
      <c r="J48" s="59">
        <v>0.4</v>
      </c>
      <c r="K48" s="59">
        <v>176.41</v>
      </c>
      <c r="L48" s="59">
        <v>28.56</v>
      </c>
      <c r="M48" s="59">
        <v>39.15</v>
      </c>
      <c r="N48" s="59">
        <v>362.7</v>
      </c>
      <c r="O48" s="59">
        <v>0</v>
      </c>
      <c r="P48" s="59">
        <v>1.68</v>
      </c>
      <c r="Q48" s="59">
        <v>32.26</v>
      </c>
      <c r="R48" s="197"/>
      <c r="S48" s="197"/>
      <c r="T48" s="197"/>
      <c r="U48" s="197"/>
    </row>
    <row r="49" spans="1:21" s="12" customFormat="1" x14ac:dyDescent="0.25">
      <c r="A49" s="200" t="s">
        <v>380</v>
      </c>
      <c r="B49" s="59">
        <v>32.76</v>
      </c>
      <c r="C49" s="59">
        <v>115.27</v>
      </c>
      <c r="D49" s="59">
        <v>88.85</v>
      </c>
      <c r="E49" s="59">
        <v>5.23</v>
      </c>
      <c r="F49" s="59">
        <v>7.99</v>
      </c>
      <c r="G49" s="59">
        <v>89.69</v>
      </c>
      <c r="H49" s="59">
        <v>55.26</v>
      </c>
      <c r="I49" s="59">
        <v>0.79</v>
      </c>
      <c r="J49" s="59">
        <v>0.47</v>
      </c>
      <c r="K49" s="59">
        <v>161.24</v>
      </c>
      <c r="L49" s="59">
        <v>29.35</v>
      </c>
      <c r="M49" s="59">
        <v>37.26</v>
      </c>
      <c r="N49" s="59">
        <v>382.2</v>
      </c>
      <c r="O49" s="59">
        <v>0</v>
      </c>
      <c r="P49" s="59">
        <v>1.6</v>
      </c>
      <c r="Q49" s="59">
        <v>32.229999999999997</v>
      </c>
      <c r="R49" s="197"/>
      <c r="S49" s="197"/>
      <c r="T49" s="197"/>
      <c r="U49" s="197"/>
    </row>
    <row r="50" spans="1:21" s="12" customFormat="1" x14ac:dyDescent="0.25">
      <c r="A50" s="200" t="s">
        <v>381</v>
      </c>
      <c r="B50" s="59">
        <v>29.57</v>
      </c>
      <c r="C50" s="59">
        <v>118</v>
      </c>
      <c r="D50" s="59">
        <v>87.79</v>
      </c>
      <c r="E50" s="59">
        <v>5.34</v>
      </c>
      <c r="F50" s="59">
        <v>7.82</v>
      </c>
      <c r="G50" s="59">
        <v>89.69</v>
      </c>
      <c r="H50" s="59">
        <v>55.26</v>
      </c>
      <c r="I50" s="59">
        <v>0.77</v>
      </c>
      <c r="J50" s="59">
        <v>0.23</v>
      </c>
      <c r="K50" s="59">
        <v>199.92</v>
      </c>
      <c r="L50" s="59">
        <v>30.33</v>
      </c>
      <c r="M50" s="59">
        <v>34.58</v>
      </c>
      <c r="N50" s="59">
        <v>383.9</v>
      </c>
      <c r="O50" s="59">
        <v>0</v>
      </c>
      <c r="P50" s="59">
        <v>1.57</v>
      </c>
      <c r="Q50" s="59">
        <v>32.24</v>
      </c>
      <c r="R50" s="197"/>
      <c r="S50" s="197"/>
      <c r="T50" s="197"/>
      <c r="U50" s="197"/>
    </row>
    <row r="51" spans="1:21" s="12" customFormat="1" x14ac:dyDescent="0.25">
      <c r="A51" s="200" t="s">
        <v>382</v>
      </c>
      <c r="B51" s="59">
        <v>25.92</v>
      </c>
      <c r="C51" s="59">
        <v>117.08</v>
      </c>
      <c r="D51" s="59">
        <v>84.36</v>
      </c>
      <c r="E51" s="59">
        <v>6.37</v>
      </c>
      <c r="F51" s="59">
        <v>7.76</v>
      </c>
      <c r="G51" s="59">
        <v>75.45</v>
      </c>
      <c r="H51" s="59">
        <v>53.38</v>
      </c>
      <c r="I51" s="59">
        <v>0.76</v>
      </c>
      <c r="J51" s="59">
        <v>0.06</v>
      </c>
      <c r="K51" s="59">
        <v>200.09</v>
      </c>
      <c r="L51" s="59">
        <v>30.74</v>
      </c>
      <c r="M51" s="59">
        <v>34.39</v>
      </c>
      <c r="N51" s="59">
        <v>393.9</v>
      </c>
      <c r="O51" s="59">
        <v>0</v>
      </c>
      <c r="P51" s="59">
        <v>1.57</v>
      </c>
      <c r="Q51" s="59">
        <v>32.18</v>
      </c>
      <c r="R51" s="197"/>
      <c r="S51" s="197"/>
      <c r="T51" s="197"/>
      <c r="U51" s="197"/>
    </row>
    <row r="52" spans="1:21" s="12" customFormat="1" x14ac:dyDescent="0.25">
      <c r="A52" s="200" t="s">
        <v>383</v>
      </c>
      <c r="B52" s="59">
        <v>24.52</v>
      </c>
      <c r="C52" s="59">
        <v>121.24</v>
      </c>
      <c r="D52" s="59">
        <v>85.53</v>
      </c>
      <c r="E52" s="59">
        <v>7.35</v>
      </c>
      <c r="F52" s="59">
        <v>6.28</v>
      </c>
      <c r="G52" s="59">
        <v>68.34</v>
      </c>
      <c r="H52" s="59">
        <v>52.45</v>
      </c>
      <c r="I52" s="59">
        <v>0.76</v>
      </c>
      <c r="J52" s="59">
        <v>0.31</v>
      </c>
      <c r="K52" s="59">
        <v>354.29</v>
      </c>
      <c r="L52" s="59">
        <v>33.31</v>
      </c>
      <c r="M52" s="59">
        <v>30.56</v>
      </c>
      <c r="N52" s="59">
        <v>390.5</v>
      </c>
      <c r="O52" s="59">
        <v>0</v>
      </c>
      <c r="P52" s="59">
        <v>1.6</v>
      </c>
      <c r="Q52" s="59">
        <v>32.64</v>
      </c>
      <c r="R52" s="197"/>
      <c r="S52" s="197"/>
      <c r="T52" s="197"/>
      <c r="U52" s="197"/>
    </row>
    <row r="53" spans="1:21" s="12" customFormat="1" x14ac:dyDescent="0.25">
      <c r="A53" s="200" t="s">
        <v>384</v>
      </c>
      <c r="B53" s="59">
        <v>23.07</v>
      </c>
      <c r="C53" s="59">
        <v>127.99</v>
      </c>
      <c r="D53" s="59">
        <v>88.09</v>
      </c>
      <c r="E53" s="59">
        <v>5.66</v>
      </c>
      <c r="F53" s="59">
        <v>5.61</v>
      </c>
      <c r="G53" s="59">
        <v>68.34</v>
      </c>
      <c r="H53" s="59">
        <v>52.45</v>
      </c>
      <c r="I53" s="59">
        <v>0.76</v>
      </c>
      <c r="J53" s="59">
        <v>0.24</v>
      </c>
      <c r="K53" s="59">
        <v>299.68</v>
      </c>
      <c r="L53" s="59">
        <v>32.92</v>
      </c>
      <c r="M53" s="59">
        <v>30.96</v>
      </c>
      <c r="N53" s="59">
        <v>400.1</v>
      </c>
      <c r="O53" s="59">
        <v>0</v>
      </c>
      <c r="P53" s="59">
        <v>1.62</v>
      </c>
      <c r="Q53" s="59">
        <v>34.049999999999997</v>
      </c>
      <c r="R53" s="197"/>
      <c r="S53" s="197"/>
      <c r="T53" s="197"/>
      <c r="U53" s="197"/>
    </row>
    <row r="54" spans="1:21" s="12" customFormat="1" x14ac:dyDescent="0.25">
      <c r="A54" s="200" t="s">
        <v>385</v>
      </c>
      <c r="B54" s="59">
        <v>19.62</v>
      </c>
      <c r="C54" s="59">
        <v>133.35</v>
      </c>
      <c r="D54" s="59">
        <v>88.28</v>
      </c>
      <c r="E54" s="59">
        <v>5.93</v>
      </c>
      <c r="F54" s="59">
        <v>5.14</v>
      </c>
      <c r="G54" s="59">
        <v>68.34</v>
      </c>
      <c r="H54" s="59">
        <v>52.45</v>
      </c>
      <c r="I54" s="59">
        <v>0.76</v>
      </c>
      <c r="J54" s="59">
        <v>0.65</v>
      </c>
      <c r="K54" s="59">
        <v>4.01</v>
      </c>
      <c r="L54" s="59">
        <v>34.89</v>
      </c>
      <c r="M54" s="59">
        <v>28.38</v>
      </c>
      <c r="N54" s="59">
        <v>398.9</v>
      </c>
      <c r="O54" s="59">
        <v>0</v>
      </c>
      <c r="P54" s="59">
        <v>1.63</v>
      </c>
      <c r="Q54" s="59">
        <v>34.380000000000003</v>
      </c>
      <c r="R54" s="197"/>
      <c r="S54" s="197"/>
      <c r="T54" s="197"/>
      <c r="U54" s="197"/>
    </row>
    <row r="55" spans="1:21" s="12" customFormat="1" x14ac:dyDescent="0.25">
      <c r="A55" s="200" t="s">
        <v>386</v>
      </c>
      <c r="B55" s="59">
        <v>14.73</v>
      </c>
      <c r="C55" s="59">
        <v>134.86000000000001</v>
      </c>
      <c r="D55" s="59">
        <v>85.19</v>
      </c>
      <c r="E55" s="59">
        <v>5.81</v>
      </c>
      <c r="F55" s="59">
        <v>6.03</v>
      </c>
      <c r="G55" s="59">
        <v>128.6</v>
      </c>
      <c r="H55" s="59">
        <v>64.37</v>
      </c>
      <c r="I55" s="59">
        <v>0.76</v>
      </c>
      <c r="J55" s="59">
        <v>0.26</v>
      </c>
      <c r="K55" s="59">
        <v>348.25</v>
      </c>
      <c r="L55" s="59">
        <v>34.92</v>
      </c>
      <c r="M55" s="59">
        <v>26.03</v>
      </c>
      <c r="N55" s="59">
        <v>418</v>
      </c>
      <c r="O55" s="59">
        <v>0</v>
      </c>
      <c r="P55" s="59">
        <v>1.64</v>
      </c>
      <c r="Q55" s="59">
        <v>34.369999999999997</v>
      </c>
      <c r="R55" s="197"/>
      <c r="S55" s="197"/>
      <c r="T55" s="197"/>
      <c r="U55" s="197"/>
    </row>
    <row r="56" spans="1:21" s="12" customFormat="1" x14ac:dyDescent="0.25">
      <c r="A56" s="200" t="s">
        <v>387</v>
      </c>
      <c r="B56" s="59">
        <v>11.09</v>
      </c>
      <c r="C56" s="59">
        <v>137.72</v>
      </c>
      <c r="D56" s="59">
        <v>83.86</v>
      </c>
      <c r="E56" s="59">
        <v>2.5499999999999998</v>
      </c>
      <c r="F56" s="59">
        <v>5.79</v>
      </c>
      <c r="G56" s="59">
        <v>157.25</v>
      </c>
      <c r="H56" s="59">
        <v>70.33</v>
      </c>
      <c r="I56" s="59">
        <v>0.74</v>
      </c>
      <c r="J56" s="59">
        <v>0.22</v>
      </c>
      <c r="K56" s="59">
        <v>359.78</v>
      </c>
      <c r="L56" s="59">
        <v>33.99</v>
      </c>
      <c r="M56" s="59">
        <v>25.75</v>
      </c>
      <c r="N56" s="59">
        <v>438.9</v>
      </c>
      <c r="O56" s="59">
        <v>0</v>
      </c>
      <c r="P56" s="59">
        <v>1.61</v>
      </c>
      <c r="Q56" s="59">
        <v>33.89</v>
      </c>
      <c r="R56" s="197"/>
      <c r="S56" s="197"/>
      <c r="T56" s="197"/>
      <c r="U56" s="197"/>
    </row>
    <row r="57" spans="1:21" s="12" customFormat="1" x14ac:dyDescent="0.25">
      <c r="A57" s="200" t="s">
        <v>388</v>
      </c>
      <c r="B57" s="59">
        <v>7.52</v>
      </c>
      <c r="C57" s="59">
        <v>140.77000000000001</v>
      </c>
      <c r="D57" s="59">
        <v>82.68</v>
      </c>
      <c r="E57" s="59">
        <v>6.52</v>
      </c>
      <c r="F57" s="59">
        <v>7.57</v>
      </c>
      <c r="G57" s="59">
        <v>157.25</v>
      </c>
      <c r="H57" s="59">
        <v>70.33</v>
      </c>
      <c r="I57" s="59">
        <v>0.73</v>
      </c>
      <c r="J57" s="59">
        <v>0.84</v>
      </c>
      <c r="K57" s="59">
        <v>357.91</v>
      </c>
      <c r="L57" s="59">
        <v>36.46</v>
      </c>
      <c r="M57" s="59">
        <v>23.34</v>
      </c>
      <c r="N57" s="59">
        <v>446</v>
      </c>
      <c r="O57" s="59">
        <v>0</v>
      </c>
      <c r="P57" s="59">
        <v>1.56</v>
      </c>
      <c r="Q57" s="59">
        <v>33.130000000000003</v>
      </c>
      <c r="R57" s="197"/>
      <c r="S57" s="197"/>
      <c r="T57" s="197"/>
      <c r="U57" s="197"/>
    </row>
    <row r="58" spans="1:21" s="12" customFormat="1" x14ac:dyDescent="0.25">
      <c r="A58" s="200" t="s">
        <v>389</v>
      </c>
      <c r="B58" s="59">
        <v>5.65</v>
      </c>
      <c r="C58" s="59">
        <v>135.38</v>
      </c>
      <c r="D58" s="59">
        <v>78.2</v>
      </c>
      <c r="E58" s="59">
        <v>7.13</v>
      </c>
      <c r="F58" s="59">
        <v>8.24</v>
      </c>
      <c r="G58" s="59">
        <v>157.25</v>
      </c>
      <c r="H58" s="59">
        <v>70.33</v>
      </c>
      <c r="I58" s="59">
        <v>0.71</v>
      </c>
      <c r="J58" s="59">
        <v>0.56999999999999995</v>
      </c>
      <c r="K58" s="59">
        <v>4.42</v>
      </c>
      <c r="L58" s="59">
        <v>37.270000000000003</v>
      </c>
      <c r="M58" s="59">
        <v>21.84</v>
      </c>
      <c r="N58" s="59">
        <v>445</v>
      </c>
      <c r="O58" s="59">
        <v>0</v>
      </c>
      <c r="P58" s="59">
        <v>1.53</v>
      </c>
      <c r="Q58" s="59">
        <v>32.75</v>
      </c>
      <c r="R58" s="197"/>
      <c r="S58" s="197"/>
      <c r="T58" s="197"/>
      <c r="U58" s="197"/>
    </row>
    <row r="59" spans="1:21" s="12" customFormat="1" x14ac:dyDescent="0.25">
      <c r="A59" s="200" t="s">
        <v>390</v>
      </c>
      <c r="B59" s="59">
        <v>3.94</v>
      </c>
      <c r="C59" s="59">
        <v>125.75</v>
      </c>
      <c r="D59" s="59">
        <v>71.52</v>
      </c>
      <c r="E59" s="59">
        <v>11.58</v>
      </c>
      <c r="F59" s="59">
        <v>18.04</v>
      </c>
      <c r="G59" s="59">
        <v>109.46</v>
      </c>
      <c r="H59" s="59">
        <v>57.1</v>
      </c>
      <c r="I59" s="59">
        <v>0.7</v>
      </c>
      <c r="J59" s="59">
        <v>0.66</v>
      </c>
      <c r="K59" s="59">
        <v>9.16</v>
      </c>
      <c r="L59" s="59">
        <v>37.119999999999997</v>
      </c>
      <c r="M59" s="59">
        <v>22.21</v>
      </c>
      <c r="N59" s="59">
        <v>439.8</v>
      </c>
      <c r="O59" s="59">
        <v>0</v>
      </c>
      <c r="P59" s="59">
        <v>1.42</v>
      </c>
      <c r="Q59" s="59">
        <v>31.99</v>
      </c>
      <c r="R59" s="197"/>
      <c r="S59" s="197"/>
      <c r="T59" s="197"/>
      <c r="U59" s="197"/>
    </row>
    <row r="60" spans="1:21" s="12" customFormat="1" x14ac:dyDescent="0.25">
      <c r="A60" s="200" t="s">
        <v>391</v>
      </c>
      <c r="B60" s="59">
        <v>3.21</v>
      </c>
      <c r="C60" s="59">
        <v>122.54</v>
      </c>
      <c r="D60" s="59">
        <v>69.16</v>
      </c>
      <c r="E60" s="59">
        <v>10</v>
      </c>
      <c r="F60" s="59">
        <v>15.15</v>
      </c>
      <c r="G60" s="59">
        <v>85.56</v>
      </c>
      <c r="H60" s="59">
        <v>50.48</v>
      </c>
      <c r="I60" s="59">
        <v>0.69</v>
      </c>
      <c r="J60" s="59">
        <v>0.19</v>
      </c>
      <c r="K60" s="59">
        <v>9.7899999999999991</v>
      </c>
      <c r="L60" s="59">
        <v>36.159999999999997</v>
      </c>
      <c r="M60" s="59">
        <v>23.8</v>
      </c>
      <c r="N60" s="59">
        <v>413.3</v>
      </c>
      <c r="O60" s="59">
        <v>0</v>
      </c>
      <c r="P60" s="59">
        <v>1.41</v>
      </c>
      <c r="Q60" s="59">
        <v>31.01</v>
      </c>
      <c r="R60" s="197"/>
      <c r="S60" s="197"/>
      <c r="T60" s="197"/>
      <c r="U60" s="197"/>
    </row>
    <row r="61" spans="1:21" s="12" customFormat="1" x14ac:dyDescent="0.25">
      <c r="A61" s="200" t="s">
        <v>392</v>
      </c>
      <c r="B61" s="59">
        <v>3.12</v>
      </c>
      <c r="C61" s="59">
        <v>122.81</v>
      </c>
      <c r="D61" s="59">
        <v>69.239999999999995</v>
      </c>
      <c r="E61" s="59">
        <v>7.62</v>
      </c>
      <c r="F61" s="59">
        <v>11.99</v>
      </c>
      <c r="G61" s="59">
        <v>85.56</v>
      </c>
      <c r="H61" s="59">
        <v>50.48</v>
      </c>
      <c r="I61" s="59">
        <v>0.66</v>
      </c>
      <c r="J61" s="59">
        <v>0.94</v>
      </c>
      <c r="K61" s="59">
        <v>347.23</v>
      </c>
      <c r="L61" s="59">
        <v>36.159999999999997</v>
      </c>
      <c r="M61" s="59">
        <v>24.69</v>
      </c>
      <c r="N61" s="59">
        <v>380.4</v>
      </c>
      <c r="O61" s="59">
        <v>0</v>
      </c>
      <c r="P61" s="59">
        <v>1.36</v>
      </c>
      <c r="Q61" s="59">
        <v>30.4</v>
      </c>
      <c r="R61" s="197"/>
      <c r="S61" s="197"/>
      <c r="T61" s="197"/>
      <c r="U61" s="197"/>
    </row>
    <row r="62" spans="1:21" s="12" customFormat="1" x14ac:dyDescent="0.25">
      <c r="A62" s="200" t="s">
        <v>393</v>
      </c>
      <c r="B62" s="59">
        <v>3.3</v>
      </c>
      <c r="C62" s="59">
        <v>122.28</v>
      </c>
      <c r="D62" s="59">
        <v>69.09</v>
      </c>
      <c r="E62" s="59">
        <v>11.66</v>
      </c>
      <c r="F62" s="59">
        <v>11.32</v>
      </c>
      <c r="G62" s="59">
        <v>85.56</v>
      </c>
      <c r="H62" s="59">
        <v>50.48</v>
      </c>
      <c r="I62" s="59">
        <v>0.65</v>
      </c>
      <c r="J62" s="59">
        <v>0.66</v>
      </c>
      <c r="K62" s="59">
        <v>343.7</v>
      </c>
      <c r="L62" s="59">
        <v>37.58</v>
      </c>
      <c r="M62" s="59">
        <v>21.99</v>
      </c>
      <c r="N62" s="59">
        <v>385.4</v>
      </c>
      <c r="O62" s="59">
        <v>0</v>
      </c>
      <c r="P62" s="59">
        <v>1.38</v>
      </c>
      <c r="Q62" s="59">
        <v>30.03</v>
      </c>
      <c r="R62" s="197"/>
      <c r="S62" s="197"/>
      <c r="T62" s="197"/>
      <c r="U62" s="197"/>
    </row>
    <row r="63" spans="1:21" s="12" customFormat="1" x14ac:dyDescent="0.25">
      <c r="A63" s="200" t="s">
        <v>394</v>
      </c>
      <c r="B63" s="59">
        <v>3.64</v>
      </c>
      <c r="C63" s="59">
        <v>122.28</v>
      </c>
      <c r="D63" s="59">
        <v>69.36</v>
      </c>
      <c r="E63" s="59">
        <v>6.93</v>
      </c>
      <c r="F63" s="59">
        <v>9.3699999999999992</v>
      </c>
      <c r="G63" s="59">
        <v>85.76</v>
      </c>
      <c r="H63" s="59">
        <v>49.06</v>
      </c>
      <c r="I63" s="59">
        <v>0.66</v>
      </c>
      <c r="J63" s="59">
        <v>0.84</v>
      </c>
      <c r="K63" s="59">
        <v>354.96</v>
      </c>
      <c r="L63" s="59">
        <v>37.700000000000003</v>
      </c>
      <c r="M63" s="59">
        <v>23.15</v>
      </c>
      <c r="N63" s="59">
        <v>382.7</v>
      </c>
      <c r="O63" s="59">
        <v>0</v>
      </c>
      <c r="P63" s="59">
        <v>1.37</v>
      </c>
      <c r="Q63" s="59">
        <v>29.74</v>
      </c>
      <c r="R63" s="197"/>
      <c r="S63" s="197"/>
      <c r="T63" s="197"/>
      <c r="U63" s="197"/>
    </row>
    <row r="64" spans="1:21" s="12" customFormat="1" x14ac:dyDescent="0.25">
      <c r="A64" s="200" t="s">
        <v>395</v>
      </c>
      <c r="B64" s="59">
        <v>6.53</v>
      </c>
      <c r="C64" s="59">
        <v>120.17</v>
      </c>
      <c r="D64" s="59">
        <v>70.52</v>
      </c>
      <c r="E64" s="59">
        <v>10.44</v>
      </c>
      <c r="F64" s="59">
        <v>12.28</v>
      </c>
      <c r="G64" s="59">
        <v>85.85</v>
      </c>
      <c r="H64" s="59">
        <v>48.35</v>
      </c>
      <c r="I64" s="59">
        <v>0.66</v>
      </c>
      <c r="J64" s="59">
        <v>0.87</v>
      </c>
      <c r="K64" s="59">
        <v>355.95</v>
      </c>
      <c r="L64" s="59">
        <v>37.96</v>
      </c>
      <c r="M64" s="59">
        <v>22.4</v>
      </c>
      <c r="N64" s="59">
        <v>369.2</v>
      </c>
      <c r="O64" s="59">
        <v>0</v>
      </c>
      <c r="P64" s="59">
        <v>1.31</v>
      </c>
      <c r="Q64" s="59">
        <v>29.84</v>
      </c>
      <c r="R64" s="197"/>
      <c r="S64" s="197"/>
      <c r="T64" s="197"/>
      <c r="U64" s="197"/>
    </row>
    <row r="65" spans="1:21" s="12" customFormat="1" x14ac:dyDescent="0.25">
      <c r="A65" s="200" t="s">
        <v>396</v>
      </c>
      <c r="B65" s="59">
        <v>4.5999999999999996</v>
      </c>
      <c r="C65" s="59">
        <v>106.22</v>
      </c>
      <c r="D65" s="59">
        <v>61.26</v>
      </c>
      <c r="E65" s="59">
        <v>17.71</v>
      </c>
      <c r="F65" s="59">
        <v>27.55</v>
      </c>
      <c r="G65" s="59">
        <v>85.85</v>
      </c>
      <c r="H65" s="59">
        <v>48.35</v>
      </c>
      <c r="I65" s="59">
        <v>0.67</v>
      </c>
      <c r="J65" s="59">
        <v>0.83</v>
      </c>
      <c r="K65" s="59">
        <v>14.38</v>
      </c>
      <c r="L65" s="59">
        <v>37.54</v>
      </c>
      <c r="M65" s="59">
        <v>21.85</v>
      </c>
      <c r="N65" s="59">
        <v>362.3</v>
      </c>
      <c r="O65" s="59">
        <v>0</v>
      </c>
      <c r="P65" s="59">
        <v>1.2</v>
      </c>
      <c r="Q65" s="59">
        <v>30.18</v>
      </c>
      <c r="R65" s="197"/>
      <c r="S65" s="197"/>
      <c r="T65" s="197"/>
      <c r="U65" s="197"/>
    </row>
    <row r="66" spans="1:21" s="12" customFormat="1" x14ac:dyDescent="0.25">
      <c r="A66" s="200" t="s">
        <v>397</v>
      </c>
      <c r="B66" s="59">
        <v>4.83</v>
      </c>
      <c r="C66" s="59">
        <v>110.54</v>
      </c>
      <c r="D66" s="59">
        <v>63.83</v>
      </c>
      <c r="E66" s="59">
        <v>11.67</v>
      </c>
      <c r="F66" s="59">
        <v>17.75</v>
      </c>
      <c r="G66" s="59">
        <v>85.85</v>
      </c>
      <c r="H66" s="59">
        <v>48.35</v>
      </c>
      <c r="I66" s="59">
        <v>0.65</v>
      </c>
      <c r="J66" s="59">
        <v>0.81</v>
      </c>
      <c r="K66" s="59">
        <v>5.83</v>
      </c>
      <c r="L66" s="59">
        <v>37.729999999999997</v>
      </c>
      <c r="M66" s="59">
        <v>21.66</v>
      </c>
      <c r="N66" s="59">
        <v>353.4</v>
      </c>
      <c r="O66" s="59">
        <v>0</v>
      </c>
      <c r="P66" s="59">
        <v>1.25</v>
      </c>
      <c r="Q66" s="59">
        <v>30.58</v>
      </c>
      <c r="R66" s="197"/>
      <c r="S66" s="197"/>
      <c r="T66" s="197"/>
      <c r="U66" s="197"/>
    </row>
    <row r="67" spans="1:21" s="12" customFormat="1" x14ac:dyDescent="0.25">
      <c r="A67" s="200" t="s">
        <v>398</v>
      </c>
      <c r="B67" s="59">
        <v>5.59</v>
      </c>
      <c r="C67" s="59">
        <v>116.99</v>
      </c>
      <c r="D67" s="59">
        <v>68.010000000000005</v>
      </c>
      <c r="E67" s="59">
        <v>10.73</v>
      </c>
      <c r="F67" s="59">
        <v>11.8</v>
      </c>
      <c r="G67" s="59">
        <v>79.400000000000006</v>
      </c>
      <c r="H67" s="59">
        <v>41.5</v>
      </c>
      <c r="I67" s="59">
        <v>0.64</v>
      </c>
      <c r="J67" s="59">
        <v>0.8</v>
      </c>
      <c r="K67" s="59">
        <v>10.210000000000001</v>
      </c>
      <c r="L67" s="59">
        <v>37.4</v>
      </c>
      <c r="M67" s="59">
        <v>21.87</v>
      </c>
      <c r="N67" s="59">
        <v>331</v>
      </c>
      <c r="O67" s="59">
        <v>0</v>
      </c>
      <c r="P67" s="59">
        <v>1.25</v>
      </c>
      <c r="Q67" s="59">
        <v>32.17</v>
      </c>
      <c r="R67" s="197"/>
      <c r="S67" s="197"/>
      <c r="T67" s="197"/>
      <c r="U67" s="197"/>
    </row>
    <row r="68" spans="1:21" s="12" customFormat="1" x14ac:dyDescent="0.25">
      <c r="A68" s="200" t="s">
        <v>399</v>
      </c>
      <c r="B68" s="59">
        <v>4.5599999999999996</v>
      </c>
      <c r="C68" s="59">
        <v>110.4</v>
      </c>
      <c r="D68" s="59">
        <v>63.54</v>
      </c>
      <c r="E68" s="59">
        <v>11.22</v>
      </c>
      <c r="F68" s="59">
        <v>19.3</v>
      </c>
      <c r="G68" s="59">
        <v>76.33</v>
      </c>
      <c r="H68" s="59">
        <v>38.07</v>
      </c>
      <c r="I68" s="59">
        <v>0.64</v>
      </c>
      <c r="J68" s="59">
        <v>0.97</v>
      </c>
      <c r="K68" s="59">
        <v>14.92</v>
      </c>
      <c r="L68" s="59">
        <v>37.58</v>
      </c>
      <c r="M68" s="59">
        <v>20.34</v>
      </c>
      <c r="N68" s="59">
        <v>309.5</v>
      </c>
      <c r="O68" s="59">
        <v>0</v>
      </c>
      <c r="P68" s="59">
        <v>1.2</v>
      </c>
      <c r="Q68" s="59">
        <v>32.94</v>
      </c>
      <c r="R68" s="197"/>
      <c r="S68" s="197"/>
      <c r="T68" s="197"/>
      <c r="U68" s="197"/>
    </row>
    <row r="69" spans="1:21" s="12" customFormat="1" x14ac:dyDescent="0.25">
      <c r="A69" s="200" t="s">
        <v>400</v>
      </c>
      <c r="B69" s="59">
        <v>4.13</v>
      </c>
      <c r="C69" s="59">
        <v>112.95</v>
      </c>
      <c r="D69" s="59">
        <v>64.61</v>
      </c>
      <c r="E69" s="59">
        <v>8.1999999999999993</v>
      </c>
      <c r="F69" s="59">
        <v>11.7</v>
      </c>
      <c r="G69" s="59">
        <v>76.33</v>
      </c>
      <c r="H69" s="59">
        <v>38.07</v>
      </c>
      <c r="I69" s="59">
        <v>0.65</v>
      </c>
      <c r="J69" s="59">
        <v>1.1200000000000001</v>
      </c>
      <c r="K69" s="59">
        <v>6.09</v>
      </c>
      <c r="L69" s="59">
        <v>37.19</v>
      </c>
      <c r="M69" s="59">
        <v>20.38</v>
      </c>
      <c r="N69" s="59">
        <v>289.2</v>
      </c>
      <c r="O69" s="59">
        <v>0</v>
      </c>
      <c r="P69" s="59">
        <v>1.19</v>
      </c>
      <c r="Q69" s="59">
        <v>32.97</v>
      </c>
      <c r="R69" s="197"/>
      <c r="S69" s="197"/>
      <c r="T69" s="197"/>
      <c r="U69" s="197"/>
    </row>
    <row r="70" spans="1:21" s="12" customFormat="1" x14ac:dyDescent="0.25">
      <c r="A70" s="200" t="s">
        <v>401</v>
      </c>
      <c r="B70" s="59">
        <v>3.74</v>
      </c>
      <c r="C70" s="59">
        <v>106.39</v>
      </c>
      <c r="D70" s="59">
        <v>60.67</v>
      </c>
      <c r="E70" s="59">
        <v>10.95</v>
      </c>
      <c r="F70" s="59">
        <v>22.29</v>
      </c>
      <c r="G70" s="59">
        <v>76.33</v>
      </c>
      <c r="H70" s="59">
        <v>38.07</v>
      </c>
      <c r="I70" s="59">
        <v>0.65</v>
      </c>
      <c r="J70" s="59">
        <v>0.6</v>
      </c>
      <c r="K70" s="59">
        <v>15.42</v>
      </c>
      <c r="L70" s="59">
        <v>36.42</v>
      </c>
      <c r="M70" s="59">
        <v>20.78</v>
      </c>
      <c r="N70" s="59">
        <v>261.60000000000002</v>
      </c>
      <c r="O70" s="59">
        <v>0</v>
      </c>
      <c r="P70" s="59">
        <v>1.1200000000000001</v>
      </c>
      <c r="Q70" s="59">
        <v>32.520000000000003</v>
      </c>
      <c r="R70" s="197"/>
      <c r="S70" s="197"/>
      <c r="T70" s="197"/>
      <c r="U70" s="197"/>
    </row>
    <row r="71" spans="1:21" s="12" customFormat="1" x14ac:dyDescent="0.25">
      <c r="A71" s="200" t="s">
        <v>402</v>
      </c>
      <c r="B71" s="59">
        <v>2.85</v>
      </c>
      <c r="C71" s="59">
        <v>109.14</v>
      </c>
      <c r="D71" s="59">
        <v>61.48</v>
      </c>
      <c r="E71" s="59">
        <v>12.17</v>
      </c>
      <c r="F71" s="59">
        <v>12.73</v>
      </c>
      <c r="G71" s="59">
        <v>59.16</v>
      </c>
      <c r="H71" s="59">
        <v>30.9</v>
      </c>
      <c r="I71" s="59">
        <v>0.65</v>
      </c>
      <c r="J71" s="59">
        <v>0.56999999999999995</v>
      </c>
      <c r="K71" s="59">
        <v>1.46</v>
      </c>
      <c r="L71" s="59">
        <v>36.6</v>
      </c>
      <c r="M71" s="59">
        <v>21.51</v>
      </c>
      <c r="N71" s="59">
        <v>235.1</v>
      </c>
      <c r="O71" s="59">
        <v>0</v>
      </c>
      <c r="P71" s="59">
        <v>1.1299999999999999</v>
      </c>
      <c r="Q71" s="59">
        <v>32.22</v>
      </c>
      <c r="R71" s="197"/>
      <c r="S71" s="197"/>
      <c r="T71" s="197"/>
      <c r="U71" s="197"/>
    </row>
    <row r="72" spans="1:21" s="12" customFormat="1" x14ac:dyDescent="0.25">
      <c r="A72" s="200" t="s">
        <v>403</v>
      </c>
      <c r="B72" s="59">
        <v>4.24</v>
      </c>
      <c r="C72" s="59">
        <v>110.84</v>
      </c>
      <c r="D72" s="59">
        <v>63.52</v>
      </c>
      <c r="E72" s="59">
        <v>9.89</v>
      </c>
      <c r="F72" s="59">
        <v>15.35</v>
      </c>
      <c r="G72" s="59">
        <v>50.99</v>
      </c>
      <c r="H72" s="59">
        <v>27.31</v>
      </c>
      <c r="I72" s="59">
        <v>0.63</v>
      </c>
      <c r="J72" s="59">
        <v>1.22</v>
      </c>
      <c r="K72" s="59">
        <v>15</v>
      </c>
      <c r="L72" s="59">
        <v>36.14</v>
      </c>
      <c r="M72" s="59">
        <v>21.47</v>
      </c>
      <c r="N72" s="59">
        <v>175.5</v>
      </c>
      <c r="O72" s="59">
        <v>0</v>
      </c>
      <c r="P72" s="59">
        <v>1.1100000000000001</v>
      </c>
      <c r="Q72" s="59">
        <v>31.91</v>
      </c>
      <c r="R72" s="197"/>
      <c r="S72" s="197"/>
      <c r="T72" s="197"/>
      <c r="U72" s="197"/>
    </row>
    <row r="73" spans="1:21" s="12" customFormat="1" x14ac:dyDescent="0.25">
      <c r="A73" s="200" t="s">
        <v>404</v>
      </c>
      <c r="B73" s="59">
        <v>4.1399999999999997</v>
      </c>
      <c r="C73" s="59">
        <v>107.91</v>
      </c>
      <c r="D73" s="59">
        <v>61.83</v>
      </c>
      <c r="E73" s="59">
        <v>9.9700000000000006</v>
      </c>
      <c r="F73" s="59">
        <v>15.73</v>
      </c>
      <c r="G73" s="59">
        <v>50.99</v>
      </c>
      <c r="H73" s="59">
        <v>27.31</v>
      </c>
      <c r="I73" s="59">
        <v>0.63</v>
      </c>
      <c r="J73" s="59">
        <v>1.03</v>
      </c>
      <c r="K73" s="59">
        <v>8.52</v>
      </c>
      <c r="L73" s="59">
        <v>35.4</v>
      </c>
      <c r="M73" s="59">
        <v>22.87</v>
      </c>
      <c r="N73" s="59">
        <v>138.5</v>
      </c>
      <c r="O73" s="59">
        <v>0</v>
      </c>
      <c r="P73" s="59">
        <v>1.08</v>
      </c>
      <c r="Q73" s="59">
        <v>31.47</v>
      </c>
      <c r="R73" s="197"/>
      <c r="S73" s="197"/>
      <c r="T73" s="197"/>
      <c r="U73" s="197"/>
    </row>
    <row r="74" spans="1:21" s="12" customFormat="1" x14ac:dyDescent="0.25">
      <c r="A74" s="200" t="s">
        <v>405</v>
      </c>
      <c r="B74" s="59">
        <v>4.53</v>
      </c>
      <c r="C74" s="59">
        <v>109.38</v>
      </c>
      <c r="D74" s="59">
        <v>62.96</v>
      </c>
      <c r="E74" s="59">
        <v>8.82</v>
      </c>
      <c r="F74" s="59">
        <v>11.75</v>
      </c>
      <c r="G74" s="59">
        <v>50.99</v>
      </c>
      <c r="H74" s="59">
        <v>27.31</v>
      </c>
      <c r="I74" s="59">
        <v>0.63</v>
      </c>
      <c r="J74" s="59">
        <v>1.07</v>
      </c>
      <c r="K74" s="59">
        <v>349.52</v>
      </c>
      <c r="L74" s="59">
        <v>34.69</v>
      </c>
      <c r="M74" s="59">
        <v>24.31</v>
      </c>
      <c r="N74" s="59">
        <v>108.2</v>
      </c>
      <c r="O74" s="59">
        <v>0</v>
      </c>
      <c r="P74" s="59">
        <v>1.0900000000000001</v>
      </c>
      <c r="Q74" s="59">
        <v>30.77</v>
      </c>
      <c r="R74" s="197"/>
      <c r="S74" s="197"/>
      <c r="T74" s="197"/>
      <c r="U74" s="197"/>
    </row>
    <row r="75" spans="1:21" s="12" customFormat="1" x14ac:dyDescent="0.25">
      <c r="A75" s="200" t="s">
        <v>406</v>
      </c>
      <c r="B75" s="59">
        <v>5.19</v>
      </c>
      <c r="C75" s="59">
        <v>106.56</v>
      </c>
      <c r="D75" s="59">
        <v>61.93</v>
      </c>
      <c r="E75" s="59">
        <v>12.41</v>
      </c>
      <c r="F75" s="59">
        <v>20.56</v>
      </c>
      <c r="G75" s="59">
        <v>56.83</v>
      </c>
      <c r="H75" s="59">
        <v>26.84</v>
      </c>
      <c r="I75" s="59">
        <v>0.62</v>
      </c>
      <c r="J75" s="59">
        <v>1.23</v>
      </c>
      <c r="K75" s="59">
        <v>12.35</v>
      </c>
      <c r="L75" s="59">
        <v>33.67</v>
      </c>
      <c r="M75" s="59">
        <v>25.99</v>
      </c>
      <c r="N75" s="59">
        <v>82.6</v>
      </c>
      <c r="O75" s="59">
        <v>0</v>
      </c>
      <c r="P75" s="59">
        <v>1.06</v>
      </c>
      <c r="Q75" s="59">
        <v>30.17</v>
      </c>
      <c r="R75" s="197"/>
      <c r="S75" s="197"/>
      <c r="T75" s="197"/>
      <c r="U75" s="197"/>
    </row>
    <row r="76" spans="1:21" s="12" customFormat="1" x14ac:dyDescent="0.25">
      <c r="A76" s="200" t="s">
        <v>407</v>
      </c>
      <c r="B76" s="59">
        <v>5.79</v>
      </c>
      <c r="C76" s="59">
        <v>107.06</v>
      </c>
      <c r="D76" s="59">
        <v>62.68</v>
      </c>
      <c r="E76" s="59">
        <v>15.39</v>
      </c>
      <c r="F76" s="59">
        <v>23.45</v>
      </c>
      <c r="G76" s="59">
        <v>59.6</v>
      </c>
      <c r="H76" s="59">
        <v>26.61</v>
      </c>
      <c r="I76" s="59">
        <v>0.62</v>
      </c>
      <c r="J76" s="59">
        <v>1.06</v>
      </c>
      <c r="K76" s="59">
        <v>9.99</v>
      </c>
      <c r="L76" s="59">
        <v>32.83</v>
      </c>
      <c r="M76" s="59">
        <v>28.2</v>
      </c>
      <c r="N76" s="59">
        <v>57.3</v>
      </c>
      <c r="O76" s="59">
        <v>0</v>
      </c>
      <c r="P76" s="59">
        <v>1.07</v>
      </c>
      <c r="Q76" s="59">
        <v>29.8</v>
      </c>
      <c r="R76" s="197"/>
      <c r="S76" s="197"/>
      <c r="T76" s="197"/>
      <c r="U76" s="197"/>
    </row>
    <row r="77" spans="1:21" s="12" customFormat="1" x14ac:dyDescent="0.25">
      <c r="A77" s="200" t="s">
        <v>408</v>
      </c>
      <c r="B77" s="59">
        <v>8.1300000000000008</v>
      </c>
      <c r="C77" s="59">
        <v>102.56</v>
      </c>
      <c r="D77" s="59">
        <v>62.08</v>
      </c>
      <c r="E77" s="59">
        <v>16.23</v>
      </c>
      <c r="F77" s="59">
        <v>25.7</v>
      </c>
      <c r="G77" s="59">
        <v>59.6</v>
      </c>
      <c r="H77" s="59">
        <v>26.61</v>
      </c>
      <c r="I77" s="59">
        <v>0.61</v>
      </c>
      <c r="J77" s="59">
        <v>1</v>
      </c>
      <c r="K77" s="59">
        <v>13.02</v>
      </c>
      <c r="L77" s="59">
        <v>32.380000000000003</v>
      </c>
      <c r="M77" s="59">
        <v>27.93</v>
      </c>
      <c r="N77" s="59">
        <v>43.1</v>
      </c>
      <c r="O77" s="59">
        <v>0</v>
      </c>
      <c r="P77" s="59">
        <v>1.06</v>
      </c>
      <c r="Q77" s="59">
        <v>29.87</v>
      </c>
      <c r="R77" s="197"/>
      <c r="S77" s="197"/>
      <c r="T77" s="197"/>
      <c r="U77" s="197"/>
    </row>
    <row r="78" spans="1:21" s="12" customFormat="1" x14ac:dyDescent="0.25">
      <c r="A78" s="200" t="s">
        <v>409</v>
      </c>
      <c r="B78" s="59">
        <v>7.93</v>
      </c>
      <c r="C78" s="59">
        <v>102.08</v>
      </c>
      <c r="D78" s="59">
        <v>61.65</v>
      </c>
      <c r="E78" s="59">
        <v>18.89</v>
      </c>
      <c r="F78" s="59">
        <v>24.58</v>
      </c>
      <c r="G78" s="59">
        <v>59.6</v>
      </c>
      <c r="H78" s="59">
        <v>26.61</v>
      </c>
      <c r="I78" s="59">
        <v>0.6</v>
      </c>
      <c r="J78" s="59">
        <v>0.97</v>
      </c>
      <c r="K78" s="59">
        <v>15.16</v>
      </c>
      <c r="L78" s="59">
        <v>31.83</v>
      </c>
      <c r="M78" s="59">
        <v>28.49</v>
      </c>
      <c r="N78" s="59">
        <v>30.2</v>
      </c>
      <c r="O78" s="59">
        <v>0</v>
      </c>
      <c r="P78" s="59">
        <v>1.1100000000000001</v>
      </c>
      <c r="Q78" s="59">
        <v>29.69</v>
      </c>
      <c r="R78" s="197"/>
      <c r="S78" s="197"/>
      <c r="T78" s="197"/>
      <c r="U78" s="197"/>
    </row>
    <row r="79" spans="1:21" s="12" customFormat="1" x14ac:dyDescent="0.25">
      <c r="A79" s="200" t="s">
        <v>410</v>
      </c>
      <c r="B79" s="59">
        <v>9.35</v>
      </c>
      <c r="C79" s="59">
        <v>102.75</v>
      </c>
      <c r="D79" s="59">
        <v>63.16</v>
      </c>
      <c r="E79" s="59">
        <v>24</v>
      </c>
      <c r="F79" s="59">
        <v>25.49</v>
      </c>
      <c r="G79" s="59">
        <v>68.239999999999995</v>
      </c>
      <c r="H79" s="59">
        <v>28.69</v>
      </c>
      <c r="I79" s="59">
        <v>0.6</v>
      </c>
      <c r="J79" s="59">
        <v>0.81</v>
      </c>
      <c r="K79" s="59">
        <v>13.82</v>
      </c>
      <c r="L79" s="59">
        <v>31.23</v>
      </c>
      <c r="M79" s="59">
        <v>29.28</v>
      </c>
      <c r="N79" s="59">
        <v>18.600000000000001</v>
      </c>
      <c r="O79" s="59">
        <v>0</v>
      </c>
      <c r="P79" s="59">
        <v>1.1399999999999999</v>
      </c>
      <c r="Q79" s="59">
        <v>30.04</v>
      </c>
      <c r="R79" s="197"/>
      <c r="S79" s="197"/>
      <c r="T79" s="197"/>
      <c r="U79" s="197"/>
    </row>
    <row r="80" spans="1:21" s="12" customFormat="1" x14ac:dyDescent="0.25">
      <c r="A80" s="200" t="s">
        <v>411</v>
      </c>
      <c r="B80" s="59">
        <v>12.46</v>
      </c>
      <c r="C80" s="59">
        <v>110.55</v>
      </c>
      <c r="D80" s="59">
        <v>69.959999999999994</v>
      </c>
      <c r="E80" s="59">
        <v>29.69</v>
      </c>
      <c r="F80" s="59">
        <v>25.37</v>
      </c>
      <c r="G80" s="59">
        <v>72.349999999999994</v>
      </c>
      <c r="H80" s="59">
        <v>29.73</v>
      </c>
      <c r="I80" s="59">
        <v>0.6</v>
      </c>
      <c r="J80" s="59">
        <v>0.43</v>
      </c>
      <c r="K80" s="59">
        <v>15.18</v>
      </c>
      <c r="L80" s="59">
        <v>30.51</v>
      </c>
      <c r="M80" s="59">
        <v>31.5</v>
      </c>
      <c r="N80" s="59">
        <v>9.6999999999999993</v>
      </c>
      <c r="O80" s="59">
        <v>0</v>
      </c>
      <c r="P80" s="59">
        <v>1.38</v>
      </c>
      <c r="Q80" s="59">
        <v>30.35</v>
      </c>
      <c r="R80" s="197"/>
      <c r="S80" s="197"/>
      <c r="T80" s="197"/>
      <c r="U80" s="197"/>
    </row>
    <row r="81" spans="1:26" s="12" customFormat="1" x14ac:dyDescent="0.25">
      <c r="A81" s="200" t="s">
        <v>412</v>
      </c>
      <c r="B81" s="59">
        <v>27.63</v>
      </c>
      <c r="C81" s="59">
        <v>134.5</v>
      </c>
      <c r="D81" s="59">
        <v>95.34</v>
      </c>
      <c r="E81" s="59">
        <v>18.45</v>
      </c>
      <c r="F81" s="59">
        <v>6.73</v>
      </c>
      <c r="G81" s="59">
        <v>72.349999999999994</v>
      </c>
      <c r="H81" s="59">
        <v>29.73</v>
      </c>
      <c r="I81" s="59">
        <v>0.63</v>
      </c>
      <c r="J81" s="59">
        <v>0.12</v>
      </c>
      <c r="K81" s="59">
        <v>72.98</v>
      </c>
      <c r="L81" s="59">
        <v>29.91</v>
      </c>
      <c r="M81" s="59">
        <v>32.04</v>
      </c>
      <c r="N81" s="59">
        <v>5.7</v>
      </c>
      <c r="O81" s="59">
        <v>0</v>
      </c>
      <c r="P81" s="59">
        <v>1.63</v>
      </c>
      <c r="Q81" s="59">
        <v>31.06</v>
      </c>
      <c r="R81" s="197"/>
      <c r="S81" s="197"/>
      <c r="T81" s="197"/>
      <c r="U81" s="197"/>
    </row>
    <row r="82" spans="1:26" s="12" customFormat="1" x14ac:dyDescent="0.25">
      <c r="A82" s="200" t="s">
        <v>413</v>
      </c>
      <c r="B82" s="59">
        <v>19.39</v>
      </c>
      <c r="C82" s="59">
        <v>137.71</v>
      </c>
      <c r="D82" s="59">
        <v>90.5</v>
      </c>
      <c r="E82" s="59">
        <v>15.62</v>
      </c>
      <c r="F82" s="59">
        <v>7.46</v>
      </c>
      <c r="G82" s="59">
        <v>72.349999999999994</v>
      </c>
      <c r="H82" s="59">
        <v>29.73</v>
      </c>
      <c r="I82" s="59">
        <v>0.66</v>
      </c>
      <c r="J82" s="59">
        <v>0.13</v>
      </c>
      <c r="K82" s="59">
        <v>93.76</v>
      </c>
      <c r="L82" s="59">
        <v>29.44</v>
      </c>
      <c r="M82" s="59">
        <v>32.270000000000003</v>
      </c>
      <c r="N82" s="59">
        <v>4.5999999999999996</v>
      </c>
      <c r="O82" s="59">
        <v>0</v>
      </c>
      <c r="P82" s="59">
        <v>1.58</v>
      </c>
      <c r="Q82" s="59">
        <v>32.47</v>
      </c>
      <c r="R82" s="197"/>
      <c r="S82" s="197"/>
      <c r="T82" s="197"/>
      <c r="U82" s="197"/>
    </row>
    <row r="83" spans="1:26" s="12" customFormat="1" x14ac:dyDescent="0.25">
      <c r="A83" s="200" t="s">
        <v>414</v>
      </c>
      <c r="B83" s="59">
        <v>14.75</v>
      </c>
      <c r="C83" s="59">
        <v>133.6</v>
      </c>
      <c r="D83" s="59">
        <v>84.52</v>
      </c>
      <c r="E83" s="59">
        <v>12.36</v>
      </c>
      <c r="F83" s="59">
        <v>8.17</v>
      </c>
      <c r="G83" s="59">
        <v>93.31</v>
      </c>
      <c r="H83" s="59">
        <v>41.04</v>
      </c>
      <c r="I83" s="59">
        <v>0.75</v>
      </c>
      <c r="J83" s="59">
        <v>0.01</v>
      </c>
      <c r="K83" s="59">
        <v>320.41000000000003</v>
      </c>
      <c r="L83" s="59">
        <v>28.59</v>
      </c>
      <c r="M83" s="59">
        <v>36.380000000000003</v>
      </c>
      <c r="N83" s="59">
        <v>4.7</v>
      </c>
      <c r="O83" s="59">
        <v>0</v>
      </c>
      <c r="P83" s="59">
        <v>1.49</v>
      </c>
      <c r="Q83" s="59">
        <v>33.46</v>
      </c>
      <c r="R83" s="197"/>
      <c r="S83" s="197"/>
      <c r="T83" s="197"/>
      <c r="U83" s="197"/>
    </row>
    <row r="84" spans="1:26" s="12" customFormat="1" x14ac:dyDescent="0.25">
      <c r="A84" s="200" t="s">
        <v>415</v>
      </c>
      <c r="B84" s="59">
        <v>24.05</v>
      </c>
      <c r="C84" s="59">
        <v>142.72999999999999</v>
      </c>
      <c r="D84" s="59">
        <v>97.01</v>
      </c>
      <c r="E84" s="59">
        <v>12.57</v>
      </c>
      <c r="F84" s="59">
        <v>6.45</v>
      </c>
      <c r="G84" s="59">
        <v>103.79</v>
      </c>
      <c r="H84" s="59">
        <v>46.42</v>
      </c>
      <c r="I84" s="59">
        <v>0.79</v>
      </c>
      <c r="J84" s="59">
        <v>0.28000000000000003</v>
      </c>
      <c r="K84" s="59">
        <v>89.58</v>
      </c>
      <c r="L84" s="59">
        <v>28.28</v>
      </c>
      <c r="M84" s="59">
        <v>36.68</v>
      </c>
      <c r="N84" s="59">
        <v>3.9</v>
      </c>
      <c r="O84" s="59">
        <v>0</v>
      </c>
      <c r="P84" s="59">
        <v>1.71</v>
      </c>
      <c r="Q84" s="59">
        <v>33.58</v>
      </c>
      <c r="R84" s="197"/>
      <c r="S84" s="197"/>
      <c r="T84" s="197"/>
      <c r="U84" s="197"/>
    </row>
    <row r="85" spans="1:26" s="12" customFormat="1" x14ac:dyDescent="0.25">
      <c r="A85" s="200" t="s">
        <v>416</v>
      </c>
      <c r="B85" s="59">
        <v>36.380000000000003</v>
      </c>
      <c r="C85" s="59">
        <v>139.21</v>
      </c>
      <c r="D85" s="59">
        <v>104.96</v>
      </c>
      <c r="E85" s="59">
        <v>14.74</v>
      </c>
      <c r="F85" s="59">
        <v>6.43</v>
      </c>
      <c r="G85" s="59">
        <v>103.79</v>
      </c>
      <c r="H85" s="59">
        <v>46.42</v>
      </c>
      <c r="I85" s="59">
        <v>0.87</v>
      </c>
      <c r="J85" s="59">
        <v>0.22</v>
      </c>
      <c r="K85" s="59">
        <v>54.96</v>
      </c>
      <c r="L85" s="59">
        <v>28.24</v>
      </c>
      <c r="M85" s="59">
        <v>38.979999999999997</v>
      </c>
      <c r="N85" s="59">
        <v>4.3</v>
      </c>
      <c r="O85" s="59">
        <v>0</v>
      </c>
      <c r="P85" s="59">
        <v>1.91</v>
      </c>
      <c r="Q85" s="59">
        <v>33.46</v>
      </c>
      <c r="R85" s="197"/>
      <c r="S85" s="197"/>
      <c r="T85" s="197"/>
      <c r="U85" s="197"/>
    </row>
    <row r="86" spans="1:26" s="12" customFormat="1" x14ac:dyDescent="0.25">
      <c r="A86" s="200" t="s">
        <v>417</v>
      </c>
      <c r="B86" s="59">
        <v>30.68</v>
      </c>
      <c r="C86" s="59">
        <v>144.07</v>
      </c>
      <c r="D86" s="59">
        <v>103.07</v>
      </c>
      <c r="E86" s="59">
        <v>12.84</v>
      </c>
      <c r="F86" s="59">
        <v>5.07</v>
      </c>
      <c r="G86" s="59">
        <v>103.79</v>
      </c>
      <c r="H86" s="59">
        <v>46.42</v>
      </c>
      <c r="I86" s="59">
        <v>0.93</v>
      </c>
      <c r="J86" s="59">
        <v>0.18</v>
      </c>
      <c r="K86" s="59">
        <v>57.19</v>
      </c>
      <c r="L86" s="59">
        <v>27.76</v>
      </c>
      <c r="M86" s="59">
        <v>39.229999999999997</v>
      </c>
      <c r="N86" s="59">
        <v>4.4000000000000004</v>
      </c>
      <c r="O86" s="59">
        <v>0</v>
      </c>
      <c r="P86" s="59">
        <v>1.97</v>
      </c>
      <c r="Q86" s="59">
        <v>33.33</v>
      </c>
      <c r="R86" s="197"/>
      <c r="S86" s="197"/>
      <c r="T86" s="197"/>
      <c r="U86" s="197"/>
    </row>
    <row r="87" spans="1:26" s="12" customFormat="1" x14ac:dyDescent="0.25">
      <c r="A87" s="200" t="s">
        <v>418</v>
      </c>
      <c r="B87" s="59">
        <v>47.87</v>
      </c>
      <c r="C87" s="59">
        <v>146.36000000000001</v>
      </c>
      <c r="D87" s="59">
        <v>118.12</v>
      </c>
      <c r="E87" s="59">
        <v>13.77</v>
      </c>
      <c r="F87" s="59">
        <v>5.07</v>
      </c>
      <c r="G87" s="59">
        <v>128.71</v>
      </c>
      <c r="H87" s="59">
        <v>50.86</v>
      </c>
      <c r="I87" s="59">
        <v>1</v>
      </c>
      <c r="J87" s="59">
        <v>0.27</v>
      </c>
      <c r="K87" s="59">
        <v>43.09</v>
      </c>
      <c r="L87" s="59">
        <v>27.42</v>
      </c>
      <c r="M87" s="59">
        <v>40.630000000000003</v>
      </c>
      <c r="N87" s="59">
        <v>4.2</v>
      </c>
      <c r="O87" s="59">
        <v>0</v>
      </c>
      <c r="P87" s="59">
        <v>2.3199999999999998</v>
      </c>
      <c r="Q87" s="59">
        <v>33.5</v>
      </c>
      <c r="R87" s="197"/>
      <c r="S87" s="197"/>
      <c r="T87" s="197"/>
      <c r="U87" s="197"/>
    </row>
    <row r="88" spans="1:26" s="12" customFormat="1" x14ac:dyDescent="0.25">
      <c r="A88" s="200" t="s">
        <v>419</v>
      </c>
      <c r="B88" s="59">
        <v>38.619999999999997</v>
      </c>
      <c r="C88" s="59">
        <v>153.13</v>
      </c>
      <c r="D88" s="59">
        <v>114.44</v>
      </c>
      <c r="E88" s="59">
        <v>15.93</v>
      </c>
      <c r="F88" s="59">
        <v>5.36</v>
      </c>
      <c r="G88" s="59">
        <v>140.56</v>
      </c>
      <c r="H88" s="59">
        <v>53.08</v>
      </c>
      <c r="I88" s="59">
        <v>1.03</v>
      </c>
      <c r="J88" s="59">
        <v>0.1</v>
      </c>
      <c r="K88" s="59">
        <v>116.22</v>
      </c>
      <c r="L88" s="59">
        <v>27.26</v>
      </c>
      <c r="M88" s="59">
        <v>38.950000000000003</v>
      </c>
      <c r="N88" s="59">
        <v>4.3</v>
      </c>
      <c r="O88" s="59">
        <v>0</v>
      </c>
      <c r="P88" s="59">
        <v>2.56</v>
      </c>
      <c r="Q88" s="59">
        <v>32.46</v>
      </c>
      <c r="R88" s="197"/>
      <c r="S88" s="197"/>
      <c r="T88" s="197"/>
      <c r="U88" s="197"/>
    </row>
    <row r="89" spans="1:26" s="12" customFormat="1" x14ac:dyDescent="0.25">
      <c r="A89" s="200" t="s">
        <v>420</v>
      </c>
      <c r="B89" s="59">
        <v>48.44</v>
      </c>
      <c r="C89" s="59">
        <v>149.66999999999999</v>
      </c>
      <c r="D89" s="59">
        <v>120.4</v>
      </c>
      <c r="E89" s="59">
        <v>19.440000000000001</v>
      </c>
      <c r="F89" s="59">
        <v>6.85</v>
      </c>
      <c r="G89" s="59">
        <v>140.56</v>
      </c>
      <c r="H89" s="59">
        <v>53.08</v>
      </c>
      <c r="I89" s="59">
        <v>1.1499999999999999</v>
      </c>
      <c r="J89" s="59">
        <v>0.09</v>
      </c>
      <c r="K89" s="59">
        <v>89.31</v>
      </c>
      <c r="L89" s="59">
        <v>26.88</v>
      </c>
      <c r="M89" s="59">
        <v>40.56</v>
      </c>
      <c r="N89" s="59">
        <v>4.4000000000000004</v>
      </c>
      <c r="O89" s="59">
        <v>0</v>
      </c>
      <c r="P89" s="59">
        <v>2.7</v>
      </c>
      <c r="Q89" s="59">
        <v>32.68</v>
      </c>
      <c r="R89" s="197"/>
      <c r="S89" s="197"/>
      <c r="T89" s="197"/>
      <c r="U89" s="197"/>
    </row>
    <row r="90" spans="1:26" s="12" customFormat="1" x14ac:dyDescent="0.25">
      <c r="A90" s="200" t="s">
        <v>421</v>
      </c>
      <c r="B90" s="59">
        <v>57.53</v>
      </c>
      <c r="C90" s="59">
        <v>149.5</v>
      </c>
      <c r="D90" s="59">
        <v>127.6</v>
      </c>
      <c r="E90" s="59">
        <v>17.690000000000001</v>
      </c>
      <c r="F90" s="59">
        <v>5.34</v>
      </c>
      <c r="G90" s="59">
        <v>140.56</v>
      </c>
      <c r="H90" s="59">
        <v>53.08</v>
      </c>
      <c r="I90" s="59">
        <v>1.18</v>
      </c>
      <c r="J90" s="59">
        <v>0.01</v>
      </c>
      <c r="K90" s="59">
        <v>32.22</v>
      </c>
      <c r="L90" s="59">
        <v>26.59</v>
      </c>
      <c r="M90" s="59">
        <v>42.71</v>
      </c>
      <c r="N90" s="59">
        <v>4.5</v>
      </c>
      <c r="O90" s="59">
        <v>0</v>
      </c>
      <c r="P90" s="59">
        <v>2.96</v>
      </c>
      <c r="Q90" s="59">
        <v>32.04</v>
      </c>
      <c r="R90" s="197"/>
      <c r="S90" s="197"/>
      <c r="T90" s="197"/>
      <c r="U90" s="197"/>
    </row>
    <row r="91" spans="1:26" s="12" customFormat="1" x14ac:dyDescent="0.25">
      <c r="A91" s="200" t="s">
        <v>422</v>
      </c>
      <c r="B91" s="59">
        <v>119.66</v>
      </c>
      <c r="C91" s="59">
        <v>159.53</v>
      </c>
      <c r="D91" s="59">
        <v>182.96</v>
      </c>
      <c r="E91" s="59">
        <v>16.68</v>
      </c>
      <c r="F91" s="59">
        <v>4.76</v>
      </c>
      <c r="G91" s="59">
        <v>146.75</v>
      </c>
      <c r="H91" s="59">
        <v>59.61</v>
      </c>
      <c r="I91" s="59">
        <v>1.27</v>
      </c>
      <c r="J91" s="59">
        <v>0.24</v>
      </c>
      <c r="K91" s="59">
        <v>24.03</v>
      </c>
      <c r="L91" s="59">
        <v>26.13</v>
      </c>
      <c r="M91" s="59">
        <v>46.1</v>
      </c>
      <c r="N91" s="59">
        <v>4.3</v>
      </c>
      <c r="O91" s="59">
        <v>0</v>
      </c>
      <c r="P91" s="59">
        <v>3.53</v>
      </c>
      <c r="Q91" s="59">
        <v>29.28</v>
      </c>
      <c r="R91" s="197"/>
      <c r="S91" s="197"/>
      <c r="T91" s="197"/>
      <c r="U91" s="197"/>
    </row>
    <row r="92" spans="1:26" s="12" customFormat="1" x14ac:dyDescent="0.25">
      <c r="A92" s="200" t="s">
        <v>423</v>
      </c>
      <c r="B92" s="59">
        <v>84.29</v>
      </c>
      <c r="C92" s="59">
        <v>154.1</v>
      </c>
      <c r="D92" s="59">
        <v>151.59</v>
      </c>
      <c r="E92" s="59">
        <v>17.13</v>
      </c>
      <c r="F92" s="59">
        <v>4.76</v>
      </c>
      <c r="G92" s="59">
        <v>149.69</v>
      </c>
      <c r="H92" s="59">
        <v>62.87</v>
      </c>
      <c r="I92" s="59">
        <v>1.37</v>
      </c>
      <c r="J92" s="59">
        <v>0.33</v>
      </c>
      <c r="K92" s="59">
        <v>32.729999999999997</v>
      </c>
      <c r="L92" s="59">
        <v>26.37</v>
      </c>
      <c r="M92" s="59">
        <v>44.63</v>
      </c>
      <c r="N92" s="59">
        <v>3.6</v>
      </c>
      <c r="O92" s="59">
        <v>0</v>
      </c>
      <c r="P92" s="59">
        <v>3.58</v>
      </c>
      <c r="Q92" s="59">
        <v>31.21</v>
      </c>
      <c r="R92" s="197"/>
      <c r="S92" s="197"/>
      <c r="T92" s="197"/>
      <c r="U92" s="197"/>
    </row>
    <row r="93" spans="1:26" s="12" customFormat="1" x14ac:dyDescent="0.25">
      <c r="A93" s="200" t="s">
        <v>424</v>
      </c>
      <c r="B93" s="59">
        <v>58.32</v>
      </c>
      <c r="C93" s="59">
        <v>150.1</v>
      </c>
      <c r="D93" s="59">
        <v>128.56</v>
      </c>
      <c r="E93" s="59">
        <v>18.34</v>
      </c>
      <c r="F93" s="59">
        <v>5.19</v>
      </c>
      <c r="G93" s="59">
        <v>149.69</v>
      </c>
      <c r="H93" s="59">
        <v>62.87</v>
      </c>
      <c r="I93" s="59">
        <v>1.51</v>
      </c>
      <c r="J93" s="59">
        <v>0.16</v>
      </c>
      <c r="K93" s="59">
        <v>27.97</v>
      </c>
      <c r="L93" s="59">
        <v>26.51</v>
      </c>
      <c r="M93" s="59">
        <v>42.09</v>
      </c>
      <c r="N93" s="59">
        <v>4.2</v>
      </c>
      <c r="O93" s="59">
        <v>0</v>
      </c>
      <c r="P93" s="59">
        <v>3</v>
      </c>
      <c r="Q93" s="59">
        <v>33.200000000000003</v>
      </c>
      <c r="R93" s="197"/>
      <c r="S93" s="197"/>
      <c r="T93" s="197"/>
      <c r="U93" s="197"/>
    </row>
    <row r="94" spans="1:26" s="12" customFormat="1" x14ac:dyDescent="0.25">
      <c r="A94" s="200" t="s">
        <v>425</v>
      </c>
      <c r="B94" s="59">
        <v>57.07</v>
      </c>
      <c r="C94" s="59">
        <v>148.16999999999999</v>
      </c>
      <c r="D94" s="59">
        <v>126.49</v>
      </c>
      <c r="E94" s="59">
        <v>20.2</v>
      </c>
      <c r="F94" s="59">
        <v>5.53</v>
      </c>
      <c r="G94" s="59">
        <v>149.69</v>
      </c>
      <c r="H94" s="59">
        <v>62.87</v>
      </c>
      <c r="I94" s="59">
        <v>1.47</v>
      </c>
      <c r="J94" s="59">
        <v>0.17</v>
      </c>
      <c r="K94" s="59">
        <v>56.83</v>
      </c>
      <c r="L94" s="59">
        <v>26.45</v>
      </c>
      <c r="M94" s="59">
        <v>42.15</v>
      </c>
      <c r="N94" s="59">
        <v>4</v>
      </c>
      <c r="O94" s="59">
        <v>0</v>
      </c>
      <c r="P94" s="59">
        <v>2.94</v>
      </c>
      <c r="Q94" s="59">
        <v>34.020000000000003</v>
      </c>
      <c r="R94" s="197"/>
      <c r="S94" s="197"/>
      <c r="T94" s="197"/>
      <c r="U94" s="197"/>
    </row>
    <row r="95" spans="1:26" s="12" customFormat="1" x14ac:dyDescent="0.25">
      <c r="A95" s="200" t="s">
        <v>426</v>
      </c>
      <c r="B95" s="59">
        <v>62.91</v>
      </c>
      <c r="C95" s="59">
        <v>145.01</v>
      </c>
      <c r="D95" s="59">
        <v>129.43</v>
      </c>
      <c r="E95" s="59">
        <v>15.8</v>
      </c>
      <c r="F95" s="59">
        <v>5.6</v>
      </c>
      <c r="G95" s="59">
        <v>156.13999999999999</v>
      </c>
      <c r="H95" s="59">
        <v>61.69</v>
      </c>
      <c r="I95" s="59">
        <v>1.41</v>
      </c>
      <c r="J95" s="59">
        <v>0.03</v>
      </c>
      <c r="K95" s="59">
        <v>35</v>
      </c>
      <c r="L95" s="59">
        <v>26.64</v>
      </c>
      <c r="M95" s="59">
        <v>41.79</v>
      </c>
      <c r="N95" s="59">
        <v>4.5</v>
      </c>
      <c r="O95" s="59">
        <v>0</v>
      </c>
      <c r="P95" s="59">
        <v>2.71</v>
      </c>
      <c r="Q95" s="59">
        <v>35</v>
      </c>
      <c r="R95" s="197"/>
      <c r="S95" s="197"/>
      <c r="T95" s="197"/>
      <c r="U95" s="197"/>
    </row>
    <row r="96" spans="1:26" s="12" customFormat="1" x14ac:dyDescent="0.25">
      <c r="A96" s="200" t="s">
        <v>427</v>
      </c>
      <c r="B96" s="59">
        <v>63.67</v>
      </c>
      <c r="C96" s="59">
        <v>139.37</v>
      </c>
      <c r="D96" s="59">
        <v>126.93</v>
      </c>
      <c r="E96" s="59">
        <v>7.39</v>
      </c>
      <c r="F96" s="59">
        <v>4.82</v>
      </c>
      <c r="G96" s="59">
        <v>159.21</v>
      </c>
      <c r="H96" s="59">
        <v>61.11</v>
      </c>
      <c r="I96" s="59">
        <v>1.3</v>
      </c>
      <c r="J96" s="59">
        <v>0.23</v>
      </c>
      <c r="K96" s="59">
        <v>255.63</v>
      </c>
      <c r="L96" s="59">
        <v>25.92</v>
      </c>
      <c r="M96" s="59">
        <v>44.38</v>
      </c>
      <c r="N96" s="59">
        <v>4.3</v>
      </c>
      <c r="O96" s="59">
        <v>0</v>
      </c>
      <c r="P96" s="59">
        <v>2.74</v>
      </c>
      <c r="Q96" s="59">
        <v>36.659999999999997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428</v>
      </c>
      <c r="B97" s="59">
        <v>66.34</v>
      </c>
      <c r="C97" s="59">
        <v>139.69</v>
      </c>
      <c r="D97" s="59">
        <v>129.24</v>
      </c>
      <c r="E97" s="59">
        <v>6.96</v>
      </c>
      <c r="F97" s="59">
        <v>4.4400000000000004</v>
      </c>
      <c r="G97" s="59">
        <v>159.21</v>
      </c>
      <c r="H97" s="59">
        <v>61.11</v>
      </c>
      <c r="I97" s="59">
        <v>1.3</v>
      </c>
      <c r="J97" s="59">
        <v>0.17</v>
      </c>
      <c r="K97" s="59">
        <v>254.68</v>
      </c>
      <c r="L97" s="59">
        <v>25.49</v>
      </c>
      <c r="M97" s="59">
        <v>45.45</v>
      </c>
      <c r="N97" s="59">
        <v>4.2</v>
      </c>
      <c r="O97" s="59">
        <v>0</v>
      </c>
      <c r="P97" s="59">
        <v>2.82</v>
      </c>
      <c r="Q97" s="59">
        <v>37.46</v>
      </c>
      <c r="R97" s="197"/>
      <c r="S97" s="197"/>
      <c r="T97" s="197"/>
      <c r="U97" s="197"/>
    </row>
    <row r="98" spans="1:33" s="12" customFormat="1" x14ac:dyDescent="0.25">
      <c r="A98" s="200" t="s">
        <v>429</v>
      </c>
      <c r="B98" s="59">
        <v>70.91</v>
      </c>
      <c r="C98" s="59">
        <v>144.75</v>
      </c>
      <c r="D98" s="59">
        <v>135.69999999999999</v>
      </c>
      <c r="E98" s="59">
        <v>6.61</v>
      </c>
      <c r="F98" s="59">
        <v>4.3</v>
      </c>
      <c r="G98" s="59">
        <v>159.21</v>
      </c>
      <c r="H98" s="59">
        <v>61.11</v>
      </c>
      <c r="I98" s="59">
        <v>1.33</v>
      </c>
      <c r="J98" s="59">
        <v>0.04</v>
      </c>
      <c r="K98" s="59">
        <v>87.03</v>
      </c>
      <c r="L98" s="59">
        <v>25.66</v>
      </c>
      <c r="M98" s="59">
        <v>46.58</v>
      </c>
      <c r="N98" s="59">
        <v>4.4000000000000004</v>
      </c>
      <c r="O98" s="59">
        <v>0</v>
      </c>
      <c r="P98" s="59">
        <v>2.86</v>
      </c>
      <c r="Q98" s="59">
        <v>37.64</v>
      </c>
      <c r="R98" s="197"/>
      <c r="S98" s="197"/>
      <c r="T98" s="197"/>
      <c r="U98" s="197"/>
    </row>
    <row r="99" spans="1:33" s="12" customFormat="1" x14ac:dyDescent="0.25">
      <c r="A99" s="200" t="s">
        <v>430</v>
      </c>
      <c r="B99" s="59">
        <v>79.73</v>
      </c>
      <c r="C99" s="59">
        <v>143.37</v>
      </c>
      <c r="D99" s="59">
        <v>142.02000000000001</v>
      </c>
      <c r="E99" s="59">
        <v>5.93</v>
      </c>
      <c r="F99" s="59">
        <v>4.32</v>
      </c>
      <c r="G99" s="59">
        <v>163.53</v>
      </c>
      <c r="H99" s="59">
        <v>65.25</v>
      </c>
      <c r="I99" s="59">
        <v>1.35</v>
      </c>
      <c r="J99" s="59">
        <v>0.1</v>
      </c>
      <c r="K99" s="59">
        <v>343.82</v>
      </c>
      <c r="L99" s="59">
        <v>24.95</v>
      </c>
      <c r="M99" s="59">
        <v>51.21</v>
      </c>
      <c r="N99" s="59">
        <v>4.7</v>
      </c>
      <c r="O99" s="59">
        <v>0</v>
      </c>
      <c r="P99" s="59">
        <v>2.89</v>
      </c>
      <c r="Q99" s="59">
        <v>37.729999999999997</v>
      </c>
      <c r="R99" s="197"/>
      <c r="S99" s="197"/>
      <c r="T99" s="197"/>
      <c r="U99" s="197"/>
    </row>
    <row r="100" spans="1:33" s="12" customFormat="1" x14ac:dyDescent="0.25">
      <c r="A100" s="200" t="s">
        <v>431</v>
      </c>
      <c r="B100" s="59">
        <v>86.56</v>
      </c>
      <c r="C100" s="59">
        <v>144.83000000000001</v>
      </c>
      <c r="D100" s="59">
        <v>148.30000000000001</v>
      </c>
      <c r="E100" s="59">
        <v>5.87</v>
      </c>
      <c r="F100" s="59">
        <v>4.3499999999999996</v>
      </c>
      <c r="G100" s="59">
        <v>165.58</v>
      </c>
      <c r="H100" s="59">
        <v>67.319999999999993</v>
      </c>
      <c r="I100" s="59">
        <v>1.35</v>
      </c>
      <c r="J100" s="59">
        <v>0.1</v>
      </c>
      <c r="K100" s="59">
        <v>15.75</v>
      </c>
      <c r="L100" s="59">
        <v>24.25</v>
      </c>
      <c r="M100" s="59">
        <v>55.65</v>
      </c>
      <c r="N100" s="59">
        <v>4.7</v>
      </c>
      <c r="O100" s="59">
        <v>0</v>
      </c>
      <c r="P100" s="59">
        <v>3.01</v>
      </c>
      <c r="Q100" s="59">
        <v>38.01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432</v>
      </c>
      <c r="B101" s="59">
        <v>98.82</v>
      </c>
      <c r="C101" s="59">
        <v>147.22</v>
      </c>
      <c r="D101" s="59">
        <v>159.44999999999999</v>
      </c>
      <c r="E101" s="59">
        <v>5.89</v>
      </c>
      <c r="F101" s="59">
        <v>4.3099999999999996</v>
      </c>
      <c r="G101" s="59">
        <v>165.58</v>
      </c>
      <c r="H101" s="59">
        <v>67.319999999999993</v>
      </c>
      <c r="I101" s="59">
        <v>1.37</v>
      </c>
      <c r="J101" s="59">
        <v>0.04</v>
      </c>
      <c r="K101" s="59">
        <v>70.38</v>
      </c>
      <c r="L101" s="59">
        <v>24.2</v>
      </c>
      <c r="M101" s="59">
        <v>53.8</v>
      </c>
      <c r="N101" s="59">
        <v>4.5999999999999996</v>
      </c>
      <c r="O101" s="59">
        <v>0</v>
      </c>
      <c r="P101" s="59">
        <v>3.14</v>
      </c>
      <c r="Q101" s="59">
        <v>38.26</v>
      </c>
      <c r="R101" s="197"/>
      <c r="S101" s="197"/>
      <c r="T101" s="197"/>
      <c r="U101" s="197"/>
    </row>
    <row r="102" spans="1:33" s="12" customFormat="1" x14ac:dyDescent="0.25">
      <c r="A102" s="200" t="s">
        <v>433</v>
      </c>
      <c r="B102" s="59">
        <v>119.17</v>
      </c>
      <c r="C102" s="59">
        <v>149.49</v>
      </c>
      <c r="D102" s="59">
        <v>177.02</v>
      </c>
      <c r="E102" s="59">
        <v>8.14</v>
      </c>
      <c r="F102" s="59">
        <v>4.3</v>
      </c>
      <c r="G102" s="59">
        <v>165.58</v>
      </c>
      <c r="H102" s="59">
        <v>67.319999999999993</v>
      </c>
      <c r="I102" s="59">
        <v>1.4</v>
      </c>
      <c r="J102" s="59">
        <v>0.1</v>
      </c>
      <c r="K102" s="59">
        <v>38.049999999999997</v>
      </c>
      <c r="L102" s="59">
        <v>23.95</v>
      </c>
      <c r="M102" s="59">
        <v>56.52</v>
      </c>
      <c r="N102" s="59">
        <v>4.5</v>
      </c>
      <c r="O102" s="59">
        <v>0</v>
      </c>
      <c r="P102" s="59">
        <v>3.37</v>
      </c>
      <c r="Q102" s="59">
        <v>37.869999999999997</v>
      </c>
      <c r="R102" s="197"/>
      <c r="S102" s="197"/>
      <c r="T102" s="197"/>
      <c r="U102" s="197"/>
    </row>
    <row r="103" spans="1:33" s="12" customFormat="1" x14ac:dyDescent="0.25">
      <c r="A103" s="200" t="s">
        <v>434</v>
      </c>
      <c r="B103" s="59">
        <v>127.69</v>
      </c>
      <c r="C103" s="59">
        <v>145.57</v>
      </c>
      <c r="D103" s="59">
        <v>181.69</v>
      </c>
      <c r="E103" s="59">
        <v>11.31</v>
      </c>
      <c r="F103" s="59">
        <v>4.3099999999999996</v>
      </c>
      <c r="G103" s="59">
        <v>186.62</v>
      </c>
      <c r="H103" s="59">
        <v>73.819999999999993</v>
      </c>
      <c r="I103" s="59">
        <v>1.42</v>
      </c>
      <c r="J103" s="59">
        <v>0.16</v>
      </c>
      <c r="K103" s="59">
        <v>39.479999999999997</v>
      </c>
      <c r="L103" s="59">
        <v>23.99</v>
      </c>
      <c r="M103" s="59">
        <v>58.23</v>
      </c>
      <c r="N103" s="59">
        <v>4.3</v>
      </c>
      <c r="O103" s="59">
        <v>0</v>
      </c>
      <c r="P103" s="59">
        <v>3.46</v>
      </c>
      <c r="Q103" s="59">
        <v>37.11</v>
      </c>
      <c r="R103" s="197"/>
      <c r="S103" s="197"/>
      <c r="T103" s="197"/>
      <c r="U103" s="197"/>
    </row>
    <row r="104" spans="1:33" s="12" customFormat="1" x14ac:dyDescent="0.25">
      <c r="A104" s="200" t="s">
        <v>435</v>
      </c>
      <c r="B104" s="59">
        <v>114.1</v>
      </c>
      <c r="C104" s="59">
        <v>140.5</v>
      </c>
      <c r="D104" s="59">
        <v>168</v>
      </c>
      <c r="E104" s="59">
        <v>5.01</v>
      </c>
      <c r="F104" s="59">
        <v>4.32</v>
      </c>
      <c r="G104" s="59">
        <v>196.63</v>
      </c>
      <c r="H104" s="59">
        <v>76.91</v>
      </c>
      <c r="I104" s="59">
        <v>1.47</v>
      </c>
      <c r="J104" s="59">
        <v>0.1</v>
      </c>
      <c r="K104" s="59">
        <v>27.84</v>
      </c>
      <c r="L104" s="59">
        <v>23.54</v>
      </c>
      <c r="M104" s="59">
        <v>63.52</v>
      </c>
      <c r="N104" s="59">
        <v>4.5999999999999996</v>
      </c>
      <c r="O104" s="59">
        <v>0</v>
      </c>
      <c r="P104" s="59">
        <v>3.5</v>
      </c>
      <c r="Q104" s="59">
        <v>37.229999999999997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2.85</v>
      </c>
      <c r="C106" s="66">
        <f>MIN(C9:C104)</f>
        <v>102.08</v>
      </c>
      <c r="D106" s="66">
        <f t="shared" ref="D106:Q106" si="0">MIN(D9:D104)</f>
        <v>60.67</v>
      </c>
      <c r="E106" s="66">
        <f t="shared" si="0"/>
        <v>2.5499999999999998</v>
      </c>
      <c r="F106" s="66">
        <f t="shared" si="0"/>
        <v>4.3</v>
      </c>
      <c r="G106" s="66">
        <f t="shared" si="0"/>
        <v>50.99</v>
      </c>
      <c r="H106" s="66">
        <f t="shared" si="0"/>
        <v>26.61</v>
      </c>
      <c r="I106" s="66">
        <f t="shared" si="0"/>
        <v>0.6</v>
      </c>
      <c r="J106" s="66">
        <f t="shared" si="0"/>
        <v>0.01</v>
      </c>
      <c r="K106" s="66">
        <f t="shared" si="0"/>
        <v>1.32</v>
      </c>
      <c r="L106" s="66">
        <f t="shared" si="0"/>
        <v>21.34</v>
      </c>
      <c r="M106" s="66">
        <f t="shared" si="0"/>
        <v>20.34</v>
      </c>
      <c r="N106" s="66">
        <f t="shared" si="0"/>
        <v>3.6</v>
      </c>
      <c r="O106" s="66">
        <f t="shared" si="0"/>
        <v>0</v>
      </c>
      <c r="P106" s="66">
        <f t="shared" si="0"/>
        <v>1.06</v>
      </c>
      <c r="Q106" s="66">
        <f t="shared" si="0"/>
        <v>29.28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127.69</v>
      </c>
      <c r="C107" s="65">
        <f t="shared" ref="C107:Q107" si="1">MAX(C9:C104)</f>
        <v>159.53</v>
      </c>
      <c r="D107" s="65">
        <f t="shared" si="1"/>
        <v>182.96</v>
      </c>
      <c r="E107" s="65">
        <f t="shared" si="1"/>
        <v>29.69</v>
      </c>
      <c r="F107" s="65">
        <f t="shared" si="1"/>
        <v>27.55</v>
      </c>
      <c r="G107" s="65">
        <f t="shared" si="1"/>
        <v>297.24</v>
      </c>
      <c r="H107" s="65">
        <f t="shared" si="1"/>
        <v>134.31</v>
      </c>
      <c r="I107" s="65">
        <f t="shared" si="1"/>
        <v>1.51</v>
      </c>
      <c r="J107" s="65">
        <f t="shared" si="1"/>
        <v>1.69</v>
      </c>
      <c r="K107" s="65">
        <f t="shared" si="1"/>
        <v>359.78</v>
      </c>
      <c r="L107" s="65">
        <f t="shared" si="1"/>
        <v>37.96</v>
      </c>
      <c r="M107" s="65">
        <f t="shared" si="1"/>
        <v>64.930000000000007</v>
      </c>
      <c r="N107" s="65">
        <f t="shared" si="1"/>
        <v>446</v>
      </c>
      <c r="O107" s="65">
        <f t="shared" si="1"/>
        <v>0</v>
      </c>
      <c r="P107" s="65">
        <f t="shared" si="1"/>
        <v>3.58</v>
      </c>
      <c r="Q107" s="65">
        <f t="shared" si="1"/>
        <v>38.26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34.283437499999998</v>
      </c>
      <c r="C108" s="66">
        <f t="shared" ref="C108:Q108" si="2">AVERAGE(C9:C104)</f>
        <v>123.66031250000003</v>
      </c>
      <c r="D108" s="66">
        <f t="shared" si="2"/>
        <v>94.695104166666681</v>
      </c>
      <c r="E108" s="66">
        <f t="shared" si="2"/>
        <v>9.0703125000000018</v>
      </c>
      <c r="F108" s="66">
        <f t="shared" si="2"/>
        <v>8.0680208333333372</v>
      </c>
      <c r="G108" s="66">
        <f t="shared" si="2"/>
        <v>120.12374999999997</v>
      </c>
      <c r="H108" s="66">
        <f t="shared" si="2"/>
        <v>56.708854166666619</v>
      </c>
      <c r="I108" s="66">
        <f t="shared" si="2"/>
        <v>0.85791666666666633</v>
      </c>
      <c r="J108" s="66">
        <f t="shared" si="2"/>
        <v>0.39729166666666677</v>
      </c>
      <c r="K108" s="66">
        <f t="shared" si="2"/>
        <v>146.97010416666663</v>
      </c>
      <c r="L108" s="66">
        <f t="shared" si="2"/>
        <v>28.168333333333337</v>
      </c>
      <c r="M108" s="66">
        <f t="shared" si="2"/>
        <v>41.907708333333339</v>
      </c>
      <c r="N108" s="66">
        <f t="shared" si="2"/>
        <v>126.92291666666672</v>
      </c>
      <c r="O108" s="66">
        <f t="shared" si="2"/>
        <v>0</v>
      </c>
      <c r="P108" s="66">
        <f t="shared" si="2"/>
        <v>1.8562499999999993</v>
      </c>
      <c r="Q108" s="66">
        <f t="shared" si="2"/>
        <v>32.965937500000003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28.928495652051971</v>
      </c>
      <c r="C109" s="66">
        <f t="shared" ref="C109:Q109" si="3">STDEV(C9:C104)</f>
        <v>15.21154716883618</v>
      </c>
      <c r="D109" s="66">
        <f t="shared" si="3"/>
        <v>28.983949714310246</v>
      </c>
      <c r="E109" s="66">
        <f t="shared" si="3"/>
        <v>5.2639185830219839</v>
      </c>
      <c r="F109" s="66">
        <f t="shared" si="3"/>
        <v>6.0241039726456922</v>
      </c>
      <c r="G109" s="66">
        <f t="shared" si="3"/>
        <v>49.445015846951314</v>
      </c>
      <c r="H109" s="66">
        <f t="shared" si="3"/>
        <v>21.546519751692898</v>
      </c>
      <c r="I109" s="66">
        <f t="shared" si="3"/>
        <v>0.24586653061609179</v>
      </c>
      <c r="J109" s="66">
        <f t="shared" si="3"/>
        <v>0.37596326574943784</v>
      </c>
      <c r="K109" s="66">
        <f t="shared" si="3"/>
        <v>131.45118127230265</v>
      </c>
      <c r="L109" s="66">
        <f t="shared" si="3"/>
        <v>5.3667676573258447</v>
      </c>
      <c r="M109" s="66">
        <f t="shared" si="3"/>
        <v>13.876597677890425</v>
      </c>
      <c r="N109" s="66">
        <f t="shared" si="3"/>
        <v>163.09105269541385</v>
      </c>
      <c r="O109" s="66">
        <f t="shared" si="3"/>
        <v>0</v>
      </c>
      <c r="P109" s="66">
        <f t="shared" si="3"/>
        <v>0.63814410185854265</v>
      </c>
      <c r="Q109" s="66">
        <f t="shared" si="3"/>
        <v>2.1320114436964523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 t="shared" si="4"/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03-03-2023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436</v>
      </c>
      <c r="B9" s="59">
        <v>105.39</v>
      </c>
      <c r="C9" s="59">
        <v>139.24</v>
      </c>
      <c r="D9" s="59">
        <v>160.32</v>
      </c>
      <c r="E9" s="59">
        <v>10.02</v>
      </c>
      <c r="F9" s="59">
        <v>4.32</v>
      </c>
      <c r="G9" s="59">
        <v>196.63</v>
      </c>
      <c r="H9" s="59">
        <v>76.91</v>
      </c>
      <c r="I9" s="59">
        <v>1.51</v>
      </c>
      <c r="J9" s="59">
        <v>0.13</v>
      </c>
      <c r="K9" s="59">
        <v>26.76</v>
      </c>
      <c r="L9" s="59">
        <v>23.63</v>
      </c>
      <c r="M9" s="59">
        <v>62.17</v>
      </c>
      <c r="N9" s="59">
        <v>4.4000000000000004</v>
      </c>
      <c r="O9" s="59">
        <v>0</v>
      </c>
      <c r="P9" s="59">
        <v>3.41</v>
      </c>
      <c r="Q9" s="59">
        <v>37.840000000000003</v>
      </c>
      <c r="R9" s="197"/>
      <c r="S9" s="197"/>
      <c r="T9" s="197"/>
      <c r="U9" s="197"/>
    </row>
    <row r="10" spans="1:21" s="12" customFormat="1" x14ac:dyDescent="0.25">
      <c r="A10" s="200" t="s">
        <v>437</v>
      </c>
      <c r="B10" s="59">
        <v>99.49</v>
      </c>
      <c r="C10" s="59">
        <v>135.63</v>
      </c>
      <c r="D10" s="59">
        <v>153.59</v>
      </c>
      <c r="E10" s="59">
        <v>12.1</v>
      </c>
      <c r="F10" s="59">
        <v>4.32</v>
      </c>
      <c r="G10" s="59">
        <v>196.63</v>
      </c>
      <c r="H10" s="59">
        <v>76.91</v>
      </c>
      <c r="I10" s="59">
        <v>1.5</v>
      </c>
      <c r="J10" s="59">
        <v>0.18</v>
      </c>
      <c r="K10" s="59">
        <v>40.229999999999997</v>
      </c>
      <c r="L10" s="59">
        <v>23.65</v>
      </c>
      <c r="M10" s="59">
        <v>60.54</v>
      </c>
      <c r="N10" s="59">
        <v>4.4000000000000004</v>
      </c>
      <c r="O10" s="59">
        <v>0</v>
      </c>
      <c r="P10" s="59">
        <v>3.35</v>
      </c>
      <c r="Q10" s="59">
        <v>38.450000000000003</v>
      </c>
      <c r="R10" s="197"/>
      <c r="S10" s="197"/>
      <c r="T10" s="197"/>
      <c r="U10" s="197"/>
    </row>
    <row r="11" spans="1:21" s="12" customFormat="1" x14ac:dyDescent="0.25">
      <c r="A11" s="200" t="s">
        <v>438</v>
      </c>
      <c r="B11" s="59">
        <v>93.2</v>
      </c>
      <c r="C11" s="59">
        <v>133.36000000000001</v>
      </c>
      <c r="D11" s="59">
        <v>147.29</v>
      </c>
      <c r="E11" s="59">
        <v>14.92</v>
      </c>
      <c r="F11" s="59">
        <v>4.3499999999999996</v>
      </c>
      <c r="G11" s="59">
        <v>202.16</v>
      </c>
      <c r="H11" s="59">
        <v>84.59</v>
      </c>
      <c r="I11" s="59">
        <v>1.49</v>
      </c>
      <c r="J11" s="59">
        <v>0.32</v>
      </c>
      <c r="K11" s="59">
        <v>18.14</v>
      </c>
      <c r="L11" s="59">
        <v>23.71</v>
      </c>
      <c r="M11" s="59">
        <v>59.41</v>
      </c>
      <c r="N11" s="59">
        <v>3.9</v>
      </c>
      <c r="O11" s="59">
        <v>0</v>
      </c>
      <c r="P11" s="59">
        <v>3.24</v>
      </c>
      <c r="Q11" s="59">
        <v>38.82</v>
      </c>
      <c r="R11" s="197"/>
      <c r="S11" s="197"/>
      <c r="T11" s="197"/>
      <c r="U11" s="197"/>
    </row>
    <row r="12" spans="1:21" s="12" customFormat="1" x14ac:dyDescent="0.25">
      <c r="A12" s="200" t="s">
        <v>439</v>
      </c>
      <c r="B12" s="59">
        <v>93.26</v>
      </c>
      <c r="C12" s="59">
        <v>131.41999999999999</v>
      </c>
      <c r="D12" s="59">
        <v>146.28</v>
      </c>
      <c r="E12" s="59">
        <v>15.03</v>
      </c>
      <c r="F12" s="59">
        <v>5.2</v>
      </c>
      <c r="G12" s="59">
        <v>204.8</v>
      </c>
      <c r="H12" s="59">
        <v>88.42</v>
      </c>
      <c r="I12" s="59">
        <v>1.48</v>
      </c>
      <c r="J12" s="59">
        <v>0.66</v>
      </c>
      <c r="K12" s="59">
        <v>15.97</v>
      </c>
      <c r="L12" s="59">
        <v>23.78</v>
      </c>
      <c r="M12" s="59">
        <v>54.61</v>
      </c>
      <c r="N12" s="59">
        <v>3.3</v>
      </c>
      <c r="O12" s="59">
        <v>0</v>
      </c>
      <c r="P12" s="59">
        <v>3.14</v>
      </c>
      <c r="Q12" s="59">
        <v>38.93</v>
      </c>
      <c r="R12" s="197"/>
      <c r="S12" s="197"/>
      <c r="T12" s="197"/>
      <c r="U12" s="197"/>
    </row>
    <row r="13" spans="1:21" s="12" customFormat="1" x14ac:dyDescent="0.25">
      <c r="A13" s="200" t="s">
        <v>440</v>
      </c>
      <c r="B13" s="59">
        <v>94.2</v>
      </c>
      <c r="C13" s="59">
        <v>128.5</v>
      </c>
      <c r="D13" s="59">
        <v>145.41</v>
      </c>
      <c r="E13" s="59">
        <v>14.98</v>
      </c>
      <c r="F13" s="59">
        <v>6.11</v>
      </c>
      <c r="G13" s="59">
        <v>204.8</v>
      </c>
      <c r="H13" s="59">
        <v>88.42</v>
      </c>
      <c r="I13" s="59">
        <v>1.43</v>
      </c>
      <c r="J13" s="59">
        <v>0.66</v>
      </c>
      <c r="K13" s="59">
        <v>6.72</v>
      </c>
      <c r="L13" s="59">
        <v>23.83</v>
      </c>
      <c r="M13" s="59">
        <v>52.24</v>
      </c>
      <c r="N13" s="59">
        <v>3.5</v>
      </c>
      <c r="O13" s="59">
        <v>0</v>
      </c>
      <c r="P13" s="59">
        <v>2.85</v>
      </c>
      <c r="Q13" s="59">
        <v>38.92</v>
      </c>
      <c r="R13" s="197"/>
      <c r="S13" s="197"/>
      <c r="T13" s="197"/>
      <c r="U13" s="197"/>
    </row>
    <row r="14" spans="1:21" s="12" customFormat="1" x14ac:dyDescent="0.25">
      <c r="A14" s="200" t="s">
        <v>441</v>
      </c>
      <c r="B14" s="59">
        <v>97.93</v>
      </c>
      <c r="C14" s="59">
        <v>128.63999999999999</v>
      </c>
      <c r="D14" s="59">
        <v>148.47999999999999</v>
      </c>
      <c r="E14" s="59">
        <v>8.18</v>
      </c>
      <c r="F14" s="59">
        <v>4.83</v>
      </c>
      <c r="G14" s="59">
        <v>204.8</v>
      </c>
      <c r="H14" s="59">
        <v>88.42</v>
      </c>
      <c r="I14" s="59">
        <v>1.41</v>
      </c>
      <c r="J14" s="59">
        <v>0.51</v>
      </c>
      <c r="K14" s="59">
        <v>2.08</v>
      </c>
      <c r="L14" s="59">
        <v>24.06</v>
      </c>
      <c r="M14" s="59">
        <v>52.39</v>
      </c>
      <c r="N14" s="59">
        <v>4.0999999999999996</v>
      </c>
      <c r="O14" s="59">
        <v>0</v>
      </c>
      <c r="P14" s="59">
        <v>3.03</v>
      </c>
      <c r="Q14" s="59">
        <v>39.42</v>
      </c>
      <c r="R14" s="197"/>
      <c r="S14" s="197"/>
      <c r="T14" s="197"/>
      <c r="U14" s="197"/>
    </row>
    <row r="15" spans="1:21" s="12" customFormat="1" x14ac:dyDescent="0.25">
      <c r="A15" s="200" t="s">
        <v>442</v>
      </c>
      <c r="B15" s="59">
        <v>88.94</v>
      </c>
      <c r="C15" s="59">
        <v>127.04</v>
      </c>
      <c r="D15" s="59">
        <v>140.38999999999999</v>
      </c>
      <c r="E15" s="59">
        <v>7.89</v>
      </c>
      <c r="F15" s="59">
        <v>4.47</v>
      </c>
      <c r="G15" s="59">
        <v>199.36</v>
      </c>
      <c r="H15" s="59">
        <v>91.03</v>
      </c>
      <c r="I15" s="59">
        <v>1.43</v>
      </c>
      <c r="J15" s="59">
        <v>0.55000000000000004</v>
      </c>
      <c r="K15" s="59">
        <v>13.79</v>
      </c>
      <c r="L15" s="59">
        <v>24.12</v>
      </c>
      <c r="M15" s="59">
        <v>50.76</v>
      </c>
      <c r="N15" s="59">
        <v>3.9</v>
      </c>
      <c r="O15" s="59">
        <v>0</v>
      </c>
      <c r="P15" s="59">
        <v>2.91</v>
      </c>
      <c r="Q15" s="59">
        <v>39.270000000000003</v>
      </c>
      <c r="R15" s="197"/>
      <c r="S15" s="197"/>
      <c r="T15" s="197"/>
      <c r="U15" s="197"/>
    </row>
    <row r="16" spans="1:21" s="12" customFormat="1" x14ac:dyDescent="0.25">
      <c r="A16" s="200" t="s">
        <v>443</v>
      </c>
      <c r="B16" s="59">
        <v>83</v>
      </c>
      <c r="C16" s="59">
        <v>129.35</v>
      </c>
      <c r="D16" s="59">
        <v>136.91</v>
      </c>
      <c r="E16" s="59">
        <v>7.26</v>
      </c>
      <c r="F16" s="59">
        <v>4.32</v>
      </c>
      <c r="G16" s="59">
        <v>196.78</v>
      </c>
      <c r="H16" s="59">
        <v>92.33</v>
      </c>
      <c r="I16" s="59">
        <v>1.42</v>
      </c>
      <c r="J16" s="59">
        <v>0.39</v>
      </c>
      <c r="K16" s="59">
        <v>11.83</v>
      </c>
      <c r="L16" s="59">
        <v>24.14</v>
      </c>
      <c r="M16" s="59">
        <v>49.82</v>
      </c>
      <c r="N16" s="59">
        <v>4.5</v>
      </c>
      <c r="O16" s="59">
        <v>0</v>
      </c>
      <c r="P16" s="59">
        <v>2.78</v>
      </c>
      <c r="Q16" s="59">
        <v>39.04</v>
      </c>
      <c r="R16" s="197"/>
      <c r="S16" s="197"/>
      <c r="T16" s="197"/>
      <c r="U16" s="197"/>
    </row>
    <row r="17" spans="1:21" s="12" customFormat="1" x14ac:dyDescent="0.25">
      <c r="A17" s="200" t="s">
        <v>444</v>
      </c>
      <c r="B17" s="59">
        <v>76.930000000000007</v>
      </c>
      <c r="C17" s="59">
        <v>129</v>
      </c>
      <c r="D17" s="59">
        <v>131.84</v>
      </c>
      <c r="E17" s="59">
        <v>6.73</v>
      </c>
      <c r="F17" s="59">
        <v>4.3899999999999997</v>
      </c>
      <c r="G17" s="59">
        <v>196.78</v>
      </c>
      <c r="H17" s="59">
        <v>92.33</v>
      </c>
      <c r="I17" s="59">
        <v>1.37</v>
      </c>
      <c r="J17" s="59">
        <v>0.39</v>
      </c>
      <c r="K17" s="59">
        <v>34.299999999999997</v>
      </c>
      <c r="L17" s="59">
        <v>24.07</v>
      </c>
      <c r="M17" s="59">
        <v>48.64</v>
      </c>
      <c r="N17" s="59">
        <v>4.2</v>
      </c>
      <c r="O17" s="59">
        <v>0</v>
      </c>
      <c r="P17" s="59">
        <v>2.67</v>
      </c>
      <c r="Q17" s="59">
        <v>38.590000000000003</v>
      </c>
      <c r="R17" s="197"/>
      <c r="S17" s="197"/>
      <c r="T17" s="197"/>
      <c r="U17" s="197"/>
    </row>
    <row r="18" spans="1:21" s="12" customFormat="1" x14ac:dyDescent="0.25">
      <c r="A18" s="200" t="s">
        <v>445</v>
      </c>
      <c r="B18" s="59">
        <v>69.75</v>
      </c>
      <c r="C18" s="59">
        <v>126.22</v>
      </c>
      <c r="D18" s="59">
        <v>124.55</v>
      </c>
      <c r="E18" s="59">
        <v>5.73</v>
      </c>
      <c r="F18" s="59">
        <v>4.38</v>
      </c>
      <c r="G18" s="59">
        <v>196.78</v>
      </c>
      <c r="H18" s="59">
        <v>92.33</v>
      </c>
      <c r="I18" s="59">
        <v>1.31</v>
      </c>
      <c r="J18" s="59">
        <v>0.44</v>
      </c>
      <c r="K18" s="59">
        <v>66.39</v>
      </c>
      <c r="L18" s="59">
        <v>24.49</v>
      </c>
      <c r="M18" s="59">
        <v>46.27</v>
      </c>
      <c r="N18" s="59">
        <v>4</v>
      </c>
      <c r="O18" s="59">
        <v>0</v>
      </c>
      <c r="P18" s="59">
        <v>2.57</v>
      </c>
      <c r="Q18" s="59">
        <v>38</v>
      </c>
      <c r="R18" s="197"/>
      <c r="S18" s="197"/>
      <c r="T18" s="197"/>
      <c r="U18" s="197"/>
    </row>
    <row r="19" spans="1:21" s="12" customFormat="1" x14ac:dyDescent="0.25">
      <c r="A19" s="200" t="s">
        <v>446</v>
      </c>
      <c r="B19" s="59">
        <v>62.97</v>
      </c>
      <c r="C19" s="59">
        <v>125.23</v>
      </c>
      <c r="D19" s="59">
        <v>118.57</v>
      </c>
      <c r="E19" s="59">
        <v>6.77</v>
      </c>
      <c r="F19" s="59">
        <v>4.33</v>
      </c>
      <c r="G19" s="59">
        <v>167.93</v>
      </c>
      <c r="H19" s="59">
        <v>85.84</v>
      </c>
      <c r="I19" s="59">
        <v>1.26</v>
      </c>
      <c r="J19" s="59">
        <v>0.39</v>
      </c>
      <c r="K19" s="59">
        <v>44.46</v>
      </c>
      <c r="L19" s="59">
        <v>24.29</v>
      </c>
      <c r="M19" s="59">
        <v>47.77</v>
      </c>
      <c r="N19" s="59">
        <v>4.5</v>
      </c>
      <c r="O19" s="59">
        <v>0</v>
      </c>
      <c r="P19" s="59">
        <v>2.4700000000000002</v>
      </c>
      <c r="Q19" s="59">
        <v>37.32</v>
      </c>
      <c r="R19" s="197"/>
      <c r="S19" s="197"/>
      <c r="T19" s="197"/>
      <c r="U19" s="197"/>
    </row>
    <row r="20" spans="1:21" s="12" customFormat="1" x14ac:dyDescent="0.25">
      <c r="A20" s="200" t="s">
        <v>447</v>
      </c>
      <c r="B20" s="59">
        <v>52.59</v>
      </c>
      <c r="C20" s="59">
        <v>121.85</v>
      </c>
      <c r="D20" s="59">
        <v>108.37</v>
      </c>
      <c r="E20" s="59">
        <v>17.62</v>
      </c>
      <c r="F20" s="59">
        <v>4.5599999999999996</v>
      </c>
      <c r="G20" s="59">
        <v>153.51</v>
      </c>
      <c r="H20" s="59">
        <v>82.59</v>
      </c>
      <c r="I20" s="59">
        <v>1.2</v>
      </c>
      <c r="J20" s="59">
        <v>0.28000000000000003</v>
      </c>
      <c r="K20" s="59">
        <v>61.14</v>
      </c>
      <c r="L20" s="59">
        <v>23.82</v>
      </c>
      <c r="M20" s="59">
        <v>49.74</v>
      </c>
      <c r="N20" s="59">
        <v>4.5999999999999996</v>
      </c>
      <c r="O20" s="59">
        <v>0</v>
      </c>
      <c r="P20" s="59">
        <v>2.3199999999999998</v>
      </c>
      <c r="Q20" s="59">
        <v>36.619999999999997</v>
      </c>
      <c r="R20" s="197"/>
      <c r="S20" s="197"/>
      <c r="T20" s="197"/>
      <c r="U20" s="197"/>
    </row>
    <row r="21" spans="1:21" s="12" customFormat="1" x14ac:dyDescent="0.25">
      <c r="A21" s="200" t="s">
        <v>448</v>
      </c>
      <c r="B21" s="59">
        <v>49.69</v>
      </c>
      <c r="C21" s="59">
        <v>120.74</v>
      </c>
      <c r="D21" s="59">
        <v>105.44</v>
      </c>
      <c r="E21" s="59">
        <v>13.69</v>
      </c>
      <c r="F21" s="59">
        <v>4.8499999999999996</v>
      </c>
      <c r="G21" s="59">
        <v>153.51</v>
      </c>
      <c r="H21" s="59">
        <v>82.59</v>
      </c>
      <c r="I21" s="59">
        <v>1.1599999999999999</v>
      </c>
      <c r="J21" s="59">
        <v>0.31</v>
      </c>
      <c r="K21" s="59">
        <v>89.61</v>
      </c>
      <c r="L21" s="59">
        <v>23.64</v>
      </c>
      <c r="M21" s="59">
        <v>50.67</v>
      </c>
      <c r="N21" s="59">
        <v>4.4000000000000004</v>
      </c>
      <c r="O21" s="59">
        <v>0</v>
      </c>
      <c r="P21" s="59">
        <v>2.2999999999999998</v>
      </c>
      <c r="Q21" s="59">
        <v>35.92</v>
      </c>
      <c r="R21" s="197"/>
      <c r="S21" s="197"/>
      <c r="T21" s="197"/>
      <c r="U21" s="197"/>
    </row>
    <row r="22" spans="1:21" s="12" customFormat="1" x14ac:dyDescent="0.25">
      <c r="A22" s="200" t="s">
        <v>449</v>
      </c>
      <c r="B22" s="59">
        <v>47.72</v>
      </c>
      <c r="C22" s="59">
        <v>120.05</v>
      </c>
      <c r="D22" s="59">
        <v>103.48</v>
      </c>
      <c r="E22" s="59">
        <v>15.38</v>
      </c>
      <c r="F22" s="59">
        <v>5</v>
      </c>
      <c r="G22" s="59">
        <v>153.51</v>
      </c>
      <c r="H22" s="59">
        <v>82.59</v>
      </c>
      <c r="I22" s="59">
        <v>1.01</v>
      </c>
      <c r="J22" s="59">
        <v>0.25</v>
      </c>
      <c r="K22" s="59">
        <v>94.43</v>
      </c>
      <c r="L22" s="59">
        <v>23.35</v>
      </c>
      <c r="M22" s="59">
        <v>52.34</v>
      </c>
      <c r="N22" s="59">
        <v>4.5</v>
      </c>
      <c r="O22" s="59">
        <v>0</v>
      </c>
      <c r="P22" s="59">
        <v>2.27</v>
      </c>
      <c r="Q22" s="59">
        <v>35.14</v>
      </c>
      <c r="R22" s="197"/>
      <c r="S22" s="197"/>
      <c r="T22" s="197"/>
      <c r="U22" s="197"/>
    </row>
    <row r="23" spans="1:21" s="12" customFormat="1" x14ac:dyDescent="0.25">
      <c r="A23" s="200" t="s">
        <v>450</v>
      </c>
      <c r="B23" s="59">
        <v>47.79</v>
      </c>
      <c r="C23" s="59">
        <v>115.67</v>
      </c>
      <c r="D23" s="59">
        <v>101.12</v>
      </c>
      <c r="E23" s="59">
        <v>19.440000000000001</v>
      </c>
      <c r="F23" s="59">
        <v>5.36</v>
      </c>
      <c r="G23" s="59">
        <v>161.37</v>
      </c>
      <c r="H23" s="59">
        <v>84.9</v>
      </c>
      <c r="I23" s="59">
        <v>0.96</v>
      </c>
      <c r="J23" s="59">
        <v>0.39</v>
      </c>
      <c r="K23" s="59">
        <v>88.21</v>
      </c>
      <c r="L23" s="59">
        <v>23.29</v>
      </c>
      <c r="M23" s="59">
        <v>51.73</v>
      </c>
      <c r="N23" s="59">
        <v>4.0999999999999996</v>
      </c>
      <c r="O23" s="59">
        <v>0</v>
      </c>
      <c r="P23" s="59">
        <v>2.2799999999999998</v>
      </c>
      <c r="Q23" s="59">
        <v>35.049999999999997</v>
      </c>
      <c r="R23" s="197"/>
      <c r="S23" s="197"/>
      <c r="T23" s="197"/>
      <c r="U23" s="197"/>
    </row>
    <row r="24" spans="1:21" s="12" customFormat="1" x14ac:dyDescent="0.25">
      <c r="A24" s="200" t="s">
        <v>451</v>
      </c>
      <c r="B24" s="59">
        <v>46.21</v>
      </c>
      <c r="C24" s="59">
        <v>114.68</v>
      </c>
      <c r="D24" s="59">
        <v>99.3</v>
      </c>
      <c r="E24" s="59">
        <v>7.66</v>
      </c>
      <c r="F24" s="59">
        <v>5.69</v>
      </c>
      <c r="G24" s="59">
        <v>165.31</v>
      </c>
      <c r="H24" s="59">
        <v>86.05</v>
      </c>
      <c r="I24" s="59">
        <v>0.96</v>
      </c>
      <c r="J24" s="59">
        <v>0.27</v>
      </c>
      <c r="K24" s="59">
        <v>90.07</v>
      </c>
      <c r="L24" s="59">
        <v>23.35</v>
      </c>
      <c r="M24" s="59">
        <v>51.19</v>
      </c>
      <c r="N24" s="59">
        <v>4.2</v>
      </c>
      <c r="O24" s="59">
        <v>0</v>
      </c>
      <c r="P24" s="59">
        <v>2.31</v>
      </c>
      <c r="Q24" s="59">
        <v>35.270000000000003</v>
      </c>
      <c r="R24" s="197"/>
      <c r="S24" s="197"/>
      <c r="T24" s="197"/>
      <c r="U24" s="197"/>
    </row>
    <row r="25" spans="1:21" s="12" customFormat="1" x14ac:dyDescent="0.25">
      <c r="A25" s="200" t="s">
        <v>452</v>
      </c>
      <c r="B25" s="59">
        <v>46.61</v>
      </c>
      <c r="C25" s="59">
        <v>115.82</v>
      </c>
      <c r="D25" s="59">
        <v>100.25</v>
      </c>
      <c r="E25" s="59">
        <v>8.67</v>
      </c>
      <c r="F25" s="59">
        <v>5.19</v>
      </c>
      <c r="G25" s="59">
        <v>165.31</v>
      </c>
      <c r="H25" s="59">
        <v>86.05</v>
      </c>
      <c r="I25" s="59">
        <v>0.94</v>
      </c>
      <c r="J25" s="59">
        <v>0.28999999999999998</v>
      </c>
      <c r="K25" s="59">
        <v>240.8</v>
      </c>
      <c r="L25" s="59">
        <v>22.93</v>
      </c>
      <c r="M25" s="59">
        <v>54.71</v>
      </c>
      <c r="N25" s="59">
        <v>4.5</v>
      </c>
      <c r="O25" s="59">
        <v>0</v>
      </c>
      <c r="P25" s="59">
        <v>2.2799999999999998</v>
      </c>
      <c r="Q25" s="59">
        <v>35.450000000000003</v>
      </c>
      <c r="R25" s="197"/>
      <c r="S25" s="197"/>
      <c r="T25" s="197"/>
      <c r="U25" s="197"/>
    </row>
    <row r="26" spans="1:21" s="12" customFormat="1" x14ac:dyDescent="0.25">
      <c r="A26" s="200" t="s">
        <v>453</v>
      </c>
      <c r="B26" s="59">
        <v>45.79</v>
      </c>
      <c r="C26" s="59">
        <v>115.41</v>
      </c>
      <c r="D26" s="59">
        <v>99.37</v>
      </c>
      <c r="E26" s="59">
        <v>6.24</v>
      </c>
      <c r="F26" s="59">
        <v>4.3600000000000003</v>
      </c>
      <c r="G26" s="59">
        <v>165.31</v>
      </c>
      <c r="H26" s="59">
        <v>86.05</v>
      </c>
      <c r="I26" s="59">
        <v>0.94</v>
      </c>
      <c r="J26" s="59">
        <v>0.19</v>
      </c>
      <c r="K26" s="59">
        <v>260.45</v>
      </c>
      <c r="L26" s="59">
        <v>22.17</v>
      </c>
      <c r="M26" s="59">
        <v>59.41</v>
      </c>
      <c r="N26" s="59">
        <v>4.7</v>
      </c>
      <c r="O26" s="59">
        <v>0</v>
      </c>
      <c r="P26" s="59">
        <v>2.27</v>
      </c>
      <c r="Q26" s="59">
        <v>35.270000000000003</v>
      </c>
      <c r="R26" s="197"/>
      <c r="S26" s="197"/>
      <c r="T26" s="197"/>
      <c r="U26" s="197"/>
    </row>
    <row r="27" spans="1:21" s="12" customFormat="1" x14ac:dyDescent="0.25">
      <c r="A27" s="200" t="s">
        <v>454</v>
      </c>
      <c r="B27" s="59">
        <v>47.45</v>
      </c>
      <c r="C27" s="59">
        <v>114.7</v>
      </c>
      <c r="D27" s="59">
        <v>100.31</v>
      </c>
      <c r="E27" s="59">
        <v>6.35</v>
      </c>
      <c r="F27" s="59">
        <v>4.34</v>
      </c>
      <c r="G27" s="59">
        <v>143.30000000000001</v>
      </c>
      <c r="H27" s="59">
        <v>75.819999999999993</v>
      </c>
      <c r="I27" s="59">
        <v>0.95</v>
      </c>
      <c r="J27" s="59">
        <v>7.0000000000000007E-2</v>
      </c>
      <c r="K27" s="59">
        <v>34.25</v>
      </c>
      <c r="L27" s="59">
        <v>21.66</v>
      </c>
      <c r="M27" s="59">
        <v>63.32</v>
      </c>
      <c r="N27" s="59">
        <v>4.8</v>
      </c>
      <c r="O27" s="59">
        <v>0</v>
      </c>
      <c r="P27" s="59">
        <v>2.2599999999999998</v>
      </c>
      <c r="Q27" s="59">
        <v>35.31</v>
      </c>
      <c r="R27" s="197"/>
      <c r="S27" s="197"/>
      <c r="T27" s="197"/>
      <c r="U27" s="197"/>
    </row>
    <row r="28" spans="1:21" s="12" customFormat="1" x14ac:dyDescent="0.25">
      <c r="A28" s="200" t="s">
        <v>455</v>
      </c>
      <c r="B28" s="59">
        <v>49.03</v>
      </c>
      <c r="C28" s="59">
        <v>114.75</v>
      </c>
      <c r="D28" s="59">
        <v>101.6</v>
      </c>
      <c r="E28" s="59">
        <v>5.56</v>
      </c>
      <c r="F28" s="59">
        <v>4.43</v>
      </c>
      <c r="G28" s="59">
        <v>132.30000000000001</v>
      </c>
      <c r="H28" s="59">
        <v>70.7</v>
      </c>
      <c r="I28" s="59">
        <v>0.95</v>
      </c>
      <c r="J28" s="59">
        <v>0.1</v>
      </c>
      <c r="K28" s="59">
        <v>283.69</v>
      </c>
      <c r="L28" s="59">
        <v>21.27</v>
      </c>
      <c r="M28" s="59">
        <v>65.52</v>
      </c>
      <c r="N28" s="59">
        <v>4.5999999999999996</v>
      </c>
      <c r="O28" s="59">
        <v>0</v>
      </c>
      <c r="P28" s="59">
        <v>2.25</v>
      </c>
      <c r="Q28" s="59">
        <v>36.32</v>
      </c>
      <c r="R28" s="197"/>
      <c r="S28" s="197"/>
      <c r="T28" s="197"/>
      <c r="U28" s="197"/>
    </row>
    <row r="29" spans="1:21" s="12" customFormat="1" x14ac:dyDescent="0.25">
      <c r="A29" s="200" t="s">
        <v>456</v>
      </c>
      <c r="B29" s="59">
        <v>49.47</v>
      </c>
      <c r="C29" s="59">
        <v>114.78</v>
      </c>
      <c r="D29" s="59">
        <v>101.98</v>
      </c>
      <c r="E29" s="59">
        <v>4.72</v>
      </c>
      <c r="F29" s="59">
        <v>4.32</v>
      </c>
      <c r="G29" s="59">
        <v>132.30000000000001</v>
      </c>
      <c r="H29" s="59">
        <v>70.7</v>
      </c>
      <c r="I29" s="59">
        <v>0.94</v>
      </c>
      <c r="J29" s="59">
        <v>0.11</v>
      </c>
      <c r="K29" s="59">
        <v>284.86</v>
      </c>
      <c r="L29" s="59">
        <v>21</v>
      </c>
      <c r="M29" s="59">
        <v>67.38</v>
      </c>
      <c r="N29" s="59">
        <v>4.5</v>
      </c>
      <c r="O29" s="59">
        <v>0</v>
      </c>
      <c r="P29" s="59">
        <v>2.23</v>
      </c>
      <c r="Q29" s="59">
        <v>36.93</v>
      </c>
      <c r="R29" s="197"/>
      <c r="S29" s="197"/>
      <c r="T29" s="197"/>
      <c r="U29" s="197"/>
    </row>
    <row r="30" spans="1:21" s="12" customFormat="1" x14ac:dyDescent="0.25">
      <c r="A30" s="200" t="s">
        <v>457</v>
      </c>
      <c r="B30" s="59">
        <v>49.49</v>
      </c>
      <c r="C30" s="59">
        <v>113.81</v>
      </c>
      <c r="D30" s="59">
        <v>101.45</v>
      </c>
      <c r="E30" s="59">
        <v>5.84</v>
      </c>
      <c r="F30" s="59">
        <v>4.3</v>
      </c>
      <c r="G30" s="59">
        <v>132.30000000000001</v>
      </c>
      <c r="H30" s="59">
        <v>70.7</v>
      </c>
      <c r="I30" s="59">
        <v>0.94</v>
      </c>
      <c r="J30" s="59">
        <v>0.24</v>
      </c>
      <c r="K30" s="59">
        <v>268.66000000000003</v>
      </c>
      <c r="L30" s="59">
        <v>21.06</v>
      </c>
      <c r="M30" s="59">
        <v>67.739999999999995</v>
      </c>
      <c r="N30" s="59">
        <v>4.0999999999999996</v>
      </c>
      <c r="O30" s="59">
        <v>0</v>
      </c>
      <c r="P30" s="59">
        <v>2.2000000000000002</v>
      </c>
      <c r="Q30" s="59">
        <v>36.99</v>
      </c>
      <c r="R30" s="197"/>
      <c r="S30" s="197"/>
      <c r="T30" s="197"/>
      <c r="U30" s="197"/>
    </row>
    <row r="31" spans="1:21" s="12" customFormat="1" x14ac:dyDescent="0.25">
      <c r="A31" s="200" t="s">
        <v>458</v>
      </c>
      <c r="B31" s="59">
        <v>51.64</v>
      </c>
      <c r="C31" s="59">
        <v>112.92</v>
      </c>
      <c r="D31" s="59">
        <v>102.69</v>
      </c>
      <c r="E31" s="59">
        <v>5.54</v>
      </c>
      <c r="F31" s="59">
        <v>4.32</v>
      </c>
      <c r="G31" s="59">
        <v>143.68</v>
      </c>
      <c r="H31" s="59">
        <v>69.599999999999994</v>
      </c>
      <c r="I31" s="59">
        <v>0.93</v>
      </c>
      <c r="J31" s="59">
        <v>0.19</v>
      </c>
      <c r="K31" s="59">
        <v>218.93</v>
      </c>
      <c r="L31" s="59">
        <v>21.19</v>
      </c>
      <c r="M31" s="59">
        <v>69.16</v>
      </c>
      <c r="N31" s="59">
        <v>4</v>
      </c>
      <c r="O31" s="59">
        <v>0</v>
      </c>
      <c r="P31" s="59">
        <v>2.17</v>
      </c>
      <c r="Q31" s="59">
        <v>36.81</v>
      </c>
      <c r="R31" s="197"/>
      <c r="S31" s="197"/>
      <c r="T31" s="197"/>
      <c r="U31" s="197"/>
    </row>
    <row r="32" spans="1:21" s="12" customFormat="1" x14ac:dyDescent="0.25">
      <c r="A32" s="200" t="s">
        <v>459</v>
      </c>
      <c r="B32" s="59">
        <v>53.76</v>
      </c>
      <c r="C32" s="59">
        <v>111.88</v>
      </c>
      <c r="D32" s="59">
        <v>103.82</v>
      </c>
      <c r="E32" s="59">
        <v>4.5599999999999996</v>
      </c>
      <c r="F32" s="59">
        <v>4.3</v>
      </c>
      <c r="G32" s="59">
        <v>149.37</v>
      </c>
      <c r="H32" s="59">
        <v>69.06</v>
      </c>
      <c r="I32" s="59">
        <v>0.92</v>
      </c>
      <c r="J32" s="59">
        <v>0.12</v>
      </c>
      <c r="K32" s="59">
        <v>8.18</v>
      </c>
      <c r="L32" s="59">
        <v>20.78</v>
      </c>
      <c r="M32" s="59">
        <v>72.22</v>
      </c>
      <c r="N32" s="59">
        <v>4.7</v>
      </c>
      <c r="O32" s="59">
        <v>0</v>
      </c>
      <c r="P32" s="59">
        <v>2.13</v>
      </c>
      <c r="Q32" s="59">
        <v>36.630000000000003</v>
      </c>
      <c r="R32" s="197"/>
      <c r="S32" s="197"/>
      <c r="T32" s="197"/>
      <c r="U32" s="197"/>
    </row>
    <row r="33" spans="1:21" s="12" customFormat="1" x14ac:dyDescent="0.25">
      <c r="A33" s="200" t="s">
        <v>460</v>
      </c>
      <c r="B33" s="59">
        <v>56.91</v>
      </c>
      <c r="C33" s="59">
        <v>111.32</v>
      </c>
      <c r="D33" s="59">
        <v>106.03</v>
      </c>
      <c r="E33" s="59">
        <v>4.6900000000000004</v>
      </c>
      <c r="F33" s="59">
        <v>4.3</v>
      </c>
      <c r="G33" s="59">
        <v>149.37</v>
      </c>
      <c r="H33" s="59">
        <v>69.06</v>
      </c>
      <c r="I33" s="59">
        <v>0.91</v>
      </c>
      <c r="J33" s="59">
        <v>0.1</v>
      </c>
      <c r="K33" s="59">
        <v>197.63</v>
      </c>
      <c r="L33" s="59">
        <v>20.56</v>
      </c>
      <c r="M33" s="59">
        <v>72.88</v>
      </c>
      <c r="N33" s="59">
        <v>4.7</v>
      </c>
      <c r="O33" s="59">
        <v>0</v>
      </c>
      <c r="P33" s="59">
        <v>2.12</v>
      </c>
      <c r="Q33" s="59">
        <v>36.53</v>
      </c>
      <c r="R33" s="197"/>
      <c r="S33" s="197"/>
      <c r="T33" s="197"/>
      <c r="U33" s="197"/>
    </row>
    <row r="34" spans="1:21" s="12" customFormat="1" x14ac:dyDescent="0.25">
      <c r="A34" s="200" t="s">
        <v>461</v>
      </c>
      <c r="B34" s="59">
        <v>61.26</v>
      </c>
      <c r="C34" s="59">
        <v>111.47</v>
      </c>
      <c r="D34" s="59">
        <v>109.6</v>
      </c>
      <c r="E34" s="59">
        <v>5.0199999999999996</v>
      </c>
      <c r="F34" s="59">
        <v>4.3</v>
      </c>
      <c r="G34" s="59">
        <v>149.37</v>
      </c>
      <c r="H34" s="59">
        <v>69.06</v>
      </c>
      <c r="I34" s="59">
        <v>0.9</v>
      </c>
      <c r="J34" s="59">
        <v>0.18</v>
      </c>
      <c r="K34" s="59">
        <v>333.4</v>
      </c>
      <c r="L34" s="59">
        <v>20.47</v>
      </c>
      <c r="M34" s="59">
        <v>72.98</v>
      </c>
      <c r="N34" s="59">
        <v>9.4</v>
      </c>
      <c r="O34" s="59">
        <v>0</v>
      </c>
      <c r="P34" s="59">
        <v>2.1</v>
      </c>
      <c r="Q34" s="59">
        <v>36.31</v>
      </c>
      <c r="R34" s="197"/>
      <c r="S34" s="197"/>
      <c r="T34" s="197"/>
      <c r="U34" s="197"/>
    </row>
    <row r="35" spans="1:21" s="12" customFormat="1" x14ac:dyDescent="0.25">
      <c r="A35" s="200" t="s">
        <v>462</v>
      </c>
      <c r="B35" s="59">
        <v>67.92</v>
      </c>
      <c r="C35" s="59">
        <v>109.07</v>
      </c>
      <c r="D35" s="59">
        <v>113.61</v>
      </c>
      <c r="E35" s="59">
        <v>4.6399999999999997</v>
      </c>
      <c r="F35" s="59">
        <v>4.3</v>
      </c>
      <c r="G35" s="59">
        <v>147.03</v>
      </c>
      <c r="H35" s="59">
        <v>69.11</v>
      </c>
      <c r="I35" s="59">
        <v>0.89</v>
      </c>
      <c r="J35" s="59">
        <v>0.1</v>
      </c>
      <c r="K35" s="59">
        <v>227.26</v>
      </c>
      <c r="L35" s="59">
        <v>20.440000000000001</v>
      </c>
      <c r="M35" s="59">
        <v>73.760000000000005</v>
      </c>
      <c r="N35" s="59">
        <v>20.100000000000001</v>
      </c>
      <c r="O35" s="59">
        <v>0</v>
      </c>
      <c r="P35" s="59">
        <v>2.08</v>
      </c>
      <c r="Q35" s="59">
        <v>35.409999999999997</v>
      </c>
      <c r="R35" s="197"/>
      <c r="S35" s="197"/>
      <c r="T35" s="197"/>
      <c r="U35" s="197"/>
    </row>
    <row r="36" spans="1:21" s="12" customFormat="1" x14ac:dyDescent="0.25">
      <c r="A36" s="200" t="s">
        <v>463</v>
      </c>
      <c r="B36" s="59">
        <v>67.92</v>
      </c>
      <c r="C36" s="59">
        <v>109.79</v>
      </c>
      <c r="D36" s="59">
        <v>114.02</v>
      </c>
      <c r="E36" s="59">
        <v>4.5599999999999996</v>
      </c>
      <c r="F36" s="59">
        <v>4.3099999999999996</v>
      </c>
      <c r="G36" s="59">
        <v>145.86000000000001</v>
      </c>
      <c r="H36" s="59">
        <v>69.14</v>
      </c>
      <c r="I36" s="59">
        <v>0.89</v>
      </c>
      <c r="J36" s="59">
        <v>0.08</v>
      </c>
      <c r="K36" s="59">
        <v>311.93</v>
      </c>
      <c r="L36" s="59">
        <v>20.97</v>
      </c>
      <c r="M36" s="59">
        <v>70.44</v>
      </c>
      <c r="N36" s="59">
        <v>40.9</v>
      </c>
      <c r="O36" s="59">
        <v>0</v>
      </c>
      <c r="P36" s="59">
        <v>2.0699999999999998</v>
      </c>
      <c r="Q36" s="59">
        <v>34.729999999999997</v>
      </c>
      <c r="R36" s="197"/>
      <c r="S36" s="197"/>
      <c r="T36" s="197"/>
      <c r="U36" s="197"/>
    </row>
    <row r="37" spans="1:21" s="12" customFormat="1" x14ac:dyDescent="0.25">
      <c r="A37" s="200" t="s">
        <v>464</v>
      </c>
      <c r="B37" s="59">
        <v>70.34</v>
      </c>
      <c r="C37" s="59">
        <v>112.31</v>
      </c>
      <c r="D37" s="59">
        <v>117.35</v>
      </c>
      <c r="E37" s="59">
        <v>4.74</v>
      </c>
      <c r="F37" s="59">
        <v>4.3</v>
      </c>
      <c r="G37" s="59">
        <v>145.86000000000001</v>
      </c>
      <c r="H37" s="59">
        <v>69.14</v>
      </c>
      <c r="I37" s="59">
        <v>0.89</v>
      </c>
      <c r="J37" s="59">
        <v>0.15</v>
      </c>
      <c r="K37" s="59">
        <v>353.06</v>
      </c>
      <c r="L37" s="59">
        <v>21.96</v>
      </c>
      <c r="M37" s="59">
        <v>69.7</v>
      </c>
      <c r="N37" s="59">
        <v>74.400000000000006</v>
      </c>
      <c r="O37" s="59">
        <v>0</v>
      </c>
      <c r="P37" s="59">
        <v>2.04</v>
      </c>
      <c r="Q37" s="59">
        <v>34.54</v>
      </c>
      <c r="R37" s="197"/>
      <c r="S37" s="197"/>
      <c r="T37" s="197"/>
      <c r="U37" s="197"/>
    </row>
    <row r="38" spans="1:21" s="12" customFormat="1" x14ac:dyDescent="0.25">
      <c r="A38" s="200" t="s">
        <v>465</v>
      </c>
      <c r="B38" s="59">
        <v>71.3</v>
      </c>
      <c r="C38" s="59">
        <v>110.92</v>
      </c>
      <c r="D38" s="59">
        <v>117.35</v>
      </c>
      <c r="E38" s="59">
        <v>4.91</v>
      </c>
      <c r="F38" s="59">
        <v>4.3</v>
      </c>
      <c r="G38" s="59">
        <v>145.86000000000001</v>
      </c>
      <c r="H38" s="59">
        <v>69.14</v>
      </c>
      <c r="I38" s="59">
        <v>0.89</v>
      </c>
      <c r="J38" s="59">
        <v>0.14000000000000001</v>
      </c>
      <c r="K38" s="59">
        <v>15.64</v>
      </c>
      <c r="L38" s="59">
        <v>23.72</v>
      </c>
      <c r="M38" s="59">
        <v>61.55</v>
      </c>
      <c r="N38" s="59">
        <v>107.3</v>
      </c>
      <c r="O38" s="59">
        <v>0</v>
      </c>
      <c r="P38" s="59">
        <v>2.0699999999999998</v>
      </c>
      <c r="Q38" s="59">
        <v>34.65</v>
      </c>
      <c r="R38" s="197"/>
      <c r="S38" s="197"/>
      <c r="T38" s="197"/>
      <c r="U38" s="197"/>
    </row>
    <row r="39" spans="1:21" s="12" customFormat="1" x14ac:dyDescent="0.25">
      <c r="A39" s="200" t="s">
        <v>466</v>
      </c>
      <c r="B39" s="59">
        <v>72.25</v>
      </c>
      <c r="C39" s="59">
        <v>109.44</v>
      </c>
      <c r="D39" s="59">
        <v>117.29</v>
      </c>
      <c r="E39" s="59">
        <v>5.29</v>
      </c>
      <c r="F39" s="59">
        <v>4.37</v>
      </c>
      <c r="G39" s="59">
        <v>147.25</v>
      </c>
      <c r="H39" s="59">
        <v>68.099999999999994</v>
      </c>
      <c r="I39" s="59">
        <v>0.9</v>
      </c>
      <c r="J39" s="59">
        <v>0.17</v>
      </c>
      <c r="K39" s="59">
        <v>3.56</v>
      </c>
      <c r="L39" s="59">
        <v>25.38</v>
      </c>
      <c r="M39" s="59">
        <v>54.36</v>
      </c>
      <c r="N39" s="59">
        <v>141.80000000000001</v>
      </c>
      <c r="O39" s="59">
        <v>0</v>
      </c>
      <c r="P39" s="59">
        <v>2.0699999999999998</v>
      </c>
      <c r="Q39" s="59">
        <v>34.71</v>
      </c>
      <c r="R39" s="197"/>
      <c r="S39" s="197"/>
      <c r="T39" s="197"/>
      <c r="U39" s="197"/>
    </row>
    <row r="40" spans="1:21" s="12" customFormat="1" x14ac:dyDescent="0.25">
      <c r="A40" s="200" t="s">
        <v>467</v>
      </c>
      <c r="B40" s="59">
        <v>71.44</v>
      </c>
      <c r="C40" s="59">
        <v>111.39</v>
      </c>
      <c r="D40" s="59">
        <v>117.72</v>
      </c>
      <c r="E40" s="59">
        <v>1.93</v>
      </c>
      <c r="F40" s="59">
        <v>4.4000000000000004</v>
      </c>
      <c r="G40" s="59">
        <v>147.91</v>
      </c>
      <c r="H40" s="59">
        <v>67.58</v>
      </c>
      <c r="I40" s="59">
        <v>0.89</v>
      </c>
      <c r="J40" s="59">
        <v>0.14000000000000001</v>
      </c>
      <c r="K40" s="59">
        <v>22.59</v>
      </c>
      <c r="L40" s="59">
        <v>26.51</v>
      </c>
      <c r="M40" s="59">
        <v>48.89</v>
      </c>
      <c r="N40" s="59">
        <v>175.1</v>
      </c>
      <c r="O40" s="59">
        <v>0</v>
      </c>
      <c r="P40" s="59">
        <v>2.0499999999999998</v>
      </c>
      <c r="Q40" s="59">
        <v>35.08</v>
      </c>
      <c r="R40" s="197"/>
      <c r="S40" s="197"/>
      <c r="T40" s="197"/>
      <c r="U40" s="197"/>
    </row>
    <row r="41" spans="1:21" s="12" customFormat="1" x14ac:dyDescent="0.25">
      <c r="A41" s="200" t="s">
        <v>468</v>
      </c>
      <c r="B41" s="59">
        <v>68.040000000000006</v>
      </c>
      <c r="C41" s="59">
        <v>110.49</v>
      </c>
      <c r="D41" s="59">
        <v>114.5</v>
      </c>
      <c r="E41" s="59">
        <v>5.66</v>
      </c>
      <c r="F41" s="59">
        <v>4.42</v>
      </c>
      <c r="G41" s="59">
        <v>147.91</v>
      </c>
      <c r="H41" s="59">
        <v>67.58</v>
      </c>
      <c r="I41" s="59">
        <v>0.9</v>
      </c>
      <c r="J41" s="59">
        <v>7.0000000000000007E-2</v>
      </c>
      <c r="K41" s="59">
        <v>111.41</v>
      </c>
      <c r="L41" s="59">
        <v>27.11</v>
      </c>
      <c r="M41" s="59">
        <v>46.71</v>
      </c>
      <c r="N41" s="59">
        <v>203.2</v>
      </c>
      <c r="O41" s="59">
        <v>0</v>
      </c>
      <c r="P41" s="59">
        <v>2.0299999999999998</v>
      </c>
      <c r="Q41" s="59">
        <v>35.33</v>
      </c>
      <c r="R41" s="197"/>
      <c r="S41" s="197"/>
      <c r="T41" s="197"/>
      <c r="U41" s="197"/>
    </row>
    <row r="42" spans="1:21" s="12" customFormat="1" x14ac:dyDescent="0.25">
      <c r="A42" s="200" t="s">
        <v>469</v>
      </c>
      <c r="B42" s="59">
        <v>68.430000000000007</v>
      </c>
      <c r="C42" s="59">
        <v>113.08</v>
      </c>
      <c r="D42" s="59">
        <v>116.24</v>
      </c>
      <c r="E42" s="59">
        <v>5.78</v>
      </c>
      <c r="F42" s="59">
        <v>4.4000000000000004</v>
      </c>
      <c r="G42" s="59">
        <v>147.91</v>
      </c>
      <c r="H42" s="59">
        <v>67.58</v>
      </c>
      <c r="I42" s="59">
        <v>0.9</v>
      </c>
      <c r="J42" s="59">
        <v>0.23</v>
      </c>
      <c r="K42" s="59">
        <v>106.6</v>
      </c>
      <c r="L42" s="59">
        <v>27.92</v>
      </c>
      <c r="M42" s="59">
        <v>45.07</v>
      </c>
      <c r="N42" s="59">
        <v>243.7</v>
      </c>
      <c r="O42" s="59">
        <v>0</v>
      </c>
      <c r="P42" s="59">
        <v>2.02</v>
      </c>
      <c r="Q42" s="59">
        <v>35.96</v>
      </c>
      <c r="R42" s="197"/>
      <c r="S42" s="197"/>
      <c r="T42" s="197"/>
      <c r="U42" s="197"/>
    </row>
    <row r="43" spans="1:21" s="12" customFormat="1" x14ac:dyDescent="0.25">
      <c r="A43" s="200" t="s">
        <v>470</v>
      </c>
      <c r="B43" s="59">
        <v>67.39</v>
      </c>
      <c r="C43" s="59">
        <v>116.26</v>
      </c>
      <c r="D43" s="59">
        <v>117.16</v>
      </c>
      <c r="E43" s="59">
        <v>5.2</v>
      </c>
      <c r="F43" s="59">
        <v>4.3</v>
      </c>
      <c r="G43" s="59">
        <v>146.61000000000001</v>
      </c>
      <c r="H43" s="59">
        <v>65.52</v>
      </c>
      <c r="I43" s="59">
        <v>0.9</v>
      </c>
      <c r="J43" s="59">
        <v>1.27</v>
      </c>
      <c r="K43" s="59">
        <v>111.15</v>
      </c>
      <c r="L43" s="59">
        <v>27.4</v>
      </c>
      <c r="M43" s="59">
        <v>39.64</v>
      </c>
      <c r="N43" s="59">
        <v>296.89999999999998</v>
      </c>
      <c r="O43" s="59">
        <v>0</v>
      </c>
      <c r="P43" s="59">
        <v>2</v>
      </c>
      <c r="Q43" s="59">
        <v>36.96</v>
      </c>
      <c r="R43" s="197"/>
      <c r="S43" s="197"/>
      <c r="T43" s="197"/>
      <c r="U43" s="197"/>
    </row>
    <row r="44" spans="1:21" s="12" customFormat="1" x14ac:dyDescent="0.25">
      <c r="A44" s="200" t="s">
        <v>471</v>
      </c>
      <c r="B44" s="59">
        <v>62.36</v>
      </c>
      <c r="C44" s="59">
        <v>118.53</v>
      </c>
      <c r="D44" s="59">
        <v>114.38</v>
      </c>
      <c r="E44" s="59">
        <v>5.89</v>
      </c>
      <c r="F44" s="59">
        <v>4.3099999999999996</v>
      </c>
      <c r="G44" s="59">
        <v>146</v>
      </c>
      <c r="H44" s="59">
        <v>64.48</v>
      </c>
      <c r="I44" s="59">
        <v>0.9</v>
      </c>
      <c r="J44" s="59">
        <v>1.1499999999999999</v>
      </c>
      <c r="K44" s="59">
        <v>101.14</v>
      </c>
      <c r="L44" s="59">
        <v>27.58</v>
      </c>
      <c r="M44" s="59">
        <v>34.32</v>
      </c>
      <c r="N44" s="59">
        <v>342.2</v>
      </c>
      <c r="O44" s="59">
        <v>0</v>
      </c>
      <c r="P44" s="59">
        <v>1.93</v>
      </c>
      <c r="Q44" s="59">
        <v>37.090000000000003</v>
      </c>
      <c r="R44" s="197"/>
      <c r="S44" s="197"/>
      <c r="T44" s="197"/>
      <c r="U44" s="197"/>
    </row>
    <row r="45" spans="1:21" s="12" customFormat="1" x14ac:dyDescent="0.25">
      <c r="A45" s="200" t="s">
        <v>472</v>
      </c>
      <c r="B45" s="59">
        <v>56.93</v>
      </c>
      <c r="C45" s="59">
        <v>121.27</v>
      </c>
      <c r="D45" s="59">
        <v>111.53</v>
      </c>
      <c r="E45" s="59">
        <v>5.94</v>
      </c>
      <c r="F45" s="59">
        <v>4.32</v>
      </c>
      <c r="G45" s="59">
        <v>146</v>
      </c>
      <c r="H45" s="59">
        <v>64.48</v>
      </c>
      <c r="I45" s="59">
        <v>0.89</v>
      </c>
      <c r="J45" s="59">
        <v>0.91</v>
      </c>
      <c r="K45" s="59">
        <v>106.33</v>
      </c>
      <c r="L45" s="59">
        <v>28.67</v>
      </c>
      <c r="M45" s="59">
        <v>32.92</v>
      </c>
      <c r="N45" s="59">
        <v>378.5</v>
      </c>
      <c r="O45" s="59">
        <v>0</v>
      </c>
      <c r="P45" s="59">
        <v>1.87</v>
      </c>
      <c r="Q45" s="59">
        <v>36.82</v>
      </c>
      <c r="R45" s="197"/>
      <c r="S45" s="197"/>
      <c r="T45" s="197"/>
      <c r="U45" s="197"/>
    </row>
    <row r="46" spans="1:21" s="12" customFormat="1" x14ac:dyDescent="0.25">
      <c r="A46" s="200" t="s">
        <v>473</v>
      </c>
      <c r="B46" s="59">
        <v>52.16</v>
      </c>
      <c r="C46" s="59">
        <v>124.18</v>
      </c>
      <c r="D46" s="59">
        <v>109.32</v>
      </c>
      <c r="E46" s="59">
        <v>5.68</v>
      </c>
      <c r="F46" s="59">
        <v>4.38</v>
      </c>
      <c r="G46" s="59">
        <v>146</v>
      </c>
      <c r="H46" s="59">
        <v>64.48</v>
      </c>
      <c r="I46" s="59">
        <v>0.87</v>
      </c>
      <c r="J46" s="59">
        <v>0.77</v>
      </c>
      <c r="K46" s="59">
        <v>94.62</v>
      </c>
      <c r="L46" s="59">
        <v>29.11</v>
      </c>
      <c r="M46" s="59">
        <v>32.75</v>
      </c>
      <c r="N46" s="59">
        <v>413</v>
      </c>
      <c r="O46" s="59">
        <v>0</v>
      </c>
      <c r="P46" s="59">
        <v>1.8</v>
      </c>
      <c r="Q46" s="59">
        <v>36.39</v>
      </c>
      <c r="R46" s="197"/>
      <c r="S46" s="197"/>
      <c r="T46" s="197"/>
      <c r="U46" s="197"/>
    </row>
    <row r="47" spans="1:21" s="12" customFormat="1" x14ac:dyDescent="0.25">
      <c r="A47" s="200" t="s">
        <v>474</v>
      </c>
      <c r="B47" s="59">
        <v>46.15</v>
      </c>
      <c r="C47" s="59">
        <v>126.58</v>
      </c>
      <c r="D47" s="59">
        <v>105.83</v>
      </c>
      <c r="E47" s="59">
        <v>5.57</v>
      </c>
      <c r="F47" s="59">
        <v>4.8099999999999996</v>
      </c>
      <c r="G47" s="59">
        <v>123.94</v>
      </c>
      <c r="H47" s="59">
        <v>57.94</v>
      </c>
      <c r="I47" s="59">
        <v>0.84</v>
      </c>
      <c r="J47" s="59">
        <v>0.45</v>
      </c>
      <c r="K47" s="59">
        <v>40.54</v>
      </c>
      <c r="L47" s="59">
        <v>30.84</v>
      </c>
      <c r="M47" s="59">
        <v>29.85</v>
      </c>
      <c r="N47" s="59">
        <v>438.3</v>
      </c>
      <c r="O47" s="59">
        <v>0</v>
      </c>
      <c r="P47" s="59">
        <v>1.73</v>
      </c>
      <c r="Q47" s="59">
        <v>35.840000000000003</v>
      </c>
      <c r="R47" s="197"/>
      <c r="S47" s="197"/>
      <c r="T47" s="197"/>
      <c r="U47" s="197"/>
    </row>
    <row r="48" spans="1:21" s="12" customFormat="1" x14ac:dyDescent="0.25">
      <c r="A48" s="200" t="s">
        <v>475</v>
      </c>
      <c r="B48" s="59">
        <v>41.5</v>
      </c>
      <c r="C48" s="59">
        <v>129.26</v>
      </c>
      <c r="D48" s="59">
        <v>103.58</v>
      </c>
      <c r="E48" s="59">
        <v>5.65</v>
      </c>
      <c r="F48" s="59">
        <v>4.7300000000000004</v>
      </c>
      <c r="G48" s="59">
        <v>113.45</v>
      </c>
      <c r="H48" s="59">
        <v>54.68</v>
      </c>
      <c r="I48" s="59">
        <v>0.82</v>
      </c>
      <c r="J48" s="59">
        <v>1.34</v>
      </c>
      <c r="K48" s="59">
        <v>112.59</v>
      </c>
      <c r="L48" s="59">
        <v>30.45</v>
      </c>
      <c r="M48" s="59">
        <v>29.36</v>
      </c>
      <c r="N48" s="59">
        <v>468.2</v>
      </c>
      <c r="O48" s="59">
        <v>0</v>
      </c>
      <c r="P48" s="59">
        <v>1.68</v>
      </c>
      <c r="Q48" s="59">
        <v>35.450000000000003</v>
      </c>
      <c r="R48" s="197"/>
      <c r="S48" s="197"/>
      <c r="T48" s="197"/>
      <c r="U48" s="197"/>
    </row>
    <row r="49" spans="1:21" s="12" customFormat="1" x14ac:dyDescent="0.25">
      <c r="A49" s="200" t="s">
        <v>476</v>
      </c>
      <c r="B49" s="59">
        <v>33.880000000000003</v>
      </c>
      <c r="C49" s="59">
        <v>124.07</v>
      </c>
      <c r="D49" s="59">
        <v>94.59</v>
      </c>
      <c r="E49" s="59">
        <v>10.3</v>
      </c>
      <c r="F49" s="59">
        <v>8.25</v>
      </c>
      <c r="G49" s="59">
        <v>113.45</v>
      </c>
      <c r="H49" s="59">
        <v>54.68</v>
      </c>
      <c r="I49" s="59">
        <v>0.8</v>
      </c>
      <c r="J49" s="59">
        <v>1.1100000000000001</v>
      </c>
      <c r="K49" s="59">
        <v>103.19</v>
      </c>
      <c r="L49" s="59">
        <v>30.19</v>
      </c>
      <c r="M49" s="59">
        <v>29.48</v>
      </c>
      <c r="N49" s="59">
        <v>471.5</v>
      </c>
      <c r="O49" s="59">
        <v>0</v>
      </c>
      <c r="P49" s="59">
        <v>1.53</v>
      </c>
      <c r="Q49" s="59">
        <v>34.369999999999997</v>
      </c>
      <c r="R49" s="197"/>
      <c r="S49" s="197"/>
      <c r="T49" s="197"/>
      <c r="U49" s="197"/>
    </row>
    <row r="50" spans="1:21" s="12" customFormat="1" x14ac:dyDescent="0.25">
      <c r="A50" s="200" t="s">
        <v>477</v>
      </c>
      <c r="B50" s="59">
        <v>11.86</v>
      </c>
      <c r="C50" s="59">
        <v>94.7</v>
      </c>
      <c r="D50" s="59">
        <v>60.73</v>
      </c>
      <c r="E50" s="59">
        <v>15.13</v>
      </c>
      <c r="F50" s="59">
        <v>18.59</v>
      </c>
      <c r="G50" s="59">
        <v>113.45</v>
      </c>
      <c r="H50" s="59">
        <v>54.68</v>
      </c>
      <c r="I50" s="59">
        <v>0.79</v>
      </c>
      <c r="J50" s="59">
        <v>1.27</v>
      </c>
      <c r="K50" s="59">
        <v>107.15</v>
      </c>
      <c r="L50" s="59">
        <v>30.77</v>
      </c>
      <c r="M50" s="59">
        <v>28.96</v>
      </c>
      <c r="N50" s="59">
        <v>475</v>
      </c>
      <c r="O50" s="59">
        <v>0</v>
      </c>
      <c r="P50" s="59">
        <v>1.0900000000000001</v>
      </c>
      <c r="Q50" s="59">
        <v>20.91</v>
      </c>
      <c r="R50" s="197"/>
      <c r="S50" s="197"/>
      <c r="T50" s="197"/>
      <c r="U50" s="197"/>
    </row>
    <row r="51" spans="1:21" s="12" customFormat="1" x14ac:dyDescent="0.25">
      <c r="A51" s="200" t="s">
        <v>478</v>
      </c>
      <c r="B51" s="59">
        <v>1.76</v>
      </c>
      <c r="C51" s="59">
        <v>57.53</v>
      </c>
      <c r="D51" s="59">
        <v>32.119999999999997</v>
      </c>
      <c r="E51" s="59">
        <v>0.2</v>
      </c>
      <c r="F51" s="59">
        <v>4.3</v>
      </c>
      <c r="G51" s="59">
        <v>113.45</v>
      </c>
      <c r="H51" s="59">
        <v>54.68</v>
      </c>
      <c r="I51" s="59">
        <v>0.75</v>
      </c>
      <c r="J51" s="59">
        <v>0.92</v>
      </c>
      <c r="K51" s="59">
        <v>120.88</v>
      </c>
      <c r="L51" s="59">
        <v>31.17</v>
      </c>
      <c r="M51" s="59">
        <v>28.09</v>
      </c>
      <c r="N51" s="59">
        <v>483.2</v>
      </c>
      <c r="O51" s="59">
        <v>0</v>
      </c>
      <c r="P51" s="59">
        <v>0.64</v>
      </c>
      <c r="Q51" s="59">
        <v>14.71</v>
      </c>
      <c r="R51" s="197"/>
      <c r="S51" s="197"/>
      <c r="T51" s="197"/>
      <c r="U51" s="197"/>
    </row>
    <row r="52" spans="1:21" s="12" customFormat="1" x14ac:dyDescent="0.25">
      <c r="A52" s="200" t="s">
        <v>479</v>
      </c>
      <c r="B52" s="59">
        <v>1.63</v>
      </c>
      <c r="C52" s="59">
        <v>52.11</v>
      </c>
      <c r="D52" s="59">
        <v>29.03</v>
      </c>
      <c r="E52" s="59">
        <v>74.87</v>
      </c>
      <c r="F52" s="59">
        <v>58.27</v>
      </c>
      <c r="G52" s="59">
        <v>113.45</v>
      </c>
      <c r="H52" s="59">
        <v>54.68</v>
      </c>
      <c r="I52" s="59">
        <v>0.57999999999999996</v>
      </c>
      <c r="J52" s="59">
        <v>0.75</v>
      </c>
      <c r="K52" s="59">
        <v>110.11</v>
      </c>
      <c r="L52" s="59">
        <v>32.06</v>
      </c>
      <c r="M52" s="59">
        <v>25.95</v>
      </c>
      <c r="N52" s="59">
        <v>490.4</v>
      </c>
      <c r="O52" s="59">
        <v>0</v>
      </c>
      <c r="P52" s="59">
        <v>0.6</v>
      </c>
      <c r="Q52" s="59">
        <v>13.01</v>
      </c>
      <c r="R52" s="197"/>
      <c r="S52" s="197"/>
      <c r="T52" s="197"/>
      <c r="U52" s="197"/>
    </row>
    <row r="53" spans="1:21" s="12" customFormat="1" x14ac:dyDescent="0.25">
      <c r="A53" s="200" t="s">
        <v>480</v>
      </c>
      <c r="B53" s="59">
        <v>1.45</v>
      </c>
      <c r="C53" s="59">
        <v>47.23</v>
      </c>
      <c r="D53" s="59">
        <v>26.18</v>
      </c>
      <c r="E53" s="59">
        <v>185.47</v>
      </c>
      <c r="F53" s="59">
        <v>61.89</v>
      </c>
      <c r="G53" s="59">
        <v>113.45</v>
      </c>
      <c r="H53" s="59">
        <v>54.68</v>
      </c>
      <c r="I53" s="59">
        <v>0.47</v>
      </c>
      <c r="J53" s="59">
        <v>0.73</v>
      </c>
      <c r="K53" s="59">
        <v>148.28</v>
      </c>
      <c r="L53" s="59">
        <v>32.68</v>
      </c>
      <c r="M53" s="59">
        <v>24.06</v>
      </c>
      <c r="N53" s="59">
        <v>500</v>
      </c>
      <c r="O53" s="59">
        <v>0</v>
      </c>
      <c r="P53" s="59">
        <v>0.53</v>
      </c>
      <c r="Q53" s="59">
        <v>12.03</v>
      </c>
      <c r="R53" s="197"/>
      <c r="S53" s="197"/>
      <c r="T53" s="197"/>
      <c r="U53" s="197"/>
    </row>
    <row r="54" spans="1:21" s="12" customFormat="1" x14ac:dyDescent="0.25">
      <c r="A54" s="200" t="s">
        <v>481</v>
      </c>
      <c r="B54" s="59">
        <v>1.43</v>
      </c>
      <c r="C54" s="59">
        <v>47.82</v>
      </c>
      <c r="D54" s="59">
        <v>26.49</v>
      </c>
      <c r="E54" s="59">
        <v>316.24</v>
      </c>
      <c r="F54" s="59">
        <v>28.95</v>
      </c>
      <c r="G54" s="59">
        <v>105.89</v>
      </c>
      <c r="H54" s="59">
        <v>51.64</v>
      </c>
      <c r="I54" s="59">
        <v>0.45</v>
      </c>
      <c r="J54" s="59">
        <v>0.54</v>
      </c>
      <c r="K54" s="59">
        <v>158.28</v>
      </c>
      <c r="L54" s="59">
        <v>33.47</v>
      </c>
      <c r="M54" s="59">
        <v>23.08</v>
      </c>
      <c r="N54" s="59">
        <v>509</v>
      </c>
      <c r="O54" s="59">
        <v>0</v>
      </c>
      <c r="P54" s="59">
        <v>0.51</v>
      </c>
      <c r="Q54" s="59">
        <v>11.89</v>
      </c>
      <c r="R54" s="197"/>
      <c r="S54" s="197"/>
      <c r="T54" s="197"/>
      <c r="U54" s="197"/>
    </row>
    <row r="55" spans="1:21" s="12" customFormat="1" x14ac:dyDescent="0.25">
      <c r="A55" s="200" t="s">
        <v>482</v>
      </c>
      <c r="B55" s="59">
        <v>2.74</v>
      </c>
      <c r="C55" s="59">
        <v>54.29</v>
      </c>
      <c r="D55" s="59">
        <v>31.11</v>
      </c>
      <c r="E55" s="59">
        <v>252.22</v>
      </c>
      <c r="F55" s="59">
        <v>25.29</v>
      </c>
      <c r="G55" s="213" t="s">
        <v>40</v>
      </c>
      <c r="H55" s="213" t="s">
        <v>40</v>
      </c>
      <c r="I55" s="59">
        <v>0.45</v>
      </c>
      <c r="J55" s="59">
        <v>0.57999999999999996</v>
      </c>
      <c r="K55" s="59">
        <v>67.739999999999995</v>
      </c>
      <c r="L55" s="59">
        <v>34.21</v>
      </c>
      <c r="M55" s="59">
        <v>21.54</v>
      </c>
      <c r="N55" s="59">
        <v>511.8</v>
      </c>
      <c r="O55" s="59">
        <v>0</v>
      </c>
      <c r="P55" s="26" t="s">
        <v>40</v>
      </c>
      <c r="Q55" s="59">
        <v>12.72</v>
      </c>
      <c r="R55" s="197"/>
      <c r="S55" s="197"/>
      <c r="T55" s="197"/>
      <c r="U55" s="197"/>
    </row>
    <row r="56" spans="1:21" s="12" customFormat="1" x14ac:dyDescent="0.25">
      <c r="A56" s="200" t="s">
        <v>483</v>
      </c>
      <c r="B56" s="59">
        <v>3.06</v>
      </c>
      <c r="C56" s="59">
        <v>59.99</v>
      </c>
      <c r="D56" s="59">
        <v>34.51</v>
      </c>
      <c r="E56" s="59">
        <v>17.29</v>
      </c>
      <c r="F56" s="59">
        <v>22.71</v>
      </c>
      <c r="G56" s="213" t="s">
        <v>40</v>
      </c>
      <c r="H56" s="213" t="s">
        <v>40</v>
      </c>
      <c r="I56" s="59">
        <v>0.47</v>
      </c>
      <c r="J56" s="59">
        <v>0.74</v>
      </c>
      <c r="K56" s="59">
        <v>107.96</v>
      </c>
      <c r="L56" s="59">
        <v>35.33</v>
      </c>
      <c r="M56" s="59">
        <v>21.04</v>
      </c>
      <c r="N56" s="59">
        <v>504.9</v>
      </c>
      <c r="O56" s="59">
        <v>0</v>
      </c>
      <c r="P56" s="59">
        <v>0.35</v>
      </c>
      <c r="Q56" s="59">
        <v>14.39</v>
      </c>
      <c r="R56" s="197"/>
      <c r="S56" s="197"/>
      <c r="T56" s="197"/>
      <c r="U56" s="197"/>
    </row>
    <row r="57" spans="1:21" s="12" customFormat="1" x14ac:dyDescent="0.25">
      <c r="A57" s="200" t="s">
        <v>484</v>
      </c>
      <c r="B57" s="59">
        <v>3.03</v>
      </c>
      <c r="C57" s="59">
        <v>69.5</v>
      </c>
      <c r="D57" s="59">
        <v>39.74</v>
      </c>
      <c r="E57" s="59">
        <v>19.09</v>
      </c>
      <c r="F57" s="59">
        <v>26.76</v>
      </c>
      <c r="G57" s="213" t="s">
        <v>40</v>
      </c>
      <c r="H57" s="213" t="s">
        <v>40</v>
      </c>
      <c r="I57" s="59">
        <v>0.48</v>
      </c>
      <c r="J57" s="59">
        <v>0.68</v>
      </c>
      <c r="K57" s="59">
        <v>18.89</v>
      </c>
      <c r="L57" s="59">
        <v>36.479999999999997</v>
      </c>
      <c r="M57" s="59">
        <v>20.34</v>
      </c>
      <c r="N57" s="59">
        <v>497.2</v>
      </c>
      <c r="O57" s="59">
        <v>0</v>
      </c>
      <c r="P57" s="59">
        <v>4.49</v>
      </c>
      <c r="Q57" s="59">
        <v>15.74</v>
      </c>
      <c r="R57" s="197"/>
      <c r="S57" s="197"/>
      <c r="T57" s="197"/>
      <c r="U57" s="197"/>
    </row>
    <row r="58" spans="1:21" s="12" customFormat="1" x14ac:dyDescent="0.25">
      <c r="A58" s="200" t="s">
        <v>485</v>
      </c>
      <c r="B58" s="59">
        <v>3.86</v>
      </c>
      <c r="C58" s="59">
        <v>71.84</v>
      </c>
      <c r="D58" s="59">
        <v>41.7</v>
      </c>
      <c r="E58" s="59">
        <v>27.8</v>
      </c>
      <c r="F58" s="59">
        <v>38.22</v>
      </c>
      <c r="G58" s="210" t="s">
        <v>43</v>
      </c>
      <c r="H58" s="210" t="s">
        <v>43</v>
      </c>
      <c r="I58" s="59">
        <v>0.49</v>
      </c>
      <c r="J58" s="59">
        <v>0.96</v>
      </c>
      <c r="K58" s="59">
        <v>2.81</v>
      </c>
      <c r="L58" s="59">
        <v>38.36</v>
      </c>
      <c r="M58" s="59">
        <v>17.989999999999998</v>
      </c>
      <c r="N58" s="59">
        <v>489.1</v>
      </c>
      <c r="O58" s="59">
        <v>0</v>
      </c>
      <c r="P58" s="59">
        <v>3.96</v>
      </c>
      <c r="Q58" s="59">
        <v>17.25</v>
      </c>
      <c r="R58" s="197"/>
      <c r="S58" s="197"/>
      <c r="T58" s="197"/>
      <c r="U58" s="197"/>
    </row>
    <row r="59" spans="1:21" s="12" customFormat="1" x14ac:dyDescent="0.25">
      <c r="A59" s="200" t="s">
        <v>486</v>
      </c>
      <c r="B59" s="59">
        <v>91.55</v>
      </c>
      <c r="C59" s="59">
        <v>19.739999999999998</v>
      </c>
      <c r="D59" s="59">
        <v>84.26</v>
      </c>
      <c r="E59" s="59">
        <v>37.1</v>
      </c>
      <c r="F59" s="59">
        <v>55.08</v>
      </c>
      <c r="G59" s="59">
        <v>64.180000000000007</v>
      </c>
      <c r="H59" s="59">
        <v>39.369999999999997</v>
      </c>
      <c r="I59" s="59">
        <v>0.5</v>
      </c>
      <c r="J59" s="59">
        <v>1.24</v>
      </c>
      <c r="K59" s="59">
        <v>8.4</v>
      </c>
      <c r="L59" s="59">
        <v>39</v>
      </c>
      <c r="M59" s="59">
        <v>16.79</v>
      </c>
      <c r="N59" s="59">
        <v>483.3</v>
      </c>
      <c r="O59" s="59">
        <v>0</v>
      </c>
      <c r="P59" s="59">
        <v>0.8</v>
      </c>
      <c r="Q59" s="59">
        <v>17.100000000000001</v>
      </c>
      <c r="R59" s="197"/>
      <c r="S59" s="197"/>
      <c r="T59" s="197"/>
      <c r="U59" s="197"/>
    </row>
    <row r="60" spans="1:21" s="12" customFormat="1" x14ac:dyDescent="0.25">
      <c r="A60" s="200" t="s">
        <v>487</v>
      </c>
      <c r="B60" s="59">
        <v>152.5</v>
      </c>
      <c r="C60" s="59">
        <v>12.19</v>
      </c>
      <c r="D60" s="59">
        <v>129.02000000000001</v>
      </c>
      <c r="E60" s="59">
        <v>24.86</v>
      </c>
      <c r="F60" s="59">
        <v>40.46</v>
      </c>
      <c r="G60" s="59">
        <v>64.180000000000007</v>
      </c>
      <c r="H60" s="59">
        <v>39.369999999999997</v>
      </c>
      <c r="I60" s="59">
        <v>0.49</v>
      </c>
      <c r="J60" s="59">
        <v>0.42</v>
      </c>
      <c r="K60" s="59">
        <v>43.13</v>
      </c>
      <c r="L60" s="59">
        <v>37.97</v>
      </c>
      <c r="M60" s="59">
        <v>17.649999999999999</v>
      </c>
      <c r="N60" s="59">
        <v>455.4</v>
      </c>
      <c r="O60" s="59">
        <v>0</v>
      </c>
      <c r="P60" s="59">
        <v>0.82</v>
      </c>
      <c r="Q60" s="59">
        <v>16.5</v>
      </c>
      <c r="R60" s="197"/>
      <c r="S60" s="197"/>
      <c r="T60" s="197"/>
      <c r="U60" s="197"/>
    </row>
    <row r="61" spans="1:21" s="12" customFormat="1" x14ac:dyDescent="0.25">
      <c r="A61" s="200" t="s">
        <v>488</v>
      </c>
      <c r="B61" s="59">
        <v>174.79</v>
      </c>
      <c r="C61" s="59">
        <v>13.59</v>
      </c>
      <c r="D61" s="59">
        <v>147.66999999999999</v>
      </c>
      <c r="E61" s="59">
        <v>30.9</v>
      </c>
      <c r="F61" s="59">
        <v>40.25</v>
      </c>
      <c r="G61" s="59">
        <v>64.180000000000007</v>
      </c>
      <c r="H61" s="59">
        <v>39.369999999999997</v>
      </c>
      <c r="I61" s="59">
        <v>0.48</v>
      </c>
      <c r="J61" s="59">
        <v>0.91</v>
      </c>
      <c r="K61" s="59">
        <v>95.23</v>
      </c>
      <c r="L61" s="59">
        <v>36.909999999999997</v>
      </c>
      <c r="M61" s="59">
        <v>17.89</v>
      </c>
      <c r="N61" s="59">
        <v>445.2</v>
      </c>
      <c r="O61" s="59">
        <v>0</v>
      </c>
      <c r="P61" s="59">
        <v>0.73</v>
      </c>
      <c r="Q61" s="59">
        <v>17.78</v>
      </c>
      <c r="R61" s="197"/>
      <c r="S61" s="197"/>
      <c r="T61" s="197"/>
      <c r="U61" s="197"/>
    </row>
    <row r="62" spans="1:21" s="12" customFormat="1" x14ac:dyDescent="0.25">
      <c r="A62" s="200" t="s">
        <v>489</v>
      </c>
      <c r="B62" s="59">
        <v>186.41</v>
      </c>
      <c r="C62" s="59">
        <v>14.87</v>
      </c>
      <c r="D62" s="59">
        <v>157.69999999999999</v>
      </c>
      <c r="E62" s="59">
        <v>14.74</v>
      </c>
      <c r="F62" s="59">
        <v>22.35</v>
      </c>
      <c r="G62" s="59">
        <v>64.41</v>
      </c>
      <c r="H62" s="59">
        <v>39.03</v>
      </c>
      <c r="I62" s="59">
        <v>0.48</v>
      </c>
      <c r="J62" s="59">
        <v>0.56000000000000005</v>
      </c>
      <c r="K62" s="59">
        <v>93.41</v>
      </c>
      <c r="L62" s="59">
        <v>35.049999999999997</v>
      </c>
      <c r="M62" s="59">
        <v>20.13</v>
      </c>
      <c r="N62" s="59">
        <v>357.4</v>
      </c>
      <c r="O62" s="59">
        <v>0</v>
      </c>
      <c r="P62" s="59">
        <v>0.77</v>
      </c>
      <c r="Q62" s="59">
        <v>17.8</v>
      </c>
      <c r="R62" s="197"/>
      <c r="S62" s="197"/>
      <c r="T62" s="197"/>
      <c r="U62" s="197"/>
    </row>
    <row r="63" spans="1:21" s="12" customFormat="1" x14ac:dyDescent="0.25">
      <c r="A63" s="200" t="s">
        <v>490</v>
      </c>
      <c r="B63" s="59">
        <v>3.27</v>
      </c>
      <c r="C63" s="59">
        <v>54</v>
      </c>
      <c r="D63" s="59">
        <v>32.42</v>
      </c>
      <c r="E63" s="59">
        <v>44.27</v>
      </c>
      <c r="F63" s="59">
        <v>33.99</v>
      </c>
      <c r="G63" s="59">
        <v>67.12</v>
      </c>
      <c r="H63" s="59">
        <v>35.090000000000003</v>
      </c>
      <c r="I63" s="59">
        <v>0.48</v>
      </c>
      <c r="J63" s="59">
        <v>0.99</v>
      </c>
      <c r="K63" s="59">
        <v>11.67</v>
      </c>
      <c r="L63" s="59">
        <v>37.58</v>
      </c>
      <c r="M63" s="59">
        <v>17.309999999999999</v>
      </c>
      <c r="N63" s="59">
        <v>343</v>
      </c>
      <c r="O63" s="59">
        <v>0</v>
      </c>
      <c r="P63" s="59">
        <v>0.79</v>
      </c>
      <c r="Q63" s="59">
        <v>18.39</v>
      </c>
      <c r="R63" s="197"/>
      <c r="S63" s="197"/>
      <c r="T63" s="197"/>
      <c r="U63" s="197"/>
    </row>
    <row r="64" spans="1:21" s="12" customFormat="1" x14ac:dyDescent="0.25">
      <c r="A64" s="200" t="s">
        <v>491</v>
      </c>
      <c r="B64" s="59">
        <v>4.34</v>
      </c>
      <c r="C64" s="59">
        <v>66.010000000000005</v>
      </c>
      <c r="D64" s="59">
        <v>39.840000000000003</v>
      </c>
      <c r="E64" s="59">
        <v>38.19</v>
      </c>
      <c r="F64" s="59">
        <v>49.42</v>
      </c>
      <c r="G64" s="59">
        <v>67.12</v>
      </c>
      <c r="H64" s="59">
        <v>35.090000000000003</v>
      </c>
      <c r="I64" s="59">
        <v>0.5</v>
      </c>
      <c r="J64" s="59">
        <v>0.94</v>
      </c>
      <c r="K64" s="59">
        <v>45</v>
      </c>
      <c r="L64" s="59">
        <v>36.72</v>
      </c>
      <c r="M64" s="59">
        <v>16.21</v>
      </c>
      <c r="N64" s="59">
        <v>390.3</v>
      </c>
      <c r="O64" s="59">
        <v>0</v>
      </c>
      <c r="P64" s="59">
        <v>0.76</v>
      </c>
      <c r="Q64" s="59">
        <v>19.34</v>
      </c>
      <c r="R64" s="197"/>
      <c r="S64" s="197"/>
      <c r="T64" s="197"/>
      <c r="U64" s="197"/>
    </row>
    <row r="65" spans="1:21" s="12" customFormat="1" x14ac:dyDescent="0.25">
      <c r="A65" s="200" t="s">
        <v>492</v>
      </c>
      <c r="B65" s="59">
        <v>4.5999999999999996</v>
      </c>
      <c r="C65" s="59">
        <v>74.900000000000006</v>
      </c>
      <c r="D65" s="59">
        <v>45.02</v>
      </c>
      <c r="E65" s="59">
        <v>19.16</v>
      </c>
      <c r="F65" s="59">
        <v>22.09</v>
      </c>
      <c r="G65" s="59">
        <v>67.12</v>
      </c>
      <c r="H65" s="59">
        <v>35.090000000000003</v>
      </c>
      <c r="I65" s="59">
        <v>0.49</v>
      </c>
      <c r="J65" s="59">
        <v>1.38</v>
      </c>
      <c r="K65" s="59">
        <v>2.88</v>
      </c>
      <c r="L65" s="59">
        <v>38.75</v>
      </c>
      <c r="M65" s="59">
        <v>12.49</v>
      </c>
      <c r="N65" s="59">
        <v>437.6</v>
      </c>
      <c r="O65" s="59">
        <v>0</v>
      </c>
      <c r="P65" s="59">
        <v>0.77</v>
      </c>
      <c r="Q65" s="59">
        <v>17.93</v>
      </c>
      <c r="R65" s="197"/>
      <c r="S65" s="197"/>
      <c r="T65" s="197"/>
      <c r="U65" s="197"/>
    </row>
    <row r="66" spans="1:21" s="12" customFormat="1" x14ac:dyDescent="0.25">
      <c r="A66" s="200" t="s">
        <v>493</v>
      </c>
      <c r="B66" s="59">
        <v>2.12</v>
      </c>
      <c r="C66" s="59">
        <v>67.17</v>
      </c>
      <c r="D66" s="59">
        <v>38.770000000000003</v>
      </c>
      <c r="E66" s="59">
        <v>17.09</v>
      </c>
      <c r="F66" s="59">
        <v>23.63</v>
      </c>
      <c r="G66" s="59">
        <v>66.84</v>
      </c>
      <c r="H66" s="59">
        <v>35.18</v>
      </c>
      <c r="I66" s="59">
        <v>0.49</v>
      </c>
      <c r="J66" s="59">
        <v>1.85</v>
      </c>
      <c r="K66" s="59">
        <v>13.2</v>
      </c>
      <c r="L66" s="59">
        <v>39.119999999999997</v>
      </c>
      <c r="M66" s="59">
        <v>11.19</v>
      </c>
      <c r="N66" s="59">
        <v>421</v>
      </c>
      <c r="O66" s="59">
        <v>0</v>
      </c>
      <c r="P66" s="59">
        <v>0.75</v>
      </c>
      <c r="Q66" s="59">
        <v>17.260000000000002</v>
      </c>
      <c r="R66" s="197"/>
      <c r="S66" s="197"/>
      <c r="T66" s="197"/>
      <c r="U66" s="197"/>
    </row>
    <row r="67" spans="1:21" s="12" customFormat="1" x14ac:dyDescent="0.25">
      <c r="A67" s="200" t="s">
        <v>494</v>
      </c>
      <c r="B67" s="59">
        <v>3.7</v>
      </c>
      <c r="C67" s="59">
        <v>67.78</v>
      </c>
      <c r="D67" s="59">
        <v>40.369999999999997</v>
      </c>
      <c r="E67" s="59">
        <v>12.92</v>
      </c>
      <c r="F67" s="59">
        <v>12.2</v>
      </c>
      <c r="G67" s="59">
        <v>63.54</v>
      </c>
      <c r="H67" s="59">
        <v>36.25</v>
      </c>
      <c r="I67" s="59">
        <v>0.54</v>
      </c>
      <c r="J67" s="59">
        <v>1.59</v>
      </c>
      <c r="K67" s="59">
        <v>12.54</v>
      </c>
      <c r="L67" s="59">
        <v>38.58</v>
      </c>
      <c r="M67" s="59">
        <v>11.39</v>
      </c>
      <c r="N67" s="59">
        <v>401.2</v>
      </c>
      <c r="O67" s="59">
        <v>0</v>
      </c>
      <c r="P67" s="59">
        <v>0.74</v>
      </c>
      <c r="Q67" s="59">
        <v>17.41</v>
      </c>
      <c r="R67" s="197"/>
      <c r="S67" s="197"/>
      <c r="T67" s="197"/>
      <c r="U67" s="197"/>
    </row>
    <row r="68" spans="1:21" s="12" customFormat="1" x14ac:dyDescent="0.25">
      <c r="A68" s="200" t="s">
        <v>495</v>
      </c>
      <c r="B68" s="59">
        <v>3.62</v>
      </c>
      <c r="C68" s="59">
        <v>67.77</v>
      </c>
      <c r="D68" s="59">
        <v>40.299999999999997</v>
      </c>
      <c r="E68" s="59">
        <v>10.32</v>
      </c>
      <c r="F68" s="59">
        <v>14.78</v>
      </c>
      <c r="G68" s="59">
        <v>63.54</v>
      </c>
      <c r="H68" s="59">
        <v>36.25</v>
      </c>
      <c r="I68" s="59">
        <v>0.55000000000000004</v>
      </c>
      <c r="J68" s="59">
        <v>1.53</v>
      </c>
      <c r="K68" s="59">
        <v>3.2</v>
      </c>
      <c r="L68" s="59">
        <v>38.979999999999997</v>
      </c>
      <c r="M68" s="59">
        <v>10.91</v>
      </c>
      <c r="N68" s="59">
        <v>409</v>
      </c>
      <c r="O68" s="59">
        <v>0</v>
      </c>
      <c r="P68" s="59">
        <v>0.71</v>
      </c>
      <c r="Q68" s="59">
        <v>17.920000000000002</v>
      </c>
      <c r="R68" s="197"/>
      <c r="S68" s="197"/>
      <c r="T68" s="197"/>
      <c r="U68" s="197"/>
    </row>
    <row r="69" spans="1:21" s="12" customFormat="1" x14ac:dyDescent="0.25">
      <c r="A69" s="200" t="s">
        <v>496</v>
      </c>
      <c r="B69" s="59">
        <v>6.68</v>
      </c>
      <c r="C69" s="59">
        <v>66.78</v>
      </c>
      <c r="D69" s="59">
        <v>42.21</v>
      </c>
      <c r="E69" s="59">
        <v>9.3699999999999992</v>
      </c>
      <c r="F69" s="59">
        <v>15.03</v>
      </c>
      <c r="G69" s="59">
        <v>63.54</v>
      </c>
      <c r="H69" s="59">
        <v>36.25</v>
      </c>
      <c r="I69" s="59">
        <v>0.55000000000000004</v>
      </c>
      <c r="J69" s="59">
        <v>1.35</v>
      </c>
      <c r="K69" s="59">
        <v>15.21</v>
      </c>
      <c r="L69" s="59">
        <v>38.409999999999997</v>
      </c>
      <c r="M69" s="59">
        <v>12.15</v>
      </c>
      <c r="N69" s="59">
        <v>366.3</v>
      </c>
      <c r="O69" s="59">
        <v>0</v>
      </c>
      <c r="P69" s="59">
        <v>0.72</v>
      </c>
      <c r="Q69" s="59">
        <v>18.61</v>
      </c>
      <c r="R69" s="197"/>
      <c r="S69" s="197"/>
      <c r="T69" s="197"/>
      <c r="U69" s="197"/>
    </row>
    <row r="70" spans="1:21" s="12" customFormat="1" x14ac:dyDescent="0.25">
      <c r="A70" s="200" t="s">
        <v>497</v>
      </c>
      <c r="B70" s="59">
        <v>5.63</v>
      </c>
      <c r="C70" s="59">
        <v>72.13</v>
      </c>
      <c r="D70" s="59">
        <v>44.32</v>
      </c>
      <c r="E70" s="59">
        <v>7.94</v>
      </c>
      <c r="F70" s="59">
        <v>10.11</v>
      </c>
      <c r="G70" s="59">
        <v>63.4</v>
      </c>
      <c r="H70" s="59">
        <v>35.909999999999997</v>
      </c>
      <c r="I70" s="59">
        <v>0.56999999999999995</v>
      </c>
      <c r="J70" s="59">
        <v>1.66</v>
      </c>
      <c r="K70" s="59">
        <v>14.78</v>
      </c>
      <c r="L70" s="59">
        <v>37.93</v>
      </c>
      <c r="M70" s="59">
        <v>11.99</v>
      </c>
      <c r="N70" s="59">
        <v>346.4</v>
      </c>
      <c r="O70" s="59">
        <v>0</v>
      </c>
      <c r="P70" s="59">
        <v>0.72</v>
      </c>
      <c r="Q70" s="59">
        <v>19.399999999999999</v>
      </c>
      <c r="R70" s="197"/>
      <c r="S70" s="197"/>
      <c r="T70" s="197"/>
      <c r="U70" s="197"/>
    </row>
    <row r="71" spans="1:21" s="12" customFormat="1" x14ac:dyDescent="0.25">
      <c r="A71" s="200" t="s">
        <v>498</v>
      </c>
      <c r="B71" s="59">
        <v>5.08</v>
      </c>
      <c r="C71" s="59">
        <v>71.599999999999994</v>
      </c>
      <c r="D71" s="59">
        <v>43.59</v>
      </c>
      <c r="E71" s="59">
        <v>7.05</v>
      </c>
      <c r="F71" s="59">
        <v>7.3</v>
      </c>
      <c r="G71" s="59">
        <v>61.74</v>
      </c>
      <c r="H71" s="59">
        <v>31.84</v>
      </c>
      <c r="I71" s="59">
        <v>0.56999999999999995</v>
      </c>
      <c r="J71" s="59">
        <v>2.1</v>
      </c>
      <c r="K71" s="59">
        <v>18.84</v>
      </c>
      <c r="L71" s="59">
        <v>36.83</v>
      </c>
      <c r="M71" s="59">
        <v>12.83</v>
      </c>
      <c r="N71" s="59">
        <v>297.39999999999998</v>
      </c>
      <c r="O71" s="59">
        <v>0</v>
      </c>
      <c r="P71" s="59">
        <v>0.71</v>
      </c>
      <c r="Q71" s="59">
        <v>20.94</v>
      </c>
      <c r="R71" s="197"/>
      <c r="S71" s="197"/>
      <c r="T71" s="197"/>
      <c r="U71" s="197"/>
    </row>
    <row r="72" spans="1:21" s="12" customFormat="1" x14ac:dyDescent="0.25">
      <c r="A72" s="200" t="s">
        <v>499</v>
      </c>
      <c r="B72" s="59">
        <v>3.62</v>
      </c>
      <c r="C72" s="59">
        <v>71.88</v>
      </c>
      <c r="D72" s="59">
        <v>42.57</v>
      </c>
      <c r="E72" s="59">
        <v>3.3</v>
      </c>
      <c r="F72" s="59">
        <v>7.18</v>
      </c>
      <c r="G72" s="59">
        <v>61.74</v>
      </c>
      <c r="H72" s="59">
        <v>31.84</v>
      </c>
      <c r="I72" s="59">
        <v>0.54</v>
      </c>
      <c r="J72" s="59">
        <v>1.64</v>
      </c>
      <c r="K72" s="59">
        <v>27.37</v>
      </c>
      <c r="L72" s="59">
        <v>36.090000000000003</v>
      </c>
      <c r="M72" s="59">
        <v>13.18</v>
      </c>
      <c r="N72" s="59">
        <v>214.8</v>
      </c>
      <c r="O72" s="59">
        <v>0</v>
      </c>
      <c r="P72" s="59">
        <v>0.7</v>
      </c>
      <c r="Q72" s="59">
        <v>22.76</v>
      </c>
      <c r="R72" s="197"/>
      <c r="S72" s="197"/>
      <c r="T72" s="197"/>
      <c r="U72" s="197"/>
    </row>
    <row r="73" spans="1:21" s="12" customFormat="1" x14ac:dyDescent="0.25">
      <c r="A73" s="200" t="s">
        <v>500</v>
      </c>
      <c r="B73" s="59">
        <v>3.16</v>
      </c>
      <c r="C73" s="59">
        <v>74.06</v>
      </c>
      <c r="D73" s="59">
        <v>43.4</v>
      </c>
      <c r="E73" s="59">
        <v>5.98</v>
      </c>
      <c r="F73" s="59">
        <v>182.77</v>
      </c>
      <c r="G73" s="59">
        <v>61.74</v>
      </c>
      <c r="H73" s="59">
        <v>31.84</v>
      </c>
      <c r="I73" s="59">
        <v>0.56999999999999995</v>
      </c>
      <c r="J73" s="59">
        <v>1.84</v>
      </c>
      <c r="K73" s="59">
        <v>34.450000000000003</v>
      </c>
      <c r="L73" s="59">
        <v>35.64</v>
      </c>
      <c r="M73" s="59">
        <v>13.91</v>
      </c>
      <c r="N73" s="59">
        <v>119.2</v>
      </c>
      <c r="O73" s="59">
        <v>0</v>
      </c>
      <c r="P73" s="59">
        <v>0.68</v>
      </c>
      <c r="Q73" s="59">
        <v>23.26</v>
      </c>
      <c r="R73" s="197"/>
      <c r="S73" s="197"/>
      <c r="T73" s="197"/>
      <c r="U73" s="197"/>
    </row>
    <row r="74" spans="1:21" s="12" customFormat="1" x14ac:dyDescent="0.25">
      <c r="A74" s="200" t="s">
        <v>501</v>
      </c>
      <c r="B74" s="59">
        <v>6.47</v>
      </c>
      <c r="C74" s="59">
        <v>75.23</v>
      </c>
      <c r="D74" s="59">
        <v>46.71</v>
      </c>
      <c r="E74" s="59">
        <v>6.8</v>
      </c>
      <c r="F74" s="59">
        <v>266.87</v>
      </c>
      <c r="G74" s="59">
        <v>61.64</v>
      </c>
      <c r="H74" s="59">
        <v>31.67</v>
      </c>
      <c r="I74" s="59">
        <v>0.57999999999999996</v>
      </c>
      <c r="J74" s="59">
        <v>1.18</v>
      </c>
      <c r="K74" s="59">
        <v>30.91</v>
      </c>
      <c r="L74" s="59">
        <v>35.47</v>
      </c>
      <c r="M74" s="59">
        <v>13.91</v>
      </c>
      <c r="N74" s="59">
        <v>113.5</v>
      </c>
      <c r="O74" s="59">
        <v>0</v>
      </c>
      <c r="P74" s="59">
        <v>0.69</v>
      </c>
      <c r="Q74" s="59">
        <v>23.09</v>
      </c>
      <c r="R74" s="197"/>
      <c r="S74" s="197"/>
      <c r="T74" s="197"/>
      <c r="U74" s="197"/>
    </row>
    <row r="75" spans="1:21" s="12" customFormat="1" x14ac:dyDescent="0.25">
      <c r="A75" s="200" t="s">
        <v>502</v>
      </c>
      <c r="B75" s="59">
        <v>6.34</v>
      </c>
      <c r="C75" s="59">
        <v>77.099999999999994</v>
      </c>
      <c r="D75" s="59">
        <v>47.63</v>
      </c>
      <c r="E75" s="59">
        <v>6.67</v>
      </c>
      <c r="F75" s="59">
        <v>257.92</v>
      </c>
      <c r="G75" s="59">
        <v>60.42</v>
      </c>
      <c r="H75" s="59">
        <v>29.68</v>
      </c>
      <c r="I75" s="59">
        <v>0.56999999999999995</v>
      </c>
      <c r="J75" s="59">
        <v>1.1499999999999999</v>
      </c>
      <c r="K75" s="59">
        <v>31.01</v>
      </c>
      <c r="L75" s="59">
        <v>34.630000000000003</v>
      </c>
      <c r="M75" s="59">
        <v>14.07</v>
      </c>
      <c r="N75" s="59">
        <v>81.3</v>
      </c>
      <c r="O75" s="59">
        <v>0</v>
      </c>
      <c r="P75" s="59">
        <v>0.71</v>
      </c>
      <c r="Q75" s="59">
        <v>23.49</v>
      </c>
      <c r="R75" s="197"/>
      <c r="S75" s="197"/>
      <c r="T75" s="197"/>
      <c r="U75" s="197"/>
    </row>
    <row r="76" spans="1:21" s="12" customFormat="1" x14ac:dyDescent="0.25">
      <c r="A76" s="200" t="s">
        <v>503</v>
      </c>
      <c r="B76" s="59">
        <v>7.51</v>
      </c>
      <c r="C76" s="59">
        <v>72.900000000000006</v>
      </c>
      <c r="D76" s="59">
        <v>46.25</v>
      </c>
      <c r="E76" s="59">
        <v>9.16</v>
      </c>
      <c r="F76" s="59">
        <v>22.07</v>
      </c>
      <c r="G76" s="59">
        <v>60.42</v>
      </c>
      <c r="H76" s="59">
        <v>29.68</v>
      </c>
      <c r="I76" s="59">
        <v>0.56000000000000005</v>
      </c>
      <c r="J76" s="59">
        <v>1.58</v>
      </c>
      <c r="K76" s="59">
        <v>26.26</v>
      </c>
      <c r="L76" s="59">
        <v>33.89</v>
      </c>
      <c r="M76" s="59">
        <v>15.06</v>
      </c>
      <c r="N76" s="59">
        <v>59.8</v>
      </c>
      <c r="O76" s="59">
        <v>0</v>
      </c>
      <c r="P76" s="59">
        <v>0.75</v>
      </c>
      <c r="Q76" s="59">
        <v>23.47</v>
      </c>
      <c r="R76" s="197"/>
      <c r="S76" s="197"/>
      <c r="T76" s="197"/>
      <c r="U76" s="197"/>
    </row>
    <row r="77" spans="1:21" s="12" customFormat="1" x14ac:dyDescent="0.25">
      <c r="A77" s="200" t="s">
        <v>504</v>
      </c>
      <c r="B77" s="59">
        <v>4.42</v>
      </c>
      <c r="C77" s="59">
        <v>90.9</v>
      </c>
      <c r="D77" s="59">
        <v>53.71</v>
      </c>
      <c r="E77" s="59">
        <v>6.8</v>
      </c>
      <c r="F77" s="59">
        <v>11.35</v>
      </c>
      <c r="G77" s="59">
        <v>60.42</v>
      </c>
      <c r="H77" s="59">
        <v>29.68</v>
      </c>
      <c r="I77" s="59">
        <v>0.53</v>
      </c>
      <c r="J77" s="59">
        <v>1.6</v>
      </c>
      <c r="K77" s="59">
        <v>28.91</v>
      </c>
      <c r="L77" s="59">
        <v>33.33</v>
      </c>
      <c r="M77" s="59">
        <v>15.69</v>
      </c>
      <c r="N77" s="59">
        <v>43.3</v>
      </c>
      <c r="O77" s="59">
        <v>0</v>
      </c>
      <c r="P77" s="59">
        <v>0.74</v>
      </c>
      <c r="Q77" s="59">
        <v>22.19</v>
      </c>
      <c r="R77" s="197"/>
      <c r="S77" s="197"/>
      <c r="T77" s="197"/>
      <c r="U77" s="197"/>
    </row>
    <row r="78" spans="1:21" s="12" customFormat="1" x14ac:dyDescent="0.25">
      <c r="A78" s="200" t="s">
        <v>505</v>
      </c>
      <c r="B78" s="59">
        <v>12.75</v>
      </c>
      <c r="C78" s="59">
        <v>87.73</v>
      </c>
      <c r="D78" s="59">
        <v>58.64</v>
      </c>
      <c r="E78" s="59">
        <v>10.88</v>
      </c>
      <c r="F78" s="59">
        <v>21.92</v>
      </c>
      <c r="G78" s="59">
        <v>60.41</v>
      </c>
      <c r="H78" s="59">
        <v>29.64</v>
      </c>
      <c r="I78" s="59">
        <v>0.53</v>
      </c>
      <c r="J78" s="59">
        <v>1</v>
      </c>
      <c r="K78" s="59">
        <v>25.85</v>
      </c>
      <c r="L78" s="59">
        <v>32.770000000000003</v>
      </c>
      <c r="M78" s="59">
        <v>16.77</v>
      </c>
      <c r="N78" s="59">
        <v>30.5</v>
      </c>
      <c r="O78" s="59">
        <v>0</v>
      </c>
      <c r="P78" s="59">
        <v>0.81</v>
      </c>
      <c r="Q78" s="59">
        <v>21.13</v>
      </c>
      <c r="R78" s="197"/>
      <c r="S78" s="197"/>
      <c r="T78" s="197"/>
      <c r="U78" s="197"/>
    </row>
    <row r="79" spans="1:21" s="12" customFormat="1" x14ac:dyDescent="0.25">
      <c r="A79" s="200" t="s">
        <v>506</v>
      </c>
      <c r="B79" s="59">
        <v>20.71</v>
      </c>
      <c r="C79" s="59">
        <v>100.02</v>
      </c>
      <c r="D79" s="59">
        <v>71.8</v>
      </c>
      <c r="E79" s="59">
        <v>16.239999999999998</v>
      </c>
      <c r="F79" s="59">
        <v>18.149999999999999</v>
      </c>
      <c r="G79" s="59">
        <v>60.33</v>
      </c>
      <c r="H79" s="59">
        <v>29.2</v>
      </c>
      <c r="I79" s="59">
        <v>0.54</v>
      </c>
      <c r="J79" s="59">
        <v>0.44</v>
      </c>
      <c r="K79" s="59">
        <v>27.21</v>
      </c>
      <c r="L79" s="59">
        <v>32.130000000000003</v>
      </c>
      <c r="M79" s="59">
        <v>17.7</v>
      </c>
      <c r="N79" s="59">
        <v>18.8</v>
      </c>
      <c r="O79" s="59">
        <v>0</v>
      </c>
      <c r="P79" s="59">
        <v>1.08</v>
      </c>
      <c r="Q79" s="59">
        <v>19.87</v>
      </c>
      <c r="R79" s="197"/>
      <c r="S79" s="197"/>
      <c r="T79" s="197"/>
      <c r="U79" s="197"/>
    </row>
    <row r="80" spans="1:21" s="12" customFormat="1" x14ac:dyDescent="0.25">
      <c r="A80" s="200" t="s">
        <v>507</v>
      </c>
      <c r="B80" s="59">
        <v>24.71</v>
      </c>
      <c r="C80" s="59">
        <v>112.5</v>
      </c>
      <c r="D80" s="59">
        <v>81.900000000000006</v>
      </c>
      <c r="E80" s="59">
        <v>17.34</v>
      </c>
      <c r="F80" s="59">
        <v>12.82</v>
      </c>
      <c r="G80" s="59">
        <v>60.33</v>
      </c>
      <c r="H80" s="59">
        <v>29.2</v>
      </c>
      <c r="I80" s="59">
        <v>0.54</v>
      </c>
      <c r="J80" s="59">
        <v>0.28999999999999998</v>
      </c>
      <c r="K80" s="59">
        <v>29.7</v>
      </c>
      <c r="L80" s="59">
        <v>31.42</v>
      </c>
      <c r="M80" s="59">
        <v>18.71</v>
      </c>
      <c r="N80" s="59">
        <v>10.1</v>
      </c>
      <c r="O80" s="59">
        <v>0</v>
      </c>
      <c r="P80" s="59">
        <v>1.36</v>
      </c>
      <c r="Q80" s="59">
        <v>20.09</v>
      </c>
      <c r="R80" s="197"/>
      <c r="S80" s="197"/>
      <c r="T80" s="197"/>
      <c r="U80" s="197"/>
    </row>
    <row r="81" spans="1:26" s="12" customFormat="1" x14ac:dyDescent="0.25">
      <c r="A81" s="200" t="s">
        <v>508</v>
      </c>
      <c r="B81" s="59">
        <v>32.590000000000003</v>
      </c>
      <c r="C81" s="59">
        <v>126.67</v>
      </c>
      <c r="D81" s="59">
        <v>96.04</v>
      </c>
      <c r="E81" s="59">
        <v>21.74</v>
      </c>
      <c r="F81" s="59">
        <v>7.07</v>
      </c>
      <c r="G81" s="59">
        <v>60.33</v>
      </c>
      <c r="H81" s="59">
        <v>29.2</v>
      </c>
      <c r="I81" s="59">
        <v>0.56000000000000005</v>
      </c>
      <c r="J81" s="59">
        <v>0.36</v>
      </c>
      <c r="K81" s="59">
        <v>86.64</v>
      </c>
      <c r="L81" s="59">
        <v>30.75</v>
      </c>
      <c r="M81" s="59">
        <v>19.28</v>
      </c>
      <c r="N81" s="59">
        <v>5.4</v>
      </c>
      <c r="O81" s="59">
        <v>0</v>
      </c>
      <c r="P81" s="59">
        <v>1.6</v>
      </c>
      <c r="Q81" s="59">
        <v>19.829999999999998</v>
      </c>
      <c r="R81" s="197"/>
      <c r="S81" s="197"/>
      <c r="T81" s="197"/>
      <c r="U81" s="197"/>
    </row>
    <row r="82" spans="1:26" s="12" customFormat="1" x14ac:dyDescent="0.25">
      <c r="A82" s="200" t="s">
        <v>509</v>
      </c>
      <c r="B82" s="59">
        <v>29.89</v>
      </c>
      <c r="C82" s="59">
        <v>127.77</v>
      </c>
      <c r="D82" s="59">
        <v>94.48</v>
      </c>
      <c r="E82" s="59">
        <v>22.72</v>
      </c>
      <c r="F82" s="59">
        <v>8.19</v>
      </c>
      <c r="G82" s="59">
        <v>61.55</v>
      </c>
      <c r="H82" s="59">
        <v>29.31</v>
      </c>
      <c r="I82" s="59">
        <v>0.64</v>
      </c>
      <c r="J82" s="59">
        <v>0.32</v>
      </c>
      <c r="K82" s="59">
        <v>90.21</v>
      </c>
      <c r="L82" s="59">
        <v>30.3</v>
      </c>
      <c r="M82" s="59">
        <v>20.52</v>
      </c>
      <c r="N82" s="59">
        <v>4.3</v>
      </c>
      <c r="O82" s="59">
        <v>0</v>
      </c>
      <c r="P82" s="59">
        <v>1.85</v>
      </c>
      <c r="Q82" s="59">
        <v>21.18</v>
      </c>
      <c r="R82" s="197"/>
      <c r="S82" s="197"/>
      <c r="T82" s="197"/>
      <c r="U82" s="197"/>
    </row>
    <row r="83" spans="1:26" s="12" customFormat="1" x14ac:dyDescent="0.25">
      <c r="A83" s="200" t="s">
        <v>510</v>
      </c>
      <c r="B83" s="59">
        <v>46.78</v>
      </c>
      <c r="C83" s="59">
        <v>133.11000000000001</v>
      </c>
      <c r="D83" s="59">
        <v>110.98</v>
      </c>
      <c r="E83" s="59">
        <v>22.62</v>
      </c>
      <c r="F83" s="59">
        <v>4.97</v>
      </c>
      <c r="G83" s="59">
        <v>76.010000000000005</v>
      </c>
      <c r="H83" s="59">
        <v>30.66</v>
      </c>
      <c r="I83" s="59">
        <v>0.72</v>
      </c>
      <c r="J83" s="59">
        <v>0.22</v>
      </c>
      <c r="K83" s="59">
        <v>93.5</v>
      </c>
      <c r="L83" s="59">
        <v>29.84</v>
      </c>
      <c r="M83" s="59">
        <v>21.82</v>
      </c>
      <c r="N83" s="59">
        <v>4.0999999999999996</v>
      </c>
      <c r="O83" s="59">
        <v>0</v>
      </c>
      <c r="P83" s="59">
        <v>2.15</v>
      </c>
      <c r="Q83" s="59">
        <v>20.62</v>
      </c>
      <c r="R83" s="197"/>
      <c r="S83" s="197"/>
      <c r="T83" s="197"/>
      <c r="U83" s="197"/>
    </row>
    <row r="84" spans="1:26" s="12" customFormat="1" x14ac:dyDescent="0.25">
      <c r="A84" s="200" t="s">
        <v>511</v>
      </c>
      <c r="B84" s="59">
        <v>64.739999999999995</v>
      </c>
      <c r="C84" s="59">
        <v>129.22</v>
      </c>
      <c r="D84" s="59">
        <v>123.23</v>
      </c>
      <c r="E84" s="59">
        <v>21.94</v>
      </c>
      <c r="F84" s="59">
        <v>6.25</v>
      </c>
      <c r="G84" s="59">
        <v>76.010000000000005</v>
      </c>
      <c r="H84" s="59">
        <v>30.66</v>
      </c>
      <c r="I84" s="59">
        <v>0.84</v>
      </c>
      <c r="J84" s="59">
        <v>0.16</v>
      </c>
      <c r="K84" s="59">
        <v>62.13</v>
      </c>
      <c r="L84" s="59">
        <v>28.95</v>
      </c>
      <c r="M84" s="59">
        <v>24.48</v>
      </c>
      <c r="N84" s="59">
        <v>4.5999999999999996</v>
      </c>
      <c r="O84" s="59">
        <v>0</v>
      </c>
      <c r="P84" s="59">
        <v>2.5099999999999998</v>
      </c>
      <c r="Q84" s="59">
        <v>21.33</v>
      </c>
      <c r="R84" s="197"/>
      <c r="S84" s="197"/>
      <c r="T84" s="197"/>
      <c r="U84" s="197"/>
    </row>
    <row r="85" spans="1:26" s="12" customFormat="1" x14ac:dyDescent="0.25">
      <c r="A85" s="200" t="s">
        <v>512</v>
      </c>
      <c r="B85" s="59">
        <v>52.44</v>
      </c>
      <c r="C85" s="59">
        <v>121.08</v>
      </c>
      <c r="D85" s="59">
        <v>108.88</v>
      </c>
      <c r="E85" s="59">
        <v>14.55</v>
      </c>
      <c r="F85" s="59">
        <v>4.24</v>
      </c>
      <c r="G85" s="59">
        <v>76.010000000000005</v>
      </c>
      <c r="H85" s="59">
        <v>30.66</v>
      </c>
      <c r="I85" s="59">
        <v>0.88</v>
      </c>
      <c r="J85" s="59">
        <v>0.04</v>
      </c>
      <c r="K85" s="59">
        <v>81.55</v>
      </c>
      <c r="L85" s="59">
        <v>27.63</v>
      </c>
      <c r="M85" s="59">
        <v>29.4</v>
      </c>
      <c r="N85" s="59">
        <v>4.8</v>
      </c>
      <c r="O85" s="59">
        <v>0</v>
      </c>
      <c r="P85" s="59">
        <v>1.97</v>
      </c>
      <c r="Q85" s="59">
        <v>21.79</v>
      </c>
      <c r="R85" s="197"/>
      <c r="S85" s="197"/>
      <c r="T85" s="197"/>
      <c r="U85" s="197"/>
    </row>
    <row r="86" spans="1:26" s="12" customFormat="1" x14ac:dyDescent="0.25">
      <c r="A86" s="200" t="s">
        <v>513</v>
      </c>
      <c r="B86" s="59">
        <v>69.62</v>
      </c>
      <c r="C86" s="59">
        <v>124.27</v>
      </c>
      <c r="D86" s="59">
        <v>124.41</v>
      </c>
      <c r="E86" s="59">
        <v>10.28</v>
      </c>
      <c r="F86" s="59">
        <v>3.6</v>
      </c>
      <c r="G86" s="59">
        <v>82.28</v>
      </c>
      <c r="H86" s="59">
        <v>31.48</v>
      </c>
      <c r="I86" s="59">
        <v>1.03</v>
      </c>
      <c r="J86" s="59">
        <v>0.27</v>
      </c>
      <c r="K86" s="59">
        <v>52.87</v>
      </c>
      <c r="L86" s="59">
        <v>27.47</v>
      </c>
      <c r="M86" s="59">
        <v>27.82</v>
      </c>
      <c r="N86" s="59">
        <v>3.7</v>
      </c>
      <c r="O86" s="59">
        <v>0</v>
      </c>
      <c r="P86" s="59">
        <v>2.31</v>
      </c>
      <c r="Q86" s="59">
        <v>25.32</v>
      </c>
      <c r="R86" s="197"/>
      <c r="S86" s="197"/>
      <c r="T86" s="197"/>
      <c r="U86" s="197"/>
    </row>
    <row r="87" spans="1:26" s="12" customFormat="1" x14ac:dyDescent="0.25">
      <c r="A87" s="200" t="s">
        <v>514</v>
      </c>
      <c r="B87" s="59">
        <v>53.63</v>
      </c>
      <c r="C87" s="59">
        <v>119.94</v>
      </c>
      <c r="D87" s="59">
        <v>109.2</v>
      </c>
      <c r="E87" s="59">
        <v>10.220000000000001</v>
      </c>
      <c r="F87" s="59">
        <v>3.72</v>
      </c>
      <c r="G87" s="59">
        <v>156.69999999999999</v>
      </c>
      <c r="H87" s="59">
        <v>41.14</v>
      </c>
      <c r="I87" s="59">
        <v>1</v>
      </c>
      <c r="J87" s="59">
        <v>0.04</v>
      </c>
      <c r="K87" s="59">
        <v>33.049999999999997</v>
      </c>
      <c r="L87" s="59">
        <v>27.34</v>
      </c>
      <c r="M87" s="59">
        <v>28.65</v>
      </c>
      <c r="N87" s="59">
        <v>4.5</v>
      </c>
      <c r="O87" s="59">
        <v>0</v>
      </c>
      <c r="P87" s="59">
        <v>1.94</v>
      </c>
      <c r="Q87" s="59">
        <v>26.41</v>
      </c>
      <c r="R87" s="197"/>
      <c r="S87" s="197"/>
      <c r="T87" s="197"/>
      <c r="U87" s="197"/>
    </row>
    <row r="88" spans="1:26" s="12" customFormat="1" x14ac:dyDescent="0.25">
      <c r="A88" s="200" t="s">
        <v>515</v>
      </c>
      <c r="B88" s="59">
        <v>63.87</v>
      </c>
      <c r="C88" s="59">
        <v>121.6</v>
      </c>
      <c r="D88" s="59">
        <v>118.33</v>
      </c>
      <c r="E88" s="59">
        <v>3.47</v>
      </c>
      <c r="F88" s="59">
        <v>3.4</v>
      </c>
      <c r="G88" s="59">
        <v>156.69999999999999</v>
      </c>
      <c r="H88" s="59">
        <v>41.14</v>
      </c>
      <c r="I88" s="59">
        <v>1.07</v>
      </c>
      <c r="J88" s="59">
        <v>0.08</v>
      </c>
      <c r="K88" s="59">
        <v>281.89</v>
      </c>
      <c r="L88" s="59">
        <v>26.67</v>
      </c>
      <c r="M88" s="59">
        <v>31.69</v>
      </c>
      <c r="N88" s="59">
        <v>4.5</v>
      </c>
      <c r="O88" s="59">
        <v>0</v>
      </c>
      <c r="P88" s="59">
        <v>2.04</v>
      </c>
      <c r="Q88" s="59">
        <v>28.64</v>
      </c>
      <c r="R88" s="197"/>
      <c r="S88" s="197"/>
      <c r="T88" s="197"/>
      <c r="U88" s="197"/>
    </row>
    <row r="89" spans="1:26" s="12" customFormat="1" x14ac:dyDescent="0.25">
      <c r="A89" s="200" t="s">
        <v>516</v>
      </c>
      <c r="B89" s="59">
        <v>62.37</v>
      </c>
      <c r="C89" s="59">
        <v>122.2</v>
      </c>
      <c r="D89" s="59">
        <v>117.45</v>
      </c>
      <c r="E89" s="59">
        <v>5.47</v>
      </c>
      <c r="F89" s="59">
        <v>3.22</v>
      </c>
      <c r="G89" s="59">
        <v>156.69999999999999</v>
      </c>
      <c r="H89" s="59">
        <v>41.14</v>
      </c>
      <c r="I89" s="59">
        <v>1.07</v>
      </c>
      <c r="J89" s="59">
        <v>0.18</v>
      </c>
      <c r="K89" s="59">
        <v>306.83999999999997</v>
      </c>
      <c r="L89" s="59">
        <v>26.46</v>
      </c>
      <c r="M89" s="59">
        <v>32.51</v>
      </c>
      <c r="N89" s="59">
        <v>4</v>
      </c>
      <c r="O89" s="59">
        <v>0</v>
      </c>
      <c r="P89" s="59">
        <v>2.0099999999999998</v>
      </c>
      <c r="Q89" s="59">
        <v>29.81</v>
      </c>
      <c r="R89" s="197"/>
      <c r="S89" s="197"/>
      <c r="T89" s="197"/>
      <c r="U89" s="197"/>
    </row>
    <row r="90" spans="1:26" s="12" customFormat="1" x14ac:dyDescent="0.25">
      <c r="A90" s="200" t="s">
        <v>517</v>
      </c>
      <c r="B90" s="59">
        <v>72.989999999999995</v>
      </c>
      <c r="C90" s="59">
        <v>123.25</v>
      </c>
      <c r="D90" s="59">
        <v>126.55</v>
      </c>
      <c r="E90" s="59">
        <v>5.85</v>
      </c>
      <c r="F90" s="59">
        <v>3.07</v>
      </c>
      <c r="G90" s="59">
        <v>155.1</v>
      </c>
      <c r="H90" s="59">
        <v>41.4</v>
      </c>
      <c r="I90" s="59">
        <v>1.04</v>
      </c>
      <c r="J90" s="59">
        <v>0.12</v>
      </c>
      <c r="K90" s="59">
        <v>323.69</v>
      </c>
      <c r="L90" s="59">
        <v>25.68</v>
      </c>
      <c r="M90" s="59">
        <v>35.42</v>
      </c>
      <c r="N90" s="59">
        <v>4.2</v>
      </c>
      <c r="O90" s="59">
        <v>0</v>
      </c>
      <c r="P90" s="59">
        <v>2.2200000000000002</v>
      </c>
      <c r="Q90" s="59">
        <v>30.4</v>
      </c>
      <c r="R90" s="197"/>
      <c r="S90" s="197"/>
      <c r="T90" s="197"/>
      <c r="U90" s="197"/>
    </row>
    <row r="91" spans="1:26" s="12" customFormat="1" x14ac:dyDescent="0.25">
      <c r="A91" s="200" t="s">
        <v>518</v>
      </c>
      <c r="B91" s="59">
        <v>75.47</v>
      </c>
      <c r="C91" s="59">
        <v>123.63</v>
      </c>
      <c r="D91" s="59">
        <v>128.75</v>
      </c>
      <c r="E91" s="59">
        <v>5.82</v>
      </c>
      <c r="F91" s="59">
        <v>3.09</v>
      </c>
      <c r="G91" s="59">
        <v>136.07</v>
      </c>
      <c r="H91" s="59">
        <v>44.51</v>
      </c>
      <c r="I91" s="59">
        <v>1.06</v>
      </c>
      <c r="J91" s="59">
        <v>0.09</v>
      </c>
      <c r="K91" s="59">
        <v>126.26</v>
      </c>
      <c r="L91" s="59">
        <v>25.29</v>
      </c>
      <c r="M91" s="59">
        <v>35.81</v>
      </c>
      <c r="N91" s="59">
        <v>4.4000000000000004</v>
      </c>
      <c r="O91" s="59">
        <v>0</v>
      </c>
      <c r="P91" s="59">
        <v>2.2599999999999998</v>
      </c>
      <c r="Q91" s="59">
        <v>30.88</v>
      </c>
      <c r="R91" s="197"/>
      <c r="S91" s="197"/>
      <c r="T91" s="197"/>
      <c r="U91" s="197"/>
    </row>
    <row r="92" spans="1:26" s="12" customFormat="1" x14ac:dyDescent="0.25">
      <c r="A92" s="200" t="s">
        <v>519</v>
      </c>
      <c r="B92" s="59">
        <v>165.18</v>
      </c>
      <c r="C92" s="59">
        <v>131.5</v>
      </c>
      <c r="D92" s="59">
        <v>205.03</v>
      </c>
      <c r="E92" s="59">
        <v>8.5</v>
      </c>
      <c r="F92" s="59">
        <v>3.07</v>
      </c>
      <c r="G92" s="59">
        <v>136.07</v>
      </c>
      <c r="H92" s="59">
        <v>44.51</v>
      </c>
      <c r="I92" s="59">
        <v>1.1200000000000001</v>
      </c>
      <c r="J92" s="59">
        <v>0.16</v>
      </c>
      <c r="K92" s="59">
        <v>56.25</v>
      </c>
      <c r="L92" s="59">
        <v>25.11</v>
      </c>
      <c r="M92" s="59">
        <v>39.64</v>
      </c>
      <c r="N92" s="59">
        <v>4.0999999999999996</v>
      </c>
      <c r="O92" s="59">
        <v>0</v>
      </c>
      <c r="P92" s="59">
        <v>3.28</v>
      </c>
      <c r="Q92" s="59">
        <v>26.18</v>
      </c>
      <c r="R92" s="197"/>
      <c r="S92" s="197"/>
      <c r="T92" s="197"/>
      <c r="U92" s="197"/>
    </row>
    <row r="93" spans="1:26" s="12" customFormat="1" x14ac:dyDescent="0.25">
      <c r="A93" s="200" t="s">
        <v>520</v>
      </c>
      <c r="B93" s="59">
        <v>120.73</v>
      </c>
      <c r="C93" s="59">
        <v>129.31</v>
      </c>
      <c r="D93" s="59">
        <v>168.17</v>
      </c>
      <c r="E93" s="59">
        <v>10.220000000000001</v>
      </c>
      <c r="F93" s="59">
        <v>3.19</v>
      </c>
      <c r="G93" s="59">
        <v>136.07</v>
      </c>
      <c r="H93" s="59">
        <v>44.51</v>
      </c>
      <c r="I93" s="59">
        <v>1.18</v>
      </c>
      <c r="J93" s="59">
        <v>0.21</v>
      </c>
      <c r="K93" s="59">
        <v>234.68</v>
      </c>
      <c r="L93" s="59">
        <v>25.34</v>
      </c>
      <c r="M93" s="59">
        <v>38.94</v>
      </c>
      <c r="N93" s="59">
        <v>3.1</v>
      </c>
      <c r="O93" s="59">
        <v>0</v>
      </c>
      <c r="P93" s="59">
        <v>2.74</v>
      </c>
      <c r="Q93" s="59">
        <v>27.92</v>
      </c>
      <c r="R93" s="197"/>
      <c r="S93" s="197"/>
      <c r="T93" s="197"/>
      <c r="U93" s="197"/>
    </row>
    <row r="94" spans="1:26" s="12" customFormat="1" x14ac:dyDescent="0.25">
      <c r="A94" s="200" t="s">
        <v>521</v>
      </c>
      <c r="B94" s="59">
        <v>140.12</v>
      </c>
      <c r="C94" s="59">
        <v>126.25</v>
      </c>
      <c r="D94" s="59">
        <v>182.04</v>
      </c>
      <c r="E94" s="59">
        <v>8.8000000000000007</v>
      </c>
      <c r="F94" s="59">
        <v>3.17</v>
      </c>
      <c r="G94" s="59">
        <v>141.43</v>
      </c>
      <c r="H94" s="59">
        <v>45.23</v>
      </c>
      <c r="I94" s="59">
        <v>1.42</v>
      </c>
      <c r="J94" s="59">
        <v>0.23</v>
      </c>
      <c r="K94" s="59">
        <v>20.58</v>
      </c>
      <c r="L94" s="59">
        <v>24.83</v>
      </c>
      <c r="M94" s="59">
        <v>43.65</v>
      </c>
      <c r="N94" s="59">
        <v>4.7</v>
      </c>
      <c r="O94" s="59">
        <v>0</v>
      </c>
      <c r="P94" s="59">
        <v>3.17</v>
      </c>
      <c r="Q94" s="59">
        <v>29.25</v>
      </c>
      <c r="R94" s="197"/>
      <c r="S94" s="197"/>
      <c r="T94" s="197"/>
      <c r="U94" s="197"/>
    </row>
    <row r="95" spans="1:26" s="12" customFormat="1" x14ac:dyDescent="0.25">
      <c r="A95" s="200" t="s">
        <v>522</v>
      </c>
      <c r="B95" s="59">
        <v>151.83000000000001</v>
      </c>
      <c r="C95" s="59">
        <v>123.5</v>
      </c>
      <c r="D95" s="59">
        <v>189.91</v>
      </c>
      <c r="E95" s="59">
        <v>8.74</v>
      </c>
      <c r="F95" s="59">
        <v>3.3</v>
      </c>
      <c r="G95" s="59">
        <v>205.04</v>
      </c>
      <c r="H95" s="59">
        <v>53.85</v>
      </c>
      <c r="I95" s="59">
        <v>1.38</v>
      </c>
      <c r="J95" s="59">
        <v>0.11</v>
      </c>
      <c r="K95" s="59">
        <v>305.19</v>
      </c>
      <c r="L95" s="59">
        <v>24.64</v>
      </c>
      <c r="M95" s="59">
        <v>42.79</v>
      </c>
      <c r="N95" s="59">
        <v>3.8</v>
      </c>
      <c r="O95" s="59">
        <v>0</v>
      </c>
      <c r="P95" s="59">
        <v>3.17</v>
      </c>
      <c r="Q95" s="59">
        <v>29.36</v>
      </c>
      <c r="R95" s="197"/>
      <c r="S95" s="197"/>
      <c r="T95" s="197"/>
      <c r="U95" s="197"/>
    </row>
    <row r="96" spans="1:26" s="12" customFormat="1" x14ac:dyDescent="0.25">
      <c r="A96" s="200" t="s">
        <v>523</v>
      </c>
      <c r="B96" s="59">
        <v>176.66</v>
      </c>
      <c r="C96" s="59">
        <v>124.83</v>
      </c>
      <c r="D96" s="59">
        <v>210.56</v>
      </c>
      <c r="E96" s="59">
        <v>8.49</v>
      </c>
      <c r="F96" s="59">
        <v>3.3</v>
      </c>
      <c r="G96" s="59">
        <v>205.04</v>
      </c>
      <c r="H96" s="59">
        <v>53.85</v>
      </c>
      <c r="I96" s="59">
        <v>1.42</v>
      </c>
      <c r="J96" s="59">
        <v>0.13</v>
      </c>
      <c r="K96" s="59">
        <v>48.85</v>
      </c>
      <c r="L96" s="59">
        <v>24.22</v>
      </c>
      <c r="M96" s="59">
        <v>45.09</v>
      </c>
      <c r="N96" s="59">
        <v>4.2</v>
      </c>
      <c r="O96" s="59">
        <v>0</v>
      </c>
      <c r="P96" s="59">
        <v>3.44</v>
      </c>
      <c r="Q96" s="59">
        <v>28.89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524</v>
      </c>
      <c r="B97" s="59">
        <v>158.88999999999999</v>
      </c>
      <c r="C97" s="59">
        <v>121.83</v>
      </c>
      <c r="D97" s="59">
        <v>194.65</v>
      </c>
      <c r="E97" s="59">
        <v>8.0399999999999991</v>
      </c>
      <c r="F97" s="59">
        <v>3.25</v>
      </c>
      <c r="G97" s="59">
        <v>205.04</v>
      </c>
      <c r="H97" s="59">
        <v>53.85</v>
      </c>
      <c r="I97" s="59">
        <v>1.52</v>
      </c>
      <c r="J97" s="59">
        <v>0.23</v>
      </c>
      <c r="K97" s="59">
        <v>287.7</v>
      </c>
      <c r="L97" s="59">
        <v>24.41</v>
      </c>
      <c r="M97" s="59">
        <v>44.57</v>
      </c>
      <c r="N97" s="59">
        <v>3.8</v>
      </c>
      <c r="O97" s="59">
        <v>0</v>
      </c>
      <c r="P97" s="59">
        <v>3.2</v>
      </c>
      <c r="Q97" s="59">
        <v>31.46</v>
      </c>
      <c r="R97" s="197"/>
      <c r="S97" s="197"/>
      <c r="T97" s="197"/>
      <c r="U97" s="197"/>
    </row>
    <row r="98" spans="1:33" s="12" customFormat="1" x14ac:dyDescent="0.25">
      <c r="A98" s="200" t="s">
        <v>525</v>
      </c>
      <c r="B98" s="59">
        <v>167.4</v>
      </c>
      <c r="C98" s="59">
        <v>118.48</v>
      </c>
      <c r="D98" s="59">
        <v>199.63</v>
      </c>
      <c r="E98" s="59">
        <v>7.29</v>
      </c>
      <c r="F98" s="59">
        <v>3.09</v>
      </c>
      <c r="G98" s="59">
        <v>205.58</v>
      </c>
      <c r="H98" s="59">
        <v>54.6</v>
      </c>
      <c r="I98" s="59">
        <v>1.6</v>
      </c>
      <c r="J98" s="59">
        <v>0.24</v>
      </c>
      <c r="K98" s="59">
        <v>24.56</v>
      </c>
      <c r="L98" s="59">
        <v>23.71</v>
      </c>
      <c r="M98" s="59">
        <v>49.67</v>
      </c>
      <c r="N98" s="59">
        <v>4.5</v>
      </c>
      <c r="O98" s="59">
        <v>0</v>
      </c>
      <c r="P98" s="59">
        <v>3.45</v>
      </c>
      <c r="Q98" s="59">
        <v>33.42</v>
      </c>
      <c r="R98" s="197"/>
      <c r="S98" s="197"/>
      <c r="T98" s="197"/>
      <c r="U98" s="197"/>
    </row>
    <row r="99" spans="1:33" s="12" customFormat="1" x14ac:dyDescent="0.25">
      <c r="A99" s="200" t="s">
        <v>526</v>
      </c>
      <c r="B99" s="59">
        <v>158.65</v>
      </c>
      <c r="C99" s="59">
        <v>117.54</v>
      </c>
      <c r="D99" s="59">
        <v>192.09</v>
      </c>
      <c r="E99" s="59">
        <v>7.54</v>
      </c>
      <c r="F99" s="59">
        <v>3.19</v>
      </c>
      <c r="G99" s="59">
        <v>211.96</v>
      </c>
      <c r="H99" s="59">
        <v>63.48</v>
      </c>
      <c r="I99" s="59">
        <v>1.59</v>
      </c>
      <c r="J99" s="59">
        <v>0.13</v>
      </c>
      <c r="K99" s="59">
        <v>89.11</v>
      </c>
      <c r="L99" s="59">
        <v>23.72</v>
      </c>
      <c r="M99" s="59">
        <v>47.88</v>
      </c>
      <c r="N99" s="59">
        <v>3.9</v>
      </c>
      <c r="O99" s="59">
        <v>0</v>
      </c>
      <c r="P99" s="59">
        <v>3.32</v>
      </c>
      <c r="Q99" s="59">
        <v>33.950000000000003</v>
      </c>
      <c r="R99" s="197"/>
      <c r="S99" s="197"/>
      <c r="T99" s="197"/>
      <c r="U99" s="197"/>
    </row>
    <row r="100" spans="1:33" s="12" customFormat="1" x14ac:dyDescent="0.25">
      <c r="A100" s="200" t="s">
        <v>527</v>
      </c>
      <c r="B100" s="59">
        <v>157.6</v>
      </c>
      <c r="C100" s="59">
        <v>114.3</v>
      </c>
      <c r="D100" s="59">
        <v>189.47</v>
      </c>
      <c r="E100" s="59">
        <v>6.12</v>
      </c>
      <c r="F100" s="59">
        <v>3.14</v>
      </c>
      <c r="G100" s="59">
        <v>211.96</v>
      </c>
      <c r="H100" s="59">
        <v>63.48</v>
      </c>
      <c r="I100" s="59">
        <v>1.66</v>
      </c>
      <c r="J100" s="59">
        <v>0.01</v>
      </c>
      <c r="K100" s="59">
        <v>259.51</v>
      </c>
      <c r="L100" s="59">
        <v>23.74</v>
      </c>
      <c r="M100" s="59">
        <v>48.94</v>
      </c>
      <c r="N100" s="59">
        <v>4.5</v>
      </c>
      <c r="O100" s="59">
        <v>0</v>
      </c>
      <c r="P100" s="59">
        <v>3.23</v>
      </c>
      <c r="Q100" s="59">
        <v>36.76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528</v>
      </c>
      <c r="B101" s="59">
        <v>163.25</v>
      </c>
      <c r="C101" s="59">
        <v>115.18</v>
      </c>
      <c r="D101" s="59">
        <v>194.48</v>
      </c>
      <c r="E101" s="59">
        <v>6.31</v>
      </c>
      <c r="F101" s="59">
        <v>3.02</v>
      </c>
      <c r="G101" s="59">
        <v>211.96</v>
      </c>
      <c r="H101" s="59">
        <v>63.48</v>
      </c>
      <c r="I101" s="59">
        <v>1.62</v>
      </c>
      <c r="J101" s="59">
        <v>0.08</v>
      </c>
      <c r="K101" s="59">
        <v>163.68</v>
      </c>
      <c r="L101" s="59">
        <v>23.55</v>
      </c>
      <c r="M101" s="59">
        <v>50.09</v>
      </c>
      <c r="N101" s="59">
        <v>4</v>
      </c>
      <c r="O101" s="59">
        <v>0</v>
      </c>
      <c r="P101" s="59">
        <v>3.35</v>
      </c>
      <c r="Q101" s="59">
        <v>38.39</v>
      </c>
      <c r="R101" s="197"/>
      <c r="S101" s="197"/>
      <c r="T101" s="197"/>
      <c r="U101" s="197"/>
    </row>
    <row r="102" spans="1:33" s="12" customFormat="1" x14ac:dyDescent="0.25">
      <c r="A102" s="200" t="s">
        <v>529</v>
      </c>
      <c r="B102" s="59">
        <v>174.56</v>
      </c>
      <c r="C102" s="59">
        <v>114.74</v>
      </c>
      <c r="D102" s="59">
        <v>203.31</v>
      </c>
      <c r="E102" s="59">
        <v>5.99</v>
      </c>
      <c r="F102" s="59">
        <v>2.94</v>
      </c>
      <c r="G102" s="59">
        <v>210.23</v>
      </c>
      <c r="H102" s="59">
        <v>63.81</v>
      </c>
      <c r="I102" s="59">
        <v>1.6</v>
      </c>
      <c r="J102" s="59">
        <v>0.13</v>
      </c>
      <c r="K102" s="59">
        <v>11.83</v>
      </c>
      <c r="L102" s="59">
        <v>23.28</v>
      </c>
      <c r="M102" s="59">
        <v>53.29</v>
      </c>
      <c r="N102" s="59">
        <v>4.4000000000000004</v>
      </c>
      <c r="O102" s="59">
        <v>0</v>
      </c>
      <c r="P102" s="59">
        <v>3.47</v>
      </c>
      <c r="Q102" s="59">
        <v>39.229999999999997</v>
      </c>
      <c r="R102" s="197"/>
      <c r="S102" s="197"/>
      <c r="T102" s="197"/>
      <c r="U102" s="197"/>
    </row>
    <row r="103" spans="1:33" s="12" customFormat="1" x14ac:dyDescent="0.25">
      <c r="A103" s="200" t="s">
        <v>530</v>
      </c>
      <c r="B103" s="59">
        <v>183.97</v>
      </c>
      <c r="C103" s="59">
        <v>114.39</v>
      </c>
      <c r="D103" s="59">
        <v>210.66</v>
      </c>
      <c r="E103" s="59">
        <v>6.17</v>
      </c>
      <c r="F103" s="59">
        <v>2.92</v>
      </c>
      <c r="G103" s="59">
        <v>189.74</v>
      </c>
      <c r="H103" s="59">
        <v>67.78</v>
      </c>
      <c r="I103" s="59">
        <v>1.65</v>
      </c>
      <c r="J103" s="59">
        <v>7.0000000000000007E-2</v>
      </c>
      <c r="K103" s="59">
        <v>42.85</v>
      </c>
      <c r="L103" s="59">
        <v>22.71</v>
      </c>
      <c r="M103" s="59">
        <v>55.52</v>
      </c>
      <c r="N103" s="59">
        <v>4.4000000000000004</v>
      </c>
      <c r="O103" s="59">
        <v>0</v>
      </c>
      <c r="P103" s="59">
        <v>3.58</v>
      </c>
      <c r="Q103" s="59">
        <v>39.46</v>
      </c>
      <c r="R103" s="197"/>
      <c r="S103" s="197"/>
      <c r="T103" s="197"/>
      <c r="U103" s="197"/>
    </row>
    <row r="104" spans="1:33" s="12" customFormat="1" x14ac:dyDescent="0.25">
      <c r="A104" s="200" t="s">
        <v>531</v>
      </c>
      <c r="B104" s="59">
        <v>191.89</v>
      </c>
      <c r="C104" s="59">
        <v>114.46</v>
      </c>
      <c r="D104" s="59">
        <v>217.05</v>
      </c>
      <c r="E104" s="59">
        <v>4.3499999999999996</v>
      </c>
      <c r="F104" s="59">
        <v>2.94</v>
      </c>
      <c r="G104" s="59">
        <v>189.74</v>
      </c>
      <c r="H104" s="59">
        <v>67.78</v>
      </c>
      <c r="I104" s="59">
        <v>1.72</v>
      </c>
      <c r="J104" s="59">
        <v>0.03</v>
      </c>
      <c r="K104" s="59">
        <v>324.39999999999998</v>
      </c>
      <c r="L104" s="59">
        <v>22.41</v>
      </c>
      <c r="M104" s="59">
        <v>55.29</v>
      </c>
      <c r="N104" s="59">
        <v>4.3</v>
      </c>
      <c r="O104" s="59">
        <v>0</v>
      </c>
      <c r="P104" s="59">
        <v>3.7</v>
      </c>
      <c r="Q104" s="59">
        <v>40.049999999999997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1.43</v>
      </c>
      <c r="C106" s="66">
        <f>MIN(C9:C104)</f>
        <v>12.19</v>
      </c>
      <c r="D106" s="66">
        <f t="shared" ref="D106:Q106" si="0">MIN(D9:D104)</f>
        <v>26.18</v>
      </c>
      <c r="E106" s="66">
        <f t="shared" si="0"/>
        <v>0.2</v>
      </c>
      <c r="F106" s="66">
        <f t="shared" si="0"/>
        <v>2.92</v>
      </c>
      <c r="G106" s="66">
        <f t="shared" si="0"/>
        <v>60.33</v>
      </c>
      <c r="H106" s="66">
        <f t="shared" si="0"/>
        <v>29.2</v>
      </c>
      <c r="I106" s="66">
        <f t="shared" si="0"/>
        <v>0.45</v>
      </c>
      <c r="J106" s="66">
        <f t="shared" si="0"/>
        <v>0.01</v>
      </c>
      <c r="K106" s="66">
        <f t="shared" si="0"/>
        <v>2.08</v>
      </c>
      <c r="L106" s="66">
        <f t="shared" si="0"/>
        <v>20.440000000000001</v>
      </c>
      <c r="M106" s="66">
        <f t="shared" si="0"/>
        <v>10.91</v>
      </c>
      <c r="N106" s="66">
        <f t="shared" si="0"/>
        <v>3.1</v>
      </c>
      <c r="O106" s="66">
        <f t="shared" si="0"/>
        <v>0</v>
      </c>
      <c r="P106" s="66">
        <f t="shared" si="0"/>
        <v>0.35</v>
      </c>
      <c r="Q106" s="66">
        <f t="shared" si="0"/>
        <v>11.89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191.89</v>
      </c>
      <c r="C107" s="65">
        <f t="shared" ref="C107:Q107" si="1">MAX(C9:C104)</f>
        <v>139.24</v>
      </c>
      <c r="D107" s="65">
        <f t="shared" si="1"/>
        <v>217.05</v>
      </c>
      <c r="E107" s="65">
        <f t="shared" si="1"/>
        <v>316.24</v>
      </c>
      <c r="F107" s="65">
        <f t="shared" si="1"/>
        <v>266.87</v>
      </c>
      <c r="G107" s="65">
        <f t="shared" si="1"/>
        <v>211.96</v>
      </c>
      <c r="H107" s="65">
        <f t="shared" si="1"/>
        <v>92.33</v>
      </c>
      <c r="I107" s="65">
        <f t="shared" si="1"/>
        <v>1.72</v>
      </c>
      <c r="J107" s="65">
        <f t="shared" si="1"/>
        <v>2.1</v>
      </c>
      <c r="K107" s="65">
        <f t="shared" si="1"/>
        <v>353.06</v>
      </c>
      <c r="L107" s="65">
        <f t="shared" si="1"/>
        <v>39.119999999999997</v>
      </c>
      <c r="M107" s="65">
        <f t="shared" si="1"/>
        <v>73.760000000000005</v>
      </c>
      <c r="N107" s="65">
        <f t="shared" si="1"/>
        <v>511.8</v>
      </c>
      <c r="O107" s="65">
        <f t="shared" si="1"/>
        <v>0</v>
      </c>
      <c r="P107" s="65">
        <f t="shared" si="1"/>
        <v>4.49</v>
      </c>
      <c r="Q107" s="65">
        <f t="shared" si="1"/>
        <v>40.049999999999997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63.941666666666663</v>
      </c>
      <c r="C108" s="66">
        <f t="shared" ref="C108:Q108" si="2">AVERAGE(C9:C104)</f>
        <v>102.44822916666662</v>
      </c>
      <c r="D108" s="66">
        <f t="shared" si="2"/>
        <v>107.27052083333326</v>
      </c>
      <c r="E108" s="66">
        <f t="shared" si="2"/>
        <v>19.051666666666659</v>
      </c>
      <c r="F108" s="66">
        <f t="shared" si="2"/>
        <v>17.860416666666669</v>
      </c>
      <c r="G108" s="66">
        <f t="shared" si="2"/>
        <v>131.84434782608693</v>
      </c>
      <c r="H108" s="66">
        <f t="shared" si="2"/>
        <v>56.902934782608675</v>
      </c>
      <c r="I108" s="66">
        <f t="shared" si="2"/>
        <v>0.93083333333333329</v>
      </c>
      <c r="J108" s="66">
        <f t="shared" si="2"/>
        <v>0.56083333333333318</v>
      </c>
      <c r="K108" s="66">
        <f t="shared" si="2"/>
        <v>99.434062499999996</v>
      </c>
      <c r="L108" s="66">
        <f t="shared" si="2"/>
        <v>28.253541666666667</v>
      </c>
      <c r="M108" s="66">
        <f t="shared" si="2"/>
        <v>38.189062500000006</v>
      </c>
      <c r="N108" s="66">
        <f t="shared" si="2"/>
        <v>149.36666666666659</v>
      </c>
      <c r="O108" s="66">
        <f t="shared" si="2"/>
        <v>0</v>
      </c>
      <c r="P108" s="66">
        <f t="shared" si="2"/>
        <v>2.0033684210526301</v>
      </c>
      <c r="Q108" s="66">
        <f t="shared" si="2"/>
        <v>28.931145833333332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53.685692765571154</v>
      </c>
      <c r="C109" s="66">
        <f t="shared" ref="C109:Q109" si="3">STDEV(C9:C104)</f>
        <v>30.49323538425487</v>
      </c>
      <c r="D109" s="66">
        <f t="shared" si="3"/>
        <v>50.475428443629831</v>
      </c>
      <c r="E109" s="66">
        <f t="shared" si="3"/>
        <v>44.200318519134932</v>
      </c>
      <c r="F109" s="66">
        <f t="shared" si="3"/>
        <v>41.978376411437743</v>
      </c>
      <c r="G109" s="66">
        <f t="shared" si="3"/>
        <v>51.584781197736618</v>
      </c>
      <c r="H109" s="66">
        <f t="shared" si="3"/>
        <v>20.078313024997129</v>
      </c>
      <c r="I109" s="66">
        <f t="shared" si="3"/>
        <v>0.36802364531205339</v>
      </c>
      <c r="J109" s="66">
        <f t="shared" si="3"/>
        <v>0.52760365240878304</v>
      </c>
      <c r="K109" s="66">
        <f t="shared" si="3"/>
        <v>99.24844664384986</v>
      </c>
      <c r="L109" s="66">
        <f t="shared" si="3"/>
        <v>5.7530811843772023</v>
      </c>
      <c r="M109" s="66">
        <f t="shared" si="3"/>
        <v>18.826237462822434</v>
      </c>
      <c r="N109" s="66">
        <f t="shared" si="3"/>
        <v>193.51607340649176</v>
      </c>
      <c r="O109" s="66">
        <f t="shared" si="3"/>
        <v>0</v>
      </c>
      <c r="P109" s="66">
        <f t="shared" si="3"/>
        <v>0.98242059992773922</v>
      </c>
      <c r="Q109" s="66">
        <f t="shared" si="3"/>
        <v>8.7029968062781577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 t="shared" ref="C110:Q110" si="4">COUNT(C9:C104)</f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95</v>
      </c>
      <c r="H110" s="65">
        <f>COUNT(H9:H104)+3</f>
        <v>95</v>
      </c>
      <c r="I110" s="65">
        <f t="shared" si="4"/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>COUNT(P9:P104)+1</f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2" sqref="E1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04-03-2023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535</v>
      </c>
      <c r="B9" s="59">
        <v>197.27</v>
      </c>
      <c r="C9" s="59">
        <v>114.89</v>
      </c>
      <c r="D9" s="59">
        <v>221.6</v>
      </c>
      <c r="E9" s="59">
        <v>6.34</v>
      </c>
      <c r="F9" s="59">
        <v>2.94</v>
      </c>
      <c r="G9" s="59">
        <v>189.74</v>
      </c>
      <c r="H9" s="59">
        <v>67.78</v>
      </c>
      <c r="I9" s="59">
        <v>1.77</v>
      </c>
      <c r="J9" s="59">
        <v>0.16</v>
      </c>
      <c r="K9" s="59">
        <v>11.48</v>
      </c>
      <c r="L9" s="59">
        <v>22.35</v>
      </c>
      <c r="M9" s="59">
        <v>56.14</v>
      </c>
      <c r="N9" s="59">
        <v>4.4000000000000004</v>
      </c>
      <c r="O9" s="59">
        <v>0</v>
      </c>
      <c r="P9" s="59">
        <v>3.8</v>
      </c>
      <c r="Q9" s="59">
        <v>40.340000000000003</v>
      </c>
      <c r="R9" s="197"/>
      <c r="S9" s="197"/>
      <c r="T9" s="197"/>
      <c r="U9" s="197"/>
    </row>
    <row r="10" spans="1:21" s="12" customFormat="1" x14ac:dyDescent="0.25">
      <c r="A10" s="200" t="s">
        <v>536</v>
      </c>
      <c r="B10" s="59">
        <v>200.32</v>
      </c>
      <c r="C10" s="59">
        <v>114.69</v>
      </c>
      <c r="D10" s="59">
        <v>223.94</v>
      </c>
      <c r="E10" s="59">
        <v>7.31</v>
      </c>
      <c r="F10" s="59">
        <v>2.91</v>
      </c>
      <c r="G10" s="59">
        <v>189.57</v>
      </c>
      <c r="H10" s="59">
        <v>68.11</v>
      </c>
      <c r="I10" s="59">
        <v>1.81</v>
      </c>
      <c r="J10" s="59">
        <v>0.18</v>
      </c>
      <c r="K10" s="59">
        <v>255.48</v>
      </c>
      <c r="L10" s="59">
        <v>22.6</v>
      </c>
      <c r="M10" s="59">
        <v>55.45</v>
      </c>
      <c r="N10" s="59">
        <v>3.4</v>
      </c>
      <c r="O10" s="59">
        <v>0</v>
      </c>
      <c r="P10" s="59">
        <v>3.97</v>
      </c>
      <c r="Q10" s="59">
        <v>40.28</v>
      </c>
      <c r="R10" s="197"/>
      <c r="S10" s="197"/>
      <c r="T10" s="197"/>
      <c r="U10" s="197"/>
    </row>
    <row r="11" spans="1:21" s="12" customFormat="1" x14ac:dyDescent="0.25">
      <c r="A11" s="200" t="s">
        <v>537</v>
      </c>
      <c r="B11" s="59">
        <v>202.05</v>
      </c>
      <c r="C11" s="59">
        <v>113.11</v>
      </c>
      <c r="D11" s="59">
        <v>224.45</v>
      </c>
      <c r="E11" s="59">
        <v>7.09</v>
      </c>
      <c r="F11" s="59">
        <v>2.92</v>
      </c>
      <c r="G11" s="59">
        <v>187.6</v>
      </c>
      <c r="H11" s="59">
        <v>71.98</v>
      </c>
      <c r="I11" s="59">
        <v>1.86</v>
      </c>
      <c r="J11" s="59">
        <v>0.16</v>
      </c>
      <c r="K11" s="59">
        <v>18.72</v>
      </c>
      <c r="L11" s="59">
        <v>22.58</v>
      </c>
      <c r="M11" s="59">
        <v>55.86</v>
      </c>
      <c r="N11" s="59">
        <v>4.4000000000000004</v>
      </c>
      <c r="O11" s="59">
        <v>0</v>
      </c>
      <c r="P11" s="59">
        <v>4.04</v>
      </c>
      <c r="Q11" s="59">
        <v>39.64</v>
      </c>
      <c r="R11" s="197"/>
      <c r="S11" s="197"/>
      <c r="T11" s="197"/>
      <c r="U11" s="197"/>
    </row>
    <row r="12" spans="1:21" s="12" customFormat="1" x14ac:dyDescent="0.25">
      <c r="A12" s="200" t="s">
        <v>538</v>
      </c>
      <c r="B12" s="59">
        <v>201.15</v>
      </c>
      <c r="C12" s="59">
        <v>111.22</v>
      </c>
      <c r="D12" s="59">
        <v>222.69</v>
      </c>
      <c r="E12" s="59">
        <v>7.1</v>
      </c>
      <c r="F12" s="59">
        <v>2.95</v>
      </c>
      <c r="G12" s="59">
        <v>187.6</v>
      </c>
      <c r="H12" s="59">
        <v>71.98</v>
      </c>
      <c r="I12" s="59">
        <v>1.93</v>
      </c>
      <c r="J12" s="59">
        <v>0.05</v>
      </c>
      <c r="K12" s="59">
        <v>321.69</v>
      </c>
      <c r="L12" s="59">
        <v>22.1</v>
      </c>
      <c r="M12" s="59">
        <v>56.57</v>
      </c>
      <c r="N12" s="59">
        <v>4.4000000000000004</v>
      </c>
      <c r="O12" s="59">
        <v>0</v>
      </c>
      <c r="P12" s="59">
        <v>4.0599999999999996</v>
      </c>
      <c r="Q12" s="59">
        <v>39.090000000000003</v>
      </c>
      <c r="R12" s="197"/>
      <c r="S12" s="197"/>
      <c r="T12" s="197"/>
      <c r="U12" s="197"/>
    </row>
    <row r="13" spans="1:21" s="12" customFormat="1" x14ac:dyDescent="0.25">
      <c r="A13" s="200" t="s">
        <v>539</v>
      </c>
      <c r="B13" s="59">
        <v>194.74</v>
      </c>
      <c r="C13" s="59">
        <v>109.97</v>
      </c>
      <c r="D13" s="59">
        <v>216.86</v>
      </c>
      <c r="E13" s="59">
        <v>7.26</v>
      </c>
      <c r="F13" s="59">
        <v>2.94</v>
      </c>
      <c r="G13" s="59">
        <v>187.6</v>
      </c>
      <c r="H13" s="59">
        <v>71.98</v>
      </c>
      <c r="I13" s="59">
        <v>1.96</v>
      </c>
      <c r="J13" s="59">
        <v>0.38</v>
      </c>
      <c r="K13" s="59">
        <v>215.14</v>
      </c>
      <c r="L13" s="59">
        <v>22.73</v>
      </c>
      <c r="M13" s="59">
        <v>50.79</v>
      </c>
      <c r="N13" s="59">
        <v>2.7</v>
      </c>
      <c r="O13" s="59">
        <v>0</v>
      </c>
      <c r="P13" s="59">
        <v>3.64</v>
      </c>
      <c r="Q13" s="59">
        <v>39.24</v>
      </c>
      <c r="R13" s="197"/>
      <c r="S13" s="197"/>
      <c r="T13" s="197"/>
      <c r="U13" s="197"/>
    </row>
    <row r="14" spans="1:21" s="12" customFormat="1" x14ac:dyDescent="0.25">
      <c r="A14" s="200" t="s">
        <v>540</v>
      </c>
      <c r="B14" s="59">
        <v>191.76</v>
      </c>
      <c r="C14" s="59">
        <v>107.91</v>
      </c>
      <c r="D14" s="59">
        <v>213.33</v>
      </c>
      <c r="E14" s="59">
        <v>7.42</v>
      </c>
      <c r="F14" s="59">
        <v>2.96</v>
      </c>
      <c r="G14" s="59">
        <v>185.79</v>
      </c>
      <c r="H14" s="59">
        <v>71.89</v>
      </c>
      <c r="I14" s="59">
        <v>1.97</v>
      </c>
      <c r="J14" s="59">
        <v>0.09</v>
      </c>
      <c r="K14" s="59">
        <v>352.12</v>
      </c>
      <c r="L14" s="59">
        <v>22.66</v>
      </c>
      <c r="M14" s="59">
        <v>53.3</v>
      </c>
      <c r="N14" s="59">
        <v>4.5</v>
      </c>
      <c r="O14" s="59">
        <v>0</v>
      </c>
      <c r="P14" s="59">
        <v>3.75</v>
      </c>
      <c r="Q14" s="59">
        <v>39.42</v>
      </c>
      <c r="R14" s="197"/>
      <c r="S14" s="197"/>
      <c r="T14" s="197"/>
      <c r="U14" s="197"/>
    </row>
    <row r="15" spans="1:21" s="12" customFormat="1" x14ac:dyDescent="0.25">
      <c r="A15" s="200" t="s">
        <v>541</v>
      </c>
      <c r="B15" s="59">
        <v>185.31</v>
      </c>
      <c r="C15" s="59">
        <v>107.59</v>
      </c>
      <c r="D15" s="59">
        <v>207.98</v>
      </c>
      <c r="E15" s="59">
        <v>7.36</v>
      </c>
      <c r="F15" s="59">
        <v>3.11</v>
      </c>
      <c r="G15" s="59">
        <v>164.33</v>
      </c>
      <c r="H15" s="59">
        <v>70.72</v>
      </c>
      <c r="I15" s="59">
        <v>1.94</v>
      </c>
      <c r="J15" s="59">
        <v>0.13</v>
      </c>
      <c r="K15" s="59">
        <v>179.12</v>
      </c>
      <c r="L15" s="59">
        <v>22.71</v>
      </c>
      <c r="M15" s="59">
        <v>50.8</v>
      </c>
      <c r="N15" s="59">
        <v>3.8</v>
      </c>
      <c r="O15" s="59">
        <v>0</v>
      </c>
      <c r="P15" s="59">
        <v>3.66</v>
      </c>
      <c r="Q15" s="59">
        <v>39.549999999999997</v>
      </c>
      <c r="R15" s="197"/>
      <c r="S15" s="197"/>
      <c r="T15" s="197"/>
      <c r="U15" s="197"/>
    </row>
    <row r="16" spans="1:21" s="12" customFormat="1" x14ac:dyDescent="0.25">
      <c r="A16" s="200" t="s">
        <v>542</v>
      </c>
      <c r="B16" s="59">
        <v>186.82</v>
      </c>
      <c r="C16" s="59">
        <v>104.1</v>
      </c>
      <c r="D16" s="59">
        <v>207.26</v>
      </c>
      <c r="E16" s="59">
        <v>7.04</v>
      </c>
      <c r="F16" s="59">
        <v>3.01</v>
      </c>
      <c r="G16" s="59">
        <v>164.33</v>
      </c>
      <c r="H16" s="59">
        <v>70.72</v>
      </c>
      <c r="I16" s="59">
        <v>1.95</v>
      </c>
      <c r="J16" s="59">
        <v>0.12</v>
      </c>
      <c r="K16" s="59">
        <v>333.96</v>
      </c>
      <c r="L16" s="59">
        <v>21.94</v>
      </c>
      <c r="M16" s="59">
        <v>56.93</v>
      </c>
      <c r="N16" s="59">
        <v>4.5999999999999996</v>
      </c>
      <c r="O16" s="59">
        <v>0</v>
      </c>
      <c r="P16" s="59">
        <v>3.67</v>
      </c>
      <c r="Q16" s="59">
        <v>39.729999999999997</v>
      </c>
      <c r="R16" s="197"/>
      <c r="S16" s="197"/>
      <c r="T16" s="197"/>
      <c r="U16" s="197"/>
    </row>
    <row r="17" spans="1:21" s="12" customFormat="1" x14ac:dyDescent="0.25">
      <c r="A17" s="200" t="s">
        <v>543</v>
      </c>
      <c r="B17" s="59">
        <v>182.35</v>
      </c>
      <c r="C17" s="59">
        <v>102.69</v>
      </c>
      <c r="D17" s="59">
        <v>202.9</v>
      </c>
      <c r="E17" s="59">
        <v>6.9</v>
      </c>
      <c r="F17" s="59">
        <v>3.05</v>
      </c>
      <c r="G17" s="59">
        <v>164.33</v>
      </c>
      <c r="H17" s="59">
        <v>70.72</v>
      </c>
      <c r="I17" s="59">
        <v>1.95</v>
      </c>
      <c r="J17" s="59">
        <v>0.09</v>
      </c>
      <c r="K17" s="59">
        <v>343.18</v>
      </c>
      <c r="L17" s="59">
        <v>21.14</v>
      </c>
      <c r="M17" s="59">
        <v>58.32</v>
      </c>
      <c r="N17" s="59">
        <v>4.7</v>
      </c>
      <c r="O17" s="59">
        <v>0</v>
      </c>
      <c r="P17" s="59">
        <v>3.6</v>
      </c>
      <c r="Q17" s="59">
        <v>39.57</v>
      </c>
      <c r="R17" s="197"/>
      <c r="S17" s="197"/>
      <c r="T17" s="197"/>
      <c r="U17" s="197"/>
    </row>
    <row r="18" spans="1:21" s="12" customFormat="1" x14ac:dyDescent="0.25">
      <c r="A18" s="200" t="s">
        <v>544</v>
      </c>
      <c r="B18" s="59">
        <v>182.94</v>
      </c>
      <c r="C18" s="59">
        <v>105.71</v>
      </c>
      <c r="D18" s="59">
        <v>205.04</v>
      </c>
      <c r="E18" s="59">
        <v>6.54</v>
      </c>
      <c r="F18" s="59">
        <v>3.07</v>
      </c>
      <c r="G18" s="59">
        <v>162.55000000000001</v>
      </c>
      <c r="H18" s="59">
        <v>70.45</v>
      </c>
      <c r="I18" s="59">
        <v>1.93</v>
      </c>
      <c r="J18" s="59">
        <v>0.15</v>
      </c>
      <c r="K18" s="59">
        <v>2.66</v>
      </c>
      <c r="L18" s="59">
        <v>20.95</v>
      </c>
      <c r="M18" s="59">
        <v>59.61</v>
      </c>
      <c r="N18" s="59">
        <v>4.5</v>
      </c>
      <c r="O18" s="59">
        <v>0</v>
      </c>
      <c r="P18" s="59">
        <v>3.59</v>
      </c>
      <c r="Q18" s="59">
        <v>40.340000000000003</v>
      </c>
      <c r="R18" s="197"/>
      <c r="S18" s="197"/>
      <c r="T18" s="197"/>
      <c r="U18" s="197"/>
    </row>
    <row r="19" spans="1:21" s="12" customFormat="1" x14ac:dyDescent="0.25">
      <c r="A19" s="200" t="s">
        <v>545</v>
      </c>
      <c r="B19" s="59">
        <v>181.06</v>
      </c>
      <c r="C19" s="59">
        <v>103.09</v>
      </c>
      <c r="D19" s="59">
        <v>202.09</v>
      </c>
      <c r="E19" s="59">
        <v>6.72</v>
      </c>
      <c r="F19" s="59">
        <v>2.98</v>
      </c>
      <c r="G19" s="59">
        <v>141.49</v>
      </c>
      <c r="H19" s="59">
        <v>67.209999999999994</v>
      </c>
      <c r="I19" s="59">
        <v>1.91</v>
      </c>
      <c r="J19" s="59">
        <v>0.08</v>
      </c>
      <c r="K19" s="59">
        <v>265.32</v>
      </c>
      <c r="L19" s="59">
        <v>20.9</v>
      </c>
      <c r="M19" s="59">
        <v>58.71</v>
      </c>
      <c r="N19" s="59">
        <v>4.0999999999999996</v>
      </c>
      <c r="O19" s="59">
        <v>0</v>
      </c>
      <c r="P19" s="59">
        <v>3.51</v>
      </c>
      <c r="Q19" s="59">
        <v>40.71</v>
      </c>
      <c r="R19" s="197"/>
      <c r="S19" s="197"/>
      <c r="T19" s="197"/>
      <c r="U19" s="197"/>
    </row>
    <row r="20" spans="1:21" s="12" customFormat="1" x14ac:dyDescent="0.25">
      <c r="A20" s="200" t="s">
        <v>546</v>
      </c>
      <c r="B20" s="59">
        <v>175.12</v>
      </c>
      <c r="C20" s="59">
        <v>101.91</v>
      </c>
      <c r="D20" s="59">
        <v>196.68</v>
      </c>
      <c r="E20" s="59">
        <v>6.78</v>
      </c>
      <c r="F20" s="59">
        <v>2.91</v>
      </c>
      <c r="G20" s="59">
        <v>141.49</v>
      </c>
      <c r="H20" s="59">
        <v>67.209999999999994</v>
      </c>
      <c r="I20" s="59">
        <v>1.9</v>
      </c>
      <c r="J20" s="59">
        <v>0.04</v>
      </c>
      <c r="K20" s="59">
        <v>292.52999999999997</v>
      </c>
      <c r="L20" s="59">
        <v>20.77</v>
      </c>
      <c r="M20" s="59">
        <v>59.7</v>
      </c>
      <c r="N20" s="59">
        <v>4.2</v>
      </c>
      <c r="O20" s="59">
        <v>0</v>
      </c>
      <c r="P20" s="59">
        <v>3.43</v>
      </c>
      <c r="Q20" s="59">
        <v>40.5</v>
      </c>
      <c r="R20" s="197"/>
      <c r="S20" s="197"/>
      <c r="T20" s="197"/>
      <c r="U20" s="197"/>
    </row>
    <row r="21" spans="1:21" s="12" customFormat="1" x14ac:dyDescent="0.25">
      <c r="A21" s="200" t="s">
        <v>547</v>
      </c>
      <c r="B21" s="59">
        <v>168.68</v>
      </c>
      <c r="C21" s="59">
        <v>100.9</v>
      </c>
      <c r="D21" s="59">
        <v>190.95</v>
      </c>
      <c r="E21" s="59">
        <v>6.32</v>
      </c>
      <c r="F21" s="59">
        <v>3.02</v>
      </c>
      <c r="G21" s="59">
        <v>141.49</v>
      </c>
      <c r="H21" s="59">
        <v>67.209999999999994</v>
      </c>
      <c r="I21" s="59">
        <v>1.88</v>
      </c>
      <c r="J21" s="59">
        <v>0.1</v>
      </c>
      <c r="K21" s="59">
        <v>290.58</v>
      </c>
      <c r="L21" s="59">
        <v>20.76</v>
      </c>
      <c r="M21" s="59">
        <v>60.63</v>
      </c>
      <c r="N21" s="59">
        <v>4.0999999999999996</v>
      </c>
      <c r="O21" s="59">
        <v>0</v>
      </c>
      <c r="P21" s="59">
        <v>3.33</v>
      </c>
      <c r="Q21" s="59">
        <v>40.15</v>
      </c>
      <c r="R21" s="197"/>
      <c r="S21" s="197"/>
      <c r="T21" s="197"/>
      <c r="U21" s="197"/>
    </row>
    <row r="22" spans="1:21" s="12" customFormat="1" x14ac:dyDescent="0.25">
      <c r="A22" s="200" t="s">
        <v>548</v>
      </c>
      <c r="B22" s="59">
        <v>162.46</v>
      </c>
      <c r="C22" s="59">
        <v>100.21</v>
      </c>
      <c r="D22" s="59">
        <v>185.58</v>
      </c>
      <c r="E22" s="59">
        <v>6.05</v>
      </c>
      <c r="F22" s="59">
        <v>2.92</v>
      </c>
      <c r="G22" s="59">
        <v>144.44</v>
      </c>
      <c r="H22" s="59">
        <v>67.72</v>
      </c>
      <c r="I22" s="59">
        <v>1.84</v>
      </c>
      <c r="J22" s="59">
        <v>0.15</v>
      </c>
      <c r="K22" s="59">
        <v>274.52</v>
      </c>
      <c r="L22" s="59">
        <v>20.63</v>
      </c>
      <c r="M22" s="59">
        <v>61.59</v>
      </c>
      <c r="N22" s="59">
        <v>3.9</v>
      </c>
      <c r="O22" s="59">
        <v>0</v>
      </c>
      <c r="P22" s="59">
        <v>3.24</v>
      </c>
      <c r="Q22" s="59">
        <v>39.61</v>
      </c>
      <c r="R22" s="197"/>
      <c r="S22" s="197"/>
      <c r="T22" s="197"/>
      <c r="U22" s="197"/>
    </row>
    <row r="23" spans="1:21" s="12" customFormat="1" x14ac:dyDescent="0.25">
      <c r="A23" s="200" t="s">
        <v>549</v>
      </c>
      <c r="B23" s="59">
        <v>156.91</v>
      </c>
      <c r="C23" s="59">
        <v>99.36</v>
      </c>
      <c r="D23" s="59">
        <v>180.66</v>
      </c>
      <c r="E23" s="59">
        <v>5.73</v>
      </c>
      <c r="F23" s="59">
        <v>2.87</v>
      </c>
      <c r="G23" s="59">
        <v>179.47</v>
      </c>
      <c r="H23" s="59">
        <v>73.680000000000007</v>
      </c>
      <c r="I23" s="59">
        <v>1.8</v>
      </c>
      <c r="J23" s="59">
        <v>7.0000000000000007E-2</v>
      </c>
      <c r="K23" s="59">
        <v>13.88</v>
      </c>
      <c r="L23" s="59">
        <v>20.260000000000002</v>
      </c>
      <c r="M23" s="59">
        <v>65.099999999999994</v>
      </c>
      <c r="N23" s="59">
        <v>4.3</v>
      </c>
      <c r="O23" s="59">
        <v>0</v>
      </c>
      <c r="P23" s="59">
        <v>3.15</v>
      </c>
      <c r="Q23" s="59">
        <v>38.950000000000003</v>
      </c>
      <c r="R23" s="197"/>
      <c r="S23" s="197"/>
      <c r="T23" s="197"/>
      <c r="U23" s="197"/>
    </row>
    <row r="24" spans="1:21" s="12" customFormat="1" x14ac:dyDescent="0.25">
      <c r="A24" s="200" t="s">
        <v>550</v>
      </c>
      <c r="B24" s="59">
        <v>150.68</v>
      </c>
      <c r="C24" s="59">
        <v>98.24</v>
      </c>
      <c r="D24" s="59">
        <v>175.05</v>
      </c>
      <c r="E24" s="59">
        <v>3.65</v>
      </c>
      <c r="F24" s="59">
        <v>2.84</v>
      </c>
      <c r="G24" s="59">
        <v>179.47</v>
      </c>
      <c r="H24" s="59">
        <v>73.680000000000007</v>
      </c>
      <c r="I24" s="59">
        <v>1.77</v>
      </c>
      <c r="J24" s="59">
        <v>0.03</v>
      </c>
      <c r="K24" s="59">
        <v>245.21</v>
      </c>
      <c r="L24" s="59">
        <v>19.87</v>
      </c>
      <c r="M24" s="59">
        <v>67.680000000000007</v>
      </c>
      <c r="N24" s="59">
        <v>4.4000000000000004</v>
      </c>
      <c r="O24" s="59">
        <v>0</v>
      </c>
      <c r="P24" s="59">
        <v>3.07</v>
      </c>
      <c r="Q24" s="59">
        <v>38.729999999999997</v>
      </c>
      <c r="R24" s="197"/>
      <c r="S24" s="197"/>
      <c r="T24" s="197"/>
      <c r="U24" s="197"/>
    </row>
    <row r="25" spans="1:21" s="12" customFormat="1" x14ac:dyDescent="0.25">
      <c r="A25" s="200" t="s">
        <v>551</v>
      </c>
      <c r="B25" s="59">
        <v>146.35</v>
      </c>
      <c r="C25" s="59">
        <v>96.18</v>
      </c>
      <c r="D25" s="59">
        <v>170.43</v>
      </c>
      <c r="E25" s="59">
        <v>6.29</v>
      </c>
      <c r="F25" s="59">
        <v>2.89</v>
      </c>
      <c r="G25" s="59">
        <v>179.47</v>
      </c>
      <c r="H25" s="59">
        <v>73.680000000000007</v>
      </c>
      <c r="I25" s="59">
        <v>1.74</v>
      </c>
      <c r="J25" s="59">
        <v>0.11</v>
      </c>
      <c r="K25" s="59">
        <v>325.97000000000003</v>
      </c>
      <c r="L25" s="59">
        <v>20.399999999999999</v>
      </c>
      <c r="M25" s="59">
        <v>65.11</v>
      </c>
      <c r="N25" s="59">
        <v>4</v>
      </c>
      <c r="O25" s="59">
        <v>0</v>
      </c>
      <c r="P25" s="59">
        <v>2.98</v>
      </c>
      <c r="Q25" s="59">
        <v>37.75</v>
      </c>
      <c r="R25" s="197"/>
      <c r="S25" s="197"/>
      <c r="T25" s="197"/>
      <c r="U25" s="197"/>
    </row>
    <row r="26" spans="1:21" s="12" customFormat="1" x14ac:dyDescent="0.25">
      <c r="A26" s="200" t="s">
        <v>552</v>
      </c>
      <c r="B26" s="59">
        <v>145.18</v>
      </c>
      <c r="C26" s="59">
        <v>95.73</v>
      </c>
      <c r="D26" s="59">
        <v>169.26</v>
      </c>
      <c r="E26" s="59">
        <v>6.42</v>
      </c>
      <c r="F26" s="59">
        <v>2.82</v>
      </c>
      <c r="G26" s="59">
        <v>178.92</v>
      </c>
      <c r="H26" s="59">
        <v>73.84</v>
      </c>
      <c r="I26" s="59">
        <v>1.69</v>
      </c>
      <c r="J26" s="59">
        <v>0.04</v>
      </c>
      <c r="K26" s="59">
        <v>319.33999999999997</v>
      </c>
      <c r="L26" s="59">
        <v>19.940000000000001</v>
      </c>
      <c r="M26" s="59">
        <v>66.73</v>
      </c>
      <c r="N26" s="59">
        <v>4.4000000000000004</v>
      </c>
      <c r="O26" s="59">
        <v>0</v>
      </c>
      <c r="P26" s="59">
        <v>2.95</v>
      </c>
      <c r="Q26" s="59">
        <v>36.71</v>
      </c>
      <c r="R26" s="197"/>
      <c r="S26" s="197"/>
      <c r="T26" s="197"/>
      <c r="U26" s="197"/>
    </row>
    <row r="27" spans="1:21" s="12" customFormat="1" x14ac:dyDescent="0.25">
      <c r="A27" s="200" t="s">
        <v>553</v>
      </c>
      <c r="B27" s="59">
        <v>145.79</v>
      </c>
      <c r="C27" s="59">
        <v>95.46</v>
      </c>
      <c r="D27" s="59">
        <v>169.59</v>
      </c>
      <c r="E27" s="59">
        <v>6.38</v>
      </c>
      <c r="F27" s="59">
        <v>2.97</v>
      </c>
      <c r="G27" s="59">
        <v>172.38</v>
      </c>
      <c r="H27" s="59">
        <v>75.78</v>
      </c>
      <c r="I27" s="59">
        <v>1.66</v>
      </c>
      <c r="J27" s="59">
        <v>0.04</v>
      </c>
      <c r="K27" s="59">
        <v>275.14999999999998</v>
      </c>
      <c r="L27" s="59">
        <v>19.88</v>
      </c>
      <c r="M27" s="59">
        <v>67.56</v>
      </c>
      <c r="N27" s="59">
        <v>4.4000000000000004</v>
      </c>
      <c r="O27" s="59">
        <v>0</v>
      </c>
      <c r="P27" s="59">
        <v>2.9</v>
      </c>
      <c r="Q27" s="59">
        <v>36.4</v>
      </c>
      <c r="R27" s="197"/>
      <c r="S27" s="197"/>
      <c r="T27" s="197"/>
      <c r="U27" s="197"/>
    </row>
    <row r="28" spans="1:21" s="12" customFormat="1" x14ac:dyDescent="0.25">
      <c r="A28" s="200" t="s">
        <v>554</v>
      </c>
      <c r="B28" s="59">
        <v>146.47</v>
      </c>
      <c r="C28" s="59">
        <v>94.73</v>
      </c>
      <c r="D28" s="59">
        <v>169.74</v>
      </c>
      <c r="E28" s="59">
        <v>6.38</v>
      </c>
      <c r="F28" s="59">
        <v>3.05</v>
      </c>
      <c r="G28" s="59">
        <v>172.38</v>
      </c>
      <c r="H28" s="59">
        <v>75.78</v>
      </c>
      <c r="I28" s="59">
        <v>1.64</v>
      </c>
      <c r="J28" s="59">
        <v>0.02</v>
      </c>
      <c r="K28" s="59">
        <v>76.430000000000007</v>
      </c>
      <c r="L28" s="59">
        <v>19.59</v>
      </c>
      <c r="M28" s="59">
        <v>69.09</v>
      </c>
      <c r="N28" s="59">
        <v>4.4000000000000004</v>
      </c>
      <c r="O28" s="59">
        <v>0</v>
      </c>
      <c r="P28" s="59">
        <v>2.84</v>
      </c>
      <c r="Q28" s="59">
        <v>36.44</v>
      </c>
      <c r="R28" s="197"/>
      <c r="S28" s="197"/>
      <c r="T28" s="197"/>
      <c r="U28" s="197"/>
    </row>
    <row r="29" spans="1:21" s="12" customFormat="1" x14ac:dyDescent="0.25">
      <c r="A29" s="200" t="s">
        <v>555</v>
      </c>
      <c r="B29" s="59">
        <v>145.80000000000001</v>
      </c>
      <c r="C29" s="59">
        <v>93.52</v>
      </c>
      <c r="D29" s="59">
        <v>168.53</v>
      </c>
      <c r="E29" s="59">
        <v>5.86</v>
      </c>
      <c r="F29" s="59">
        <v>2.98</v>
      </c>
      <c r="G29" s="59">
        <v>172.38</v>
      </c>
      <c r="H29" s="59">
        <v>75.78</v>
      </c>
      <c r="I29" s="59">
        <v>1.63</v>
      </c>
      <c r="J29" s="59">
        <v>0.16</v>
      </c>
      <c r="K29" s="59">
        <v>276.12</v>
      </c>
      <c r="L29" s="59">
        <v>19.57</v>
      </c>
      <c r="M29" s="59">
        <v>67.930000000000007</v>
      </c>
      <c r="N29" s="59">
        <v>3.9</v>
      </c>
      <c r="O29" s="59">
        <v>0</v>
      </c>
      <c r="P29" s="59">
        <v>2.79</v>
      </c>
      <c r="Q29" s="59">
        <v>36.61</v>
      </c>
      <c r="R29" s="197"/>
      <c r="S29" s="197"/>
      <c r="T29" s="197"/>
      <c r="U29" s="197"/>
    </row>
    <row r="30" spans="1:21" s="12" customFormat="1" x14ac:dyDescent="0.25">
      <c r="A30" s="200" t="s">
        <v>556</v>
      </c>
      <c r="B30" s="59">
        <v>145.85</v>
      </c>
      <c r="C30" s="59">
        <v>92.92</v>
      </c>
      <c r="D30" s="59">
        <v>168.25</v>
      </c>
      <c r="E30" s="59">
        <v>6.42</v>
      </c>
      <c r="F30" s="59">
        <v>3.05</v>
      </c>
      <c r="G30" s="59">
        <v>173.35</v>
      </c>
      <c r="H30" s="59">
        <v>75.739999999999995</v>
      </c>
      <c r="I30" s="59">
        <v>1.62</v>
      </c>
      <c r="J30" s="59">
        <v>0.11</v>
      </c>
      <c r="K30" s="59">
        <v>303.27</v>
      </c>
      <c r="L30" s="59">
        <v>19.71</v>
      </c>
      <c r="M30" s="59">
        <v>65.959999999999994</v>
      </c>
      <c r="N30" s="59">
        <v>4.2</v>
      </c>
      <c r="O30" s="59">
        <v>0</v>
      </c>
      <c r="P30" s="59">
        <v>2.74</v>
      </c>
      <c r="Q30" s="59">
        <v>36.770000000000003</v>
      </c>
      <c r="R30" s="197"/>
      <c r="S30" s="197"/>
      <c r="T30" s="197"/>
      <c r="U30" s="197"/>
    </row>
    <row r="31" spans="1:21" s="12" customFormat="1" x14ac:dyDescent="0.25">
      <c r="A31" s="200" t="s">
        <v>557</v>
      </c>
      <c r="B31" s="59">
        <v>148.91999999999999</v>
      </c>
      <c r="C31" s="59">
        <v>92.17</v>
      </c>
      <c r="D31" s="59">
        <v>170.29</v>
      </c>
      <c r="E31" s="59">
        <v>6.76</v>
      </c>
      <c r="F31" s="59">
        <v>3.06</v>
      </c>
      <c r="G31" s="59">
        <v>184.89</v>
      </c>
      <c r="H31" s="59">
        <v>75.25</v>
      </c>
      <c r="I31" s="59">
        <v>1.59</v>
      </c>
      <c r="J31" s="59">
        <v>0.02</v>
      </c>
      <c r="K31" s="59">
        <v>282.35000000000002</v>
      </c>
      <c r="L31" s="59">
        <v>19.350000000000001</v>
      </c>
      <c r="M31" s="59">
        <v>67.84</v>
      </c>
      <c r="N31" s="59">
        <v>4.4000000000000004</v>
      </c>
      <c r="O31" s="59">
        <v>0</v>
      </c>
      <c r="P31" s="59">
        <v>2.69</v>
      </c>
      <c r="Q31" s="59">
        <v>36.75</v>
      </c>
      <c r="R31" s="197"/>
      <c r="S31" s="197"/>
      <c r="T31" s="197"/>
      <c r="U31" s="197"/>
    </row>
    <row r="32" spans="1:21" s="12" customFormat="1" x14ac:dyDescent="0.25">
      <c r="A32" s="200" t="s">
        <v>558</v>
      </c>
      <c r="B32" s="59">
        <v>149.5</v>
      </c>
      <c r="C32" s="59">
        <v>91.55</v>
      </c>
      <c r="D32" s="59">
        <v>170.42</v>
      </c>
      <c r="E32" s="59">
        <v>6.3</v>
      </c>
      <c r="F32" s="59">
        <v>3.03</v>
      </c>
      <c r="G32" s="59">
        <v>184.89</v>
      </c>
      <c r="H32" s="59">
        <v>75.25</v>
      </c>
      <c r="I32" s="59">
        <v>1.57</v>
      </c>
      <c r="J32" s="59">
        <v>0.12</v>
      </c>
      <c r="K32" s="59">
        <v>307.06</v>
      </c>
      <c r="L32" s="59">
        <v>19.25</v>
      </c>
      <c r="M32" s="59">
        <v>67.83</v>
      </c>
      <c r="N32" s="59">
        <v>4.3</v>
      </c>
      <c r="O32" s="59">
        <v>0</v>
      </c>
      <c r="P32" s="59">
        <v>2.63</v>
      </c>
      <c r="Q32" s="59">
        <v>37.31</v>
      </c>
      <c r="R32" s="197"/>
      <c r="S32" s="197"/>
      <c r="T32" s="197"/>
      <c r="U32" s="197"/>
    </row>
    <row r="33" spans="1:21" s="12" customFormat="1" x14ac:dyDescent="0.25">
      <c r="A33" s="200" t="s">
        <v>559</v>
      </c>
      <c r="B33" s="59">
        <v>147.69</v>
      </c>
      <c r="C33" s="59">
        <v>91.61</v>
      </c>
      <c r="D33" s="59">
        <v>169</v>
      </c>
      <c r="E33" s="59">
        <v>6.23</v>
      </c>
      <c r="F33" s="59">
        <v>2.82</v>
      </c>
      <c r="G33" s="59">
        <v>184.89</v>
      </c>
      <c r="H33" s="59">
        <v>75.25</v>
      </c>
      <c r="I33" s="59">
        <v>1.55</v>
      </c>
      <c r="J33" s="59">
        <v>0.11</v>
      </c>
      <c r="K33" s="59">
        <v>266.54000000000002</v>
      </c>
      <c r="L33" s="59">
        <v>19.25</v>
      </c>
      <c r="M33" s="59">
        <v>64.81</v>
      </c>
      <c r="N33" s="59">
        <v>5.3</v>
      </c>
      <c r="O33" s="59">
        <v>0</v>
      </c>
      <c r="P33" s="59">
        <v>2.54</v>
      </c>
      <c r="Q33" s="59">
        <v>38.49</v>
      </c>
      <c r="R33" s="197"/>
      <c r="S33" s="197"/>
      <c r="T33" s="197"/>
      <c r="U33" s="197"/>
    </row>
    <row r="34" spans="1:21" s="12" customFormat="1" x14ac:dyDescent="0.25">
      <c r="A34" s="200" t="s">
        <v>560</v>
      </c>
      <c r="B34" s="59">
        <v>146.4</v>
      </c>
      <c r="C34" s="59">
        <v>91.97</v>
      </c>
      <c r="D34" s="59">
        <v>168.16</v>
      </c>
      <c r="E34" s="59">
        <v>6.36</v>
      </c>
      <c r="F34" s="59">
        <v>2.78</v>
      </c>
      <c r="G34" s="59">
        <v>182.32</v>
      </c>
      <c r="H34" s="59">
        <v>75.08</v>
      </c>
      <c r="I34" s="59">
        <v>1.53</v>
      </c>
      <c r="J34" s="59">
        <v>0.14000000000000001</v>
      </c>
      <c r="K34" s="59">
        <v>301</v>
      </c>
      <c r="L34" s="59">
        <v>19.75</v>
      </c>
      <c r="M34" s="59">
        <v>65.98</v>
      </c>
      <c r="N34" s="59">
        <v>10</v>
      </c>
      <c r="O34" s="59">
        <v>0</v>
      </c>
      <c r="P34" s="59">
        <v>2.46</v>
      </c>
      <c r="Q34" s="59">
        <v>38.58</v>
      </c>
      <c r="R34" s="197"/>
      <c r="S34" s="197"/>
      <c r="T34" s="197"/>
      <c r="U34" s="197"/>
    </row>
    <row r="35" spans="1:21" s="12" customFormat="1" x14ac:dyDescent="0.25">
      <c r="A35" s="200" t="s">
        <v>561</v>
      </c>
      <c r="B35" s="59">
        <v>152.63999999999999</v>
      </c>
      <c r="C35" s="59">
        <v>92.73</v>
      </c>
      <c r="D35" s="59">
        <v>173.58</v>
      </c>
      <c r="E35" s="59">
        <v>6.33</v>
      </c>
      <c r="F35" s="59">
        <v>2.8</v>
      </c>
      <c r="G35" s="59">
        <v>151.86000000000001</v>
      </c>
      <c r="H35" s="59">
        <v>73.040000000000006</v>
      </c>
      <c r="I35" s="59">
        <v>1.5</v>
      </c>
      <c r="J35" s="59">
        <v>0.12</v>
      </c>
      <c r="K35" s="59">
        <v>26.42</v>
      </c>
      <c r="L35" s="59">
        <v>19.39</v>
      </c>
      <c r="M35" s="59">
        <v>67.31</v>
      </c>
      <c r="N35" s="59">
        <v>21.6</v>
      </c>
      <c r="O35" s="59">
        <v>0</v>
      </c>
      <c r="P35" s="59">
        <v>2.44</v>
      </c>
      <c r="Q35" s="59">
        <v>38.44</v>
      </c>
      <c r="R35" s="197"/>
      <c r="S35" s="197"/>
      <c r="T35" s="197"/>
      <c r="U35" s="197"/>
    </row>
    <row r="36" spans="1:21" s="12" customFormat="1" x14ac:dyDescent="0.25">
      <c r="A36" s="200" t="s">
        <v>562</v>
      </c>
      <c r="B36" s="59">
        <v>160.59</v>
      </c>
      <c r="C36" s="59">
        <v>93.7</v>
      </c>
      <c r="D36" s="59">
        <v>180.49</v>
      </c>
      <c r="E36" s="59">
        <v>6.47</v>
      </c>
      <c r="F36" s="59">
        <v>2.89</v>
      </c>
      <c r="G36" s="59">
        <v>151.86000000000001</v>
      </c>
      <c r="H36" s="59">
        <v>73.040000000000006</v>
      </c>
      <c r="I36" s="59">
        <v>1.45</v>
      </c>
      <c r="J36" s="59">
        <v>0.05</v>
      </c>
      <c r="K36" s="59">
        <v>335.06</v>
      </c>
      <c r="L36" s="59">
        <v>19.79</v>
      </c>
      <c r="M36" s="59">
        <v>65.58</v>
      </c>
      <c r="N36" s="59">
        <v>44.4</v>
      </c>
      <c r="O36" s="59">
        <v>0</v>
      </c>
      <c r="P36" s="59">
        <v>2.4</v>
      </c>
      <c r="Q36" s="59">
        <v>38.82</v>
      </c>
      <c r="R36" s="197"/>
      <c r="S36" s="197"/>
      <c r="T36" s="197"/>
      <c r="U36" s="197"/>
    </row>
    <row r="37" spans="1:21" s="12" customFormat="1" x14ac:dyDescent="0.25">
      <c r="A37" s="200" t="s">
        <v>563</v>
      </c>
      <c r="B37" s="59">
        <v>164.14</v>
      </c>
      <c r="C37" s="59">
        <v>94.81</v>
      </c>
      <c r="D37" s="59">
        <v>183.95</v>
      </c>
      <c r="E37" s="59">
        <v>6.22</v>
      </c>
      <c r="F37" s="59">
        <v>2.98</v>
      </c>
      <c r="G37" s="59">
        <v>151.86000000000001</v>
      </c>
      <c r="H37" s="59">
        <v>73.040000000000006</v>
      </c>
      <c r="I37" s="59">
        <v>1.42</v>
      </c>
      <c r="J37" s="59">
        <v>0.03</v>
      </c>
      <c r="K37" s="59">
        <v>195.03</v>
      </c>
      <c r="L37" s="59">
        <v>21.49</v>
      </c>
      <c r="M37" s="59">
        <v>59.2</v>
      </c>
      <c r="N37" s="59">
        <v>88.3</v>
      </c>
      <c r="O37" s="59">
        <v>0</v>
      </c>
      <c r="P37" s="59">
        <v>2.33</v>
      </c>
      <c r="Q37" s="59">
        <v>38.9</v>
      </c>
      <c r="R37" s="197"/>
      <c r="S37" s="197"/>
      <c r="T37" s="197"/>
      <c r="U37" s="197"/>
    </row>
    <row r="38" spans="1:21" s="12" customFormat="1" x14ac:dyDescent="0.25">
      <c r="A38" s="200" t="s">
        <v>564</v>
      </c>
      <c r="B38" s="59">
        <v>167.71</v>
      </c>
      <c r="C38" s="59">
        <v>96.87</v>
      </c>
      <c r="D38" s="59">
        <v>187.95</v>
      </c>
      <c r="E38" s="59">
        <v>6.44</v>
      </c>
      <c r="F38" s="59">
        <v>3.01</v>
      </c>
      <c r="G38" s="59">
        <v>152.22999999999999</v>
      </c>
      <c r="H38" s="59">
        <v>72.73</v>
      </c>
      <c r="I38" s="59">
        <v>1.39</v>
      </c>
      <c r="J38" s="59">
        <v>0.03</v>
      </c>
      <c r="K38" s="59">
        <v>66.28</v>
      </c>
      <c r="L38" s="59">
        <v>23.99</v>
      </c>
      <c r="M38" s="59">
        <v>54.51</v>
      </c>
      <c r="N38" s="59">
        <v>147.30000000000001</v>
      </c>
      <c r="O38" s="59">
        <v>0</v>
      </c>
      <c r="P38" s="59">
        <v>2.4300000000000002</v>
      </c>
      <c r="Q38" s="59">
        <v>38.86</v>
      </c>
      <c r="R38" s="197"/>
      <c r="S38" s="197"/>
      <c r="T38" s="197"/>
      <c r="U38" s="197"/>
    </row>
    <row r="39" spans="1:21" s="12" customFormat="1" x14ac:dyDescent="0.25">
      <c r="A39" s="200" t="s">
        <v>565</v>
      </c>
      <c r="B39" s="59">
        <v>168.73</v>
      </c>
      <c r="C39" s="59">
        <v>101.5</v>
      </c>
      <c r="D39" s="59">
        <v>191.32</v>
      </c>
      <c r="E39" s="59">
        <v>7.5</v>
      </c>
      <c r="F39" s="59">
        <v>2.92</v>
      </c>
      <c r="G39" s="59">
        <v>156.63</v>
      </c>
      <c r="H39" s="59">
        <v>69.040000000000006</v>
      </c>
      <c r="I39" s="59">
        <v>1.37</v>
      </c>
      <c r="J39" s="59">
        <v>0.21</v>
      </c>
      <c r="K39" s="59">
        <v>12.19</v>
      </c>
      <c r="L39" s="59">
        <v>26.77</v>
      </c>
      <c r="M39" s="59">
        <v>44.73</v>
      </c>
      <c r="N39" s="59">
        <v>201.7</v>
      </c>
      <c r="O39" s="59">
        <v>0</v>
      </c>
      <c r="P39" s="59">
        <v>2.42</v>
      </c>
      <c r="Q39" s="59">
        <v>38.340000000000003</v>
      </c>
      <c r="R39" s="197"/>
      <c r="S39" s="197"/>
      <c r="T39" s="197"/>
      <c r="U39" s="197"/>
    </row>
    <row r="40" spans="1:21" s="12" customFormat="1" x14ac:dyDescent="0.25">
      <c r="A40" s="200" t="s">
        <v>566</v>
      </c>
      <c r="B40" s="59">
        <v>163.59</v>
      </c>
      <c r="C40" s="59">
        <v>103.12</v>
      </c>
      <c r="D40" s="59">
        <v>188.09</v>
      </c>
      <c r="E40" s="59">
        <v>3.43</v>
      </c>
      <c r="F40" s="59">
        <v>3.19</v>
      </c>
      <c r="G40" s="59">
        <v>156.63</v>
      </c>
      <c r="H40" s="59">
        <v>69.040000000000006</v>
      </c>
      <c r="I40" s="59">
        <v>1.36</v>
      </c>
      <c r="J40" s="59">
        <v>0.32</v>
      </c>
      <c r="K40" s="59">
        <v>358.79</v>
      </c>
      <c r="L40" s="59">
        <v>28.97</v>
      </c>
      <c r="M40" s="59">
        <v>37.54</v>
      </c>
      <c r="N40" s="59">
        <v>242</v>
      </c>
      <c r="O40" s="59">
        <v>0</v>
      </c>
      <c r="P40" s="59">
        <v>2.39</v>
      </c>
      <c r="Q40" s="59">
        <v>37.78</v>
      </c>
      <c r="R40" s="197"/>
      <c r="S40" s="197"/>
      <c r="T40" s="197"/>
      <c r="U40" s="197"/>
    </row>
    <row r="41" spans="1:21" s="12" customFormat="1" x14ac:dyDescent="0.25">
      <c r="A41" s="200" t="s">
        <v>567</v>
      </c>
      <c r="B41" s="59">
        <v>155.96</v>
      </c>
      <c r="C41" s="59">
        <v>105.2</v>
      </c>
      <c r="D41" s="59">
        <v>183.13</v>
      </c>
      <c r="E41" s="59">
        <v>6.41</v>
      </c>
      <c r="F41" s="59">
        <v>3.66</v>
      </c>
      <c r="G41" s="59">
        <v>156.63</v>
      </c>
      <c r="H41" s="59">
        <v>69.040000000000006</v>
      </c>
      <c r="I41" s="59">
        <v>1.35</v>
      </c>
      <c r="J41" s="59">
        <v>0.47</v>
      </c>
      <c r="K41" s="59">
        <v>15.91</v>
      </c>
      <c r="L41" s="59">
        <v>30.91</v>
      </c>
      <c r="M41" s="59">
        <v>31.36</v>
      </c>
      <c r="N41" s="59">
        <v>256</v>
      </c>
      <c r="O41" s="59">
        <v>0</v>
      </c>
      <c r="P41" s="59">
        <v>2.38</v>
      </c>
      <c r="Q41" s="59">
        <v>37.520000000000003</v>
      </c>
      <c r="R41" s="197"/>
      <c r="S41" s="197"/>
      <c r="T41" s="197"/>
      <c r="U41" s="197"/>
    </row>
    <row r="42" spans="1:21" s="12" customFormat="1" x14ac:dyDescent="0.25">
      <c r="A42" s="200" t="s">
        <v>568</v>
      </c>
      <c r="B42" s="59">
        <v>145.72999999999999</v>
      </c>
      <c r="C42" s="59">
        <v>103.55</v>
      </c>
      <c r="D42" s="59">
        <v>174.01</v>
      </c>
      <c r="E42" s="59">
        <v>9.19</v>
      </c>
      <c r="F42" s="59">
        <v>5.53</v>
      </c>
      <c r="G42" s="59">
        <v>155.72</v>
      </c>
      <c r="H42" s="59">
        <v>68.97</v>
      </c>
      <c r="I42" s="59">
        <v>1.34</v>
      </c>
      <c r="J42" s="59">
        <v>0.45</v>
      </c>
      <c r="K42" s="59">
        <v>36.700000000000003</v>
      </c>
      <c r="L42" s="59">
        <v>31.76</v>
      </c>
      <c r="M42" s="59">
        <v>23.95</v>
      </c>
      <c r="N42" s="59">
        <v>306.39999999999998</v>
      </c>
      <c r="O42" s="59">
        <v>0</v>
      </c>
      <c r="P42" s="59">
        <v>2.2999999999999998</v>
      </c>
      <c r="Q42" s="59">
        <v>37.74</v>
      </c>
      <c r="R42" s="197"/>
      <c r="S42" s="197"/>
      <c r="T42" s="197"/>
      <c r="U42" s="197"/>
    </row>
    <row r="43" spans="1:21" s="12" customFormat="1" x14ac:dyDescent="0.25">
      <c r="A43" s="200" t="s">
        <v>569</v>
      </c>
      <c r="B43" s="59">
        <v>145.91999999999999</v>
      </c>
      <c r="C43" s="59">
        <v>106.35</v>
      </c>
      <c r="D43" s="59">
        <v>175.71</v>
      </c>
      <c r="E43" s="59">
        <v>8.23</v>
      </c>
      <c r="F43" s="59">
        <v>4.33</v>
      </c>
      <c r="G43" s="59">
        <v>144.97999999999999</v>
      </c>
      <c r="H43" s="59">
        <v>68.23</v>
      </c>
      <c r="I43" s="59">
        <v>1.3</v>
      </c>
      <c r="J43" s="59">
        <v>0.55000000000000004</v>
      </c>
      <c r="K43" s="59">
        <v>119.01</v>
      </c>
      <c r="L43" s="59">
        <v>29.73</v>
      </c>
      <c r="M43" s="59">
        <v>25.03</v>
      </c>
      <c r="N43" s="59">
        <v>358.6</v>
      </c>
      <c r="O43" s="59">
        <v>0</v>
      </c>
      <c r="P43" s="59">
        <v>2.2999999999999998</v>
      </c>
      <c r="Q43" s="59">
        <v>37.29</v>
      </c>
      <c r="R43" s="197"/>
      <c r="S43" s="197"/>
      <c r="T43" s="197"/>
      <c r="U43" s="197"/>
    </row>
    <row r="44" spans="1:21" s="12" customFormat="1" x14ac:dyDescent="0.25">
      <c r="A44" s="200" t="s">
        <v>570</v>
      </c>
      <c r="B44" s="59">
        <v>141.75</v>
      </c>
      <c r="C44" s="59">
        <v>106.95</v>
      </c>
      <c r="D44" s="59">
        <v>172.7</v>
      </c>
      <c r="E44" s="59">
        <v>7.2</v>
      </c>
      <c r="F44" s="59">
        <v>4.1100000000000003</v>
      </c>
      <c r="G44" s="59">
        <v>144.97999999999999</v>
      </c>
      <c r="H44" s="59">
        <v>68.23</v>
      </c>
      <c r="I44" s="59">
        <v>1.2</v>
      </c>
      <c r="J44" s="59">
        <v>0.67</v>
      </c>
      <c r="K44" s="59">
        <v>103.95</v>
      </c>
      <c r="L44" s="59">
        <v>29.35</v>
      </c>
      <c r="M44" s="59">
        <v>25.29</v>
      </c>
      <c r="N44" s="59">
        <v>402.4</v>
      </c>
      <c r="O44" s="59">
        <v>0</v>
      </c>
      <c r="P44" s="59">
        <v>2.2599999999999998</v>
      </c>
      <c r="Q44" s="59">
        <v>37.119999999999997</v>
      </c>
      <c r="R44" s="197"/>
      <c r="S44" s="197"/>
      <c r="T44" s="197"/>
      <c r="U44" s="197"/>
    </row>
    <row r="45" spans="1:21" s="12" customFormat="1" x14ac:dyDescent="0.25">
      <c r="A45" s="200" t="s">
        <v>571</v>
      </c>
      <c r="B45" s="59">
        <v>133.56</v>
      </c>
      <c r="C45" s="59">
        <v>106.54</v>
      </c>
      <c r="D45" s="59">
        <v>165.9</v>
      </c>
      <c r="E45" s="59">
        <v>6.97</v>
      </c>
      <c r="F45" s="59">
        <v>4.13</v>
      </c>
      <c r="G45" s="59">
        <v>144.97999999999999</v>
      </c>
      <c r="H45" s="59">
        <v>68.23</v>
      </c>
      <c r="I45" s="59">
        <v>1.17</v>
      </c>
      <c r="J45" s="59">
        <v>1.23</v>
      </c>
      <c r="K45" s="59">
        <v>113.39</v>
      </c>
      <c r="L45" s="59">
        <v>29.44</v>
      </c>
      <c r="M45" s="59">
        <v>23.22</v>
      </c>
      <c r="N45" s="59">
        <v>455.7</v>
      </c>
      <c r="O45" s="59">
        <v>0</v>
      </c>
      <c r="P45" s="59">
        <v>2.21</v>
      </c>
      <c r="Q45" s="59">
        <v>37.15</v>
      </c>
      <c r="R45" s="197"/>
      <c r="S45" s="197"/>
      <c r="T45" s="197"/>
      <c r="U45" s="197"/>
    </row>
    <row r="46" spans="1:21" s="12" customFormat="1" x14ac:dyDescent="0.25">
      <c r="A46" s="200" t="s">
        <v>572</v>
      </c>
      <c r="B46" s="59">
        <v>125.79</v>
      </c>
      <c r="C46" s="59">
        <v>105.92</v>
      </c>
      <c r="D46" s="59">
        <v>159.33000000000001</v>
      </c>
      <c r="E46" s="59">
        <v>6.74</v>
      </c>
      <c r="F46" s="59">
        <v>4.18</v>
      </c>
      <c r="G46" s="59">
        <v>141.44</v>
      </c>
      <c r="H46" s="59">
        <v>67.52</v>
      </c>
      <c r="I46" s="59">
        <v>1.24</v>
      </c>
      <c r="J46" s="59">
        <v>0.8</v>
      </c>
      <c r="K46" s="59">
        <v>114.13</v>
      </c>
      <c r="L46" s="59">
        <v>29.9</v>
      </c>
      <c r="M46" s="59">
        <v>22.6</v>
      </c>
      <c r="N46" s="59">
        <v>493.6</v>
      </c>
      <c r="O46" s="59">
        <v>0</v>
      </c>
      <c r="P46" s="59">
        <v>2.15</v>
      </c>
      <c r="Q46" s="59">
        <v>37.08</v>
      </c>
      <c r="R46" s="197"/>
      <c r="S46" s="197"/>
      <c r="T46" s="197"/>
      <c r="U46" s="197"/>
    </row>
    <row r="47" spans="1:21" s="12" customFormat="1" x14ac:dyDescent="0.25">
      <c r="A47" s="200" t="s">
        <v>573</v>
      </c>
      <c r="B47" s="59">
        <v>116.9</v>
      </c>
      <c r="C47" s="59">
        <v>109.29</v>
      </c>
      <c r="D47" s="59">
        <v>154.06</v>
      </c>
      <c r="E47" s="59">
        <v>6.57</v>
      </c>
      <c r="F47" s="59">
        <v>4.08</v>
      </c>
      <c r="G47" s="59">
        <v>99.43</v>
      </c>
      <c r="H47" s="59">
        <v>59.03</v>
      </c>
      <c r="I47" s="59">
        <v>1.25</v>
      </c>
      <c r="J47" s="59">
        <v>0.94</v>
      </c>
      <c r="K47" s="59">
        <v>113.71</v>
      </c>
      <c r="L47" s="59">
        <v>30.65</v>
      </c>
      <c r="M47" s="59">
        <v>21.87</v>
      </c>
      <c r="N47" s="59">
        <v>511.9</v>
      </c>
      <c r="O47" s="59">
        <v>0</v>
      </c>
      <c r="P47" s="59">
        <v>2.0699999999999998</v>
      </c>
      <c r="Q47" s="59">
        <v>37.42</v>
      </c>
      <c r="R47" s="197"/>
      <c r="S47" s="197"/>
      <c r="T47" s="197"/>
      <c r="U47" s="197"/>
    </row>
    <row r="48" spans="1:21" s="12" customFormat="1" x14ac:dyDescent="0.25">
      <c r="A48" s="200" t="s">
        <v>574</v>
      </c>
      <c r="B48" s="59">
        <v>101.93</v>
      </c>
      <c r="C48" s="59">
        <v>115.44</v>
      </c>
      <c r="D48" s="59">
        <v>145.44999999999999</v>
      </c>
      <c r="E48" s="59">
        <v>6.58</v>
      </c>
      <c r="F48" s="59">
        <v>4.43</v>
      </c>
      <c r="G48" s="59">
        <v>99.43</v>
      </c>
      <c r="H48" s="59">
        <v>59.03</v>
      </c>
      <c r="I48" s="59">
        <v>1.18</v>
      </c>
      <c r="J48" s="59">
        <v>0.35</v>
      </c>
      <c r="K48" s="59">
        <v>82.8</v>
      </c>
      <c r="L48" s="59">
        <v>32.68</v>
      </c>
      <c r="M48" s="59">
        <v>21.06</v>
      </c>
      <c r="N48" s="59">
        <v>549.9</v>
      </c>
      <c r="O48" s="59">
        <v>0</v>
      </c>
      <c r="P48" s="59">
        <v>1.98</v>
      </c>
      <c r="Q48" s="59">
        <v>37.57</v>
      </c>
      <c r="R48" s="197"/>
      <c r="S48" s="197"/>
      <c r="T48" s="197"/>
      <c r="U48" s="197"/>
    </row>
    <row r="49" spans="1:21" s="12" customFormat="1" x14ac:dyDescent="0.25">
      <c r="A49" s="200" t="s">
        <v>575</v>
      </c>
      <c r="B49" s="59">
        <v>91.76</v>
      </c>
      <c r="C49" s="59">
        <v>120.38</v>
      </c>
      <c r="D49" s="59">
        <v>140.02000000000001</v>
      </c>
      <c r="E49" s="59">
        <v>6.05</v>
      </c>
      <c r="F49" s="59">
        <v>3.91</v>
      </c>
      <c r="G49" s="59">
        <v>99.43</v>
      </c>
      <c r="H49" s="59">
        <v>59.03</v>
      </c>
      <c r="I49" s="59">
        <v>1.1200000000000001</v>
      </c>
      <c r="J49" s="59">
        <v>0.27</v>
      </c>
      <c r="K49" s="59">
        <v>105.72</v>
      </c>
      <c r="L49" s="59">
        <v>34.31</v>
      </c>
      <c r="M49" s="59">
        <v>19.760000000000002</v>
      </c>
      <c r="N49" s="59">
        <v>523.79999999999995</v>
      </c>
      <c r="O49" s="59">
        <v>0</v>
      </c>
      <c r="P49" s="59">
        <v>1.95</v>
      </c>
      <c r="Q49" s="59">
        <v>37.090000000000003</v>
      </c>
      <c r="R49" s="197"/>
      <c r="S49" s="197"/>
      <c r="T49" s="197"/>
      <c r="U49" s="197"/>
    </row>
    <row r="50" spans="1:21" s="12" customFormat="1" x14ac:dyDescent="0.25">
      <c r="A50" s="200" t="s">
        <v>576</v>
      </c>
      <c r="B50" s="59">
        <v>65.11</v>
      </c>
      <c r="C50" s="59">
        <v>126.01</v>
      </c>
      <c r="D50" s="59">
        <v>121.75</v>
      </c>
      <c r="E50" s="59">
        <v>9.74</v>
      </c>
      <c r="F50" s="59">
        <v>7.08</v>
      </c>
      <c r="G50" s="59">
        <v>98.25</v>
      </c>
      <c r="H50" s="59">
        <v>58.75</v>
      </c>
      <c r="I50" s="59">
        <v>1.1299999999999999</v>
      </c>
      <c r="J50" s="59">
        <v>0.61</v>
      </c>
      <c r="K50" s="59">
        <v>124.89</v>
      </c>
      <c r="L50" s="59">
        <v>33.53</v>
      </c>
      <c r="M50" s="59">
        <v>20.14</v>
      </c>
      <c r="N50" s="59">
        <v>549.5</v>
      </c>
      <c r="O50" s="59">
        <v>0</v>
      </c>
      <c r="P50" s="59">
        <v>1.8</v>
      </c>
      <c r="Q50" s="59">
        <v>35.880000000000003</v>
      </c>
      <c r="R50" s="197"/>
      <c r="S50" s="197"/>
      <c r="T50" s="197"/>
      <c r="U50" s="197"/>
    </row>
    <row r="51" spans="1:21" s="12" customFormat="1" x14ac:dyDescent="0.25">
      <c r="A51" s="200" t="s">
        <v>577</v>
      </c>
      <c r="B51" s="59">
        <v>12.5</v>
      </c>
      <c r="C51" s="59">
        <v>140.65</v>
      </c>
      <c r="D51" s="59">
        <v>87.65</v>
      </c>
      <c r="E51" s="59">
        <v>13.36</v>
      </c>
      <c r="F51" s="59">
        <v>7.21</v>
      </c>
      <c r="G51" s="59">
        <v>84.21</v>
      </c>
      <c r="H51" s="59">
        <v>55.52</v>
      </c>
      <c r="I51" s="59">
        <v>1.06</v>
      </c>
      <c r="J51" s="59">
        <v>0.73</v>
      </c>
      <c r="K51" s="59">
        <v>99.88</v>
      </c>
      <c r="L51" s="59">
        <v>33.229999999999997</v>
      </c>
      <c r="M51" s="59">
        <v>18.87</v>
      </c>
      <c r="N51" s="59">
        <v>547.79999999999995</v>
      </c>
      <c r="O51" s="59">
        <v>0</v>
      </c>
      <c r="P51" s="59">
        <v>1.44</v>
      </c>
      <c r="Q51" s="59">
        <v>29.43</v>
      </c>
      <c r="R51" s="197"/>
      <c r="S51" s="197"/>
      <c r="T51" s="197"/>
      <c r="U51" s="197"/>
    </row>
    <row r="52" spans="1:21" s="12" customFormat="1" x14ac:dyDescent="0.25">
      <c r="A52" s="200" t="s">
        <v>578</v>
      </c>
      <c r="B52" s="59">
        <v>2.11</v>
      </c>
      <c r="C52" s="59">
        <v>96.9</v>
      </c>
      <c r="D52" s="59">
        <v>55.17</v>
      </c>
      <c r="E52" s="59">
        <v>38.01</v>
      </c>
      <c r="F52" s="59">
        <v>37.549999999999997</v>
      </c>
      <c r="G52" s="59">
        <v>84.21</v>
      </c>
      <c r="H52" s="59">
        <v>55.52</v>
      </c>
      <c r="I52" s="59">
        <v>0.93</v>
      </c>
      <c r="J52" s="59">
        <v>1</v>
      </c>
      <c r="K52" s="59">
        <v>117.38</v>
      </c>
      <c r="L52" s="59">
        <v>33.909999999999997</v>
      </c>
      <c r="M52" s="59">
        <v>16.97</v>
      </c>
      <c r="N52" s="59">
        <v>547.20000000000005</v>
      </c>
      <c r="O52" s="59">
        <v>0</v>
      </c>
      <c r="P52" s="59">
        <v>0.93</v>
      </c>
      <c r="Q52" s="59">
        <v>23.03</v>
      </c>
      <c r="R52" s="197"/>
      <c r="S52" s="197"/>
      <c r="T52" s="197"/>
      <c r="U52" s="197"/>
    </row>
    <row r="53" spans="1:21" s="12" customFormat="1" x14ac:dyDescent="0.25">
      <c r="A53" s="200" t="s">
        <v>579</v>
      </c>
      <c r="B53" s="59">
        <v>0.14000000000000001</v>
      </c>
      <c r="C53" s="59">
        <v>62.55</v>
      </c>
      <c r="D53" s="59">
        <v>34.630000000000003</v>
      </c>
      <c r="E53" s="59">
        <v>43.45</v>
      </c>
      <c r="F53" s="59">
        <v>44.25</v>
      </c>
      <c r="G53" s="59">
        <v>84.21</v>
      </c>
      <c r="H53" s="59">
        <v>55.52</v>
      </c>
      <c r="I53" s="59">
        <v>0.79</v>
      </c>
      <c r="J53" s="59">
        <v>1.0900000000000001</v>
      </c>
      <c r="K53" s="59">
        <v>112.68</v>
      </c>
      <c r="L53" s="59">
        <v>33.729999999999997</v>
      </c>
      <c r="M53" s="59">
        <v>16.690000000000001</v>
      </c>
      <c r="N53" s="59">
        <v>571</v>
      </c>
      <c r="O53" s="59">
        <v>0</v>
      </c>
      <c r="P53" s="59">
        <v>0.55000000000000004</v>
      </c>
      <c r="Q53" s="59">
        <v>16.41</v>
      </c>
      <c r="R53" s="197"/>
      <c r="S53" s="197"/>
      <c r="T53" s="197"/>
      <c r="U53" s="197"/>
    </row>
    <row r="54" spans="1:21" s="12" customFormat="1" x14ac:dyDescent="0.25">
      <c r="A54" s="200" t="s">
        <v>580</v>
      </c>
      <c r="B54" s="59">
        <v>0.21</v>
      </c>
      <c r="C54" s="59">
        <v>57.8</v>
      </c>
      <c r="D54" s="59">
        <v>32.07</v>
      </c>
      <c r="E54" s="59">
        <v>31.93</v>
      </c>
      <c r="F54" s="59">
        <v>40.86</v>
      </c>
      <c r="G54" s="59">
        <v>83.1</v>
      </c>
      <c r="H54" s="59">
        <v>54.77</v>
      </c>
      <c r="I54" s="59">
        <v>0.56999999999999995</v>
      </c>
      <c r="J54" s="59">
        <v>1</v>
      </c>
      <c r="K54" s="59">
        <v>110.67</v>
      </c>
      <c r="L54" s="59">
        <v>34.08</v>
      </c>
      <c r="M54" s="59">
        <v>15.72</v>
      </c>
      <c r="N54" s="59">
        <v>566.4</v>
      </c>
      <c r="O54" s="59">
        <v>0</v>
      </c>
      <c r="P54" s="59">
        <v>0.53</v>
      </c>
      <c r="Q54" s="59">
        <v>15.46</v>
      </c>
      <c r="R54" s="197"/>
      <c r="S54" s="197"/>
      <c r="T54" s="197"/>
      <c r="U54" s="197"/>
    </row>
    <row r="55" spans="1:21" s="12" customFormat="1" x14ac:dyDescent="0.25">
      <c r="A55" s="200" t="s">
        <v>581</v>
      </c>
      <c r="B55" s="59">
        <v>0.28999999999999998</v>
      </c>
      <c r="C55" s="59">
        <v>59.13</v>
      </c>
      <c r="D55" s="59">
        <v>32.86</v>
      </c>
      <c r="E55" s="59">
        <v>20.66</v>
      </c>
      <c r="F55" s="59">
        <v>34.19</v>
      </c>
      <c r="G55" s="59">
        <v>69.87</v>
      </c>
      <c r="H55" s="59">
        <v>45.81</v>
      </c>
      <c r="I55" s="59">
        <v>0.48</v>
      </c>
      <c r="J55" s="59">
        <v>0.87</v>
      </c>
      <c r="K55" s="59">
        <v>125.36</v>
      </c>
      <c r="L55" s="59">
        <v>35</v>
      </c>
      <c r="M55" s="59">
        <v>14.25</v>
      </c>
      <c r="N55" s="59">
        <v>567.1</v>
      </c>
      <c r="O55" s="59">
        <v>0</v>
      </c>
      <c r="P55" s="59">
        <v>0.45</v>
      </c>
      <c r="Q55" s="59">
        <v>14.66</v>
      </c>
      <c r="R55" s="197"/>
      <c r="S55" s="197"/>
      <c r="T55" s="197"/>
      <c r="U55" s="197"/>
    </row>
    <row r="56" spans="1:21" s="12" customFormat="1" x14ac:dyDescent="0.25">
      <c r="A56" s="200" t="s">
        <v>582</v>
      </c>
      <c r="B56" s="59">
        <v>0.31</v>
      </c>
      <c r="C56" s="59">
        <v>60.7</v>
      </c>
      <c r="D56" s="59">
        <v>33.75</v>
      </c>
      <c r="E56" s="59">
        <v>11.63</v>
      </c>
      <c r="F56" s="59">
        <v>28.69</v>
      </c>
      <c r="G56" s="59">
        <v>69.87</v>
      </c>
      <c r="H56" s="59">
        <v>45.81</v>
      </c>
      <c r="I56" s="59">
        <v>0.47</v>
      </c>
      <c r="J56" s="59">
        <v>0.9</v>
      </c>
      <c r="K56" s="59">
        <v>110.35</v>
      </c>
      <c r="L56" s="59">
        <v>34.86</v>
      </c>
      <c r="M56" s="59">
        <v>13.83</v>
      </c>
      <c r="N56" s="59">
        <v>563</v>
      </c>
      <c r="O56" s="59">
        <v>0</v>
      </c>
      <c r="P56" s="59">
        <v>0.44</v>
      </c>
      <c r="Q56" s="59">
        <v>14.95</v>
      </c>
      <c r="R56" s="197"/>
      <c r="S56" s="197"/>
      <c r="T56" s="197"/>
      <c r="U56" s="197"/>
    </row>
    <row r="57" spans="1:21" s="12" customFormat="1" x14ac:dyDescent="0.25">
      <c r="A57" s="200" t="s">
        <v>583</v>
      </c>
      <c r="B57" s="59">
        <v>0.61</v>
      </c>
      <c r="C57" s="59">
        <v>63.8</v>
      </c>
      <c r="D57" s="59">
        <v>35.700000000000003</v>
      </c>
      <c r="E57" s="59">
        <v>15.08</v>
      </c>
      <c r="F57" s="59">
        <v>20.41</v>
      </c>
      <c r="G57" s="59">
        <v>69.87</v>
      </c>
      <c r="H57" s="59">
        <v>45.81</v>
      </c>
      <c r="I57" s="59">
        <v>0.49</v>
      </c>
      <c r="J57" s="59">
        <v>1.22</v>
      </c>
      <c r="K57" s="59">
        <v>122.75</v>
      </c>
      <c r="L57" s="59">
        <v>35.020000000000003</v>
      </c>
      <c r="M57" s="59">
        <v>13.64</v>
      </c>
      <c r="N57" s="59">
        <v>557.4</v>
      </c>
      <c r="O57" s="59">
        <v>0</v>
      </c>
      <c r="P57" s="59">
        <v>0.45</v>
      </c>
      <c r="Q57" s="59">
        <v>15.57</v>
      </c>
      <c r="R57" s="197"/>
      <c r="S57" s="197"/>
      <c r="T57" s="197"/>
      <c r="U57" s="197"/>
    </row>
    <row r="58" spans="1:21" s="12" customFormat="1" x14ac:dyDescent="0.25">
      <c r="A58" s="200" t="s">
        <v>584</v>
      </c>
      <c r="B58" s="59">
        <v>0.98</v>
      </c>
      <c r="C58" s="59">
        <v>66.08</v>
      </c>
      <c r="D58" s="59">
        <v>37.25</v>
      </c>
      <c r="E58" s="59">
        <v>16.88</v>
      </c>
      <c r="F58" s="59">
        <v>24.64</v>
      </c>
      <c r="G58" s="59">
        <v>68.23</v>
      </c>
      <c r="H58" s="59">
        <v>45.19</v>
      </c>
      <c r="I58" s="59">
        <v>0.52</v>
      </c>
      <c r="J58" s="59">
        <v>0.46</v>
      </c>
      <c r="K58" s="59">
        <v>97.87</v>
      </c>
      <c r="L58" s="59">
        <v>35.47</v>
      </c>
      <c r="M58" s="59">
        <v>13.44</v>
      </c>
      <c r="N58" s="59">
        <v>533.20000000000005</v>
      </c>
      <c r="O58" s="59">
        <v>0</v>
      </c>
      <c r="P58" s="59">
        <v>0.45</v>
      </c>
      <c r="Q58" s="59">
        <v>16.54</v>
      </c>
      <c r="R58" s="197"/>
      <c r="S58" s="197"/>
      <c r="T58" s="197"/>
      <c r="U58" s="197"/>
    </row>
    <row r="59" spans="1:21" s="12" customFormat="1" x14ac:dyDescent="0.25">
      <c r="A59" s="200" t="s">
        <v>585</v>
      </c>
      <c r="B59" s="59">
        <v>1.75</v>
      </c>
      <c r="C59" s="59">
        <v>68.599999999999994</v>
      </c>
      <c r="D59" s="59">
        <v>39.26</v>
      </c>
      <c r="E59" s="59">
        <v>9.8699999999999992</v>
      </c>
      <c r="F59" s="59">
        <v>12.6</v>
      </c>
      <c r="G59" s="59">
        <v>48.8</v>
      </c>
      <c r="H59" s="59">
        <v>37.82</v>
      </c>
      <c r="I59" s="59">
        <v>0.55000000000000004</v>
      </c>
      <c r="J59" s="59">
        <v>0.77</v>
      </c>
      <c r="K59" s="59">
        <v>4.26</v>
      </c>
      <c r="L59" s="59">
        <v>39.24</v>
      </c>
      <c r="M59" s="59">
        <v>10.91</v>
      </c>
      <c r="N59" s="59">
        <v>522.6</v>
      </c>
      <c r="O59" s="59">
        <v>0</v>
      </c>
      <c r="P59" s="59">
        <v>0.5</v>
      </c>
      <c r="Q59" s="59">
        <v>17.43</v>
      </c>
      <c r="R59" s="197"/>
      <c r="S59" s="197"/>
      <c r="T59" s="197"/>
      <c r="U59" s="197"/>
    </row>
    <row r="60" spans="1:21" s="12" customFormat="1" x14ac:dyDescent="0.25">
      <c r="A60" s="200" t="s">
        <v>586</v>
      </c>
      <c r="B60" s="59">
        <v>2.4300000000000002</v>
      </c>
      <c r="C60" s="59">
        <v>71.11</v>
      </c>
      <c r="D60" s="59">
        <v>41.19</v>
      </c>
      <c r="E60" s="59">
        <v>10.11</v>
      </c>
      <c r="F60" s="59">
        <v>15.39</v>
      </c>
      <c r="G60" s="59">
        <v>48.8</v>
      </c>
      <c r="H60" s="59">
        <v>37.82</v>
      </c>
      <c r="I60" s="59">
        <v>0.55000000000000004</v>
      </c>
      <c r="J60" s="59">
        <v>1.1100000000000001</v>
      </c>
      <c r="K60" s="59">
        <v>85.84</v>
      </c>
      <c r="L60" s="59">
        <v>38.299999999999997</v>
      </c>
      <c r="M60" s="59">
        <v>9.76</v>
      </c>
      <c r="N60" s="59">
        <v>516</v>
      </c>
      <c r="O60" s="59">
        <v>0</v>
      </c>
      <c r="P60" s="59">
        <v>0.46</v>
      </c>
      <c r="Q60" s="59">
        <v>18.559999999999999</v>
      </c>
      <c r="R60" s="197"/>
      <c r="S60" s="197"/>
      <c r="T60" s="197"/>
      <c r="U60" s="197"/>
    </row>
    <row r="61" spans="1:21" s="12" customFormat="1" x14ac:dyDescent="0.25">
      <c r="A61" s="200" t="s">
        <v>587</v>
      </c>
      <c r="B61" s="59">
        <v>2.62</v>
      </c>
      <c r="C61" s="59">
        <v>73.290000000000006</v>
      </c>
      <c r="D61" s="59">
        <v>42.55</v>
      </c>
      <c r="E61" s="59">
        <v>7.33</v>
      </c>
      <c r="F61" s="59">
        <v>10.76</v>
      </c>
      <c r="G61" s="59">
        <v>48.8</v>
      </c>
      <c r="H61" s="59">
        <v>37.82</v>
      </c>
      <c r="I61" s="59">
        <v>0.61</v>
      </c>
      <c r="J61" s="59">
        <v>0.66</v>
      </c>
      <c r="K61" s="59">
        <v>84.9</v>
      </c>
      <c r="L61" s="59">
        <v>36.15</v>
      </c>
      <c r="M61" s="59">
        <v>11.45</v>
      </c>
      <c r="N61" s="59">
        <v>496.7</v>
      </c>
      <c r="O61" s="59">
        <v>0</v>
      </c>
      <c r="P61" s="59">
        <v>0.51</v>
      </c>
      <c r="Q61" s="59">
        <v>20.37</v>
      </c>
      <c r="R61" s="197"/>
      <c r="S61" s="197"/>
      <c r="T61" s="197"/>
      <c r="U61" s="197"/>
    </row>
    <row r="62" spans="1:21" s="12" customFormat="1" x14ac:dyDescent="0.25">
      <c r="A62" s="200" t="s">
        <v>588</v>
      </c>
      <c r="B62" s="59">
        <v>2.69</v>
      </c>
      <c r="C62" s="59">
        <v>75.7</v>
      </c>
      <c r="D62" s="59">
        <v>43.94</v>
      </c>
      <c r="E62" s="59">
        <v>7.11</v>
      </c>
      <c r="F62" s="59">
        <v>13.18</v>
      </c>
      <c r="G62" s="59">
        <v>48.32</v>
      </c>
      <c r="H62" s="59">
        <v>36.99</v>
      </c>
      <c r="I62" s="59">
        <v>0.62</v>
      </c>
      <c r="J62" s="59">
        <v>0.54</v>
      </c>
      <c r="K62" s="59">
        <v>34.479999999999997</v>
      </c>
      <c r="L62" s="59">
        <v>37.65</v>
      </c>
      <c r="M62" s="59">
        <v>10.47</v>
      </c>
      <c r="N62" s="59">
        <v>461.7</v>
      </c>
      <c r="O62" s="59">
        <v>0</v>
      </c>
      <c r="P62" s="59">
        <v>0.57999999999999996</v>
      </c>
      <c r="Q62" s="59">
        <v>21.79</v>
      </c>
      <c r="R62" s="197"/>
      <c r="S62" s="197"/>
      <c r="T62" s="197"/>
      <c r="U62" s="197"/>
    </row>
    <row r="63" spans="1:21" s="12" customFormat="1" x14ac:dyDescent="0.25">
      <c r="A63" s="200" t="s">
        <v>589</v>
      </c>
      <c r="B63" s="59">
        <v>2.39</v>
      </c>
      <c r="C63" s="59">
        <v>79.099999999999994</v>
      </c>
      <c r="D63" s="59">
        <v>45.57</v>
      </c>
      <c r="E63" s="59">
        <v>6.77</v>
      </c>
      <c r="F63" s="59">
        <v>10.83</v>
      </c>
      <c r="G63" s="59">
        <v>42.63</v>
      </c>
      <c r="H63" s="59">
        <v>27.07</v>
      </c>
      <c r="I63" s="59">
        <v>0.61</v>
      </c>
      <c r="J63" s="59">
        <v>0.99</v>
      </c>
      <c r="K63" s="59">
        <v>17.8</v>
      </c>
      <c r="L63" s="59">
        <v>38.979999999999997</v>
      </c>
      <c r="M63" s="59">
        <v>9.1300000000000008</v>
      </c>
      <c r="N63" s="59">
        <v>456.6</v>
      </c>
      <c r="O63" s="59">
        <v>0</v>
      </c>
      <c r="P63" s="59">
        <v>0.57999999999999996</v>
      </c>
      <c r="Q63" s="59">
        <v>22.36</v>
      </c>
      <c r="R63" s="197"/>
      <c r="S63" s="197"/>
      <c r="T63" s="197"/>
      <c r="U63" s="197"/>
    </row>
    <row r="64" spans="1:21" s="12" customFormat="1" x14ac:dyDescent="0.25">
      <c r="A64" s="200" t="s">
        <v>590</v>
      </c>
      <c r="B64" s="59">
        <v>2.67</v>
      </c>
      <c r="C64" s="59">
        <v>81.13</v>
      </c>
      <c r="D64" s="59">
        <v>46.92</v>
      </c>
      <c r="E64" s="59">
        <v>7.25</v>
      </c>
      <c r="F64" s="59">
        <v>10.19</v>
      </c>
      <c r="G64" s="59">
        <v>42.63</v>
      </c>
      <c r="H64" s="59">
        <v>27.07</v>
      </c>
      <c r="I64" s="59">
        <v>0.6</v>
      </c>
      <c r="J64" s="59">
        <v>1.07</v>
      </c>
      <c r="K64" s="59">
        <v>12.03</v>
      </c>
      <c r="L64" s="59">
        <v>40.049999999999997</v>
      </c>
      <c r="M64" s="59">
        <v>8.89</v>
      </c>
      <c r="N64" s="59">
        <v>443.2</v>
      </c>
      <c r="O64" s="59">
        <v>0</v>
      </c>
      <c r="P64" s="59">
        <v>0.62</v>
      </c>
      <c r="Q64" s="59">
        <v>23.24</v>
      </c>
      <c r="R64" s="197"/>
      <c r="S64" s="197"/>
      <c r="T64" s="197"/>
      <c r="U64" s="197"/>
    </row>
    <row r="65" spans="1:21" s="12" customFormat="1" x14ac:dyDescent="0.25">
      <c r="A65" s="200" t="s">
        <v>591</v>
      </c>
      <c r="B65" s="59">
        <v>2.31</v>
      </c>
      <c r="C65" s="59">
        <v>83.09</v>
      </c>
      <c r="D65" s="59">
        <v>47.71</v>
      </c>
      <c r="E65" s="59">
        <v>7.83</v>
      </c>
      <c r="F65" s="59">
        <v>10.51</v>
      </c>
      <c r="G65" s="59">
        <v>42.63</v>
      </c>
      <c r="H65" s="59">
        <v>27.07</v>
      </c>
      <c r="I65" s="59">
        <v>0.63</v>
      </c>
      <c r="J65" s="59">
        <v>1.59</v>
      </c>
      <c r="K65" s="59">
        <v>16.45</v>
      </c>
      <c r="L65" s="59">
        <v>40.229999999999997</v>
      </c>
      <c r="M65" s="59">
        <v>9.08</v>
      </c>
      <c r="N65" s="59">
        <v>430</v>
      </c>
      <c r="O65" s="59">
        <v>0</v>
      </c>
      <c r="P65" s="59">
        <v>0.63</v>
      </c>
      <c r="Q65" s="59">
        <v>23.22</v>
      </c>
      <c r="R65" s="197"/>
      <c r="S65" s="197"/>
      <c r="T65" s="197"/>
      <c r="U65" s="197"/>
    </row>
    <row r="66" spans="1:21" s="12" customFormat="1" x14ac:dyDescent="0.25">
      <c r="A66" s="200" t="s">
        <v>592</v>
      </c>
      <c r="B66" s="59">
        <v>2.48</v>
      </c>
      <c r="C66" s="59">
        <v>85.48</v>
      </c>
      <c r="D66" s="59">
        <v>49.17</v>
      </c>
      <c r="E66" s="59">
        <v>8.9700000000000006</v>
      </c>
      <c r="F66" s="59">
        <v>11.3</v>
      </c>
      <c r="G66" s="59">
        <v>42.1</v>
      </c>
      <c r="H66" s="59">
        <v>26.88</v>
      </c>
      <c r="I66" s="59">
        <v>0.62</v>
      </c>
      <c r="J66" s="59">
        <v>1.1599999999999999</v>
      </c>
      <c r="K66" s="59">
        <v>28.25</v>
      </c>
      <c r="L66" s="59">
        <v>39.659999999999997</v>
      </c>
      <c r="M66" s="59">
        <v>8.84</v>
      </c>
      <c r="N66" s="59">
        <v>411.4</v>
      </c>
      <c r="O66" s="59">
        <v>0</v>
      </c>
      <c r="P66" s="59">
        <v>0.63</v>
      </c>
      <c r="Q66" s="59">
        <v>23.3</v>
      </c>
      <c r="R66" s="197"/>
      <c r="S66" s="197"/>
      <c r="T66" s="197"/>
      <c r="U66" s="197"/>
    </row>
    <row r="67" spans="1:21" s="12" customFormat="1" x14ac:dyDescent="0.25">
      <c r="A67" s="200" t="s">
        <v>593</v>
      </c>
      <c r="B67" s="59">
        <v>2.97</v>
      </c>
      <c r="C67" s="59">
        <v>87.86</v>
      </c>
      <c r="D67" s="59">
        <v>50.87</v>
      </c>
      <c r="E67" s="59">
        <v>9.82</v>
      </c>
      <c r="F67" s="59">
        <v>13.93</v>
      </c>
      <c r="G67" s="59">
        <v>35.85</v>
      </c>
      <c r="H67" s="59">
        <v>24.51</v>
      </c>
      <c r="I67" s="59">
        <v>0.61</v>
      </c>
      <c r="J67" s="59">
        <v>0.93</v>
      </c>
      <c r="K67" s="59">
        <v>31.05</v>
      </c>
      <c r="L67" s="59">
        <v>37.82</v>
      </c>
      <c r="M67" s="59">
        <v>10.130000000000001</v>
      </c>
      <c r="N67" s="59">
        <v>400.5</v>
      </c>
      <c r="O67" s="59">
        <v>0</v>
      </c>
      <c r="P67" s="59">
        <v>0.64</v>
      </c>
      <c r="Q67" s="59">
        <v>23.56</v>
      </c>
      <c r="R67" s="197"/>
      <c r="S67" s="197"/>
      <c r="T67" s="197"/>
      <c r="U67" s="197"/>
    </row>
    <row r="68" spans="1:21" s="12" customFormat="1" x14ac:dyDescent="0.25">
      <c r="A68" s="200" t="s">
        <v>594</v>
      </c>
      <c r="B68" s="59">
        <v>2.98</v>
      </c>
      <c r="C68" s="59">
        <v>87.4</v>
      </c>
      <c r="D68" s="59">
        <v>50.62</v>
      </c>
      <c r="E68" s="59">
        <v>16.84</v>
      </c>
      <c r="F68" s="59">
        <v>25.89</v>
      </c>
      <c r="G68" s="59">
        <v>35.85</v>
      </c>
      <c r="H68" s="59">
        <v>24.51</v>
      </c>
      <c r="I68" s="59">
        <v>0.61</v>
      </c>
      <c r="J68" s="59">
        <v>0.13</v>
      </c>
      <c r="K68" s="59">
        <v>60.07</v>
      </c>
      <c r="L68" s="59">
        <v>37.799999999999997</v>
      </c>
      <c r="M68" s="59">
        <v>9.7200000000000006</v>
      </c>
      <c r="N68" s="59">
        <v>371.5</v>
      </c>
      <c r="O68" s="59">
        <v>0</v>
      </c>
      <c r="P68" s="59">
        <v>0.55000000000000004</v>
      </c>
      <c r="Q68" s="59">
        <v>23.84</v>
      </c>
      <c r="R68" s="197"/>
      <c r="S68" s="197"/>
      <c r="T68" s="197"/>
      <c r="U68" s="197"/>
    </row>
    <row r="69" spans="1:21" s="12" customFormat="1" x14ac:dyDescent="0.25">
      <c r="A69" s="200" t="s">
        <v>595</v>
      </c>
      <c r="B69" s="59">
        <v>1.94</v>
      </c>
      <c r="C69" s="59">
        <v>84.02</v>
      </c>
      <c r="D69" s="59">
        <v>47.93</v>
      </c>
      <c r="E69" s="59">
        <v>20.399999999999999</v>
      </c>
      <c r="F69" s="59">
        <v>33.33</v>
      </c>
      <c r="G69" s="59">
        <v>35.85</v>
      </c>
      <c r="H69" s="59">
        <v>24.51</v>
      </c>
      <c r="I69" s="59">
        <v>0.6</v>
      </c>
      <c r="J69" s="59">
        <v>0.71</v>
      </c>
      <c r="K69" s="59">
        <v>74.900000000000006</v>
      </c>
      <c r="L69" s="59">
        <v>36.24</v>
      </c>
      <c r="M69" s="59">
        <v>10.76</v>
      </c>
      <c r="N69" s="59">
        <v>355.5</v>
      </c>
      <c r="O69" s="59">
        <v>0</v>
      </c>
      <c r="P69" s="59">
        <v>0.53</v>
      </c>
      <c r="Q69" s="59">
        <v>22.94</v>
      </c>
      <c r="R69" s="197"/>
      <c r="S69" s="197"/>
      <c r="T69" s="197"/>
      <c r="U69" s="197"/>
    </row>
    <row r="70" spans="1:21" s="12" customFormat="1" x14ac:dyDescent="0.25">
      <c r="A70" s="200" t="s">
        <v>596</v>
      </c>
      <c r="B70" s="59">
        <v>1.94</v>
      </c>
      <c r="C70" s="59">
        <v>82.98</v>
      </c>
      <c r="D70" s="59">
        <v>47.35</v>
      </c>
      <c r="E70" s="59">
        <v>20.14</v>
      </c>
      <c r="F70" s="59">
        <v>24.95</v>
      </c>
      <c r="G70" s="59">
        <v>36.58</v>
      </c>
      <c r="H70" s="59">
        <v>23.96</v>
      </c>
      <c r="I70" s="59">
        <v>0.56999999999999995</v>
      </c>
      <c r="J70" s="59">
        <v>1.37</v>
      </c>
      <c r="K70" s="59">
        <v>21.93</v>
      </c>
      <c r="L70" s="59">
        <v>37.32</v>
      </c>
      <c r="M70" s="59">
        <v>10.27</v>
      </c>
      <c r="N70" s="59">
        <v>333.8</v>
      </c>
      <c r="O70" s="59">
        <v>0</v>
      </c>
      <c r="P70" s="59">
        <v>0.59</v>
      </c>
      <c r="Q70" s="59">
        <v>21.26</v>
      </c>
      <c r="R70" s="197"/>
      <c r="S70" s="197"/>
      <c r="T70" s="197"/>
      <c r="U70" s="197"/>
    </row>
    <row r="71" spans="1:21" s="12" customFormat="1" x14ac:dyDescent="0.25">
      <c r="A71" s="200" t="s">
        <v>597</v>
      </c>
      <c r="B71" s="59">
        <v>2.6</v>
      </c>
      <c r="C71" s="59">
        <v>84.38</v>
      </c>
      <c r="D71" s="59">
        <v>48.65</v>
      </c>
      <c r="E71" s="59">
        <v>20.47</v>
      </c>
      <c r="F71" s="59">
        <v>26.42</v>
      </c>
      <c r="G71" s="59">
        <v>45.22</v>
      </c>
      <c r="H71" s="59">
        <v>17.38</v>
      </c>
      <c r="I71" s="59">
        <v>0.55000000000000004</v>
      </c>
      <c r="J71" s="59">
        <v>0.81</v>
      </c>
      <c r="K71" s="59">
        <v>115.81</v>
      </c>
      <c r="L71" s="59">
        <v>35.950000000000003</v>
      </c>
      <c r="M71" s="59">
        <v>9.5399999999999991</v>
      </c>
      <c r="N71" s="59">
        <v>314.5</v>
      </c>
      <c r="O71" s="59">
        <v>0</v>
      </c>
      <c r="P71" s="59">
        <v>0.5</v>
      </c>
      <c r="Q71" s="59">
        <v>20.8</v>
      </c>
      <c r="R71" s="197"/>
      <c r="S71" s="197"/>
      <c r="T71" s="197"/>
      <c r="U71" s="197"/>
    </row>
    <row r="72" spans="1:21" s="12" customFormat="1" x14ac:dyDescent="0.25">
      <c r="A72" s="200" t="s">
        <v>598</v>
      </c>
      <c r="B72" s="59">
        <v>2.87</v>
      </c>
      <c r="C72" s="59">
        <v>83.3</v>
      </c>
      <c r="D72" s="59">
        <v>48.27</v>
      </c>
      <c r="E72" s="59">
        <v>12.47</v>
      </c>
      <c r="F72" s="59">
        <v>19.690000000000001</v>
      </c>
      <c r="G72" s="59">
        <v>45.22</v>
      </c>
      <c r="H72" s="59">
        <v>17.38</v>
      </c>
      <c r="I72" s="59">
        <v>0.53</v>
      </c>
      <c r="J72" s="59">
        <v>0.84</v>
      </c>
      <c r="K72" s="59">
        <v>108.87</v>
      </c>
      <c r="L72" s="59">
        <v>34.99</v>
      </c>
      <c r="M72" s="59">
        <v>10.55</v>
      </c>
      <c r="N72" s="59">
        <v>189.7</v>
      </c>
      <c r="O72" s="59">
        <v>0</v>
      </c>
      <c r="P72" s="59">
        <v>0.53</v>
      </c>
      <c r="Q72" s="59">
        <v>21.42</v>
      </c>
      <c r="R72" s="197"/>
      <c r="S72" s="197"/>
      <c r="T72" s="197"/>
      <c r="U72" s="197"/>
    </row>
    <row r="73" spans="1:21" s="12" customFormat="1" x14ac:dyDescent="0.25">
      <c r="A73" s="200" t="s">
        <v>599</v>
      </c>
      <c r="B73" s="59">
        <v>3.41</v>
      </c>
      <c r="C73" s="59">
        <v>80.739999999999995</v>
      </c>
      <c r="D73" s="59">
        <v>47.29</v>
      </c>
      <c r="E73" s="59">
        <v>17.84</v>
      </c>
      <c r="F73" s="59">
        <v>24.25</v>
      </c>
      <c r="G73" s="59">
        <v>45.22</v>
      </c>
      <c r="H73" s="59">
        <v>17.38</v>
      </c>
      <c r="I73" s="59">
        <v>0.56000000000000005</v>
      </c>
      <c r="J73" s="59">
        <v>0.71</v>
      </c>
      <c r="K73" s="59">
        <v>67</v>
      </c>
      <c r="L73" s="59">
        <v>35.14</v>
      </c>
      <c r="M73" s="59">
        <v>10.26</v>
      </c>
      <c r="N73" s="59">
        <v>111</v>
      </c>
      <c r="O73" s="59">
        <v>0</v>
      </c>
      <c r="P73" s="59">
        <v>0.56000000000000005</v>
      </c>
      <c r="Q73" s="59">
        <v>21.49</v>
      </c>
      <c r="R73" s="197"/>
      <c r="S73" s="197"/>
      <c r="T73" s="197"/>
      <c r="U73" s="197"/>
    </row>
    <row r="74" spans="1:21" s="12" customFormat="1" x14ac:dyDescent="0.25">
      <c r="A74" s="200" t="s">
        <v>600</v>
      </c>
      <c r="B74" s="59">
        <v>3.11</v>
      </c>
      <c r="C74" s="59">
        <v>81.819999999999993</v>
      </c>
      <c r="D74" s="59">
        <v>47.65</v>
      </c>
      <c r="E74" s="59">
        <v>20.059999999999999</v>
      </c>
      <c r="F74" s="59">
        <v>21.24</v>
      </c>
      <c r="G74" s="59">
        <v>44.57</v>
      </c>
      <c r="H74" s="59">
        <v>17.07</v>
      </c>
      <c r="I74" s="59">
        <v>0.56999999999999995</v>
      </c>
      <c r="J74" s="59">
        <v>0.77</v>
      </c>
      <c r="K74" s="59">
        <v>105.54</v>
      </c>
      <c r="L74" s="59">
        <v>34.799999999999997</v>
      </c>
      <c r="M74" s="59">
        <v>10.56</v>
      </c>
      <c r="N74" s="59">
        <v>98.3</v>
      </c>
      <c r="O74" s="59">
        <v>0</v>
      </c>
      <c r="P74" s="59">
        <v>0.57999999999999996</v>
      </c>
      <c r="Q74" s="59">
        <v>21.48</v>
      </c>
      <c r="R74" s="197"/>
      <c r="S74" s="197"/>
      <c r="T74" s="197"/>
      <c r="U74" s="197"/>
    </row>
    <row r="75" spans="1:21" s="12" customFormat="1" x14ac:dyDescent="0.25">
      <c r="A75" s="200" t="s">
        <v>601</v>
      </c>
      <c r="B75" s="59">
        <v>4.4800000000000004</v>
      </c>
      <c r="C75" s="59">
        <v>84.4</v>
      </c>
      <c r="D75" s="59">
        <v>50.17</v>
      </c>
      <c r="E75" s="59">
        <v>21.99</v>
      </c>
      <c r="F75" s="59">
        <v>17.77</v>
      </c>
      <c r="G75" s="59">
        <v>36.86</v>
      </c>
      <c r="H75" s="59">
        <v>13.42</v>
      </c>
      <c r="I75" s="59">
        <v>0.56000000000000005</v>
      </c>
      <c r="J75" s="59">
        <v>0.59</v>
      </c>
      <c r="K75" s="59">
        <v>68.260000000000005</v>
      </c>
      <c r="L75" s="59">
        <v>34.64</v>
      </c>
      <c r="M75" s="59">
        <v>10.97</v>
      </c>
      <c r="N75" s="59">
        <v>77</v>
      </c>
      <c r="O75" s="59">
        <v>0</v>
      </c>
      <c r="P75" s="59">
        <v>0.61</v>
      </c>
      <c r="Q75" s="59">
        <v>21.97</v>
      </c>
      <c r="R75" s="197"/>
      <c r="S75" s="197"/>
      <c r="T75" s="197"/>
      <c r="U75" s="197"/>
    </row>
    <row r="76" spans="1:21" s="12" customFormat="1" x14ac:dyDescent="0.25">
      <c r="A76" s="200" t="s">
        <v>602</v>
      </c>
      <c r="B76" s="59">
        <v>5.32</v>
      </c>
      <c r="C76" s="59">
        <v>87.78</v>
      </c>
      <c r="D76" s="59">
        <v>52.71</v>
      </c>
      <c r="E76" s="59">
        <v>17.25</v>
      </c>
      <c r="F76" s="59">
        <v>16.93</v>
      </c>
      <c r="G76" s="59">
        <v>36.86</v>
      </c>
      <c r="H76" s="59">
        <v>13.42</v>
      </c>
      <c r="I76" s="59">
        <v>0.56000000000000005</v>
      </c>
      <c r="J76" s="59">
        <v>0.51</v>
      </c>
      <c r="K76" s="59">
        <v>85.24</v>
      </c>
      <c r="L76" s="59">
        <v>33.94</v>
      </c>
      <c r="M76" s="59">
        <v>11.88</v>
      </c>
      <c r="N76" s="59">
        <v>63.5</v>
      </c>
      <c r="O76" s="59">
        <v>0</v>
      </c>
      <c r="P76" s="59">
        <v>0.66</v>
      </c>
      <c r="Q76" s="59">
        <v>23.24</v>
      </c>
      <c r="R76" s="197"/>
      <c r="S76" s="197"/>
      <c r="T76" s="197"/>
      <c r="U76" s="197"/>
    </row>
    <row r="77" spans="1:21" s="12" customFormat="1" x14ac:dyDescent="0.25">
      <c r="A77" s="200" t="s">
        <v>603</v>
      </c>
      <c r="B77" s="59">
        <v>4.6500000000000004</v>
      </c>
      <c r="C77" s="59">
        <v>94.92</v>
      </c>
      <c r="D77" s="59">
        <v>56.11</v>
      </c>
      <c r="E77" s="59">
        <v>19.27</v>
      </c>
      <c r="F77" s="59">
        <v>18.88</v>
      </c>
      <c r="G77" s="59">
        <v>36.86</v>
      </c>
      <c r="H77" s="59">
        <v>13.42</v>
      </c>
      <c r="I77" s="59">
        <v>0.57999999999999996</v>
      </c>
      <c r="J77" s="59">
        <v>0.52</v>
      </c>
      <c r="K77" s="59">
        <v>94.57</v>
      </c>
      <c r="L77" s="59">
        <v>33.61</v>
      </c>
      <c r="M77" s="59">
        <v>12.27</v>
      </c>
      <c r="N77" s="59">
        <v>42.7</v>
      </c>
      <c r="O77" s="59">
        <v>0</v>
      </c>
      <c r="P77" s="59">
        <v>0.69</v>
      </c>
      <c r="Q77" s="59">
        <v>22.67</v>
      </c>
      <c r="R77" s="197"/>
      <c r="S77" s="197"/>
      <c r="T77" s="197"/>
      <c r="U77" s="197"/>
    </row>
    <row r="78" spans="1:21" s="12" customFormat="1" x14ac:dyDescent="0.25">
      <c r="A78" s="200" t="s">
        <v>604</v>
      </c>
      <c r="B78" s="59">
        <v>3.11</v>
      </c>
      <c r="C78" s="59">
        <v>95.21</v>
      </c>
      <c r="D78" s="59">
        <v>55.04</v>
      </c>
      <c r="E78" s="59">
        <v>20.399999999999999</v>
      </c>
      <c r="F78" s="59">
        <v>26.23</v>
      </c>
      <c r="G78" s="59">
        <v>37.409999999999997</v>
      </c>
      <c r="H78" s="59">
        <v>13.52</v>
      </c>
      <c r="I78" s="59">
        <v>0.6</v>
      </c>
      <c r="J78" s="59">
        <v>0.55000000000000004</v>
      </c>
      <c r="K78" s="59">
        <v>96.22</v>
      </c>
      <c r="L78" s="59">
        <v>33.229999999999997</v>
      </c>
      <c r="M78" s="59">
        <v>13.12</v>
      </c>
      <c r="N78" s="59">
        <v>32.1</v>
      </c>
      <c r="O78" s="59">
        <v>0</v>
      </c>
      <c r="P78" s="59">
        <v>0.63</v>
      </c>
      <c r="Q78" s="59">
        <v>22.61</v>
      </c>
      <c r="R78" s="197"/>
      <c r="S78" s="197"/>
      <c r="T78" s="197"/>
      <c r="U78" s="197"/>
    </row>
    <row r="79" spans="1:21" s="12" customFormat="1" x14ac:dyDescent="0.25">
      <c r="A79" s="200" t="s">
        <v>605</v>
      </c>
      <c r="B79" s="59">
        <v>1.42</v>
      </c>
      <c r="C79" s="59">
        <v>90.6</v>
      </c>
      <c r="D79" s="59">
        <v>51.14</v>
      </c>
      <c r="E79" s="59">
        <v>19.22</v>
      </c>
      <c r="F79" s="59">
        <v>17.899999999999999</v>
      </c>
      <c r="G79" s="59">
        <v>43.87</v>
      </c>
      <c r="H79" s="59">
        <v>14.75</v>
      </c>
      <c r="I79" s="59">
        <v>0.55000000000000004</v>
      </c>
      <c r="J79" s="59">
        <v>0.39</v>
      </c>
      <c r="K79" s="59">
        <v>86.63</v>
      </c>
      <c r="L79" s="59">
        <v>32.71</v>
      </c>
      <c r="M79" s="59">
        <v>14.21</v>
      </c>
      <c r="N79" s="59">
        <v>20.8</v>
      </c>
      <c r="O79" s="59">
        <v>0</v>
      </c>
      <c r="P79" s="59">
        <v>0.8</v>
      </c>
      <c r="Q79" s="59">
        <v>21.47</v>
      </c>
      <c r="R79" s="197"/>
      <c r="S79" s="197"/>
      <c r="T79" s="197"/>
      <c r="U79" s="197"/>
    </row>
    <row r="80" spans="1:21" s="12" customFormat="1" x14ac:dyDescent="0.25">
      <c r="A80" s="200" t="s">
        <v>606</v>
      </c>
      <c r="B80" s="59">
        <v>1.78</v>
      </c>
      <c r="C80" s="59">
        <v>91.88</v>
      </c>
      <c r="D80" s="59">
        <v>52.14</v>
      </c>
      <c r="E80" s="59">
        <v>8.52</v>
      </c>
      <c r="F80" s="59">
        <v>6.94</v>
      </c>
      <c r="G80" s="59">
        <v>43.87</v>
      </c>
      <c r="H80" s="59">
        <v>14.75</v>
      </c>
      <c r="I80" s="59">
        <v>0.53</v>
      </c>
      <c r="J80" s="59">
        <v>0.27</v>
      </c>
      <c r="K80" s="59">
        <v>58.37</v>
      </c>
      <c r="L80" s="59">
        <v>31.89</v>
      </c>
      <c r="M80" s="59">
        <v>17.489999999999998</v>
      </c>
      <c r="N80" s="59">
        <v>11</v>
      </c>
      <c r="O80" s="59">
        <v>0</v>
      </c>
      <c r="P80" s="59">
        <v>2</v>
      </c>
      <c r="Q80" s="59">
        <v>20.079999999999998</v>
      </c>
      <c r="R80" s="197"/>
      <c r="S80" s="197"/>
      <c r="T80" s="197"/>
      <c r="U80" s="197"/>
    </row>
    <row r="81" spans="1:26" s="12" customFormat="1" x14ac:dyDescent="0.25">
      <c r="A81" s="200" t="s">
        <v>607</v>
      </c>
      <c r="B81" s="59">
        <v>7.26</v>
      </c>
      <c r="C81" s="59">
        <v>101.2</v>
      </c>
      <c r="D81" s="59">
        <v>61.67</v>
      </c>
      <c r="E81" s="59">
        <v>5.78</v>
      </c>
      <c r="F81" s="59">
        <v>4.04</v>
      </c>
      <c r="G81" s="59">
        <v>43.87</v>
      </c>
      <c r="H81" s="59">
        <v>14.75</v>
      </c>
      <c r="I81" s="59">
        <v>0.61</v>
      </c>
      <c r="J81" s="59">
        <v>0.23</v>
      </c>
      <c r="K81" s="59">
        <v>54.07</v>
      </c>
      <c r="L81" s="59">
        <v>31.05</v>
      </c>
      <c r="M81" s="59">
        <v>20</v>
      </c>
      <c r="N81" s="59">
        <v>5.8</v>
      </c>
      <c r="O81" s="59">
        <v>0</v>
      </c>
      <c r="P81" s="59">
        <v>3.3</v>
      </c>
      <c r="Q81" s="59">
        <v>20.5</v>
      </c>
      <c r="R81" s="197"/>
      <c r="S81" s="197"/>
      <c r="T81" s="197"/>
      <c r="U81" s="197"/>
    </row>
    <row r="82" spans="1:26" s="12" customFormat="1" x14ac:dyDescent="0.25">
      <c r="A82" s="200" t="s">
        <v>608</v>
      </c>
      <c r="B82" s="59">
        <v>17.239999999999998</v>
      </c>
      <c r="C82" s="59">
        <v>107.48</v>
      </c>
      <c r="D82" s="59">
        <v>73.14</v>
      </c>
      <c r="E82" s="59">
        <v>5.26</v>
      </c>
      <c r="F82" s="59">
        <v>3.13</v>
      </c>
      <c r="G82" s="59">
        <v>51.33</v>
      </c>
      <c r="H82" s="59">
        <v>15.95</v>
      </c>
      <c r="I82" s="59">
        <v>0.88</v>
      </c>
      <c r="J82" s="59">
        <v>0.08</v>
      </c>
      <c r="K82" s="59">
        <v>24.99</v>
      </c>
      <c r="L82" s="59">
        <v>29.83</v>
      </c>
      <c r="M82" s="59">
        <v>23.07</v>
      </c>
      <c r="N82" s="59">
        <v>4.9000000000000004</v>
      </c>
      <c r="O82" s="59">
        <v>0</v>
      </c>
      <c r="P82" s="59">
        <v>3.17</v>
      </c>
      <c r="Q82" s="59">
        <v>21.41</v>
      </c>
      <c r="R82" s="197"/>
      <c r="S82" s="197"/>
      <c r="T82" s="197"/>
      <c r="U82" s="197"/>
    </row>
    <row r="83" spans="1:26" s="12" customFormat="1" x14ac:dyDescent="0.25">
      <c r="A83" s="200" t="s">
        <v>609</v>
      </c>
      <c r="B83" s="59">
        <v>24.39</v>
      </c>
      <c r="C83" s="59">
        <v>109.76</v>
      </c>
      <c r="D83" s="59">
        <v>80.13</v>
      </c>
      <c r="E83" s="59">
        <v>4.6500000000000004</v>
      </c>
      <c r="F83" s="59">
        <v>2.92</v>
      </c>
      <c r="G83" s="59">
        <v>139.88</v>
      </c>
      <c r="H83" s="59">
        <v>30.07</v>
      </c>
      <c r="I83" s="59">
        <v>1.0900000000000001</v>
      </c>
      <c r="J83" s="59">
        <v>0.14000000000000001</v>
      </c>
      <c r="K83" s="59">
        <v>18.91</v>
      </c>
      <c r="L83" s="59">
        <v>28.75</v>
      </c>
      <c r="M83" s="59">
        <v>27.14</v>
      </c>
      <c r="N83" s="59">
        <v>4.5999999999999996</v>
      </c>
      <c r="O83" s="59">
        <v>0</v>
      </c>
      <c r="P83" s="59">
        <v>4.1500000000000004</v>
      </c>
      <c r="Q83" s="59">
        <v>22.25</v>
      </c>
      <c r="R83" s="197"/>
      <c r="S83" s="197"/>
      <c r="T83" s="197"/>
      <c r="U83" s="197"/>
    </row>
    <row r="84" spans="1:26" s="12" customFormat="1" x14ac:dyDescent="0.25">
      <c r="A84" s="200" t="s">
        <v>610</v>
      </c>
      <c r="B84" s="59">
        <v>31.77</v>
      </c>
      <c r="C84" s="59">
        <v>111.36</v>
      </c>
      <c r="D84" s="59">
        <v>86.93</v>
      </c>
      <c r="E84" s="59">
        <v>4.1399999999999997</v>
      </c>
      <c r="F84" s="59">
        <v>2.94</v>
      </c>
      <c r="G84" s="59">
        <v>139.88</v>
      </c>
      <c r="H84" s="59">
        <v>30.07</v>
      </c>
      <c r="I84" s="59">
        <v>1.26</v>
      </c>
      <c r="J84" s="59">
        <v>0.11</v>
      </c>
      <c r="K84" s="59">
        <v>144.96</v>
      </c>
      <c r="L84" s="59">
        <v>28.12</v>
      </c>
      <c r="M84" s="59">
        <v>26.76</v>
      </c>
      <c r="N84" s="59">
        <v>4.3</v>
      </c>
      <c r="O84" s="59">
        <v>0</v>
      </c>
      <c r="P84" s="59">
        <v>3.06</v>
      </c>
      <c r="Q84" s="59">
        <v>22.82</v>
      </c>
      <c r="R84" s="197"/>
      <c r="S84" s="197"/>
      <c r="T84" s="197"/>
      <c r="U84" s="197"/>
    </row>
    <row r="85" spans="1:26" s="12" customFormat="1" x14ac:dyDescent="0.25">
      <c r="A85" s="200" t="s">
        <v>611</v>
      </c>
      <c r="B85" s="59">
        <v>37.67</v>
      </c>
      <c r="C85" s="59">
        <v>112.6</v>
      </c>
      <c r="D85" s="59">
        <v>92.35</v>
      </c>
      <c r="E85" s="59">
        <v>4.6500000000000004</v>
      </c>
      <c r="F85" s="59">
        <v>3.23</v>
      </c>
      <c r="G85" s="59">
        <v>139.88</v>
      </c>
      <c r="H85" s="59">
        <v>30.07</v>
      </c>
      <c r="I85" s="59">
        <v>1.54</v>
      </c>
      <c r="J85" s="59">
        <v>0.13</v>
      </c>
      <c r="K85" s="59">
        <v>10.72</v>
      </c>
      <c r="L85" s="59">
        <v>27.79</v>
      </c>
      <c r="M85" s="59">
        <v>32.270000000000003</v>
      </c>
      <c r="N85" s="59">
        <v>4.2</v>
      </c>
      <c r="O85" s="59">
        <v>0</v>
      </c>
      <c r="P85" s="59">
        <v>4.22</v>
      </c>
      <c r="Q85" s="59">
        <v>23.76</v>
      </c>
      <c r="R85" s="197"/>
      <c r="S85" s="197"/>
      <c r="T85" s="197"/>
      <c r="U85" s="197"/>
    </row>
    <row r="86" spans="1:26" s="12" customFormat="1" x14ac:dyDescent="0.25">
      <c r="A86" s="200" t="s">
        <v>612</v>
      </c>
      <c r="B86" s="59">
        <v>44.69</v>
      </c>
      <c r="C86" s="59">
        <v>113.17</v>
      </c>
      <c r="D86" s="59">
        <v>98.3</v>
      </c>
      <c r="E86" s="59">
        <v>4.72</v>
      </c>
      <c r="F86" s="59">
        <v>3.27</v>
      </c>
      <c r="G86" s="59">
        <v>143.21</v>
      </c>
      <c r="H86" s="59">
        <v>30.96</v>
      </c>
      <c r="I86" s="59">
        <v>1.36</v>
      </c>
      <c r="J86" s="59">
        <v>0.06</v>
      </c>
      <c r="K86" s="59">
        <v>83.08</v>
      </c>
      <c r="L86" s="59">
        <v>27.14</v>
      </c>
      <c r="M86" s="59">
        <v>32.79</v>
      </c>
      <c r="N86" s="59">
        <v>4.3</v>
      </c>
      <c r="O86" s="59">
        <v>0</v>
      </c>
      <c r="P86" s="59">
        <v>3.72</v>
      </c>
      <c r="Q86" s="59">
        <v>24.79</v>
      </c>
      <c r="R86" s="197"/>
      <c r="S86" s="197"/>
      <c r="T86" s="197"/>
      <c r="U86" s="197"/>
    </row>
    <row r="87" spans="1:26" s="12" customFormat="1" x14ac:dyDescent="0.25">
      <c r="A87" s="200" t="s">
        <v>613</v>
      </c>
      <c r="B87" s="59">
        <v>51.94</v>
      </c>
      <c r="C87" s="59">
        <v>113.91</v>
      </c>
      <c r="D87" s="59">
        <v>104.52</v>
      </c>
      <c r="E87" s="59">
        <v>4.18</v>
      </c>
      <c r="F87" s="59">
        <v>2.95</v>
      </c>
      <c r="G87" s="59">
        <v>182.69</v>
      </c>
      <c r="H87" s="59">
        <v>41.52</v>
      </c>
      <c r="I87" s="59">
        <v>1.52</v>
      </c>
      <c r="J87" s="59">
        <v>0.01</v>
      </c>
      <c r="K87" s="59">
        <v>272.99</v>
      </c>
      <c r="L87" s="59">
        <v>27.02</v>
      </c>
      <c r="M87" s="59">
        <v>31.42</v>
      </c>
      <c r="N87" s="59">
        <v>4</v>
      </c>
      <c r="O87" s="59">
        <v>0</v>
      </c>
      <c r="P87" s="59">
        <v>3.31</v>
      </c>
      <c r="Q87" s="59">
        <v>25.86</v>
      </c>
      <c r="R87" s="197"/>
      <c r="S87" s="197"/>
      <c r="T87" s="197"/>
      <c r="U87" s="197"/>
    </row>
    <row r="88" spans="1:26" s="12" customFormat="1" x14ac:dyDescent="0.25">
      <c r="A88" s="200" t="s">
        <v>614</v>
      </c>
      <c r="B88" s="59">
        <v>59.66</v>
      </c>
      <c r="C88" s="59">
        <v>113.52</v>
      </c>
      <c r="D88" s="59">
        <v>110.49</v>
      </c>
      <c r="E88" s="59">
        <v>2.36</v>
      </c>
      <c r="F88" s="59">
        <v>2.94</v>
      </c>
      <c r="G88" s="59">
        <v>182.69</v>
      </c>
      <c r="H88" s="59">
        <v>41.52</v>
      </c>
      <c r="I88" s="59">
        <v>1.72</v>
      </c>
      <c r="J88" s="59">
        <v>0.14000000000000001</v>
      </c>
      <c r="K88" s="59">
        <v>321.27999999999997</v>
      </c>
      <c r="L88" s="59">
        <v>27.17</v>
      </c>
      <c r="M88" s="59">
        <v>32.35</v>
      </c>
      <c r="N88" s="59">
        <v>3.5</v>
      </c>
      <c r="O88" s="59">
        <v>0</v>
      </c>
      <c r="P88" s="59">
        <v>3.58</v>
      </c>
      <c r="Q88" s="59">
        <v>27.15</v>
      </c>
      <c r="R88" s="197"/>
      <c r="S88" s="197"/>
      <c r="T88" s="197"/>
      <c r="U88" s="197"/>
    </row>
    <row r="89" spans="1:26" s="12" customFormat="1" x14ac:dyDescent="0.25">
      <c r="A89" s="200" t="s">
        <v>615</v>
      </c>
      <c r="B89" s="59">
        <v>67.760000000000005</v>
      </c>
      <c r="C89" s="59">
        <v>113.15</v>
      </c>
      <c r="D89" s="59">
        <v>116.79</v>
      </c>
      <c r="E89" s="59">
        <v>3.9</v>
      </c>
      <c r="F89" s="59">
        <v>3.03</v>
      </c>
      <c r="G89" s="59">
        <v>182.69</v>
      </c>
      <c r="H89" s="59">
        <v>41.52</v>
      </c>
      <c r="I89" s="59">
        <v>1.62</v>
      </c>
      <c r="J89" s="59">
        <v>0.24</v>
      </c>
      <c r="K89" s="59">
        <v>24.04</v>
      </c>
      <c r="L89" s="59">
        <v>26.35</v>
      </c>
      <c r="M89" s="59">
        <v>40.04</v>
      </c>
      <c r="N89" s="59">
        <v>4.5</v>
      </c>
      <c r="O89" s="59">
        <v>0</v>
      </c>
      <c r="P89" s="59">
        <v>4.66</v>
      </c>
      <c r="Q89" s="59">
        <v>28.22</v>
      </c>
      <c r="R89" s="197"/>
      <c r="S89" s="197"/>
      <c r="T89" s="197"/>
      <c r="U89" s="197"/>
    </row>
    <row r="90" spans="1:26" s="12" customFormat="1" x14ac:dyDescent="0.25">
      <c r="A90" s="200" t="s">
        <v>616</v>
      </c>
      <c r="B90" s="59">
        <v>80.52</v>
      </c>
      <c r="C90" s="59">
        <v>114.51</v>
      </c>
      <c r="D90" s="59">
        <v>127.77</v>
      </c>
      <c r="E90" s="59">
        <v>4.04</v>
      </c>
      <c r="F90" s="59">
        <v>3.16</v>
      </c>
      <c r="G90" s="59">
        <v>184.22</v>
      </c>
      <c r="H90" s="59">
        <v>42.59</v>
      </c>
      <c r="I90" s="59">
        <v>1.7</v>
      </c>
      <c r="J90" s="59">
        <v>0.41</v>
      </c>
      <c r="K90" s="59">
        <v>199.74</v>
      </c>
      <c r="L90" s="59">
        <v>26.6</v>
      </c>
      <c r="M90" s="59">
        <v>34.299999999999997</v>
      </c>
      <c r="N90" s="59">
        <v>2.2999999999999998</v>
      </c>
      <c r="O90" s="59">
        <v>0</v>
      </c>
      <c r="P90" s="59">
        <v>2.82</v>
      </c>
      <c r="Q90" s="59">
        <v>30.3</v>
      </c>
      <c r="R90" s="197"/>
      <c r="S90" s="197"/>
      <c r="T90" s="197"/>
      <c r="U90" s="197"/>
    </row>
    <row r="91" spans="1:26" s="12" customFormat="1" x14ac:dyDescent="0.25">
      <c r="A91" s="200" t="s">
        <v>617</v>
      </c>
      <c r="B91" s="59">
        <v>90.57</v>
      </c>
      <c r="C91" s="59">
        <v>115.17</v>
      </c>
      <c r="D91" s="59">
        <v>136.19</v>
      </c>
      <c r="E91" s="59">
        <v>4.88</v>
      </c>
      <c r="F91" s="59">
        <v>3.06</v>
      </c>
      <c r="G91" s="59">
        <v>202.43</v>
      </c>
      <c r="H91" s="59">
        <v>55.31</v>
      </c>
      <c r="I91" s="59">
        <v>1.89</v>
      </c>
      <c r="J91" s="59">
        <v>0.22</v>
      </c>
      <c r="K91" s="59">
        <v>228.39</v>
      </c>
      <c r="L91" s="59">
        <v>27.68</v>
      </c>
      <c r="M91" s="59">
        <v>26.17</v>
      </c>
      <c r="N91" s="59">
        <v>3</v>
      </c>
      <c r="O91" s="59">
        <v>0</v>
      </c>
      <c r="P91" s="59">
        <v>2.17</v>
      </c>
      <c r="Q91" s="59">
        <v>31.83</v>
      </c>
      <c r="R91" s="197"/>
      <c r="S91" s="197"/>
      <c r="T91" s="197"/>
      <c r="U91" s="197"/>
    </row>
    <row r="92" spans="1:26" s="12" customFormat="1" x14ac:dyDescent="0.25">
      <c r="A92" s="200" t="s">
        <v>618</v>
      </c>
      <c r="B92" s="59">
        <v>94.62</v>
      </c>
      <c r="C92" s="59">
        <v>115.29</v>
      </c>
      <c r="D92" s="59">
        <v>139.51</v>
      </c>
      <c r="E92" s="59">
        <v>4.68</v>
      </c>
      <c r="F92" s="59">
        <v>3.01</v>
      </c>
      <c r="G92" s="59">
        <v>202.43</v>
      </c>
      <c r="H92" s="59">
        <v>55.31</v>
      </c>
      <c r="I92" s="59">
        <v>1.52</v>
      </c>
      <c r="J92" s="59">
        <v>0.16</v>
      </c>
      <c r="K92" s="59">
        <v>12.03</v>
      </c>
      <c r="L92" s="59">
        <v>27.04</v>
      </c>
      <c r="M92" s="59">
        <v>30.42</v>
      </c>
      <c r="N92" s="59">
        <v>4.5999999999999996</v>
      </c>
      <c r="O92" s="59">
        <v>0</v>
      </c>
      <c r="P92" s="59">
        <v>2.27</v>
      </c>
      <c r="Q92" s="59">
        <v>32.700000000000003</v>
      </c>
      <c r="R92" s="197"/>
      <c r="S92" s="197"/>
      <c r="T92" s="197"/>
      <c r="U92" s="197"/>
    </row>
    <row r="93" spans="1:26" s="12" customFormat="1" x14ac:dyDescent="0.25">
      <c r="A93" s="200" t="s">
        <v>619</v>
      </c>
      <c r="B93" s="59">
        <v>102.12</v>
      </c>
      <c r="C93" s="59">
        <v>115.58</v>
      </c>
      <c r="D93" s="59">
        <v>145.68</v>
      </c>
      <c r="E93" s="59">
        <v>4.8499999999999996</v>
      </c>
      <c r="F93" s="59">
        <v>2.84</v>
      </c>
      <c r="G93" s="59">
        <v>202.43</v>
      </c>
      <c r="H93" s="59">
        <v>55.31</v>
      </c>
      <c r="I93" s="59">
        <v>1.2</v>
      </c>
      <c r="J93" s="59">
        <v>0.11</v>
      </c>
      <c r="K93" s="59">
        <v>23.22</v>
      </c>
      <c r="L93" s="59">
        <v>25.55</v>
      </c>
      <c r="M93" s="59">
        <v>32.25</v>
      </c>
      <c r="N93" s="59">
        <v>4.8</v>
      </c>
      <c r="O93" s="59">
        <v>0</v>
      </c>
      <c r="P93" s="59">
        <v>2.46</v>
      </c>
      <c r="Q93" s="59">
        <v>33.35</v>
      </c>
      <c r="R93" s="197"/>
      <c r="S93" s="197"/>
      <c r="T93" s="197"/>
      <c r="U93" s="197"/>
    </row>
    <row r="94" spans="1:26" s="12" customFormat="1" x14ac:dyDescent="0.25">
      <c r="A94" s="200" t="s">
        <v>620</v>
      </c>
      <c r="B94" s="59">
        <v>107.15</v>
      </c>
      <c r="C94" s="59">
        <v>115.9</v>
      </c>
      <c r="D94" s="59">
        <v>149.88999999999999</v>
      </c>
      <c r="E94" s="59">
        <v>4.63</v>
      </c>
      <c r="F94" s="59">
        <v>2.8</v>
      </c>
      <c r="G94" s="59">
        <v>198.49</v>
      </c>
      <c r="H94" s="59">
        <v>55.22</v>
      </c>
      <c r="I94" s="59">
        <v>1.22</v>
      </c>
      <c r="J94" s="59">
        <v>0.06</v>
      </c>
      <c r="K94" s="59">
        <v>264.31</v>
      </c>
      <c r="L94" s="59">
        <v>25.17</v>
      </c>
      <c r="M94" s="59">
        <v>32.28</v>
      </c>
      <c r="N94" s="59">
        <v>4.4000000000000004</v>
      </c>
      <c r="O94" s="59">
        <v>0</v>
      </c>
      <c r="P94" s="59">
        <v>2.52</v>
      </c>
      <c r="Q94" s="59">
        <v>33.79</v>
      </c>
      <c r="R94" s="197"/>
      <c r="S94" s="197"/>
      <c r="T94" s="197"/>
      <c r="U94" s="197"/>
    </row>
    <row r="95" spans="1:26" s="12" customFormat="1" x14ac:dyDescent="0.25">
      <c r="A95" s="200" t="s">
        <v>621</v>
      </c>
      <c r="B95" s="59">
        <v>112.82</v>
      </c>
      <c r="C95" s="59">
        <v>116.56</v>
      </c>
      <c r="D95" s="59">
        <v>154.80000000000001</v>
      </c>
      <c r="E95" s="59">
        <v>4.47</v>
      </c>
      <c r="F95" s="59">
        <v>2.89</v>
      </c>
      <c r="G95" s="59">
        <v>151.69999999999999</v>
      </c>
      <c r="H95" s="59">
        <v>54.22</v>
      </c>
      <c r="I95" s="59">
        <v>1.25</v>
      </c>
      <c r="J95" s="59">
        <v>0.15</v>
      </c>
      <c r="K95" s="59">
        <v>340.49</v>
      </c>
      <c r="L95" s="59">
        <v>24.95</v>
      </c>
      <c r="M95" s="59">
        <v>36.07</v>
      </c>
      <c r="N95" s="59">
        <v>3.9</v>
      </c>
      <c r="O95" s="59">
        <v>0</v>
      </c>
      <c r="P95" s="59">
        <v>2.5499999999999998</v>
      </c>
      <c r="Q95" s="59">
        <v>34.020000000000003</v>
      </c>
      <c r="R95" s="197"/>
      <c r="S95" s="197"/>
      <c r="T95" s="197"/>
      <c r="U95" s="197"/>
    </row>
    <row r="96" spans="1:26" s="12" customFormat="1" x14ac:dyDescent="0.25">
      <c r="A96" s="200" t="s">
        <v>622</v>
      </c>
      <c r="B96" s="59">
        <v>123.48</v>
      </c>
      <c r="C96" s="59">
        <v>116.48</v>
      </c>
      <c r="D96" s="59">
        <v>163.30000000000001</v>
      </c>
      <c r="E96" s="59">
        <v>4.29</v>
      </c>
      <c r="F96" s="59">
        <v>2.9</v>
      </c>
      <c r="G96" s="59">
        <v>151.69999999999999</v>
      </c>
      <c r="H96" s="59">
        <v>54.22</v>
      </c>
      <c r="I96" s="59">
        <v>1.28</v>
      </c>
      <c r="J96" s="59">
        <v>0.15</v>
      </c>
      <c r="K96" s="59">
        <v>24.08</v>
      </c>
      <c r="L96" s="59">
        <v>24.28</v>
      </c>
      <c r="M96" s="59">
        <v>39.74</v>
      </c>
      <c r="N96" s="59">
        <v>4.5999999999999996</v>
      </c>
      <c r="O96" s="59">
        <v>0</v>
      </c>
      <c r="P96" s="59">
        <v>3.39</v>
      </c>
      <c r="Q96" s="59">
        <v>34.659999999999997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623</v>
      </c>
      <c r="B97" s="59">
        <v>132.82</v>
      </c>
      <c r="C97" s="59">
        <v>114.83</v>
      </c>
      <c r="D97" s="59">
        <v>169.89</v>
      </c>
      <c r="E97" s="59">
        <v>4.2</v>
      </c>
      <c r="F97" s="59">
        <v>2.96</v>
      </c>
      <c r="G97" s="59">
        <v>151.69999999999999</v>
      </c>
      <c r="H97" s="59">
        <v>54.22</v>
      </c>
      <c r="I97" s="59">
        <v>1.31</v>
      </c>
      <c r="J97" s="59">
        <v>0.09</v>
      </c>
      <c r="K97" s="59">
        <v>92.99</v>
      </c>
      <c r="L97" s="59">
        <v>24.01</v>
      </c>
      <c r="M97" s="59">
        <v>38.39</v>
      </c>
      <c r="N97" s="59">
        <v>4.4000000000000004</v>
      </c>
      <c r="O97" s="59">
        <v>0</v>
      </c>
      <c r="P97" s="59">
        <v>3.93</v>
      </c>
      <c r="Q97" s="59">
        <v>34.93</v>
      </c>
      <c r="R97" s="197"/>
      <c r="S97" s="197"/>
      <c r="T97" s="197"/>
      <c r="U97" s="197"/>
    </row>
    <row r="98" spans="1:33" s="12" customFormat="1" x14ac:dyDescent="0.25">
      <c r="A98" s="200" t="s">
        <v>624</v>
      </c>
      <c r="B98" s="59">
        <v>139.93</v>
      </c>
      <c r="C98" s="59">
        <v>114.73</v>
      </c>
      <c r="D98" s="59">
        <v>175.53</v>
      </c>
      <c r="E98" s="59">
        <v>4.76</v>
      </c>
      <c r="F98" s="59">
        <v>2.96</v>
      </c>
      <c r="G98" s="59">
        <v>156.05000000000001</v>
      </c>
      <c r="H98" s="59">
        <v>54.89</v>
      </c>
      <c r="I98" s="59">
        <v>1.57</v>
      </c>
      <c r="J98" s="59">
        <v>0.08</v>
      </c>
      <c r="K98" s="59">
        <v>58.58</v>
      </c>
      <c r="L98" s="59">
        <v>24.37</v>
      </c>
      <c r="M98" s="59">
        <v>39.630000000000003</v>
      </c>
      <c r="N98" s="59">
        <v>3.5</v>
      </c>
      <c r="O98" s="59">
        <v>0</v>
      </c>
      <c r="P98" s="59">
        <v>3.08</v>
      </c>
      <c r="Q98" s="59">
        <v>34.83</v>
      </c>
      <c r="R98" s="197"/>
      <c r="S98" s="197"/>
      <c r="T98" s="197"/>
      <c r="U98" s="197"/>
    </row>
    <row r="99" spans="1:33" s="12" customFormat="1" x14ac:dyDescent="0.25">
      <c r="A99" s="200" t="s">
        <v>625</v>
      </c>
      <c r="B99" s="59">
        <v>145.49</v>
      </c>
      <c r="C99" s="59">
        <v>114.73</v>
      </c>
      <c r="D99" s="59">
        <v>179.99</v>
      </c>
      <c r="E99" s="59">
        <v>4.34</v>
      </c>
      <c r="F99" s="59">
        <v>3.58</v>
      </c>
      <c r="G99" s="59">
        <v>207.57</v>
      </c>
      <c r="H99" s="59">
        <v>62.82</v>
      </c>
      <c r="I99" s="59">
        <v>1.74</v>
      </c>
      <c r="J99" s="59">
        <v>0.04</v>
      </c>
      <c r="K99" s="59">
        <v>134.57</v>
      </c>
      <c r="L99" s="59">
        <v>24.19</v>
      </c>
      <c r="M99" s="59">
        <v>38.770000000000003</v>
      </c>
      <c r="N99" s="59">
        <v>4.3</v>
      </c>
      <c r="O99" s="59">
        <v>0</v>
      </c>
      <c r="P99" s="59">
        <v>2.86</v>
      </c>
      <c r="Q99" s="59">
        <v>35.299999999999997</v>
      </c>
      <c r="R99" s="197"/>
      <c r="S99" s="197"/>
      <c r="T99" s="197"/>
      <c r="U99" s="197"/>
    </row>
    <row r="100" spans="1:33" s="12" customFormat="1" x14ac:dyDescent="0.25">
      <c r="A100" s="200" t="s">
        <v>626</v>
      </c>
      <c r="B100" s="59">
        <v>151.05000000000001</v>
      </c>
      <c r="C100" s="59">
        <v>114.24</v>
      </c>
      <c r="D100" s="59">
        <v>184.18</v>
      </c>
      <c r="E100" s="59">
        <v>4.91</v>
      </c>
      <c r="F100" s="59">
        <v>3.41</v>
      </c>
      <c r="G100" s="59">
        <v>207.57</v>
      </c>
      <c r="H100" s="59">
        <v>62.82</v>
      </c>
      <c r="I100" s="59">
        <v>1.46</v>
      </c>
      <c r="J100" s="59">
        <v>0.14000000000000001</v>
      </c>
      <c r="K100" s="59">
        <v>101.58</v>
      </c>
      <c r="L100" s="59">
        <v>23.95</v>
      </c>
      <c r="M100" s="59">
        <v>43.32</v>
      </c>
      <c r="N100" s="59">
        <v>4.0999999999999996</v>
      </c>
      <c r="O100" s="59">
        <v>0</v>
      </c>
      <c r="P100" s="59">
        <v>2.92</v>
      </c>
      <c r="Q100" s="59">
        <v>36.01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627</v>
      </c>
      <c r="B101" s="59">
        <v>159.1</v>
      </c>
      <c r="C101" s="59">
        <v>113.77</v>
      </c>
      <c r="D101" s="59">
        <v>190.37</v>
      </c>
      <c r="E101" s="59">
        <v>5.18</v>
      </c>
      <c r="F101" s="59">
        <v>3.09</v>
      </c>
      <c r="G101" s="59">
        <v>207.57</v>
      </c>
      <c r="H101" s="59">
        <v>62.82</v>
      </c>
      <c r="I101" s="59">
        <v>1.4</v>
      </c>
      <c r="J101" s="59">
        <v>0.06</v>
      </c>
      <c r="K101" s="59">
        <v>93.19</v>
      </c>
      <c r="L101" s="59">
        <v>23.29</v>
      </c>
      <c r="M101" s="59">
        <v>47.9</v>
      </c>
      <c r="N101" s="59">
        <v>4.4000000000000004</v>
      </c>
      <c r="O101" s="59">
        <v>0</v>
      </c>
      <c r="P101" s="59">
        <v>2.82</v>
      </c>
      <c r="Q101" s="59">
        <v>36.83</v>
      </c>
      <c r="R101" s="197"/>
      <c r="S101" s="197"/>
      <c r="T101" s="197"/>
      <c r="U101" s="197"/>
    </row>
    <row r="102" spans="1:33" s="12" customFormat="1" x14ac:dyDescent="0.25">
      <c r="A102" s="200" t="s">
        <v>628</v>
      </c>
      <c r="B102" s="59">
        <v>167.23</v>
      </c>
      <c r="C102" s="59">
        <v>113.16</v>
      </c>
      <c r="D102" s="59">
        <v>196.56</v>
      </c>
      <c r="E102" s="59">
        <v>4.84</v>
      </c>
      <c r="F102" s="59">
        <v>2.89</v>
      </c>
      <c r="G102" s="59">
        <v>203.65</v>
      </c>
      <c r="H102" s="59">
        <v>62.72</v>
      </c>
      <c r="I102" s="59">
        <v>1.43</v>
      </c>
      <c r="J102" s="59">
        <v>0.09</v>
      </c>
      <c r="K102" s="59">
        <v>306.5</v>
      </c>
      <c r="L102" s="59">
        <v>23.04</v>
      </c>
      <c r="M102" s="59">
        <v>50.85</v>
      </c>
      <c r="N102" s="59">
        <v>4.3</v>
      </c>
      <c r="O102" s="59">
        <v>0</v>
      </c>
      <c r="P102" s="59">
        <v>2.97</v>
      </c>
      <c r="Q102" s="59">
        <v>37.47</v>
      </c>
      <c r="R102" s="197"/>
      <c r="S102" s="197"/>
      <c r="T102" s="197"/>
      <c r="U102" s="197"/>
    </row>
    <row r="103" spans="1:33" s="12" customFormat="1" x14ac:dyDescent="0.25">
      <c r="A103" s="200" t="s">
        <v>629</v>
      </c>
      <c r="B103" s="59">
        <v>172.79</v>
      </c>
      <c r="C103" s="59">
        <v>112.51</v>
      </c>
      <c r="D103" s="59">
        <v>200.65</v>
      </c>
      <c r="E103" s="59">
        <v>4.74</v>
      </c>
      <c r="F103" s="59">
        <v>2.93</v>
      </c>
      <c r="G103" s="59">
        <v>157.13</v>
      </c>
      <c r="H103" s="59">
        <v>61.56</v>
      </c>
      <c r="I103" s="59">
        <v>1.52</v>
      </c>
      <c r="J103" s="59">
        <v>0.14000000000000001</v>
      </c>
      <c r="K103" s="59">
        <v>7.81</v>
      </c>
      <c r="L103" s="59">
        <v>22.92</v>
      </c>
      <c r="M103" s="59">
        <v>49.21</v>
      </c>
      <c r="N103" s="59">
        <v>4.3</v>
      </c>
      <c r="O103" s="59">
        <v>0</v>
      </c>
      <c r="P103" s="59">
        <v>2.93</v>
      </c>
      <c r="Q103" s="59">
        <v>38.08</v>
      </c>
      <c r="R103" s="197"/>
      <c r="S103" s="197"/>
      <c r="T103" s="197"/>
      <c r="U103" s="197"/>
    </row>
    <row r="104" spans="1:33" s="12" customFormat="1" x14ac:dyDescent="0.25">
      <c r="A104" s="200" t="s">
        <v>630</v>
      </c>
      <c r="B104" s="59">
        <v>176.8</v>
      </c>
      <c r="C104" s="59">
        <v>111.75</v>
      </c>
      <c r="D104" s="59">
        <v>203.45</v>
      </c>
      <c r="E104" s="59">
        <v>2.73</v>
      </c>
      <c r="F104" s="59">
        <v>2.97</v>
      </c>
      <c r="G104" s="59">
        <v>157.13</v>
      </c>
      <c r="H104" s="59">
        <v>61.56</v>
      </c>
      <c r="I104" s="59">
        <v>1.48</v>
      </c>
      <c r="J104" s="59">
        <v>0.06</v>
      </c>
      <c r="K104" s="59">
        <v>13.25</v>
      </c>
      <c r="L104" s="59">
        <v>22.54</v>
      </c>
      <c r="M104" s="59">
        <v>51.01</v>
      </c>
      <c r="N104" s="59">
        <v>4.3</v>
      </c>
      <c r="O104" s="59">
        <v>0</v>
      </c>
      <c r="P104" s="59">
        <v>2.86</v>
      </c>
      <c r="Q104" s="59">
        <v>39.31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0.14000000000000001</v>
      </c>
      <c r="C106" s="66">
        <f>MIN(C9:C104)</f>
        <v>57.8</v>
      </c>
      <c r="D106" s="66">
        <f t="shared" ref="D106:Q106" si="0">MIN(D9:D104)</f>
        <v>32.07</v>
      </c>
      <c r="E106" s="66">
        <f t="shared" si="0"/>
        <v>2.36</v>
      </c>
      <c r="F106" s="66">
        <f t="shared" si="0"/>
        <v>2.78</v>
      </c>
      <c r="G106" s="66">
        <f t="shared" si="0"/>
        <v>35.85</v>
      </c>
      <c r="H106" s="66">
        <f t="shared" si="0"/>
        <v>13.42</v>
      </c>
      <c r="I106" s="66">
        <f t="shared" si="0"/>
        <v>0.47</v>
      </c>
      <c r="J106" s="66">
        <f t="shared" si="0"/>
        <v>0.01</v>
      </c>
      <c r="K106" s="66">
        <f t="shared" si="0"/>
        <v>2.66</v>
      </c>
      <c r="L106" s="66">
        <f t="shared" si="0"/>
        <v>19.25</v>
      </c>
      <c r="M106" s="66">
        <f t="shared" si="0"/>
        <v>8.84</v>
      </c>
      <c r="N106" s="66">
        <f t="shared" si="0"/>
        <v>2.2999999999999998</v>
      </c>
      <c r="O106" s="66">
        <f t="shared" si="0"/>
        <v>0</v>
      </c>
      <c r="P106" s="66">
        <f t="shared" si="0"/>
        <v>0.44</v>
      </c>
      <c r="Q106" s="66">
        <f t="shared" si="0"/>
        <v>14.66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202.05</v>
      </c>
      <c r="C107" s="65">
        <f t="shared" ref="C107:Q107" si="1">MAX(C9:C104)</f>
        <v>140.65</v>
      </c>
      <c r="D107" s="65">
        <f t="shared" si="1"/>
        <v>224.45</v>
      </c>
      <c r="E107" s="65">
        <f t="shared" si="1"/>
        <v>43.45</v>
      </c>
      <c r="F107" s="65">
        <f t="shared" si="1"/>
        <v>44.25</v>
      </c>
      <c r="G107" s="65">
        <f t="shared" si="1"/>
        <v>207.57</v>
      </c>
      <c r="H107" s="65">
        <f t="shared" si="1"/>
        <v>75.78</v>
      </c>
      <c r="I107" s="65">
        <f t="shared" si="1"/>
        <v>1.97</v>
      </c>
      <c r="J107" s="65">
        <f t="shared" si="1"/>
        <v>1.59</v>
      </c>
      <c r="K107" s="65">
        <f t="shared" si="1"/>
        <v>358.79</v>
      </c>
      <c r="L107" s="65">
        <f t="shared" si="1"/>
        <v>40.229999999999997</v>
      </c>
      <c r="M107" s="65">
        <f t="shared" si="1"/>
        <v>69.09</v>
      </c>
      <c r="N107" s="65">
        <f t="shared" si="1"/>
        <v>571</v>
      </c>
      <c r="O107" s="65">
        <f t="shared" si="1"/>
        <v>0</v>
      </c>
      <c r="P107" s="65">
        <f t="shared" si="1"/>
        <v>4.66</v>
      </c>
      <c r="Q107" s="65">
        <f t="shared" si="1"/>
        <v>40.71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93.409583333333273</v>
      </c>
      <c r="C108" s="66">
        <f t="shared" ref="C108:Q108" si="2">AVERAGE(C9:C104)</f>
        <v>98.72447916666664</v>
      </c>
      <c r="D108" s="66">
        <f t="shared" si="2"/>
        <v>129.39145833333333</v>
      </c>
      <c r="E108" s="66">
        <f t="shared" si="2"/>
        <v>9.2415624999999988</v>
      </c>
      <c r="F108" s="66">
        <f t="shared" si="2"/>
        <v>8.7592708333333338</v>
      </c>
      <c r="G108" s="66">
        <f t="shared" si="2"/>
        <v>126.97666666666665</v>
      </c>
      <c r="H108" s="66">
        <f t="shared" si="2"/>
        <v>52.030729166666731</v>
      </c>
      <c r="I108" s="66">
        <f t="shared" si="2"/>
        <v>1.2376041666666666</v>
      </c>
      <c r="J108" s="66">
        <f t="shared" si="2"/>
        <v>0.38864583333333336</v>
      </c>
      <c r="K108" s="66">
        <f t="shared" si="2"/>
        <v>137.333125</v>
      </c>
      <c r="L108" s="66">
        <f t="shared" si="2"/>
        <v>28.049374999999998</v>
      </c>
      <c r="M108" s="66">
        <f t="shared" si="2"/>
        <v>35.197812499999991</v>
      </c>
      <c r="N108" s="66">
        <f t="shared" si="2"/>
        <v>166.4927083333333</v>
      </c>
      <c r="O108" s="66">
        <f t="shared" si="2"/>
        <v>0</v>
      </c>
      <c r="P108" s="66">
        <f t="shared" si="2"/>
        <v>2.2518750000000014</v>
      </c>
      <c r="Q108" s="66">
        <f t="shared" si="2"/>
        <v>30.999791666666653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73.762562946634091</v>
      </c>
      <c r="C109" s="66">
        <f t="shared" ref="C109:Q109" si="3">STDEV(C9:C104)</f>
        <v>16.247194858759936</v>
      </c>
      <c r="D109" s="66">
        <f t="shared" si="3"/>
        <v>64.388054302007276</v>
      </c>
      <c r="E109" s="66">
        <f t="shared" si="3"/>
        <v>7.1437370918979024</v>
      </c>
      <c r="F109" s="66">
        <f t="shared" si="3"/>
        <v>9.9194287022241756</v>
      </c>
      <c r="G109" s="66">
        <f t="shared" si="3"/>
        <v>58.873188923610023</v>
      </c>
      <c r="H109" s="66">
        <f t="shared" si="3"/>
        <v>20.699383578148964</v>
      </c>
      <c r="I109" s="66">
        <f t="shared" si="3"/>
        <v>0.49791300189505061</v>
      </c>
      <c r="J109" s="66">
        <f t="shared" si="3"/>
        <v>0.38551297279466801</v>
      </c>
      <c r="K109" s="66">
        <f t="shared" si="3"/>
        <v>111.79002663652392</v>
      </c>
      <c r="L109" s="66">
        <f t="shared" si="3"/>
        <v>6.4381515510849434</v>
      </c>
      <c r="M109" s="66">
        <f t="shared" si="3"/>
        <v>20.780399125042148</v>
      </c>
      <c r="N109" s="66">
        <f t="shared" si="3"/>
        <v>216.6188523869283</v>
      </c>
      <c r="O109" s="66">
        <f t="shared" si="3"/>
        <v>0</v>
      </c>
      <c r="P109" s="66">
        <f t="shared" si="3"/>
        <v>1.221527354973013</v>
      </c>
      <c r="Q109" s="66">
        <f t="shared" si="3"/>
        <v>8.3060009985383374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6" sqref="G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05-03-2023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631</v>
      </c>
      <c r="B9" s="59">
        <v>179.84</v>
      </c>
      <c r="C9" s="59">
        <v>111.58</v>
      </c>
      <c r="D9" s="59">
        <v>205.8</v>
      </c>
      <c r="E9" s="59">
        <v>5.54</v>
      </c>
      <c r="F9" s="59">
        <v>2.87</v>
      </c>
      <c r="G9" s="59">
        <v>157.13</v>
      </c>
      <c r="H9" s="59">
        <v>61.56</v>
      </c>
      <c r="I9" s="59">
        <v>1.48</v>
      </c>
      <c r="J9" s="59">
        <v>0.11</v>
      </c>
      <c r="K9" s="59">
        <v>11.61</v>
      </c>
      <c r="L9" s="59">
        <v>22.76</v>
      </c>
      <c r="M9" s="59">
        <v>52.8</v>
      </c>
      <c r="N9" s="59">
        <v>4.2</v>
      </c>
      <c r="O9" s="59">
        <v>0</v>
      </c>
      <c r="P9" s="59">
        <v>2.87</v>
      </c>
      <c r="Q9" s="59">
        <v>40.130000000000003</v>
      </c>
      <c r="R9" s="197"/>
      <c r="S9" s="197"/>
      <c r="T9" s="197"/>
      <c r="U9" s="197"/>
    </row>
    <row r="10" spans="1:21" s="12" customFormat="1" x14ac:dyDescent="0.25">
      <c r="A10" s="200" t="s">
        <v>632</v>
      </c>
      <c r="B10" s="59">
        <v>180.9</v>
      </c>
      <c r="C10" s="59">
        <v>111.04</v>
      </c>
      <c r="D10" s="59">
        <v>206.35</v>
      </c>
      <c r="E10" s="59">
        <v>5.41</v>
      </c>
      <c r="F10" s="59">
        <v>2.95</v>
      </c>
      <c r="G10" s="59">
        <v>157.24</v>
      </c>
      <c r="H10" s="59">
        <v>61.3</v>
      </c>
      <c r="I10" s="59">
        <v>1.48</v>
      </c>
      <c r="J10" s="59">
        <v>0.23</v>
      </c>
      <c r="K10" s="59">
        <v>35.409999999999997</v>
      </c>
      <c r="L10" s="59">
        <v>22.7</v>
      </c>
      <c r="M10" s="59">
        <v>51.43</v>
      </c>
      <c r="N10" s="59">
        <v>3.9</v>
      </c>
      <c r="O10" s="59">
        <v>0</v>
      </c>
      <c r="P10" s="59">
        <v>2.86</v>
      </c>
      <c r="Q10" s="59">
        <v>40.549999999999997</v>
      </c>
      <c r="R10" s="197"/>
      <c r="S10" s="197"/>
      <c r="T10" s="197"/>
      <c r="U10" s="197"/>
    </row>
    <row r="11" spans="1:21" s="12" customFormat="1" x14ac:dyDescent="0.25">
      <c r="A11" s="200" t="s">
        <v>633</v>
      </c>
      <c r="B11" s="59">
        <v>176.96</v>
      </c>
      <c r="C11" s="59">
        <v>110.62</v>
      </c>
      <c r="D11" s="59">
        <v>202.96</v>
      </c>
      <c r="E11" s="59">
        <v>5.68</v>
      </c>
      <c r="F11" s="59">
        <v>2.95</v>
      </c>
      <c r="G11" s="59">
        <v>158.53</v>
      </c>
      <c r="H11" s="59">
        <v>58.28</v>
      </c>
      <c r="I11" s="59">
        <v>1.48</v>
      </c>
      <c r="J11" s="59">
        <v>0.48</v>
      </c>
      <c r="K11" s="59">
        <v>60.62</v>
      </c>
      <c r="L11" s="59">
        <v>24.09</v>
      </c>
      <c r="M11" s="59">
        <v>39.46</v>
      </c>
      <c r="N11" s="59">
        <v>1.5</v>
      </c>
      <c r="O11" s="59">
        <v>0</v>
      </c>
      <c r="P11" s="59">
        <v>2.84</v>
      </c>
      <c r="Q11" s="59">
        <v>40.43</v>
      </c>
      <c r="R11" s="197"/>
      <c r="S11" s="197"/>
      <c r="T11" s="197"/>
      <c r="U11" s="197"/>
    </row>
    <row r="12" spans="1:21" s="12" customFormat="1" x14ac:dyDescent="0.25">
      <c r="A12" s="200" t="s">
        <v>634</v>
      </c>
      <c r="B12" s="59">
        <v>169.68</v>
      </c>
      <c r="C12" s="59">
        <v>110.49</v>
      </c>
      <c r="D12" s="59">
        <v>197.05</v>
      </c>
      <c r="E12" s="59">
        <v>6.98</v>
      </c>
      <c r="F12" s="59">
        <v>2.89</v>
      </c>
      <c r="G12" s="59">
        <v>158.53</v>
      </c>
      <c r="H12" s="59">
        <v>58.28</v>
      </c>
      <c r="I12" s="59">
        <v>1.49</v>
      </c>
      <c r="J12" s="59">
        <v>0.42</v>
      </c>
      <c r="K12" s="59">
        <v>25.31</v>
      </c>
      <c r="L12" s="59">
        <v>24.77</v>
      </c>
      <c r="M12" s="59">
        <v>33.090000000000003</v>
      </c>
      <c r="N12" s="59">
        <v>3.4</v>
      </c>
      <c r="O12" s="59">
        <v>0</v>
      </c>
      <c r="P12" s="59">
        <v>2.85</v>
      </c>
      <c r="Q12" s="59">
        <v>40.15</v>
      </c>
      <c r="R12" s="197"/>
      <c r="S12" s="197"/>
      <c r="T12" s="197"/>
      <c r="U12" s="197"/>
    </row>
    <row r="13" spans="1:21" s="12" customFormat="1" x14ac:dyDescent="0.25">
      <c r="A13" s="200" t="s">
        <v>635</v>
      </c>
      <c r="B13" s="59">
        <v>163.11000000000001</v>
      </c>
      <c r="C13" s="59">
        <v>110.61</v>
      </c>
      <c r="D13" s="59">
        <v>191.84</v>
      </c>
      <c r="E13" s="59">
        <v>7.01</v>
      </c>
      <c r="F13" s="59">
        <v>2.98</v>
      </c>
      <c r="G13" s="59">
        <v>158.53</v>
      </c>
      <c r="H13" s="59">
        <v>58.28</v>
      </c>
      <c r="I13" s="59">
        <v>1.48</v>
      </c>
      <c r="J13" s="59">
        <v>0.27</v>
      </c>
      <c r="K13" s="59">
        <v>72.87</v>
      </c>
      <c r="L13" s="59">
        <v>24.36</v>
      </c>
      <c r="M13" s="59">
        <v>33.69</v>
      </c>
      <c r="N13" s="59">
        <v>4.3</v>
      </c>
      <c r="O13" s="59">
        <v>0</v>
      </c>
      <c r="P13" s="59">
        <v>2.64</v>
      </c>
      <c r="Q13" s="59">
        <v>39.840000000000003</v>
      </c>
      <c r="R13" s="197"/>
      <c r="S13" s="197"/>
      <c r="T13" s="197"/>
      <c r="U13" s="197"/>
    </row>
    <row r="14" spans="1:21" s="12" customFormat="1" x14ac:dyDescent="0.25">
      <c r="A14" s="200" t="s">
        <v>636</v>
      </c>
      <c r="B14" s="59">
        <v>157.32</v>
      </c>
      <c r="C14" s="59">
        <v>110.63</v>
      </c>
      <c r="D14" s="59">
        <v>187.22</v>
      </c>
      <c r="E14" s="59">
        <v>7.46</v>
      </c>
      <c r="F14" s="59">
        <v>2.97</v>
      </c>
      <c r="G14" s="59">
        <v>146.19999999999999</v>
      </c>
      <c r="H14" s="59">
        <v>59.57</v>
      </c>
      <c r="I14" s="59">
        <v>1.47</v>
      </c>
      <c r="J14" s="59">
        <v>0.22</v>
      </c>
      <c r="K14" s="59">
        <v>88.34</v>
      </c>
      <c r="L14" s="59">
        <v>24.11</v>
      </c>
      <c r="M14" s="59">
        <v>32.68</v>
      </c>
      <c r="N14" s="59">
        <v>4.3</v>
      </c>
      <c r="O14" s="59">
        <v>0</v>
      </c>
      <c r="P14" s="59">
        <v>2.76</v>
      </c>
      <c r="Q14" s="59">
        <v>39.299999999999997</v>
      </c>
      <c r="R14" s="197"/>
      <c r="S14" s="197"/>
      <c r="T14" s="197"/>
      <c r="U14" s="197"/>
    </row>
    <row r="15" spans="1:21" s="12" customFormat="1" x14ac:dyDescent="0.25">
      <c r="A15" s="200" t="s">
        <v>637</v>
      </c>
      <c r="B15" s="59">
        <v>152.19</v>
      </c>
      <c r="C15" s="59">
        <v>109.22</v>
      </c>
      <c r="D15" s="59">
        <v>182.32</v>
      </c>
      <c r="E15" s="59">
        <v>6.4</v>
      </c>
      <c r="F15" s="59">
        <v>2.84</v>
      </c>
      <c r="G15" s="209" t="s">
        <v>36</v>
      </c>
      <c r="H15" s="59">
        <v>74.92</v>
      </c>
      <c r="I15" s="59">
        <v>1.44</v>
      </c>
      <c r="J15" s="59">
        <v>0.06</v>
      </c>
      <c r="K15" s="59">
        <v>151.38999999999999</v>
      </c>
      <c r="L15" s="59">
        <v>23.69</v>
      </c>
      <c r="M15" s="59">
        <v>33.450000000000003</v>
      </c>
      <c r="N15" s="59">
        <v>4.5999999999999996</v>
      </c>
      <c r="O15" s="59">
        <v>0</v>
      </c>
      <c r="P15" s="59">
        <v>2.4</v>
      </c>
      <c r="Q15" s="59">
        <v>38.6</v>
      </c>
      <c r="R15" s="197"/>
      <c r="S15" s="197"/>
      <c r="T15" s="197"/>
      <c r="U15" s="197"/>
    </row>
    <row r="16" spans="1:21" s="12" customFormat="1" x14ac:dyDescent="0.25">
      <c r="A16" s="200" t="s">
        <v>638</v>
      </c>
      <c r="B16" s="59">
        <v>148.06</v>
      </c>
      <c r="C16" s="59">
        <v>108.52</v>
      </c>
      <c r="D16" s="59">
        <v>178.62</v>
      </c>
      <c r="E16" s="59">
        <v>6.01</v>
      </c>
      <c r="F16" s="59">
        <v>3.85</v>
      </c>
      <c r="G16" s="209" t="s">
        <v>36</v>
      </c>
      <c r="H16" s="59">
        <v>74.92</v>
      </c>
      <c r="I16" s="59">
        <v>1.26</v>
      </c>
      <c r="J16" s="59">
        <v>0.12</v>
      </c>
      <c r="K16" s="59">
        <v>30.98</v>
      </c>
      <c r="L16" s="59">
        <v>22.86</v>
      </c>
      <c r="M16" s="59">
        <v>38.74</v>
      </c>
      <c r="N16" s="59">
        <v>4.7</v>
      </c>
      <c r="O16" s="59">
        <v>0</v>
      </c>
      <c r="P16" s="59">
        <v>2.5</v>
      </c>
      <c r="Q16" s="59">
        <v>37.78</v>
      </c>
      <c r="R16" s="197"/>
      <c r="S16" s="197"/>
      <c r="T16" s="197"/>
      <c r="U16" s="197"/>
    </row>
    <row r="17" spans="1:21" s="12" customFormat="1" x14ac:dyDescent="0.25">
      <c r="A17" s="200" t="s">
        <v>639</v>
      </c>
      <c r="B17" s="59">
        <v>144.83000000000001</v>
      </c>
      <c r="C17" s="59">
        <v>108</v>
      </c>
      <c r="D17" s="59">
        <v>175.75</v>
      </c>
      <c r="E17" s="59">
        <v>5.91</v>
      </c>
      <c r="F17" s="59">
        <v>3.02</v>
      </c>
      <c r="G17" s="209" t="s">
        <v>36</v>
      </c>
      <c r="H17" s="59">
        <v>74.92</v>
      </c>
      <c r="I17" s="59">
        <v>1.23</v>
      </c>
      <c r="J17" s="59">
        <v>0.13</v>
      </c>
      <c r="K17" s="59">
        <v>41.86</v>
      </c>
      <c r="L17" s="59">
        <v>21.95</v>
      </c>
      <c r="M17" s="59">
        <v>43.85</v>
      </c>
      <c r="N17" s="59">
        <v>4.8</v>
      </c>
      <c r="O17" s="59">
        <v>0</v>
      </c>
      <c r="P17" s="59">
        <v>2.46</v>
      </c>
      <c r="Q17" s="59">
        <v>37.549999999999997</v>
      </c>
      <c r="R17" s="197"/>
      <c r="S17" s="197"/>
      <c r="T17" s="197"/>
      <c r="U17" s="197"/>
    </row>
    <row r="18" spans="1:21" s="12" customFormat="1" x14ac:dyDescent="0.25">
      <c r="A18" s="200" t="s">
        <v>640</v>
      </c>
      <c r="B18" s="59">
        <v>142.27000000000001</v>
      </c>
      <c r="C18" s="59">
        <v>107.45</v>
      </c>
      <c r="D18" s="59">
        <v>173.39</v>
      </c>
      <c r="E18" s="59">
        <v>5.63</v>
      </c>
      <c r="F18" s="59">
        <v>2.89</v>
      </c>
      <c r="G18" s="209" t="s">
        <v>36</v>
      </c>
      <c r="H18" s="59">
        <v>75.13</v>
      </c>
      <c r="I18" s="59">
        <v>1.19</v>
      </c>
      <c r="J18" s="59">
        <v>0.1</v>
      </c>
      <c r="K18" s="59">
        <v>7.28</v>
      </c>
      <c r="L18" s="59">
        <v>21.78</v>
      </c>
      <c r="M18" s="59">
        <v>45.43</v>
      </c>
      <c r="N18" s="59">
        <v>4.3</v>
      </c>
      <c r="O18" s="59">
        <v>0</v>
      </c>
      <c r="P18" s="59">
        <v>2.5099999999999998</v>
      </c>
      <c r="Q18" s="59">
        <v>37.61</v>
      </c>
      <c r="R18" s="197"/>
      <c r="S18" s="197"/>
      <c r="T18" s="197"/>
      <c r="U18" s="197"/>
    </row>
    <row r="19" spans="1:21" s="12" customFormat="1" x14ac:dyDescent="0.25">
      <c r="A19" s="200" t="s">
        <v>641</v>
      </c>
      <c r="B19" s="59">
        <v>140.27000000000001</v>
      </c>
      <c r="C19" s="59">
        <v>106.59</v>
      </c>
      <c r="D19" s="59">
        <v>171.31</v>
      </c>
      <c r="E19" s="59">
        <v>5.43</v>
      </c>
      <c r="F19" s="59">
        <v>2.94</v>
      </c>
      <c r="G19" s="210" t="s">
        <v>43</v>
      </c>
      <c r="H19" s="59">
        <v>77.58</v>
      </c>
      <c r="I19" s="59">
        <v>1.22</v>
      </c>
      <c r="J19" s="59">
        <v>0.11</v>
      </c>
      <c r="K19" s="59">
        <v>341.36</v>
      </c>
      <c r="L19" s="59">
        <v>21.43</v>
      </c>
      <c r="M19" s="59">
        <v>50.18</v>
      </c>
      <c r="N19" s="59">
        <v>4.4000000000000004</v>
      </c>
      <c r="O19" s="59">
        <v>0</v>
      </c>
      <c r="P19" s="59">
        <v>2.48</v>
      </c>
      <c r="Q19" s="59">
        <v>37.69</v>
      </c>
      <c r="R19" s="197"/>
      <c r="S19" s="197"/>
      <c r="T19" s="197"/>
      <c r="U19" s="197"/>
    </row>
    <row r="20" spans="1:21" s="12" customFormat="1" x14ac:dyDescent="0.25">
      <c r="A20" s="200" t="s">
        <v>642</v>
      </c>
      <c r="B20" s="59">
        <v>137.84</v>
      </c>
      <c r="C20" s="59">
        <v>105.64</v>
      </c>
      <c r="D20" s="59">
        <v>168.84</v>
      </c>
      <c r="E20" s="59">
        <v>5.03</v>
      </c>
      <c r="F20" s="59">
        <v>3.01</v>
      </c>
      <c r="G20" s="210" t="s">
        <v>43</v>
      </c>
      <c r="H20" s="59">
        <v>77.58</v>
      </c>
      <c r="I20" s="59">
        <v>1.22</v>
      </c>
      <c r="J20" s="59">
        <v>0.17</v>
      </c>
      <c r="K20" s="59">
        <v>31.38</v>
      </c>
      <c r="L20" s="59">
        <v>21.19</v>
      </c>
      <c r="M20" s="59">
        <v>51.56</v>
      </c>
      <c r="N20" s="59">
        <v>4.4000000000000004</v>
      </c>
      <c r="O20" s="59">
        <v>0</v>
      </c>
      <c r="P20" s="59">
        <v>2.44</v>
      </c>
      <c r="Q20" s="59">
        <v>37.82</v>
      </c>
      <c r="R20" s="197"/>
      <c r="S20" s="197"/>
      <c r="T20" s="197"/>
      <c r="U20" s="197"/>
    </row>
    <row r="21" spans="1:21" s="12" customFormat="1" x14ac:dyDescent="0.25">
      <c r="A21" s="200" t="s">
        <v>643</v>
      </c>
      <c r="B21" s="59">
        <v>134.61000000000001</v>
      </c>
      <c r="C21" s="59">
        <v>104.7</v>
      </c>
      <c r="D21" s="59">
        <v>165.73</v>
      </c>
      <c r="E21" s="59">
        <v>5.25</v>
      </c>
      <c r="F21" s="59">
        <v>2.97</v>
      </c>
      <c r="G21" s="210" t="s">
        <v>43</v>
      </c>
      <c r="H21" s="59">
        <v>77.58</v>
      </c>
      <c r="I21" s="59">
        <v>1.21</v>
      </c>
      <c r="J21" s="59">
        <v>0.24</v>
      </c>
      <c r="K21" s="59">
        <v>56.64</v>
      </c>
      <c r="L21" s="59">
        <v>22.33</v>
      </c>
      <c r="M21" s="59">
        <v>42.78</v>
      </c>
      <c r="N21" s="59">
        <v>2.8</v>
      </c>
      <c r="O21" s="59">
        <v>0</v>
      </c>
      <c r="P21" s="59">
        <v>1.91</v>
      </c>
      <c r="Q21" s="59">
        <v>37.9</v>
      </c>
      <c r="R21" s="197"/>
      <c r="S21" s="197"/>
      <c r="T21" s="197"/>
      <c r="U21" s="197"/>
    </row>
    <row r="22" spans="1:21" s="12" customFormat="1" x14ac:dyDescent="0.25">
      <c r="A22" s="200" t="s">
        <v>644</v>
      </c>
      <c r="B22" s="59">
        <v>130.07</v>
      </c>
      <c r="C22" s="59">
        <v>104.51</v>
      </c>
      <c r="D22" s="59">
        <v>161.97999999999999</v>
      </c>
      <c r="E22" s="59">
        <v>5.57</v>
      </c>
      <c r="F22" s="59">
        <v>3.05</v>
      </c>
      <c r="G22" s="59">
        <v>136.96</v>
      </c>
      <c r="H22" s="59">
        <v>77.260000000000005</v>
      </c>
      <c r="I22" s="59">
        <v>1.21</v>
      </c>
      <c r="J22" s="59">
        <v>0.35</v>
      </c>
      <c r="K22" s="59">
        <v>86.93</v>
      </c>
      <c r="L22" s="59">
        <v>23.62</v>
      </c>
      <c r="M22" s="59">
        <v>33.1</v>
      </c>
      <c r="N22" s="59">
        <v>2.7</v>
      </c>
      <c r="O22" s="59">
        <v>0</v>
      </c>
      <c r="P22" s="59">
        <v>2.09</v>
      </c>
      <c r="Q22" s="59">
        <v>38.18</v>
      </c>
      <c r="R22" s="197"/>
      <c r="S22" s="197"/>
      <c r="T22" s="197"/>
      <c r="U22" s="197"/>
    </row>
    <row r="23" spans="1:21" s="12" customFormat="1" x14ac:dyDescent="0.25">
      <c r="A23" s="200" t="s">
        <v>645</v>
      </c>
      <c r="B23" s="59">
        <v>124.02</v>
      </c>
      <c r="C23" s="59">
        <v>105.3</v>
      </c>
      <c r="D23" s="59">
        <v>157.57</v>
      </c>
      <c r="E23" s="59">
        <v>5.68</v>
      </c>
      <c r="F23" s="59">
        <v>3.08</v>
      </c>
      <c r="G23" s="59">
        <v>136.96</v>
      </c>
      <c r="H23" s="59">
        <v>73.53</v>
      </c>
      <c r="I23" s="59">
        <v>1.02</v>
      </c>
      <c r="J23" s="59">
        <v>0.26</v>
      </c>
      <c r="K23" s="59">
        <v>31.85</v>
      </c>
      <c r="L23" s="59">
        <v>23.49</v>
      </c>
      <c r="M23" s="59">
        <v>34.07</v>
      </c>
      <c r="N23" s="59">
        <v>4</v>
      </c>
      <c r="O23" s="59">
        <v>0</v>
      </c>
      <c r="P23" s="59">
        <v>2.2999999999999998</v>
      </c>
      <c r="Q23" s="59">
        <v>38.630000000000003</v>
      </c>
      <c r="R23" s="197"/>
      <c r="S23" s="197"/>
      <c r="T23" s="197"/>
      <c r="U23" s="197"/>
    </row>
    <row r="24" spans="1:21" s="12" customFormat="1" x14ac:dyDescent="0.25">
      <c r="A24" s="200" t="s">
        <v>646</v>
      </c>
      <c r="B24" s="59">
        <v>116.72</v>
      </c>
      <c r="C24" s="59">
        <v>104.63</v>
      </c>
      <c r="D24" s="59">
        <v>151.34</v>
      </c>
      <c r="E24" s="59">
        <v>2.61</v>
      </c>
      <c r="F24" s="59">
        <v>2.99</v>
      </c>
      <c r="G24" s="59">
        <v>136.96</v>
      </c>
      <c r="H24" s="59">
        <v>73.53</v>
      </c>
      <c r="I24" s="59">
        <v>1.06</v>
      </c>
      <c r="J24" s="59">
        <v>0.31</v>
      </c>
      <c r="K24" s="59">
        <v>40.799999999999997</v>
      </c>
      <c r="L24" s="59">
        <v>23.58</v>
      </c>
      <c r="M24" s="59">
        <v>32.880000000000003</v>
      </c>
      <c r="N24" s="59">
        <v>3.9</v>
      </c>
      <c r="O24" s="59">
        <v>0</v>
      </c>
      <c r="P24" s="59">
        <v>2.23</v>
      </c>
      <c r="Q24" s="59">
        <v>38.67</v>
      </c>
      <c r="R24" s="197"/>
      <c r="S24" s="197"/>
      <c r="T24" s="197"/>
      <c r="U24" s="197"/>
    </row>
    <row r="25" spans="1:21" s="12" customFormat="1" x14ac:dyDescent="0.25">
      <c r="A25" s="200" t="s">
        <v>647</v>
      </c>
      <c r="B25" s="59">
        <v>109.19</v>
      </c>
      <c r="C25" s="59">
        <v>104.17</v>
      </c>
      <c r="D25" s="59">
        <v>145.05000000000001</v>
      </c>
      <c r="E25" s="59">
        <v>6.29</v>
      </c>
      <c r="F25" s="59">
        <v>3.1</v>
      </c>
      <c r="G25" s="59">
        <v>136.96</v>
      </c>
      <c r="H25" s="59">
        <v>73.53</v>
      </c>
      <c r="I25" s="59">
        <v>1.19</v>
      </c>
      <c r="J25" s="59">
        <v>0.28000000000000003</v>
      </c>
      <c r="K25" s="59">
        <v>36.53</v>
      </c>
      <c r="L25" s="59">
        <v>23.47</v>
      </c>
      <c r="M25" s="59">
        <v>33.25</v>
      </c>
      <c r="N25" s="59">
        <v>4.2</v>
      </c>
      <c r="O25" s="59">
        <v>0</v>
      </c>
      <c r="P25" s="59">
        <v>2.15</v>
      </c>
      <c r="Q25" s="59">
        <v>38.340000000000003</v>
      </c>
      <c r="R25" s="197"/>
      <c r="S25" s="197"/>
      <c r="T25" s="197"/>
      <c r="U25" s="197"/>
    </row>
    <row r="26" spans="1:21" s="12" customFormat="1" x14ac:dyDescent="0.25">
      <c r="A26" s="200" t="s">
        <v>648</v>
      </c>
      <c r="B26" s="59">
        <v>102.19</v>
      </c>
      <c r="C26" s="59">
        <v>104.75</v>
      </c>
      <c r="D26" s="59">
        <v>139.76</v>
      </c>
      <c r="E26" s="59">
        <v>6.5</v>
      </c>
      <c r="F26" s="59">
        <v>2.93</v>
      </c>
      <c r="G26" s="59">
        <v>133.38</v>
      </c>
      <c r="H26" s="59">
        <v>72.89</v>
      </c>
      <c r="I26" s="59">
        <v>1.2</v>
      </c>
      <c r="J26" s="59">
        <v>0.24</v>
      </c>
      <c r="K26" s="59">
        <v>43.27</v>
      </c>
      <c r="L26" s="59">
        <v>23.22</v>
      </c>
      <c r="M26" s="59">
        <v>33.49</v>
      </c>
      <c r="N26" s="59">
        <v>4.3</v>
      </c>
      <c r="O26" s="59">
        <v>0</v>
      </c>
      <c r="P26" s="59">
        <v>2.09</v>
      </c>
      <c r="Q26" s="59">
        <v>37.81</v>
      </c>
      <c r="R26" s="197"/>
      <c r="S26" s="197"/>
      <c r="T26" s="197"/>
      <c r="U26" s="197"/>
    </row>
    <row r="27" spans="1:21" s="12" customFormat="1" x14ac:dyDescent="0.25">
      <c r="A27" s="200" t="s">
        <v>649</v>
      </c>
      <c r="B27" s="59">
        <v>96.61</v>
      </c>
      <c r="C27" s="59">
        <v>105.3</v>
      </c>
      <c r="D27" s="59">
        <v>135.58000000000001</v>
      </c>
      <c r="E27" s="59">
        <v>6.64</v>
      </c>
      <c r="F27" s="59">
        <v>2.94</v>
      </c>
      <c r="G27" s="59">
        <v>90.98</v>
      </c>
      <c r="H27" s="59">
        <v>65.31</v>
      </c>
      <c r="I27" s="59">
        <v>1.1599999999999999</v>
      </c>
      <c r="J27" s="59">
        <v>0.27</v>
      </c>
      <c r="K27" s="59">
        <v>29.54</v>
      </c>
      <c r="L27" s="59">
        <v>23.1</v>
      </c>
      <c r="M27" s="59">
        <v>35.409999999999997</v>
      </c>
      <c r="N27" s="59">
        <v>4.2</v>
      </c>
      <c r="O27" s="59">
        <v>0</v>
      </c>
      <c r="P27" s="59">
        <v>2.06</v>
      </c>
      <c r="Q27" s="59">
        <v>37.32</v>
      </c>
      <c r="R27" s="197"/>
      <c r="S27" s="197"/>
      <c r="T27" s="197"/>
      <c r="U27" s="197"/>
    </row>
    <row r="28" spans="1:21" s="12" customFormat="1" x14ac:dyDescent="0.25">
      <c r="A28" s="200" t="s">
        <v>650</v>
      </c>
      <c r="B28" s="59">
        <v>91.92</v>
      </c>
      <c r="C28" s="59">
        <v>105.71</v>
      </c>
      <c r="D28" s="59">
        <v>132.05000000000001</v>
      </c>
      <c r="E28" s="59">
        <v>7.09</v>
      </c>
      <c r="F28" s="59">
        <v>2.96</v>
      </c>
      <c r="G28" s="59">
        <v>90.98</v>
      </c>
      <c r="H28" s="59">
        <v>65.31</v>
      </c>
      <c r="I28" s="59">
        <v>1.1200000000000001</v>
      </c>
      <c r="J28" s="59">
        <v>0.49</v>
      </c>
      <c r="K28" s="59">
        <v>25.69</v>
      </c>
      <c r="L28" s="59">
        <v>23.23</v>
      </c>
      <c r="M28" s="59">
        <v>36.090000000000003</v>
      </c>
      <c r="N28" s="59">
        <v>3.6</v>
      </c>
      <c r="O28" s="59">
        <v>0</v>
      </c>
      <c r="P28" s="59">
        <v>2.16</v>
      </c>
      <c r="Q28" s="59">
        <v>36.950000000000003</v>
      </c>
      <c r="R28" s="197"/>
      <c r="S28" s="197"/>
      <c r="T28" s="197"/>
      <c r="U28" s="197"/>
    </row>
    <row r="29" spans="1:21" s="12" customFormat="1" x14ac:dyDescent="0.25">
      <c r="A29" s="200" t="s">
        <v>651</v>
      </c>
      <c r="B29" s="59">
        <v>87.5</v>
      </c>
      <c r="C29" s="59">
        <v>105.35</v>
      </c>
      <c r="D29" s="59">
        <v>128.31</v>
      </c>
      <c r="E29" s="59">
        <v>6.63</v>
      </c>
      <c r="F29" s="59">
        <v>2.9</v>
      </c>
      <c r="G29" s="59">
        <v>90.98</v>
      </c>
      <c r="H29" s="59">
        <v>65.31</v>
      </c>
      <c r="I29" s="59">
        <v>1.08</v>
      </c>
      <c r="J29" s="59">
        <v>0.28000000000000003</v>
      </c>
      <c r="K29" s="59">
        <v>32.78</v>
      </c>
      <c r="L29" s="59">
        <v>23.3</v>
      </c>
      <c r="M29" s="59">
        <v>35.32</v>
      </c>
      <c r="N29" s="59">
        <v>4.2</v>
      </c>
      <c r="O29" s="59">
        <v>0</v>
      </c>
      <c r="P29" s="59">
        <v>2.17</v>
      </c>
      <c r="Q29" s="59">
        <v>36.17</v>
      </c>
      <c r="R29" s="197"/>
      <c r="S29" s="197"/>
      <c r="T29" s="197"/>
      <c r="U29" s="197"/>
    </row>
    <row r="30" spans="1:21" s="12" customFormat="1" x14ac:dyDescent="0.25">
      <c r="A30" s="200" t="s">
        <v>652</v>
      </c>
      <c r="B30" s="59">
        <v>84.07</v>
      </c>
      <c r="C30" s="59">
        <v>104.75</v>
      </c>
      <c r="D30" s="59">
        <v>125.23</v>
      </c>
      <c r="E30" s="59">
        <v>5.43</v>
      </c>
      <c r="F30" s="59">
        <v>2.91</v>
      </c>
      <c r="G30" s="59">
        <v>94.07</v>
      </c>
      <c r="H30" s="59">
        <v>65.19</v>
      </c>
      <c r="I30" s="59">
        <v>0.98</v>
      </c>
      <c r="J30" s="59">
        <v>0.59</v>
      </c>
      <c r="K30" s="59">
        <v>26.15</v>
      </c>
      <c r="L30" s="59">
        <v>23.4</v>
      </c>
      <c r="M30" s="59">
        <v>35.31</v>
      </c>
      <c r="N30" s="59">
        <v>3.5</v>
      </c>
      <c r="O30" s="59">
        <v>0</v>
      </c>
      <c r="P30" s="59">
        <v>1.93</v>
      </c>
      <c r="Q30" s="59">
        <v>35.28</v>
      </c>
      <c r="R30" s="197"/>
      <c r="S30" s="197"/>
      <c r="T30" s="197"/>
      <c r="U30" s="197"/>
    </row>
    <row r="31" spans="1:21" s="12" customFormat="1" x14ac:dyDescent="0.25">
      <c r="A31" s="200" t="s">
        <v>653</v>
      </c>
      <c r="B31" s="59">
        <v>81.08</v>
      </c>
      <c r="C31" s="59">
        <v>104.55</v>
      </c>
      <c r="D31" s="59">
        <v>122.72</v>
      </c>
      <c r="E31" s="59">
        <v>5.75</v>
      </c>
      <c r="F31" s="59">
        <v>3</v>
      </c>
      <c r="G31" s="59">
        <v>130.66999999999999</v>
      </c>
      <c r="H31" s="59">
        <v>63.81</v>
      </c>
      <c r="I31" s="59">
        <v>0.84</v>
      </c>
      <c r="J31" s="59">
        <v>0.44</v>
      </c>
      <c r="K31" s="59">
        <v>23.47</v>
      </c>
      <c r="L31" s="59">
        <v>23.33</v>
      </c>
      <c r="M31" s="59">
        <v>35.659999999999997</v>
      </c>
      <c r="N31" s="59">
        <v>4.2</v>
      </c>
      <c r="O31" s="59">
        <v>0</v>
      </c>
      <c r="P31" s="59">
        <v>2.0499999999999998</v>
      </c>
      <c r="Q31" s="59">
        <v>34.67</v>
      </c>
      <c r="R31" s="197"/>
      <c r="S31" s="197"/>
      <c r="T31" s="197"/>
      <c r="U31" s="197"/>
    </row>
    <row r="32" spans="1:21" s="12" customFormat="1" x14ac:dyDescent="0.25">
      <c r="A32" s="200" t="s">
        <v>654</v>
      </c>
      <c r="B32" s="59">
        <v>78</v>
      </c>
      <c r="C32" s="59">
        <v>103.81</v>
      </c>
      <c r="D32" s="59">
        <v>119.84</v>
      </c>
      <c r="E32" s="59">
        <v>5.46</v>
      </c>
      <c r="F32" s="59">
        <v>2.95</v>
      </c>
      <c r="G32" s="59">
        <v>130.66999999999999</v>
      </c>
      <c r="H32" s="59">
        <v>63.81</v>
      </c>
      <c r="I32" s="59">
        <v>0.8</v>
      </c>
      <c r="J32" s="59">
        <v>0.23</v>
      </c>
      <c r="K32" s="59">
        <v>35.1</v>
      </c>
      <c r="L32" s="59">
        <v>23.12</v>
      </c>
      <c r="M32" s="59">
        <v>36.44</v>
      </c>
      <c r="N32" s="59">
        <v>4.5999999999999996</v>
      </c>
      <c r="O32" s="59">
        <v>0</v>
      </c>
      <c r="P32" s="59">
        <v>1.98</v>
      </c>
      <c r="Q32" s="59">
        <v>34.409999999999997</v>
      </c>
      <c r="R32" s="197"/>
      <c r="S32" s="197"/>
      <c r="T32" s="197"/>
      <c r="U32" s="197"/>
    </row>
    <row r="33" spans="1:21" s="12" customFormat="1" x14ac:dyDescent="0.25">
      <c r="A33" s="200" t="s">
        <v>655</v>
      </c>
      <c r="B33" s="59">
        <v>76.39</v>
      </c>
      <c r="C33" s="59">
        <v>103.43</v>
      </c>
      <c r="D33" s="59">
        <v>118.34</v>
      </c>
      <c r="E33" s="59">
        <v>5.48</v>
      </c>
      <c r="F33" s="59">
        <v>2.99</v>
      </c>
      <c r="G33" s="59">
        <v>130.66999999999999</v>
      </c>
      <c r="H33" s="59">
        <v>63.81</v>
      </c>
      <c r="I33" s="59">
        <v>0.89</v>
      </c>
      <c r="J33" s="59">
        <v>0.23</v>
      </c>
      <c r="K33" s="59">
        <v>62.49</v>
      </c>
      <c r="L33" s="59">
        <v>22.82</v>
      </c>
      <c r="M33" s="59">
        <v>38.549999999999997</v>
      </c>
      <c r="N33" s="59">
        <v>5.6</v>
      </c>
      <c r="O33" s="59">
        <v>0</v>
      </c>
      <c r="P33" s="59">
        <v>2</v>
      </c>
      <c r="Q33" s="59">
        <v>34.33</v>
      </c>
      <c r="R33" s="197"/>
      <c r="S33" s="197"/>
      <c r="T33" s="197"/>
      <c r="U33" s="197"/>
    </row>
    <row r="34" spans="1:21" s="12" customFormat="1" x14ac:dyDescent="0.25">
      <c r="A34" s="200" t="s">
        <v>656</v>
      </c>
      <c r="B34" s="59">
        <v>75.86</v>
      </c>
      <c r="C34" s="59">
        <v>103.4</v>
      </c>
      <c r="D34" s="59">
        <v>117.9</v>
      </c>
      <c r="E34" s="59">
        <v>6.48</v>
      </c>
      <c r="F34" s="59">
        <v>3.06</v>
      </c>
      <c r="G34" s="59">
        <v>120.51</v>
      </c>
      <c r="H34" s="59">
        <v>63.4</v>
      </c>
      <c r="I34" s="59">
        <v>0.86</v>
      </c>
      <c r="J34" s="59">
        <v>0.3</v>
      </c>
      <c r="K34" s="59">
        <v>56.75</v>
      </c>
      <c r="L34" s="59">
        <v>22.58</v>
      </c>
      <c r="M34" s="59">
        <v>40.07</v>
      </c>
      <c r="N34" s="59">
        <v>10.7</v>
      </c>
      <c r="O34" s="59">
        <v>0</v>
      </c>
      <c r="P34" s="59">
        <v>2.14</v>
      </c>
      <c r="Q34" s="59">
        <v>34.479999999999997</v>
      </c>
      <c r="R34" s="197"/>
      <c r="S34" s="197"/>
      <c r="T34" s="197"/>
      <c r="U34" s="197"/>
    </row>
    <row r="35" spans="1:21" s="12" customFormat="1" x14ac:dyDescent="0.25">
      <c r="A35" s="200" t="s">
        <v>657</v>
      </c>
      <c r="B35" s="59">
        <v>75.62</v>
      </c>
      <c r="C35" s="59">
        <v>103.03</v>
      </c>
      <c r="D35" s="59">
        <v>117.51</v>
      </c>
      <c r="E35" s="59">
        <v>6.13</v>
      </c>
      <c r="F35" s="59">
        <v>3.07</v>
      </c>
      <c r="G35" s="209" t="s">
        <v>36</v>
      </c>
      <c r="H35" s="59">
        <v>58.53</v>
      </c>
      <c r="I35" s="59">
        <v>0.87</v>
      </c>
      <c r="J35" s="59">
        <v>0.42</v>
      </c>
      <c r="K35" s="59">
        <v>22.72</v>
      </c>
      <c r="L35" s="59">
        <v>22.62</v>
      </c>
      <c r="M35" s="59">
        <v>41.34</v>
      </c>
      <c r="N35" s="59">
        <v>22.8</v>
      </c>
      <c r="O35" s="59">
        <v>0</v>
      </c>
      <c r="P35" s="59">
        <v>2.04</v>
      </c>
      <c r="Q35" s="59">
        <v>34.64</v>
      </c>
      <c r="R35" s="197"/>
      <c r="S35" s="197"/>
      <c r="T35" s="197"/>
      <c r="U35" s="197"/>
    </row>
    <row r="36" spans="1:21" s="12" customFormat="1" x14ac:dyDescent="0.25">
      <c r="A36" s="200" t="s">
        <v>658</v>
      </c>
      <c r="B36" s="59">
        <v>74.64</v>
      </c>
      <c r="C36" s="59">
        <v>102.74</v>
      </c>
      <c r="D36" s="59">
        <v>116.56</v>
      </c>
      <c r="E36" s="59">
        <v>6.59</v>
      </c>
      <c r="F36" s="59">
        <v>3.14</v>
      </c>
      <c r="G36" s="209" t="s">
        <v>36</v>
      </c>
      <c r="H36" s="59">
        <v>58.53</v>
      </c>
      <c r="I36" s="59">
        <v>0.82</v>
      </c>
      <c r="J36" s="59">
        <v>0.35</v>
      </c>
      <c r="K36" s="59">
        <v>26.83</v>
      </c>
      <c r="L36" s="59">
        <v>23.08</v>
      </c>
      <c r="M36" s="59">
        <v>41.02</v>
      </c>
      <c r="N36" s="59">
        <v>51.1</v>
      </c>
      <c r="O36" s="59">
        <v>0</v>
      </c>
      <c r="P36" s="59">
        <v>2.06</v>
      </c>
      <c r="Q36" s="59">
        <v>34.86</v>
      </c>
      <c r="R36" s="197"/>
      <c r="S36" s="197"/>
      <c r="T36" s="197"/>
      <c r="U36" s="197"/>
    </row>
    <row r="37" spans="1:21" s="12" customFormat="1" x14ac:dyDescent="0.25">
      <c r="A37" s="200" t="s">
        <v>659</v>
      </c>
      <c r="B37" s="59">
        <v>75.38</v>
      </c>
      <c r="C37" s="59">
        <v>103.64</v>
      </c>
      <c r="D37" s="59">
        <v>117.65</v>
      </c>
      <c r="E37" s="59">
        <v>7.1</v>
      </c>
      <c r="F37" s="59">
        <v>3.04</v>
      </c>
      <c r="G37" s="209" t="s">
        <v>36</v>
      </c>
      <c r="H37" s="59">
        <v>58.53</v>
      </c>
      <c r="I37" s="59">
        <v>0.81</v>
      </c>
      <c r="J37" s="59">
        <v>0.42</v>
      </c>
      <c r="K37" s="59">
        <v>28.1</v>
      </c>
      <c r="L37" s="59">
        <v>24.13</v>
      </c>
      <c r="M37" s="59">
        <v>39.79</v>
      </c>
      <c r="N37" s="59">
        <v>90.1</v>
      </c>
      <c r="O37" s="59">
        <v>0</v>
      </c>
      <c r="P37" s="59">
        <v>1.98</v>
      </c>
      <c r="Q37" s="59">
        <v>35.799999999999997</v>
      </c>
      <c r="R37" s="197"/>
      <c r="S37" s="197"/>
      <c r="T37" s="197"/>
      <c r="U37" s="197"/>
    </row>
    <row r="38" spans="1:21" s="12" customFormat="1" x14ac:dyDescent="0.25">
      <c r="A38" s="200" t="s">
        <v>660</v>
      </c>
      <c r="B38" s="59">
        <v>76.069999999999993</v>
      </c>
      <c r="C38" s="59">
        <v>104.36</v>
      </c>
      <c r="D38" s="59">
        <v>118.6</v>
      </c>
      <c r="E38" s="59">
        <v>7.48</v>
      </c>
      <c r="F38" s="59">
        <v>3.02</v>
      </c>
      <c r="G38" s="209" t="s">
        <v>36</v>
      </c>
      <c r="H38" s="59">
        <v>58.64</v>
      </c>
      <c r="I38" s="59">
        <v>0.87</v>
      </c>
      <c r="J38" s="59">
        <v>0.6</v>
      </c>
      <c r="K38" s="59">
        <v>27.15</v>
      </c>
      <c r="L38" s="59">
        <v>25.31</v>
      </c>
      <c r="M38" s="59">
        <v>36.93</v>
      </c>
      <c r="N38" s="59">
        <v>129.5</v>
      </c>
      <c r="O38" s="59">
        <v>0</v>
      </c>
      <c r="P38" s="59">
        <v>2.0499999999999998</v>
      </c>
      <c r="Q38" s="59">
        <v>36.130000000000003</v>
      </c>
      <c r="R38" s="197"/>
      <c r="S38" s="197"/>
      <c r="T38" s="197"/>
      <c r="U38" s="197"/>
    </row>
    <row r="39" spans="1:21" s="12" customFormat="1" x14ac:dyDescent="0.25">
      <c r="A39" s="200" t="s">
        <v>661</v>
      </c>
      <c r="B39" s="59">
        <v>74.319999999999993</v>
      </c>
      <c r="C39" s="59">
        <v>105.6</v>
      </c>
      <c r="D39" s="59">
        <v>117.88</v>
      </c>
      <c r="E39" s="59">
        <v>7.11</v>
      </c>
      <c r="F39" s="59">
        <v>3.08</v>
      </c>
      <c r="G39" s="59">
        <v>250.29</v>
      </c>
      <c r="H39" s="59">
        <v>60.13</v>
      </c>
      <c r="I39" s="59">
        <v>0.85</v>
      </c>
      <c r="J39" s="59">
        <v>0.67</v>
      </c>
      <c r="K39" s="59">
        <v>30.71</v>
      </c>
      <c r="L39" s="59">
        <v>26.1</v>
      </c>
      <c r="M39" s="59">
        <v>35.31</v>
      </c>
      <c r="N39" s="59">
        <v>167.5</v>
      </c>
      <c r="O39" s="59">
        <v>0</v>
      </c>
      <c r="P39" s="59">
        <v>2.0099999999999998</v>
      </c>
      <c r="Q39" s="59">
        <v>35.69</v>
      </c>
      <c r="R39" s="197"/>
      <c r="S39" s="197"/>
      <c r="T39" s="197"/>
      <c r="U39" s="197"/>
    </row>
    <row r="40" spans="1:21" s="12" customFormat="1" x14ac:dyDescent="0.25">
      <c r="A40" s="200" t="s">
        <v>662</v>
      </c>
      <c r="B40" s="59">
        <v>71.75</v>
      </c>
      <c r="C40" s="59">
        <v>106.67</v>
      </c>
      <c r="D40" s="59">
        <v>116.4</v>
      </c>
      <c r="E40" s="59">
        <v>3.09</v>
      </c>
      <c r="F40" s="59">
        <v>3.25</v>
      </c>
      <c r="G40" s="59">
        <v>250.29</v>
      </c>
      <c r="H40" s="59">
        <v>60.13</v>
      </c>
      <c r="I40" s="59">
        <v>0.82</v>
      </c>
      <c r="J40" s="59">
        <v>0.72</v>
      </c>
      <c r="K40" s="59">
        <v>27.9</v>
      </c>
      <c r="L40" s="59">
        <v>26.98</v>
      </c>
      <c r="M40" s="59">
        <v>33.49</v>
      </c>
      <c r="N40" s="59">
        <v>205.7</v>
      </c>
      <c r="O40" s="59">
        <v>0</v>
      </c>
      <c r="P40" s="59">
        <v>1.98</v>
      </c>
      <c r="Q40" s="59">
        <v>35.549999999999997</v>
      </c>
      <c r="R40" s="197"/>
      <c r="S40" s="197"/>
      <c r="T40" s="197"/>
      <c r="U40" s="197"/>
    </row>
    <row r="41" spans="1:21" s="12" customFormat="1" x14ac:dyDescent="0.25">
      <c r="A41" s="200" t="s">
        <v>663</v>
      </c>
      <c r="B41" s="59">
        <v>69.459999999999994</v>
      </c>
      <c r="C41" s="59">
        <v>108.2</v>
      </c>
      <c r="D41" s="59">
        <v>115.41</v>
      </c>
      <c r="E41" s="59">
        <v>7.32</v>
      </c>
      <c r="F41" s="59">
        <v>3.09</v>
      </c>
      <c r="G41" s="59">
        <v>250.29</v>
      </c>
      <c r="H41" s="59">
        <v>60.13</v>
      </c>
      <c r="I41" s="59">
        <v>0.8</v>
      </c>
      <c r="J41" s="59">
        <v>0.56999999999999995</v>
      </c>
      <c r="K41" s="59">
        <v>53.97</v>
      </c>
      <c r="L41" s="59">
        <v>27.44</v>
      </c>
      <c r="M41" s="59">
        <v>33.090000000000003</v>
      </c>
      <c r="N41" s="59">
        <v>244.3</v>
      </c>
      <c r="O41" s="59">
        <v>0</v>
      </c>
      <c r="P41" s="59">
        <v>1.94</v>
      </c>
      <c r="Q41" s="59">
        <v>35.29</v>
      </c>
      <c r="R41" s="197"/>
      <c r="S41" s="197"/>
      <c r="T41" s="197"/>
      <c r="U41" s="197"/>
    </row>
    <row r="42" spans="1:21" s="12" customFormat="1" x14ac:dyDescent="0.25">
      <c r="A42" s="200" t="s">
        <v>664</v>
      </c>
      <c r="B42" s="59">
        <v>67.38</v>
      </c>
      <c r="C42" s="59">
        <v>110.12</v>
      </c>
      <c r="D42" s="59">
        <v>114.8</v>
      </c>
      <c r="E42" s="59">
        <v>7.04</v>
      </c>
      <c r="F42" s="59">
        <v>3.05</v>
      </c>
      <c r="G42" s="59">
        <v>114.71</v>
      </c>
      <c r="H42" s="59">
        <v>59.66</v>
      </c>
      <c r="I42" s="59">
        <v>0.82</v>
      </c>
      <c r="J42" s="59">
        <v>0.81</v>
      </c>
      <c r="K42" s="59">
        <v>79.41</v>
      </c>
      <c r="L42" s="59">
        <v>27.66</v>
      </c>
      <c r="M42" s="59">
        <v>33.17</v>
      </c>
      <c r="N42" s="59">
        <v>288.3</v>
      </c>
      <c r="O42" s="59">
        <v>0</v>
      </c>
      <c r="P42" s="59">
        <v>1.88</v>
      </c>
      <c r="Q42" s="59">
        <v>35.119999999999997</v>
      </c>
      <c r="R42" s="197"/>
      <c r="S42" s="197"/>
      <c r="T42" s="197"/>
      <c r="U42" s="197"/>
    </row>
    <row r="43" spans="1:21" s="12" customFormat="1" x14ac:dyDescent="0.25">
      <c r="A43" s="200" t="s">
        <v>665</v>
      </c>
      <c r="B43" s="59">
        <v>64.540000000000006</v>
      </c>
      <c r="C43" s="59">
        <v>111.52</v>
      </c>
      <c r="D43" s="59">
        <v>113.3</v>
      </c>
      <c r="E43" s="59">
        <v>6.93</v>
      </c>
      <c r="F43" s="59">
        <v>2.8</v>
      </c>
      <c r="G43" s="59">
        <v>114.71</v>
      </c>
      <c r="H43" s="59">
        <v>54.13</v>
      </c>
      <c r="I43" s="59">
        <v>0.79</v>
      </c>
      <c r="J43" s="59">
        <v>1.47</v>
      </c>
      <c r="K43" s="59">
        <v>102.11</v>
      </c>
      <c r="L43" s="59">
        <v>27.33</v>
      </c>
      <c r="M43" s="59">
        <v>34.270000000000003</v>
      </c>
      <c r="N43" s="59">
        <v>333.1</v>
      </c>
      <c r="O43" s="59">
        <v>0</v>
      </c>
      <c r="P43" s="59">
        <v>1.79</v>
      </c>
      <c r="Q43" s="59">
        <v>34.56</v>
      </c>
      <c r="R43" s="197"/>
      <c r="S43" s="197"/>
      <c r="T43" s="197"/>
      <c r="U43" s="197"/>
    </row>
    <row r="44" spans="1:21" s="12" customFormat="1" x14ac:dyDescent="0.25">
      <c r="A44" s="200" t="s">
        <v>666</v>
      </c>
      <c r="B44" s="59">
        <v>61.25</v>
      </c>
      <c r="C44" s="59">
        <v>111.17</v>
      </c>
      <c r="D44" s="59">
        <v>110.47</v>
      </c>
      <c r="E44" s="59">
        <v>5.75</v>
      </c>
      <c r="F44" s="59">
        <v>3.74</v>
      </c>
      <c r="G44" s="59">
        <v>114.71</v>
      </c>
      <c r="H44" s="59">
        <v>54.13</v>
      </c>
      <c r="I44" s="59">
        <v>0.76</v>
      </c>
      <c r="J44" s="59">
        <v>1.5</v>
      </c>
      <c r="K44" s="59">
        <v>97.18</v>
      </c>
      <c r="L44" s="59">
        <v>27.58</v>
      </c>
      <c r="M44" s="59">
        <v>33.64</v>
      </c>
      <c r="N44" s="59">
        <v>375.7</v>
      </c>
      <c r="O44" s="59">
        <v>0</v>
      </c>
      <c r="P44" s="59">
        <v>1.66</v>
      </c>
      <c r="Q44" s="59">
        <v>33.590000000000003</v>
      </c>
      <c r="R44" s="197"/>
      <c r="S44" s="197"/>
      <c r="T44" s="197"/>
      <c r="U44" s="197"/>
    </row>
    <row r="45" spans="1:21" s="12" customFormat="1" x14ac:dyDescent="0.25">
      <c r="A45" s="200" t="s">
        <v>667</v>
      </c>
      <c r="B45" s="59">
        <v>57.71</v>
      </c>
      <c r="C45" s="59">
        <v>111.93</v>
      </c>
      <c r="D45" s="59">
        <v>108.05</v>
      </c>
      <c r="E45" s="59">
        <v>5.2</v>
      </c>
      <c r="F45" s="59">
        <v>3.2</v>
      </c>
      <c r="G45" s="59">
        <v>114.71</v>
      </c>
      <c r="H45" s="59">
        <v>54.13</v>
      </c>
      <c r="I45" s="59">
        <v>0.75</v>
      </c>
      <c r="J45" s="59">
        <v>0.97</v>
      </c>
      <c r="K45" s="59">
        <v>99.55</v>
      </c>
      <c r="L45" s="59">
        <v>29.02</v>
      </c>
      <c r="M45" s="59">
        <v>32.159999999999997</v>
      </c>
      <c r="N45" s="59">
        <v>412.7</v>
      </c>
      <c r="O45" s="59">
        <v>0</v>
      </c>
      <c r="P45" s="59">
        <v>1.62</v>
      </c>
      <c r="Q45" s="59">
        <v>32.299999999999997</v>
      </c>
      <c r="R45" s="197"/>
      <c r="S45" s="197"/>
      <c r="T45" s="197"/>
      <c r="U45" s="197"/>
    </row>
    <row r="46" spans="1:21" s="12" customFormat="1" x14ac:dyDescent="0.25">
      <c r="A46" s="200" t="s">
        <v>668</v>
      </c>
      <c r="B46" s="59">
        <v>54.41</v>
      </c>
      <c r="C46" s="59">
        <v>112.93</v>
      </c>
      <c r="D46" s="59">
        <v>105.96</v>
      </c>
      <c r="E46" s="59">
        <v>5.24</v>
      </c>
      <c r="F46" s="59">
        <v>3.08</v>
      </c>
      <c r="G46" s="59">
        <v>111.8</v>
      </c>
      <c r="H46" s="59">
        <v>53.48</v>
      </c>
      <c r="I46" s="59">
        <v>0.72</v>
      </c>
      <c r="J46" s="59">
        <v>1.19</v>
      </c>
      <c r="K46" s="59">
        <v>91.21</v>
      </c>
      <c r="L46" s="59">
        <v>29.7</v>
      </c>
      <c r="M46" s="59">
        <v>30.02</v>
      </c>
      <c r="N46" s="59">
        <v>450.1</v>
      </c>
      <c r="O46" s="59">
        <v>0</v>
      </c>
      <c r="P46" s="59">
        <v>1.48</v>
      </c>
      <c r="Q46" s="59">
        <v>31.8</v>
      </c>
      <c r="R46" s="197"/>
      <c r="S46" s="197"/>
      <c r="T46" s="197"/>
      <c r="U46" s="197"/>
    </row>
    <row r="47" spans="1:21" s="12" customFormat="1" x14ac:dyDescent="0.25">
      <c r="A47" s="200" t="s">
        <v>669</v>
      </c>
      <c r="B47" s="59">
        <v>50.51</v>
      </c>
      <c r="C47" s="59">
        <v>113.29</v>
      </c>
      <c r="D47" s="59">
        <v>103.03</v>
      </c>
      <c r="E47" s="59">
        <v>4.47</v>
      </c>
      <c r="F47" s="59">
        <v>3.02</v>
      </c>
      <c r="G47" s="59">
        <v>77.3</v>
      </c>
      <c r="H47" s="59">
        <v>45.73</v>
      </c>
      <c r="I47" s="59">
        <v>0.7</v>
      </c>
      <c r="J47" s="59">
        <v>1.37</v>
      </c>
      <c r="K47" s="59">
        <v>97.26</v>
      </c>
      <c r="L47" s="59">
        <v>29.65</v>
      </c>
      <c r="M47" s="59">
        <v>29.42</v>
      </c>
      <c r="N47" s="59">
        <v>480.1</v>
      </c>
      <c r="O47" s="59">
        <v>0</v>
      </c>
      <c r="P47" s="59">
        <v>1.42</v>
      </c>
      <c r="Q47" s="59">
        <v>31.22</v>
      </c>
      <c r="R47" s="197"/>
      <c r="S47" s="197"/>
      <c r="T47" s="197"/>
      <c r="U47" s="197"/>
    </row>
    <row r="48" spans="1:21" s="12" customFormat="1" x14ac:dyDescent="0.25">
      <c r="A48" s="200" t="s">
        <v>670</v>
      </c>
      <c r="B48" s="59">
        <v>45.66</v>
      </c>
      <c r="C48" s="59">
        <v>112.96</v>
      </c>
      <c r="D48" s="59">
        <v>98.95</v>
      </c>
      <c r="E48" s="59">
        <v>5.52</v>
      </c>
      <c r="F48" s="59">
        <v>3.2</v>
      </c>
      <c r="G48" s="59">
        <v>77.3</v>
      </c>
      <c r="H48" s="59">
        <v>45.73</v>
      </c>
      <c r="I48" s="59">
        <v>0.68</v>
      </c>
      <c r="J48" s="59">
        <v>1.19</v>
      </c>
      <c r="K48" s="59">
        <v>94.13</v>
      </c>
      <c r="L48" s="59">
        <v>30.36</v>
      </c>
      <c r="M48" s="59">
        <v>28.14</v>
      </c>
      <c r="N48" s="59">
        <v>497.1</v>
      </c>
      <c r="O48" s="59">
        <v>0</v>
      </c>
      <c r="P48" s="59">
        <v>1.36</v>
      </c>
      <c r="Q48" s="59">
        <v>30.62</v>
      </c>
      <c r="R48" s="197"/>
      <c r="S48" s="197"/>
      <c r="T48" s="197"/>
      <c r="U48" s="197"/>
    </row>
    <row r="49" spans="1:21" s="12" customFormat="1" x14ac:dyDescent="0.25">
      <c r="A49" s="200" t="s">
        <v>671</v>
      </c>
      <c r="B49" s="59">
        <v>41.63</v>
      </c>
      <c r="C49" s="59">
        <v>113.1</v>
      </c>
      <c r="D49" s="59">
        <v>95.8</v>
      </c>
      <c r="E49" s="59">
        <v>5.32</v>
      </c>
      <c r="F49" s="59">
        <v>3.27</v>
      </c>
      <c r="G49" s="59">
        <v>77.3</v>
      </c>
      <c r="H49" s="59">
        <v>45.73</v>
      </c>
      <c r="I49" s="59">
        <v>0.66</v>
      </c>
      <c r="J49" s="59">
        <v>1.1000000000000001</v>
      </c>
      <c r="K49" s="59">
        <v>111.73</v>
      </c>
      <c r="L49" s="59">
        <v>31.62</v>
      </c>
      <c r="M49" s="59">
        <v>26.63</v>
      </c>
      <c r="N49" s="59">
        <v>508.1</v>
      </c>
      <c r="O49" s="59">
        <v>0</v>
      </c>
      <c r="P49" s="59">
        <v>1.29</v>
      </c>
      <c r="Q49" s="59">
        <v>30.21</v>
      </c>
      <c r="R49" s="197"/>
      <c r="S49" s="197"/>
      <c r="T49" s="197"/>
      <c r="U49" s="197"/>
    </row>
    <row r="50" spans="1:21" s="12" customFormat="1" x14ac:dyDescent="0.25">
      <c r="A50" s="200" t="s">
        <v>672</v>
      </c>
      <c r="B50" s="59">
        <v>38.590000000000003</v>
      </c>
      <c r="C50" s="59">
        <v>112.94</v>
      </c>
      <c r="D50" s="59">
        <v>93.27</v>
      </c>
      <c r="E50" s="59">
        <v>4.88</v>
      </c>
      <c r="F50" s="59">
        <v>3.15</v>
      </c>
      <c r="G50" s="59">
        <v>76.23</v>
      </c>
      <c r="H50" s="59">
        <v>45.09</v>
      </c>
      <c r="I50" s="59">
        <v>0.64</v>
      </c>
      <c r="J50" s="59">
        <v>1.78</v>
      </c>
      <c r="K50" s="59">
        <v>116.45</v>
      </c>
      <c r="L50" s="59">
        <v>30.77</v>
      </c>
      <c r="M50" s="59">
        <v>26.4</v>
      </c>
      <c r="N50" s="59">
        <v>517.20000000000005</v>
      </c>
      <c r="O50" s="59">
        <v>0</v>
      </c>
      <c r="P50" s="59">
        <v>1.24</v>
      </c>
      <c r="Q50" s="59">
        <v>29.95</v>
      </c>
      <c r="R50" s="197"/>
      <c r="S50" s="197"/>
      <c r="T50" s="197"/>
      <c r="U50" s="197"/>
    </row>
    <row r="51" spans="1:21" s="12" customFormat="1" x14ac:dyDescent="0.25">
      <c r="A51" s="200" t="s">
        <v>673</v>
      </c>
      <c r="B51" s="59">
        <v>34.43</v>
      </c>
      <c r="C51" s="59">
        <v>113.23</v>
      </c>
      <c r="D51" s="59">
        <v>90.09</v>
      </c>
      <c r="E51" s="59">
        <v>4.9800000000000004</v>
      </c>
      <c r="F51" s="59">
        <v>3.36</v>
      </c>
      <c r="G51" s="59">
        <v>63.52</v>
      </c>
      <c r="H51" s="59">
        <v>37.549999999999997</v>
      </c>
      <c r="I51" s="59">
        <v>0.65</v>
      </c>
      <c r="J51" s="59">
        <v>1.08</v>
      </c>
      <c r="K51" s="59">
        <v>114.01</v>
      </c>
      <c r="L51" s="59">
        <v>31.42</v>
      </c>
      <c r="M51" s="59">
        <v>25.51</v>
      </c>
      <c r="N51" s="59">
        <v>521.4</v>
      </c>
      <c r="O51" s="59">
        <v>0</v>
      </c>
      <c r="P51" s="59">
        <v>1.18</v>
      </c>
      <c r="Q51" s="59">
        <v>30.09</v>
      </c>
      <c r="R51" s="197"/>
      <c r="S51" s="197"/>
      <c r="T51" s="197"/>
      <c r="U51" s="197"/>
    </row>
    <row r="52" spans="1:21" s="12" customFormat="1" x14ac:dyDescent="0.25">
      <c r="A52" s="200" t="s">
        <v>674</v>
      </c>
      <c r="B52" s="59">
        <v>29.21</v>
      </c>
      <c r="C52" s="59">
        <v>113.66</v>
      </c>
      <c r="D52" s="59">
        <v>86.15</v>
      </c>
      <c r="E52" s="59">
        <v>5.65</v>
      </c>
      <c r="F52" s="59">
        <v>3.6</v>
      </c>
      <c r="G52" s="59">
        <v>63.52</v>
      </c>
      <c r="H52" s="59">
        <v>37.549999999999997</v>
      </c>
      <c r="I52" s="59">
        <v>0.65</v>
      </c>
      <c r="J52" s="59">
        <v>1.48</v>
      </c>
      <c r="K52" s="59">
        <v>106.85</v>
      </c>
      <c r="L52" s="59">
        <v>31.99</v>
      </c>
      <c r="M52" s="59">
        <v>23.27</v>
      </c>
      <c r="N52" s="59">
        <v>533</v>
      </c>
      <c r="O52" s="59">
        <v>0</v>
      </c>
      <c r="P52" s="59">
        <v>1.1000000000000001</v>
      </c>
      <c r="Q52" s="59">
        <v>30.58</v>
      </c>
      <c r="R52" s="197"/>
      <c r="S52" s="197"/>
      <c r="T52" s="197"/>
      <c r="U52" s="197"/>
    </row>
    <row r="53" spans="1:21" s="12" customFormat="1" x14ac:dyDescent="0.25">
      <c r="A53" s="200" t="s">
        <v>675</v>
      </c>
      <c r="B53" s="59">
        <v>24.32</v>
      </c>
      <c r="C53" s="59">
        <v>114.06</v>
      </c>
      <c r="D53" s="59">
        <v>82.45</v>
      </c>
      <c r="E53" s="59">
        <v>5.96</v>
      </c>
      <c r="F53" s="59">
        <v>3.54</v>
      </c>
      <c r="G53" s="59">
        <v>63.52</v>
      </c>
      <c r="H53" s="59">
        <v>37.549999999999997</v>
      </c>
      <c r="I53" s="59">
        <v>0.63</v>
      </c>
      <c r="J53" s="59">
        <v>1.04</v>
      </c>
      <c r="K53" s="59">
        <v>97.46</v>
      </c>
      <c r="L53" s="59">
        <v>32.93</v>
      </c>
      <c r="M53" s="59">
        <v>22.19</v>
      </c>
      <c r="N53" s="59">
        <v>528.70000000000005</v>
      </c>
      <c r="O53" s="59">
        <v>0</v>
      </c>
      <c r="P53" s="59">
        <v>1.04</v>
      </c>
      <c r="Q53" s="59">
        <v>30.24</v>
      </c>
      <c r="R53" s="197"/>
      <c r="S53" s="197"/>
      <c r="T53" s="197"/>
      <c r="U53" s="197"/>
    </row>
    <row r="54" spans="1:21" s="12" customFormat="1" x14ac:dyDescent="0.25">
      <c r="A54" s="200" t="s">
        <v>676</v>
      </c>
      <c r="B54" s="59">
        <v>19.95</v>
      </c>
      <c r="C54" s="59">
        <v>115.12</v>
      </c>
      <c r="D54" s="59">
        <v>79.540000000000006</v>
      </c>
      <c r="E54" s="59">
        <v>5.6</v>
      </c>
      <c r="F54" s="59">
        <v>3.37</v>
      </c>
      <c r="G54" s="59">
        <v>63.23</v>
      </c>
      <c r="H54" s="59">
        <v>37.229999999999997</v>
      </c>
      <c r="I54" s="59">
        <v>0.63</v>
      </c>
      <c r="J54" s="59">
        <v>1.31</v>
      </c>
      <c r="K54" s="59">
        <v>127.18</v>
      </c>
      <c r="L54" s="59">
        <v>32.619999999999997</v>
      </c>
      <c r="M54" s="59">
        <v>21.85</v>
      </c>
      <c r="N54" s="59">
        <v>532.29999999999995</v>
      </c>
      <c r="O54" s="59">
        <v>0</v>
      </c>
      <c r="P54" s="59">
        <v>0.98</v>
      </c>
      <c r="Q54" s="59">
        <v>29.73</v>
      </c>
      <c r="R54" s="197"/>
      <c r="S54" s="197"/>
      <c r="T54" s="197"/>
      <c r="U54" s="197"/>
    </row>
    <row r="55" spans="1:21" s="12" customFormat="1" x14ac:dyDescent="0.25">
      <c r="A55" s="200" t="s">
        <v>677</v>
      </c>
      <c r="B55" s="59">
        <v>15.42</v>
      </c>
      <c r="C55" s="59">
        <v>116.29</v>
      </c>
      <c r="D55" s="59">
        <v>76.540000000000006</v>
      </c>
      <c r="E55" s="59">
        <v>4.7300000000000004</v>
      </c>
      <c r="F55" s="59">
        <v>3.28</v>
      </c>
      <c r="G55" s="59">
        <v>59.75</v>
      </c>
      <c r="H55" s="59">
        <v>33.5</v>
      </c>
      <c r="I55" s="59">
        <v>0.61</v>
      </c>
      <c r="J55" s="59">
        <v>0.97</v>
      </c>
      <c r="K55" s="59">
        <v>129.16</v>
      </c>
      <c r="L55" s="59">
        <v>33.020000000000003</v>
      </c>
      <c r="M55" s="59">
        <v>19.91</v>
      </c>
      <c r="N55" s="59">
        <v>532.20000000000005</v>
      </c>
      <c r="O55" s="59">
        <v>0</v>
      </c>
      <c r="P55" s="59">
        <v>0.91</v>
      </c>
      <c r="Q55" s="59">
        <v>29.13</v>
      </c>
      <c r="R55" s="197"/>
      <c r="S55" s="197"/>
      <c r="T55" s="197"/>
      <c r="U55" s="197"/>
    </row>
    <row r="56" spans="1:21" s="12" customFormat="1" x14ac:dyDescent="0.25">
      <c r="A56" s="200" t="s">
        <v>678</v>
      </c>
      <c r="B56" s="59">
        <v>11.2</v>
      </c>
      <c r="C56" s="59">
        <v>116.75</v>
      </c>
      <c r="D56" s="59">
        <v>73.41</v>
      </c>
      <c r="E56" s="59">
        <v>3.01</v>
      </c>
      <c r="F56" s="59">
        <v>3.05</v>
      </c>
      <c r="G56" s="59">
        <v>59.75</v>
      </c>
      <c r="H56" s="59">
        <v>33.5</v>
      </c>
      <c r="I56" s="59">
        <v>0.6</v>
      </c>
      <c r="J56" s="59">
        <v>0.63</v>
      </c>
      <c r="K56" s="59">
        <v>118.89</v>
      </c>
      <c r="L56" s="59">
        <v>33.82</v>
      </c>
      <c r="M56" s="59">
        <v>19.47</v>
      </c>
      <c r="N56" s="59">
        <v>519.6</v>
      </c>
      <c r="O56" s="59">
        <v>0</v>
      </c>
      <c r="P56" s="59">
        <v>0.85</v>
      </c>
      <c r="Q56" s="59">
        <v>28.98</v>
      </c>
      <c r="R56" s="197"/>
      <c r="S56" s="197"/>
      <c r="T56" s="197"/>
      <c r="U56" s="197"/>
    </row>
    <row r="57" spans="1:21" s="12" customFormat="1" x14ac:dyDescent="0.25">
      <c r="A57" s="200" t="s">
        <v>679</v>
      </c>
      <c r="B57" s="59">
        <v>7.96</v>
      </c>
      <c r="C57" s="59">
        <v>117.29</v>
      </c>
      <c r="D57" s="59">
        <v>71.11</v>
      </c>
      <c r="E57" s="59">
        <v>5.76</v>
      </c>
      <c r="F57" s="59">
        <v>4.78</v>
      </c>
      <c r="G57" s="59">
        <v>59.75</v>
      </c>
      <c r="H57" s="59">
        <v>33.5</v>
      </c>
      <c r="I57" s="59">
        <v>0.59</v>
      </c>
      <c r="J57" s="59">
        <v>0.7</v>
      </c>
      <c r="K57" s="59">
        <v>165.68</v>
      </c>
      <c r="L57" s="59">
        <v>34.130000000000003</v>
      </c>
      <c r="M57" s="59">
        <v>18.059999999999999</v>
      </c>
      <c r="N57" s="59">
        <v>511.9</v>
      </c>
      <c r="O57" s="59">
        <v>0</v>
      </c>
      <c r="P57" s="59">
        <v>0.83</v>
      </c>
      <c r="Q57" s="59">
        <v>28.71</v>
      </c>
      <c r="R57" s="197"/>
      <c r="S57" s="197"/>
      <c r="T57" s="197"/>
      <c r="U57" s="197"/>
    </row>
    <row r="58" spans="1:21" s="12" customFormat="1" x14ac:dyDescent="0.25">
      <c r="A58" s="200" t="s">
        <v>680</v>
      </c>
      <c r="B58" s="59">
        <v>5.89</v>
      </c>
      <c r="C58" s="59">
        <v>116.74</v>
      </c>
      <c r="D58" s="59">
        <v>69.150000000000006</v>
      </c>
      <c r="E58" s="59">
        <v>6.14</v>
      </c>
      <c r="F58" s="59">
        <v>4.0199999999999996</v>
      </c>
      <c r="G58" s="59">
        <v>58.09</v>
      </c>
      <c r="H58" s="59">
        <v>33.03</v>
      </c>
      <c r="I58" s="59">
        <v>0.57999999999999996</v>
      </c>
      <c r="J58" s="59">
        <v>0.71</v>
      </c>
      <c r="K58" s="59">
        <v>158.96</v>
      </c>
      <c r="L58" s="59">
        <v>34.65</v>
      </c>
      <c r="M58" s="59">
        <v>17.12</v>
      </c>
      <c r="N58" s="59">
        <v>498.6</v>
      </c>
      <c r="O58" s="59">
        <v>0</v>
      </c>
      <c r="P58" s="59">
        <v>0.69</v>
      </c>
      <c r="Q58" s="59">
        <v>28.2</v>
      </c>
      <c r="R58" s="197"/>
      <c r="S58" s="197"/>
      <c r="T58" s="197"/>
      <c r="U58" s="197"/>
    </row>
    <row r="59" spans="1:21" s="12" customFormat="1" x14ac:dyDescent="0.25">
      <c r="A59" s="200" t="s">
        <v>681</v>
      </c>
      <c r="B59" s="59">
        <v>5.44</v>
      </c>
      <c r="C59" s="59">
        <v>116.15</v>
      </c>
      <c r="D59" s="59">
        <v>68.459999999999994</v>
      </c>
      <c r="E59" s="59">
        <v>5.68</v>
      </c>
      <c r="F59" s="59">
        <v>3.69</v>
      </c>
      <c r="G59" s="59">
        <v>38.35</v>
      </c>
      <c r="H59" s="59">
        <v>27.53</v>
      </c>
      <c r="I59" s="59">
        <v>0.56000000000000005</v>
      </c>
      <c r="J59" s="59">
        <v>0.37</v>
      </c>
      <c r="K59" s="59">
        <v>199.67</v>
      </c>
      <c r="L59" s="59">
        <v>35.31</v>
      </c>
      <c r="M59" s="59">
        <v>16.239999999999998</v>
      </c>
      <c r="N59" s="59">
        <v>486</v>
      </c>
      <c r="O59" s="59">
        <v>0</v>
      </c>
      <c r="P59" s="59">
        <v>0.72</v>
      </c>
      <c r="Q59" s="59">
        <v>28.01</v>
      </c>
      <c r="R59" s="197"/>
      <c r="S59" s="197"/>
      <c r="T59" s="197"/>
      <c r="U59" s="197"/>
    </row>
    <row r="60" spans="1:21" s="12" customFormat="1" x14ac:dyDescent="0.25">
      <c r="A60" s="200" t="s">
        <v>682</v>
      </c>
      <c r="B60" s="59">
        <v>4.99</v>
      </c>
      <c r="C60" s="59">
        <v>114.93</v>
      </c>
      <c r="D60" s="59">
        <v>67.42</v>
      </c>
      <c r="E60" s="59">
        <v>6.08</v>
      </c>
      <c r="F60" s="59">
        <v>3.75</v>
      </c>
      <c r="G60" s="59">
        <v>38.35</v>
      </c>
      <c r="H60" s="59">
        <v>27.53</v>
      </c>
      <c r="I60" s="59">
        <v>0.55000000000000004</v>
      </c>
      <c r="J60" s="59">
        <v>0.19</v>
      </c>
      <c r="K60" s="59">
        <v>351.36</v>
      </c>
      <c r="L60" s="59">
        <v>36.25</v>
      </c>
      <c r="M60" s="59">
        <v>16.05</v>
      </c>
      <c r="N60" s="59">
        <v>472.6</v>
      </c>
      <c r="O60" s="59">
        <v>0</v>
      </c>
      <c r="P60" s="59">
        <v>0.75</v>
      </c>
      <c r="Q60" s="59">
        <v>27.57</v>
      </c>
      <c r="R60" s="197"/>
      <c r="S60" s="197"/>
      <c r="T60" s="197"/>
      <c r="U60" s="197"/>
    </row>
    <row r="61" spans="1:21" s="12" customFormat="1" x14ac:dyDescent="0.25">
      <c r="A61" s="200" t="s">
        <v>683</v>
      </c>
      <c r="B61" s="59">
        <v>4.1100000000000003</v>
      </c>
      <c r="C61" s="59">
        <v>114.98</v>
      </c>
      <c r="D61" s="59">
        <v>66.75</v>
      </c>
      <c r="E61" s="59">
        <v>6.18</v>
      </c>
      <c r="F61" s="59">
        <v>3.38</v>
      </c>
      <c r="G61" s="59">
        <v>38.35</v>
      </c>
      <c r="H61" s="59">
        <v>27.53</v>
      </c>
      <c r="I61" s="59">
        <v>0.57999999999999996</v>
      </c>
      <c r="J61" s="59">
        <v>0.56999999999999995</v>
      </c>
      <c r="K61" s="59">
        <v>191.98</v>
      </c>
      <c r="L61" s="59">
        <v>36.32</v>
      </c>
      <c r="M61" s="59">
        <v>14.84</v>
      </c>
      <c r="N61" s="59">
        <v>463.6</v>
      </c>
      <c r="O61" s="59">
        <v>0</v>
      </c>
      <c r="P61" s="59">
        <v>0.74</v>
      </c>
      <c r="Q61" s="59">
        <v>27.37</v>
      </c>
      <c r="R61" s="197"/>
      <c r="S61" s="197"/>
      <c r="T61" s="197"/>
      <c r="U61" s="197"/>
    </row>
    <row r="62" spans="1:21" s="12" customFormat="1" x14ac:dyDescent="0.25">
      <c r="A62" s="200" t="s">
        <v>684</v>
      </c>
      <c r="B62" s="59">
        <v>3.24</v>
      </c>
      <c r="C62" s="59">
        <v>113.87</v>
      </c>
      <c r="D62" s="59">
        <v>65.44</v>
      </c>
      <c r="E62" s="59">
        <v>6.21</v>
      </c>
      <c r="F62" s="59">
        <v>3.74</v>
      </c>
      <c r="G62" s="59">
        <v>39.22</v>
      </c>
      <c r="H62" s="59">
        <v>27.48</v>
      </c>
      <c r="I62" s="59">
        <v>0.59</v>
      </c>
      <c r="J62" s="59">
        <v>0.43</v>
      </c>
      <c r="K62" s="59">
        <v>242.29</v>
      </c>
      <c r="L62" s="59">
        <v>35.54</v>
      </c>
      <c r="M62" s="59">
        <v>14.21</v>
      </c>
      <c r="N62" s="59">
        <v>447.1</v>
      </c>
      <c r="O62" s="59">
        <v>0</v>
      </c>
      <c r="P62" s="59">
        <v>0.8</v>
      </c>
      <c r="Q62" s="59">
        <v>27.44</v>
      </c>
      <c r="R62" s="197"/>
      <c r="S62" s="197"/>
      <c r="T62" s="197"/>
      <c r="U62" s="197"/>
    </row>
    <row r="63" spans="1:21" s="12" customFormat="1" x14ac:dyDescent="0.25">
      <c r="A63" s="200" t="s">
        <v>685</v>
      </c>
      <c r="B63" s="59">
        <v>2.41</v>
      </c>
      <c r="C63" s="59">
        <v>112.2</v>
      </c>
      <c r="D63" s="59">
        <v>63.86</v>
      </c>
      <c r="E63" s="59">
        <v>7.76</v>
      </c>
      <c r="F63" s="59">
        <v>4.0599999999999996</v>
      </c>
      <c r="G63" s="59">
        <v>49.63</v>
      </c>
      <c r="H63" s="59">
        <v>26.92</v>
      </c>
      <c r="I63" s="59">
        <v>0.6</v>
      </c>
      <c r="J63" s="59">
        <v>0.45</v>
      </c>
      <c r="K63" s="59">
        <v>353.69</v>
      </c>
      <c r="L63" s="59">
        <v>36.26</v>
      </c>
      <c r="M63" s="59">
        <v>15.2</v>
      </c>
      <c r="N63" s="59">
        <v>430.4</v>
      </c>
      <c r="O63" s="59">
        <v>0</v>
      </c>
      <c r="P63" s="59">
        <v>0.79</v>
      </c>
      <c r="Q63" s="59">
        <v>27.55</v>
      </c>
      <c r="R63" s="197"/>
      <c r="S63" s="197"/>
      <c r="T63" s="197"/>
      <c r="U63" s="197"/>
    </row>
    <row r="64" spans="1:21" s="12" customFormat="1" x14ac:dyDescent="0.25">
      <c r="A64" s="200" t="s">
        <v>686</v>
      </c>
      <c r="B64" s="59">
        <v>2.2599999999999998</v>
      </c>
      <c r="C64" s="59">
        <v>110.8</v>
      </c>
      <c r="D64" s="59">
        <v>62.96</v>
      </c>
      <c r="E64" s="59">
        <v>6.17</v>
      </c>
      <c r="F64" s="59">
        <v>4.0599999999999996</v>
      </c>
      <c r="G64" s="59">
        <v>49.63</v>
      </c>
      <c r="H64" s="59">
        <v>26.92</v>
      </c>
      <c r="I64" s="59">
        <v>0.6</v>
      </c>
      <c r="J64" s="59">
        <v>0.47</v>
      </c>
      <c r="K64" s="59">
        <v>350.9</v>
      </c>
      <c r="L64" s="59">
        <v>39.21</v>
      </c>
      <c r="M64" s="59">
        <v>13.71</v>
      </c>
      <c r="N64" s="59">
        <v>417.5</v>
      </c>
      <c r="O64" s="59">
        <v>0</v>
      </c>
      <c r="P64" s="59">
        <v>0.8</v>
      </c>
      <c r="Q64" s="59">
        <v>27.93</v>
      </c>
      <c r="R64" s="197"/>
      <c r="S64" s="197"/>
      <c r="T64" s="197"/>
      <c r="U64" s="197"/>
    </row>
    <row r="65" spans="1:21" s="12" customFormat="1" x14ac:dyDescent="0.25">
      <c r="A65" s="200" t="s">
        <v>687</v>
      </c>
      <c r="B65" s="59">
        <v>2.38</v>
      </c>
      <c r="C65" s="59">
        <v>110.69</v>
      </c>
      <c r="D65" s="59">
        <v>63</v>
      </c>
      <c r="E65" s="59">
        <v>6.18</v>
      </c>
      <c r="F65" s="59">
        <v>4.1100000000000003</v>
      </c>
      <c r="G65" s="59">
        <v>49.63</v>
      </c>
      <c r="H65" s="59">
        <v>26.92</v>
      </c>
      <c r="I65" s="59">
        <v>0.6</v>
      </c>
      <c r="J65" s="59">
        <v>0.41</v>
      </c>
      <c r="K65" s="59">
        <v>29.62</v>
      </c>
      <c r="L65" s="59">
        <v>38.049999999999997</v>
      </c>
      <c r="M65" s="59">
        <v>13.53</v>
      </c>
      <c r="N65" s="59">
        <v>404</v>
      </c>
      <c r="O65" s="59">
        <v>0</v>
      </c>
      <c r="P65" s="59">
        <v>0.78</v>
      </c>
      <c r="Q65" s="59">
        <v>28.47</v>
      </c>
      <c r="R65" s="197"/>
      <c r="S65" s="197"/>
      <c r="T65" s="197"/>
      <c r="U65" s="197"/>
    </row>
    <row r="66" spans="1:21" s="12" customFormat="1" x14ac:dyDescent="0.25">
      <c r="A66" s="200" t="s">
        <v>688</v>
      </c>
      <c r="B66" s="59">
        <v>1.9</v>
      </c>
      <c r="C66" s="59">
        <v>109.23</v>
      </c>
      <c r="D66" s="59">
        <v>61.8</v>
      </c>
      <c r="E66" s="59">
        <v>6.57</v>
      </c>
      <c r="F66" s="59">
        <v>4.51</v>
      </c>
      <c r="G66" s="59">
        <v>49.69</v>
      </c>
      <c r="H66" s="59">
        <v>26.91</v>
      </c>
      <c r="I66" s="59">
        <v>0.61</v>
      </c>
      <c r="J66" s="59">
        <v>0.14000000000000001</v>
      </c>
      <c r="K66" s="59">
        <v>261.12</v>
      </c>
      <c r="L66" s="59">
        <v>36.85</v>
      </c>
      <c r="M66" s="59">
        <v>14.6</v>
      </c>
      <c r="N66" s="59">
        <v>402</v>
      </c>
      <c r="O66" s="59">
        <v>0</v>
      </c>
      <c r="P66" s="59">
        <v>0.79</v>
      </c>
      <c r="Q66" s="59">
        <v>29.56</v>
      </c>
      <c r="R66" s="197"/>
      <c r="S66" s="197"/>
      <c r="T66" s="197"/>
      <c r="U66" s="197"/>
    </row>
    <row r="67" spans="1:21" s="12" customFormat="1" x14ac:dyDescent="0.25">
      <c r="A67" s="200" t="s">
        <v>689</v>
      </c>
      <c r="B67" s="59">
        <v>1.5</v>
      </c>
      <c r="C67" s="59">
        <v>107.4</v>
      </c>
      <c r="D67" s="59">
        <v>60.47</v>
      </c>
      <c r="E67" s="59">
        <v>6.24</v>
      </c>
      <c r="F67" s="59">
        <v>4.78</v>
      </c>
      <c r="G67" s="59">
        <v>50.38</v>
      </c>
      <c r="H67" s="59">
        <v>26.78</v>
      </c>
      <c r="I67" s="59">
        <v>0.64</v>
      </c>
      <c r="J67" s="59">
        <v>0.27</v>
      </c>
      <c r="K67" s="59">
        <v>8.16</v>
      </c>
      <c r="L67" s="59">
        <v>38.07</v>
      </c>
      <c r="M67" s="59">
        <v>13.79</v>
      </c>
      <c r="N67" s="59">
        <v>382.2</v>
      </c>
      <c r="O67" s="59">
        <v>0</v>
      </c>
      <c r="P67" s="59">
        <v>0.76</v>
      </c>
      <c r="Q67" s="59">
        <v>29.68</v>
      </c>
      <c r="R67" s="197"/>
      <c r="S67" s="197"/>
      <c r="T67" s="197"/>
      <c r="U67" s="197"/>
    </row>
    <row r="68" spans="1:21" s="12" customFormat="1" x14ac:dyDescent="0.25">
      <c r="A68" s="200" t="s">
        <v>690</v>
      </c>
      <c r="B68" s="59">
        <v>1.33</v>
      </c>
      <c r="C68" s="59">
        <v>106.25</v>
      </c>
      <c r="D68" s="59">
        <v>59.7</v>
      </c>
      <c r="E68" s="59">
        <v>6.24</v>
      </c>
      <c r="F68" s="59">
        <v>5.16</v>
      </c>
      <c r="G68" s="59">
        <v>50.38</v>
      </c>
      <c r="H68" s="59">
        <v>26.78</v>
      </c>
      <c r="I68" s="59">
        <v>0.68</v>
      </c>
      <c r="J68" s="59">
        <v>0.69</v>
      </c>
      <c r="K68" s="59">
        <v>78.180000000000007</v>
      </c>
      <c r="L68" s="59">
        <v>36.11</v>
      </c>
      <c r="M68" s="59">
        <v>15.21</v>
      </c>
      <c r="N68" s="59">
        <v>375.1</v>
      </c>
      <c r="O68" s="59">
        <v>0</v>
      </c>
      <c r="P68" s="59">
        <v>0.74</v>
      </c>
      <c r="Q68" s="59">
        <v>29.88</v>
      </c>
      <c r="R68" s="197"/>
      <c r="S68" s="197"/>
      <c r="T68" s="197"/>
      <c r="U68" s="197"/>
    </row>
    <row r="69" spans="1:21" s="12" customFormat="1" x14ac:dyDescent="0.25">
      <c r="A69" s="200" t="s">
        <v>691</v>
      </c>
      <c r="B69" s="59">
        <v>1.22</v>
      </c>
      <c r="C69" s="59">
        <v>104.78</v>
      </c>
      <c r="D69" s="59">
        <v>58.8</v>
      </c>
      <c r="E69" s="59">
        <v>5.92</v>
      </c>
      <c r="F69" s="59">
        <v>4.7699999999999996</v>
      </c>
      <c r="G69" s="59">
        <v>50.38</v>
      </c>
      <c r="H69" s="59">
        <v>26.78</v>
      </c>
      <c r="I69" s="59">
        <v>0.63</v>
      </c>
      <c r="J69" s="59">
        <v>0.36</v>
      </c>
      <c r="K69" s="59">
        <v>329.1</v>
      </c>
      <c r="L69" s="59">
        <v>36.36</v>
      </c>
      <c r="M69" s="59">
        <v>14.53</v>
      </c>
      <c r="N69" s="59">
        <v>342.7</v>
      </c>
      <c r="O69" s="59">
        <v>0</v>
      </c>
      <c r="P69" s="59">
        <v>0.76</v>
      </c>
      <c r="Q69" s="59">
        <v>29.89</v>
      </c>
      <c r="R69" s="197"/>
      <c r="S69" s="197"/>
      <c r="T69" s="197"/>
      <c r="U69" s="197"/>
    </row>
    <row r="70" spans="1:21" s="12" customFormat="1" x14ac:dyDescent="0.25">
      <c r="A70" s="200" t="s">
        <v>692</v>
      </c>
      <c r="B70" s="59">
        <v>1.22</v>
      </c>
      <c r="C70" s="59">
        <v>103.68</v>
      </c>
      <c r="D70" s="59">
        <v>58.19</v>
      </c>
      <c r="E70" s="59">
        <v>5.9</v>
      </c>
      <c r="F70" s="59">
        <v>4.87</v>
      </c>
      <c r="G70" s="59">
        <v>50.57</v>
      </c>
      <c r="H70" s="59">
        <v>26.82</v>
      </c>
      <c r="I70" s="59">
        <v>0.57999999999999996</v>
      </c>
      <c r="J70" s="59">
        <v>0.71</v>
      </c>
      <c r="K70" s="59">
        <v>4.0599999999999996</v>
      </c>
      <c r="L70" s="59">
        <v>37.450000000000003</v>
      </c>
      <c r="M70" s="59">
        <v>13.46</v>
      </c>
      <c r="N70" s="59">
        <v>326.10000000000002</v>
      </c>
      <c r="O70" s="59">
        <v>0</v>
      </c>
      <c r="P70" s="59">
        <v>0.75</v>
      </c>
      <c r="Q70" s="59">
        <v>29.6</v>
      </c>
      <c r="R70" s="197"/>
      <c r="S70" s="197"/>
      <c r="T70" s="197"/>
      <c r="U70" s="197"/>
    </row>
    <row r="71" spans="1:21" s="12" customFormat="1" x14ac:dyDescent="0.25">
      <c r="A71" s="200" t="s">
        <v>693</v>
      </c>
      <c r="B71" s="59">
        <v>1.45</v>
      </c>
      <c r="C71" s="59">
        <v>104.49</v>
      </c>
      <c r="D71" s="59">
        <v>58.82</v>
      </c>
      <c r="E71" s="59">
        <v>5.7</v>
      </c>
      <c r="F71" s="59">
        <v>4.88</v>
      </c>
      <c r="G71" s="59">
        <v>52.83</v>
      </c>
      <c r="H71" s="59">
        <v>27.31</v>
      </c>
      <c r="I71" s="59">
        <v>0.6</v>
      </c>
      <c r="J71" s="59">
        <v>0.49</v>
      </c>
      <c r="K71" s="59">
        <v>2.13</v>
      </c>
      <c r="L71" s="59">
        <v>37.46</v>
      </c>
      <c r="M71" s="59">
        <v>12.88</v>
      </c>
      <c r="N71" s="59">
        <v>276</v>
      </c>
      <c r="O71" s="59">
        <v>0</v>
      </c>
      <c r="P71" s="59">
        <v>0.72</v>
      </c>
      <c r="Q71" s="59">
        <v>29.3</v>
      </c>
      <c r="R71" s="197"/>
      <c r="S71" s="197"/>
      <c r="T71" s="197"/>
      <c r="U71" s="197"/>
    </row>
    <row r="72" spans="1:21" s="12" customFormat="1" x14ac:dyDescent="0.25">
      <c r="A72" s="200" t="s">
        <v>694</v>
      </c>
      <c r="B72" s="59">
        <v>1.5</v>
      </c>
      <c r="C72" s="59">
        <v>103.46</v>
      </c>
      <c r="D72" s="59">
        <v>58.29</v>
      </c>
      <c r="E72" s="59">
        <v>3.24</v>
      </c>
      <c r="F72" s="59">
        <v>5</v>
      </c>
      <c r="G72" s="59">
        <v>52.83</v>
      </c>
      <c r="H72" s="59">
        <v>27.31</v>
      </c>
      <c r="I72" s="59">
        <v>0.6</v>
      </c>
      <c r="J72" s="59">
        <v>0.84</v>
      </c>
      <c r="K72" s="59">
        <v>349.11</v>
      </c>
      <c r="L72" s="59">
        <v>36.43</v>
      </c>
      <c r="M72" s="59">
        <v>14.93</v>
      </c>
      <c r="N72" s="59">
        <v>141.80000000000001</v>
      </c>
      <c r="O72" s="59">
        <v>0</v>
      </c>
      <c r="P72" s="59">
        <v>0.73</v>
      </c>
      <c r="Q72" s="59">
        <v>28.76</v>
      </c>
      <c r="R72" s="197"/>
      <c r="S72" s="197"/>
      <c r="T72" s="197"/>
      <c r="U72" s="197"/>
    </row>
    <row r="73" spans="1:21" s="12" customFormat="1" x14ac:dyDescent="0.25">
      <c r="A73" s="200" t="s">
        <v>695</v>
      </c>
      <c r="B73" s="59">
        <v>1.94</v>
      </c>
      <c r="C73" s="59">
        <v>103.92</v>
      </c>
      <c r="D73" s="59">
        <v>58.9</v>
      </c>
      <c r="E73" s="59">
        <v>5.77</v>
      </c>
      <c r="F73" s="59">
        <v>4.3</v>
      </c>
      <c r="G73" s="59">
        <v>52.83</v>
      </c>
      <c r="H73" s="59">
        <v>27.31</v>
      </c>
      <c r="I73" s="59">
        <v>0.59</v>
      </c>
      <c r="J73" s="59">
        <v>1.1499999999999999</v>
      </c>
      <c r="K73" s="59">
        <v>350.47</v>
      </c>
      <c r="L73" s="59">
        <v>36.06</v>
      </c>
      <c r="M73" s="59">
        <v>15.15</v>
      </c>
      <c r="N73" s="59">
        <v>112.6</v>
      </c>
      <c r="O73" s="59">
        <v>0</v>
      </c>
      <c r="P73" s="59">
        <v>0.72</v>
      </c>
      <c r="Q73" s="59">
        <v>28.35</v>
      </c>
      <c r="R73" s="197"/>
      <c r="S73" s="197"/>
      <c r="T73" s="197"/>
      <c r="U73" s="197"/>
    </row>
    <row r="74" spans="1:21" s="12" customFormat="1" x14ac:dyDescent="0.25">
      <c r="A74" s="200" t="s">
        <v>696</v>
      </c>
      <c r="B74" s="59">
        <v>2.2000000000000002</v>
      </c>
      <c r="C74" s="59">
        <v>104.63</v>
      </c>
      <c r="D74" s="59">
        <v>59.51</v>
      </c>
      <c r="E74" s="59">
        <v>5.85</v>
      </c>
      <c r="F74" s="59">
        <v>4.2</v>
      </c>
      <c r="G74" s="59">
        <v>52.43</v>
      </c>
      <c r="H74" s="59">
        <v>27.08</v>
      </c>
      <c r="I74" s="59">
        <v>0.57999999999999996</v>
      </c>
      <c r="J74" s="59">
        <v>1.05</v>
      </c>
      <c r="K74" s="59">
        <v>356.6</v>
      </c>
      <c r="L74" s="59">
        <v>35.35</v>
      </c>
      <c r="M74" s="59">
        <v>16.670000000000002</v>
      </c>
      <c r="N74" s="59">
        <v>99.8</v>
      </c>
      <c r="O74" s="59">
        <v>0</v>
      </c>
      <c r="P74" s="59">
        <v>0.75</v>
      </c>
      <c r="Q74" s="59">
        <v>27.88</v>
      </c>
      <c r="R74" s="197"/>
      <c r="S74" s="197"/>
      <c r="T74" s="197"/>
      <c r="U74" s="197"/>
    </row>
    <row r="75" spans="1:21" s="12" customFormat="1" x14ac:dyDescent="0.25">
      <c r="A75" s="200" t="s">
        <v>697</v>
      </c>
      <c r="B75" s="59">
        <v>2.2400000000000002</v>
      </c>
      <c r="C75" s="59">
        <v>104.99</v>
      </c>
      <c r="D75" s="59">
        <v>59.74</v>
      </c>
      <c r="E75" s="59">
        <v>6.17</v>
      </c>
      <c r="F75" s="59">
        <v>4.75</v>
      </c>
      <c r="G75" s="59">
        <v>47.67</v>
      </c>
      <c r="H75" s="59">
        <v>24.45</v>
      </c>
      <c r="I75" s="59">
        <v>0.56999999999999995</v>
      </c>
      <c r="J75" s="59">
        <v>1.46</v>
      </c>
      <c r="K75" s="59">
        <v>14.66</v>
      </c>
      <c r="L75" s="59">
        <v>34.56</v>
      </c>
      <c r="M75" s="59">
        <v>17.53</v>
      </c>
      <c r="N75" s="59">
        <v>77.900000000000006</v>
      </c>
      <c r="O75" s="59">
        <v>0</v>
      </c>
      <c r="P75" s="59">
        <v>0.69</v>
      </c>
      <c r="Q75" s="59">
        <v>27.86</v>
      </c>
      <c r="R75" s="197"/>
      <c r="S75" s="197"/>
      <c r="T75" s="197"/>
      <c r="U75" s="197"/>
    </row>
    <row r="76" spans="1:21" s="12" customFormat="1" x14ac:dyDescent="0.25">
      <c r="A76" s="200" t="s">
        <v>698</v>
      </c>
      <c r="B76" s="59">
        <v>2.29</v>
      </c>
      <c r="C76" s="59">
        <v>104.16</v>
      </c>
      <c r="D76" s="59">
        <v>59.32</v>
      </c>
      <c r="E76" s="59">
        <v>5.79</v>
      </c>
      <c r="F76" s="59">
        <v>4.5599999999999996</v>
      </c>
      <c r="G76" s="59">
        <v>47.67</v>
      </c>
      <c r="H76" s="59">
        <v>24.45</v>
      </c>
      <c r="I76" s="59">
        <v>0.55000000000000004</v>
      </c>
      <c r="J76" s="59">
        <v>1.25</v>
      </c>
      <c r="K76" s="59">
        <v>8.49</v>
      </c>
      <c r="L76" s="59">
        <v>33.909999999999997</v>
      </c>
      <c r="M76" s="59">
        <v>16.989999999999998</v>
      </c>
      <c r="N76" s="59">
        <v>66.400000000000006</v>
      </c>
      <c r="O76" s="59">
        <v>0</v>
      </c>
      <c r="P76" s="59">
        <v>0.75</v>
      </c>
      <c r="Q76" s="59">
        <v>27.66</v>
      </c>
      <c r="R76" s="197"/>
      <c r="S76" s="197"/>
      <c r="T76" s="197"/>
      <c r="U76" s="197"/>
    </row>
    <row r="77" spans="1:21" s="12" customFormat="1" x14ac:dyDescent="0.25">
      <c r="A77" s="200" t="s">
        <v>699</v>
      </c>
      <c r="B77" s="59">
        <v>2.33</v>
      </c>
      <c r="C77" s="59">
        <v>103.81</v>
      </c>
      <c r="D77" s="59">
        <v>59.15</v>
      </c>
      <c r="E77" s="59">
        <v>5.49</v>
      </c>
      <c r="F77" s="59">
        <v>3.49</v>
      </c>
      <c r="G77" s="59">
        <v>47.67</v>
      </c>
      <c r="H77" s="59">
        <v>24.45</v>
      </c>
      <c r="I77" s="59">
        <v>0.53</v>
      </c>
      <c r="J77" s="59">
        <v>0.86</v>
      </c>
      <c r="K77" s="59">
        <v>1.25</v>
      </c>
      <c r="L77" s="59">
        <v>33.36</v>
      </c>
      <c r="M77" s="59">
        <v>18.23</v>
      </c>
      <c r="N77" s="59">
        <v>44.6</v>
      </c>
      <c r="O77" s="59">
        <v>0</v>
      </c>
      <c r="P77" s="59">
        <v>0.79</v>
      </c>
      <c r="Q77" s="59">
        <v>27.48</v>
      </c>
      <c r="R77" s="197"/>
      <c r="S77" s="197"/>
      <c r="T77" s="197"/>
      <c r="U77" s="197"/>
    </row>
    <row r="78" spans="1:21" s="12" customFormat="1" x14ac:dyDescent="0.25">
      <c r="A78" s="200" t="s">
        <v>700</v>
      </c>
      <c r="B78" s="59">
        <v>2.66</v>
      </c>
      <c r="C78" s="59">
        <v>104.22</v>
      </c>
      <c r="D78" s="59">
        <v>59.65</v>
      </c>
      <c r="E78" s="59">
        <v>5.58</v>
      </c>
      <c r="F78" s="59">
        <v>4.3899999999999997</v>
      </c>
      <c r="G78" s="59">
        <v>47.94</v>
      </c>
      <c r="H78" s="59">
        <v>24.43</v>
      </c>
      <c r="I78" s="59">
        <v>0.56000000000000005</v>
      </c>
      <c r="J78" s="59">
        <v>0.73</v>
      </c>
      <c r="K78" s="59">
        <v>9.9499999999999993</v>
      </c>
      <c r="L78" s="59">
        <v>32.83</v>
      </c>
      <c r="M78" s="59">
        <v>19.72</v>
      </c>
      <c r="N78" s="59">
        <v>32.200000000000003</v>
      </c>
      <c r="O78" s="59">
        <v>0</v>
      </c>
      <c r="P78" s="59">
        <v>1</v>
      </c>
      <c r="Q78" s="59">
        <v>27.73</v>
      </c>
      <c r="R78" s="197"/>
      <c r="S78" s="197"/>
      <c r="T78" s="197"/>
      <c r="U78" s="197"/>
    </row>
    <row r="79" spans="1:21" s="12" customFormat="1" x14ac:dyDescent="0.25">
      <c r="A79" s="200" t="s">
        <v>701</v>
      </c>
      <c r="B79" s="59">
        <v>3.26</v>
      </c>
      <c r="C79" s="59">
        <v>105.27</v>
      </c>
      <c r="D79" s="59">
        <v>60.71</v>
      </c>
      <c r="E79" s="59">
        <v>5.39</v>
      </c>
      <c r="F79" s="59">
        <v>4.46</v>
      </c>
      <c r="G79" s="59">
        <v>51.13</v>
      </c>
      <c r="H79" s="59">
        <v>24.26</v>
      </c>
      <c r="I79" s="59">
        <v>0.57999999999999996</v>
      </c>
      <c r="J79" s="59">
        <v>0.85</v>
      </c>
      <c r="K79" s="59">
        <v>0.69</v>
      </c>
      <c r="L79" s="59">
        <v>32.130000000000003</v>
      </c>
      <c r="M79" s="59">
        <v>20.34</v>
      </c>
      <c r="N79" s="59">
        <v>20.2</v>
      </c>
      <c r="O79" s="59">
        <v>0</v>
      </c>
      <c r="P79" s="59">
        <v>0.9</v>
      </c>
      <c r="Q79" s="59">
        <v>28.13</v>
      </c>
      <c r="R79" s="197"/>
      <c r="S79" s="197"/>
      <c r="T79" s="197"/>
      <c r="U79" s="197"/>
    </row>
    <row r="80" spans="1:21" s="12" customFormat="1" x14ac:dyDescent="0.25">
      <c r="A80" s="200" t="s">
        <v>702</v>
      </c>
      <c r="B80" s="59">
        <v>3.79</v>
      </c>
      <c r="C80" s="59">
        <v>106.87</v>
      </c>
      <c r="D80" s="59">
        <v>62.01</v>
      </c>
      <c r="E80" s="59">
        <v>5.85</v>
      </c>
      <c r="F80" s="59">
        <v>4.22</v>
      </c>
      <c r="G80" s="59">
        <v>51.13</v>
      </c>
      <c r="H80" s="59">
        <v>24.26</v>
      </c>
      <c r="I80" s="59">
        <v>0.57999999999999996</v>
      </c>
      <c r="J80" s="59">
        <v>0.61</v>
      </c>
      <c r="K80" s="59">
        <v>19.39</v>
      </c>
      <c r="L80" s="59">
        <v>31.39</v>
      </c>
      <c r="M80" s="59">
        <v>21.46</v>
      </c>
      <c r="N80" s="59">
        <v>10.6</v>
      </c>
      <c r="O80" s="59">
        <v>0</v>
      </c>
      <c r="P80" s="59">
        <v>1.26</v>
      </c>
      <c r="Q80" s="59">
        <v>29.52</v>
      </c>
      <c r="R80" s="197"/>
      <c r="S80" s="197"/>
      <c r="T80" s="197"/>
      <c r="U80" s="197"/>
    </row>
    <row r="81" spans="1:26" s="12" customFormat="1" x14ac:dyDescent="0.25">
      <c r="A81" s="200" t="s">
        <v>703</v>
      </c>
      <c r="B81" s="59">
        <v>5.09</v>
      </c>
      <c r="C81" s="59">
        <v>110.64</v>
      </c>
      <c r="D81" s="59">
        <v>65.14</v>
      </c>
      <c r="E81" s="59">
        <v>5.98</v>
      </c>
      <c r="F81" s="59">
        <v>3.92</v>
      </c>
      <c r="G81" s="59">
        <v>51.13</v>
      </c>
      <c r="H81" s="59">
        <v>24.26</v>
      </c>
      <c r="I81" s="59">
        <v>0.62</v>
      </c>
      <c r="J81" s="59">
        <v>0.16</v>
      </c>
      <c r="K81" s="59">
        <v>23.26</v>
      </c>
      <c r="L81" s="59">
        <v>30.58</v>
      </c>
      <c r="M81" s="59">
        <v>22.6</v>
      </c>
      <c r="N81" s="59">
        <v>5.9</v>
      </c>
      <c r="O81" s="59">
        <v>0</v>
      </c>
      <c r="P81" s="59">
        <v>1.92</v>
      </c>
      <c r="Q81" s="59">
        <v>30.61</v>
      </c>
      <c r="R81" s="197"/>
      <c r="S81" s="197"/>
      <c r="T81" s="197"/>
      <c r="U81" s="197"/>
    </row>
    <row r="82" spans="1:26" s="12" customFormat="1" x14ac:dyDescent="0.25">
      <c r="A82" s="200" t="s">
        <v>704</v>
      </c>
      <c r="B82" s="59">
        <v>7.63</v>
      </c>
      <c r="C82" s="59">
        <v>115.55</v>
      </c>
      <c r="D82" s="59">
        <v>69.89</v>
      </c>
      <c r="E82" s="59">
        <v>5.54</v>
      </c>
      <c r="F82" s="59">
        <v>3.37</v>
      </c>
      <c r="G82" s="59">
        <v>53.31</v>
      </c>
      <c r="H82" s="59">
        <v>24.48</v>
      </c>
      <c r="I82" s="59">
        <v>0.66</v>
      </c>
      <c r="J82" s="59">
        <v>0.36</v>
      </c>
      <c r="K82" s="59">
        <v>14.97</v>
      </c>
      <c r="L82" s="59">
        <v>29.75</v>
      </c>
      <c r="M82" s="59">
        <v>26.18</v>
      </c>
      <c r="N82" s="59">
        <v>4.3</v>
      </c>
      <c r="O82" s="59">
        <v>0</v>
      </c>
      <c r="P82" s="59">
        <v>1.82</v>
      </c>
      <c r="Q82" s="59">
        <v>30.96</v>
      </c>
      <c r="R82" s="197"/>
      <c r="S82" s="197"/>
      <c r="T82" s="197"/>
      <c r="U82" s="197"/>
    </row>
    <row r="83" spans="1:26" s="12" customFormat="1" x14ac:dyDescent="0.25">
      <c r="A83" s="200" t="s">
        <v>705</v>
      </c>
      <c r="B83" s="59">
        <v>9.17</v>
      </c>
      <c r="C83" s="59">
        <v>119.4</v>
      </c>
      <c r="D83" s="59">
        <v>73.25</v>
      </c>
      <c r="E83" s="59">
        <v>6.28</v>
      </c>
      <c r="F83" s="59">
        <v>3.33</v>
      </c>
      <c r="G83" s="59">
        <v>79.14</v>
      </c>
      <c r="H83" s="59">
        <v>27.08</v>
      </c>
      <c r="I83" s="59">
        <v>0.77</v>
      </c>
      <c r="J83" s="59">
        <v>0.25</v>
      </c>
      <c r="K83" s="59">
        <v>29.85</v>
      </c>
      <c r="L83" s="59">
        <v>29.47</v>
      </c>
      <c r="M83" s="59">
        <v>27.87</v>
      </c>
      <c r="N83" s="59">
        <v>4.2</v>
      </c>
      <c r="O83" s="59">
        <v>0</v>
      </c>
      <c r="P83" s="59">
        <v>2.09</v>
      </c>
      <c r="Q83" s="59">
        <v>31.18</v>
      </c>
      <c r="R83" s="197"/>
      <c r="S83" s="197"/>
      <c r="T83" s="197"/>
      <c r="U83" s="197"/>
    </row>
    <row r="84" spans="1:26" s="12" customFormat="1" x14ac:dyDescent="0.25">
      <c r="A84" s="200" t="s">
        <v>706</v>
      </c>
      <c r="B84" s="59">
        <v>11.13</v>
      </c>
      <c r="C84" s="59">
        <v>122.68</v>
      </c>
      <c r="D84" s="59">
        <v>76.63</v>
      </c>
      <c r="E84" s="59">
        <v>6.59</v>
      </c>
      <c r="F84" s="59">
        <v>3.24</v>
      </c>
      <c r="G84" s="59">
        <v>79.14</v>
      </c>
      <c r="H84" s="59">
        <v>27.08</v>
      </c>
      <c r="I84" s="59">
        <v>0.83</v>
      </c>
      <c r="J84" s="59">
        <v>0.03</v>
      </c>
      <c r="K84" s="59">
        <v>95.37</v>
      </c>
      <c r="L84" s="59">
        <v>29.12</v>
      </c>
      <c r="M84" s="59">
        <v>27.96</v>
      </c>
      <c r="N84" s="59">
        <v>4.5</v>
      </c>
      <c r="O84" s="59">
        <v>0</v>
      </c>
      <c r="P84" s="59">
        <v>1.9</v>
      </c>
      <c r="Q84" s="59">
        <v>31.28</v>
      </c>
      <c r="R84" s="197"/>
      <c r="S84" s="197"/>
      <c r="T84" s="197"/>
      <c r="U84" s="197"/>
    </row>
    <row r="85" spans="1:26" s="12" customFormat="1" x14ac:dyDescent="0.25">
      <c r="A85" s="200" t="s">
        <v>707</v>
      </c>
      <c r="B85" s="59">
        <v>12.93</v>
      </c>
      <c r="C85" s="59">
        <v>125.86</v>
      </c>
      <c r="D85" s="59">
        <v>79.819999999999993</v>
      </c>
      <c r="E85" s="59">
        <v>6.93</v>
      </c>
      <c r="F85" s="59">
        <v>3.3</v>
      </c>
      <c r="G85" s="59">
        <v>79.14</v>
      </c>
      <c r="H85" s="59">
        <v>27.08</v>
      </c>
      <c r="I85" s="59">
        <v>0.83</v>
      </c>
      <c r="J85" s="59">
        <v>7.0000000000000007E-2</v>
      </c>
      <c r="K85" s="59">
        <v>239.32</v>
      </c>
      <c r="L85" s="59">
        <v>28.59</v>
      </c>
      <c r="M85" s="59">
        <v>30.67</v>
      </c>
      <c r="N85" s="59">
        <v>4.4000000000000004</v>
      </c>
      <c r="O85" s="59">
        <v>0</v>
      </c>
      <c r="P85" s="59">
        <v>1.76</v>
      </c>
      <c r="Q85" s="59">
        <v>31.45</v>
      </c>
      <c r="R85" s="197"/>
      <c r="S85" s="197"/>
      <c r="T85" s="197"/>
      <c r="U85" s="197"/>
    </row>
    <row r="86" spans="1:26" s="12" customFormat="1" x14ac:dyDescent="0.25">
      <c r="A86" s="200" t="s">
        <v>708</v>
      </c>
      <c r="B86" s="59">
        <v>15.36</v>
      </c>
      <c r="C86" s="59">
        <v>128.5</v>
      </c>
      <c r="D86" s="59">
        <v>83.24</v>
      </c>
      <c r="E86" s="59">
        <v>6.04</v>
      </c>
      <c r="F86" s="59">
        <v>3.05</v>
      </c>
      <c r="G86" s="59">
        <v>83.52</v>
      </c>
      <c r="H86" s="59">
        <v>27.95</v>
      </c>
      <c r="I86" s="59">
        <v>0.79</v>
      </c>
      <c r="J86" s="59">
        <v>0.06</v>
      </c>
      <c r="K86" s="59">
        <v>132.51</v>
      </c>
      <c r="L86" s="59">
        <v>27.95</v>
      </c>
      <c r="M86" s="59">
        <v>33.380000000000003</v>
      </c>
      <c r="N86" s="59">
        <v>4.5999999999999996</v>
      </c>
      <c r="O86" s="59">
        <v>0</v>
      </c>
      <c r="P86" s="59">
        <v>2.3199999999999998</v>
      </c>
      <c r="Q86" s="59">
        <v>31.42</v>
      </c>
      <c r="R86" s="197"/>
      <c r="S86" s="197"/>
      <c r="T86" s="197"/>
      <c r="U86" s="197"/>
    </row>
    <row r="87" spans="1:26" s="12" customFormat="1" x14ac:dyDescent="0.25">
      <c r="A87" s="200" t="s">
        <v>709</v>
      </c>
      <c r="B87" s="59">
        <v>19.7</v>
      </c>
      <c r="C87" s="59">
        <v>129.28</v>
      </c>
      <c r="D87" s="59">
        <v>87.14</v>
      </c>
      <c r="E87" s="59">
        <v>5.45</v>
      </c>
      <c r="F87" s="59">
        <v>2.99</v>
      </c>
      <c r="G87" s="59">
        <v>135.47</v>
      </c>
      <c r="H87" s="59">
        <v>38.25</v>
      </c>
      <c r="I87" s="59">
        <v>0.88</v>
      </c>
      <c r="J87" s="59">
        <v>0.19</v>
      </c>
      <c r="K87" s="59">
        <v>101.09</v>
      </c>
      <c r="L87" s="59">
        <v>27.68</v>
      </c>
      <c r="M87" s="59">
        <v>34.03</v>
      </c>
      <c r="N87" s="59">
        <v>4</v>
      </c>
      <c r="O87" s="59">
        <v>0</v>
      </c>
      <c r="P87" s="59">
        <v>2.35</v>
      </c>
      <c r="Q87" s="59">
        <v>31.01</v>
      </c>
      <c r="R87" s="197"/>
      <c r="S87" s="197"/>
      <c r="T87" s="197"/>
      <c r="U87" s="197"/>
    </row>
    <row r="88" spans="1:26" s="12" customFormat="1" x14ac:dyDescent="0.25">
      <c r="A88" s="200" t="s">
        <v>710</v>
      </c>
      <c r="B88" s="59">
        <v>23.66</v>
      </c>
      <c r="C88" s="59">
        <v>129.41999999999999</v>
      </c>
      <c r="D88" s="59">
        <v>90.4</v>
      </c>
      <c r="E88" s="59">
        <v>2.83</v>
      </c>
      <c r="F88" s="59">
        <v>2.87</v>
      </c>
      <c r="G88" s="59">
        <v>135.47</v>
      </c>
      <c r="H88" s="59">
        <v>38.25</v>
      </c>
      <c r="I88" s="59">
        <v>1.08</v>
      </c>
      <c r="J88" s="59">
        <v>0.06</v>
      </c>
      <c r="K88" s="59">
        <v>36.47</v>
      </c>
      <c r="L88" s="59">
        <v>27.18</v>
      </c>
      <c r="M88" s="59">
        <v>41.27</v>
      </c>
      <c r="N88" s="59">
        <v>4.5999999999999996</v>
      </c>
      <c r="O88" s="59">
        <v>0</v>
      </c>
      <c r="P88" s="59">
        <v>3.28</v>
      </c>
      <c r="Q88" s="59">
        <v>30.96</v>
      </c>
      <c r="R88" s="197"/>
      <c r="S88" s="197"/>
      <c r="T88" s="197"/>
      <c r="U88" s="197"/>
    </row>
    <row r="89" spans="1:26" s="12" customFormat="1" x14ac:dyDescent="0.25">
      <c r="A89" s="200" t="s">
        <v>711</v>
      </c>
      <c r="B89" s="59">
        <v>28.14</v>
      </c>
      <c r="C89" s="59">
        <v>129.43</v>
      </c>
      <c r="D89" s="59">
        <v>93.99</v>
      </c>
      <c r="E89" s="59">
        <v>4.88</v>
      </c>
      <c r="F89" s="59">
        <v>2.92</v>
      </c>
      <c r="G89" s="59">
        <v>135.47</v>
      </c>
      <c r="H89" s="59">
        <v>38.25</v>
      </c>
      <c r="I89" s="59">
        <v>1.18</v>
      </c>
      <c r="J89" s="59">
        <v>0.11</v>
      </c>
      <c r="K89" s="59">
        <v>22.06</v>
      </c>
      <c r="L89" s="59">
        <v>26.64</v>
      </c>
      <c r="M89" s="59">
        <v>45.96</v>
      </c>
      <c r="N89" s="59">
        <v>4.4000000000000004</v>
      </c>
      <c r="O89" s="59">
        <v>0</v>
      </c>
      <c r="P89" s="59">
        <v>4.29</v>
      </c>
      <c r="Q89" s="59">
        <v>31.44</v>
      </c>
      <c r="R89" s="197"/>
      <c r="S89" s="197"/>
      <c r="T89" s="197"/>
      <c r="U89" s="197"/>
    </row>
    <row r="90" spans="1:26" s="12" customFormat="1" x14ac:dyDescent="0.25">
      <c r="A90" s="200" t="s">
        <v>712</v>
      </c>
      <c r="B90" s="59">
        <v>35.4</v>
      </c>
      <c r="C90" s="59">
        <v>129.55000000000001</v>
      </c>
      <c r="D90" s="59">
        <v>99.88</v>
      </c>
      <c r="E90" s="59">
        <v>5.49</v>
      </c>
      <c r="F90" s="59">
        <v>2.98</v>
      </c>
      <c r="G90" s="59">
        <v>140.47999999999999</v>
      </c>
      <c r="H90" s="59">
        <v>39.31</v>
      </c>
      <c r="I90" s="59">
        <v>1.45</v>
      </c>
      <c r="J90" s="59">
        <v>0.11</v>
      </c>
      <c r="K90" s="59">
        <v>21.22</v>
      </c>
      <c r="L90" s="59">
        <v>26.28</v>
      </c>
      <c r="M90" s="59">
        <v>46.06</v>
      </c>
      <c r="N90" s="59">
        <v>4.4000000000000004</v>
      </c>
      <c r="O90" s="59">
        <v>0</v>
      </c>
      <c r="P90" s="59">
        <v>4.75</v>
      </c>
      <c r="Q90" s="59">
        <v>32.17</v>
      </c>
      <c r="R90" s="197"/>
      <c r="S90" s="197"/>
      <c r="T90" s="197"/>
      <c r="U90" s="197"/>
    </row>
    <row r="91" spans="1:26" s="12" customFormat="1" x14ac:dyDescent="0.25">
      <c r="A91" s="200" t="s">
        <v>713</v>
      </c>
      <c r="B91" s="59">
        <v>42.63</v>
      </c>
      <c r="C91" s="59">
        <v>129.34</v>
      </c>
      <c r="D91" s="59">
        <v>105.57</v>
      </c>
      <c r="E91" s="59">
        <v>5.27</v>
      </c>
      <c r="F91" s="59">
        <v>3.11</v>
      </c>
      <c r="G91" s="59">
        <v>199.83</v>
      </c>
      <c r="H91" s="59">
        <v>51.98</v>
      </c>
      <c r="I91" s="59">
        <v>1.8</v>
      </c>
      <c r="J91" s="59">
        <v>7.0000000000000007E-2</v>
      </c>
      <c r="K91" s="59">
        <v>29.45</v>
      </c>
      <c r="L91" s="59">
        <v>26.06</v>
      </c>
      <c r="M91" s="59">
        <v>43.83</v>
      </c>
      <c r="N91" s="59">
        <v>4.5</v>
      </c>
      <c r="O91" s="59">
        <v>0</v>
      </c>
      <c r="P91" s="59">
        <v>3.87</v>
      </c>
      <c r="Q91" s="59">
        <v>32.93</v>
      </c>
      <c r="R91" s="197"/>
      <c r="S91" s="197"/>
      <c r="T91" s="197"/>
      <c r="U91" s="197"/>
    </row>
    <row r="92" spans="1:26" s="12" customFormat="1" x14ac:dyDescent="0.25">
      <c r="A92" s="200" t="s">
        <v>714</v>
      </c>
      <c r="B92" s="59">
        <v>49.23</v>
      </c>
      <c r="C92" s="59">
        <v>128.41999999999999</v>
      </c>
      <c r="D92" s="59">
        <v>110.35</v>
      </c>
      <c r="E92" s="59">
        <v>5.55</v>
      </c>
      <c r="F92" s="59">
        <v>3.12</v>
      </c>
      <c r="G92" s="59">
        <v>199.83</v>
      </c>
      <c r="H92" s="59">
        <v>51.98</v>
      </c>
      <c r="I92" s="59">
        <v>1.72</v>
      </c>
      <c r="J92" s="59">
        <v>0.1</v>
      </c>
      <c r="K92" s="59">
        <v>352.12</v>
      </c>
      <c r="L92" s="59">
        <v>26.06</v>
      </c>
      <c r="M92" s="59">
        <v>45.38</v>
      </c>
      <c r="N92" s="59">
        <v>4.3</v>
      </c>
      <c r="O92" s="59">
        <v>0</v>
      </c>
      <c r="P92" s="59">
        <v>5.6</v>
      </c>
      <c r="Q92" s="59">
        <v>33.65</v>
      </c>
      <c r="R92" s="197"/>
      <c r="S92" s="197"/>
      <c r="T92" s="197"/>
      <c r="U92" s="197"/>
    </row>
    <row r="93" spans="1:26" s="12" customFormat="1" x14ac:dyDescent="0.25">
      <c r="A93" s="200" t="s">
        <v>715</v>
      </c>
      <c r="B93" s="59">
        <v>57.71</v>
      </c>
      <c r="C93" s="59">
        <v>127.94</v>
      </c>
      <c r="D93" s="59">
        <v>116.88</v>
      </c>
      <c r="E93" s="59">
        <v>5.64</v>
      </c>
      <c r="F93" s="59">
        <v>3.02</v>
      </c>
      <c r="G93" s="59">
        <v>199.83</v>
      </c>
      <c r="H93" s="59">
        <v>51.98</v>
      </c>
      <c r="I93" s="59">
        <v>1.68</v>
      </c>
      <c r="J93" s="59">
        <v>0.1</v>
      </c>
      <c r="K93" s="59">
        <v>328.61</v>
      </c>
      <c r="L93" s="59">
        <v>25.96</v>
      </c>
      <c r="M93" s="59">
        <v>44.33</v>
      </c>
      <c r="N93" s="59">
        <v>4.3</v>
      </c>
      <c r="O93" s="59">
        <v>0</v>
      </c>
      <c r="P93" s="59">
        <v>5.63</v>
      </c>
      <c r="Q93" s="59">
        <v>34.42</v>
      </c>
      <c r="R93" s="197"/>
      <c r="S93" s="197"/>
      <c r="T93" s="197"/>
      <c r="U93" s="197"/>
    </row>
    <row r="94" spans="1:26" s="12" customFormat="1" x14ac:dyDescent="0.25">
      <c r="A94" s="200" t="s">
        <v>716</v>
      </c>
      <c r="B94" s="59">
        <v>69.040000000000006</v>
      </c>
      <c r="C94" s="59">
        <v>128.96</v>
      </c>
      <c r="D94" s="59">
        <v>126.53</v>
      </c>
      <c r="E94" s="59">
        <v>6.08</v>
      </c>
      <c r="F94" s="59">
        <v>3.05</v>
      </c>
      <c r="G94" s="59">
        <v>202.97</v>
      </c>
      <c r="H94" s="59">
        <v>53.71</v>
      </c>
      <c r="I94" s="59">
        <v>2.04</v>
      </c>
      <c r="J94" s="59">
        <v>0.12</v>
      </c>
      <c r="K94" s="59">
        <v>49.1</v>
      </c>
      <c r="L94" s="59">
        <v>26.02</v>
      </c>
      <c r="M94" s="59">
        <v>43.58</v>
      </c>
      <c r="N94" s="59">
        <v>4.3</v>
      </c>
      <c r="O94" s="59">
        <v>0</v>
      </c>
      <c r="P94" s="59">
        <v>3.81</v>
      </c>
      <c r="Q94" s="59">
        <v>35.81</v>
      </c>
      <c r="R94" s="197"/>
      <c r="S94" s="197"/>
      <c r="T94" s="197"/>
      <c r="U94" s="197"/>
    </row>
    <row r="95" spans="1:26" s="12" customFormat="1" x14ac:dyDescent="0.25">
      <c r="A95" s="200" t="s">
        <v>717</v>
      </c>
      <c r="B95" s="59">
        <v>88.19</v>
      </c>
      <c r="C95" s="59">
        <v>131.09</v>
      </c>
      <c r="D95" s="59">
        <v>143.06</v>
      </c>
      <c r="E95" s="59">
        <v>6.82</v>
      </c>
      <c r="F95" s="59">
        <v>3.04</v>
      </c>
      <c r="G95" s="59">
        <v>240.29</v>
      </c>
      <c r="H95" s="59">
        <v>74.2</v>
      </c>
      <c r="I95" s="59">
        <v>2.0699999999999998</v>
      </c>
      <c r="J95" s="59">
        <v>0.36</v>
      </c>
      <c r="K95" s="59">
        <v>79.069999999999993</v>
      </c>
      <c r="L95" s="59">
        <v>26.25</v>
      </c>
      <c r="M95" s="59">
        <v>42.09</v>
      </c>
      <c r="N95" s="59">
        <v>3.4</v>
      </c>
      <c r="O95" s="59">
        <v>0</v>
      </c>
      <c r="P95" s="59">
        <v>4.13</v>
      </c>
      <c r="Q95" s="59">
        <v>37.32</v>
      </c>
      <c r="R95" s="197"/>
      <c r="S95" s="197"/>
      <c r="T95" s="197"/>
      <c r="U95" s="197"/>
    </row>
    <row r="96" spans="1:26" s="12" customFormat="1" x14ac:dyDescent="0.25">
      <c r="A96" s="200" t="s">
        <v>718</v>
      </c>
      <c r="B96" s="59">
        <v>100.73</v>
      </c>
      <c r="C96" s="59">
        <v>132.4</v>
      </c>
      <c r="D96" s="59">
        <v>153.85</v>
      </c>
      <c r="E96" s="59">
        <v>6.85</v>
      </c>
      <c r="F96" s="59">
        <v>3</v>
      </c>
      <c r="G96" s="59">
        <v>240.29</v>
      </c>
      <c r="H96" s="59">
        <v>74.2</v>
      </c>
      <c r="I96" s="59">
        <v>1.92</v>
      </c>
      <c r="J96" s="59">
        <v>0.05</v>
      </c>
      <c r="K96" s="59">
        <v>132.46</v>
      </c>
      <c r="L96" s="59">
        <v>26.74</v>
      </c>
      <c r="M96" s="59">
        <v>38.61</v>
      </c>
      <c r="N96" s="59">
        <v>3.8</v>
      </c>
      <c r="O96" s="59">
        <v>0</v>
      </c>
      <c r="P96" s="59">
        <v>4.5199999999999996</v>
      </c>
      <c r="Q96" s="59">
        <v>38.450000000000003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719</v>
      </c>
      <c r="B97" s="59">
        <v>107.44</v>
      </c>
      <c r="C97" s="59">
        <v>133.38999999999999</v>
      </c>
      <c r="D97" s="59">
        <v>159.77000000000001</v>
      </c>
      <c r="E97" s="59">
        <v>7.04</v>
      </c>
      <c r="F97" s="59">
        <v>3</v>
      </c>
      <c r="G97" s="59">
        <v>240.29</v>
      </c>
      <c r="H97" s="59">
        <v>74.2</v>
      </c>
      <c r="I97" s="59">
        <v>1.95</v>
      </c>
      <c r="J97" s="59">
        <v>0.19</v>
      </c>
      <c r="K97" s="59">
        <v>240.58</v>
      </c>
      <c r="L97" s="59">
        <v>26.64</v>
      </c>
      <c r="M97" s="59">
        <v>39.71</v>
      </c>
      <c r="N97" s="59">
        <v>3.8</v>
      </c>
      <c r="O97" s="59">
        <v>0</v>
      </c>
      <c r="P97" s="59">
        <v>3.19</v>
      </c>
      <c r="Q97" s="59">
        <v>38.869999999999997</v>
      </c>
      <c r="R97" s="197"/>
      <c r="S97" s="197"/>
      <c r="T97" s="197"/>
      <c r="U97" s="197"/>
    </row>
    <row r="98" spans="1:33" s="12" customFormat="1" x14ac:dyDescent="0.25">
      <c r="A98" s="200" t="s">
        <v>720</v>
      </c>
      <c r="B98" s="59">
        <v>110.28</v>
      </c>
      <c r="C98" s="59">
        <v>134.37</v>
      </c>
      <c r="D98" s="59">
        <v>162.59</v>
      </c>
      <c r="E98" s="59">
        <v>6.89</v>
      </c>
      <c r="F98" s="59">
        <v>2.85</v>
      </c>
      <c r="G98" s="59">
        <v>239.84</v>
      </c>
      <c r="H98" s="59">
        <v>74.540000000000006</v>
      </c>
      <c r="I98" s="59">
        <v>1.76</v>
      </c>
      <c r="J98" s="59">
        <v>0.23</v>
      </c>
      <c r="K98" s="59">
        <v>357.9</v>
      </c>
      <c r="L98" s="59">
        <v>26.11</v>
      </c>
      <c r="M98" s="59">
        <v>42.35</v>
      </c>
      <c r="N98" s="59">
        <v>4.4000000000000004</v>
      </c>
      <c r="O98" s="59">
        <v>0</v>
      </c>
      <c r="P98" s="59">
        <v>3.37</v>
      </c>
      <c r="Q98" s="59">
        <v>38.82</v>
      </c>
      <c r="R98" s="197"/>
      <c r="S98" s="197"/>
      <c r="T98" s="197"/>
      <c r="U98" s="197"/>
    </row>
    <row r="99" spans="1:33" s="12" customFormat="1" x14ac:dyDescent="0.25">
      <c r="A99" s="200" t="s">
        <v>721</v>
      </c>
      <c r="B99" s="59">
        <v>109.75</v>
      </c>
      <c r="C99" s="59">
        <v>135.05000000000001</v>
      </c>
      <c r="D99" s="59">
        <v>162.54</v>
      </c>
      <c r="E99" s="59">
        <v>7.2</v>
      </c>
      <c r="F99" s="59">
        <v>2.81</v>
      </c>
      <c r="G99" s="59">
        <v>234.48</v>
      </c>
      <c r="H99" s="59">
        <v>78.510000000000005</v>
      </c>
      <c r="I99" s="59">
        <v>1.57</v>
      </c>
      <c r="J99" s="59">
        <v>0.1</v>
      </c>
      <c r="K99" s="59">
        <v>65.7</v>
      </c>
      <c r="L99" s="59">
        <v>25.78</v>
      </c>
      <c r="M99" s="59">
        <v>38.86</v>
      </c>
      <c r="N99" s="59">
        <v>4.5</v>
      </c>
      <c r="O99" s="59">
        <v>0</v>
      </c>
      <c r="P99" s="59">
        <v>3.4</v>
      </c>
      <c r="Q99" s="59">
        <v>38.65</v>
      </c>
      <c r="R99" s="197"/>
      <c r="S99" s="197"/>
      <c r="T99" s="197"/>
      <c r="U99" s="197"/>
    </row>
    <row r="100" spans="1:33" s="12" customFormat="1" x14ac:dyDescent="0.25">
      <c r="A100" s="200" t="s">
        <v>722</v>
      </c>
      <c r="B100" s="59">
        <v>107.07</v>
      </c>
      <c r="C100" s="59">
        <v>135.47</v>
      </c>
      <c r="D100" s="59">
        <v>160.62</v>
      </c>
      <c r="E100" s="59">
        <v>7.63</v>
      </c>
      <c r="F100" s="59">
        <v>3.43</v>
      </c>
      <c r="G100" s="59">
        <v>234.48</v>
      </c>
      <c r="H100" s="59">
        <v>78.510000000000005</v>
      </c>
      <c r="I100" s="59">
        <v>1.52</v>
      </c>
      <c r="J100" s="59">
        <v>0.28000000000000003</v>
      </c>
      <c r="K100" s="59">
        <v>21.02</v>
      </c>
      <c r="L100" s="59">
        <v>25.54</v>
      </c>
      <c r="M100" s="59">
        <v>40.479999999999997</v>
      </c>
      <c r="N100" s="59">
        <v>4.7</v>
      </c>
      <c r="O100" s="59">
        <v>0</v>
      </c>
      <c r="P100" s="59">
        <v>3.35</v>
      </c>
      <c r="Q100" s="59">
        <v>38.520000000000003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723</v>
      </c>
      <c r="B101" s="59">
        <v>103.09</v>
      </c>
      <c r="C101" s="59">
        <v>134.16</v>
      </c>
      <c r="D101" s="59">
        <v>156.71</v>
      </c>
      <c r="E101" s="59">
        <v>6.69</v>
      </c>
      <c r="F101" s="59">
        <v>3.49</v>
      </c>
      <c r="G101" s="59">
        <v>234.48</v>
      </c>
      <c r="H101" s="59">
        <v>78.510000000000005</v>
      </c>
      <c r="I101" s="59">
        <v>1.46</v>
      </c>
      <c r="J101" s="59">
        <v>0.12</v>
      </c>
      <c r="K101" s="59">
        <v>108.76</v>
      </c>
      <c r="L101" s="59">
        <v>25.36</v>
      </c>
      <c r="M101" s="59">
        <v>38.46</v>
      </c>
      <c r="N101" s="59">
        <v>4.0999999999999996</v>
      </c>
      <c r="O101" s="59">
        <v>0</v>
      </c>
      <c r="P101" s="59">
        <v>1.99</v>
      </c>
      <c r="Q101" s="59">
        <v>37.79</v>
      </c>
      <c r="R101" s="197"/>
      <c r="S101" s="197"/>
      <c r="T101" s="197"/>
      <c r="U101" s="197"/>
    </row>
    <row r="102" spans="1:33" s="12" customFormat="1" x14ac:dyDescent="0.25">
      <c r="A102" s="200" t="s">
        <v>724</v>
      </c>
      <c r="B102" s="59">
        <v>99.96</v>
      </c>
      <c r="C102" s="59">
        <v>132.91999999999999</v>
      </c>
      <c r="D102" s="59">
        <v>153.51</v>
      </c>
      <c r="E102" s="59">
        <v>6.1</v>
      </c>
      <c r="F102" s="59">
        <v>3.29</v>
      </c>
      <c r="G102" s="59">
        <v>226.29</v>
      </c>
      <c r="H102" s="59">
        <v>78.06</v>
      </c>
      <c r="I102" s="59">
        <v>1.33</v>
      </c>
      <c r="J102" s="59">
        <v>0.18</v>
      </c>
      <c r="K102" s="59">
        <v>33.979999999999997</v>
      </c>
      <c r="L102" s="59">
        <v>25.25</v>
      </c>
      <c r="M102" s="59">
        <v>39.04</v>
      </c>
      <c r="N102" s="59">
        <v>3.9</v>
      </c>
      <c r="O102" s="59">
        <v>0</v>
      </c>
      <c r="P102" s="59">
        <v>2.21</v>
      </c>
      <c r="Q102" s="59">
        <v>36.950000000000003</v>
      </c>
      <c r="R102" s="197"/>
      <c r="S102" s="197"/>
      <c r="T102" s="197"/>
      <c r="U102" s="197"/>
    </row>
    <row r="103" spans="1:33" s="12" customFormat="1" x14ac:dyDescent="0.25">
      <c r="A103" s="200" t="s">
        <v>725</v>
      </c>
      <c r="B103" s="59">
        <v>97.88</v>
      </c>
      <c r="C103" s="59">
        <v>132.59</v>
      </c>
      <c r="D103" s="59">
        <v>151.66999999999999</v>
      </c>
      <c r="E103" s="59">
        <v>6.01</v>
      </c>
      <c r="F103" s="59">
        <v>2.91</v>
      </c>
      <c r="G103" s="59">
        <v>129.19999999999999</v>
      </c>
      <c r="H103" s="59">
        <v>72.84</v>
      </c>
      <c r="I103" s="59">
        <v>0.97</v>
      </c>
      <c r="J103" s="59">
        <v>0.15</v>
      </c>
      <c r="K103" s="59">
        <v>5.46</v>
      </c>
      <c r="L103" s="59">
        <v>24.99</v>
      </c>
      <c r="M103" s="59">
        <v>41.8</v>
      </c>
      <c r="N103" s="59">
        <v>4.5</v>
      </c>
      <c r="O103" s="59">
        <v>0</v>
      </c>
      <c r="P103" s="59">
        <v>2.2999999999999998</v>
      </c>
      <c r="Q103" s="59">
        <v>36.86</v>
      </c>
      <c r="R103" s="197"/>
      <c r="S103" s="197"/>
      <c r="T103" s="197"/>
      <c r="U103" s="197"/>
    </row>
    <row r="104" spans="1:33" s="12" customFormat="1" x14ac:dyDescent="0.25">
      <c r="A104" s="200" t="s">
        <v>726</v>
      </c>
      <c r="B104" s="59">
        <v>95.64</v>
      </c>
      <c r="C104" s="59">
        <v>130.76</v>
      </c>
      <c r="D104" s="59">
        <v>148.86000000000001</v>
      </c>
      <c r="E104" s="59">
        <v>3.08</v>
      </c>
      <c r="F104" s="59">
        <v>3.12</v>
      </c>
      <c r="G104" s="59">
        <v>129.19999999999999</v>
      </c>
      <c r="H104" s="59">
        <v>72.84</v>
      </c>
      <c r="I104" s="59">
        <v>0.79</v>
      </c>
      <c r="J104" s="59">
        <v>0.55000000000000004</v>
      </c>
      <c r="K104" s="59">
        <v>352.65</v>
      </c>
      <c r="L104" s="59">
        <v>24.59</v>
      </c>
      <c r="M104" s="59">
        <v>44.11</v>
      </c>
      <c r="N104" s="59">
        <v>3.2</v>
      </c>
      <c r="O104" s="59">
        <v>0</v>
      </c>
      <c r="P104" s="59">
        <v>2.34</v>
      </c>
      <c r="Q104" s="59">
        <v>37.04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1.22</v>
      </c>
      <c r="C106" s="66">
        <f>MIN(C9:C104)</f>
        <v>102.74</v>
      </c>
      <c r="D106" s="66">
        <f t="shared" ref="D106:Q106" si="0">MIN(D9:D104)</f>
        <v>58.19</v>
      </c>
      <c r="E106" s="66">
        <f t="shared" si="0"/>
        <v>2.61</v>
      </c>
      <c r="F106" s="66">
        <f t="shared" si="0"/>
        <v>2.8</v>
      </c>
      <c r="G106" s="66">
        <f t="shared" si="0"/>
        <v>38.35</v>
      </c>
      <c r="H106" s="66">
        <f t="shared" si="0"/>
        <v>24.26</v>
      </c>
      <c r="I106" s="66">
        <f t="shared" si="0"/>
        <v>0.53</v>
      </c>
      <c r="J106" s="66">
        <f t="shared" si="0"/>
        <v>0.03</v>
      </c>
      <c r="K106" s="66">
        <f t="shared" si="0"/>
        <v>0.69</v>
      </c>
      <c r="L106" s="66">
        <f t="shared" si="0"/>
        <v>21.19</v>
      </c>
      <c r="M106" s="66">
        <f t="shared" si="0"/>
        <v>12.88</v>
      </c>
      <c r="N106" s="66">
        <f t="shared" si="0"/>
        <v>1.5</v>
      </c>
      <c r="O106" s="66">
        <f t="shared" si="0"/>
        <v>0</v>
      </c>
      <c r="P106" s="66">
        <f t="shared" si="0"/>
        <v>0.69</v>
      </c>
      <c r="Q106" s="66">
        <f t="shared" si="0"/>
        <v>27.37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180.9</v>
      </c>
      <c r="C107" s="65">
        <f t="shared" ref="C107:Q107" si="1">MAX(C9:C104)</f>
        <v>135.47</v>
      </c>
      <c r="D107" s="65">
        <f t="shared" si="1"/>
        <v>206.35</v>
      </c>
      <c r="E107" s="65">
        <f t="shared" si="1"/>
        <v>7.76</v>
      </c>
      <c r="F107" s="65">
        <f t="shared" si="1"/>
        <v>5.16</v>
      </c>
      <c r="G107" s="65">
        <f t="shared" si="1"/>
        <v>250.29</v>
      </c>
      <c r="H107" s="65">
        <f t="shared" si="1"/>
        <v>78.510000000000005</v>
      </c>
      <c r="I107" s="65">
        <f t="shared" si="1"/>
        <v>2.0699999999999998</v>
      </c>
      <c r="J107" s="65">
        <f t="shared" si="1"/>
        <v>1.78</v>
      </c>
      <c r="K107" s="65">
        <f t="shared" si="1"/>
        <v>357.9</v>
      </c>
      <c r="L107" s="65">
        <f t="shared" si="1"/>
        <v>39.21</v>
      </c>
      <c r="M107" s="65">
        <f t="shared" si="1"/>
        <v>52.8</v>
      </c>
      <c r="N107" s="65">
        <f t="shared" si="1"/>
        <v>533</v>
      </c>
      <c r="O107" s="65">
        <f t="shared" si="1"/>
        <v>0</v>
      </c>
      <c r="P107" s="65">
        <f t="shared" si="1"/>
        <v>5.63</v>
      </c>
      <c r="Q107" s="65">
        <f t="shared" si="1"/>
        <v>40.549999999999997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61.367812499999978</v>
      </c>
      <c r="C108" s="66">
        <f t="shared" ref="C108:Q108" si="2">AVERAGE(C9:C104)</f>
        <v>113.54208333333331</v>
      </c>
      <c r="D108" s="66">
        <f t="shared" si="2"/>
        <v>111.87260416666665</v>
      </c>
      <c r="E108" s="66">
        <f t="shared" si="2"/>
        <v>5.8663541666666674</v>
      </c>
      <c r="F108" s="66">
        <f t="shared" si="2"/>
        <v>3.4117708333333354</v>
      </c>
      <c r="G108" s="66">
        <f t="shared" si="2"/>
        <v>112.94047058823537</v>
      </c>
      <c r="H108" s="66">
        <f t="shared" si="2"/>
        <v>49.903020833333365</v>
      </c>
      <c r="I108" s="66">
        <f t="shared" si="2"/>
        <v>0.96864583333333354</v>
      </c>
      <c r="J108" s="66">
        <f t="shared" si="2"/>
        <v>0.50343749999999987</v>
      </c>
      <c r="K108" s="66">
        <f t="shared" si="2"/>
        <v>104.13385416666667</v>
      </c>
      <c r="L108" s="66">
        <f t="shared" si="2"/>
        <v>28.479791666666657</v>
      </c>
      <c r="M108" s="66">
        <f t="shared" si="2"/>
        <v>31.029791666666679</v>
      </c>
      <c r="N108" s="66">
        <f t="shared" si="2"/>
        <v>156.21666666666667</v>
      </c>
      <c r="O108" s="66">
        <f t="shared" si="2"/>
        <v>0</v>
      </c>
      <c r="P108" s="66">
        <f t="shared" si="2"/>
        <v>1.9784375000000003</v>
      </c>
      <c r="Q108" s="66">
        <f t="shared" si="2"/>
        <v>33.414166666666674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53.524264309762508</v>
      </c>
      <c r="C109" s="66">
        <f t="shared" ref="C109:Q109" si="3">STDEV(C9:C104)</f>
        <v>9.9793784129459659</v>
      </c>
      <c r="D109" s="66">
        <f t="shared" si="3"/>
        <v>43.290983362766816</v>
      </c>
      <c r="E109" s="66">
        <f t="shared" si="3"/>
        <v>1.0170464149131586</v>
      </c>
      <c r="F109" s="66">
        <f t="shared" si="3"/>
        <v>0.61945645918381353</v>
      </c>
      <c r="G109" s="66">
        <f t="shared" si="3"/>
        <v>65.459216999992364</v>
      </c>
      <c r="H109" s="66">
        <f t="shared" si="3"/>
        <v>19.300988418638056</v>
      </c>
      <c r="I109" s="66">
        <f t="shared" si="3"/>
        <v>0.4062035263566296</v>
      </c>
      <c r="J109" s="66">
        <f t="shared" si="3"/>
        <v>0.41783861937607603</v>
      </c>
      <c r="K109" s="66">
        <f t="shared" si="3"/>
        <v>108.97513655943233</v>
      </c>
      <c r="L109" s="66">
        <f t="shared" si="3"/>
        <v>5.0557194249195962</v>
      </c>
      <c r="M109" s="66">
        <f t="shared" si="3"/>
        <v>10.966629187932503</v>
      </c>
      <c r="N109" s="66">
        <f t="shared" si="3"/>
        <v>202.94229185796002</v>
      </c>
      <c r="O109" s="66">
        <f t="shared" si="3"/>
        <v>0</v>
      </c>
      <c r="P109" s="66">
        <f t="shared" si="3"/>
        <v>1.100653708269006</v>
      </c>
      <c r="Q109" s="66">
        <f t="shared" si="3"/>
        <v>4.103919478708046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COUNT(G9:G104)+8</f>
        <v>93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0" sqref="C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06-03-2023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727</v>
      </c>
      <c r="B9" s="59">
        <v>92.62</v>
      </c>
      <c r="C9" s="59">
        <v>128.94999999999999</v>
      </c>
      <c r="D9" s="59">
        <v>145.43</v>
      </c>
      <c r="E9" s="59">
        <v>6.09</v>
      </c>
      <c r="F9" s="59">
        <v>3.35</v>
      </c>
      <c r="G9" s="59">
        <v>129.19999999999999</v>
      </c>
      <c r="H9" s="59">
        <v>72.84</v>
      </c>
      <c r="I9" s="59">
        <v>0.89</v>
      </c>
      <c r="J9" s="59">
        <v>0.68</v>
      </c>
      <c r="K9" s="59">
        <v>7.41</v>
      </c>
      <c r="L9" s="59">
        <v>24.75</v>
      </c>
      <c r="M9" s="59">
        <v>42.82</v>
      </c>
      <c r="N9" s="59">
        <v>3.5</v>
      </c>
      <c r="O9" s="59">
        <v>0</v>
      </c>
      <c r="P9" s="59">
        <v>2.38</v>
      </c>
      <c r="Q9" s="59">
        <v>37.17</v>
      </c>
      <c r="R9" s="197"/>
      <c r="S9" s="197"/>
      <c r="T9" s="197"/>
      <c r="U9" s="197"/>
    </row>
    <row r="10" spans="1:21" s="12" customFormat="1" x14ac:dyDescent="0.25">
      <c r="A10" s="200" t="s">
        <v>728</v>
      </c>
      <c r="B10" s="59">
        <v>88.37</v>
      </c>
      <c r="C10" s="59">
        <v>127.28</v>
      </c>
      <c r="D10" s="59">
        <v>141.11000000000001</v>
      </c>
      <c r="E10" s="59">
        <v>5.76</v>
      </c>
      <c r="F10" s="59">
        <v>3.52</v>
      </c>
      <c r="G10" s="59">
        <v>126.81</v>
      </c>
      <c r="H10" s="59">
        <v>72.540000000000006</v>
      </c>
      <c r="I10" s="59">
        <v>0.99</v>
      </c>
      <c r="J10" s="59">
        <v>0.9</v>
      </c>
      <c r="K10" s="59">
        <v>17.670000000000002</v>
      </c>
      <c r="L10" s="59">
        <v>25.13</v>
      </c>
      <c r="M10" s="59">
        <v>40.909999999999997</v>
      </c>
      <c r="N10" s="59">
        <v>3.7</v>
      </c>
      <c r="O10" s="59">
        <v>0</v>
      </c>
      <c r="P10" s="59">
        <v>2.17</v>
      </c>
      <c r="Q10" s="59">
        <v>37.130000000000003</v>
      </c>
      <c r="R10" s="197"/>
      <c r="S10" s="197"/>
      <c r="T10" s="197"/>
      <c r="U10" s="197"/>
    </row>
    <row r="11" spans="1:21" s="12" customFormat="1" x14ac:dyDescent="0.25">
      <c r="A11" s="200" t="s">
        <v>729</v>
      </c>
      <c r="B11" s="59">
        <v>83.52</v>
      </c>
      <c r="C11" s="59">
        <v>125.59</v>
      </c>
      <c r="D11" s="59">
        <v>136.29</v>
      </c>
      <c r="E11" s="59">
        <v>6.15</v>
      </c>
      <c r="F11" s="59">
        <v>3.71</v>
      </c>
      <c r="G11" s="59">
        <v>98.46</v>
      </c>
      <c r="H11" s="59">
        <v>69.02</v>
      </c>
      <c r="I11" s="59">
        <v>1.06</v>
      </c>
      <c r="J11" s="59">
        <v>0.74</v>
      </c>
      <c r="K11" s="59">
        <v>17.52</v>
      </c>
      <c r="L11" s="59">
        <v>25.13</v>
      </c>
      <c r="M11" s="59">
        <v>40.47</v>
      </c>
      <c r="N11" s="59">
        <v>4.0999999999999996</v>
      </c>
      <c r="O11" s="59">
        <v>0</v>
      </c>
      <c r="P11" s="59">
        <v>2.04</v>
      </c>
      <c r="Q11" s="59">
        <v>36.83</v>
      </c>
      <c r="R11" s="197"/>
      <c r="S11" s="197"/>
      <c r="T11" s="197"/>
      <c r="U11" s="197"/>
    </row>
    <row r="12" spans="1:21" s="12" customFormat="1" x14ac:dyDescent="0.25">
      <c r="A12" s="200" t="s">
        <v>730</v>
      </c>
      <c r="B12" s="59">
        <v>79.27</v>
      </c>
      <c r="C12" s="59">
        <v>124.19</v>
      </c>
      <c r="D12" s="59">
        <v>132.1</v>
      </c>
      <c r="E12" s="59">
        <v>6.44</v>
      </c>
      <c r="F12" s="59">
        <v>3.14</v>
      </c>
      <c r="G12" s="59">
        <v>98.46</v>
      </c>
      <c r="H12" s="59">
        <v>69.02</v>
      </c>
      <c r="I12" s="59">
        <v>0.9</v>
      </c>
      <c r="J12" s="59">
        <v>0.3</v>
      </c>
      <c r="K12" s="59">
        <v>358.22</v>
      </c>
      <c r="L12" s="59">
        <v>24.75</v>
      </c>
      <c r="M12" s="59">
        <v>41.97</v>
      </c>
      <c r="N12" s="59">
        <v>4.5999999999999996</v>
      </c>
      <c r="O12" s="59">
        <v>0</v>
      </c>
      <c r="P12" s="59">
        <v>2.4</v>
      </c>
      <c r="Q12" s="59">
        <v>36.909999999999997</v>
      </c>
      <c r="R12" s="197"/>
      <c r="S12" s="197"/>
      <c r="T12" s="197"/>
      <c r="U12" s="197"/>
    </row>
    <row r="13" spans="1:21" s="12" customFormat="1" x14ac:dyDescent="0.25">
      <c r="A13" s="200" t="s">
        <v>731</v>
      </c>
      <c r="B13" s="59">
        <v>74.260000000000005</v>
      </c>
      <c r="C13" s="59">
        <v>123.55</v>
      </c>
      <c r="D13" s="59">
        <v>127.74</v>
      </c>
      <c r="E13" s="59">
        <v>6.39</v>
      </c>
      <c r="F13" s="59">
        <v>3.02</v>
      </c>
      <c r="G13" s="59">
        <v>98.46</v>
      </c>
      <c r="H13" s="59">
        <v>69.02</v>
      </c>
      <c r="I13" s="59">
        <v>0.83</v>
      </c>
      <c r="J13" s="59">
        <v>0.16</v>
      </c>
      <c r="K13" s="59">
        <v>0.13</v>
      </c>
      <c r="L13" s="59">
        <v>24.28</v>
      </c>
      <c r="M13" s="59">
        <v>43.38</v>
      </c>
      <c r="N13" s="59">
        <v>4.8</v>
      </c>
      <c r="O13" s="59">
        <v>0</v>
      </c>
      <c r="P13" s="59">
        <v>2.39</v>
      </c>
      <c r="Q13" s="59">
        <v>37.65</v>
      </c>
      <c r="R13" s="197"/>
      <c r="S13" s="197"/>
      <c r="T13" s="197"/>
      <c r="U13" s="197"/>
    </row>
    <row r="14" spans="1:21" s="12" customFormat="1" x14ac:dyDescent="0.25">
      <c r="A14" s="200" t="s">
        <v>732</v>
      </c>
      <c r="B14" s="59">
        <v>69.13</v>
      </c>
      <c r="C14" s="59">
        <v>122.7</v>
      </c>
      <c r="D14" s="59">
        <v>123.15</v>
      </c>
      <c r="E14" s="59">
        <v>6.79</v>
      </c>
      <c r="F14" s="59">
        <v>3.02</v>
      </c>
      <c r="G14" s="59">
        <v>99.48</v>
      </c>
      <c r="H14" s="59">
        <v>68.180000000000007</v>
      </c>
      <c r="I14" s="59">
        <v>1.1399999999999999</v>
      </c>
      <c r="J14" s="59">
        <v>0.12</v>
      </c>
      <c r="K14" s="59">
        <v>64.12</v>
      </c>
      <c r="L14" s="59">
        <v>24.11</v>
      </c>
      <c r="M14" s="59">
        <v>44.21</v>
      </c>
      <c r="N14" s="59">
        <v>4.7</v>
      </c>
      <c r="O14" s="59">
        <v>0</v>
      </c>
      <c r="P14" s="59">
        <v>2.41</v>
      </c>
      <c r="Q14" s="59">
        <v>37.74</v>
      </c>
      <c r="R14" s="197"/>
      <c r="S14" s="197"/>
      <c r="T14" s="197"/>
      <c r="U14" s="197"/>
    </row>
    <row r="15" spans="1:21" s="12" customFormat="1" x14ac:dyDescent="0.25">
      <c r="A15" s="200" t="s">
        <v>733</v>
      </c>
      <c r="B15" s="59">
        <v>64.02</v>
      </c>
      <c r="C15" s="59">
        <v>121.61</v>
      </c>
      <c r="D15" s="59">
        <v>118.45</v>
      </c>
      <c r="E15" s="59">
        <v>6.13</v>
      </c>
      <c r="F15" s="59">
        <v>2.93</v>
      </c>
      <c r="G15" s="59">
        <v>111.58</v>
      </c>
      <c r="H15" s="59">
        <v>58.24</v>
      </c>
      <c r="I15" s="59">
        <v>1.25</v>
      </c>
      <c r="J15" s="59">
        <v>0.54</v>
      </c>
      <c r="K15" s="59">
        <v>18</v>
      </c>
      <c r="L15" s="59">
        <v>24.23</v>
      </c>
      <c r="M15" s="59">
        <v>42.79</v>
      </c>
      <c r="N15" s="59">
        <v>3.7</v>
      </c>
      <c r="O15" s="59">
        <v>0</v>
      </c>
      <c r="P15" s="59">
        <v>2.2999999999999998</v>
      </c>
      <c r="Q15" s="59">
        <v>37.340000000000003</v>
      </c>
      <c r="R15" s="197"/>
      <c r="S15" s="197"/>
      <c r="T15" s="197"/>
      <c r="U15" s="197"/>
    </row>
    <row r="16" spans="1:21" s="12" customFormat="1" x14ac:dyDescent="0.25">
      <c r="A16" s="200" t="s">
        <v>734</v>
      </c>
      <c r="B16" s="59">
        <v>58.68</v>
      </c>
      <c r="C16" s="59">
        <v>120.72</v>
      </c>
      <c r="D16" s="59">
        <v>113.68</v>
      </c>
      <c r="E16" s="59">
        <v>6.56</v>
      </c>
      <c r="F16" s="59">
        <v>2.92</v>
      </c>
      <c r="G16" s="59">
        <v>111.58</v>
      </c>
      <c r="H16" s="59">
        <v>58.24</v>
      </c>
      <c r="I16" s="59">
        <v>1.21</v>
      </c>
      <c r="J16" s="59">
        <v>0.57999999999999996</v>
      </c>
      <c r="K16" s="59">
        <v>20.74</v>
      </c>
      <c r="L16" s="59">
        <v>24.3</v>
      </c>
      <c r="M16" s="59">
        <v>42.92</v>
      </c>
      <c r="N16" s="59">
        <v>4</v>
      </c>
      <c r="O16" s="59">
        <v>0</v>
      </c>
      <c r="P16" s="59">
        <v>2.1800000000000002</v>
      </c>
      <c r="Q16" s="59">
        <v>36.99</v>
      </c>
      <c r="R16" s="197"/>
      <c r="S16" s="197"/>
      <c r="T16" s="197"/>
      <c r="U16" s="197"/>
    </row>
    <row r="17" spans="1:21" s="12" customFormat="1" x14ac:dyDescent="0.25">
      <c r="A17" s="200" t="s">
        <v>735</v>
      </c>
      <c r="B17" s="59">
        <v>54.32</v>
      </c>
      <c r="C17" s="59">
        <v>119.62</v>
      </c>
      <c r="D17" s="59">
        <v>109.58</v>
      </c>
      <c r="E17" s="59">
        <v>6.57</v>
      </c>
      <c r="F17" s="59">
        <v>3.06</v>
      </c>
      <c r="G17" s="59">
        <v>111.58</v>
      </c>
      <c r="H17" s="59">
        <v>58.24</v>
      </c>
      <c r="I17" s="59">
        <v>1.17</v>
      </c>
      <c r="J17" s="59">
        <v>0.16</v>
      </c>
      <c r="K17" s="59">
        <v>30.31</v>
      </c>
      <c r="L17" s="59">
        <v>24.16</v>
      </c>
      <c r="M17" s="59">
        <v>42.9</v>
      </c>
      <c r="N17" s="59">
        <v>4.7</v>
      </c>
      <c r="O17" s="59">
        <v>0</v>
      </c>
      <c r="P17" s="59">
        <v>2.08</v>
      </c>
      <c r="Q17" s="59">
        <v>36.65</v>
      </c>
      <c r="R17" s="197"/>
      <c r="S17" s="197"/>
      <c r="T17" s="197"/>
      <c r="U17" s="197"/>
    </row>
    <row r="18" spans="1:21" s="12" customFormat="1" x14ac:dyDescent="0.25">
      <c r="A18" s="200" t="s">
        <v>736</v>
      </c>
      <c r="B18" s="59">
        <v>50.53</v>
      </c>
      <c r="C18" s="59">
        <v>118.75</v>
      </c>
      <c r="D18" s="59">
        <v>106.06</v>
      </c>
      <c r="E18" s="59">
        <v>6.74</v>
      </c>
      <c r="F18" s="59">
        <v>2.86</v>
      </c>
      <c r="G18" s="59">
        <v>111.01</v>
      </c>
      <c r="H18" s="59">
        <v>58.6</v>
      </c>
      <c r="I18" s="59">
        <v>1.1100000000000001</v>
      </c>
      <c r="J18" s="59">
        <v>0.06</v>
      </c>
      <c r="K18" s="59">
        <v>213.81</v>
      </c>
      <c r="L18" s="59">
        <v>23.73</v>
      </c>
      <c r="M18" s="59">
        <v>44.1</v>
      </c>
      <c r="N18" s="59">
        <v>4.5999999999999996</v>
      </c>
      <c r="O18" s="59">
        <v>0</v>
      </c>
      <c r="P18" s="59">
        <v>2</v>
      </c>
      <c r="Q18" s="59">
        <v>36.33</v>
      </c>
      <c r="R18" s="197"/>
      <c r="S18" s="197"/>
      <c r="T18" s="197"/>
      <c r="U18" s="197"/>
    </row>
    <row r="19" spans="1:21" s="12" customFormat="1" x14ac:dyDescent="0.25">
      <c r="A19" s="200" t="s">
        <v>737</v>
      </c>
      <c r="B19" s="59">
        <v>47.45</v>
      </c>
      <c r="C19" s="59">
        <v>117.41</v>
      </c>
      <c r="D19" s="59">
        <v>102.85</v>
      </c>
      <c r="E19" s="59">
        <v>5.68</v>
      </c>
      <c r="F19" s="59">
        <v>2.4900000000000002</v>
      </c>
      <c r="G19" s="59">
        <v>104.21</v>
      </c>
      <c r="H19" s="59">
        <v>62.86</v>
      </c>
      <c r="I19" s="59">
        <v>1.06</v>
      </c>
      <c r="J19" s="59">
        <v>0.16</v>
      </c>
      <c r="K19" s="59">
        <v>111.49</v>
      </c>
      <c r="L19" s="59">
        <v>23.77</v>
      </c>
      <c r="M19" s="59">
        <v>43.59</v>
      </c>
      <c r="N19" s="59">
        <v>4</v>
      </c>
      <c r="O19" s="59">
        <v>0</v>
      </c>
      <c r="P19" s="59">
        <v>1.52</v>
      </c>
      <c r="Q19" s="59">
        <v>35.5</v>
      </c>
      <c r="R19" s="197"/>
      <c r="S19" s="197"/>
      <c r="T19" s="197"/>
      <c r="U19" s="197"/>
    </row>
    <row r="20" spans="1:21" s="12" customFormat="1" x14ac:dyDescent="0.25">
      <c r="A20" s="200" t="s">
        <v>738</v>
      </c>
      <c r="B20" s="59">
        <v>45.69</v>
      </c>
      <c r="C20" s="59">
        <v>115.91</v>
      </c>
      <c r="D20" s="59">
        <v>100.61</v>
      </c>
      <c r="E20" s="59">
        <v>5.56</v>
      </c>
      <c r="F20" s="59">
        <v>2.74</v>
      </c>
      <c r="G20" s="59">
        <v>104.21</v>
      </c>
      <c r="H20" s="59">
        <v>62.86</v>
      </c>
      <c r="I20" s="59">
        <v>1.02</v>
      </c>
      <c r="J20" s="59">
        <v>0.15</v>
      </c>
      <c r="K20" s="59">
        <v>76.89</v>
      </c>
      <c r="L20" s="59">
        <v>23.87</v>
      </c>
      <c r="M20" s="59">
        <v>43.18</v>
      </c>
      <c r="N20" s="59">
        <v>4.3</v>
      </c>
      <c r="O20" s="59">
        <v>0</v>
      </c>
      <c r="P20" s="59">
        <v>1.55</v>
      </c>
      <c r="Q20" s="59">
        <v>34.799999999999997</v>
      </c>
      <c r="R20" s="197"/>
      <c r="S20" s="197"/>
      <c r="T20" s="197"/>
      <c r="U20" s="197"/>
    </row>
    <row r="21" spans="1:21" s="12" customFormat="1" x14ac:dyDescent="0.25">
      <c r="A21" s="200" t="s">
        <v>739</v>
      </c>
      <c r="B21" s="59">
        <v>44.6</v>
      </c>
      <c r="C21" s="59">
        <v>115.62</v>
      </c>
      <c r="D21" s="59">
        <v>99.57</v>
      </c>
      <c r="E21" s="59">
        <v>5.84</v>
      </c>
      <c r="F21" s="59">
        <v>3.09</v>
      </c>
      <c r="G21" s="59">
        <v>104.21</v>
      </c>
      <c r="H21" s="59">
        <v>62.86</v>
      </c>
      <c r="I21" s="59">
        <v>0.73</v>
      </c>
      <c r="J21" s="59">
        <v>0.17</v>
      </c>
      <c r="K21" s="59">
        <v>29.72</v>
      </c>
      <c r="L21" s="59">
        <v>23.36</v>
      </c>
      <c r="M21" s="59">
        <v>46.43</v>
      </c>
      <c r="N21" s="59">
        <v>4.5999999999999996</v>
      </c>
      <c r="O21" s="59">
        <v>0</v>
      </c>
      <c r="P21" s="59">
        <v>1.81</v>
      </c>
      <c r="Q21" s="59">
        <v>34.56</v>
      </c>
      <c r="R21" s="197"/>
      <c r="S21" s="197"/>
      <c r="T21" s="197"/>
      <c r="U21" s="197"/>
    </row>
    <row r="22" spans="1:21" s="12" customFormat="1" x14ac:dyDescent="0.25">
      <c r="A22" s="200" t="s">
        <v>740</v>
      </c>
      <c r="B22" s="59">
        <v>43.7</v>
      </c>
      <c r="C22" s="59">
        <v>115.14</v>
      </c>
      <c r="D22" s="59">
        <v>98.59</v>
      </c>
      <c r="E22" s="59">
        <v>5.48</v>
      </c>
      <c r="F22" s="59">
        <v>3.32</v>
      </c>
      <c r="G22" s="59">
        <v>107.06</v>
      </c>
      <c r="H22" s="59">
        <v>63.02</v>
      </c>
      <c r="I22" s="59">
        <v>0.66</v>
      </c>
      <c r="J22" s="59">
        <v>0.16</v>
      </c>
      <c r="K22" s="59">
        <v>74</v>
      </c>
      <c r="L22" s="59">
        <v>23.18</v>
      </c>
      <c r="M22" s="59">
        <v>46.58</v>
      </c>
      <c r="N22" s="59">
        <v>4.3</v>
      </c>
      <c r="O22" s="59">
        <v>0</v>
      </c>
      <c r="P22" s="59">
        <v>1.86</v>
      </c>
      <c r="Q22" s="59">
        <v>34.67</v>
      </c>
      <c r="R22" s="197"/>
      <c r="S22" s="197"/>
      <c r="T22" s="197"/>
      <c r="U22" s="197"/>
    </row>
    <row r="23" spans="1:21" s="12" customFormat="1" x14ac:dyDescent="0.25">
      <c r="A23" s="200" t="s">
        <v>741</v>
      </c>
      <c r="B23" s="59">
        <v>43.06</v>
      </c>
      <c r="C23" s="59">
        <v>114.91</v>
      </c>
      <c r="D23" s="59">
        <v>97.95</v>
      </c>
      <c r="E23" s="59">
        <v>5.87</v>
      </c>
      <c r="F23" s="59">
        <v>3.29</v>
      </c>
      <c r="G23" s="59">
        <v>140.85</v>
      </c>
      <c r="H23" s="59">
        <v>64.87</v>
      </c>
      <c r="I23" s="59">
        <v>0.71</v>
      </c>
      <c r="J23" s="59">
        <v>0.23</v>
      </c>
      <c r="K23" s="59">
        <v>82.68</v>
      </c>
      <c r="L23" s="59">
        <v>23.54</v>
      </c>
      <c r="M23" s="59">
        <v>44.33</v>
      </c>
      <c r="N23" s="59">
        <v>3.9</v>
      </c>
      <c r="O23" s="59">
        <v>0</v>
      </c>
      <c r="P23" s="59">
        <v>1.77</v>
      </c>
      <c r="Q23" s="59">
        <v>34.79</v>
      </c>
      <c r="R23" s="197"/>
      <c r="S23" s="197"/>
      <c r="T23" s="197"/>
      <c r="U23" s="197"/>
    </row>
    <row r="24" spans="1:21" s="12" customFormat="1" x14ac:dyDescent="0.25">
      <c r="A24" s="200" t="s">
        <v>742</v>
      </c>
      <c r="B24" s="59">
        <v>42.4</v>
      </c>
      <c r="C24" s="59">
        <v>113.61</v>
      </c>
      <c r="D24" s="59">
        <v>96.7</v>
      </c>
      <c r="E24" s="59">
        <v>4.7</v>
      </c>
      <c r="F24" s="59">
        <v>3.34</v>
      </c>
      <c r="G24" s="59">
        <v>140.85</v>
      </c>
      <c r="H24" s="59">
        <v>64.87</v>
      </c>
      <c r="I24" s="59">
        <v>0.67</v>
      </c>
      <c r="J24" s="59">
        <v>0.34</v>
      </c>
      <c r="K24" s="59">
        <v>116.05</v>
      </c>
      <c r="L24" s="59">
        <v>23.36</v>
      </c>
      <c r="M24" s="59">
        <v>44.87</v>
      </c>
      <c r="N24" s="59">
        <v>4</v>
      </c>
      <c r="O24" s="59">
        <v>0</v>
      </c>
      <c r="P24" s="59">
        <v>1.79</v>
      </c>
      <c r="Q24" s="59">
        <v>34.93</v>
      </c>
      <c r="R24" s="197"/>
      <c r="S24" s="197"/>
      <c r="T24" s="197"/>
      <c r="U24" s="197"/>
    </row>
    <row r="25" spans="1:21" s="12" customFormat="1" x14ac:dyDescent="0.25">
      <c r="A25" s="200" t="s">
        <v>743</v>
      </c>
      <c r="B25" s="59">
        <v>41.64</v>
      </c>
      <c r="C25" s="59">
        <v>112.65</v>
      </c>
      <c r="D25" s="59">
        <v>95.56</v>
      </c>
      <c r="E25" s="59">
        <v>6.48</v>
      </c>
      <c r="F25" s="59">
        <v>3.11</v>
      </c>
      <c r="G25" s="59">
        <v>140.85</v>
      </c>
      <c r="H25" s="59">
        <v>64.87</v>
      </c>
      <c r="I25" s="59">
        <v>0.64</v>
      </c>
      <c r="J25" s="59">
        <v>0.19</v>
      </c>
      <c r="K25" s="59">
        <v>81.8</v>
      </c>
      <c r="L25" s="59">
        <v>23.34</v>
      </c>
      <c r="M25" s="59">
        <v>44.91</v>
      </c>
      <c r="N25" s="59">
        <v>4.4000000000000004</v>
      </c>
      <c r="O25" s="59">
        <v>0</v>
      </c>
      <c r="P25" s="59">
        <v>1.77</v>
      </c>
      <c r="Q25" s="59">
        <v>35.22</v>
      </c>
      <c r="R25" s="197"/>
      <c r="S25" s="197"/>
      <c r="T25" s="197"/>
      <c r="U25" s="197"/>
    </row>
    <row r="26" spans="1:21" s="12" customFormat="1" x14ac:dyDescent="0.25">
      <c r="A26" s="200" t="s">
        <v>744</v>
      </c>
      <c r="B26" s="59">
        <v>41.22</v>
      </c>
      <c r="C26" s="59">
        <v>111.75</v>
      </c>
      <c r="D26" s="59">
        <v>94.73</v>
      </c>
      <c r="E26" s="59">
        <v>6.68</v>
      </c>
      <c r="F26" s="59">
        <v>3.02</v>
      </c>
      <c r="G26" s="59">
        <v>141.26</v>
      </c>
      <c r="H26" s="59">
        <v>64.98</v>
      </c>
      <c r="I26" s="59">
        <v>0.7</v>
      </c>
      <c r="J26" s="59">
        <v>0.15</v>
      </c>
      <c r="K26" s="59">
        <v>78.099999999999994</v>
      </c>
      <c r="L26" s="59">
        <v>22.87</v>
      </c>
      <c r="M26" s="59">
        <v>47.36</v>
      </c>
      <c r="N26" s="59">
        <v>4.5</v>
      </c>
      <c r="O26" s="59">
        <v>0</v>
      </c>
      <c r="P26" s="59">
        <v>1.78</v>
      </c>
      <c r="Q26" s="59">
        <v>35.380000000000003</v>
      </c>
      <c r="R26" s="197"/>
      <c r="S26" s="197"/>
      <c r="T26" s="197"/>
      <c r="U26" s="197"/>
    </row>
    <row r="27" spans="1:21" s="12" customFormat="1" x14ac:dyDescent="0.25">
      <c r="A27" s="200" t="s">
        <v>745</v>
      </c>
      <c r="B27" s="59">
        <v>41.07</v>
      </c>
      <c r="C27" s="59">
        <v>111.71</v>
      </c>
      <c r="D27" s="59">
        <v>94.59</v>
      </c>
      <c r="E27" s="59">
        <v>7.62</v>
      </c>
      <c r="F27" s="59">
        <v>3.1</v>
      </c>
      <c r="G27" s="59">
        <v>146.19</v>
      </c>
      <c r="H27" s="59">
        <v>66.31</v>
      </c>
      <c r="I27" s="59">
        <v>0.72</v>
      </c>
      <c r="J27" s="59">
        <v>0.23</v>
      </c>
      <c r="K27" s="59">
        <v>86.77</v>
      </c>
      <c r="L27" s="59">
        <v>23.02</v>
      </c>
      <c r="M27" s="59">
        <v>45.73</v>
      </c>
      <c r="N27" s="59">
        <v>4</v>
      </c>
      <c r="O27" s="59">
        <v>0</v>
      </c>
      <c r="P27" s="59">
        <v>1.81</v>
      </c>
      <c r="Q27" s="59">
        <v>36.21</v>
      </c>
      <c r="R27" s="197"/>
      <c r="S27" s="197"/>
      <c r="T27" s="197"/>
      <c r="U27" s="197"/>
    </row>
    <row r="28" spans="1:21" s="12" customFormat="1" x14ac:dyDescent="0.25">
      <c r="A28" s="200" t="s">
        <v>746</v>
      </c>
      <c r="B28" s="59">
        <v>39.94</v>
      </c>
      <c r="C28" s="59">
        <v>110.89</v>
      </c>
      <c r="D28" s="59">
        <v>93.23</v>
      </c>
      <c r="E28" s="59">
        <v>6.95</v>
      </c>
      <c r="F28" s="59">
        <v>2.84</v>
      </c>
      <c r="G28" s="59">
        <v>146.19</v>
      </c>
      <c r="H28" s="59">
        <v>66.31</v>
      </c>
      <c r="I28" s="59">
        <v>0.79</v>
      </c>
      <c r="J28" s="59">
        <v>0.19</v>
      </c>
      <c r="K28" s="59">
        <v>77.790000000000006</v>
      </c>
      <c r="L28" s="59">
        <v>23.03</v>
      </c>
      <c r="M28" s="59">
        <v>45.88</v>
      </c>
      <c r="N28" s="59">
        <v>4.3</v>
      </c>
      <c r="O28" s="59">
        <v>0</v>
      </c>
      <c r="P28" s="59">
        <v>1.78</v>
      </c>
      <c r="Q28" s="59">
        <v>36.79</v>
      </c>
      <c r="R28" s="197"/>
      <c r="S28" s="197"/>
      <c r="T28" s="197"/>
      <c r="U28" s="197"/>
    </row>
    <row r="29" spans="1:21" s="12" customFormat="1" x14ac:dyDescent="0.25">
      <c r="A29" s="200" t="s">
        <v>747</v>
      </c>
      <c r="B29" s="59">
        <v>38.869999999999997</v>
      </c>
      <c r="C29" s="59">
        <v>110.12</v>
      </c>
      <c r="D29" s="59">
        <v>91.94</v>
      </c>
      <c r="E29" s="59">
        <v>7.21</v>
      </c>
      <c r="F29" s="59">
        <v>2.91</v>
      </c>
      <c r="G29" s="59">
        <v>146.19</v>
      </c>
      <c r="H29" s="59">
        <v>66.31</v>
      </c>
      <c r="I29" s="59">
        <v>0.83</v>
      </c>
      <c r="J29" s="59">
        <v>0.08</v>
      </c>
      <c r="K29" s="59">
        <v>206.72</v>
      </c>
      <c r="L29" s="59">
        <v>22.7</v>
      </c>
      <c r="M29" s="59">
        <v>46.85</v>
      </c>
      <c r="N29" s="59">
        <v>4.4000000000000004</v>
      </c>
      <c r="O29" s="59">
        <v>0</v>
      </c>
      <c r="P29" s="59">
        <v>1.75</v>
      </c>
      <c r="Q29" s="59">
        <v>36.76</v>
      </c>
      <c r="R29" s="197"/>
      <c r="S29" s="197"/>
      <c r="T29" s="197"/>
      <c r="U29" s="197"/>
    </row>
    <row r="30" spans="1:21" s="12" customFormat="1" x14ac:dyDescent="0.25">
      <c r="A30" s="200" t="s">
        <v>748</v>
      </c>
      <c r="B30" s="59">
        <v>38</v>
      </c>
      <c r="C30" s="59">
        <v>109.9</v>
      </c>
      <c r="D30" s="59">
        <v>91.13</v>
      </c>
      <c r="E30" s="59">
        <v>7.58</v>
      </c>
      <c r="F30" s="59">
        <v>3.01</v>
      </c>
      <c r="G30" s="59">
        <v>144.47999999999999</v>
      </c>
      <c r="H30" s="59">
        <v>65.88</v>
      </c>
      <c r="I30" s="59">
        <v>0.82</v>
      </c>
      <c r="J30" s="59">
        <v>0.18</v>
      </c>
      <c r="K30" s="59">
        <v>79.099999999999994</v>
      </c>
      <c r="L30" s="59">
        <v>22.63</v>
      </c>
      <c r="M30" s="59">
        <v>46.21</v>
      </c>
      <c r="N30" s="59">
        <v>4.0999999999999996</v>
      </c>
      <c r="O30" s="59">
        <v>0</v>
      </c>
      <c r="P30" s="59">
        <v>1.72</v>
      </c>
      <c r="Q30" s="59">
        <v>36.5</v>
      </c>
      <c r="R30" s="197"/>
      <c r="S30" s="197"/>
      <c r="T30" s="197"/>
      <c r="U30" s="197"/>
    </row>
    <row r="31" spans="1:21" s="12" customFormat="1" x14ac:dyDescent="0.25">
      <c r="A31" s="200" t="s">
        <v>749</v>
      </c>
      <c r="B31" s="59">
        <v>41.01</v>
      </c>
      <c r="C31" s="59">
        <v>109.7</v>
      </c>
      <c r="D31" s="59">
        <v>93.43</v>
      </c>
      <c r="E31" s="59">
        <v>7.18</v>
      </c>
      <c r="F31" s="59">
        <v>3.05</v>
      </c>
      <c r="G31" s="59">
        <v>124.24</v>
      </c>
      <c r="H31" s="59">
        <v>60.79</v>
      </c>
      <c r="I31" s="59">
        <v>0.8</v>
      </c>
      <c r="J31" s="59">
        <v>0.15</v>
      </c>
      <c r="K31" s="59">
        <v>88.11</v>
      </c>
      <c r="L31" s="59">
        <v>22.63</v>
      </c>
      <c r="M31" s="59">
        <v>45.93</v>
      </c>
      <c r="N31" s="59">
        <v>4.3</v>
      </c>
      <c r="O31" s="59">
        <v>0</v>
      </c>
      <c r="P31" s="59">
        <v>1.73</v>
      </c>
      <c r="Q31" s="59">
        <v>36.26</v>
      </c>
      <c r="R31" s="197"/>
      <c r="S31" s="197"/>
      <c r="T31" s="197"/>
      <c r="U31" s="197"/>
    </row>
    <row r="32" spans="1:21" s="12" customFormat="1" x14ac:dyDescent="0.25">
      <c r="A32" s="200" t="s">
        <v>750</v>
      </c>
      <c r="B32" s="59">
        <v>44.23</v>
      </c>
      <c r="C32" s="59">
        <v>109.97</v>
      </c>
      <c r="D32" s="59">
        <v>96.16</v>
      </c>
      <c r="E32" s="59">
        <v>6.97</v>
      </c>
      <c r="F32" s="59">
        <v>2.67</v>
      </c>
      <c r="G32" s="59">
        <v>124.24</v>
      </c>
      <c r="H32" s="59">
        <v>60.79</v>
      </c>
      <c r="I32" s="59">
        <v>0.83</v>
      </c>
      <c r="J32" s="59">
        <v>0.19</v>
      </c>
      <c r="K32" s="59">
        <v>258.95999999999998</v>
      </c>
      <c r="L32" s="59">
        <v>22.53</v>
      </c>
      <c r="M32" s="59">
        <v>46.66</v>
      </c>
      <c r="N32" s="59">
        <v>4.5</v>
      </c>
      <c r="O32" s="59">
        <v>0</v>
      </c>
      <c r="P32" s="59">
        <v>1.71</v>
      </c>
      <c r="Q32" s="59">
        <v>36.15</v>
      </c>
      <c r="R32" s="197"/>
      <c r="S32" s="197"/>
      <c r="T32" s="197"/>
      <c r="U32" s="197"/>
    </row>
    <row r="33" spans="1:21" s="12" customFormat="1" x14ac:dyDescent="0.25">
      <c r="A33" s="200" t="s">
        <v>751</v>
      </c>
      <c r="B33" s="59">
        <v>44.4</v>
      </c>
      <c r="C33" s="59">
        <v>110.26</v>
      </c>
      <c r="D33" s="59">
        <v>96.46</v>
      </c>
      <c r="E33" s="59">
        <v>7.32</v>
      </c>
      <c r="F33" s="59">
        <v>2.64</v>
      </c>
      <c r="G33" s="59">
        <v>124.24</v>
      </c>
      <c r="H33" s="59">
        <v>60.79</v>
      </c>
      <c r="I33" s="59">
        <v>0.8</v>
      </c>
      <c r="J33" s="59">
        <v>0.18</v>
      </c>
      <c r="K33" s="59">
        <v>266.69</v>
      </c>
      <c r="L33" s="59">
        <v>22.38</v>
      </c>
      <c r="M33" s="59">
        <v>47.5</v>
      </c>
      <c r="N33" s="59">
        <v>5.4</v>
      </c>
      <c r="O33" s="59">
        <v>0</v>
      </c>
      <c r="P33" s="59">
        <v>1.61</v>
      </c>
      <c r="Q33" s="59">
        <v>35.89</v>
      </c>
      <c r="R33" s="197"/>
      <c r="S33" s="197"/>
      <c r="T33" s="197"/>
      <c r="U33" s="197"/>
    </row>
    <row r="34" spans="1:21" s="12" customFormat="1" x14ac:dyDescent="0.25">
      <c r="A34" s="200" t="s">
        <v>752</v>
      </c>
      <c r="B34" s="59">
        <v>44.86</v>
      </c>
      <c r="C34" s="59">
        <v>109.46</v>
      </c>
      <c r="D34" s="59">
        <v>96.38</v>
      </c>
      <c r="E34" s="59">
        <v>6.4</v>
      </c>
      <c r="F34" s="59">
        <v>2.81</v>
      </c>
      <c r="G34" s="59">
        <v>124.19</v>
      </c>
      <c r="H34" s="59">
        <v>60.61</v>
      </c>
      <c r="I34" s="59">
        <v>0.76</v>
      </c>
      <c r="J34" s="59">
        <v>0.42</v>
      </c>
      <c r="K34" s="59">
        <v>228.33</v>
      </c>
      <c r="L34" s="59">
        <v>22.07</v>
      </c>
      <c r="M34" s="59">
        <v>53.88</v>
      </c>
      <c r="N34" s="59">
        <v>10.5</v>
      </c>
      <c r="O34" s="59">
        <v>0</v>
      </c>
      <c r="P34" s="59">
        <v>1.65</v>
      </c>
      <c r="Q34" s="59">
        <v>35.11</v>
      </c>
      <c r="R34" s="197"/>
      <c r="S34" s="197"/>
      <c r="T34" s="197"/>
      <c r="U34" s="197"/>
    </row>
    <row r="35" spans="1:21" s="12" customFormat="1" x14ac:dyDescent="0.25">
      <c r="A35" s="200" t="s">
        <v>753</v>
      </c>
      <c r="B35" s="59">
        <v>45.54</v>
      </c>
      <c r="C35" s="59">
        <v>108.72</v>
      </c>
      <c r="D35" s="59">
        <v>96.52</v>
      </c>
      <c r="E35" s="59">
        <v>5.49</v>
      </c>
      <c r="F35" s="59">
        <v>3.57</v>
      </c>
      <c r="G35" s="59">
        <v>123.57</v>
      </c>
      <c r="H35" s="59">
        <v>58.48</v>
      </c>
      <c r="I35" s="59">
        <v>0.72</v>
      </c>
      <c r="J35" s="59">
        <v>0.66</v>
      </c>
      <c r="K35" s="59">
        <v>213.67</v>
      </c>
      <c r="L35" s="59">
        <v>21.58</v>
      </c>
      <c r="M35" s="59">
        <v>60.07</v>
      </c>
      <c r="N35" s="59">
        <v>22.6</v>
      </c>
      <c r="O35" s="59">
        <v>0</v>
      </c>
      <c r="P35" s="59">
        <v>1.61</v>
      </c>
      <c r="Q35" s="59">
        <v>34.26</v>
      </c>
      <c r="R35" s="197"/>
      <c r="S35" s="197"/>
      <c r="T35" s="197"/>
      <c r="U35" s="197"/>
    </row>
    <row r="36" spans="1:21" s="12" customFormat="1" x14ac:dyDescent="0.25">
      <c r="A36" s="200" t="s">
        <v>754</v>
      </c>
      <c r="B36" s="59">
        <v>45.58</v>
      </c>
      <c r="C36" s="59">
        <v>107.29</v>
      </c>
      <c r="D36" s="59">
        <v>95.76</v>
      </c>
      <c r="E36" s="59">
        <v>5.7</v>
      </c>
      <c r="F36" s="59">
        <v>2.84</v>
      </c>
      <c r="G36" s="59">
        <v>123.57</v>
      </c>
      <c r="H36" s="59">
        <v>58.48</v>
      </c>
      <c r="I36" s="59">
        <v>0.74</v>
      </c>
      <c r="J36" s="59">
        <v>0.37</v>
      </c>
      <c r="K36" s="59">
        <v>227.33</v>
      </c>
      <c r="L36" s="59">
        <v>21.62</v>
      </c>
      <c r="M36" s="59">
        <v>61.3</v>
      </c>
      <c r="N36" s="59">
        <v>48.5</v>
      </c>
      <c r="O36" s="59">
        <v>0</v>
      </c>
      <c r="P36" s="59">
        <v>1.56</v>
      </c>
      <c r="Q36" s="59">
        <v>33.89</v>
      </c>
      <c r="R36" s="197"/>
      <c r="S36" s="197"/>
      <c r="T36" s="197"/>
      <c r="U36" s="197"/>
    </row>
    <row r="37" spans="1:21" s="12" customFormat="1" x14ac:dyDescent="0.25">
      <c r="A37" s="200" t="s">
        <v>755</v>
      </c>
      <c r="B37" s="59">
        <v>44.88</v>
      </c>
      <c r="C37" s="59">
        <v>106.3</v>
      </c>
      <c r="D37" s="59">
        <v>94.65</v>
      </c>
      <c r="E37" s="59">
        <v>5.62</v>
      </c>
      <c r="F37" s="59">
        <v>2.85</v>
      </c>
      <c r="G37" s="59">
        <v>123.57</v>
      </c>
      <c r="H37" s="59">
        <v>58.48</v>
      </c>
      <c r="I37" s="59">
        <v>0.74</v>
      </c>
      <c r="J37" s="59">
        <v>0.38</v>
      </c>
      <c r="K37" s="59">
        <v>217.77</v>
      </c>
      <c r="L37" s="59">
        <v>21.88</v>
      </c>
      <c r="M37" s="59">
        <v>59.43</v>
      </c>
      <c r="N37" s="59">
        <v>82.6</v>
      </c>
      <c r="O37" s="59">
        <v>0</v>
      </c>
      <c r="P37" s="59">
        <v>1.53</v>
      </c>
      <c r="Q37" s="59">
        <v>33.68</v>
      </c>
      <c r="R37" s="197"/>
      <c r="S37" s="197"/>
      <c r="T37" s="197"/>
      <c r="U37" s="197"/>
    </row>
    <row r="38" spans="1:21" s="12" customFormat="1" x14ac:dyDescent="0.25">
      <c r="A38" s="200" t="s">
        <v>756</v>
      </c>
      <c r="B38" s="59">
        <v>43.68</v>
      </c>
      <c r="C38" s="59">
        <v>105.66</v>
      </c>
      <c r="D38" s="59">
        <v>93.34</v>
      </c>
      <c r="E38" s="59">
        <v>6.07</v>
      </c>
      <c r="F38" s="59">
        <v>2.91</v>
      </c>
      <c r="G38" s="59">
        <v>121.97</v>
      </c>
      <c r="H38" s="59">
        <v>58.3</v>
      </c>
      <c r="I38" s="59">
        <v>0.73</v>
      </c>
      <c r="J38" s="59">
        <v>0.05</v>
      </c>
      <c r="K38" s="59">
        <v>286.99</v>
      </c>
      <c r="L38" s="59">
        <v>22.6</v>
      </c>
      <c r="M38" s="59">
        <v>55.21</v>
      </c>
      <c r="N38" s="59">
        <v>118.8</v>
      </c>
      <c r="O38" s="59">
        <v>0</v>
      </c>
      <c r="P38" s="59">
        <v>1.58</v>
      </c>
      <c r="Q38" s="59">
        <v>33.619999999999997</v>
      </c>
      <c r="R38" s="197"/>
      <c r="S38" s="197"/>
      <c r="T38" s="197"/>
      <c r="U38" s="197"/>
    </row>
    <row r="39" spans="1:21" s="12" customFormat="1" x14ac:dyDescent="0.25">
      <c r="A39" s="200" t="s">
        <v>757</v>
      </c>
      <c r="B39" s="59">
        <v>43.3</v>
      </c>
      <c r="C39" s="59">
        <v>105.7</v>
      </c>
      <c r="D39" s="59">
        <v>93.06</v>
      </c>
      <c r="E39" s="59">
        <v>5.97</v>
      </c>
      <c r="F39" s="59">
        <v>3.12</v>
      </c>
      <c r="G39" s="59">
        <v>102.97</v>
      </c>
      <c r="H39" s="59">
        <v>56.08</v>
      </c>
      <c r="I39" s="59">
        <v>0.73</v>
      </c>
      <c r="J39" s="59">
        <v>0.26</v>
      </c>
      <c r="K39" s="59">
        <v>197.6</v>
      </c>
      <c r="L39" s="59">
        <v>23.92</v>
      </c>
      <c r="M39" s="59">
        <v>51.39</v>
      </c>
      <c r="N39" s="59">
        <v>162.6</v>
      </c>
      <c r="O39" s="59">
        <v>0</v>
      </c>
      <c r="P39" s="59">
        <v>1.56</v>
      </c>
      <c r="Q39" s="59">
        <v>33.549999999999997</v>
      </c>
      <c r="R39" s="197"/>
      <c r="S39" s="197"/>
      <c r="T39" s="197"/>
      <c r="U39" s="197"/>
    </row>
    <row r="40" spans="1:21" s="12" customFormat="1" x14ac:dyDescent="0.25">
      <c r="A40" s="200" t="s">
        <v>758</v>
      </c>
      <c r="B40" s="59">
        <v>42.92</v>
      </c>
      <c r="C40" s="59">
        <v>105.14</v>
      </c>
      <c r="D40" s="59">
        <v>92.44</v>
      </c>
      <c r="E40" s="59">
        <v>3.4</v>
      </c>
      <c r="F40" s="59">
        <v>2.94</v>
      </c>
      <c r="G40" s="59">
        <v>102.97</v>
      </c>
      <c r="H40" s="59">
        <v>56.08</v>
      </c>
      <c r="I40" s="59">
        <v>0.72</v>
      </c>
      <c r="J40" s="59">
        <v>0.2</v>
      </c>
      <c r="K40" s="59">
        <v>218.83</v>
      </c>
      <c r="L40" s="59">
        <v>24.55</v>
      </c>
      <c r="M40" s="59">
        <v>50.74</v>
      </c>
      <c r="N40" s="59">
        <v>199.9</v>
      </c>
      <c r="O40" s="59">
        <v>0</v>
      </c>
      <c r="P40" s="59">
        <v>1.55</v>
      </c>
      <c r="Q40" s="59">
        <v>33.72</v>
      </c>
      <c r="R40" s="197"/>
      <c r="S40" s="197"/>
      <c r="T40" s="197"/>
      <c r="U40" s="197"/>
    </row>
    <row r="41" spans="1:21" s="12" customFormat="1" x14ac:dyDescent="0.25">
      <c r="A41" s="200" t="s">
        <v>759</v>
      </c>
      <c r="B41" s="59">
        <v>41.49</v>
      </c>
      <c r="C41" s="59">
        <v>105.92</v>
      </c>
      <c r="D41" s="59">
        <v>91.73</v>
      </c>
      <c r="E41" s="59">
        <v>5.14</v>
      </c>
      <c r="F41" s="59">
        <v>2.52</v>
      </c>
      <c r="G41" s="59">
        <v>102.97</v>
      </c>
      <c r="H41" s="59">
        <v>56.08</v>
      </c>
      <c r="I41" s="59">
        <v>0.72</v>
      </c>
      <c r="J41" s="59">
        <v>0.39</v>
      </c>
      <c r="K41" s="59">
        <v>188.76</v>
      </c>
      <c r="L41" s="59">
        <v>25.46</v>
      </c>
      <c r="M41" s="59">
        <v>47.42</v>
      </c>
      <c r="N41" s="59">
        <v>216.5</v>
      </c>
      <c r="O41" s="59">
        <v>0</v>
      </c>
      <c r="P41" s="59">
        <v>1.55</v>
      </c>
      <c r="Q41" s="59">
        <v>34.479999999999997</v>
      </c>
      <c r="R41" s="197"/>
      <c r="S41" s="197"/>
      <c r="T41" s="197"/>
      <c r="U41" s="197"/>
    </row>
    <row r="42" spans="1:21" s="12" customFormat="1" x14ac:dyDescent="0.25">
      <c r="A42" s="200" t="s">
        <v>760</v>
      </c>
      <c r="B42" s="59">
        <v>39.29</v>
      </c>
      <c r="C42" s="59">
        <v>107.7</v>
      </c>
      <c r="D42" s="59">
        <v>90.94</v>
      </c>
      <c r="E42" s="59">
        <v>5.67</v>
      </c>
      <c r="F42" s="59">
        <v>3.03</v>
      </c>
      <c r="G42" s="59">
        <v>102</v>
      </c>
      <c r="H42" s="59">
        <v>55.93</v>
      </c>
      <c r="I42" s="59">
        <v>0.72</v>
      </c>
      <c r="J42" s="59">
        <v>0.25</v>
      </c>
      <c r="K42" s="59">
        <v>352.5</v>
      </c>
      <c r="L42" s="59">
        <v>27.74</v>
      </c>
      <c r="M42" s="59">
        <v>42.37</v>
      </c>
      <c r="N42" s="59">
        <v>255.9</v>
      </c>
      <c r="O42" s="59">
        <v>0</v>
      </c>
      <c r="P42" s="59">
        <v>1.56</v>
      </c>
      <c r="Q42" s="59">
        <v>35.049999999999997</v>
      </c>
      <c r="R42" s="197"/>
      <c r="S42" s="197"/>
      <c r="T42" s="197"/>
      <c r="U42" s="197"/>
    </row>
    <row r="43" spans="1:21" s="12" customFormat="1" x14ac:dyDescent="0.25">
      <c r="A43" s="200" t="s">
        <v>761</v>
      </c>
      <c r="B43" s="59">
        <v>38.119999999999997</v>
      </c>
      <c r="C43" s="59">
        <v>110.84</v>
      </c>
      <c r="D43" s="59">
        <v>91.74</v>
      </c>
      <c r="E43" s="59">
        <v>5.59</v>
      </c>
      <c r="F43" s="59">
        <v>2.92</v>
      </c>
      <c r="G43" s="59">
        <v>90.52</v>
      </c>
      <c r="H43" s="59">
        <v>54.24</v>
      </c>
      <c r="I43" s="59">
        <v>0.72</v>
      </c>
      <c r="J43" s="59">
        <v>0.06</v>
      </c>
      <c r="K43" s="59">
        <v>304.95</v>
      </c>
      <c r="L43" s="59">
        <v>29.49</v>
      </c>
      <c r="M43" s="59">
        <v>37.799999999999997</v>
      </c>
      <c r="N43" s="59">
        <v>302</v>
      </c>
      <c r="O43" s="59">
        <v>0</v>
      </c>
      <c r="P43" s="59">
        <v>1.6</v>
      </c>
      <c r="Q43" s="59">
        <v>35.26</v>
      </c>
      <c r="R43" s="197"/>
      <c r="S43" s="197"/>
      <c r="T43" s="197"/>
      <c r="U43" s="197"/>
    </row>
    <row r="44" spans="1:21" s="12" customFormat="1" x14ac:dyDescent="0.25">
      <c r="A44" s="200" t="s">
        <v>762</v>
      </c>
      <c r="B44" s="59">
        <v>36.159999999999997</v>
      </c>
      <c r="C44" s="59">
        <v>114.43</v>
      </c>
      <c r="D44" s="59">
        <v>92.15</v>
      </c>
      <c r="E44" s="59">
        <v>5.35</v>
      </c>
      <c r="F44" s="59">
        <v>2.77</v>
      </c>
      <c r="G44" s="59">
        <v>90.52</v>
      </c>
      <c r="H44" s="59">
        <v>54.24</v>
      </c>
      <c r="I44" s="59">
        <v>0.72</v>
      </c>
      <c r="J44" s="59">
        <v>0.26</v>
      </c>
      <c r="K44" s="59">
        <v>82.21</v>
      </c>
      <c r="L44" s="59">
        <v>29.72</v>
      </c>
      <c r="M44" s="59">
        <v>34.049999999999997</v>
      </c>
      <c r="N44" s="59">
        <v>360</v>
      </c>
      <c r="O44" s="59">
        <v>0</v>
      </c>
      <c r="P44" s="59">
        <v>1.61</v>
      </c>
      <c r="Q44" s="59">
        <v>35.47</v>
      </c>
      <c r="R44" s="197"/>
      <c r="S44" s="197"/>
      <c r="T44" s="197"/>
      <c r="U44" s="197"/>
    </row>
    <row r="45" spans="1:21" s="12" customFormat="1" x14ac:dyDescent="0.25">
      <c r="A45" s="200" t="s">
        <v>763</v>
      </c>
      <c r="B45" s="59">
        <v>33.81</v>
      </c>
      <c r="C45" s="59">
        <v>117.24</v>
      </c>
      <c r="D45" s="59">
        <v>91.81</v>
      </c>
      <c r="E45" s="59">
        <v>5.35</v>
      </c>
      <c r="F45" s="59">
        <v>2.9</v>
      </c>
      <c r="G45" s="59">
        <v>90.52</v>
      </c>
      <c r="H45" s="59">
        <v>54.24</v>
      </c>
      <c r="I45" s="59">
        <v>0.72</v>
      </c>
      <c r="J45" s="59">
        <v>1.2</v>
      </c>
      <c r="K45" s="59">
        <v>109.88</v>
      </c>
      <c r="L45" s="59">
        <v>29.31</v>
      </c>
      <c r="M45" s="59">
        <v>29.14</v>
      </c>
      <c r="N45" s="59">
        <v>415.8</v>
      </c>
      <c r="O45" s="59">
        <v>0</v>
      </c>
      <c r="P45" s="59">
        <v>1.56</v>
      </c>
      <c r="Q45" s="59">
        <v>35.29</v>
      </c>
      <c r="R45" s="197"/>
      <c r="S45" s="197"/>
      <c r="T45" s="197"/>
      <c r="U45" s="197"/>
    </row>
    <row r="46" spans="1:21" s="12" customFormat="1" x14ac:dyDescent="0.25">
      <c r="A46" s="200" t="s">
        <v>764</v>
      </c>
      <c r="B46" s="59">
        <v>30.05</v>
      </c>
      <c r="C46" s="59">
        <v>118.19</v>
      </c>
      <c r="D46" s="59">
        <v>89.33</v>
      </c>
      <c r="E46" s="59">
        <v>5.38</v>
      </c>
      <c r="F46" s="59">
        <v>2.82</v>
      </c>
      <c r="G46" s="59">
        <v>90.44</v>
      </c>
      <c r="H46" s="59">
        <v>54.05</v>
      </c>
      <c r="I46" s="59">
        <v>0.72</v>
      </c>
      <c r="J46" s="59">
        <v>1.06</v>
      </c>
      <c r="K46" s="59">
        <v>119.14</v>
      </c>
      <c r="L46" s="59">
        <v>29.03</v>
      </c>
      <c r="M46" s="59">
        <v>30.87</v>
      </c>
      <c r="N46" s="59">
        <v>450.4</v>
      </c>
      <c r="O46" s="59">
        <v>0</v>
      </c>
      <c r="P46" s="59">
        <v>1.49</v>
      </c>
      <c r="Q46" s="59">
        <v>34.68</v>
      </c>
      <c r="R46" s="197"/>
      <c r="S46" s="197"/>
      <c r="T46" s="197"/>
      <c r="U46" s="197"/>
    </row>
    <row r="47" spans="1:21" s="12" customFormat="1" x14ac:dyDescent="0.25">
      <c r="A47" s="200" t="s">
        <v>765</v>
      </c>
      <c r="B47" s="59">
        <v>25.93</v>
      </c>
      <c r="C47" s="59">
        <v>119.19</v>
      </c>
      <c r="D47" s="59">
        <v>86.58</v>
      </c>
      <c r="E47" s="59">
        <v>5.24</v>
      </c>
      <c r="F47" s="59">
        <v>2.9</v>
      </c>
      <c r="G47" s="59">
        <v>89.52</v>
      </c>
      <c r="H47" s="59">
        <v>51.8</v>
      </c>
      <c r="I47" s="59">
        <v>0.71</v>
      </c>
      <c r="J47" s="59">
        <v>1.26</v>
      </c>
      <c r="K47" s="59">
        <v>98.41</v>
      </c>
      <c r="L47" s="59">
        <v>30.07</v>
      </c>
      <c r="M47" s="59">
        <v>28.31</v>
      </c>
      <c r="N47" s="59">
        <v>488.5</v>
      </c>
      <c r="O47" s="59">
        <v>0</v>
      </c>
      <c r="P47" s="59">
        <v>1.43</v>
      </c>
      <c r="Q47" s="59">
        <v>34.04</v>
      </c>
      <c r="R47" s="197"/>
      <c r="S47" s="197"/>
      <c r="T47" s="197"/>
      <c r="U47" s="197"/>
    </row>
    <row r="48" spans="1:21" s="12" customFormat="1" x14ac:dyDescent="0.25">
      <c r="A48" s="200" t="s">
        <v>766</v>
      </c>
      <c r="B48" s="59">
        <v>22.28</v>
      </c>
      <c r="C48" s="59">
        <v>118.14</v>
      </c>
      <c r="D48" s="59">
        <v>83.06</v>
      </c>
      <c r="E48" s="59">
        <v>5</v>
      </c>
      <c r="F48" s="59">
        <v>2.76</v>
      </c>
      <c r="G48" s="59">
        <v>89.52</v>
      </c>
      <c r="H48" s="59">
        <v>51.8</v>
      </c>
      <c r="I48" s="59">
        <v>0.69</v>
      </c>
      <c r="J48" s="59">
        <v>1.77</v>
      </c>
      <c r="K48" s="59">
        <v>109.33</v>
      </c>
      <c r="L48" s="59">
        <v>29.9</v>
      </c>
      <c r="M48" s="59">
        <v>28.55</v>
      </c>
      <c r="N48" s="59">
        <v>525.70000000000005</v>
      </c>
      <c r="O48" s="59">
        <v>0</v>
      </c>
      <c r="P48" s="59">
        <v>1.34</v>
      </c>
      <c r="Q48" s="59">
        <v>32.950000000000003</v>
      </c>
      <c r="R48" s="197"/>
      <c r="S48" s="197"/>
      <c r="T48" s="197"/>
      <c r="U48" s="197"/>
    </row>
    <row r="49" spans="1:21" s="12" customFormat="1" x14ac:dyDescent="0.25">
      <c r="A49" s="200" t="s">
        <v>767</v>
      </c>
      <c r="B49" s="59">
        <v>18.97</v>
      </c>
      <c r="C49" s="59">
        <v>115.93</v>
      </c>
      <c r="D49" s="59">
        <v>79.2</v>
      </c>
      <c r="E49" s="59">
        <v>4.05</v>
      </c>
      <c r="F49" s="59">
        <v>3.02</v>
      </c>
      <c r="G49" s="59">
        <v>89.52</v>
      </c>
      <c r="H49" s="59">
        <v>51.8</v>
      </c>
      <c r="I49" s="59">
        <v>0.68</v>
      </c>
      <c r="J49" s="59">
        <v>1.72</v>
      </c>
      <c r="K49" s="59">
        <v>115.17</v>
      </c>
      <c r="L49" s="59">
        <v>30.15</v>
      </c>
      <c r="M49" s="59">
        <v>28.02</v>
      </c>
      <c r="N49" s="59">
        <v>542.70000000000005</v>
      </c>
      <c r="O49" s="59">
        <v>0</v>
      </c>
      <c r="P49" s="59">
        <v>1.26</v>
      </c>
      <c r="Q49" s="59">
        <v>31.56</v>
      </c>
      <c r="R49" s="197"/>
      <c r="S49" s="197"/>
      <c r="T49" s="197"/>
      <c r="U49" s="197"/>
    </row>
    <row r="50" spans="1:21" s="12" customFormat="1" x14ac:dyDescent="0.25">
      <c r="A50" s="200" t="s">
        <v>768</v>
      </c>
      <c r="B50" s="59">
        <v>16.13</v>
      </c>
      <c r="C50" s="59">
        <v>113.86</v>
      </c>
      <c r="D50" s="59">
        <v>75.77</v>
      </c>
      <c r="E50" s="59">
        <v>4.29</v>
      </c>
      <c r="F50" s="59">
        <v>3.1</v>
      </c>
      <c r="G50" s="59">
        <v>87.09</v>
      </c>
      <c r="H50" s="59">
        <v>50.99</v>
      </c>
      <c r="I50" s="59">
        <v>0.68</v>
      </c>
      <c r="J50" s="59">
        <v>1.84</v>
      </c>
      <c r="K50" s="59">
        <v>111.96</v>
      </c>
      <c r="L50" s="59">
        <v>30.74</v>
      </c>
      <c r="M50" s="59">
        <v>26.45</v>
      </c>
      <c r="N50" s="59">
        <v>561.4</v>
      </c>
      <c r="O50" s="59">
        <v>0</v>
      </c>
      <c r="P50" s="59">
        <v>1.1599999999999999</v>
      </c>
      <c r="Q50" s="59">
        <v>30.43</v>
      </c>
      <c r="R50" s="197"/>
      <c r="S50" s="197"/>
      <c r="T50" s="197"/>
      <c r="U50" s="197"/>
    </row>
    <row r="51" spans="1:21" s="12" customFormat="1" x14ac:dyDescent="0.25">
      <c r="A51" s="200" t="s">
        <v>769</v>
      </c>
      <c r="B51" s="59">
        <v>8.1300000000000008</v>
      </c>
      <c r="C51" s="59">
        <v>97.52</v>
      </c>
      <c r="D51" s="59">
        <v>60.34</v>
      </c>
      <c r="E51" s="59">
        <v>5.73</v>
      </c>
      <c r="F51" s="59">
        <v>5.0999999999999996</v>
      </c>
      <c r="G51" s="59">
        <v>58.21</v>
      </c>
      <c r="H51" s="59">
        <v>41.39</v>
      </c>
      <c r="I51" s="59">
        <v>0.66</v>
      </c>
      <c r="J51" s="59">
        <v>1.58</v>
      </c>
      <c r="K51" s="59">
        <v>112.43</v>
      </c>
      <c r="L51" s="59">
        <v>30.7</v>
      </c>
      <c r="M51" s="59">
        <v>26.32</v>
      </c>
      <c r="N51" s="59">
        <v>574</v>
      </c>
      <c r="O51" s="59">
        <v>0</v>
      </c>
      <c r="P51" s="59">
        <v>0.94</v>
      </c>
      <c r="Q51" s="59">
        <v>27.65</v>
      </c>
      <c r="R51" s="197"/>
      <c r="S51" s="197"/>
      <c r="T51" s="197"/>
      <c r="U51" s="197"/>
    </row>
    <row r="52" spans="1:21" s="12" customFormat="1" x14ac:dyDescent="0.25">
      <c r="A52" s="200" t="s">
        <v>770</v>
      </c>
      <c r="B52" s="59">
        <v>2.72</v>
      </c>
      <c r="C52" s="59">
        <v>83.49</v>
      </c>
      <c r="D52" s="59">
        <v>48.26</v>
      </c>
      <c r="E52" s="59">
        <v>10.74</v>
      </c>
      <c r="F52" s="59">
        <v>10.18</v>
      </c>
      <c r="G52" s="59">
        <v>58.21</v>
      </c>
      <c r="H52" s="59">
        <v>41.39</v>
      </c>
      <c r="I52" s="59">
        <v>0.64</v>
      </c>
      <c r="J52" s="59">
        <v>1.21</v>
      </c>
      <c r="K52" s="59">
        <v>99.77</v>
      </c>
      <c r="L52" s="59">
        <v>32.56</v>
      </c>
      <c r="M52" s="59">
        <v>24.02</v>
      </c>
      <c r="N52" s="59">
        <v>584.5</v>
      </c>
      <c r="O52" s="59">
        <v>0</v>
      </c>
      <c r="P52" s="59">
        <v>0.79</v>
      </c>
      <c r="Q52" s="59">
        <v>19.57</v>
      </c>
      <c r="R52" s="197"/>
      <c r="S52" s="197"/>
      <c r="T52" s="197"/>
      <c r="U52" s="197"/>
    </row>
    <row r="53" spans="1:21" s="12" customFormat="1" x14ac:dyDescent="0.25">
      <c r="A53" s="200" t="s">
        <v>771</v>
      </c>
      <c r="B53" s="59">
        <v>1.47</v>
      </c>
      <c r="C53" s="59">
        <v>86.28</v>
      </c>
      <c r="D53" s="59">
        <v>48.79</v>
      </c>
      <c r="E53" s="59">
        <v>9.18</v>
      </c>
      <c r="F53" s="59">
        <v>7.68</v>
      </c>
      <c r="G53" s="59">
        <v>58.21</v>
      </c>
      <c r="H53" s="59">
        <v>41.39</v>
      </c>
      <c r="I53" s="59">
        <v>0.56999999999999995</v>
      </c>
      <c r="J53" s="59">
        <v>0.81</v>
      </c>
      <c r="K53" s="59">
        <v>42.83</v>
      </c>
      <c r="L53" s="59">
        <v>33.229999999999997</v>
      </c>
      <c r="M53" s="59">
        <v>23.55</v>
      </c>
      <c r="N53" s="59">
        <v>586.1</v>
      </c>
      <c r="O53" s="59">
        <v>0</v>
      </c>
      <c r="P53" s="59">
        <v>0.68</v>
      </c>
      <c r="Q53" s="59">
        <v>16.62</v>
      </c>
      <c r="R53" s="197"/>
      <c r="S53" s="197"/>
      <c r="T53" s="197"/>
      <c r="U53" s="197"/>
    </row>
    <row r="54" spans="1:21" s="12" customFormat="1" x14ac:dyDescent="0.25">
      <c r="A54" s="200" t="s">
        <v>772</v>
      </c>
      <c r="B54" s="59">
        <v>2.2599999999999998</v>
      </c>
      <c r="C54" s="59">
        <v>88.66</v>
      </c>
      <c r="D54" s="59">
        <v>50.74</v>
      </c>
      <c r="E54" s="59">
        <v>6.3</v>
      </c>
      <c r="F54" s="59">
        <v>6.35</v>
      </c>
      <c r="G54" s="59">
        <v>55.45</v>
      </c>
      <c r="H54" s="59">
        <v>40.729999999999997</v>
      </c>
      <c r="I54" s="59">
        <v>0.5</v>
      </c>
      <c r="J54" s="59">
        <v>0.81</v>
      </c>
      <c r="K54" s="59">
        <v>25.35</v>
      </c>
      <c r="L54" s="59">
        <v>35.700000000000003</v>
      </c>
      <c r="M54" s="59">
        <v>19.760000000000002</v>
      </c>
      <c r="N54" s="59">
        <v>582.70000000000005</v>
      </c>
      <c r="O54" s="59">
        <v>0</v>
      </c>
      <c r="P54" s="59">
        <v>0.64</v>
      </c>
      <c r="Q54" s="59">
        <v>16.829999999999998</v>
      </c>
      <c r="R54" s="197"/>
      <c r="S54" s="197"/>
      <c r="T54" s="197"/>
      <c r="U54" s="197"/>
    </row>
    <row r="55" spans="1:21" s="12" customFormat="1" x14ac:dyDescent="0.25">
      <c r="A55" s="200" t="s">
        <v>773</v>
      </c>
      <c r="B55" s="59">
        <v>2.63</v>
      </c>
      <c r="C55" s="59">
        <v>90.04</v>
      </c>
      <c r="D55" s="59">
        <v>51.8</v>
      </c>
      <c r="E55" s="59">
        <v>5.81</v>
      </c>
      <c r="F55" s="59">
        <v>5.2</v>
      </c>
      <c r="G55" s="9" t="s">
        <v>36</v>
      </c>
      <c r="H55" s="9" t="s">
        <v>36</v>
      </c>
      <c r="I55" s="59">
        <v>0.49</v>
      </c>
      <c r="J55" s="59">
        <v>1.0900000000000001</v>
      </c>
      <c r="K55" s="59">
        <v>111.41</v>
      </c>
      <c r="L55" s="59">
        <v>33.9</v>
      </c>
      <c r="M55" s="59">
        <v>22.79</v>
      </c>
      <c r="N55" s="59">
        <v>584.1</v>
      </c>
      <c r="O55" s="59">
        <v>0</v>
      </c>
      <c r="P55" s="59">
        <v>0.62</v>
      </c>
      <c r="Q55" s="59">
        <v>17.72</v>
      </c>
      <c r="R55" s="197"/>
      <c r="S55" s="197"/>
      <c r="T55" s="197"/>
      <c r="U55" s="197"/>
    </row>
    <row r="56" spans="1:21" s="12" customFormat="1" x14ac:dyDescent="0.25">
      <c r="A56" s="200" t="s">
        <v>774</v>
      </c>
      <c r="B56" s="59">
        <v>2.3199999999999998</v>
      </c>
      <c r="C56" s="59">
        <v>89.05</v>
      </c>
      <c r="D56" s="59">
        <v>51.01</v>
      </c>
      <c r="E56" s="59">
        <v>4.26</v>
      </c>
      <c r="F56" s="59">
        <v>4.4800000000000004</v>
      </c>
      <c r="G56" s="9" t="s">
        <v>36</v>
      </c>
      <c r="H56" s="9" t="s">
        <v>36</v>
      </c>
      <c r="I56" s="59">
        <v>0.48</v>
      </c>
      <c r="J56" s="59">
        <v>1.07</v>
      </c>
      <c r="K56" s="59">
        <v>119.63</v>
      </c>
      <c r="L56" s="59">
        <v>33.35</v>
      </c>
      <c r="M56" s="59">
        <v>22.8</v>
      </c>
      <c r="N56" s="59">
        <v>576.5</v>
      </c>
      <c r="O56" s="59">
        <v>0</v>
      </c>
      <c r="P56" s="59">
        <v>0.65</v>
      </c>
      <c r="Q56" s="59">
        <v>19.3</v>
      </c>
      <c r="R56" s="197"/>
      <c r="S56" s="197"/>
      <c r="T56" s="197"/>
      <c r="U56" s="197"/>
    </row>
    <row r="57" spans="1:21" s="12" customFormat="1" x14ac:dyDescent="0.25">
      <c r="A57" s="200" t="s">
        <v>775</v>
      </c>
      <c r="B57" s="59">
        <v>1.54</v>
      </c>
      <c r="C57" s="59">
        <v>85.32</v>
      </c>
      <c r="D57" s="59">
        <v>48.32</v>
      </c>
      <c r="E57" s="59">
        <v>5.74</v>
      </c>
      <c r="F57" s="59">
        <v>4.8</v>
      </c>
      <c r="G57" s="9" t="s">
        <v>36</v>
      </c>
      <c r="H57" s="9" t="s">
        <v>36</v>
      </c>
      <c r="I57" s="59">
        <v>0.49</v>
      </c>
      <c r="J57" s="59">
        <v>0.95</v>
      </c>
      <c r="K57" s="59">
        <v>50.09</v>
      </c>
      <c r="L57" s="59">
        <v>34.08</v>
      </c>
      <c r="M57" s="59">
        <v>21.6</v>
      </c>
      <c r="N57" s="59">
        <v>555.79999999999995</v>
      </c>
      <c r="O57" s="59">
        <v>0</v>
      </c>
      <c r="P57" s="59">
        <v>0.62</v>
      </c>
      <c r="Q57" s="59">
        <v>19.670000000000002</v>
      </c>
      <c r="R57" s="197"/>
      <c r="S57" s="197"/>
      <c r="T57" s="197"/>
      <c r="U57" s="197"/>
    </row>
    <row r="58" spans="1:21" s="12" customFormat="1" x14ac:dyDescent="0.25">
      <c r="A58" s="200" t="s">
        <v>776</v>
      </c>
      <c r="B58" s="59">
        <v>1.91</v>
      </c>
      <c r="C58" s="59">
        <v>84.95</v>
      </c>
      <c r="D58" s="59">
        <v>48.42</v>
      </c>
      <c r="E58" s="59">
        <v>6.47</v>
      </c>
      <c r="F58" s="59">
        <v>4.47</v>
      </c>
      <c r="G58" s="9" t="s">
        <v>36</v>
      </c>
      <c r="H58" s="9" t="s">
        <v>36</v>
      </c>
      <c r="I58" s="59">
        <v>0.52</v>
      </c>
      <c r="J58" s="59">
        <v>0.47</v>
      </c>
      <c r="K58" s="59">
        <v>26.57</v>
      </c>
      <c r="L58" s="59">
        <v>36.56</v>
      </c>
      <c r="M58" s="59">
        <v>19.22</v>
      </c>
      <c r="N58" s="59">
        <v>536.20000000000005</v>
      </c>
      <c r="O58" s="59">
        <v>0</v>
      </c>
      <c r="P58" s="59">
        <v>0.62</v>
      </c>
      <c r="Q58" s="59">
        <v>20.190000000000001</v>
      </c>
      <c r="R58" s="197"/>
      <c r="S58" s="197"/>
      <c r="T58" s="197"/>
      <c r="U58" s="197"/>
    </row>
    <row r="59" spans="1:21" s="12" customFormat="1" x14ac:dyDescent="0.25">
      <c r="A59" s="200" t="s">
        <v>777</v>
      </c>
      <c r="B59" s="59">
        <v>2.08</v>
      </c>
      <c r="C59" s="59">
        <v>87.24</v>
      </c>
      <c r="D59" s="59">
        <v>49.81</v>
      </c>
      <c r="E59" s="59">
        <v>5.82</v>
      </c>
      <c r="F59" s="59">
        <v>4.43</v>
      </c>
      <c r="G59" s="9" t="s">
        <v>36</v>
      </c>
      <c r="H59" s="9" t="s">
        <v>36</v>
      </c>
      <c r="I59" s="59">
        <v>0.53</v>
      </c>
      <c r="J59" s="59">
        <v>0.82</v>
      </c>
      <c r="K59" s="59">
        <v>14.32</v>
      </c>
      <c r="L59" s="59">
        <v>37.5</v>
      </c>
      <c r="M59" s="59">
        <v>18.07</v>
      </c>
      <c r="N59" s="59">
        <v>522.6</v>
      </c>
      <c r="O59" s="59">
        <v>0</v>
      </c>
      <c r="P59" s="59">
        <v>0.63</v>
      </c>
      <c r="Q59" s="59">
        <v>20.74</v>
      </c>
      <c r="R59" s="197"/>
      <c r="S59" s="197"/>
      <c r="T59" s="197"/>
      <c r="U59" s="197"/>
    </row>
    <row r="60" spans="1:21" s="12" customFormat="1" x14ac:dyDescent="0.25">
      <c r="A60" s="200" t="s">
        <v>778</v>
      </c>
      <c r="B60" s="59">
        <v>2.5499999999999998</v>
      </c>
      <c r="C60" s="59">
        <v>90.64</v>
      </c>
      <c r="D60" s="59">
        <v>52.07</v>
      </c>
      <c r="E60" s="59">
        <v>5.2</v>
      </c>
      <c r="F60" s="59">
        <v>3.7</v>
      </c>
      <c r="G60" s="59">
        <v>58.85</v>
      </c>
      <c r="H60" s="59">
        <v>25.53</v>
      </c>
      <c r="I60" s="59">
        <v>0.54</v>
      </c>
      <c r="J60" s="59">
        <v>0.25</v>
      </c>
      <c r="K60" s="59">
        <v>9.17</v>
      </c>
      <c r="L60" s="59">
        <v>37.700000000000003</v>
      </c>
      <c r="M60" s="59">
        <v>17.48</v>
      </c>
      <c r="N60" s="59">
        <v>506.3</v>
      </c>
      <c r="O60" s="59">
        <v>0</v>
      </c>
      <c r="P60" s="59">
        <v>0.63</v>
      </c>
      <c r="Q60" s="59">
        <v>21.55</v>
      </c>
      <c r="R60" s="197"/>
      <c r="S60" s="197"/>
      <c r="T60" s="197"/>
      <c r="U60" s="197"/>
    </row>
    <row r="61" spans="1:21" s="12" customFormat="1" x14ac:dyDescent="0.25">
      <c r="A61" s="200" t="s">
        <v>779</v>
      </c>
      <c r="B61" s="59">
        <v>3.02</v>
      </c>
      <c r="C61" s="59">
        <v>92.51</v>
      </c>
      <c r="D61" s="59">
        <v>53.48</v>
      </c>
      <c r="E61" s="59">
        <v>5.42</v>
      </c>
      <c r="F61" s="59">
        <v>3.3</v>
      </c>
      <c r="G61" s="59">
        <v>58.85</v>
      </c>
      <c r="H61" s="59">
        <v>25.53</v>
      </c>
      <c r="I61" s="59">
        <v>0.55000000000000004</v>
      </c>
      <c r="J61" s="59">
        <v>0.67</v>
      </c>
      <c r="K61" s="59">
        <v>21.91</v>
      </c>
      <c r="L61" s="59">
        <v>37.32</v>
      </c>
      <c r="M61" s="59">
        <v>18.07</v>
      </c>
      <c r="N61" s="59">
        <v>496.8</v>
      </c>
      <c r="O61" s="59">
        <v>0</v>
      </c>
      <c r="P61" s="59">
        <v>0.61</v>
      </c>
      <c r="Q61" s="59">
        <v>22.65</v>
      </c>
      <c r="R61" s="197"/>
      <c r="S61" s="197"/>
      <c r="T61" s="197"/>
      <c r="U61" s="197"/>
    </row>
    <row r="62" spans="1:21" s="12" customFormat="1" x14ac:dyDescent="0.25">
      <c r="A62" s="200" t="s">
        <v>780</v>
      </c>
      <c r="B62" s="59">
        <v>2.97</v>
      </c>
      <c r="C62" s="59">
        <v>93.44</v>
      </c>
      <c r="D62" s="59">
        <v>53.95</v>
      </c>
      <c r="E62" s="59">
        <v>5.34</v>
      </c>
      <c r="F62" s="59">
        <v>3.5</v>
      </c>
      <c r="G62" s="59">
        <v>58.85</v>
      </c>
      <c r="H62" s="59">
        <v>25.53</v>
      </c>
      <c r="I62" s="59">
        <v>0.54</v>
      </c>
      <c r="J62" s="59">
        <v>0.48</v>
      </c>
      <c r="K62" s="59">
        <v>104.48</v>
      </c>
      <c r="L62" s="59">
        <v>36.85</v>
      </c>
      <c r="M62" s="59">
        <v>17.98</v>
      </c>
      <c r="N62" s="59">
        <v>486.8</v>
      </c>
      <c r="O62" s="59">
        <v>0</v>
      </c>
      <c r="P62" s="59">
        <v>0.64</v>
      </c>
      <c r="Q62" s="59">
        <v>23.32</v>
      </c>
      <c r="R62" s="197"/>
      <c r="S62" s="197"/>
      <c r="T62" s="197"/>
      <c r="U62" s="197"/>
    </row>
    <row r="63" spans="1:21" s="12" customFormat="1" x14ac:dyDescent="0.25">
      <c r="A63" s="200" t="s">
        <v>781</v>
      </c>
      <c r="B63" s="59">
        <v>3.22</v>
      </c>
      <c r="C63" s="59">
        <v>93.47</v>
      </c>
      <c r="D63" s="59">
        <v>54.17</v>
      </c>
      <c r="E63" s="59">
        <v>5.62</v>
      </c>
      <c r="F63" s="59">
        <v>3.18</v>
      </c>
      <c r="G63" s="59">
        <v>58.85</v>
      </c>
      <c r="H63" s="59">
        <v>25.53</v>
      </c>
      <c r="I63" s="59">
        <v>0.56000000000000005</v>
      </c>
      <c r="J63" s="59">
        <v>0.25</v>
      </c>
      <c r="K63" s="59">
        <v>162.58000000000001</v>
      </c>
      <c r="L63" s="59">
        <v>35</v>
      </c>
      <c r="M63" s="59">
        <v>19.82</v>
      </c>
      <c r="N63" s="59">
        <v>475.9</v>
      </c>
      <c r="O63" s="59">
        <v>0</v>
      </c>
      <c r="P63" s="59">
        <v>0.63</v>
      </c>
      <c r="Q63" s="59">
        <v>23.64</v>
      </c>
      <c r="R63" s="197"/>
      <c r="S63" s="197"/>
      <c r="T63" s="197"/>
      <c r="U63" s="197"/>
    </row>
    <row r="64" spans="1:21" s="12" customFormat="1" x14ac:dyDescent="0.25">
      <c r="A64" s="200" t="s">
        <v>782</v>
      </c>
      <c r="B64" s="59">
        <v>3.83</v>
      </c>
      <c r="C64" s="59">
        <v>93.17</v>
      </c>
      <c r="D64" s="59">
        <v>54.49</v>
      </c>
      <c r="E64" s="59">
        <v>6.04</v>
      </c>
      <c r="F64" s="59">
        <v>6.37</v>
      </c>
      <c r="G64" s="59">
        <v>122.1</v>
      </c>
      <c r="H64" s="59">
        <v>25.22</v>
      </c>
      <c r="I64" s="59">
        <v>0.54</v>
      </c>
      <c r="J64" s="59">
        <v>0.75</v>
      </c>
      <c r="K64" s="59">
        <v>36.67</v>
      </c>
      <c r="L64" s="59">
        <v>36.299999999999997</v>
      </c>
      <c r="M64" s="59">
        <v>18.82</v>
      </c>
      <c r="N64" s="59">
        <v>427</v>
      </c>
      <c r="O64" s="59">
        <v>0</v>
      </c>
      <c r="P64" s="59">
        <v>0.74</v>
      </c>
      <c r="Q64" s="59">
        <v>23.04</v>
      </c>
      <c r="R64" s="197"/>
      <c r="S64" s="197"/>
      <c r="T64" s="197"/>
      <c r="U64" s="197"/>
    </row>
    <row r="65" spans="1:21" s="12" customFormat="1" x14ac:dyDescent="0.25">
      <c r="A65" s="200" t="s">
        <v>783</v>
      </c>
      <c r="B65" s="59">
        <v>0.54</v>
      </c>
      <c r="C65" s="59">
        <v>96.19</v>
      </c>
      <c r="D65" s="59">
        <v>53.51</v>
      </c>
      <c r="E65" s="59">
        <v>8.93</v>
      </c>
      <c r="F65" s="59">
        <v>9.11</v>
      </c>
      <c r="G65" s="59">
        <v>135.78</v>
      </c>
      <c r="H65" s="59">
        <v>25.16</v>
      </c>
      <c r="I65" s="59">
        <v>0.54</v>
      </c>
      <c r="J65" s="59">
        <v>0.92</v>
      </c>
      <c r="K65" s="59">
        <v>21.74</v>
      </c>
      <c r="L65" s="59">
        <v>36.75</v>
      </c>
      <c r="M65" s="59">
        <v>18.899999999999999</v>
      </c>
      <c r="N65" s="59">
        <v>444.8</v>
      </c>
      <c r="O65" s="59">
        <v>0</v>
      </c>
      <c r="P65" s="59">
        <v>0.72</v>
      </c>
      <c r="Q65" s="59">
        <v>20.32</v>
      </c>
      <c r="R65" s="197"/>
      <c r="S65" s="197"/>
      <c r="T65" s="197"/>
      <c r="U65" s="197"/>
    </row>
    <row r="66" spans="1:21" s="12" customFormat="1" x14ac:dyDescent="0.25">
      <c r="A66" s="200" t="s">
        <v>784</v>
      </c>
      <c r="B66" s="59">
        <v>0.9</v>
      </c>
      <c r="C66" s="59">
        <v>71.930000000000007</v>
      </c>
      <c r="D66" s="59">
        <v>40.42</v>
      </c>
      <c r="E66" s="59">
        <v>19.13</v>
      </c>
      <c r="F66" s="59">
        <v>22.91</v>
      </c>
      <c r="G66" s="59">
        <v>135.78</v>
      </c>
      <c r="H66" s="59">
        <v>25.16</v>
      </c>
      <c r="I66" s="59">
        <v>0.52</v>
      </c>
      <c r="J66" s="59">
        <v>0.97</v>
      </c>
      <c r="K66" s="59">
        <v>10.029999999999999</v>
      </c>
      <c r="L66" s="59">
        <v>36.96</v>
      </c>
      <c r="M66" s="59">
        <v>17.66</v>
      </c>
      <c r="N66" s="59">
        <v>497.9</v>
      </c>
      <c r="O66" s="59">
        <v>0</v>
      </c>
      <c r="P66" s="59">
        <v>0.7</v>
      </c>
      <c r="Q66" s="59">
        <v>16.899999999999999</v>
      </c>
      <c r="R66" s="197"/>
      <c r="S66" s="197"/>
      <c r="T66" s="197"/>
      <c r="U66" s="197"/>
    </row>
    <row r="67" spans="1:21" s="12" customFormat="1" x14ac:dyDescent="0.25">
      <c r="A67" s="200" t="s">
        <v>785</v>
      </c>
      <c r="B67" s="59">
        <v>0.68</v>
      </c>
      <c r="C67" s="59">
        <v>71.03</v>
      </c>
      <c r="D67" s="59">
        <v>39.74</v>
      </c>
      <c r="E67" s="59">
        <v>16.86</v>
      </c>
      <c r="F67" s="59">
        <v>15.57</v>
      </c>
      <c r="G67" s="59">
        <v>135.78</v>
      </c>
      <c r="H67" s="59">
        <v>25.16</v>
      </c>
      <c r="I67" s="59">
        <v>0.51</v>
      </c>
      <c r="J67" s="59">
        <v>0.88</v>
      </c>
      <c r="K67" s="59">
        <v>350.98</v>
      </c>
      <c r="L67" s="59">
        <v>38.08</v>
      </c>
      <c r="M67" s="59">
        <v>16.75</v>
      </c>
      <c r="N67" s="59">
        <v>505.6</v>
      </c>
      <c r="O67" s="59">
        <v>0</v>
      </c>
      <c r="P67" s="59">
        <v>0.74</v>
      </c>
      <c r="Q67" s="59">
        <v>15.19</v>
      </c>
      <c r="R67" s="197"/>
      <c r="S67" s="197"/>
      <c r="T67" s="197"/>
      <c r="U67" s="197"/>
    </row>
    <row r="68" spans="1:21" s="12" customFormat="1" x14ac:dyDescent="0.25">
      <c r="A68" s="200" t="s">
        <v>786</v>
      </c>
      <c r="B68" s="59">
        <v>0.52</v>
      </c>
      <c r="C68" s="59">
        <v>76.900000000000006</v>
      </c>
      <c r="D68" s="59">
        <v>42.86</v>
      </c>
      <c r="E68" s="59">
        <v>10.59</v>
      </c>
      <c r="F68" s="59">
        <v>7.39</v>
      </c>
      <c r="G68" s="59">
        <v>65.89</v>
      </c>
      <c r="H68" s="59">
        <v>22.74</v>
      </c>
      <c r="I68" s="59">
        <v>0.48</v>
      </c>
      <c r="J68" s="59">
        <v>1.35</v>
      </c>
      <c r="K68" s="59">
        <v>6.33</v>
      </c>
      <c r="L68" s="59">
        <v>38.74</v>
      </c>
      <c r="M68" s="59">
        <v>15.54</v>
      </c>
      <c r="N68" s="59">
        <v>486.2</v>
      </c>
      <c r="O68" s="59">
        <v>0</v>
      </c>
      <c r="P68" s="59">
        <v>0.73</v>
      </c>
      <c r="Q68" s="59">
        <v>15.31</v>
      </c>
      <c r="R68" s="197"/>
      <c r="S68" s="197"/>
      <c r="T68" s="197"/>
      <c r="U68" s="197"/>
    </row>
    <row r="69" spans="1:21" s="12" customFormat="1" x14ac:dyDescent="0.25">
      <c r="A69" s="200" t="s">
        <v>787</v>
      </c>
      <c r="B69" s="59">
        <v>1.22</v>
      </c>
      <c r="C69" s="59">
        <v>79.44</v>
      </c>
      <c r="D69" s="59">
        <v>44.82</v>
      </c>
      <c r="E69" s="59">
        <v>7.98</v>
      </c>
      <c r="F69" s="59">
        <v>5.26</v>
      </c>
      <c r="G69" s="59">
        <v>50.78</v>
      </c>
      <c r="H69" s="59">
        <v>22.22</v>
      </c>
      <c r="I69" s="59">
        <v>0.47</v>
      </c>
      <c r="J69" s="59">
        <v>1.18</v>
      </c>
      <c r="K69" s="59">
        <v>12.9</v>
      </c>
      <c r="L69" s="59">
        <v>38.4</v>
      </c>
      <c r="M69" s="59">
        <v>13.7</v>
      </c>
      <c r="N69" s="59">
        <v>427.7</v>
      </c>
      <c r="O69" s="59">
        <v>0</v>
      </c>
      <c r="P69" s="59">
        <v>0.69</v>
      </c>
      <c r="Q69" s="59">
        <v>16.079999999999998</v>
      </c>
      <c r="R69" s="197"/>
      <c r="S69" s="197"/>
      <c r="T69" s="197"/>
      <c r="U69" s="197"/>
    </row>
    <row r="70" spans="1:21" s="12" customFormat="1" x14ac:dyDescent="0.25">
      <c r="A70" s="200" t="s">
        <v>788</v>
      </c>
      <c r="B70" s="59">
        <v>2.15</v>
      </c>
      <c r="C70" s="59">
        <v>82.14</v>
      </c>
      <c r="D70" s="59">
        <v>47.06</v>
      </c>
      <c r="E70" s="59">
        <v>6.72</v>
      </c>
      <c r="F70" s="59">
        <v>3.82</v>
      </c>
      <c r="G70" s="59">
        <v>50.78</v>
      </c>
      <c r="H70" s="59">
        <v>22.22</v>
      </c>
      <c r="I70" s="59">
        <v>0.47</v>
      </c>
      <c r="J70" s="59">
        <v>0.89</v>
      </c>
      <c r="K70" s="59">
        <v>359.64</v>
      </c>
      <c r="L70" s="59">
        <v>38.119999999999997</v>
      </c>
      <c r="M70" s="59">
        <v>13.68</v>
      </c>
      <c r="N70" s="59">
        <v>401.8</v>
      </c>
      <c r="O70" s="59">
        <v>0</v>
      </c>
      <c r="P70" s="59">
        <v>0.72</v>
      </c>
      <c r="Q70" s="59">
        <v>18.32</v>
      </c>
      <c r="R70" s="197"/>
      <c r="S70" s="197"/>
      <c r="T70" s="197"/>
      <c r="U70" s="197"/>
    </row>
    <row r="71" spans="1:21" s="12" customFormat="1" x14ac:dyDescent="0.25">
      <c r="A71" s="200" t="s">
        <v>789</v>
      </c>
      <c r="B71" s="59">
        <v>2.76</v>
      </c>
      <c r="C71" s="59">
        <v>83.64</v>
      </c>
      <c r="D71" s="59">
        <v>48.38</v>
      </c>
      <c r="E71" s="59">
        <v>5.72</v>
      </c>
      <c r="F71" s="59">
        <v>3.62</v>
      </c>
      <c r="G71" s="59">
        <v>50.78</v>
      </c>
      <c r="H71" s="59">
        <v>22.22</v>
      </c>
      <c r="I71" s="59">
        <v>0.49</v>
      </c>
      <c r="J71" s="59">
        <v>0.34</v>
      </c>
      <c r="K71" s="59">
        <v>6.85</v>
      </c>
      <c r="L71" s="59">
        <v>37.229999999999997</v>
      </c>
      <c r="M71" s="59">
        <v>14.18</v>
      </c>
      <c r="N71" s="59">
        <v>330.5</v>
      </c>
      <c r="O71" s="59">
        <v>0</v>
      </c>
      <c r="P71" s="59">
        <v>0.72</v>
      </c>
      <c r="Q71" s="59">
        <v>20.170000000000002</v>
      </c>
      <c r="R71" s="197"/>
      <c r="S71" s="197"/>
      <c r="T71" s="197"/>
      <c r="U71" s="197"/>
    </row>
    <row r="72" spans="1:21" s="12" customFormat="1" x14ac:dyDescent="0.25">
      <c r="A72" s="200" t="s">
        <v>790</v>
      </c>
      <c r="B72" s="59">
        <v>2.67</v>
      </c>
      <c r="C72" s="59">
        <v>84.48</v>
      </c>
      <c r="D72" s="59">
        <v>48.76</v>
      </c>
      <c r="E72" s="59">
        <v>3.53</v>
      </c>
      <c r="F72" s="59">
        <v>3.82</v>
      </c>
      <c r="G72" s="9" t="s">
        <v>36</v>
      </c>
      <c r="H72" s="9" t="s">
        <v>36</v>
      </c>
      <c r="I72" s="59">
        <v>0.5</v>
      </c>
      <c r="J72" s="59">
        <v>0.65</v>
      </c>
      <c r="K72" s="59">
        <v>348.01</v>
      </c>
      <c r="L72" s="59">
        <v>36.24</v>
      </c>
      <c r="M72" s="59">
        <v>15.26</v>
      </c>
      <c r="N72" s="59">
        <v>132</v>
      </c>
      <c r="O72" s="59">
        <v>0</v>
      </c>
      <c r="P72" s="59">
        <v>0.69</v>
      </c>
      <c r="Q72" s="59">
        <v>20.95</v>
      </c>
      <c r="R72" s="197"/>
      <c r="S72" s="197"/>
      <c r="T72" s="197"/>
      <c r="U72" s="197"/>
    </row>
    <row r="73" spans="1:21" s="12" customFormat="1" x14ac:dyDescent="0.25">
      <c r="A73" s="200" t="s">
        <v>791</v>
      </c>
      <c r="B73" s="59">
        <v>2.4700000000000002</v>
      </c>
      <c r="C73" s="59">
        <v>84.8</v>
      </c>
      <c r="D73" s="59">
        <v>48.78</v>
      </c>
      <c r="E73" s="59">
        <v>5.16</v>
      </c>
      <c r="F73" s="59">
        <v>3.58</v>
      </c>
      <c r="G73" s="9" t="s">
        <v>36</v>
      </c>
      <c r="H73" s="9" t="s">
        <v>36</v>
      </c>
      <c r="I73" s="59">
        <v>0.51</v>
      </c>
      <c r="J73" s="59">
        <v>0.45</v>
      </c>
      <c r="K73" s="59">
        <v>354.95</v>
      </c>
      <c r="L73" s="59">
        <v>36.04</v>
      </c>
      <c r="M73" s="59">
        <v>14.45</v>
      </c>
      <c r="N73" s="59">
        <v>106.2</v>
      </c>
      <c r="O73" s="59">
        <v>0</v>
      </c>
      <c r="P73" s="59">
        <v>0.6</v>
      </c>
      <c r="Q73" s="59">
        <v>21.72</v>
      </c>
      <c r="R73" s="197"/>
      <c r="S73" s="197"/>
      <c r="T73" s="197"/>
      <c r="U73" s="197"/>
    </row>
    <row r="74" spans="1:21" s="12" customFormat="1" x14ac:dyDescent="0.25">
      <c r="A74" s="200" t="s">
        <v>792</v>
      </c>
      <c r="B74" s="59">
        <v>2.9</v>
      </c>
      <c r="C74" s="59">
        <v>85.16</v>
      </c>
      <c r="D74" s="59">
        <v>49.32</v>
      </c>
      <c r="E74" s="59">
        <v>4.34</v>
      </c>
      <c r="F74" s="59">
        <v>3.65</v>
      </c>
      <c r="G74" s="9" t="s">
        <v>36</v>
      </c>
      <c r="H74" s="9" t="s">
        <v>36</v>
      </c>
      <c r="I74" s="59">
        <v>0.53</v>
      </c>
      <c r="J74" s="59">
        <v>1.1499999999999999</v>
      </c>
      <c r="K74" s="59">
        <v>16.77</v>
      </c>
      <c r="L74" s="59">
        <v>35.36</v>
      </c>
      <c r="M74" s="59">
        <v>14.94</v>
      </c>
      <c r="N74" s="59">
        <v>104.7</v>
      </c>
      <c r="O74" s="59">
        <v>0</v>
      </c>
      <c r="P74" s="59">
        <v>0.67</v>
      </c>
      <c r="Q74" s="59">
        <v>22.44</v>
      </c>
      <c r="R74" s="197"/>
      <c r="S74" s="197"/>
      <c r="T74" s="197"/>
      <c r="U74" s="197"/>
    </row>
    <row r="75" spans="1:21" s="12" customFormat="1" x14ac:dyDescent="0.25">
      <c r="A75" s="200" t="s">
        <v>793</v>
      </c>
      <c r="B75" s="59">
        <v>4.2</v>
      </c>
      <c r="C75" s="59">
        <v>87.15</v>
      </c>
      <c r="D75" s="59">
        <v>51.46</v>
      </c>
      <c r="E75" s="59">
        <v>4.22</v>
      </c>
      <c r="F75" s="59">
        <v>3.26</v>
      </c>
      <c r="G75" s="9" t="s">
        <v>36</v>
      </c>
      <c r="H75" s="9" t="s">
        <v>36</v>
      </c>
      <c r="I75" s="59">
        <v>0.5</v>
      </c>
      <c r="J75" s="59">
        <v>0.57999999999999996</v>
      </c>
      <c r="K75" s="59">
        <v>353.46</v>
      </c>
      <c r="L75" s="59">
        <v>34.81</v>
      </c>
      <c r="M75" s="59">
        <v>17</v>
      </c>
      <c r="N75" s="59">
        <v>76.7</v>
      </c>
      <c r="O75" s="59">
        <v>0</v>
      </c>
      <c r="P75" s="59">
        <v>0.68</v>
      </c>
      <c r="Q75" s="59">
        <v>23.43</v>
      </c>
      <c r="R75" s="197"/>
      <c r="S75" s="197"/>
      <c r="T75" s="197"/>
      <c r="U75" s="197"/>
    </row>
    <row r="76" spans="1:21" s="12" customFormat="1" x14ac:dyDescent="0.25">
      <c r="A76" s="200" t="s">
        <v>794</v>
      </c>
      <c r="B76" s="59">
        <v>5.55</v>
      </c>
      <c r="C76" s="59">
        <v>89.53</v>
      </c>
      <c r="D76" s="59">
        <v>53.86</v>
      </c>
      <c r="E76" s="59">
        <v>4.21</v>
      </c>
      <c r="F76" s="59">
        <v>3.61</v>
      </c>
      <c r="G76" s="9" t="s">
        <v>36</v>
      </c>
      <c r="H76" s="9" t="s">
        <v>36</v>
      </c>
      <c r="I76" s="59">
        <v>0.51</v>
      </c>
      <c r="J76" s="59">
        <v>0.61</v>
      </c>
      <c r="K76" s="59">
        <v>13.53</v>
      </c>
      <c r="L76" s="59">
        <v>34.08</v>
      </c>
      <c r="M76" s="59">
        <v>18.03</v>
      </c>
      <c r="N76" s="59">
        <v>66.099999999999994</v>
      </c>
      <c r="O76" s="59">
        <v>0</v>
      </c>
      <c r="P76" s="59">
        <v>0.79</v>
      </c>
      <c r="Q76" s="59">
        <v>24.06</v>
      </c>
      <c r="R76" s="197"/>
      <c r="S76" s="197"/>
      <c r="T76" s="197"/>
      <c r="U76" s="197"/>
    </row>
    <row r="77" spans="1:21" s="12" customFormat="1" x14ac:dyDescent="0.25">
      <c r="A77" s="200" t="s">
        <v>795</v>
      </c>
      <c r="B77" s="59">
        <v>6.61</v>
      </c>
      <c r="C77" s="59">
        <v>90.55</v>
      </c>
      <c r="D77" s="59">
        <v>55.27</v>
      </c>
      <c r="E77" s="59">
        <v>4.28</v>
      </c>
      <c r="F77" s="59">
        <v>4.2699999999999996</v>
      </c>
      <c r="G77" s="59">
        <v>63.05</v>
      </c>
      <c r="H77" s="59">
        <v>20.55</v>
      </c>
      <c r="I77" s="59">
        <v>0.53</v>
      </c>
      <c r="J77" s="59">
        <v>0.74</v>
      </c>
      <c r="K77" s="59">
        <v>11.05</v>
      </c>
      <c r="L77" s="59">
        <v>33.47</v>
      </c>
      <c r="M77" s="59">
        <v>18.71</v>
      </c>
      <c r="N77" s="59">
        <v>45.8</v>
      </c>
      <c r="O77" s="59">
        <v>0</v>
      </c>
      <c r="P77" s="59">
        <v>0.9</v>
      </c>
      <c r="Q77" s="59">
        <v>24.32</v>
      </c>
      <c r="R77" s="197"/>
      <c r="S77" s="197"/>
      <c r="T77" s="197"/>
      <c r="U77" s="197"/>
    </row>
    <row r="78" spans="1:21" s="12" customFormat="1" x14ac:dyDescent="0.25">
      <c r="A78" s="200" t="s">
        <v>796</v>
      </c>
      <c r="B78" s="59">
        <v>14.1</v>
      </c>
      <c r="C78" s="59">
        <v>98.83</v>
      </c>
      <c r="D78" s="59">
        <v>65.849999999999994</v>
      </c>
      <c r="E78" s="59">
        <v>4.8</v>
      </c>
      <c r="F78" s="59">
        <v>4.17</v>
      </c>
      <c r="G78" s="59">
        <v>63.05</v>
      </c>
      <c r="H78" s="59">
        <v>20.55</v>
      </c>
      <c r="I78" s="59">
        <v>0.51</v>
      </c>
      <c r="J78" s="59">
        <v>0.44</v>
      </c>
      <c r="K78" s="59">
        <v>19.03</v>
      </c>
      <c r="L78" s="59">
        <v>32.880000000000003</v>
      </c>
      <c r="M78" s="59">
        <v>19.940000000000001</v>
      </c>
      <c r="N78" s="59">
        <v>32.4</v>
      </c>
      <c r="O78" s="59">
        <v>0</v>
      </c>
      <c r="P78" s="59">
        <v>1.24</v>
      </c>
      <c r="Q78" s="59">
        <v>23.8</v>
      </c>
      <c r="R78" s="197"/>
      <c r="S78" s="197"/>
      <c r="T78" s="197"/>
      <c r="U78" s="197"/>
    </row>
    <row r="79" spans="1:21" s="12" customFormat="1" x14ac:dyDescent="0.25">
      <c r="A79" s="200" t="s">
        <v>797</v>
      </c>
      <c r="B79" s="59">
        <v>15.61</v>
      </c>
      <c r="C79" s="59">
        <v>112.04</v>
      </c>
      <c r="D79" s="59">
        <v>74.349999999999994</v>
      </c>
      <c r="E79" s="59">
        <v>5.51</v>
      </c>
      <c r="F79" s="59">
        <v>4.3600000000000003</v>
      </c>
      <c r="G79" s="59">
        <v>63.05</v>
      </c>
      <c r="H79" s="59">
        <v>20.55</v>
      </c>
      <c r="I79" s="59">
        <v>0.53</v>
      </c>
      <c r="J79" s="59">
        <v>0.34</v>
      </c>
      <c r="K79" s="59">
        <v>38.39</v>
      </c>
      <c r="L79" s="59">
        <v>32.11</v>
      </c>
      <c r="M79" s="59">
        <v>21.87</v>
      </c>
      <c r="N79" s="59">
        <v>20.2</v>
      </c>
      <c r="O79" s="59">
        <v>0</v>
      </c>
      <c r="P79" s="59">
        <v>1.4</v>
      </c>
      <c r="Q79" s="59">
        <v>20.71</v>
      </c>
      <c r="R79" s="197"/>
      <c r="S79" s="197"/>
      <c r="T79" s="197"/>
      <c r="U79" s="197"/>
    </row>
    <row r="80" spans="1:21" s="12" customFormat="1" x14ac:dyDescent="0.25">
      <c r="A80" s="200" t="s">
        <v>798</v>
      </c>
      <c r="B80" s="59">
        <v>14.45</v>
      </c>
      <c r="C80" s="59">
        <v>117.78</v>
      </c>
      <c r="D80" s="59">
        <v>76.59</v>
      </c>
      <c r="E80" s="59">
        <v>4.7</v>
      </c>
      <c r="F80" s="59">
        <v>3.67</v>
      </c>
      <c r="G80" s="59">
        <v>63.05</v>
      </c>
      <c r="H80" s="59">
        <v>20.55</v>
      </c>
      <c r="I80" s="59">
        <v>0.55000000000000004</v>
      </c>
      <c r="J80" s="59">
        <v>0.44</v>
      </c>
      <c r="K80" s="59">
        <v>84.65</v>
      </c>
      <c r="L80" s="59">
        <v>31.49</v>
      </c>
      <c r="M80" s="59">
        <v>22.02</v>
      </c>
      <c r="N80" s="59">
        <v>10.4</v>
      </c>
      <c r="O80" s="59">
        <v>0</v>
      </c>
      <c r="P80" s="59">
        <v>1.35</v>
      </c>
      <c r="Q80" s="59">
        <v>20.18</v>
      </c>
      <c r="R80" s="197"/>
      <c r="S80" s="197"/>
      <c r="T80" s="197"/>
      <c r="U80" s="197"/>
    </row>
    <row r="81" spans="1:26" s="12" customFormat="1" x14ac:dyDescent="0.25">
      <c r="A81" s="200" t="s">
        <v>799</v>
      </c>
      <c r="B81" s="59">
        <v>14.87</v>
      </c>
      <c r="C81" s="59">
        <v>119.16</v>
      </c>
      <c r="D81" s="59">
        <v>77.69</v>
      </c>
      <c r="E81" s="59">
        <v>4.2300000000000004</v>
      </c>
      <c r="F81" s="59">
        <v>3.32</v>
      </c>
      <c r="G81" s="59">
        <v>62.23</v>
      </c>
      <c r="H81" s="59">
        <v>21.52</v>
      </c>
      <c r="I81" s="59">
        <v>0.56999999999999995</v>
      </c>
      <c r="J81" s="59">
        <v>0.36</v>
      </c>
      <c r="K81" s="59">
        <v>87.5</v>
      </c>
      <c r="L81" s="59">
        <v>31.07</v>
      </c>
      <c r="M81" s="59">
        <v>23.23</v>
      </c>
      <c r="N81" s="59">
        <v>5.5</v>
      </c>
      <c r="O81" s="59">
        <v>0</v>
      </c>
      <c r="P81" s="59">
        <v>2.0699999999999998</v>
      </c>
      <c r="Q81" s="59">
        <v>20.78</v>
      </c>
      <c r="R81" s="197"/>
      <c r="S81" s="197"/>
      <c r="T81" s="197"/>
      <c r="U81" s="197"/>
    </row>
    <row r="82" spans="1:26" s="12" customFormat="1" x14ac:dyDescent="0.25">
      <c r="A82" s="200" t="s">
        <v>800</v>
      </c>
      <c r="B82" s="59">
        <v>16.29</v>
      </c>
      <c r="C82" s="59">
        <v>119.36</v>
      </c>
      <c r="D82" s="59">
        <v>78.930000000000007</v>
      </c>
      <c r="E82" s="59">
        <v>4.5</v>
      </c>
      <c r="F82" s="59">
        <v>3.31</v>
      </c>
      <c r="G82" s="59">
        <v>62.21</v>
      </c>
      <c r="H82" s="59">
        <v>21.55</v>
      </c>
      <c r="I82" s="59">
        <v>0.72</v>
      </c>
      <c r="J82" s="59">
        <v>0.44</v>
      </c>
      <c r="K82" s="59">
        <v>83.3</v>
      </c>
      <c r="L82" s="59">
        <v>30.47</v>
      </c>
      <c r="M82" s="59">
        <v>24.31</v>
      </c>
      <c r="N82" s="59">
        <v>4.3</v>
      </c>
      <c r="O82" s="59">
        <v>0</v>
      </c>
      <c r="P82" s="59">
        <v>1.79</v>
      </c>
      <c r="Q82" s="59">
        <v>21.83</v>
      </c>
      <c r="R82" s="197"/>
      <c r="S82" s="197"/>
      <c r="T82" s="197"/>
      <c r="U82" s="197"/>
    </row>
    <row r="83" spans="1:26" s="12" customFormat="1" x14ac:dyDescent="0.25">
      <c r="A83" s="200" t="s">
        <v>801</v>
      </c>
      <c r="B83" s="59">
        <v>17.440000000000001</v>
      </c>
      <c r="C83" s="59">
        <v>118.94</v>
      </c>
      <c r="D83" s="59">
        <v>79.62</v>
      </c>
      <c r="E83" s="59">
        <v>4.96</v>
      </c>
      <c r="F83" s="59">
        <v>3.65</v>
      </c>
      <c r="G83" s="59">
        <v>62.21</v>
      </c>
      <c r="H83" s="59">
        <v>21.55</v>
      </c>
      <c r="I83" s="59">
        <v>0.87</v>
      </c>
      <c r="J83" s="59">
        <v>0.34</v>
      </c>
      <c r="K83" s="59">
        <v>86.51</v>
      </c>
      <c r="L83" s="59">
        <v>30.21</v>
      </c>
      <c r="M83" s="59">
        <v>25.42</v>
      </c>
      <c r="N83" s="59">
        <v>4</v>
      </c>
      <c r="O83" s="59">
        <v>0</v>
      </c>
      <c r="P83" s="59">
        <v>2.76</v>
      </c>
      <c r="Q83" s="59">
        <v>22.69</v>
      </c>
      <c r="R83" s="197"/>
      <c r="S83" s="197"/>
      <c r="T83" s="197"/>
      <c r="U83" s="197"/>
    </row>
    <row r="84" spans="1:26" s="12" customFormat="1" x14ac:dyDescent="0.25">
      <c r="A84" s="200" t="s">
        <v>802</v>
      </c>
      <c r="B84" s="59">
        <v>19.579999999999998</v>
      </c>
      <c r="C84" s="59">
        <v>119.47</v>
      </c>
      <c r="D84" s="59">
        <v>81.64</v>
      </c>
      <c r="E84" s="59">
        <v>4.5199999999999996</v>
      </c>
      <c r="F84" s="59">
        <v>3.38</v>
      </c>
      <c r="G84" s="59">
        <v>62.21</v>
      </c>
      <c r="H84" s="59">
        <v>21.55</v>
      </c>
      <c r="I84" s="59">
        <v>0.99</v>
      </c>
      <c r="J84" s="59">
        <v>0.26</v>
      </c>
      <c r="K84" s="59">
        <v>86.8</v>
      </c>
      <c r="L84" s="59">
        <v>29.96</v>
      </c>
      <c r="M84" s="59">
        <v>25.79</v>
      </c>
      <c r="N84" s="59">
        <v>4.2</v>
      </c>
      <c r="O84" s="59">
        <v>0</v>
      </c>
      <c r="P84" s="59">
        <v>1.84</v>
      </c>
      <c r="Q84" s="59">
        <v>22.99</v>
      </c>
      <c r="R84" s="197"/>
      <c r="S84" s="197"/>
      <c r="T84" s="197"/>
      <c r="U84" s="197"/>
    </row>
    <row r="85" spans="1:26" s="12" customFormat="1" x14ac:dyDescent="0.25">
      <c r="A85" s="200" t="s">
        <v>803</v>
      </c>
      <c r="B85" s="59">
        <v>21.43</v>
      </c>
      <c r="C85" s="59">
        <v>120.47</v>
      </c>
      <c r="D85" s="59">
        <v>83.67</v>
      </c>
      <c r="E85" s="59">
        <v>4.33</v>
      </c>
      <c r="F85" s="59">
        <v>3.27</v>
      </c>
      <c r="G85" s="59">
        <v>77.56</v>
      </c>
      <c r="H85" s="59">
        <v>28.51</v>
      </c>
      <c r="I85" s="59">
        <v>1.1299999999999999</v>
      </c>
      <c r="J85" s="59">
        <v>0.17</v>
      </c>
      <c r="K85" s="59">
        <v>44.61</v>
      </c>
      <c r="L85" s="59">
        <v>29.19</v>
      </c>
      <c r="M85" s="59">
        <v>30.13</v>
      </c>
      <c r="N85" s="59">
        <v>4.5999999999999996</v>
      </c>
      <c r="O85" s="59">
        <v>0</v>
      </c>
      <c r="P85" s="59">
        <v>2.4500000000000002</v>
      </c>
      <c r="Q85" s="59">
        <v>25.75</v>
      </c>
      <c r="R85" s="197"/>
      <c r="S85" s="197"/>
      <c r="T85" s="197"/>
      <c r="U85" s="197"/>
    </row>
    <row r="86" spans="1:26" s="12" customFormat="1" x14ac:dyDescent="0.25">
      <c r="A86" s="200" t="s">
        <v>804</v>
      </c>
      <c r="B86" s="59">
        <v>28.62</v>
      </c>
      <c r="C86" s="59">
        <v>120.77</v>
      </c>
      <c r="D86" s="59">
        <v>89.6</v>
      </c>
      <c r="E86" s="59">
        <v>5.05</v>
      </c>
      <c r="F86" s="59">
        <v>3.03</v>
      </c>
      <c r="G86" s="59">
        <v>77.91</v>
      </c>
      <c r="H86" s="59">
        <v>28.67</v>
      </c>
      <c r="I86" s="59">
        <v>0.99</v>
      </c>
      <c r="J86" s="59">
        <v>0.14000000000000001</v>
      </c>
      <c r="K86" s="59">
        <v>340.43</v>
      </c>
      <c r="L86" s="59">
        <v>28.39</v>
      </c>
      <c r="M86" s="59">
        <v>34.04</v>
      </c>
      <c r="N86" s="59">
        <v>4.4000000000000004</v>
      </c>
      <c r="O86" s="59">
        <v>0</v>
      </c>
      <c r="P86" s="59">
        <v>3.19</v>
      </c>
      <c r="Q86" s="59">
        <v>27.37</v>
      </c>
      <c r="R86" s="197"/>
      <c r="S86" s="197"/>
      <c r="T86" s="197"/>
      <c r="U86" s="197"/>
    </row>
    <row r="87" spans="1:26" s="12" customFormat="1" x14ac:dyDescent="0.25">
      <c r="A87" s="200" t="s">
        <v>805</v>
      </c>
      <c r="B87" s="59">
        <v>39.909999999999997</v>
      </c>
      <c r="C87" s="59">
        <v>121.32</v>
      </c>
      <c r="D87" s="59">
        <v>98.95</v>
      </c>
      <c r="E87" s="59">
        <v>4.97</v>
      </c>
      <c r="F87" s="59">
        <v>2.96</v>
      </c>
      <c r="G87" s="59">
        <v>77.91</v>
      </c>
      <c r="H87" s="59">
        <v>28.67</v>
      </c>
      <c r="I87" s="59">
        <v>1.1399999999999999</v>
      </c>
      <c r="J87" s="59">
        <v>0.2</v>
      </c>
      <c r="K87" s="59">
        <v>31.14</v>
      </c>
      <c r="L87" s="59">
        <v>27.75</v>
      </c>
      <c r="M87" s="59">
        <v>36.36</v>
      </c>
      <c r="N87" s="59">
        <v>4.5999999999999996</v>
      </c>
      <c r="O87" s="59">
        <v>0</v>
      </c>
      <c r="P87" s="59">
        <v>3.26</v>
      </c>
      <c r="Q87" s="59">
        <v>28.57</v>
      </c>
      <c r="R87" s="197"/>
      <c r="S87" s="197"/>
      <c r="T87" s="197"/>
      <c r="U87" s="197"/>
    </row>
    <row r="88" spans="1:26" s="12" customFormat="1" x14ac:dyDescent="0.25">
      <c r="A88" s="200" t="s">
        <v>806</v>
      </c>
      <c r="B88" s="59">
        <v>55.78</v>
      </c>
      <c r="C88" s="59">
        <v>122.4</v>
      </c>
      <c r="D88" s="59">
        <v>112.28</v>
      </c>
      <c r="E88" s="59">
        <v>3.59</v>
      </c>
      <c r="F88" s="59">
        <v>3.08</v>
      </c>
      <c r="G88" s="59">
        <v>77.91</v>
      </c>
      <c r="H88" s="59">
        <v>28.67</v>
      </c>
      <c r="I88" s="59">
        <v>1.21</v>
      </c>
      <c r="J88" s="59">
        <v>0.04</v>
      </c>
      <c r="K88" s="59">
        <v>204.61</v>
      </c>
      <c r="L88" s="59">
        <v>27.35</v>
      </c>
      <c r="M88" s="59">
        <v>37.369999999999997</v>
      </c>
      <c r="N88" s="59">
        <v>4.3</v>
      </c>
      <c r="O88" s="59">
        <v>0</v>
      </c>
      <c r="P88" s="59">
        <v>3.52</v>
      </c>
      <c r="Q88" s="59">
        <v>29.74</v>
      </c>
      <c r="R88" s="197"/>
      <c r="S88" s="197"/>
      <c r="T88" s="197"/>
      <c r="U88" s="197"/>
    </row>
    <row r="89" spans="1:26" s="12" customFormat="1" x14ac:dyDescent="0.25">
      <c r="A89" s="200" t="s">
        <v>807</v>
      </c>
      <c r="B89" s="59">
        <v>71.89</v>
      </c>
      <c r="C89" s="59">
        <v>123.94</v>
      </c>
      <c r="D89" s="59">
        <v>126.04</v>
      </c>
      <c r="E89" s="59">
        <v>5.9</v>
      </c>
      <c r="F89" s="59">
        <v>2.89</v>
      </c>
      <c r="G89" s="59">
        <v>165.45</v>
      </c>
      <c r="H89" s="59">
        <v>38.85</v>
      </c>
      <c r="I89" s="59">
        <v>1.39</v>
      </c>
      <c r="J89" s="59">
        <v>0.15</v>
      </c>
      <c r="K89" s="59">
        <v>343.73</v>
      </c>
      <c r="L89" s="59">
        <v>26.95</v>
      </c>
      <c r="M89" s="59">
        <v>40.65</v>
      </c>
      <c r="N89" s="59">
        <v>4.4000000000000004</v>
      </c>
      <c r="O89" s="59">
        <v>0</v>
      </c>
      <c r="P89" s="59">
        <v>4.5999999999999996</v>
      </c>
      <c r="Q89" s="59">
        <v>30.78</v>
      </c>
      <c r="R89" s="197"/>
      <c r="S89" s="197"/>
      <c r="T89" s="197"/>
      <c r="U89" s="197"/>
    </row>
    <row r="90" spans="1:26" s="12" customFormat="1" x14ac:dyDescent="0.25">
      <c r="A90" s="200" t="s">
        <v>808</v>
      </c>
      <c r="B90" s="59">
        <v>87.41</v>
      </c>
      <c r="C90" s="59">
        <v>123.75</v>
      </c>
      <c r="D90" s="59">
        <v>138.38999999999999</v>
      </c>
      <c r="E90" s="59">
        <v>6.25</v>
      </c>
      <c r="F90" s="59">
        <v>2.97</v>
      </c>
      <c r="G90" s="59">
        <v>167.43</v>
      </c>
      <c r="H90" s="59">
        <v>39.08</v>
      </c>
      <c r="I90" s="59">
        <v>1.52</v>
      </c>
      <c r="J90" s="59">
        <v>0.15</v>
      </c>
      <c r="K90" s="59">
        <v>265.91000000000003</v>
      </c>
      <c r="L90" s="59">
        <v>26.7</v>
      </c>
      <c r="M90" s="59">
        <v>38.03</v>
      </c>
      <c r="N90" s="59">
        <v>4</v>
      </c>
      <c r="O90" s="59">
        <v>0</v>
      </c>
      <c r="P90" s="59">
        <v>3.24</v>
      </c>
      <c r="Q90" s="59">
        <v>32.020000000000003</v>
      </c>
      <c r="R90" s="197"/>
      <c r="S90" s="197"/>
      <c r="T90" s="197"/>
      <c r="U90" s="197"/>
    </row>
    <row r="91" spans="1:26" s="12" customFormat="1" x14ac:dyDescent="0.25">
      <c r="A91" s="200" t="s">
        <v>809</v>
      </c>
      <c r="B91" s="59">
        <v>94.27</v>
      </c>
      <c r="C91" s="59">
        <v>122.31</v>
      </c>
      <c r="D91" s="59">
        <v>143.1</v>
      </c>
      <c r="E91" s="59">
        <v>6.08</v>
      </c>
      <c r="F91" s="59">
        <v>2.93</v>
      </c>
      <c r="G91" s="59">
        <v>167.43</v>
      </c>
      <c r="H91" s="59">
        <v>39.08</v>
      </c>
      <c r="I91" s="59">
        <v>1.59</v>
      </c>
      <c r="J91" s="59">
        <v>0.17</v>
      </c>
      <c r="K91" s="59">
        <v>243.76</v>
      </c>
      <c r="L91" s="59">
        <v>27.16</v>
      </c>
      <c r="M91" s="59">
        <v>37.32</v>
      </c>
      <c r="N91" s="59">
        <v>3.6</v>
      </c>
      <c r="O91" s="59">
        <v>0</v>
      </c>
      <c r="P91" s="59">
        <v>2.81</v>
      </c>
      <c r="Q91" s="59">
        <v>32.46</v>
      </c>
      <c r="R91" s="197"/>
      <c r="S91" s="197"/>
      <c r="T91" s="197"/>
      <c r="U91" s="197"/>
    </row>
    <row r="92" spans="1:26" s="12" customFormat="1" x14ac:dyDescent="0.25">
      <c r="A92" s="200" t="s">
        <v>810</v>
      </c>
      <c r="B92" s="59">
        <v>96.93</v>
      </c>
      <c r="C92" s="59">
        <v>120.46</v>
      </c>
      <c r="D92" s="59">
        <v>144.21</v>
      </c>
      <c r="E92" s="59">
        <v>6.15</v>
      </c>
      <c r="F92" s="59">
        <v>3.15</v>
      </c>
      <c r="G92" s="59">
        <v>167.43</v>
      </c>
      <c r="H92" s="59">
        <v>39.08</v>
      </c>
      <c r="I92" s="59">
        <v>1.47</v>
      </c>
      <c r="J92" s="59">
        <v>0.1</v>
      </c>
      <c r="K92" s="59">
        <v>264.89999999999998</v>
      </c>
      <c r="L92" s="59">
        <v>27.01</v>
      </c>
      <c r="M92" s="59">
        <v>36.83</v>
      </c>
      <c r="N92" s="59">
        <v>4</v>
      </c>
      <c r="O92" s="59">
        <v>0</v>
      </c>
      <c r="P92" s="59">
        <v>2.99</v>
      </c>
      <c r="Q92" s="59">
        <v>32.36</v>
      </c>
      <c r="R92" s="197"/>
      <c r="S92" s="197"/>
      <c r="T92" s="197"/>
      <c r="U92" s="197"/>
    </row>
    <row r="93" spans="1:26" s="12" customFormat="1" x14ac:dyDescent="0.25">
      <c r="A93" s="200" t="s">
        <v>811</v>
      </c>
      <c r="B93" s="59">
        <v>98.83</v>
      </c>
      <c r="C93" s="59">
        <v>118.99</v>
      </c>
      <c r="D93" s="59">
        <v>144.91999999999999</v>
      </c>
      <c r="E93" s="59">
        <v>6.3</v>
      </c>
      <c r="F93" s="59">
        <v>3.05</v>
      </c>
      <c r="G93" s="59">
        <v>163.59</v>
      </c>
      <c r="H93" s="59">
        <v>49.17</v>
      </c>
      <c r="I93" s="59">
        <v>1.34</v>
      </c>
      <c r="J93" s="59">
        <v>0.08</v>
      </c>
      <c r="K93" s="59">
        <v>313.19</v>
      </c>
      <c r="L93" s="59">
        <v>26.43</v>
      </c>
      <c r="M93" s="59">
        <v>38.11</v>
      </c>
      <c r="N93" s="59">
        <v>4.5999999999999996</v>
      </c>
      <c r="O93" s="59">
        <v>0</v>
      </c>
      <c r="P93" s="59">
        <v>2.62</v>
      </c>
      <c r="Q93" s="59">
        <v>32.51</v>
      </c>
      <c r="R93" s="197"/>
      <c r="S93" s="197"/>
      <c r="T93" s="197"/>
      <c r="U93" s="197"/>
    </row>
    <row r="94" spans="1:26" s="12" customFormat="1" x14ac:dyDescent="0.25">
      <c r="A94" s="200" t="s">
        <v>812</v>
      </c>
      <c r="B94" s="59">
        <v>101.2</v>
      </c>
      <c r="C94" s="59">
        <v>117.36</v>
      </c>
      <c r="D94" s="59">
        <v>145.91999999999999</v>
      </c>
      <c r="E94" s="59">
        <v>6.1</v>
      </c>
      <c r="F94" s="59">
        <v>3.07</v>
      </c>
      <c r="G94" s="59">
        <v>163.5</v>
      </c>
      <c r="H94" s="59">
        <v>49.4</v>
      </c>
      <c r="I94" s="59">
        <v>1.27</v>
      </c>
      <c r="J94" s="59">
        <v>0.22</v>
      </c>
      <c r="K94" s="59">
        <v>15.46</v>
      </c>
      <c r="L94" s="59">
        <v>25.64</v>
      </c>
      <c r="M94" s="59">
        <v>44.86</v>
      </c>
      <c r="N94" s="59">
        <v>4.5999999999999996</v>
      </c>
      <c r="O94" s="59">
        <v>0</v>
      </c>
      <c r="P94" s="59">
        <v>3.86</v>
      </c>
      <c r="Q94" s="59">
        <v>33.03</v>
      </c>
      <c r="R94" s="197"/>
      <c r="S94" s="197"/>
      <c r="T94" s="197"/>
      <c r="U94" s="197"/>
    </row>
    <row r="95" spans="1:26" s="12" customFormat="1" x14ac:dyDescent="0.25">
      <c r="A95" s="200" t="s">
        <v>813</v>
      </c>
      <c r="B95" s="59">
        <v>104.9</v>
      </c>
      <c r="C95" s="59">
        <v>115.93</v>
      </c>
      <c r="D95" s="59">
        <v>148.1</v>
      </c>
      <c r="E95" s="59">
        <v>6.39</v>
      </c>
      <c r="F95" s="59">
        <v>3.21</v>
      </c>
      <c r="G95" s="59">
        <v>163.5</v>
      </c>
      <c r="H95" s="59">
        <v>49.4</v>
      </c>
      <c r="I95" s="59">
        <v>1.41</v>
      </c>
      <c r="J95" s="59">
        <v>0.04</v>
      </c>
      <c r="K95" s="59">
        <v>112.23</v>
      </c>
      <c r="L95" s="59">
        <v>25.19</v>
      </c>
      <c r="M95" s="59">
        <v>43.45</v>
      </c>
      <c r="N95" s="59">
        <v>4.4000000000000004</v>
      </c>
      <c r="O95" s="59">
        <v>0</v>
      </c>
      <c r="P95" s="59">
        <v>3.35</v>
      </c>
      <c r="Q95" s="59">
        <v>33.72</v>
      </c>
      <c r="R95" s="197"/>
      <c r="S95" s="197"/>
      <c r="T95" s="197"/>
      <c r="U95" s="197"/>
    </row>
    <row r="96" spans="1:26" s="12" customFormat="1" x14ac:dyDescent="0.25">
      <c r="A96" s="200" t="s">
        <v>814</v>
      </c>
      <c r="B96" s="59">
        <v>109.16</v>
      </c>
      <c r="C96" s="59">
        <v>114.83</v>
      </c>
      <c r="D96" s="59">
        <v>150.91</v>
      </c>
      <c r="E96" s="59">
        <v>6.56</v>
      </c>
      <c r="F96" s="59">
        <v>2.98</v>
      </c>
      <c r="G96" s="59">
        <v>163.5</v>
      </c>
      <c r="H96" s="59">
        <v>49.4</v>
      </c>
      <c r="I96" s="59">
        <v>1.48</v>
      </c>
      <c r="J96" s="59">
        <v>0.08</v>
      </c>
      <c r="K96" s="59">
        <v>43.5</v>
      </c>
      <c r="L96" s="59">
        <v>25.13</v>
      </c>
      <c r="M96" s="59">
        <v>43.72</v>
      </c>
      <c r="N96" s="59">
        <v>4.4000000000000004</v>
      </c>
      <c r="O96" s="59">
        <v>0</v>
      </c>
      <c r="P96" s="59">
        <v>3.73</v>
      </c>
      <c r="Q96" s="59">
        <v>34.450000000000003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815</v>
      </c>
      <c r="B97" s="59">
        <v>114.39</v>
      </c>
      <c r="C97" s="59">
        <v>113.69</v>
      </c>
      <c r="D97" s="59">
        <v>154.47999999999999</v>
      </c>
      <c r="E97" s="59">
        <v>6.33</v>
      </c>
      <c r="F97" s="59">
        <v>2.87</v>
      </c>
      <c r="G97" s="59">
        <v>164.68</v>
      </c>
      <c r="H97" s="59">
        <v>52.64</v>
      </c>
      <c r="I97" s="59">
        <v>1.5</v>
      </c>
      <c r="J97" s="59">
        <v>0.12</v>
      </c>
      <c r="K97" s="59">
        <v>352.62</v>
      </c>
      <c r="L97" s="59">
        <v>24.83</v>
      </c>
      <c r="M97" s="59">
        <v>49.16</v>
      </c>
      <c r="N97" s="59">
        <v>4.2</v>
      </c>
      <c r="O97" s="59">
        <v>0</v>
      </c>
      <c r="P97" s="59">
        <v>3.92</v>
      </c>
      <c r="Q97" s="59">
        <v>35.08</v>
      </c>
      <c r="R97" s="197"/>
      <c r="S97" s="197"/>
      <c r="T97" s="197"/>
      <c r="U97" s="197"/>
    </row>
    <row r="98" spans="1:33" s="12" customFormat="1" x14ac:dyDescent="0.25">
      <c r="A98" s="200" t="s">
        <v>816</v>
      </c>
      <c r="B98" s="59">
        <v>119.44</v>
      </c>
      <c r="C98" s="59">
        <v>112.83</v>
      </c>
      <c r="D98" s="59">
        <v>158.05000000000001</v>
      </c>
      <c r="E98" s="59">
        <v>6.7</v>
      </c>
      <c r="F98" s="59">
        <v>2.86</v>
      </c>
      <c r="G98" s="59">
        <v>164.7</v>
      </c>
      <c r="H98" s="59">
        <v>52.72</v>
      </c>
      <c r="I98" s="59">
        <v>1.62</v>
      </c>
      <c r="J98" s="59">
        <v>0.12</v>
      </c>
      <c r="K98" s="59">
        <v>17.62</v>
      </c>
      <c r="L98" s="59">
        <v>24.87</v>
      </c>
      <c r="M98" s="59">
        <v>48.09</v>
      </c>
      <c r="N98" s="59">
        <v>4.5</v>
      </c>
      <c r="O98" s="59">
        <v>0</v>
      </c>
      <c r="P98" s="59">
        <v>3.36</v>
      </c>
      <c r="Q98" s="59">
        <v>36.08</v>
      </c>
      <c r="R98" s="197"/>
      <c r="S98" s="197"/>
      <c r="T98" s="197"/>
      <c r="U98" s="197"/>
    </row>
    <row r="99" spans="1:33" s="12" customFormat="1" x14ac:dyDescent="0.25">
      <c r="A99" s="200" t="s">
        <v>817</v>
      </c>
      <c r="B99" s="59">
        <v>127.96</v>
      </c>
      <c r="C99" s="59">
        <v>112.91</v>
      </c>
      <c r="D99" s="59">
        <v>164.93</v>
      </c>
      <c r="E99" s="59">
        <v>7.2</v>
      </c>
      <c r="F99" s="59">
        <v>3.03</v>
      </c>
      <c r="G99" s="59">
        <v>164.7</v>
      </c>
      <c r="H99" s="59">
        <v>52.72</v>
      </c>
      <c r="I99" s="59">
        <v>1.68</v>
      </c>
      <c r="J99" s="59">
        <v>0.08</v>
      </c>
      <c r="K99" s="59">
        <v>9.59</v>
      </c>
      <c r="L99" s="59">
        <v>24.37</v>
      </c>
      <c r="M99" s="59">
        <v>49.98</v>
      </c>
      <c r="N99" s="59">
        <v>4.5999999999999996</v>
      </c>
      <c r="O99" s="59">
        <v>0</v>
      </c>
      <c r="P99" s="59">
        <v>3.25</v>
      </c>
      <c r="Q99" s="59">
        <v>37.78</v>
      </c>
      <c r="R99" s="197"/>
      <c r="S99" s="197"/>
      <c r="T99" s="197"/>
      <c r="U99" s="197"/>
    </row>
    <row r="100" spans="1:33" s="12" customFormat="1" x14ac:dyDescent="0.25">
      <c r="A100" s="200" t="s">
        <v>818</v>
      </c>
      <c r="B100" s="59">
        <v>137.16</v>
      </c>
      <c r="C100" s="59">
        <v>112.94</v>
      </c>
      <c r="D100" s="59">
        <v>172.32</v>
      </c>
      <c r="E100" s="59">
        <v>7.12</v>
      </c>
      <c r="F100" s="59">
        <v>2.7</v>
      </c>
      <c r="G100" s="59">
        <v>164.7</v>
      </c>
      <c r="H100" s="59">
        <v>52.72</v>
      </c>
      <c r="I100" s="59">
        <v>1.59</v>
      </c>
      <c r="J100" s="59">
        <v>0.09</v>
      </c>
      <c r="K100" s="59">
        <v>342.23</v>
      </c>
      <c r="L100" s="59">
        <v>24.26</v>
      </c>
      <c r="M100" s="59">
        <v>49.66</v>
      </c>
      <c r="N100" s="59">
        <v>4.3</v>
      </c>
      <c r="O100" s="59">
        <v>0</v>
      </c>
      <c r="P100" s="59">
        <v>3.33</v>
      </c>
      <c r="Q100" s="59">
        <v>38.6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819</v>
      </c>
      <c r="B101" s="59">
        <v>145.36000000000001</v>
      </c>
      <c r="C101" s="59">
        <v>113.53</v>
      </c>
      <c r="D101" s="59">
        <v>179.23</v>
      </c>
      <c r="E101" s="59">
        <v>7.04</v>
      </c>
      <c r="F101" s="59">
        <v>3.05</v>
      </c>
      <c r="G101" s="59">
        <v>227.52</v>
      </c>
      <c r="H101" s="59">
        <v>61.38</v>
      </c>
      <c r="I101" s="59">
        <v>1.52</v>
      </c>
      <c r="J101" s="59">
        <v>0.11</v>
      </c>
      <c r="K101" s="59">
        <v>307.69</v>
      </c>
      <c r="L101" s="59">
        <v>24.26</v>
      </c>
      <c r="M101" s="59">
        <v>48.71</v>
      </c>
      <c r="N101" s="59">
        <v>4.4000000000000004</v>
      </c>
      <c r="O101" s="59">
        <v>0</v>
      </c>
      <c r="P101" s="59">
        <v>3.28</v>
      </c>
      <c r="Q101" s="59">
        <v>39.06</v>
      </c>
      <c r="R101" s="197"/>
      <c r="S101" s="197"/>
      <c r="T101" s="197"/>
      <c r="U101" s="197"/>
    </row>
    <row r="102" spans="1:33" s="12" customFormat="1" x14ac:dyDescent="0.25">
      <c r="A102" s="200" t="s">
        <v>820</v>
      </c>
      <c r="B102" s="59">
        <v>151.41</v>
      </c>
      <c r="C102" s="59">
        <v>114</v>
      </c>
      <c r="D102" s="59">
        <v>184.34</v>
      </c>
      <c r="E102" s="59">
        <v>7.33</v>
      </c>
      <c r="F102" s="59">
        <v>2.96</v>
      </c>
      <c r="G102" s="59">
        <v>228.95</v>
      </c>
      <c r="H102" s="59">
        <v>61.58</v>
      </c>
      <c r="I102" s="59">
        <v>1.54</v>
      </c>
      <c r="J102" s="59">
        <v>0.15</v>
      </c>
      <c r="K102" s="59">
        <v>17.100000000000001</v>
      </c>
      <c r="L102" s="59">
        <v>24</v>
      </c>
      <c r="M102" s="59">
        <v>50.28</v>
      </c>
      <c r="N102" s="59">
        <v>4.5999999999999996</v>
      </c>
      <c r="O102" s="59">
        <v>0</v>
      </c>
      <c r="P102" s="59">
        <v>3.22</v>
      </c>
      <c r="Q102" s="59">
        <v>39.520000000000003</v>
      </c>
      <c r="R102" s="197"/>
      <c r="S102" s="197"/>
      <c r="T102" s="197"/>
      <c r="U102" s="197"/>
    </row>
    <row r="103" spans="1:33" s="12" customFormat="1" x14ac:dyDescent="0.25">
      <c r="A103" s="200" t="s">
        <v>821</v>
      </c>
      <c r="B103" s="59">
        <v>156.29</v>
      </c>
      <c r="C103" s="59">
        <v>115.19</v>
      </c>
      <c r="D103" s="59">
        <v>188.91</v>
      </c>
      <c r="E103" s="59">
        <v>7.82</v>
      </c>
      <c r="F103" s="59">
        <v>2.89</v>
      </c>
      <c r="G103" s="59">
        <v>228.95</v>
      </c>
      <c r="H103" s="59">
        <v>61.58</v>
      </c>
      <c r="I103" s="59">
        <v>1.54</v>
      </c>
      <c r="J103" s="59">
        <v>0.04</v>
      </c>
      <c r="K103" s="59">
        <v>103.47</v>
      </c>
      <c r="L103" s="59">
        <v>23.71</v>
      </c>
      <c r="M103" s="59">
        <v>50.13</v>
      </c>
      <c r="N103" s="59">
        <v>4.5</v>
      </c>
      <c r="O103" s="59">
        <v>0</v>
      </c>
      <c r="P103" s="59">
        <v>3.22</v>
      </c>
      <c r="Q103" s="59">
        <v>39.78</v>
      </c>
      <c r="R103" s="197"/>
      <c r="S103" s="197"/>
      <c r="T103" s="197"/>
      <c r="U103" s="197"/>
    </row>
    <row r="104" spans="1:33" s="12" customFormat="1" x14ac:dyDescent="0.25">
      <c r="A104" s="200" t="s">
        <v>822</v>
      </c>
      <c r="B104" s="59">
        <v>160.01</v>
      </c>
      <c r="C104" s="59">
        <v>116.64</v>
      </c>
      <c r="D104" s="59">
        <v>192.69</v>
      </c>
      <c r="E104" s="59">
        <v>2.44</v>
      </c>
      <c r="F104" s="59">
        <v>2.78</v>
      </c>
      <c r="G104" s="59">
        <v>228.95</v>
      </c>
      <c r="H104" s="59">
        <v>61.58</v>
      </c>
      <c r="I104" s="59">
        <v>1.52</v>
      </c>
      <c r="J104" s="59">
        <v>0.77</v>
      </c>
      <c r="K104" s="59">
        <v>9.7899999999999991</v>
      </c>
      <c r="L104" s="59">
        <v>23.69</v>
      </c>
      <c r="M104" s="59">
        <v>53.42</v>
      </c>
      <c r="N104" s="59">
        <v>3.1</v>
      </c>
      <c r="O104" s="59">
        <v>0</v>
      </c>
      <c r="P104" s="59">
        <v>3.2</v>
      </c>
      <c r="Q104" s="59">
        <v>40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0.52</v>
      </c>
      <c r="C106" s="66">
        <f>MIN(C9:C104)</f>
        <v>71.03</v>
      </c>
      <c r="D106" s="66">
        <f t="shared" ref="D106:Q106" si="0">MIN(D9:D104)</f>
        <v>39.74</v>
      </c>
      <c r="E106" s="66">
        <f t="shared" si="0"/>
        <v>2.44</v>
      </c>
      <c r="F106" s="66">
        <f t="shared" si="0"/>
        <v>2.4900000000000002</v>
      </c>
      <c r="G106" s="66">
        <f t="shared" si="0"/>
        <v>50.78</v>
      </c>
      <c r="H106" s="66">
        <f t="shared" si="0"/>
        <v>20.55</v>
      </c>
      <c r="I106" s="66">
        <f t="shared" si="0"/>
        <v>0.47</v>
      </c>
      <c r="J106" s="66">
        <f t="shared" si="0"/>
        <v>0.04</v>
      </c>
      <c r="K106" s="66">
        <f t="shared" si="0"/>
        <v>0.13</v>
      </c>
      <c r="L106" s="66">
        <f t="shared" si="0"/>
        <v>21.58</v>
      </c>
      <c r="M106" s="66">
        <f t="shared" si="0"/>
        <v>13.68</v>
      </c>
      <c r="N106" s="66">
        <f t="shared" si="0"/>
        <v>3.1</v>
      </c>
      <c r="O106" s="66">
        <f t="shared" si="0"/>
        <v>0</v>
      </c>
      <c r="P106" s="66">
        <f t="shared" si="0"/>
        <v>0.6</v>
      </c>
      <c r="Q106" s="66">
        <f t="shared" si="0"/>
        <v>15.19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160.01</v>
      </c>
      <c r="C107" s="65">
        <f t="shared" ref="C107:Q107" si="1">MAX(C9:C104)</f>
        <v>128.94999999999999</v>
      </c>
      <c r="D107" s="65">
        <f t="shared" si="1"/>
        <v>192.69</v>
      </c>
      <c r="E107" s="65">
        <f t="shared" si="1"/>
        <v>19.13</v>
      </c>
      <c r="F107" s="65">
        <f t="shared" si="1"/>
        <v>22.91</v>
      </c>
      <c r="G107" s="65">
        <f t="shared" si="1"/>
        <v>228.95</v>
      </c>
      <c r="H107" s="65">
        <f t="shared" si="1"/>
        <v>72.84</v>
      </c>
      <c r="I107" s="65">
        <f t="shared" si="1"/>
        <v>1.68</v>
      </c>
      <c r="J107" s="65">
        <f t="shared" si="1"/>
        <v>1.84</v>
      </c>
      <c r="K107" s="65">
        <f t="shared" si="1"/>
        <v>359.64</v>
      </c>
      <c r="L107" s="65">
        <f t="shared" si="1"/>
        <v>38.74</v>
      </c>
      <c r="M107" s="65">
        <f t="shared" si="1"/>
        <v>61.3</v>
      </c>
      <c r="N107" s="65">
        <f t="shared" si="1"/>
        <v>586.1</v>
      </c>
      <c r="O107" s="65">
        <f t="shared" si="1"/>
        <v>0</v>
      </c>
      <c r="P107" s="65">
        <f t="shared" si="1"/>
        <v>4.5999999999999996</v>
      </c>
      <c r="Q107" s="65">
        <f t="shared" si="1"/>
        <v>40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43.473958333333321</v>
      </c>
      <c r="C108" s="66">
        <f t="shared" ref="C108:Q108" si="2">AVERAGE(C9:C104)</f>
        <v>107.40395833333331</v>
      </c>
      <c r="D108" s="66">
        <f t="shared" si="2"/>
        <v>94.136979166666677</v>
      </c>
      <c r="E108" s="66">
        <f t="shared" si="2"/>
        <v>6.1735416666666687</v>
      </c>
      <c r="F108" s="66">
        <f t="shared" si="2"/>
        <v>3.897187499999998</v>
      </c>
      <c r="G108" s="66">
        <f t="shared" si="2"/>
        <v>112.81162790697684</v>
      </c>
      <c r="H108" s="66">
        <f t="shared" si="2"/>
        <v>47.725348837209296</v>
      </c>
      <c r="I108" s="66">
        <f t="shared" si="2"/>
        <v>0.85322916666666659</v>
      </c>
      <c r="J108" s="66">
        <f t="shared" si="2"/>
        <v>0.48645833333333338</v>
      </c>
      <c r="K108" s="66">
        <f t="shared" si="2"/>
        <v>128.32124999999999</v>
      </c>
      <c r="L108" s="66">
        <f t="shared" si="2"/>
        <v>28.549062499999991</v>
      </c>
      <c r="M108" s="66">
        <f t="shared" si="2"/>
        <v>34.994375000000005</v>
      </c>
      <c r="N108" s="66">
        <f t="shared" si="2"/>
        <v>168.33541666666667</v>
      </c>
      <c r="O108" s="66">
        <f t="shared" si="2"/>
        <v>0</v>
      </c>
      <c r="P108" s="66">
        <f t="shared" si="2"/>
        <v>1.786979166666667</v>
      </c>
      <c r="Q108" s="66">
        <f t="shared" si="2"/>
        <v>29.849270833333335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41.181542837568117</v>
      </c>
      <c r="C109" s="66">
        <f t="shared" ref="C109:Q109" si="3">STDEV(C9:C104)</f>
        <v>14.415028815289393</v>
      </c>
      <c r="D109" s="66">
        <f t="shared" si="3"/>
        <v>38.471248324178553</v>
      </c>
      <c r="E109" s="66">
        <f t="shared" si="3"/>
        <v>2.1965585423167182</v>
      </c>
      <c r="F109" s="66">
        <f t="shared" si="3"/>
        <v>2.6491423450757967</v>
      </c>
      <c r="G109" s="66">
        <f t="shared" si="3"/>
        <v>44.11361214117764</v>
      </c>
      <c r="H109" s="66">
        <f t="shared" si="3"/>
        <v>16.684726703515402</v>
      </c>
      <c r="I109" s="66">
        <f t="shared" si="3"/>
        <v>0.3512938335014445</v>
      </c>
      <c r="J109" s="66">
        <f t="shared" si="3"/>
        <v>0.43443848614690439</v>
      </c>
      <c r="K109" s="66">
        <f t="shared" si="3"/>
        <v>115.35973217220163</v>
      </c>
      <c r="L109" s="66">
        <f t="shared" si="3"/>
        <v>5.2898719670359053</v>
      </c>
      <c r="M109" s="66">
        <f t="shared" si="3"/>
        <v>13.303229509962458</v>
      </c>
      <c r="N109" s="66">
        <f t="shared" si="3"/>
        <v>222.32288751139311</v>
      </c>
      <c r="O109" s="66">
        <f t="shared" si="3"/>
        <v>0</v>
      </c>
      <c r="P109" s="66">
        <f t="shared" si="3"/>
        <v>0.96915385752800021</v>
      </c>
      <c r="Q109" s="66">
        <f t="shared" si="3"/>
        <v>7.3525410208117261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>COUNT(C9:C104)</f>
        <v>96</v>
      </c>
      <c r="D110" s="65">
        <f>COUNT(D9:D104)</f>
        <v>96</v>
      </c>
      <c r="E110" s="65">
        <f t="shared" ref="E110:Q110" si="4">COUNT(E9:E104)</f>
        <v>96</v>
      </c>
      <c r="F110" s="65">
        <f t="shared" si="4"/>
        <v>96</v>
      </c>
      <c r="G110" s="65">
        <f>COUNT(G9:G104)+10</f>
        <v>96</v>
      </c>
      <c r="H110" s="65">
        <f>COUNT(H9:H104)+10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8" sqref="B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07-03-2023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823</v>
      </c>
      <c r="B9" s="59">
        <v>156.19</v>
      </c>
      <c r="C9" s="59">
        <v>117.34</v>
      </c>
      <c r="D9" s="59">
        <v>190.01</v>
      </c>
      <c r="E9" s="59">
        <v>4.71</v>
      </c>
      <c r="F9" s="59">
        <v>2.65</v>
      </c>
      <c r="G9" s="59">
        <v>197.63</v>
      </c>
      <c r="H9" s="59">
        <v>65.11</v>
      </c>
      <c r="I9" s="59">
        <v>1.54</v>
      </c>
      <c r="J9" s="59">
        <v>0.74</v>
      </c>
      <c r="K9" s="59">
        <v>17.38</v>
      </c>
      <c r="L9" s="59">
        <v>24.13</v>
      </c>
      <c r="M9" s="59">
        <v>46.6</v>
      </c>
      <c r="N9" s="59">
        <v>3</v>
      </c>
      <c r="O9" s="59">
        <v>0</v>
      </c>
      <c r="P9" s="59">
        <v>2.66</v>
      </c>
      <c r="Q9" s="59">
        <v>39.36</v>
      </c>
      <c r="R9" s="197"/>
      <c r="S9" s="197"/>
      <c r="T9" s="197"/>
      <c r="U9" s="197"/>
    </row>
    <row r="10" spans="1:21" s="12" customFormat="1" x14ac:dyDescent="0.25">
      <c r="A10" s="200" t="s">
        <v>824</v>
      </c>
      <c r="B10" s="59">
        <v>148.9</v>
      </c>
      <c r="C10" s="59">
        <v>115.65</v>
      </c>
      <c r="D10" s="59">
        <v>183.23</v>
      </c>
      <c r="E10" s="59">
        <v>4.91</v>
      </c>
      <c r="F10" s="59">
        <v>2.79</v>
      </c>
      <c r="G10" s="59">
        <v>196.92</v>
      </c>
      <c r="H10" s="59">
        <v>65.19</v>
      </c>
      <c r="I10" s="59">
        <v>1.52</v>
      </c>
      <c r="J10" s="59">
        <v>0.57999999999999996</v>
      </c>
      <c r="K10" s="59">
        <v>28.67</v>
      </c>
      <c r="L10" s="59">
        <v>24.33</v>
      </c>
      <c r="M10" s="59">
        <v>44.84</v>
      </c>
      <c r="N10" s="59">
        <v>4.0999999999999996</v>
      </c>
      <c r="O10" s="59">
        <v>0</v>
      </c>
      <c r="P10" s="59">
        <v>2.4500000000000002</v>
      </c>
      <c r="Q10" s="59">
        <v>38.22</v>
      </c>
      <c r="R10" s="197"/>
      <c r="S10" s="197"/>
      <c r="T10" s="197"/>
      <c r="U10" s="197"/>
    </row>
    <row r="11" spans="1:21" s="12" customFormat="1" x14ac:dyDescent="0.25">
      <c r="A11" s="200" t="s">
        <v>825</v>
      </c>
      <c r="B11" s="59">
        <v>142.32</v>
      </c>
      <c r="C11" s="59">
        <v>115.22</v>
      </c>
      <c r="D11" s="59">
        <v>177.72</v>
      </c>
      <c r="E11" s="59">
        <v>4.5199999999999996</v>
      </c>
      <c r="F11" s="59">
        <v>2.87</v>
      </c>
      <c r="G11" s="59">
        <v>196.92</v>
      </c>
      <c r="H11" s="59">
        <v>65.19</v>
      </c>
      <c r="I11" s="59">
        <v>1.29</v>
      </c>
      <c r="J11" s="59">
        <v>0.92</v>
      </c>
      <c r="K11" s="59">
        <v>37.200000000000003</v>
      </c>
      <c r="L11" s="59">
        <v>24.48</v>
      </c>
      <c r="M11" s="59">
        <v>43.66</v>
      </c>
      <c r="N11" s="59">
        <v>3.5</v>
      </c>
      <c r="O11" s="59">
        <v>0</v>
      </c>
      <c r="P11" s="59">
        <v>2.7</v>
      </c>
      <c r="Q11" s="59">
        <v>37.6</v>
      </c>
      <c r="R11" s="197"/>
      <c r="S11" s="197"/>
      <c r="T11" s="197"/>
      <c r="U11" s="197"/>
    </row>
    <row r="12" spans="1:21" s="12" customFormat="1" x14ac:dyDescent="0.25">
      <c r="A12" s="200" t="s">
        <v>826</v>
      </c>
      <c r="B12" s="59">
        <v>135.03</v>
      </c>
      <c r="C12" s="59">
        <v>113.84</v>
      </c>
      <c r="D12" s="59">
        <v>171.11</v>
      </c>
      <c r="E12" s="59">
        <v>5.07</v>
      </c>
      <c r="F12" s="59">
        <v>2.96</v>
      </c>
      <c r="G12" s="59">
        <v>196.92</v>
      </c>
      <c r="H12" s="59">
        <v>65.19</v>
      </c>
      <c r="I12" s="59">
        <v>1.1299999999999999</v>
      </c>
      <c r="J12" s="59">
        <v>0.75</v>
      </c>
      <c r="K12" s="59">
        <v>22.08</v>
      </c>
      <c r="L12" s="59">
        <v>24.64</v>
      </c>
      <c r="M12" s="59">
        <v>42.21</v>
      </c>
      <c r="N12" s="59">
        <v>4</v>
      </c>
      <c r="O12" s="59">
        <v>0</v>
      </c>
      <c r="P12" s="59">
        <v>2.1800000000000002</v>
      </c>
      <c r="Q12" s="59">
        <v>37.35</v>
      </c>
      <c r="R12" s="197"/>
      <c r="S12" s="197"/>
      <c r="T12" s="197"/>
      <c r="U12" s="197"/>
    </row>
    <row r="13" spans="1:21" s="12" customFormat="1" x14ac:dyDescent="0.25">
      <c r="A13" s="200" t="s">
        <v>827</v>
      </c>
      <c r="B13" s="59">
        <v>127.77</v>
      </c>
      <c r="C13" s="59">
        <v>112.42</v>
      </c>
      <c r="D13" s="59">
        <v>164.5</v>
      </c>
      <c r="E13" s="59">
        <v>4.9000000000000004</v>
      </c>
      <c r="F13" s="59">
        <v>3.25</v>
      </c>
      <c r="G13" s="59">
        <v>72.180000000000007</v>
      </c>
      <c r="H13" s="59">
        <v>58.5</v>
      </c>
      <c r="I13" s="59">
        <v>1.17</v>
      </c>
      <c r="J13" s="59">
        <v>0.66</v>
      </c>
      <c r="K13" s="59">
        <v>24.71</v>
      </c>
      <c r="L13" s="59">
        <v>25.03</v>
      </c>
      <c r="M13" s="59">
        <v>40.57</v>
      </c>
      <c r="N13" s="59">
        <v>3.8</v>
      </c>
      <c r="O13" s="59">
        <v>0</v>
      </c>
      <c r="P13" s="59">
        <v>1.9</v>
      </c>
      <c r="Q13" s="59">
        <v>37.06</v>
      </c>
      <c r="R13" s="197"/>
      <c r="S13" s="197"/>
      <c r="T13" s="197"/>
      <c r="U13" s="197"/>
    </row>
    <row r="14" spans="1:21" s="12" customFormat="1" x14ac:dyDescent="0.25">
      <c r="A14" s="200" t="s">
        <v>828</v>
      </c>
      <c r="B14" s="59">
        <v>121.09</v>
      </c>
      <c r="C14" s="59">
        <v>111.15</v>
      </c>
      <c r="D14" s="59">
        <v>158.44</v>
      </c>
      <c r="E14" s="59">
        <v>5.23</v>
      </c>
      <c r="F14" s="59">
        <v>3.3</v>
      </c>
      <c r="G14" s="59">
        <v>69.349999999999994</v>
      </c>
      <c r="H14" s="59">
        <v>58.34</v>
      </c>
      <c r="I14" s="59">
        <v>1.04</v>
      </c>
      <c r="J14" s="59">
        <v>0.45</v>
      </c>
      <c r="K14" s="59">
        <v>47.24</v>
      </c>
      <c r="L14" s="59">
        <v>25.27</v>
      </c>
      <c r="M14" s="59">
        <v>39.950000000000003</v>
      </c>
      <c r="N14" s="59">
        <v>4.4000000000000004</v>
      </c>
      <c r="O14" s="59">
        <v>0</v>
      </c>
      <c r="P14" s="59">
        <v>2.12</v>
      </c>
      <c r="Q14" s="59">
        <v>36.81</v>
      </c>
      <c r="R14" s="197"/>
      <c r="S14" s="197"/>
      <c r="T14" s="197"/>
      <c r="U14" s="197"/>
    </row>
    <row r="15" spans="1:21" s="12" customFormat="1" x14ac:dyDescent="0.25">
      <c r="A15" s="200" t="s">
        <v>829</v>
      </c>
      <c r="B15" s="59">
        <v>115</v>
      </c>
      <c r="C15" s="59">
        <v>110.33</v>
      </c>
      <c r="D15" s="59">
        <v>153.11000000000001</v>
      </c>
      <c r="E15" s="59">
        <v>4.87</v>
      </c>
      <c r="F15" s="59">
        <v>3.04</v>
      </c>
      <c r="G15" s="59">
        <v>69.349999999999994</v>
      </c>
      <c r="H15" s="59">
        <v>58.34</v>
      </c>
      <c r="I15" s="59">
        <v>0.92</v>
      </c>
      <c r="J15" s="59">
        <v>0.34</v>
      </c>
      <c r="K15" s="59">
        <v>78.239999999999995</v>
      </c>
      <c r="L15" s="59">
        <v>24.69</v>
      </c>
      <c r="M15" s="59">
        <v>42.11</v>
      </c>
      <c r="N15" s="59">
        <v>4.7</v>
      </c>
      <c r="O15" s="59">
        <v>0</v>
      </c>
      <c r="P15" s="59">
        <v>2.09</v>
      </c>
      <c r="Q15" s="59">
        <v>36.76</v>
      </c>
      <c r="R15" s="197"/>
      <c r="S15" s="197"/>
      <c r="T15" s="197"/>
      <c r="U15" s="197"/>
    </row>
    <row r="16" spans="1:21" s="12" customFormat="1" x14ac:dyDescent="0.25">
      <c r="A16" s="200" t="s">
        <v>830</v>
      </c>
      <c r="B16" s="59">
        <v>110.55</v>
      </c>
      <c r="C16" s="59">
        <v>109.47</v>
      </c>
      <c r="D16" s="59">
        <v>149.07</v>
      </c>
      <c r="E16" s="59">
        <v>5.0199999999999996</v>
      </c>
      <c r="F16" s="59">
        <v>3.18</v>
      </c>
      <c r="G16" s="59">
        <v>69.349999999999994</v>
      </c>
      <c r="H16" s="59">
        <v>58.34</v>
      </c>
      <c r="I16" s="59">
        <v>1.02</v>
      </c>
      <c r="J16" s="59">
        <v>0.15</v>
      </c>
      <c r="K16" s="59">
        <v>55.01</v>
      </c>
      <c r="L16" s="59">
        <v>24.23</v>
      </c>
      <c r="M16" s="59">
        <v>43.7</v>
      </c>
      <c r="N16" s="59">
        <v>4.5999999999999996</v>
      </c>
      <c r="O16" s="59">
        <v>0</v>
      </c>
      <c r="P16" s="59">
        <v>2.27</v>
      </c>
      <c r="Q16" s="59">
        <v>36.85</v>
      </c>
      <c r="R16" s="197"/>
      <c r="S16" s="197"/>
      <c r="T16" s="197"/>
      <c r="U16" s="197"/>
    </row>
    <row r="17" spans="1:21" s="12" customFormat="1" x14ac:dyDescent="0.25">
      <c r="A17" s="200" t="s">
        <v>831</v>
      </c>
      <c r="B17" s="59">
        <v>105.88</v>
      </c>
      <c r="C17" s="59">
        <v>110.49</v>
      </c>
      <c r="D17" s="59">
        <v>145.88999999999999</v>
      </c>
      <c r="E17" s="59">
        <v>5.31</v>
      </c>
      <c r="F17" s="59">
        <v>3.05</v>
      </c>
      <c r="G17" s="59">
        <v>141.62</v>
      </c>
      <c r="H17" s="59">
        <v>58.5</v>
      </c>
      <c r="I17" s="59">
        <v>1.03</v>
      </c>
      <c r="J17" s="59">
        <v>0.25</v>
      </c>
      <c r="K17" s="59">
        <v>21.67</v>
      </c>
      <c r="L17" s="59">
        <v>24.16</v>
      </c>
      <c r="M17" s="59">
        <v>44.99</v>
      </c>
      <c r="N17" s="59">
        <v>4.3</v>
      </c>
      <c r="O17" s="59">
        <v>0</v>
      </c>
      <c r="P17" s="59">
        <v>2.44</v>
      </c>
      <c r="Q17" s="59">
        <v>37.61</v>
      </c>
      <c r="R17" s="197"/>
      <c r="S17" s="197"/>
      <c r="T17" s="197"/>
      <c r="U17" s="197"/>
    </row>
    <row r="18" spans="1:21" s="12" customFormat="1" x14ac:dyDescent="0.25">
      <c r="A18" s="200" t="s">
        <v>832</v>
      </c>
      <c r="B18" s="59">
        <v>99.38</v>
      </c>
      <c r="C18" s="59">
        <v>110.53</v>
      </c>
      <c r="D18" s="59">
        <v>140.69999999999999</v>
      </c>
      <c r="E18" s="59">
        <v>5.78</v>
      </c>
      <c r="F18" s="59">
        <v>3.1</v>
      </c>
      <c r="G18" s="59">
        <v>143.26</v>
      </c>
      <c r="H18" s="59">
        <v>58.5</v>
      </c>
      <c r="I18" s="59">
        <v>1.07</v>
      </c>
      <c r="J18" s="59">
        <v>0.51</v>
      </c>
      <c r="K18" s="59">
        <v>23.4</v>
      </c>
      <c r="L18" s="59">
        <v>24.06</v>
      </c>
      <c r="M18" s="59">
        <v>44.77</v>
      </c>
      <c r="N18" s="59">
        <v>4.0999999999999996</v>
      </c>
      <c r="O18" s="59">
        <v>0</v>
      </c>
      <c r="P18" s="59">
        <v>2.44</v>
      </c>
      <c r="Q18" s="59">
        <v>38</v>
      </c>
      <c r="R18" s="197"/>
      <c r="S18" s="197"/>
      <c r="T18" s="197"/>
      <c r="U18" s="197"/>
    </row>
    <row r="19" spans="1:21" s="12" customFormat="1" x14ac:dyDescent="0.25">
      <c r="A19" s="200" t="s">
        <v>833</v>
      </c>
      <c r="B19" s="59">
        <v>91.73</v>
      </c>
      <c r="C19" s="59">
        <v>110.37</v>
      </c>
      <c r="D19" s="59">
        <v>134.47999999999999</v>
      </c>
      <c r="E19" s="59">
        <v>5.42</v>
      </c>
      <c r="F19" s="59">
        <v>2.95</v>
      </c>
      <c r="G19" s="59">
        <v>143.26</v>
      </c>
      <c r="H19" s="59">
        <v>58.5</v>
      </c>
      <c r="I19" s="59">
        <v>1.19</v>
      </c>
      <c r="J19" s="59">
        <v>0.2</v>
      </c>
      <c r="K19" s="59">
        <v>61.85</v>
      </c>
      <c r="L19" s="59">
        <v>23.76</v>
      </c>
      <c r="M19" s="59">
        <v>46.45</v>
      </c>
      <c r="N19" s="59">
        <v>4.5</v>
      </c>
      <c r="O19" s="59">
        <v>0</v>
      </c>
      <c r="P19" s="59">
        <v>2.4300000000000002</v>
      </c>
      <c r="Q19" s="59">
        <v>37.909999999999997</v>
      </c>
      <c r="R19" s="197"/>
      <c r="S19" s="197"/>
      <c r="T19" s="197"/>
      <c r="U19" s="197"/>
    </row>
    <row r="20" spans="1:21" s="12" customFormat="1" x14ac:dyDescent="0.25">
      <c r="A20" s="200" t="s">
        <v>834</v>
      </c>
      <c r="B20" s="59">
        <v>84.58</v>
      </c>
      <c r="C20" s="59">
        <v>110.94</v>
      </c>
      <c r="D20" s="59">
        <v>129.05000000000001</v>
      </c>
      <c r="E20" s="59">
        <v>5.91</v>
      </c>
      <c r="F20" s="59">
        <v>2.76</v>
      </c>
      <c r="G20" s="59">
        <v>143.26</v>
      </c>
      <c r="H20" s="59">
        <v>58.5</v>
      </c>
      <c r="I20" s="59">
        <v>1.2</v>
      </c>
      <c r="J20" s="59">
        <v>0.15</v>
      </c>
      <c r="K20" s="59">
        <v>195.31</v>
      </c>
      <c r="L20" s="59">
        <v>24.02</v>
      </c>
      <c r="M20" s="59">
        <v>45.13</v>
      </c>
      <c r="N20" s="59">
        <v>3.9</v>
      </c>
      <c r="O20" s="59">
        <v>0</v>
      </c>
      <c r="P20" s="59">
        <v>2.39</v>
      </c>
      <c r="Q20" s="59">
        <v>37.64</v>
      </c>
      <c r="R20" s="197"/>
      <c r="S20" s="197"/>
      <c r="T20" s="197"/>
      <c r="U20" s="197"/>
    </row>
    <row r="21" spans="1:21" s="12" customFormat="1" x14ac:dyDescent="0.25">
      <c r="A21" s="200" t="s">
        <v>835</v>
      </c>
      <c r="B21" s="59">
        <v>78.77</v>
      </c>
      <c r="C21" s="59">
        <v>111.31</v>
      </c>
      <c r="D21" s="59">
        <v>124.6</v>
      </c>
      <c r="E21" s="59">
        <v>5.59</v>
      </c>
      <c r="F21" s="59">
        <v>2.85</v>
      </c>
      <c r="G21" s="59">
        <v>68.650000000000006</v>
      </c>
      <c r="H21" s="59">
        <v>58.59</v>
      </c>
      <c r="I21" s="59">
        <v>1.1599999999999999</v>
      </c>
      <c r="J21" s="59">
        <v>0.14000000000000001</v>
      </c>
      <c r="K21" s="59">
        <v>285.56</v>
      </c>
      <c r="L21" s="59">
        <v>23.46</v>
      </c>
      <c r="M21" s="59">
        <v>49.3</v>
      </c>
      <c r="N21" s="59">
        <v>4.8</v>
      </c>
      <c r="O21" s="59">
        <v>0</v>
      </c>
      <c r="P21" s="59">
        <v>2.34</v>
      </c>
      <c r="Q21" s="59">
        <v>37.22</v>
      </c>
      <c r="R21" s="197"/>
      <c r="S21" s="197"/>
      <c r="T21" s="197"/>
      <c r="U21" s="197"/>
    </row>
    <row r="22" spans="1:21" s="12" customFormat="1" x14ac:dyDescent="0.25">
      <c r="A22" s="200" t="s">
        <v>836</v>
      </c>
      <c r="B22" s="59">
        <v>73.760000000000005</v>
      </c>
      <c r="C22" s="59">
        <v>110.03</v>
      </c>
      <c r="D22" s="59">
        <v>119.87</v>
      </c>
      <c r="E22" s="59">
        <v>5.38</v>
      </c>
      <c r="F22" s="59">
        <v>2.84</v>
      </c>
      <c r="G22" s="59">
        <v>66.959999999999994</v>
      </c>
      <c r="H22" s="59">
        <v>58.59</v>
      </c>
      <c r="I22" s="59">
        <v>1.04</v>
      </c>
      <c r="J22" s="59">
        <v>0.15</v>
      </c>
      <c r="K22" s="59">
        <v>353.38</v>
      </c>
      <c r="L22" s="59">
        <v>22.53</v>
      </c>
      <c r="M22" s="59">
        <v>55.1</v>
      </c>
      <c r="N22" s="59">
        <v>4.9000000000000004</v>
      </c>
      <c r="O22" s="59">
        <v>0</v>
      </c>
      <c r="P22" s="59">
        <v>2.2799999999999998</v>
      </c>
      <c r="Q22" s="59">
        <v>36.99</v>
      </c>
      <c r="R22" s="197"/>
      <c r="S22" s="197"/>
      <c r="T22" s="197"/>
      <c r="U22" s="197"/>
    </row>
    <row r="23" spans="1:21" s="12" customFormat="1" x14ac:dyDescent="0.25">
      <c r="A23" s="200" t="s">
        <v>837</v>
      </c>
      <c r="B23" s="59">
        <v>69.19</v>
      </c>
      <c r="C23" s="59">
        <v>109.16</v>
      </c>
      <c r="D23" s="59">
        <v>115.73</v>
      </c>
      <c r="E23" s="59">
        <v>5.64</v>
      </c>
      <c r="F23" s="59">
        <v>2.88</v>
      </c>
      <c r="G23" s="59">
        <v>66.959999999999994</v>
      </c>
      <c r="H23" s="59">
        <v>58.59</v>
      </c>
      <c r="I23" s="59">
        <v>0.97</v>
      </c>
      <c r="J23" s="59">
        <v>0.17</v>
      </c>
      <c r="K23" s="59">
        <v>269.55</v>
      </c>
      <c r="L23" s="59">
        <v>22.45</v>
      </c>
      <c r="M23" s="59">
        <v>51.75</v>
      </c>
      <c r="N23" s="59">
        <v>4.3</v>
      </c>
      <c r="O23" s="59">
        <v>0</v>
      </c>
      <c r="P23" s="59">
        <v>1.97</v>
      </c>
      <c r="Q23" s="59">
        <v>36.53</v>
      </c>
      <c r="R23" s="197"/>
      <c r="S23" s="197"/>
      <c r="T23" s="197"/>
      <c r="U23" s="197"/>
    </row>
    <row r="24" spans="1:21" s="12" customFormat="1" x14ac:dyDescent="0.25">
      <c r="A24" s="200" t="s">
        <v>838</v>
      </c>
      <c r="B24" s="59">
        <v>65.790000000000006</v>
      </c>
      <c r="C24" s="59">
        <v>107.14</v>
      </c>
      <c r="D24" s="59">
        <v>111.89</v>
      </c>
      <c r="E24" s="59">
        <v>3.49</v>
      </c>
      <c r="F24" s="59">
        <v>2.84</v>
      </c>
      <c r="G24" s="59">
        <v>66.959999999999994</v>
      </c>
      <c r="H24" s="59">
        <v>58.59</v>
      </c>
      <c r="I24" s="59">
        <v>1</v>
      </c>
      <c r="J24" s="59">
        <v>0.36</v>
      </c>
      <c r="K24" s="59">
        <v>344.75</v>
      </c>
      <c r="L24" s="59">
        <v>22.1</v>
      </c>
      <c r="M24" s="59">
        <v>57.46</v>
      </c>
      <c r="N24" s="59">
        <v>4.0999999999999996</v>
      </c>
      <c r="O24" s="59">
        <v>0</v>
      </c>
      <c r="P24" s="59">
        <v>2.15</v>
      </c>
      <c r="Q24" s="59">
        <v>35.619999999999997</v>
      </c>
      <c r="R24" s="197"/>
      <c r="S24" s="197"/>
      <c r="T24" s="197"/>
      <c r="U24" s="197"/>
    </row>
    <row r="25" spans="1:21" s="12" customFormat="1" x14ac:dyDescent="0.25">
      <c r="A25" s="200" t="s">
        <v>839</v>
      </c>
      <c r="B25" s="59">
        <v>64.17</v>
      </c>
      <c r="C25" s="59">
        <v>107.26</v>
      </c>
      <c r="D25" s="59">
        <v>110.65</v>
      </c>
      <c r="E25" s="59">
        <v>4.55</v>
      </c>
      <c r="F25" s="59">
        <v>2.81</v>
      </c>
      <c r="G25" s="59">
        <v>130.44</v>
      </c>
      <c r="H25" s="59">
        <v>52.78</v>
      </c>
      <c r="I25" s="59">
        <v>0.82</v>
      </c>
      <c r="J25" s="59">
        <v>0.51</v>
      </c>
      <c r="K25" s="59">
        <v>352.41</v>
      </c>
      <c r="L25" s="59">
        <v>21.87</v>
      </c>
      <c r="M25" s="59">
        <v>58.64</v>
      </c>
      <c r="N25" s="59">
        <v>3.6</v>
      </c>
      <c r="O25" s="59">
        <v>0</v>
      </c>
      <c r="P25" s="59">
        <v>2.09</v>
      </c>
      <c r="Q25" s="59">
        <v>34.75</v>
      </c>
      <c r="R25" s="197"/>
      <c r="S25" s="197"/>
      <c r="T25" s="197"/>
      <c r="U25" s="197"/>
    </row>
    <row r="26" spans="1:21" s="12" customFormat="1" x14ac:dyDescent="0.25">
      <c r="A26" s="200" t="s">
        <v>840</v>
      </c>
      <c r="B26" s="59">
        <v>62.52</v>
      </c>
      <c r="C26" s="59">
        <v>106.72</v>
      </c>
      <c r="D26" s="59">
        <v>109.03</v>
      </c>
      <c r="E26" s="59">
        <v>4.8499999999999996</v>
      </c>
      <c r="F26" s="59">
        <v>2.8</v>
      </c>
      <c r="G26" s="59">
        <v>131.88</v>
      </c>
      <c r="H26" s="59">
        <v>52.65</v>
      </c>
      <c r="I26" s="59">
        <v>0.8</v>
      </c>
      <c r="J26" s="59">
        <v>0.65</v>
      </c>
      <c r="K26" s="59">
        <v>359.35</v>
      </c>
      <c r="L26" s="59">
        <v>22</v>
      </c>
      <c r="M26" s="59">
        <v>55.62</v>
      </c>
      <c r="N26" s="59">
        <v>4</v>
      </c>
      <c r="O26" s="59">
        <v>0</v>
      </c>
      <c r="P26" s="59">
        <v>2.09</v>
      </c>
      <c r="Q26" s="59">
        <v>34.75</v>
      </c>
      <c r="R26" s="197"/>
      <c r="S26" s="197"/>
      <c r="T26" s="197"/>
      <c r="U26" s="197"/>
    </row>
    <row r="27" spans="1:21" s="12" customFormat="1" x14ac:dyDescent="0.25">
      <c r="A27" s="200" t="s">
        <v>841</v>
      </c>
      <c r="B27" s="59">
        <v>60.53</v>
      </c>
      <c r="C27" s="59">
        <v>105.9</v>
      </c>
      <c r="D27" s="59">
        <v>106.98</v>
      </c>
      <c r="E27" s="59">
        <v>4.95</v>
      </c>
      <c r="F27" s="59">
        <v>3.23</v>
      </c>
      <c r="G27" s="59">
        <v>131.88</v>
      </c>
      <c r="H27" s="59">
        <v>52.65</v>
      </c>
      <c r="I27" s="59">
        <v>0.87</v>
      </c>
      <c r="J27" s="59">
        <v>0.31</v>
      </c>
      <c r="K27" s="59">
        <v>348.49</v>
      </c>
      <c r="L27" s="59">
        <v>21.88</v>
      </c>
      <c r="M27" s="59">
        <v>55.43</v>
      </c>
      <c r="N27" s="59">
        <v>4.4000000000000004</v>
      </c>
      <c r="O27" s="59">
        <v>0</v>
      </c>
      <c r="P27" s="59">
        <v>1.89</v>
      </c>
      <c r="Q27" s="59">
        <v>34.72</v>
      </c>
      <c r="R27" s="197"/>
      <c r="S27" s="197"/>
      <c r="T27" s="197"/>
      <c r="U27" s="197"/>
    </row>
    <row r="28" spans="1:21" s="12" customFormat="1" x14ac:dyDescent="0.25">
      <c r="A28" s="200" t="s">
        <v>842</v>
      </c>
      <c r="B28" s="59">
        <v>58.92</v>
      </c>
      <c r="C28" s="59">
        <v>105.3</v>
      </c>
      <c r="D28" s="59">
        <v>105.36</v>
      </c>
      <c r="E28" s="59">
        <v>4.93</v>
      </c>
      <c r="F28" s="59">
        <v>3.07</v>
      </c>
      <c r="G28" s="59">
        <v>131.88</v>
      </c>
      <c r="H28" s="59">
        <v>52.65</v>
      </c>
      <c r="I28" s="59">
        <v>0.88</v>
      </c>
      <c r="J28" s="59">
        <v>0.56999999999999995</v>
      </c>
      <c r="K28" s="59">
        <v>14.73</v>
      </c>
      <c r="L28" s="59">
        <v>21.58</v>
      </c>
      <c r="M28" s="59">
        <v>57.43</v>
      </c>
      <c r="N28" s="59">
        <v>4.3</v>
      </c>
      <c r="O28" s="59">
        <v>0</v>
      </c>
      <c r="P28" s="59">
        <v>1.97</v>
      </c>
      <c r="Q28" s="59">
        <v>34.85</v>
      </c>
      <c r="R28" s="197"/>
      <c r="S28" s="197"/>
      <c r="T28" s="197"/>
      <c r="U28" s="197"/>
    </row>
    <row r="29" spans="1:21" s="12" customFormat="1" x14ac:dyDescent="0.25">
      <c r="A29" s="200" t="s">
        <v>843</v>
      </c>
      <c r="B29" s="59">
        <v>57.33</v>
      </c>
      <c r="C29" s="59">
        <v>104.42</v>
      </c>
      <c r="D29" s="59">
        <v>103.6</v>
      </c>
      <c r="E29" s="59">
        <v>4.6500000000000004</v>
      </c>
      <c r="F29" s="59">
        <v>3.08</v>
      </c>
      <c r="G29" s="59">
        <v>187.38</v>
      </c>
      <c r="H29" s="59">
        <v>49.95</v>
      </c>
      <c r="I29" s="59">
        <v>0.81</v>
      </c>
      <c r="J29" s="59">
        <v>0.14000000000000001</v>
      </c>
      <c r="K29" s="59">
        <v>348.09</v>
      </c>
      <c r="L29" s="59">
        <v>21.47</v>
      </c>
      <c r="M29" s="59">
        <v>55.6</v>
      </c>
      <c r="N29" s="59">
        <v>4.5</v>
      </c>
      <c r="O29" s="59">
        <v>0</v>
      </c>
      <c r="P29" s="59">
        <v>1.82</v>
      </c>
      <c r="Q29" s="59">
        <v>34.880000000000003</v>
      </c>
      <c r="R29" s="197"/>
      <c r="S29" s="197"/>
      <c r="T29" s="197"/>
      <c r="U29" s="197"/>
    </row>
    <row r="30" spans="1:21" s="12" customFormat="1" x14ac:dyDescent="0.25">
      <c r="A30" s="200" t="s">
        <v>844</v>
      </c>
      <c r="B30" s="59">
        <v>56.22</v>
      </c>
      <c r="C30" s="59">
        <v>103.53</v>
      </c>
      <c r="D30" s="59">
        <v>102.22</v>
      </c>
      <c r="E30" s="59">
        <v>5.15</v>
      </c>
      <c r="F30" s="59">
        <v>2.99</v>
      </c>
      <c r="G30" s="59">
        <v>188.65</v>
      </c>
      <c r="H30" s="59">
        <v>49.89</v>
      </c>
      <c r="I30" s="59">
        <v>0.8</v>
      </c>
      <c r="J30" s="59">
        <v>0.14000000000000001</v>
      </c>
      <c r="K30" s="59">
        <v>21.72</v>
      </c>
      <c r="L30" s="59">
        <v>21.27</v>
      </c>
      <c r="M30" s="59">
        <v>56.29</v>
      </c>
      <c r="N30" s="59">
        <v>4.5</v>
      </c>
      <c r="O30" s="59">
        <v>0</v>
      </c>
      <c r="P30" s="59">
        <v>1.77</v>
      </c>
      <c r="Q30" s="59">
        <v>35.119999999999997</v>
      </c>
      <c r="R30" s="197"/>
      <c r="S30" s="197"/>
      <c r="T30" s="197"/>
      <c r="U30" s="197"/>
    </row>
    <row r="31" spans="1:21" s="12" customFormat="1" x14ac:dyDescent="0.25">
      <c r="A31" s="200" t="s">
        <v>845</v>
      </c>
      <c r="B31" s="59">
        <v>56.18</v>
      </c>
      <c r="C31" s="59">
        <v>103.47</v>
      </c>
      <c r="D31" s="59">
        <v>102.16</v>
      </c>
      <c r="E31" s="59">
        <v>5.22</v>
      </c>
      <c r="F31" s="59">
        <v>2.99</v>
      </c>
      <c r="G31" s="59">
        <v>188.65</v>
      </c>
      <c r="H31" s="59">
        <v>49.89</v>
      </c>
      <c r="I31" s="59">
        <v>0.79</v>
      </c>
      <c r="J31" s="59">
        <v>0.53</v>
      </c>
      <c r="K31" s="59">
        <v>23.38</v>
      </c>
      <c r="L31" s="59">
        <v>21.15</v>
      </c>
      <c r="M31" s="59">
        <v>57.03</v>
      </c>
      <c r="N31" s="59">
        <v>4</v>
      </c>
      <c r="O31" s="59">
        <v>0</v>
      </c>
      <c r="P31" s="59">
        <v>1.88</v>
      </c>
      <c r="Q31" s="59">
        <v>35.97</v>
      </c>
      <c r="R31" s="197"/>
      <c r="S31" s="197"/>
      <c r="T31" s="197"/>
      <c r="U31" s="197"/>
    </row>
    <row r="32" spans="1:21" s="12" customFormat="1" x14ac:dyDescent="0.25">
      <c r="A32" s="200" t="s">
        <v>846</v>
      </c>
      <c r="B32" s="59">
        <v>55.76</v>
      </c>
      <c r="C32" s="59">
        <v>103.98</v>
      </c>
      <c r="D32" s="59">
        <v>102.1</v>
      </c>
      <c r="E32" s="59">
        <v>5.92</v>
      </c>
      <c r="F32" s="59">
        <v>2.86</v>
      </c>
      <c r="G32" s="59">
        <v>188.65</v>
      </c>
      <c r="H32" s="59">
        <v>49.89</v>
      </c>
      <c r="I32" s="59">
        <v>0.77</v>
      </c>
      <c r="J32" s="59">
        <v>0.69</v>
      </c>
      <c r="K32" s="59">
        <v>11.16</v>
      </c>
      <c r="L32" s="59">
        <v>21.59</v>
      </c>
      <c r="M32" s="59">
        <v>52.53</v>
      </c>
      <c r="N32" s="59">
        <v>3.3</v>
      </c>
      <c r="O32" s="59">
        <v>0</v>
      </c>
      <c r="P32" s="59">
        <v>1.85</v>
      </c>
      <c r="Q32" s="59">
        <v>36.39</v>
      </c>
      <c r="R32" s="197"/>
      <c r="S32" s="197"/>
      <c r="T32" s="197"/>
      <c r="U32" s="197"/>
    </row>
    <row r="33" spans="1:21" s="12" customFormat="1" x14ac:dyDescent="0.25">
      <c r="A33" s="200" t="s">
        <v>847</v>
      </c>
      <c r="B33" s="59">
        <v>54.75</v>
      </c>
      <c r="C33" s="59">
        <v>104.04</v>
      </c>
      <c r="D33" s="59">
        <v>101.32</v>
      </c>
      <c r="E33" s="59">
        <v>5.55</v>
      </c>
      <c r="F33" s="59">
        <v>3.1</v>
      </c>
      <c r="G33" s="59">
        <v>55.63</v>
      </c>
      <c r="H33" s="59">
        <v>52.97</v>
      </c>
      <c r="I33" s="59">
        <v>0.81</v>
      </c>
      <c r="J33" s="59">
        <v>0.61</v>
      </c>
      <c r="K33" s="59">
        <v>358.82</v>
      </c>
      <c r="L33" s="59">
        <v>21.58</v>
      </c>
      <c r="M33" s="59">
        <v>51.87</v>
      </c>
      <c r="N33" s="59">
        <v>5</v>
      </c>
      <c r="O33" s="59">
        <v>0</v>
      </c>
      <c r="P33" s="59">
        <v>1.83</v>
      </c>
      <c r="Q33" s="59">
        <v>36.090000000000003</v>
      </c>
      <c r="R33" s="197"/>
      <c r="S33" s="197"/>
      <c r="T33" s="197"/>
      <c r="U33" s="197"/>
    </row>
    <row r="34" spans="1:21" s="12" customFormat="1" x14ac:dyDescent="0.25">
      <c r="A34" s="200" t="s">
        <v>848</v>
      </c>
      <c r="B34" s="59">
        <v>54.75</v>
      </c>
      <c r="C34" s="59">
        <v>104.06</v>
      </c>
      <c r="D34" s="59">
        <v>101.33</v>
      </c>
      <c r="E34" s="59">
        <v>7.06</v>
      </c>
      <c r="F34" s="59">
        <v>3.12</v>
      </c>
      <c r="G34" s="10" t="s">
        <v>43</v>
      </c>
      <c r="H34" s="10" t="s">
        <v>43</v>
      </c>
      <c r="I34" s="59">
        <v>0.82</v>
      </c>
      <c r="J34" s="59">
        <v>0.51</v>
      </c>
      <c r="K34" s="59">
        <v>7.79</v>
      </c>
      <c r="L34" s="59">
        <v>21.44</v>
      </c>
      <c r="M34" s="59">
        <v>51.83</v>
      </c>
      <c r="N34" s="59">
        <v>11.6</v>
      </c>
      <c r="O34" s="59">
        <v>0</v>
      </c>
      <c r="P34" s="59">
        <v>1.82</v>
      </c>
      <c r="Q34" s="59">
        <v>35.99</v>
      </c>
      <c r="R34" s="197"/>
      <c r="S34" s="197"/>
      <c r="T34" s="197"/>
      <c r="U34" s="197"/>
    </row>
    <row r="35" spans="1:21" s="12" customFormat="1" x14ac:dyDescent="0.25">
      <c r="A35" s="200" t="s">
        <v>849</v>
      </c>
      <c r="B35" s="59">
        <v>56.53</v>
      </c>
      <c r="C35" s="59">
        <v>104.54</v>
      </c>
      <c r="D35" s="59">
        <v>103.03</v>
      </c>
      <c r="E35" s="59">
        <v>7.55</v>
      </c>
      <c r="F35" s="59">
        <v>3.14</v>
      </c>
      <c r="G35" s="10" t="s">
        <v>43</v>
      </c>
      <c r="H35" s="10" t="s">
        <v>43</v>
      </c>
      <c r="I35" s="59">
        <v>0.8</v>
      </c>
      <c r="J35" s="59">
        <v>0.8</v>
      </c>
      <c r="K35" s="59">
        <v>0.34</v>
      </c>
      <c r="L35" s="59">
        <v>21.62</v>
      </c>
      <c r="M35" s="59">
        <v>50.47</v>
      </c>
      <c r="N35" s="59">
        <v>23.4</v>
      </c>
      <c r="O35" s="59">
        <v>0</v>
      </c>
      <c r="P35" s="59">
        <v>1.82</v>
      </c>
      <c r="Q35" s="59">
        <v>35.96</v>
      </c>
      <c r="R35" s="197"/>
      <c r="S35" s="197"/>
      <c r="T35" s="197"/>
      <c r="U35" s="197"/>
    </row>
    <row r="36" spans="1:21" s="12" customFormat="1" x14ac:dyDescent="0.25">
      <c r="A36" s="200" t="s">
        <v>850</v>
      </c>
      <c r="B36" s="59">
        <v>58.89</v>
      </c>
      <c r="C36" s="59">
        <v>106.12</v>
      </c>
      <c r="D36" s="59">
        <v>105.79</v>
      </c>
      <c r="E36" s="59">
        <v>7.7</v>
      </c>
      <c r="F36" s="59">
        <v>2.83</v>
      </c>
      <c r="G36" s="10" t="s">
        <v>43</v>
      </c>
      <c r="H36" s="10" t="s">
        <v>43</v>
      </c>
      <c r="I36" s="59">
        <v>0.78</v>
      </c>
      <c r="J36" s="59">
        <v>0.75</v>
      </c>
      <c r="K36" s="59">
        <v>19.690000000000001</v>
      </c>
      <c r="L36" s="59">
        <v>22.32</v>
      </c>
      <c r="M36" s="59">
        <v>46.93</v>
      </c>
      <c r="N36" s="59">
        <v>48.9</v>
      </c>
      <c r="O36" s="59">
        <v>0</v>
      </c>
      <c r="P36" s="59">
        <v>1.82</v>
      </c>
      <c r="Q36" s="59">
        <v>35.74</v>
      </c>
      <c r="R36" s="197"/>
      <c r="S36" s="197"/>
      <c r="T36" s="197"/>
      <c r="U36" s="197"/>
    </row>
    <row r="37" spans="1:21" s="12" customFormat="1" x14ac:dyDescent="0.25">
      <c r="A37" s="200" t="s">
        <v>851</v>
      </c>
      <c r="B37" s="59">
        <v>61.58</v>
      </c>
      <c r="C37" s="59">
        <v>107.1</v>
      </c>
      <c r="D37" s="59">
        <v>108.49</v>
      </c>
      <c r="E37" s="59">
        <v>7.29</v>
      </c>
      <c r="F37" s="59">
        <v>2.86</v>
      </c>
      <c r="G37" s="10" t="s">
        <v>43</v>
      </c>
      <c r="H37" s="10" t="s">
        <v>43</v>
      </c>
      <c r="I37" s="59">
        <v>0.77</v>
      </c>
      <c r="J37" s="59">
        <v>0.55000000000000004</v>
      </c>
      <c r="K37" s="59">
        <v>23.19</v>
      </c>
      <c r="L37" s="59">
        <v>23.49</v>
      </c>
      <c r="M37" s="59">
        <v>41.65</v>
      </c>
      <c r="N37" s="59">
        <v>80.2</v>
      </c>
      <c r="O37" s="59">
        <v>0</v>
      </c>
      <c r="P37" s="59">
        <v>1.84</v>
      </c>
      <c r="Q37" s="59">
        <v>35.44</v>
      </c>
      <c r="R37" s="197"/>
      <c r="S37" s="197"/>
      <c r="T37" s="197"/>
      <c r="U37" s="197"/>
    </row>
    <row r="38" spans="1:21" s="12" customFormat="1" x14ac:dyDescent="0.25">
      <c r="A38" s="200" t="s">
        <v>852</v>
      </c>
      <c r="B38" s="59">
        <v>63.78</v>
      </c>
      <c r="C38" s="59">
        <v>106.34</v>
      </c>
      <c r="D38" s="59">
        <v>109.83</v>
      </c>
      <c r="E38" s="59">
        <v>6.61</v>
      </c>
      <c r="F38" s="59">
        <v>2.89</v>
      </c>
      <c r="G38" s="10" t="s">
        <v>43</v>
      </c>
      <c r="H38" s="10" t="s">
        <v>43</v>
      </c>
      <c r="I38" s="59">
        <v>0.75</v>
      </c>
      <c r="J38" s="59">
        <v>0.77</v>
      </c>
      <c r="K38" s="59">
        <v>21.46</v>
      </c>
      <c r="L38" s="59">
        <v>24.96</v>
      </c>
      <c r="M38" s="59">
        <v>37.22</v>
      </c>
      <c r="N38" s="59">
        <v>113.2</v>
      </c>
      <c r="O38" s="59">
        <v>0</v>
      </c>
      <c r="P38" s="59">
        <v>1.89</v>
      </c>
      <c r="Q38" s="59">
        <v>35.020000000000003</v>
      </c>
      <c r="R38" s="197"/>
      <c r="S38" s="197"/>
      <c r="T38" s="197"/>
      <c r="U38" s="197"/>
    </row>
    <row r="39" spans="1:21" s="12" customFormat="1" x14ac:dyDescent="0.25">
      <c r="A39" s="200" t="s">
        <v>853</v>
      </c>
      <c r="B39" s="59">
        <v>65.14</v>
      </c>
      <c r="C39" s="59">
        <v>105.93</v>
      </c>
      <c r="D39" s="59">
        <v>110.7</v>
      </c>
      <c r="E39" s="59">
        <v>5.94</v>
      </c>
      <c r="F39" s="59">
        <v>3.14</v>
      </c>
      <c r="G39" s="10" t="s">
        <v>43</v>
      </c>
      <c r="H39" s="10" t="s">
        <v>43</v>
      </c>
      <c r="I39" s="59">
        <v>0.72</v>
      </c>
      <c r="J39" s="59">
        <v>1.08</v>
      </c>
      <c r="K39" s="59">
        <v>18.989999999999998</v>
      </c>
      <c r="L39" s="59">
        <v>26.02</v>
      </c>
      <c r="M39" s="59">
        <v>32.89</v>
      </c>
      <c r="N39" s="59">
        <v>145.1</v>
      </c>
      <c r="O39" s="59">
        <v>0</v>
      </c>
      <c r="P39" s="59">
        <v>1.87</v>
      </c>
      <c r="Q39" s="59">
        <v>34.340000000000003</v>
      </c>
      <c r="R39" s="197"/>
      <c r="S39" s="197"/>
      <c r="T39" s="197"/>
      <c r="U39" s="197"/>
    </row>
    <row r="40" spans="1:21" s="12" customFormat="1" x14ac:dyDescent="0.25">
      <c r="A40" s="200" t="s">
        <v>854</v>
      </c>
      <c r="B40" s="59">
        <v>64.930000000000007</v>
      </c>
      <c r="C40" s="59">
        <v>105.95</v>
      </c>
      <c r="D40" s="59">
        <v>110.54</v>
      </c>
      <c r="E40" s="59">
        <v>2.81</v>
      </c>
      <c r="F40" s="59">
        <v>3.55</v>
      </c>
      <c r="G40" s="10" t="s">
        <v>43</v>
      </c>
      <c r="H40" s="10" t="s">
        <v>43</v>
      </c>
      <c r="I40" s="59">
        <v>0.71</v>
      </c>
      <c r="J40" s="59">
        <v>1.04</v>
      </c>
      <c r="K40" s="59">
        <v>19.510000000000002</v>
      </c>
      <c r="L40" s="59">
        <v>27.2</v>
      </c>
      <c r="M40" s="59">
        <v>31.61</v>
      </c>
      <c r="N40" s="59">
        <v>170.9</v>
      </c>
      <c r="O40" s="59">
        <v>0</v>
      </c>
      <c r="P40" s="59">
        <v>1.84</v>
      </c>
      <c r="Q40" s="59">
        <v>33.700000000000003</v>
      </c>
      <c r="R40" s="197"/>
      <c r="S40" s="197"/>
      <c r="T40" s="197"/>
      <c r="U40" s="197"/>
    </row>
    <row r="41" spans="1:21" s="12" customFormat="1" x14ac:dyDescent="0.25">
      <c r="A41" s="200" t="s">
        <v>855</v>
      </c>
      <c r="B41" s="59">
        <v>64.58</v>
      </c>
      <c r="C41" s="59">
        <v>106.17</v>
      </c>
      <c r="D41" s="59">
        <v>110.38</v>
      </c>
      <c r="E41" s="59">
        <v>6.55</v>
      </c>
      <c r="F41" s="59">
        <v>3.41</v>
      </c>
      <c r="G41" s="10" t="s">
        <v>43</v>
      </c>
      <c r="H41" s="10" t="s">
        <v>43</v>
      </c>
      <c r="I41" s="59">
        <v>0.71</v>
      </c>
      <c r="J41" s="59">
        <v>1.01</v>
      </c>
      <c r="K41" s="59">
        <v>17.52</v>
      </c>
      <c r="L41" s="59">
        <v>27.84</v>
      </c>
      <c r="M41" s="59">
        <v>29.8</v>
      </c>
      <c r="N41" s="59">
        <v>210.4</v>
      </c>
      <c r="O41" s="59">
        <v>0</v>
      </c>
      <c r="P41" s="59">
        <v>1.93</v>
      </c>
      <c r="Q41" s="59">
        <v>33.32</v>
      </c>
      <c r="R41" s="197"/>
      <c r="S41" s="197"/>
      <c r="T41" s="197"/>
      <c r="U41" s="197"/>
    </row>
    <row r="42" spans="1:21" s="12" customFormat="1" x14ac:dyDescent="0.25">
      <c r="A42" s="200" t="s">
        <v>856</v>
      </c>
      <c r="B42" s="59">
        <v>64.28</v>
      </c>
      <c r="C42" s="59">
        <v>105.86</v>
      </c>
      <c r="D42" s="59">
        <v>109.97</v>
      </c>
      <c r="E42" s="59">
        <v>7.07</v>
      </c>
      <c r="F42" s="59">
        <v>3.35</v>
      </c>
      <c r="G42" s="10" t="s">
        <v>43</v>
      </c>
      <c r="H42" s="10" t="s">
        <v>43</v>
      </c>
      <c r="I42" s="59">
        <v>0.67</v>
      </c>
      <c r="J42" s="59">
        <v>0.77</v>
      </c>
      <c r="K42" s="59">
        <v>25.03</v>
      </c>
      <c r="L42" s="59">
        <v>28.11</v>
      </c>
      <c r="M42" s="59">
        <v>28.51</v>
      </c>
      <c r="N42" s="59">
        <v>241.3</v>
      </c>
      <c r="O42" s="59">
        <v>0</v>
      </c>
      <c r="P42" s="59">
        <v>1.97</v>
      </c>
      <c r="Q42" s="59">
        <v>33.17</v>
      </c>
      <c r="R42" s="197"/>
      <c r="S42" s="197"/>
      <c r="T42" s="197"/>
      <c r="U42" s="197"/>
    </row>
    <row r="43" spans="1:21" s="12" customFormat="1" x14ac:dyDescent="0.25">
      <c r="A43" s="200" t="s">
        <v>857</v>
      </c>
      <c r="B43" s="59">
        <v>62.39</v>
      </c>
      <c r="C43" s="59">
        <v>105.72</v>
      </c>
      <c r="D43" s="59">
        <v>108.37</v>
      </c>
      <c r="E43" s="59">
        <v>6.94</v>
      </c>
      <c r="F43" s="59">
        <v>3.36</v>
      </c>
      <c r="G43" s="10" t="s">
        <v>43</v>
      </c>
      <c r="H43" s="10" t="s">
        <v>43</v>
      </c>
      <c r="I43" s="59">
        <v>0.66</v>
      </c>
      <c r="J43" s="59">
        <v>0.91</v>
      </c>
      <c r="K43" s="59">
        <v>29.46</v>
      </c>
      <c r="L43" s="59">
        <v>28.59</v>
      </c>
      <c r="M43" s="59">
        <v>27.22</v>
      </c>
      <c r="N43" s="59">
        <v>290.5</v>
      </c>
      <c r="O43" s="59">
        <v>0</v>
      </c>
      <c r="P43" s="59">
        <v>1.83</v>
      </c>
      <c r="Q43" s="59">
        <v>33.06</v>
      </c>
      <c r="R43" s="197"/>
      <c r="S43" s="197"/>
      <c r="T43" s="197"/>
      <c r="U43" s="197"/>
    </row>
    <row r="44" spans="1:21" s="12" customFormat="1" x14ac:dyDescent="0.25">
      <c r="A44" s="200" t="s">
        <v>858</v>
      </c>
      <c r="B44" s="59">
        <v>59.12</v>
      </c>
      <c r="C44" s="59">
        <v>105.6</v>
      </c>
      <c r="D44" s="59">
        <v>105.69</v>
      </c>
      <c r="E44" s="59">
        <v>6.14</v>
      </c>
      <c r="F44" s="59">
        <v>3.36</v>
      </c>
      <c r="G44" s="10" t="s">
        <v>43</v>
      </c>
      <c r="H44" s="10" t="s">
        <v>43</v>
      </c>
      <c r="I44" s="59">
        <v>0.68</v>
      </c>
      <c r="J44" s="59">
        <v>0.92</v>
      </c>
      <c r="K44" s="59">
        <v>22.67</v>
      </c>
      <c r="L44" s="59">
        <v>29.54</v>
      </c>
      <c r="M44" s="59">
        <v>26.77</v>
      </c>
      <c r="N44" s="59">
        <v>312.39999999999998</v>
      </c>
      <c r="O44" s="59">
        <v>0</v>
      </c>
      <c r="P44" s="59">
        <v>1.71</v>
      </c>
      <c r="Q44" s="59">
        <v>32.619999999999997</v>
      </c>
      <c r="R44" s="197"/>
      <c r="S44" s="197"/>
      <c r="T44" s="197"/>
      <c r="U44" s="197"/>
    </row>
    <row r="45" spans="1:21" s="12" customFormat="1" x14ac:dyDescent="0.25">
      <c r="A45" s="200" t="s">
        <v>859</v>
      </c>
      <c r="B45" s="59">
        <v>55.98</v>
      </c>
      <c r="C45" s="59">
        <v>106.59</v>
      </c>
      <c r="D45" s="59">
        <v>103.72</v>
      </c>
      <c r="E45" s="59">
        <v>6.3</v>
      </c>
      <c r="F45" s="59">
        <v>3.17</v>
      </c>
      <c r="G45" s="10" t="s">
        <v>43</v>
      </c>
      <c r="H45" s="10" t="s">
        <v>43</v>
      </c>
      <c r="I45" s="59">
        <v>0.67</v>
      </c>
      <c r="J45" s="59">
        <v>0.78</v>
      </c>
      <c r="K45" s="59">
        <v>34.840000000000003</v>
      </c>
      <c r="L45" s="59">
        <v>30.91</v>
      </c>
      <c r="M45" s="59">
        <v>25.37</v>
      </c>
      <c r="N45" s="59">
        <v>306.3</v>
      </c>
      <c r="O45" s="59">
        <v>0</v>
      </c>
      <c r="P45" s="59">
        <v>1.79</v>
      </c>
      <c r="Q45" s="59">
        <v>32.32</v>
      </c>
      <c r="R45" s="197"/>
      <c r="S45" s="197"/>
      <c r="T45" s="197"/>
      <c r="U45" s="197"/>
    </row>
    <row r="46" spans="1:21" s="12" customFormat="1" x14ac:dyDescent="0.25">
      <c r="A46" s="200" t="s">
        <v>860</v>
      </c>
      <c r="B46" s="59">
        <v>52.49</v>
      </c>
      <c r="C46" s="59">
        <v>108.22</v>
      </c>
      <c r="D46" s="59">
        <v>101.81</v>
      </c>
      <c r="E46" s="59">
        <v>5.84</v>
      </c>
      <c r="F46" s="59">
        <v>3.26</v>
      </c>
      <c r="G46" s="10" t="s">
        <v>43</v>
      </c>
      <c r="H46" s="10" t="s">
        <v>43</v>
      </c>
      <c r="I46" s="59">
        <v>0.66</v>
      </c>
      <c r="J46" s="59">
        <v>0.56999999999999995</v>
      </c>
      <c r="K46" s="59">
        <v>47.64</v>
      </c>
      <c r="L46" s="59">
        <v>29.63</v>
      </c>
      <c r="M46" s="59">
        <v>28.36</v>
      </c>
      <c r="N46" s="59">
        <v>379.2</v>
      </c>
      <c r="O46" s="59">
        <v>0</v>
      </c>
      <c r="P46" s="59">
        <v>1.77</v>
      </c>
      <c r="Q46" s="59">
        <v>33.1</v>
      </c>
      <c r="R46" s="197"/>
      <c r="S46" s="197"/>
      <c r="T46" s="197"/>
      <c r="U46" s="197"/>
    </row>
    <row r="47" spans="1:21" s="12" customFormat="1" x14ac:dyDescent="0.25">
      <c r="A47" s="200" t="s">
        <v>861</v>
      </c>
      <c r="B47" s="59">
        <v>46.83</v>
      </c>
      <c r="C47" s="59">
        <v>110.03</v>
      </c>
      <c r="D47" s="59">
        <v>98.28</v>
      </c>
      <c r="E47" s="59">
        <v>6.77</v>
      </c>
      <c r="F47" s="59">
        <v>3.24</v>
      </c>
      <c r="G47" s="10" t="s">
        <v>43</v>
      </c>
      <c r="H47" s="10" t="s">
        <v>43</v>
      </c>
      <c r="I47" s="59">
        <v>0.69</v>
      </c>
      <c r="J47" s="59">
        <v>1.31</v>
      </c>
      <c r="K47" s="59">
        <v>1.63</v>
      </c>
      <c r="L47" s="59">
        <v>31.16</v>
      </c>
      <c r="M47" s="59">
        <v>26.49</v>
      </c>
      <c r="N47" s="59">
        <v>255.6</v>
      </c>
      <c r="O47" s="59">
        <v>0</v>
      </c>
      <c r="P47" s="59">
        <v>1.69</v>
      </c>
      <c r="Q47" s="59">
        <v>33.14</v>
      </c>
      <c r="R47" s="197"/>
      <c r="S47" s="197"/>
      <c r="T47" s="197"/>
      <c r="U47" s="197"/>
    </row>
    <row r="48" spans="1:21" s="12" customFormat="1" x14ac:dyDescent="0.25">
      <c r="A48" s="200" t="s">
        <v>862</v>
      </c>
      <c r="B48" s="59">
        <v>39.24</v>
      </c>
      <c r="C48" s="59">
        <v>111.19</v>
      </c>
      <c r="D48" s="59">
        <v>92.83</v>
      </c>
      <c r="E48" s="59">
        <v>6.39</v>
      </c>
      <c r="F48" s="59">
        <v>3.12</v>
      </c>
      <c r="G48" s="10" t="s">
        <v>43</v>
      </c>
      <c r="H48" s="10" t="s">
        <v>43</v>
      </c>
      <c r="I48" s="59">
        <v>0.69</v>
      </c>
      <c r="J48" s="59">
        <v>1.22</v>
      </c>
      <c r="K48" s="59">
        <v>8.6999999999999993</v>
      </c>
      <c r="L48" s="59">
        <v>30.34</v>
      </c>
      <c r="M48" s="59">
        <v>28.38</v>
      </c>
      <c r="N48" s="59">
        <v>340</v>
      </c>
      <c r="O48" s="59">
        <v>0</v>
      </c>
      <c r="P48" s="59">
        <v>1.6</v>
      </c>
      <c r="Q48" s="59">
        <v>32.299999999999997</v>
      </c>
      <c r="R48" s="197"/>
      <c r="S48" s="197"/>
      <c r="T48" s="197"/>
      <c r="U48" s="197"/>
    </row>
    <row r="49" spans="1:21" s="12" customFormat="1" x14ac:dyDescent="0.25">
      <c r="A49" s="200" t="s">
        <v>863</v>
      </c>
      <c r="B49" s="59">
        <v>32.71</v>
      </c>
      <c r="C49" s="59">
        <v>112.06</v>
      </c>
      <c r="D49" s="59">
        <v>88.08</v>
      </c>
      <c r="E49" s="59">
        <v>6.02</v>
      </c>
      <c r="F49" s="59">
        <v>3.04</v>
      </c>
      <c r="G49" s="10" t="s">
        <v>43</v>
      </c>
      <c r="H49" s="10" t="s">
        <v>43</v>
      </c>
      <c r="I49" s="59">
        <v>0.68</v>
      </c>
      <c r="J49" s="59">
        <v>1.17</v>
      </c>
      <c r="K49" s="59">
        <v>23.42</v>
      </c>
      <c r="L49" s="59">
        <v>32.049999999999997</v>
      </c>
      <c r="M49" s="59">
        <v>26.09</v>
      </c>
      <c r="N49" s="59">
        <v>452.8</v>
      </c>
      <c r="O49" s="59">
        <v>0</v>
      </c>
      <c r="P49" s="59">
        <v>1.5</v>
      </c>
      <c r="Q49" s="59">
        <v>31.52</v>
      </c>
      <c r="R49" s="197"/>
      <c r="S49" s="197"/>
      <c r="T49" s="197"/>
      <c r="U49" s="197"/>
    </row>
    <row r="50" spans="1:21" s="12" customFormat="1" x14ac:dyDescent="0.25">
      <c r="A50" s="200" t="s">
        <v>864</v>
      </c>
      <c r="B50" s="59">
        <v>26.31</v>
      </c>
      <c r="C50" s="59">
        <v>113.25</v>
      </c>
      <c r="D50" s="59">
        <v>83.6</v>
      </c>
      <c r="E50" s="59">
        <v>6.01</v>
      </c>
      <c r="F50" s="59">
        <v>3.03</v>
      </c>
      <c r="G50" s="59">
        <v>297.69</v>
      </c>
      <c r="H50" s="59">
        <v>49.65</v>
      </c>
      <c r="I50" s="59">
        <v>0.65</v>
      </c>
      <c r="J50" s="59">
        <v>1.65</v>
      </c>
      <c r="K50" s="59">
        <v>22.97</v>
      </c>
      <c r="L50" s="59">
        <v>32.57</v>
      </c>
      <c r="M50" s="59">
        <v>24.77</v>
      </c>
      <c r="N50" s="59">
        <v>448.9</v>
      </c>
      <c r="O50" s="59">
        <v>0</v>
      </c>
      <c r="P50" s="59">
        <v>1.41</v>
      </c>
      <c r="Q50" s="59">
        <v>31.07</v>
      </c>
      <c r="R50" s="197"/>
      <c r="S50" s="197"/>
      <c r="T50" s="197"/>
      <c r="U50" s="197"/>
    </row>
    <row r="51" spans="1:21" s="12" customFormat="1" x14ac:dyDescent="0.25">
      <c r="A51" s="200" t="s">
        <v>865</v>
      </c>
      <c r="B51" s="59">
        <v>20.54</v>
      </c>
      <c r="C51" s="59">
        <v>114.96</v>
      </c>
      <c r="D51" s="59">
        <v>79.91</v>
      </c>
      <c r="E51" s="59">
        <v>5.66</v>
      </c>
      <c r="F51" s="59">
        <v>3.2</v>
      </c>
      <c r="G51" s="59">
        <v>297.69</v>
      </c>
      <c r="H51" s="59">
        <v>49.65</v>
      </c>
      <c r="I51" s="59">
        <v>0.63</v>
      </c>
      <c r="J51" s="59">
        <v>1.98</v>
      </c>
      <c r="K51" s="59">
        <v>29.28</v>
      </c>
      <c r="L51" s="59">
        <v>33.1</v>
      </c>
      <c r="M51" s="59">
        <v>22.96</v>
      </c>
      <c r="N51" s="59">
        <v>516.20000000000005</v>
      </c>
      <c r="O51" s="59">
        <v>0</v>
      </c>
      <c r="P51" s="59">
        <v>1.33</v>
      </c>
      <c r="Q51" s="59">
        <v>30.43</v>
      </c>
      <c r="R51" s="197"/>
      <c r="S51" s="197"/>
      <c r="T51" s="197"/>
      <c r="U51" s="197"/>
    </row>
    <row r="52" spans="1:21" s="12" customFormat="1" x14ac:dyDescent="0.25">
      <c r="A52" s="200" t="s">
        <v>866</v>
      </c>
      <c r="B52" s="59">
        <v>15.16</v>
      </c>
      <c r="C52" s="59">
        <v>115.85</v>
      </c>
      <c r="D52" s="59">
        <v>76.09</v>
      </c>
      <c r="E52" s="59">
        <v>5.59</v>
      </c>
      <c r="F52" s="59">
        <v>3.18</v>
      </c>
      <c r="G52" s="59">
        <v>297.69</v>
      </c>
      <c r="H52" s="59">
        <v>49.65</v>
      </c>
      <c r="I52" s="59">
        <v>0.62</v>
      </c>
      <c r="J52" s="59">
        <v>1.66</v>
      </c>
      <c r="K52" s="59">
        <v>27.65</v>
      </c>
      <c r="L52" s="59">
        <v>34.049999999999997</v>
      </c>
      <c r="M52" s="59">
        <v>22.04</v>
      </c>
      <c r="N52" s="59">
        <v>528.9</v>
      </c>
      <c r="O52" s="59">
        <v>0</v>
      </c>
      <c r="P52" s="59">
        <v>1.25</v>
      </c>
      <c r="Q52" s="59">
        <v>29.47</v>
      </c>
      <c r="R52" s="197"/>
      <c r="S52" s="197"/>
      <c r="T52" s="197"/>
      <c r="U52" s="197"/>
    </row>
    <row r="53" spans="1:21" s="12" customFormat="1" x14ac:dyDescent="0.25">
      <c r="A53" s="200" t="s">
        <v>867</v>
      </c>
      <c r="B53" s="59">
        <v>11.73</v>
      </c>
      <c r="C53" s="59">
        <v>115.86</v>
      </c>
      <c r="D53" s="59">
        <v>73.349999999999994</v>
      </c>
      <c r="E53" s="59">
        <v>4.8099999999999996</v>
      </c>
      <c r="F53" s="59">
        <v>2.94</v>
      </c>
      <c r="G53" s="59">
        <v>86.24</v>
      </c>
      <c r="H53" s="59">
        <v>39.450000000000003</v>
      </c>
      <c r="I53" s="59">
        <v>0.61</v>
      </c>
      <c r="J53" s="59">
        <v>1.95</v>
      </c>
      <c r="K53" s="59">
        <v>32.99</v>
      </c>
      <c r="L53" s="59">
        <v>34.65</v>
      </c>
      <c r="M53" s="59">
        <v>21.34</v>
      </c>
      <c r="N53" s="59">
        <v>529.29999999999995</v>
      </c>
      <c r="O53" s="59">
        <v>0</v>
      </c>
      <c r="P53" s="59">
        <v>1.21</v>
      </c>
      <c r="Q53" s="59">
        <v>28.08</v>
      </c>
      <c r="R53" s="197"/>
      <c r="S53" s="197"/>
      <c r="T53" s="197"/>
      <c r="U53" s="197"/>
    </row>
    <row r="54" spans="1:21" s="12" customFormat="1" x14ac:dyDescent="0.25">
      <c r="A54" s="200" t="s">
        <v>868</v>
      </c>
      <c r="B54" s="59">
        <v>9.3699999999999992</v>
      </c>
      <c r="C54" s="59">
        <v>116.2</v>
      </c>
      <c r="D54" s="59">
        <v>71.64</v>
      </c>
      <c r="E54" s="59">
        <v>4.6100000000000003</v>
      </c>
      <c r="F54" s="59">
        <v>3.09</v>
      </c>
      <c r="G54" s="59">
        <v>86.24</v>
      </c>
      <c r="H54" s="59">
        <v>39.22</v>
      </c>
      <c r="I54" s="59">
        <v>0.59</v>
      </c>
      <c r="J54" s="59">
        <v>1.88</v>
      </c>
      <c r="K54" s="59">
        <v>31.36</v>
      </c>
      <c r="L54" s="59">
        <v>34.76</v>
      </c>
      <c r="M54" s="59">
        <v>21.55</v>
      </c>
      <c r="N54" s="59">
        <v>515</v>
      </c>
      <c r="O54" s="59">
        <v>0</v>
      </c>
      <c r="P54" s="59">
        <v>1.1599999999999999</v>
      </c>
      <c r="Q54" s="59">
        <v>26.93</v>
      </c>
      <c r="R54" s="197"/>
      <c r="S54" s="197"/>
      <c r="T54" s="197"/>
      <c r="U54" s="197"/>
    </row>
    <row r="55" spans="1:21" s="12" customFormat="1" x14ac:dyDescent="0.25">
      <c r="A55" s="200" t="s">
        <v>869</v>
      </c>
      <c r="B55" s="59">
        <v>7.53</v>
      </c>
      <c r="C55" s="59">
        <v>116.06</v>
      </c>
      <c r="D55" s="59">
        <v>70.099999999999994</v>
      </c>
      <c r="E55" s="59">
        <v>4.6500000000000004</v>
      </c>
      <c r="F55" s="59">
        <v>3.27</v>
      </c>
      <c r="G55" s="59">
        <v>86.24</v>
      </c>
      <c r="H55" s="59">
        <v>39.22</v>
      </c>
      <c r="I55" s="59">
        <v>0.59</v>
      </c>
      <c r="J55" s="59">
        <v>1.31</v>
      </c>
      <c r="K55" s="59">
        <v>26.18</v>
      </c>
      <c r="L55" s="59">
        <v>35.549999999999997</v>
      </c>
      <c r="M55" s="59">
        <v>20.43</v>
      </c>
      <c r="N55" s="59">
        <v>528.1</v>
      </c>
      <c r="O55" s="59">
        <v>0</v>
      </c>
      <c r="P55" s="59">
        <v>1.1299999999999999</v>
      </c>
      <c r="Q55" s="59">
        <v>26.56</v>
      </c>
      <c r="R55" s="197"/>
      <c r="S55" s="197"/>
      <c r="T55" s="197"/>
      <c r="U55" s="197"/>
    </row>
    <row r="56" spans="1:21" s="12" customFormat="1" x14ac:dyDescent="0.25">
      <c r="A56" s="200" t="s">
        <v>870</v>
      </c>
      <c r="B56" s="59">
        <v>6.03</v>
      </c>
      <c r="C56" s="59">
        <v>114.38</v>
      </c>
      <c r="D56" s="59">
        <v>67.959999999999994</v>
      </c>
      <c r="E56" s="59">
        <v>3.54</v>
      </c>
      <c r="F56" s="59">
        <v>3.46</v>
      </c>
      <c r="G56" s="59">
        <v>86.24</v>
      </c>
      <c r="H56" s="59">
        <v>39.22</v>
      </c>
      <c r="I56" s="59">
        <v>0.59</v>
      </c>
      <c r="J56" s="59">
        <v>1.91</v>
      </c>
      <c r="K56" s="59">
        <v>36</v>
      </c>
      <c r="L56" s="59">
        <v>35.67</v>
      </c>
      <c r="M56" s="59">
        <v>19.940000000000001</v>
      </c>
      <c r="N56" s="59">
        <v>525.20000000000005</v>
      </c>
      <c r="O56" s="59">
        <v>0</v>
      </c>
      <c r="P56" s="59">
        <v>1.06</v>
      </c>
      <c r="Q56" s="59">
        <v>26.53</v>
      </c>
      <c r="R56" s="197"/>
      <c r="S56" s="197"/>
      <c r="T56" s="197"/>
      <c r="U56" s="197"/>
    </row>
    <row r="57" spans="1:21" s="12" customFormat="1" x14ac:dyDescent="0.25">
      <c r="A57" s="200" t="s">
        <v>871</v>
      </c>
      <c r="B57" s="59">
        <v>4.5599999999999996</v>
      </c>
      <c r="C57" s="59">
        <v>113.13</v>
      </c>
      <c r="D57" s="59">
        <v>66.09</v>
      </c>
      <c r="E57" s="59">
        <v>5.63</v>
      </c>
      <c r="F57" s="59">
        <v>3.8</v>
      </c>
      <c r="G57" s="59">
        <v>71.61</v>
      </c>
      <c r="H57" s="59">
        <v>32.53</v>
      </c>
      <c r="I57" s="59">
        <v>0.57999999999999996</v>
      </c>
      <c r="J57" s="59">
        <v>1.78</v>
      </c>
      <c r="K57" s="59">
        <v>29.14</v>
      </c>
      <c r="L57" s="59">
        <v>35.54</v>
      </c>
      <c r="M57" s="59">
        <v>19.87</v>
      </c>
      <c r="N57" s="59">
        <v>474.9</v>
      </c>
      <c r="O57" s="59">
        <v>0</v>
      </c>
      <c r="P57" s="59">
        <v>1.05</v>
      </c>
      <c r="Q57" s="59">
        <v>26.3</v>
      </c>
      <c r="R57" s="197"/>
      <c r="S57" s="197"/>
      <c r="T57" s="197"/>
      <c r="U57" s="197"/>
    </row>
    <row r="58" spans="1:21" s="12" customFormat="1" x14ac:dyDescent="0.25">
      <c r="A58" s="200" t="s">
        <v>872</v>
      </c>
      <c r="B58" s="59">
        <v>3.49</v>
      </c>
      <c r="C58" s="59">
        <v>111.55</v>
      </c>
      <c r="D58" s="59">
        <v>64.36</v>
      </c>
      <c r="E58" s="59">
        <v>5.67</v>
      </c>
      <c r="F58" s="59">
        <v>4.0599999999999996</v>
      </c>
      <c r="G58" s="59">
        <v>71.28</v>
      </c>
      <c r="H58" s="59">
        <v>32.380000000000003</v>
      </c>
      <c r="I58" s="59">
        <v>0.56000000000000005</v>
      </c>
      <c r="J58" s="59">
        <v>0.91</v>
      </c>
      <c r="K58" s="59">
        <v>29.42</v>
      </c>
      <c r="L58" s="59">
        <v>36.04</v>
      </c>
      <c r="M58" s="59">
        <v>19.39</v>
      </c>
      <c r="N58" s="59">
        <v>471.8</v>
      </c>
      <c r="O58" s="59">
        <v>0</v>
      </c>
      <c r="P58" s="59">
        <v>1.03</v>
      </c>
      <c r="Q58" s="59">
        <v>26.33</v>
      </c>
      <c r="R58" s="197"/>
      <c r="S58" s="197"/>
      <c r="T58" s="197"/>
      <c r="U58" s="197"/>
    </row>
    <row r="59" spans="1:21" s="12" customFormat="1" x14ac:dyDescent="0.25">
      <c r="A59" s="200" t="s">
        <v>873</v>
      </c>
      <c r="B59" s="59">
        <v>2.98</v>
      </c>
      <c r="C59" s="59">
        <v>110.66</v>
      </c>
      <c r="D59" s="59">
        <v>63.46</v>
      </c>
      <c r="E59" s="59">
        <v>5.77</v>
      </c>
      <c r="F59" s="59">
        <v>3.88</v>
      </c>
      <c r="G59" s="59">
        <v>71.28</v>
      </c>
      <c r="H59" s="59">
        <v>32.380000000000003</v>
      </c>
      <c r="I59" s="59">
        <v>0.56000000000000005</v>
      </c>
      <c r="J59" s="59">
        <v>1.37</v>
      </c>
      <c r="K59" s="59">
        <v>23.76</v>
      </c>
      <c r="L59" s="59">
        <v>36.6</v>
      </c>
      <c r="M59" s="59">
        <v>18.97</v>
      </c>
      <c r="N59" s="59">
        <v>475.2</v>
      </c>
      <c r="O59" s="59">
        <v>0</v>
      </c>
      <c r="P59" s="59">
        <v>1.04</v>
      </c>
      <c r="Q59" s="59">
        <v>26.43</v>
      </c>
      <c r="R59" s="197"/>
      <c r="S59" s="197"/>
      <c r="T59" s="197"/>
      <c r="U59" s="197"/>
    </row>
    <row r="60" spans="1:21" s="12" customFormat="1" x14ac:dyDescent="0.25">
      <c r="A60" s="200" t="s">
        <v>874</v>
      </c>
      <c r="B60" s="59">
        <v>2.8</v>
      </c>
      <c r="C60" s="59">
        <v>110.73</v>
      </c>
      <c r="D60" s="59">
        <v>63.35</v>
      </c>
      <c r="E60" s="59">
        <v>6.26</v>
      </c>
      <c r="F60" s="59">
        <v>3.97</v>
      </c>
      <c r="G60" s="59">
        <v>71.28</v>
      </c>
      <c r="H60" s="59">
        <v>32.380000000000003</v>
      </c>
      <c r="I60" s="59">
        <v>0.57999999999999996</v>
      </c>
      <c r="J60" s="59">
        <v>1.34</v>
      </c>
      <c r="K60" s="59">
        <v>33.68</v>
      </c>
      <c r="L60" s="59">
        <v>36.79</v>
      </c>
      <c r="M60" s="59">
        <v>18.809999999999999</v>
      </c>
      <c r="N60" s="59">
        <v>461.4</v>
      </c>
      <c r="O60" s="59">
        <v>0</v>
      </c>
      <c r="P60" s="59">
        <v>1.03</v>
      </c>
      <c r="Q60" s="59">
        <v>27.86</v>
      </c>
      <c r="R60" s="197"/>
      <c r="S60" s="197"/>
      <c r="T60" s="197"/>
      <c r="U60" s="197"/>
    </row>
    <row r="61" spans="1:21" s="12" customFormat="1" x14ac:dyDescent="0.25">
      <c r="A61" s="200" t="s">
        <v>875</v>
      </c>
      <c r="B61" s="59">
        <v>2.52</v>
      </c>
      <c r="C61" s="59">
        <v>110.44</v>
      </c>
      <c r="D61" s="59">
        <v>62.97</v>
      </c>
      <c r="E61" s="59">
        <v>5.75</v>
      </c>
      <c r="F61" s="59">
        <v>4.1399999999999997</v>
      </c>
      <c r="G61" s="10" t="s">
        <v>43</v>
      </c>
      <c r="H61" s="10" t="s">
        <v>43</v>
      </c>
      <c r="I61" s="59">
        <v>0.57999999999999996</v>
      </c>
      <c r="J61" s="59">
        <v>1.1399999999999999</v>
      </c>
      <c r="K61" s="59">
        <v>17.36</v>
      </c>
      <c r="L61" s="59">
        <v>36.76</v>
      </c>
      <c r="M61" s="59">
        <v>19.07</v>
      </c>
      <c r="N61" s="59">
        <v>467.3</v>
      </c>
      <c r="O61" s="59">
        <v>0</v>
      </c>
      <c r="P61" s="59">
        <v>0.97</v>
      </c>
      <c r="Q61" s="59">
        <v>28.63</v>
      </c>
      <c r="R61" s="197"/>
      <c r="S61" s="197"/>
      <c r="T61" s="197"/>
      <c r="U61" s="197"/>
    </row>
    <row r="62" spans="1:21" s="12" customFormat="1" x14ac:dyDescent="0.25">
      <c r="A62" s="200" t="s">
        <v>876</v>
      </c>
      <c r="B62" s="59">
        <v>1.91</v>
      </c>
      <c r="C62" s="59">
        <v>108.24</v>
      </c>
      <c r="D62" s="59">
        <v>61.26</v>
      </c>
      <c r="E62" s="59">
        <v>5.58</v>
      </c>
      <c r="F62" s="59">
        <v>4.3499999999999996</v>
      </c>
      <c r="G62" s="10" t="s">
        <v>43</v>
      </c>
      <c r="H62" s="10" t="s">
        <v>43</v>
      </c>
      <c r="I62" s="59">
        <v>0.6</v>
      </c>
      <c r="J62" s="59">
        <v>1.31</v>
      </c>
      <c r="K62" s="59">
        <v>20.27</v>
      </c>
      <c r="L62" s="59">
        <v>36.96</v>
      </c>
      <c r="M62" s="59">
        <v>18.53</v>
      </c>
      <c r="N62" s="59">
        <v>473.4</v>
      </c>
      <c r="O62" s="59">
        <v>0</v>
      </c>
      <c r="P62" s="59">
        <v>0.98</v>
      </c>
      <c r="Q62" s="59">
        <v>28.71</v>
      </c>
      <c r="R62" s="197"/>
      <c r="S62" s="197"/>
      <c r="T62" s="197"/>
      <c r="U62" s="197"/>
    </row>
    <row r="63" spans="1:21" s="12" customFormat="1" x14ac:dyDescent="0.25">
      <c r="A63" s="200" t="s">
        <v>877</v>
      </c>
      <c r="B63" s="59">
        <v>1.54</v>
      </c>
      <c r="C63" s="59">
        <v>106.21</v>
      </c>
      <c r="D63" s="59">
        <v>59.85</v>
      </c>
      <c r="E63" s="59">
        <v>6.9</v>
      </c>
      <c r="F63" s="59">
        <v>4.5199999999999996</v>
      </c>
      <c r="G63" s="10" t="s">
        <v>43</v>
      </c>
      <c r="H63" s="10" t="s">
        <v>43</v>
      </c>
      <c r="I63" s="59">
        <v>0.59</v>
      </c>
      <c r="J63" s="59">
        <v>1.41</v>
      </c>
      <c r="K63" s="59">
        <v>27.49</v>
      </c>
      <c r="L63" s="59">
        <v>36.67</v>
      </c>
      <c r="M63" s="59">
        <v>18.97</v>
      </c>
      <c r="N63" s="59">
        <v>469.5</v>
      </c>
      <c r="O63" s="59">
        <v>0</v>
      </c>
      <c r="P63" s="59">
        <v>0.95</v>
      </c>
      <c r="Q63" s="59">
        <v>28.63</v>
      </c>
      <c r="R63" s="197"/>
      <c r="S63" s="197"/>
      <c r="T63" s="197"/>
      <c r="U63" s="197"/>
    </row>
    <row r="64" spans="1:21" s="12" customFormat="1" x14ac:dyDescent="0.25">
      <c r="A64" s="200" t="s">
        <v>878</v>
      </c>
      <c r="B64" s="59">
        <v>1.22</v>
      </c>
      <c r="C64" s="59">
        <v>103.43</v>
      </c>
      <c r="D64" s="59">
        <v>58.06</v>
      </c>
      <c r="E64" s="59">
        <v>6.26</v>
      </c>
      <c r="F64" s="59">
        <v>4.54</v>
      </c>
      <c r="G64" s="10" t="s">
        <v>43</v>
      </c>
      <c r="H64" s="10" t="s">
        <v>43</v>
      </c>
      <c r="I64" s="59">
        <v>0.56999999999999995</v>
      </c>
      <c r="J64" s="59">
        <v>1.45</v>
      </c>
      <c r="K64" s="59">
        <v>22.81</v>
      </c>
      <c r="L64" s="59">
        <v>36.049999999999997</v>
      </c>
      <c r="M64" s="59">
        <v>20.37</v>
      </c>
      <c r="N64" s="59">
        <v>468.3</v>
      </c>
      <c r="O64" s="59">
        <v>0</v>
      </c>
      <c r="P64" s="59">
        <v>0.91</v>
      </c>
      <c r="Q64" s="59">
        <v>28.38</v>
      </c>
      <c r="R64" s="197"/>
      <c r="S64" s="197"/>
      <c r="T64" s="197"/>
      <c r="U64" s="197"/>
    </row>
    <row r="65" spans="1:21" s="12" customFormat="1" x14ac:dyDescent="0.25">
      <c r="A65" s="200" t="s">
        <v>879</v>
      </c>
      <c r="B65" s="59">
        <v>1.1399999999999999</v>
      </c>
      <c r="C65" s="59">
        <v>102.15</v>
      </c>
      <c r="D65" s="59">
        <v>57.29</v>
      </c>
      <c r="E65" s="59">
        <v>5.99</v>
      </c>
      <c r="F65" s="59">
        <v>4.5</v>
      </c>
      <c r="G65" s="59">
        <v>158.78</v>
      </c>
      <c r="H65" s="59">
        <v>27.28</v>
      </c>
      <c r="I65" s="59">
        <v>0.56000000000000005</v>
      </c>
      <c r="J65" s="59">
        <v>1.42</v>
      </c>
      <c r="K65" s="59">
        <v>32.65</v>
      </c>
      <c r="L65" s="59">
        <v>36.39</v>
      </c>
      <c r="M65" s="59">
        <v>19.88</v>
      </c>
      <c r="N65" s="59">
        <v>468.5</v>
      </c>
      <c r="O65" s="59">
        <v>0</v>
      </c>
      <c r="P65" s="59">
        <v>0.89</v>
      </c>
      <c r="Q65" s="59">
        <v>27.81</v>
      </c>
      <c r="R65" s="197"/>
      <c r="S65" s="197"/>
      <c r="T65" s="197"/>
      <c r="U65" s="197"/>
    </row>
    <row r="66" spans="1:21" s="12" customFormat="1" x14ac:dyDescent="0.25">
      <c r="A66" s="200" t="s">
        <v>880</v>
      </c>
      <c r="B66" s="59">
        <v>1.23</v>
      </c>
      <c r="C66" s="59">
        <v>100.96</v>
      </c>
      <c r="D66" s="59">
        <v>56.7</v>
      </c>
      <c r="E66" s="59">
        <v>5.54</v>
      </c>
      <c r="F66" s="59">
        <v>4.74</v>
      </c>
      <c r="G66" s="59">
        <v>162.38999999999999</v>
      </c>
      <c r="H66" s="59">
        <v>27.27</v>
      </c>
      <c r="I66" s="59">
        <v>0.56999999999999995</v>
      </c>
      <c r="J66" s="59">
        <v>1.1299999999999999</v>
      </c>
      <c r="K66" s="59">
        <v>14.93</v>
      </c>
      <c r="L66" s="59">
        <v>36.28</v>
      </c>
      <c r="M66" s="59">
        <v>19.350000000000001</v>
      </c>
      <c r="N66" s="59">
        <v>461.1</v>
      </c>
      <c r="O66" s="59">
        <v>0</v>
      </c>
      <c r="P66" s="59">
        <v>0.88</v>
      </c>
      <c r="Q66" s="59">
        <v>27.62</v>
      </c>
      <c r="R66" s="197"/>
      <c r="S66" s="197"/>
      <c r="T66" s="197"/>
      <c r="U66" s="197"/>
    </row>
    <row r="67" spans="1:21" s="12" customFormat="1" x14ac:dyDescent="0.25">
      <c r="A67" s="200" t="s">
        <v>881</v>
      </c>
      <c r="B67" s="59">
        <v>1.3</v>
      </c>
      <c r="C67" s="59">
        <v>99.68</v>
      </c>
      <c r="D67" s="59">
        <v>56.05</v>
      </c>
      <c r="E67" s="59">
        <v>5.33</v>
      </c>
      <c r="F67" s="59">
        <v>4.3899999999999997</v>
      </c>
      <c r="G67" s="59">
        <v>162.38999999999999</v>
      </c>
      <c r="H67" s="59">
        <v>27.27</v>
      </c>
      <c r="I67" s="59">
        <v>0.56000000000000005</v>
      </c>
      <c r="J67" s="59">
        <v>1.48</v>
      </c>
      <c r="K67" s="59">
        <v>23.71</v>
      </c>
      <c r="L67" s="59">
        <v>36.200000000000003</v>
      </c>
      <c r="M67" s="59">
        <v>18.96</v>
      </c>
      <c r="N67" s="59">
        <v>445.7</v>
      </c>
      <c r="O67" s="59">
        <v>0</v>
      </c>
      <c r="P67" s="59">
        <v>0.85</v>
      </c>
      <c r="Q67" s="59">
        <v>27.36</v>
      </c>
      <c r="R67" s="197"/>
      <c r="S67" s="197"/>
      <c r="T67" s="197"/>
      <c r="U67" s="197"/>
    </row>
    <row r="68" spans="1:21" s="12" customFormat="1" x14ac:dyDescent="0.25">
      <c r="A68" s="200" t="s">
        <v>882</v>
      </c>
      <c r="B68" s="59">
        <v>1.46</v>
      </c>
      <c r="C68" s="59">
        <v>99.37</v>
      </c>
      <c r="D68" s="59">
        <v>56.01</v>
      </c>
      <c r="E68" s="59">
        <v>5.59</v>
      </c>
      <c r="F68" s="59">
        <v>4.4800000000000004</v>
      </c>
      <c r="G68" s="59">
        <v>162.38999999999999</v>
      </c>
      <c r="H68" s="59">
        <v>27.27</v>
      </c>
      <c r="I68" s="59">
        <v>0.55000000000000004</v>
      </c>
      <c r="J68" s="59">
        <v>1.25</v>
      </c>
      <c r="K68" s="59">
        <v>27.68</v>
      </c>
      <c r="L68" s="59">
        <v>36.049999999999997</v>
      </c>
      <c r="M68" s="59">
        <v>18.88</v>
      </c>
      <c r="N68" s="59">
        <v>411.3</v>
      </c>
      <c r="O68" s="59">
        <v>0</v>
      </c>
      <c r="P68" s="59">
        <v>0.79</v>
      </c>
      <c r="Q68" s="59">
        <v>26.56</v>
      </c>
      <c r="R68" s="197"/>
      <c r="S68" s="197"/>
      <c r="T68" s="197"/>
      <c r="U68" s="197"/>
    </row>
    <row r="69" spans="1:21" s="12" customFormat="1" x14ac:dyDescent="0.25">
      <c r="A69" s="200" t="s">
        <v>883</v>
      </c>
      <c r="B69" s="59">
        <v>1.67</v>
      </c>
      <c r="C69" s="59">
        <v>99.58</v>
      </c>
      <c r="D69" s="59">
        <v>56.3</v>
      </c>
      <c r="E69" s="59">
        <v>4.8099999999999996</v>
      </c>
      <c r="F69" s="59">
        <v>4.33</v>
      </c>
      <c r="G69" s="59">
        <v>40.78</v>
      </c>
      <c r="H69" s="59">
        <v>23.62</v>
      </c>
      <c r="I69" s="59">
        <v>0.55000000000000004</v>
      </c>
      <c r="J69" s="59">
        <v>1.7</v>
      </c>
      <c r="K69" s="59">
        <v>30.98</v>
      </c>
      <c r="L69" s="59">
        <v>35.700000000000003</v>
      </c>
      <c r="M69" s="59">
        <v>19.190000000000001</v>
      </c>
      <c r="N69" s="59">
        <v>373.2</v>
      </c>
      <c r="O69" s="59">
        <v>0</v>
      </c>
      <c r="P69" s="59">
        <v>0.81</v>
      </c>
      <c r="Q69" s="59">
        <v>26.25</v>
      </c>
      <c r="R69" s="197"/>
      <c r="S69" s="197"/>
      <c r="T69" s="197"/>
      <c r="U69" s="197"/>
    </row>
    <row r="70" spans="1:21" s="12" customFormat="1" x14ac:dyDescent="0.25">
      <c r="A70" s="200" t="s">
        <v>884</v>
      </c>
      <c r="B70" s="59">
        <v>1.68</v>
      </c>
      <c r="C70" s="59">
        <v>98.71</v>
      </c>
      <c r="D70" s="59">
        <v>55.82</v>
      </c>
      <c r="E70" s="59">
        <v>5.49</v>
      </c>
      <c r="F70" s="59">
        <v>4.3899999999999997</v>
      </c>
      <c r="G70" s="59">
        <v>38.01</v>
      </c>
      <c r="H70" s="59">
        <v>23.54</v>
      </c>
      <c r="I70" s="59">
        <v>0.53</v>
      </c>
      <c r="J70" s="59">
        <v>1.5</v>
      </c>
      <c r="K70" s="59">
        <v>31.94</v>
      </c>
      <c r="L70" s="59">
        <v>35.229999999999997</v>
      </c>
      <c r="M70" s="59">
        <v>20.13</v>
      </c>
      <c r="N70" s="59">
        <v>327.10000000000002</v>
      </c>
      <c r="O70" s="59">
        <v>0</v>
      </c>
      <c r="P70" s="59">
        <v>0.81</v>
      </c>
      <c r="Q70" s="59">
        <v>26.08</v>
      </c>
      <c r="R70" s="197"/>
      <c r="S70" s="197"/>
      <c r="T70" s="197"/>
      <c r="U70" s="197"/>
    </row>
    <row r="71" spans="1:21" s="12" customFormat="1" x14ac:dyDescent="0.25">
      <c r="A71" s="200" t="s">
        <v>885</v>
      </c>
      <c r="B71" s="59">
        <v>1.92</v>
      </c>
      <c r="C71" s="59">
        <v>98.62</v>
      </c>
      <c r="D71" s="59">
        <v>55.97</v>
      </c>
      <c r="E71" s="59">
        <v>5.38</v>
      </c>
      <c r="F71" s="59">
        <v>4.24</v>
      </c>
      <c r="G71" s="59">
        <v>38.01</v>
      </c>
      <c r="H71" s="59">
        <v>23.54</v>
      </c>
      <c r="I71" s="59">
        <v>0.54</v>
      </c>
      <c r="J71" s="59">
        <v>1.71</v>
      </c>
      <c r="K71" s="59">
        <v>30.99</v>
      </c>
      <c r="L71" s="59">
        <v>34.65</v>
      </c>
      <c r="M71" s="59">
        <v>21.32</v>
      </c>
      <c r="N71" s="59">
        <v>279.10000000000002</v>
      </c>
      <c r="O71" s="59">
        <v>0</v>
      </c>
      <c r="P71" s="59">
        <v>0.79</v>
      </c>
      <c r="Q71" s="59">
        <v>26.23</v>
      </c>
      <c r="R71" s="197"/>
      <c r="S71" s="197"/>
      <c r="T71" s="197"/>
      <c r="U71" s="197"/>
    </row>
    <row r="72" spans="1:21" s="12" customFormat="1" x14ac:dyDescent="0.25">
      <c r="A72" s="200" t="s">
        <v>886</v>
      </c>
      <c r="B72" s="59">
        <v>2.04</v>
      </c>
      <c r="C72" s="59">
        <v>98.73</v>
      </c>
      <c r="D72" s="59">
        <v>56.12</v>
      </c>
      <c r="E72" s="59">
        <v>4.1399999999999997</v>
      </c>
      <c r="F72" s="59">
        <v>3.93</v>
      </c>
      <c r="G72" s="59">
        <v>38.01</v>
      </c>
      <c r="H72" s="59">
        <v>23.54</v>
      </c>
      <c r="I72" s="59">
        <v>0.53</v>
      </c>
      <c r="J72" s="59">
        <v>1.51</v>
      </c>
      <c r="K72" s="59">
        <v>24.77</v>
      </c>
      <c r="L72" s="59">
        <v>33.97</v>
      </c>
      <c r="M72" s="59">
        <v>21.97</v>
      </c>
      <c r="N72" s="59">
        <v>127.1</v>
      </c>
      <c r="O72" s="59">
        <v>0</v>
      </c>
      <c r="P72" s="59">
        <v>0.81</v>
      </c>
      <c r="Q72" s="59">
        <v>26.2</v>
      </c>
      <c r="R72" s="197"/>
      <c r="S72" s="197"/>
      <c r="T72" s="197"/>
      <c r="U72" s="197"/>
    </row>
    <row r="73" spans="1:21" s="12" customFormat="1" x14ac:dyDescent="0.25">
      <c r="A73" s="200" t="s">
        <v>887</v>
      </c>
      <c r="B73" s="59">
        <v>1.98</v>
      </c>
      <c r="C73" s="59">
        <v>99.42</v>
      </c>
      <c r="D73" s="59">
        <v>56.45</v>
      </c>
      <c r="E73" s="59">
        <v>5.34</v>
      </c>
      <c r="F73" s="59">
        <v>3.95</v>
      </c>
      <c r="G73" s="10" t="s">
        <v>43</v>
      </c>
      <c r="H73" s="10" t="s">
        <v>43</v>
      </c>
      <c r="I73" s="59">
        <v>0.55000000000000004</v>
      </c>
      <c r="J73" s="59">
        <v>1.48</v>
      </c>
      <c r="K73" s="59">
        <v>23.56</v>
      </c>
      <c r="L73" s="59">
        <v>33.549999999999997</v>
      </c>
      <c r="M73" s="59">
        <v>21.73</v>
      </c>
      <c r="N73" s="59">
        <v>128</v>
      </c>
      <c r="O73" s="59">
        <v>0</v>
      </c>
      <c r="P73" s="59">
        <v>0.76</v>
      </c>
      <c r="Q73" s="59">
        <v>26.26</v>
      </c>
      <c r="R73" s="197"/>
      <c r="S73" s="197"/>
      <c r="T73" s="197"/>
      <c r="U73" s="197"/>
    </row>
    <row r="74" spans="1:21" s="12" customFormat="1" x14ac:dyDescent="0.25">
      <c r="A74" s="200" t="s">
        <v>888</v>
      </c>
      <c r="B74" s="59">
        <v>1.92</v>
      </c>
      <c r="C74" s="59">
        <v>99.37</v>
      </c>
      <c r="D74" s="59">
        <v>56.38</v>
      </c>
      <c r="E74" s="59">
        <v>5.86</v>
      </c>
      <c r="F74" s="59">
        <v>4.3600000000000003</v>
      </c>
      <c r="G74" s="10" t="s">
        <v>43</v>
      </c>
      <c r="H74" s="10" t="s">
        <v>43</v>
      </c>
      <c r="I74" s="59">
        <v>0.55000000000000004</v>
      </c>
      <c r="J74" s="59">
        <v>1.45</v>
      </c>
      <c r="K74" s="59">
        <v>17.63</v>
      </c>
      <c r="L74" s="59">
        <v>32.840000000000003</v>
      </c>
      <c r="M74" s="59">
        <v>22.48</v>
      </c>
      <c r="N74" s="59">
        <v>105.9</v>
      </c>
      <c r="O74" s="59">
        <v>0</v>
      </c>
      <c r="P74" s="59">
        <v>0.79</v>
      </c>
      <c r="Q74" s="59">
        <v>27.32</v>
      </c>
      <c r="R74" s="197"/>
      <c r="S74" s="197"/>
      <c r="T74" s="197"/>
      <c r="U74" s="197"/>
    </row>
    <row r="75" spans="1:21" s="12" customFormat="1" x14ac:dyDescent="0.25">
      <c r="A75" s="200" t="s">
        <v>889</v>
      </c>
      <c r="B75" s="59">
        <v>1.54</v>
      </c>
      <c r="C75" s="59">
        <v>97.94</v>
      </c>
      <c r="D75" s="59">
        <v>55.28</v>
      </c>
      <c r="E75" s="59">
        <v>6.18</v>
      </c>
      <c r="F75" s="59">
        <v>4.74</v>
      </c>
      <c r="G75" s="10" t="s">
        <v>43</v>
      </c>
      <c r="H75" s="10" t="s">
        <v>43</v>
      </c>
      <c r="I75" s="59">
        <v>0.56999999999999995</v>
      </c>
      <c r="J75" s="59">
        <v>1.34</v>
      </c>
      <c r="K75" s="59">
        <v>8.44</v>
      </c>
      <c r="L75" s="59">
        <v>32.18</v>
      </c>
      <c r="M75" s="59">
        <v>23.13</v>
      </c>
      <c r="N75" s="59">
        <v>77.099999999999994</v>
      </c>
      <c r="O75" s="59">
        <v>0</v>
      </c>
      <c r="P75" s="59">
        <v>0.78</v>
      </c>
      <c r="Q75" s="59">
        <v>28.38</v>
      </c>
      <c r="R75" s="197"/>
      <c r="S75" s="197"/>
      <c r="T75" s="197"/>
      <c r="U75" s="197"/>
    </row>
    <row r="76" spans="1:21" s="12" customFormat="1" x14ac:dyDescent="0.25">
      <c r="A76" s="200" t="s">
        <v>890</v>
      </c>
      <c r="B76" s="59">
        <v>1.1200000000000001</v>
      </c>
      <c r="C76" s="59">
        <v>96.08</v>
      </c>
      <c r="D76" s="59">
        <v>53.93</v>
      </c>
      <c r="E76" s="59">
        <v>5.47</v>
      </c>
      <c r="F76" s="59">
        <v>4.71</v>
      </c>
      <c r="G76" s="10" t="s">
        <v>43</v>
      </c>
      <c r="H76" s="10" t="s">
        <v>43</v>
      </c>
      <c r="I76" s="59">
        <v>0.56000000000000005</v>
      </c>
      <c r="J76" s="59">
        <v>1.2</v>
      </c>
      <c r="K76" s="59">
        <v>22.4</v>
      </c>
      <c r="L76" s="59">
        <v>31.64</v>
      </c>
      <c r="M76" s="59">
        <v>23.73</v>
      </c>
      <c r="N76" s="59">
        <v>59.6</v>
      </c>
      <c r="O76" s="59">
        <v>0</v>
      </c>
      <c r="P76" s="59">
        <v>0.76</v>
      </c>
      <c r="Q76" s="59">
        <v>28.63</v>
      </c>
      <c r="R76" s="197"/>
      <c r="S76" s="197"/>
      <c r="T76" s="197"/>
      <c r="U76" s="197"/>
    </row>
    <row r="77" spans="1:21" s="12" customFormat="1" x14ac:dyDescent="0.25">
      <c r="A77" s="200" t="s">
        <v>891</v>
      </c>
      <c r="B77" s="59">
        <v>1.1200000000000001</v>
      </c>
      <c r="C77" s="59">
        <v>95.76</v>
      </c>
      <c r="D77" s="59">
        <v>53.75</v>
      </c>
      <c r="E77" s="59">
        <v>5.89</v>
      </c>
      <c r="F77" s="59">
        <v>4.71</v>
      </c>
      <c r="G77" s="10" t="s">
        <v>43</v>
      </c>
      <c r="H77" s="10" t="s">
        <v>43</v>
      </c>
      <c r="I77" s="59">
        <v>0.55000000000000004</v>
      </c>
      <c r="J77" s="59">
        <v>1.2</v>
      </c>
      <c r="K77" s="59">
        <v>20.39</v>
      </c>
      <c r="L77" s="59">
        <v>31.1</v>
      </c>
      <c r="M77" s="59">
        <v>24.54</v>
      </c>
      <c r="N77" s="59">
        <v>42.5</v>
      </c>
      <c r="O77" s="59">
        <v>0</v>
      </c>
      <c r="P77" s="59">
        <v>0.76</v>
      </c>
      <c r="Q77" s="59">
        <v>28.15</v>
      </c>
      <c r="R77" s="197"/>
      <c r="S77" s="197"/>
      <c r="T77" s="197"/>
      <c r="U77" s="197"/>
    </row>
    <row r="78" spans="1:21" s="12" customFormat="1" x14ac:dyDescent="0.25">
      <c r="A78" s="200" t="s">
        <v>892</v>
      </c>
      <c r="B78" s="59">
        <v>1.34</v>
      </c>
      <c r="C78" s="59">
        <v>96.31</v>
      </c>
      <c r="D78" s="59">
        <v>54.23</v>
      </c>
      <c r="E78" s="59">
        <v>5.52</v>
      </c>
      <c r="F78" s="59">
        <v>4.45</v>
      </c>
      <c r="G78" s="10" t="s">
        <v>43</v>
      </c>
      <c r="H78" s="10" t="s">
        <v>43</v>
      </c>
      <c r="I78" s="59">
        <v>0.55000000000000004</v>
      </c>
      <c r="J78" s="59">
        <v>1.1200000000000001</v>
      </c>
      <c r="K78" s="59">
        <v>15.3</v>
      </c>
      <c r="L78" s="59">
        <v>30.68</v>
      </c>
      <c r="M78" s="59">
        <v>25.79</v>
      </c>
      <c r="N78" s="59">
        <v>34.299999999999997</v>
      </c>
      <c r="O78" s="59">
        <v>0</v>
      </c>
      <c r="P78" s="59">
        <v>0.77</v>
      </c>
      <c r="Q78" s="59">
        <v>28.36</v>
      </c>
      <c r="R78" s="197"/>
      <c r="S78" s="197"/>
      <c r="T78" s="197"/>
      <c r="U78" s="197"/>
    </row>
    <row r="79" spans="1:21" s="12" customFormat="1" x14ac:dyDescent="0.25">
      <c r="A79" s="200" t="s">
        <v>893</v>
      </c>
      <c r="B79" s="59">
        <v>1.54</v>
      </c>
      <c r="C79" s="59">
        <v>97.59</v>
      </c>
      <c r="D79" s="59">
        <v>55.1</v>
      </c>
      <c r="E79" s="59">
        <v>5.24</v>
      </c>
      <c r="F79" s="59">
        <v>4.1100000000000003</v>
      </c>
      <c r="G79" s="10" t="s">
        <v>43</v>
      </c>
      <c r="H79" s="10" t="s">
        <v>43</v>
      </c>
      <c r="I79" s="59">
        <v>0.55000000000000004</v>
      </c>
      <c r="J79" s="59">
        <v>0.89</v>
      </c>
      <c r="K79" s="59">
        <v>10.029999999999999</v>
      </c>
      <c r="L79" s="59">
        <v>30.3</v>
      </c>
      <c r="M79" s="59">
        <v>26.51</v>
      </c>
      <c r="N79" s="59">
        <v>18.600000000000001</v>
      </c>
      <c r="O79" s="59">
        <v>0</v>
      </c>
      <c r="P79" s="59">
        <v>0.78</v>
      </c>
      <c r="Q79" s="59">
        <v>28.44</v>
      </c>
      <c r="R79" s="197"/>
      <c r="S79" s="197"/>
      <c r="T79" s="197"/>
      <c r="U79" s="197"/>
    </row>
    <row r="80" spans="1:21" s="12" customFormat="1" x14ac:dyDescent="0.25">
      <c r="A80" s="200" t="s">
        <v>894</v>
      </c>
      <c r="B80" s="59">
        <v>1.47</v>
      </c>
      <c r="C80" s="59">
        <v>98.57</v>
      </c>
      <c r="D80" s="59">
        <v>55.58</v>
      </c>
      <c r="E80" s="59">
        <v>5.03</v>
      </c>
      <c r="F80" s="59">
        <v>4.0999999999999996</v>
      </c>
      <c r="G80" s="10" t="s">
        <v>43</v>
      </c>
      <c r="H80" s="10" t="s">
        <v>43</v>
      </c>
      <c r="I80" s="59">
        <v>0.56999999999999995</v>
      </c>
      <c r="J80" s="59">
        <v>0.69</v>
      </c>
      <c r="K80" s="59">
        <v>10.89</v>
      </c>
      <c r="L80" s="59">
        <v>29.73</v>
      </c>
      <c r="M80" s="59">
        <v>27.83</v>
      </c>
      <c r="N80" s="59">
        <v>9.1</v>
      </c>
      <c r="O80" s="59">
        <v>0</v>
      </c>
      <c r="P80" s="59">
        <v>0.79</v>
      </c>
      <c r="Q80" s="59">
        <v>28.2</v>
      </c>
      <c r="R80" s="197"/>
      <c r="S80" s="197"/>
      <c r="T80" s="197"/>
      <c r="U80" s="197"/>
    </row>
    <row r="81" spans="1:26" s="12" customFormat="1" x14ac:dyDescent="0.25">
      <c r="A81" s="200" t="s">
        <v>895</v>
      </c>
      <c r="B81" s="59">
        <v>1.59</v>
      </c>
      <c r="C81" s="59">
        <v>99.32</v>
      </c>
      <c r="D81" s="59">
        <v>56.08</v>
      </c>
      <c r="E81" s="59">
        <v>5.1100000000000003</v>
      </c>
      <c r="F81" s="59">
        <v>4.41</v>
      </c>
      <c r="G81" s="10" t="s">
        <v>43</v>
      </c>
      <c r="H81" s="10" t="s">
        <v>43</v>
      </c>
      <c r="I81" s="59">
        <v>0.56999999999999995</v>
      </c>
      <c r="J81" s="59">
        <v>1.01</v>
      </c>
      <c r="K81" s="59">
        <v>17.97</v>
      </c>
      <c r="L81" s="59">
        <v>29.37</v>
      </c>
      <c r="M81" s="59">
        <v>28.28</v>
      </c>
      <c r="N81" s="59">
        <v>5.0999999999999996</v>
      </c>
      <c r="O81" s="59">
        <v>0</v>
      </c>
      <c r="P81" s="59">
        <v>0.91</v>
      </c>
      <c r="Q81" s="59">
        <v>27.63</v>
      </c>
      <c r="R81" s="197"/>
      <c r="S81" s="197"/>
      <c r="T81" s="197"/>
      <c r="U81" s="197"/>
    </row>
    <row r="82" spans="1:26" s="12" customFormat="1" x14ac:dyDescent="0.25">
      <c r="A82" s="200" t="s">
        <v>896</v>
      </c>
      <c r="B82" s="59">
        <v>2.09</v>
      </c>
      <c r="C82" s="59">
        <v>100.34</v>
      </c>
      <c r="D82" s="59">
        <v>57.05</v>
      </c>
      <c r="E82" s="59">
        <v>4.63</v>
      </c>
      <c r="F82" s="59">
        <v>4.08</v>
      </c>
      <c r="G82" s="10" t="s">
        <v>43</v>
      </c>
      <c r="H82" s="10" t="s">
        <v>43</v>
      </c>
      <c r="I82" s="59">
        <v>0.57999999999999996</v>
      </c>
      <c r="J82" s="59">
        <v>0.8</v>
      </c>
      <c r="K82" s="59">
        <v>36.39</v>
      </c>
      <c r="L82" s="59">
        <v>29.01</v>
      </c>
      <c r="M82" s="59">
        <v>29.11</v>
      </c>
      <c r="N82" s="59">
        <v>4.7</v>
      </c>
      <c r="O82" s="59">
        <v>0</v>
      </c>
      <c r="P82" s="59">
        <v>0.86</v>
      </c>
      <c r="Q82" s="59">
        <v>27.15</v>
      </c>
      <c r="R82" s="197"/>
      <c r="S82" s="197"/>
      <c r="T82" s="197"/>
      <c r="U82" s="197"/>
    </row>
    <row r="83" spans="1:26" s="12" customFormat="1" x14ac:dyDescent="0.25">
      <c r="A83" s="200" t="s">
        <v>897</v>
      </c>
      <c r="B83" s="59">
        <v>2.78</v>
      </c>
      <c r="C83" s="59">
        <v>102.11</v>
      </c>
      <c r="D83" s="59">
        <v>58.58</v>
      </c>
      <c r="E83" s="59">
        <v>4.59</v>
      </c>
      <c r="F83" s="59">
        <v>3.88</v>
      </c>
      <c r="G83" s="10" t="s">
        <v>43</v>
      </c>
      <c r="H83" s="10" t="s">
        <v>43</v>
      </c>
      <c r="I83" s="59">
        <v>0.57999999999999996</v>
      </c>
      <c r="J83" s="59">
        <v>0.56000000000000005</v>
      </c>
      <c r="K83" s="59">
        <v>16.32</v>
      </c>
      <c r="L83" s="59">
        <v>28.42</v>
      </c>
      <c r="M83" s="59">
        <v>31.02</v>
      </c>
      <c r="N83" s="59">
        <v>4.2</v>
      </c>
      <c r="O83" s="59">
        <v>0</v>
      </c>
      <c r="P83" s="59">
        <v>1</v>
      </c>
      <c r="Q83" s="59">
        <v>27.28</v>
      </c>
      <c r="R83" s="197"/>
      <c r="S83" s="197"/>
      <c r="T83" s="197"/>
      <c r="U83" s="197"/>
    </row>
    <row r="84" spans="1:26" s="12" customFormat="1" x14ac:dyDescent="0.25">
      <c r="A84" s="200" t="s">
        <v>898</v>
      </c>
      <c r="B84" s="59">
        <v>3.45</v>
      </c>
      <c r="C84" s="59">
        <v>103.03</v>
      </c>
      <c r="D84" s="59">
        <v>59.63</v>
      </c>
      <c r="E84" s="59">
        <v>4.95</v>
      </c>
      <c r="F84" s="59">
        <v>3.25</v>
      </c>
      <c r="G84" s="10" t="s">
        <v>43</v>
      </c>
      <c r="H84" s="10" t="s">
        <v>43</v>
      </c>
      <c r="I84" s="59">
        <v>0.56000000000000005</v>
      </c>
      <c r="J84" s="59">
        <v>0.55000000000000004</v>
      </c>
      <c r="K84" s="59">
        <v>19.739999999999998</v>
      </c>
      <c r="L84" s="59">
        <v>28.37</v>
      </c>
      <c r="M84" s="59">
        <v>30.93</v>
      </c>
      <c r="N84" s="59">
        <v>4.0999999999999996</v>
      </c>
      <c r="O84" s="59">
        <v>0</v>
      </c>
      <c r="P84" s="59">
        <v>0.85</v>
      </c>
      <c r="Q84" s="59">
        <v>27.74</v>
      </c>
      <c r="R84" s="197"/>
      <c r="S84" s="197"/>
      <c r="T84" s="197"/>
      <c r="U84" s="197"/>
    </row>
    <row r="85" spans="1:26" s="12" customFormat="1" x14ac:dyDescent="0.25">
      <c r="A85" s="200" t="s">
        <v>899</v>
      </c>
      <c r="B85" s="59">
        <v>3.59</v>
      </c>
      <c r="C85" s="59">
        <v>103.19</v>
      </c>
      <c r="D85" s="59">
        <v>59.82</v>
      </c>
      <c r="E85" s="59">
        <v>4.57</v>
      </c>
      <c r="F85" s="59">
        <v>3.31</v>
      </c>
      <c r="G85" s="10" t="s">
        <v>43</v>
      </c>
      <c r="H85" s="10" t="s">
        <v>43</v>
      </c>
      <c r="I85" s="59">
        <v>0.56000000000000005</v>
      </c>
      <c r="J85" s="59">
        <v>0.66</v>
      </c>
      <c r="K85" s="59">
        <v>19.55</v>
      </c>
      <c r="L85" s="59">
        <v>27.98</v>
      </c>
      <c r="M85" s="59">
        <v>33.18</v>
      </c>
      <c r="N85" s="59">
        <v>4.3</v>
      </c>
      <c r="O85" s="59">
        <v>0</v>
      </c>
      <c r="P85" s="59">
        <v>0.81</v>
      </c>
      <c r="Q85" s="59">
        <v>27.81</v>
      </c>
      <c r="R85" s="197"/>
      <c r="S85" s="197"/>
      <c r="T85" s="197"/>
      <c r="U85" s="197"/>
    </row>
    <row r="86" spans="1:26" s="12" customFormat="1" x14ac:dyDescent="0.25">
      <c r="A86" s="200" t="s">
        <v>900</v>
      </c>
      <c r="B86" s="59">
        <v>3.47</v>
      </c>
      <c r="C86" s="59">
        <v>102.12</v>
      </c>
      <c r="D86" s="59">
        <v>59.14</v>
      </c>
      <c r="E86" s="59">
        <v>4.76</v>
      </c>
      <c r="F86" s="59">
        <v>3.51</v>
      </c>
      <c r="G86" s="10" t="s">
        <v>43</v>
      </c>
      <c r="H86" s="10" t="s">
        <v>43</v>
      </c>
      <c r="I86" s="59">
        <v>0.56999999999999995</v>
      </c>
      <c r="J86" s="59">
        <v>0.7</v>
      </c>
      <c r="K86" s="59">
        <v>14.65</v>
      </c>
      <c r="L86" s="59">
        <v>27.61</v>
      </c>
      <c r="M86" s="59">
        <v>34.44</v>
      </c>
      <c r="N86" s="59">
        <v>4.3</v>
      </c>
      <c r="O86" s="59">
        <v>0</v>
      </c>
      <c r="P86" s="59">
        <v>0.84</v>
      </c>
      <c r="Q86" s="59">
        <v>27.83</v>
      </c>
      <c r="R86" s="197"/>
      <c r="S86" s="197"/>
      <c r="T86" s="197"/>
      <c r="U86" s="197"/>
    </row>
    <row r="87" spans="1:26" s="12" customFormat="1" x14ac:dyDescent="0.25">
      <c r="A87" s="200" t="s">
        <v>901</v>
      </c>
      <c r="B87" s="59">
        <v>3.51</v>
      </c>
      <c r="C87" s="59">
        <v>101.35</v>
      </c>
      <c r="D87" s="59">
        <v>58.74</v>
      </c>
      <c r="E87" s="59">
        <v>5.21</v>
      </c>
      <c r="F87" s="59">
        <v>3.43</v>
      </c>
      <c r="G87" s="10" t="s">
        <v>43</v>
      </c>
      <c r="H87" s="10" t="s">
        <v>43</v>
      </c>
      <c r="I87" s="59">
        <v>0.57999999999999996</v>
      </c>
      <c r="J87" s="59">
        <v>0.67</v>
      </c>
      <c r="K87" s="59">
        <v>17.73</v>
      </c>
      <c r="L87" s="59">
        <v>27.17</v>
      </c>
      <c r="M87" s="59">
        <v>36.19</v>
      </c>
      <c r="N87" s="59">
        <v>4.3</v>
      </c>
      <c r="O87" s="59">
        <v>0</v>
      </c>
      <c r="P87" s="59">
        <v>0.83</v>
      </c>
      <c r="Q87" s="59">
        <v>27.94</v>
      </c>
      <c r="R87" s="197"/>
      <c r="S87" s="197"/>
      <c r="T87" s="197"/>
      <c r="U87" s="197"/>
    </row>
    <row r="88" spans="1:26" s="12" customFormat="1" x14ac:dyDescent="0.25">
      <c r="A88" s="200" t="s">
        <v>902</v>
      </c>
      <c r="B88" s="59">
        <v>3.53</v>
      </c>
      <c r="C88" s="59">
        <v>100.76</v>
      </c>
      <c r="D88" s="59">
        <v>58.43</v>
      </c>
      <c r="E88" s="59">
        <v>3.39</v>
      </c>
      <c r="F88" s="59">
        <v>3.36</v>
      </c>
      <c r="G88" s="10" t="s">
        <v>43</v>
      </c>
      <c r="H88" s="10" t="s">
        <v>43</v>
      </c>
      <c r="I88" s="59">
        <v>0.56999999999999995</v>
      </c>
      <c r="J88" s="59">
        <v>0.92</v>
      </c>
      <c r="K88" s="59">
        <v>13.88</v>
      </c>
      <c r="L88" s="59">
        <v>26.84</v>
      </c>
      <c r="M88" s="59">
        <v>37.450000000000003</v>
      </c>
      <c r="N88" s="59">
        <v>4.2</v>
      </c>
      <c r="O88" s="59">
        <v>0</v>
      </c>
      <c r="P88" s="59">
        <v>0.82</v>
      </c>
      <c r="Q88" s="59">
        <v>28.2</v>
      </c>
      <c r="R88" s="197"/>
      <c r="S88" s="197"/>
      <c r="T88" s="197"/>
      <c r="U88" s="197"/>
    </row>
    <row r="89" spans="1:26" s="12" customFormat="1" x14ac:dyDescent="0.25">
      <c r="A89" s="200" t="s">
        <v>903</v>
      </c>
      <c r="B89" s="59">
        <v>3.2</v>
      </c>
      <c r="C89" s="59">
        <v>101.12</v>
      </c>
      <c r="D89" s="59">
        <v>58.37</v>
      </c>
      <c r="E89" s="59">
        <v>4.92</v>
      </c>
      <c r="F89" s="59">
        <v>3.34</v>
      </c>
      <c r="G89" s="10" t="s">
        <v>43</v>
      </c>
      <c r="H89" s="10" t="s">
        <v>43</v>
      </c>
      <c r="I89" s="59">
        <v>0.56999999999999995</v>
      </c>
      <c r="J89" s="59">
        <v>0.96</v>
      </c>
      <c r="K89" s="59">
        <v>13.65</v>
      </c>
      <c r="L89" s="59">
        <v>26.6</v>
      </c>
      <c r="M89" s="59">
        <v>37.82</v>
      </c>
      <c r="N89" s="59">
        <v>4</v>
      </c>
      <c r="O89" s="59">
        <v>0</v>
      </c>
      <c r="P89" s="59">
        <v>0.81</v>
      </c>
      <c r="Q89" s="59">
        <v>28.51</v>
      </c>
      <c r="R89" s="197"/>
      <c r="S89" s="197"/>
      <c r="T89" s="197"/>
      <c r="U89" s="197"/>
    </row>
    <row r="90" spans="1:26" s="12" customFormat="1" x14ac:dyDescent="0.25">
      <c r="A90" s="200" t="s">
        <v>904</v>
      </c>
      <c r="B90" s="59">
        <v>2.83</v>
      </c>
      <c r="C90" s="59">
        <v>100.53</v>
      </c>
      <c r="D90" s="59">
        <v>57.75</v>
      </c>
      <c r="E90" s="59">
        <v>5.0999999999999996</v>
      </c>
      <c r="F90" s="59">
        <v>3.71</v>
      </c>
      <c r="G90" s="10" t="s">
        <v>43</v>
      </c>
      <c r="H90" s="10" t="s">
        <v>43</v>
      </c>
      <c r="I90" s="59">
        <v>0.56999999999999995</v>
      </c>
      <c r="J90" s="59">
        <v>1.19</v>
      </c>
      <c r="K90" s="59">
        <v>10.24</v>
      </c>
      <c r="L90" s="59">
        <v>26.41</v>
      </c>
      <c r="M90" s="59">
        <v>38.24</v>
      </c>
      <c r="N90" s="59">
        <v>3.9</v>
      </c>
      <c r="O90" s="59">
        <v>0</v>
      </c>
      <c r="P90" s="59">
        <v>0.82</v>
      </c>
      <c r="Q90" s="59">
        <v>29.04</v>
      </c>
      <c r="R90" s="197"/>
      <c r="S90" s="197"/>
      <c r="T90" s="197"/>
      <c r="U90" s="197"/>
    </row>
    <row r="91" spans="1:26" s="12" customFormat="1" x14ac:dyDescent="0.25">
      <c r="A91" s="200" t="s">
        <v>905</v>
      </c>
      <c r="B91" s="59">
        <v>2.68</v>
      </c>
      <c r="C91" s="59">
        <v>100.98</v>
      </c>
      <c r="D91" s="59">
        <v>57.88</v>
      </c>
      <c r="E91" s="59">
        <v>5.13</v>
      </c>
      <c r="F91" s="59">
        <v>3.65</v>
      </c>
      <c r="G91" s="10" t="s">
        <v>43</v>
      </c>
      <c r="H91" s="10" t="s">
        <v>43</v>
      </c>
      <c r="I91" s="59">
        <v>0.56999999999999995</v>
      </c>
      <c r="J91" s="59">
        <v>1.34</v>
      </c>
      <c r="K91" s="59">
        <v>7.76</v>
      </c>
      <c r="L91" s="59">
        <v>26.26</v>
      </c>
      <c r="M91" s="59">
        <v>38.39</v>
      </c>
      <c r="N91" s="59">
        <v>3.9</v>
      </c>
      <c r="O91" s="59">
        <v>0</v>
      </c>
      <c r="P91" s="59">
        <v>0.83</v>
      </c>
      <c r="Q91" s="59">
        <v>29.08</v>
      </c>
      <c r="R91" s="197"/>
      <c r="S91" s="197"/>
      <c r="T91" s="197"/>
      <c r="U91" s="197"/>
    </row>
    <row r="92" spans="1:26" s="12" customFormat="1" x14ac:dyDescent="0.25">
      <c r="A92" s="200" t="s">
        <v>906</v>
      </c>
      <c r="B92" s="59">
        <v>2.7</v>
      </c>
      <c r="C92" s="59">
        <v>101.91</v>
      </c>
      <c r="D92" s="59">
        <v>58.41</v>
      </c>
      <c r="E92" s="59">
        <v>5.62</v>
      </c>
      <c r="F92" s="59">
        <v>3.34</v>
      </c>
      <c r="G92" s="10" t="s">
        <v>43</v>
      </c>
      <c r="H92" s="10" t="s">
        <v>43</v>
      </c>
      <c r="I92" s="59">
        <v>0.57999999999999996</v>
      </c>
      <c r="J92" s="59">
        <v>1.07</v>
      </c>
      <c r="K92" s="59">
        <v>8.2799999999999994</v>
      </c>
      <c r="L92" s="59">
        <v>26.15</v>
      </c>
      <c r="M92" s="59">
        <v>38.47</v>
      </c>
      <c r="N92" s="59">
        <v>4.3</v>
      </c>
      <c r="O92" s="59">
        <v>0</v>
      </c>
      <c r="P92" s="59">
        <v>0.85</v>
      </c>
      <c r="Q92" s="59">
        <v>28.91</v>
      </c>
      <c r="R92" s="197"/>
      <c r="S92" s="197"/>
      <c r="T92" s="197"/>
      <c r="U92" s="197"/>
    </row>
    <row r="93" spans="1:26" s="12" customFormat="1" x14ac:dyDescent="0.25">
      <c r="A93" s="200" t="s">
        <v>907</v>
      </c>
      <c r="B93" s="59">
        <v>2.69</v>
      </c>
      <c r="C93" s="59">
        <v>102.56</v>
      </c>
      <c r="D93" s="59">
        <v>58.76</v>
      </c>
      <c r="E93" s="59">
        <v>5.49</v>
      </c>
      <c r="F93" s="59">
        <v>3.36</v>
      </c>
      <c r="G93" s="10" t="s">
        <v>43</v>
      </c>
      <c r="H93" s="10" t="s">
        <v>43</v>
      </c>
      <c r="I93" s="59">
        <v>0.56999999999999995</v>
      </c>
      <c r="J93" s="59">
        <v>0.8</v>
      </c>
      <c r="K93" s="59">
        <v>11.42</v>
      </c>
      <c r="L93" s="59">
        <v>25.86</v>
      </c>
      <c r="M93" s="59">
        <v>39.799999999999997</v>
      </c>
      <c r="N93" s="59">
        <v>4.5999999999999996</v>
      </c>
      <c r="O93" s="59">
        <v>0</v>
      </c>
      <c r="P93" s="59">
        <v>0.85</v>
      </c>
      <c r="Q93" s="59">
        <v>28.51</v>
      </c>
      <c r="R93" s="197"/>
      <c r="S93" s="197"/>
      <c r="T93" s="197"/>
      <c r="U93" s="197"/>
    </row>
    <row r="94" spans="1:26" s="12" customFormat="1" x14ac:dyDescent="0.25">
      <c r="A94" s="200" t="s">
        <v>908</v>
      </c>
      <c r="B94" s="59">
        <v>2.4</v>
      </c>
      <c r="C94" s="59">
        <v>102.52</v>
      </c>
      <c r="D94" s="59">
        <v>58.5</v>
      </c>
      <c r="E94" s="59">
        <v>5.69</v>
      </c>
      <c r="F94" s="59">
        <v>3.38</v>
      </c>
      <c r="G94" s="10" t="s">
        <v>43</v>
      </c>
      <c r="H94" s="10" t="s">
        <v>43</v>
      </c>
      <c r="I94" s="59">
        <v>0.57999999999999996</v>
      </c>
      <c r="J94" s="59">
        <v>1.1000000000000001</v>
      </c>
      <c r="K94" s="59">
        <v>8.59</v>
      </c>
      <c r="L94" s="59">
        <v>25.5</v>
      </c>
      <c r="M94" s="59">
        <v>41.75</v>
      </c>
      <c r="N94" s="59">
        <v>4.2</v>
      </c>
      <c r="O94" s="59">
        <v>0</v>
      </c>
      <c r="P94" s="59">
        <v>0.87</v>
      </c>
      <c r="Q94" s="59">
        <v>28.24</v>
      </c>
      <c r="R94" s="197"/>
      <c r="S94" s="197"/>
      <c r="T94" s="197"/>
      <c r="U94" s="197"/>
    </row>
    <row r="95" spans="1:26" s="12" customFormat="1" x14ac:dyDescent="0.25">
      <c r="A95" s="200" t="s">
        <v>909</v>
      </c>
      <c r="B95" s="59">
        <v>3.19</v>
      </c>
      <c r="C95" s="59">
        <v>104.02</v>
      </c>
      <c r="D95" s="59">
        <v>59.96</v>
      </c>
      <c r="E95" s="59">
        <v>4.82</v>
      </c>
      <c r="F95" s="59">
        <v>3.22</v>
      </c>
      <c r="G95" s="10" t="s">
        <v>43</v>
      </c>
      <c r="H95" s="10" t="s">
        <v>43</v>
      </c>
      <c r="I95" s="59">
        <v>0.56000000000000005</v>
      </c>
      <c r="J95" s="59">
        <v>1.34</v>
      </c>
      <c r="K95" s="59">
        <v>6.73</v>
      </c>
      <c r="L95" s="59">
        <v>25.21</v>
      </c>
      <c r="M95" s="59">
        <v>42.47</v>
      </c>
      <c r="N95" s="59">
        <v>4.2</v>
      </c>
      <c r="O95" s="59">
        <v>0</v>
      </c>
      <c r="P95" s="59">
        <v>0.91</v>
      </c>
      <c r="Q95" s="59">
        <v>27.76</v>
      </c>
      <c r="R95" s="197"/>
      <c r="S95" s="197"/>
      <c r="T95" s="197"/>
      <c r="U95" s="197"/>
    </row>
    <row r="96" spans="1:26" s="12" customFormat="1" x14ac:dyDescent="0.25">
      <c r="A96" s="200" t="s">
        <v>910</v>
      </c>
      <c r="B96" s="59">
        <v>4.17</v>
      </c>
      <c r="C96" s="59">
        <v>105.22</v>
      </c>
      <c r="D96" s="59">
        <v>61.41</v>
      </c>
      <c r="E96" s="59">
        <v>4.22</v>
      </c>
      <c r="F96" s="59">
        <v>3.07</v>
      </c>
      <c r="G96" s="10" t="s">
        <v>43</v>
      </c>
      <c r="H96" s="10" t="s">
        <v>43</v>
      </c>
      <c r="I96" s="59">
        <v>0.55000000000000004</v>
      </c>
      <c r="J96" s="59">
        <v>1.43</v>
      </c>
      <c r="K96" s="59">
        <v>2.66</v>
      </c>
      <c r="L96" s="59">
        <v>25.09</v>
      </c>
      <c r="M96" s="59">
        <v>41.88</v>
      </c>
      <c r="N96" s="59">
        <v>4.3</v>
      </c>
      <c r="O96" s="59">
        <v>0</v>
      </c>
      <c r="P96" s="59">
        <v>0.92</v>
      </c>
      <c r="Q96" s="59">
        <v>26.97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911</v>
      </c>
      <c r="B97" s="59">
        <v>4.54</v>
      </c>
      <c r="C97" s="59">
        <v>106.41</v>
      </c>
      <c r="D97" s="59">
        <v>62.36</v>
      </c>
      <c r="E97" s="59">
        <v>4.59</v>
      </c>
      <c r="F97" s="59">
        <v>3.13</v>
      </c>
      <c r="G97" s="59">
        <v>37.35</v>
      </c>
      <c r="H97" s="59">
        <v>24.66</v>
      </c>
      <c r="I97" s="59">
        <v>0.55000000000000004</v>
      </c>
      <c r="J97" s="59">
        <v>1.35</v>
      </c>
      <c r="K97" s="59">
        <v>21.23</v>
      </c>
      <c r="L97" s="59">
        <v>24.88</v>
      </c>
      <c r="M97" s="59">
        <v>42.02</v>
      </c>
      <c r="N97" s="59">
        <v>4.3</v>
      </c>
      <c r="O97" s="59">
        <v>0</v>
      </c>
      <c r="P97" s="59">
        <v>0.94</v>
      </c>
      <c r="Q97" s="59">
        <v>26.39</v>
      </c>
      <c r="R97" s="197"/>
      <c r="S97" s="197"/>
      <c r="T97" s="197"/>
      <c r="U97" s="197"/>
    </row>
    <row r="98" spans="1:33" s="12" customFormat="1" x14ac:dyDescent="0.25">
      <c r="A98" s="200" t="s">
        <v>912</v>
      </c>
      <c r="B98" s="59">
        <v>4.6399999999999997</v>
      </c>
      <c r="C98" s="59">
        <v>106.26</v>
      </c>
      <c r="D98" s="59">
        <v>62.36</v>
      </c>
      <c r="E98" s="59">
        <v>4.74</v>
      </c>
      <c r="F98" s="59">
        <v>2.98</v>
      </c>
      <c r="G98" s="59">
        <v>37.35</v>
      </c>
      <c r="H98" s="59">
        <v>24.75</v>
      </c>
      <c r="I98" s="59">
        <v>0.57999999999999996</v>
      </c>
      <c r="J98" s="59">
        <v>1.44</v>
      </c>
      <c r="K98" s="59">
        <v>29.64</v>
      </c>
      <c r="L98" s="59">
        <v>24.67</v>
      </c>
      <c r="M98" s="59">
        <v>42.33</v>
      </c>
      <c r="N98" s="59">
        <v>4.2</v>
      </c>
      <c r="O98" s="59">
        <v>0</v>
      </c>
      <c r="P98" s="59">
        <v>0.96</v>
      </c>
      <c r="Q98" s="59">
        <v>26.34</v>
      </c>
      <c r="R98" s="197"/>
      <c r="S98" s="197"/>
      <c r="T98" s="197"/>
      <c r="U98" s="197"/>
    </row>
    <row r="99" spans="1:33" s="12" customFormat="1" x14ac:dyDescent="0.25">
      <c r="A99" s="200" t="s">
        <v>913</v>
      </c>
      <c r="B99" s="59">
        <v>4.62</v>
      </c>
      <c r="C99" s="59">
        <v>105.53</v>
      </c>
      <c r="D99" s="59">
        <v>61.95</v>
      </c>
      <c r="E99" s="59">
        <v>4.3600000000000003</v>
      </c>
      <c r="F99" s="59">
        <v>3.12</v>
      </c>
      <c r="G99" s="59">
        <v>37.35</v>
      </c>
      <c r="H99" s="59">
        <v>24.75</v>
      </c>
      <c r="I99" s="59">
        <v>0.56000000000000005</v>
      </c>
      <c r="J99" s="59">
        <v>1.42</v>
      </c>
      <c r="K99" s="59">
        <v>25.15</v>
      </c>
      <c r="L99" s="59">
        <v>24.56</v>
      </c>
      <c r="M99" s="59">
        <v>42.46</v>
      </c>
      <c r="N99" s="59">
        <v>4.0999999999999996</v>
      </c>
      <c r="O99" s="59">
        <v>0</v>
      </c>
      <c r="P99" s="59">
        <v>0.97</v>
      </c>
      <c r="Q99" s="59">
        <v>26.72</v>
      </c>
      <c r="R99" s="197"/>
      <c r="S99" s="197"/>
      <c r="T99" s="197"/>
      <c r="U99" s="197"/>
    </row>
    <row r="100" spans="1:33" s="12" customFormat="1" x14ac:dyDescent="0.25">
      <c r="A100" s="200" t="s">
        <v>914</v>
      </c>
      <c r="B100" s="59">
        <v>4.58</v>
      </c>
      <c r="C100" s="59">
        <v>104.8</v>
      </c>
      <c r="D100" s="59">
        <v>61.51</v>
      </c>
      <c r="E100" s="59">
        <v>4.76</v>
      </c>
      <c r="F100" s="59">
        <v>3.22</v>
      </c>
      <c r="G100" s="59">
        <v>37.35</v>
      </c>
      <c r="H100" s="59">
        <v>24.75</v>
      </c>
      <c r="I100" s="59">
        <v>0.55000000000000004</v>
      </c>
      <c r="J100" s="59">
        <v>1.1000000000000001</v>
      </c>
      <c r="K100" s="59">
        <v>33.270000000000003</v>
      </c>
      <c r="L100" s="59">
        <v>24.37</v>
      </c>
      <c r="M100" s="59">
        <v>43</v>
      </c>
      <c r="N100" s="59">
        <v>4.4000000000000004</v>
      </c>
      <c r="O100" s="59">
        <v>0</v>
      </c>
      <c r="P100" s="59">
        <v>0.99</v>
      </c>
      <c r="Q100" s="59">
        <v>26.95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915</v>
      </c>
      <c r="B101" s="59">
        <v>4.87</v>
      </c>
      <c r="C101" s="59">
        <v>104.43</v>
      </c>
      <c r="D101" s="59">
        <v>61.54</v>
      </c>
      <c r="E101" s="59">
        <v>4.75</v>
      </c>
      <c r="F101" s="59">
        <v>3.25</v>
      </c>
      <c r="G101" s="59">
        <v>52.41</v>
      </c>
      <c r="H101" s="59">
        <v>24.48</v>
      </c>
      <c r="I101" s="59">
        <v>0.56000000000000005</v>
      </c>
      <c r="J101" s="59">
        <v>1.0900000000000001</v>
      </c>
      <c r="K101" s="59">
        <v>36.119999999999997</v>
      </c>
      <c r="L101" s="59">
        <v>24.35</v>
      </c>
      <c r="M101" s="59">
        <v>43.11</v>
      </c>
      <c r="N101" s="59">
        <v>4.2</v>
      </c>
      <c r="O101" s="59">
        <v>0</v>
      </c>
      <c r="P101" s="59">
        <v>1.02</v>
      </c>
      <c r="Q101" s="59">
        <v>27.19</v>
      </c>
      <c r="R101" s="197"/>
      <c r="S101" s="197"/>
      <c r="T101" s="197"/>
      <c r="U101" s="197"/>
    </row>
    <row r="102" spans="1:33" s="12" customFormat="1" x14ac:dyDescent="0.25">
      <c r="A102" s="200" t="s">
        <v>916</v>
      </c>
      <c r="B102" s="59">
        <v>5.26</v>
      </c>
      <c r="C102" s="59">
        <v>103.86</v>
      </c>
      <c r="D102" s="59">
        <v>61.54</v>
      </c>
      <c r="E102" s="59">
        <v>4.76</v>
      </c>
      <c r="F102" s="59">
        <v>3.32</v>
      </c>
      <c r="G102" s="59">
        <v>52.75</v>
      </c>
      <c r="H102" s="59">
        <v>24.47</v>
      </c>
      <c r="I102" s="59">
        <v>0.55000000000000004</v>
      </c>
      <c r="J102" s="59">
        <v>0.91</v>
      </c>
      <c r="K102" s="59">
        <v>29.65</v>
      </c>
      <c r="L102" s="59">
        <v>24.14</v>
      </c>
      <c r="M102" s="59">
        <v>43.45</v>
      </c>
      <c r="N102" s="59">
        <v>4.2</v>
      </c>
      <c r="O102" s="59">
        <v>0</v>
      </c>
      <c r="P102" s="59">
        <v>1.04</v>
      </c>
      <c r="Q102" s="59">
        <v>27.63</v>
      </c>
      <c r="R102" s="197"/>
      <c r="S102" s="197"/>
      <c r="T102" s="197"/>
      <c r="U102" s="197"/>
    </row>
    <row r="103" spans="1:33" s="12" customFormat="1" x14ac:dyDescent="0.25">
      <c r="A103" s="200" t="s">
        <v>917</v>
      </c>
      <c r="B103" s="59">
        <v>5.42</v>
      </c>
      <c r="C103" s="59">
        <v>104.36</v>
      </c>
      <c r="D103" s="59">
        <v>61.94</v>
      </c>
      <c r="E103" s="59">
        <v>4.88</v>
      </c>
      <c r="F103" s="59">
        <v>3.07</v>
      </c>
      <c r="G103" s="59">
        <v>52.75</v>
      </c>
      <c r="H103" s="59">
        <v>24.47</v>
      </c>
      <c r="I103" s="59">
        <v>0.55000000000000004</v>
      </c>
      <c r="J103" s="59">
        <v>0.74</v>
      </c>
      <c r="K103" s="59">
        <v>22.4</v>
      </c>
      <c r="L103" s="59">
        <v>23.86</v>
      </c>
      <c r="M103" s="59">
        <v>43.86</v>
      </c>
      <c r="N103" s="59">
        <v>4.2</v>
      </c>
      <c r="O103" s="59">
        <v>0</v>
      </c>
      <c r="P103" s="59">
        <v>1.05</v>
      </c>
      <c r="Q103" s="59">
        <v>28.78</v>
      </c>
      <c r="R103" s="197"/>
      <c r="S103" s="197"/>
      <c r="T103" s="197"/>
      <c r="U103" s="197"/>
    </row>
    <row r="104" spans="1:33" s="12" customFormat="1" x14ac:dyDescent="0.25">
      <c r="A104" s="200" t="s">
        <v>918</v>
      </c>
      <c r="B104" s="59">
        <v>5.3</v>
      </c>
      <c r="C104" s="59">
        <v>104.4</v>
      </c>
      <c r="D104" s="59">
        <v>61.86</v>
      </c>
      <c r="E104" s="59">
        <v>3.29</v>
      </c>
      <c r="F104" s="59">
        <v>3.18</v>
      </c>
      <c r="G104" s="59">
        <v>52.75</v>
      </c>
      <c r="H104" s="59">
        <v>24.47</v>
      </c>
      <c r="I104" s="59">
        <v>0.56000000000000005</v>
      </c>
      <c r="J104" s="59">
        <v>0.63</v>
      </c>
      <c r="K104" s="59">
        <v>38.06</v>
      </c>
      <c r="L104" s="59">
        <v>23.94</v>
      </c>
      <c r="M104" s="59">
        <v>43.06</v>
      </c>
      <c r="N104" s="59">
        <v>4.2</v>
      </c>
      <c r="O104" s="59">
        <v>0</v>
      </c>
      <c r="P104" s="59">
        <v>1.08</v>
      </c>
      <c r="Q104" s="59">
        <v>29.46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1.1200000000000001</v>
      </c>
      <c r="C106" s="66">
        <f>MIN(C9:C104)</f>
        <v>95.76</v>
      </c>
      <c r="D106" s="66">
        <f t="shared" ref="D106:Q106" si="0">MIN(D9:D104)</f>
        <v>53.75</v>
      </c>
      <c r="E106" s="66">
        <f t="shared" si="0"/>
        <v>2.81</v>
      </c>
      <c r="F106" s="66">
        <f t="shared" si="0"/>
        <v>2.65</v>
      </c>
      <c r="G106" s="66">
        <f t="shared" si="0"/>
        <v>37.35</v>
      </c>
      <c r="H106" s="66">
        <f t="shared" si="0"/>
        <v>23.54</v>
      </c>
      <c r="I106" s="66">
        <f t="shared" si="0"/>
        <v>0.53</v>
      </c>
      <c r="J106" s="66">
        <f t="shared" si="0"/>
        <v>0.14000000000000001</v>
      </c>
      <c r="K106" s="66">
        <f t="shared" si="0"/>
        <v>0.34</v>
      </c>
      <c r="L106" s="66">
        <f t="shared" si="0"/>
        <v>21.15</v>
      </c>
      <c r="M106" s="66">
        <f t="shared" si="0"/>
        <v>18.53</v>
      </c>
      <c r="N106" s="66">
        <f t="shared" si="0"/>
        <v>3</v>
      </c>
      <c r="O106" s="66">
        <f t="shared" si="0"/>
        <v>0</v>
      </c>
      <c r="P106" s="66">
        <f t="shared" si="0"/>
        <v>0.76</v>
      </c>
      <c r="Q106" s="66">
        <f t="shared" si="0"/>
        <v>26.08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156.19</v>
      </c>
      <c r="C107" s="65">
        <f t="shared" ref="C107:Q107" si="1">MAX(C9:C104)</f>
        <v>117.34</v>
      </c>
      <c r="D107" s="65">
        <f t="shared" si="1"/>
        <v>190.01</v>
      </c>
      <c r="E107" s="65">
        <f t="shared" si="1"/>
        <v>7.7</v>
      </c>
      <c r="F107" s="65">
        <f t="shared" si="1"/>
        <v>4.74</v>
      </c>
      <c r="G107" s="65">
        <f t="shared" si="1"/>
        <v>297.69</v>
      </c>
      <c r="H107" s="65">
        <f t="shared" si="1"/>
        <v>65.19</v>
      </c>
      <c r="I107" s="65">
        <f t="shared" si="1"/>
        <v>1.54</v>
      </c>
      <c r="J107" s="65">
        <f t="shared" si="1"/>
        <v>1.98</v>
      </c>
      <c r="K107" s="65">
        <f t="shared" si="1"/>
        <v>359.35</v>
      </c>
      <c r="L107" s="65">
        <f t="shared" si="1"/>
        <v>36.96</v>
      </c>
      <c r="M107" s="65">
        <f t="shared" si="1"/>
        <v>58.64</v>
      </c>
      <c r="N107" s="65">
        <f t="shared" si="1"/>
        <v>529.29999999999995</v>
      </c>
      <c r="O107" s="65">
        <f t="shared" si="1"/>
        <v>0</v>
      </c>
      <c r="P107" s="65">
        <f t="shared" si="1"/>
        <v>2.7</v>
      </c>
      <c r="Q107" s="65">
        <f t="shared" si="1"/>
        <v>39.36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35.258229166666659</v>
      </c>
      <c r="C108" s="66">
        <f t="shared" ref="C108:Q108" si="2">AVERAGE(C9:C104)</f>
        <v>105.96260416666668</v>
      </c>
      <c r="D108" s="66">
        <f t="shared" si="2"/>
        <v>86.75250000000004</v>
      </c>
      <c r="E108" s="66">
        <f t="shared" si="2"/>
        <v>5.3574999999999982</v>
      </c>
      <c r="F108" s="66">
        <f t="shared" si="2"/>
        <v>3.4605208333333333</v>
      </c>
      <c r="G108" s="66">
        <f t="shared" si="2"/>
        <v>114.01711538461541</v>
      </c>
      <c r="H108" s="66">
        <f t="shared" si="2"/>
        <v>43.495000000000012</v>
      </c>
      <c r="I108" s="66">
        <f t="shared" si="2"/>
        <v>0.71270833333333317</v>
      </c>
      <c r="J108" s="66">
        <f t="shared" si="2"/>
        <v>0.96593749999999989</v>
      </c>
      <c r="K108" s="66">
        <f t="shared" si="2"/>
        <v>54.622499999999995</v>
      </c>
      <c r="L108" s="66">
        <f t="shared" si="2"/>
        <v>28.206458333333345</v>
      </c>
      <c r="M108" s="66">
        <f t="shared" si="2"/>
        <v>35.039166666666659</v>
      </c>
      <c r="N108" s="66">
        <f t="shared" si="2"/>
        <v>149.06666666666669</v>
      </c>
      <c r="O108" s="66">
        <f t="shared" si="2"/>
        <v>0</v>
      </c>
      <c r="P108" s="66">
        <f t="shared" si="2"/>
        <v>1.3942708333333338</v>
      </c>
      <c r="Q108" s="66">
        <f t="shared" si="2"/>
        <v>31.062916666666666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41.663489304685818</v>
      </c>
      <c r="C109" s="66">
        <f t="shared" ref="C109:Q109" si="3">STDEV(C9:C104)</f>
        <v>5.3276492781657785</v>
      </c>
      <c r="D109" s="66">
        <f t="shared" si="3"/>
        <v>35.09109018720153</v>
      </c>
      <c r="E109" s="66">
        <f t="shared" si="3"/>
        <v>0.88846171021959841</v>
      </c>
      <c r="F109" s="66">
        <f t="shared" si="3"/>
        <v>0.57342437631380794</v>
      </c>
      <c r="G109" s="66">
        <f t="shared" si="3"/>
        <v>70.84365634590722</v>
      </c>
      <c r="H109" s="66">
        <f t="shared" si="3"/>
        <v>14.913887264336255</v>
      </c>
      <c r="I109" s="66">
        <f t="shared" si="3"/>
        <v>0.22363729642185767</v>
      </c>
      <c r="J109" s="66">
        <f t="shared" si="3"/>
        <v>0.47084376249899562</v>
      </c>
      <c r="K109" s="66">
        <f t="shared" si="3"/>
        <v>93.780841214756506</v>
      </c>
      <c r="L109" s="66">
        <f t="shared" si="3"/>
        <v>5.0445424348688261</v>
      </c>
      <c r="M109" s="66">
        <f t="shared" si="3"/>
        <v>12.256482767277161</v>
      </c>
      <c r="N109" s="66">
        <f t="shared" si="3"/>
        <v>195.90329551332826</v>
      </c>
      <c r="O109" s="66">
        <f t="shared" si="3"/>
        <v>0</v>
      </c>
      <c r="P109" s="66">
        <f t="shared" si="3"/>
        <v>0.58229806943408824</v>
      </c>
      <c r="Q109" s="66">
        <f t="shared" si="3"/>
        <v>4.1383609561648269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</f>
        <v>96</v>
      </c>
      <c r="G110" s="65">
        <f t="shared" si="4"/>
        <v>52</v>
      </c>
      <c r="H110" s="65">
        <f>COUNT(H9:H104)</f>
        <v>52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 t="s">
        <v>1015</v>
      </c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08-03-2023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919</v>
      </c>
      <c r="B9" s="59">
        <v>5.18</v>
      </c>
      <c r="C9" s="59">
        <v>104.84</v>
      </c>
      <c r="D9" s="59">
        <v>62.02</v>
      </c>
      <c r="E9" s="59">
        <v>4.43</v>
      </c>
      <c r="F9" s="59">
        <v>3.21</v>
      </c>
      <c r="G9" s="59">
        <v>55.77</v>
      </c>
      <c r="H9" s="59">
        <v>26.81</v>
      </c>
      <c r="I9" s="59">
        <v>0.56000000000000005</v>
      </c>
      <c r="J9" s="59">
        <v>0.71</v>
      </c>
      <c r="K9" s="59">
        <v>31.4</v>
      </c>
      <c r="L9" s="59">
        <v>24.55</v>
      </c>
      <c r="M9" s="59">
        <v>39.85</v>
      </c>
      <c r="N9" s="59">
        <v>4</v>
      </c>
      <c r="O9" s="59">
        <v>0</v>
      </c>
      <c r="P9" s="59">
        <v>1.1000000000000001</v>
      </c>
      <c r="Q9" s="59">
        <v>29.59</v>
      </c>
      <c r="R9" s="197"/>
      <c r="S9" s="197"/>
      <c r="T9" s="197"/>
      <c r="U9" s="197"/>
    </row>
    <row r="10" spans="1:21" s="12" customFormat="1" x14ac:dyDescent="0.25">
      <c r="A10" s="200" t="s">
        <v>920</v>
      </c>
      <c r="B10" s="59">
        <v>4.6500000000000004</v>
      </c>
      <c r="C10" s="59">
        <v>103.73</v>
      </c>
      <c r="D10" s="59">
        <v>60.98</v>
      </c>
      <c r="E10" s="59">
        <v>4.26</v>
      </c>
      <c r="F10" s="59">
        <v>3.38</v>
      </c>
      <c r="G10" s="59">
        <v>55.84</v>
      </c>
      <c r="H10" s="59">
        <v>26.86</v>
      </c>
      <c r="I10" s="59">
        <v>0.56000000000000005</v>
      </c>
      <c r="J10" s="59">
        <v>0.71</v>
      </c>
      <c r="K10" s="59">
        <v>32.75</v>
      </c>
      <c r="L10" s="59">
        <v>24.58</v>
      </c>
      <c r="M10" s="59">
        <v>42.29</v>
      </c>
      <c r="N10" s="59">
        <v>4.7</v>
      </c>
      <c r="O10" s="59">
        <v>0</v>
      </c>
      <c r="P10" s="59">
        <v>1.1000000000000001</v>
      </c>
      <c r="Q10" s="59">
        <v>29.83</v>
      </c>
      <c r="R10" s="197"/>
      <c r="S10" s="197"/>
      <c r="T10" s="197"/>
      <c r="U10" s="197"/>
    </row>
    <row r="11" spans="1:21" s="12" customFormat="1" x14ac:dyDescent="0.25">
      <c r="A11" s="200" t="s">
        <v>921</v>
      </c>
      <c r="B11" s="59">
        <v>4.13</v>
      </c>
      <c r="C11" s="59">
        <v>103.43</v>
      </c>
      <c r="D11" s="59">
        <v>60.4</v>
      </c>
      <c r="E11" s="59">
        <v>4.99</v>
      </c>
      <c r="F11" s="59">
        <v>3.22</v>
      </c>
      <c r="G11" s="59">
        <v>55.84</v>
      </c>
      <c r="H11" s="59">
        <v>26.86</v>
      </c>
      <c r="I11" s="59">
        <v>0.56000000000000005</v>
      </c>
      <c r="J11" s="59">
        <v>0.43</v>
      </c>
      <c r="K11" s="59">
        <v>56.14</v>
      </c>
      <c r="L11" s="59">
        <v>24.25</v>
      </c>
      <c r="M11" s="59">
        <v>42.58</v>
      </c>
      <c r="N11" s="59">
        <v>4.7</v>
      </c>
      <c r="O11" s="59">
        <v>0</v>
      </c>
      <c r="P11" s="59">
        <v>1.1100000000000001</v>
      </c>
      <c r="Q11" s="59">
        <v>29.9</v>
      </c>
      <c r="R11" s="197"/>
      <c r="S11" s="197"/>
      <c r="T11" s="197"/>
      <c r="U11" s="197"/>
    </row>
    <row r="12" spans="1:21" s="12" customFormat="1" x14ac:dyDescent="0.25">
      <c r="A12" s="200" t="s">
        <v>922</v>
      </c>
      <c r="B12" s="59">
        <v>4.29</v>
      </c>
      <c r="C12" s="59">
        <v>104.23</v>
      </c>
      <c r="D12" s="59">
        <v>60.96</v>
      </c>
      <c r="E12" s="59">
        <v>6.12</v>
      </c>
      <c r="F12" s="59">
        <v>2.29</v>
      </c>
      <c r="G12" s="59">
        <v>55.84</v>
      </c>
      <c r="H12" s="59">
        <v>26.86</v>
      </c>
      <c r="I12" s="59">
        <v>0.56000000000000005</v>
      </c>
      <c r="J12" s="59">
        <v>0.66</v>
      </c>
      <c r="K12" s="59">
        <v>35.08</v>
      </c>
      <c r="L12" s="59">
        <v>24.14</v>
      </c>
      <c r="M12" s="59">
        <v>43.01</v>
      </c>
      <c r="N12" s="59">
        <v>4.5999999999999996</v>
      </c>
      <c r="O12" s="59">
        <v>0</v>
      </c>
      <c r="P12" s="59">
        <v>1.1399999999999999</v>
      </c>
      <c r="Q12" s="59">
        <v>30.06</v>
      </c>
      <c r="R12" s="197"/>
      <c r="S12" s="197"/>
      <c r="T12" s="197"/>
      <c r="U12" s="197"/>
    </row>
    <row r="13" spans="1:21" s="12" customFormat="1" x14ac:dyDescent="0.25">
      <c r="A13" s="200" t="s">
        <v>923</v>
      </c>
      <c r="B13" s="59">
        <v>4.3600000000000003</v>
      </c>
      <c r="C13" s="59">
        <v>104.54</v>
      </c>
      <c r="D13" s="59">
        <v>61.19</v>
      </c>
      <c r="E13" s="59">
        <v>5.71</v>
      </c>
      <c r="F13" s="59">
        <v>3.05</v>
      </c>
      <c r="G13" s="59">
        <v>61.93</v>
      </c>
      <c r="H13" s="59">
        <v>25.72</v>
      </c>
      <c r="I13" s="59">
        <v>0.56000000000000005</v>
      </c>
      <c r="J13" s="59">
        <v>0.85</v>
      </c>
      <c r="K13" s="59">
        <v>11.69</v>
      </c>
      <c r="L13" s="59">
        <v>24.2</v>
      </c>
      <c r="M13" s="59">
        <v>43.26</v>
      </c>
      <c r="N13" s="59">
        <v>4.5999999999999996</v>
      </c>
      <c r="O13" s="59">
        <v>0</v>
      </c>
      <c r="P13" s="59">
        <v>1.0900000000000001</v>
      </c>
      <c r="Q13" s="59">
        <v>29.9</v>
      </c>
      <c r="R13" s="197"/>
      <c r="S13" s="197"/>
      <c r="T13" s="197"/>
      <c r="U13" s="197"/>
    </row>
    <row r="14" spans="1:21" s="12" customFormat="1" x14ac:dyDescent="0.25">
      <c r="A14" s="200" t="s">
        <v>924</v>
      </c>
      <c r="B14" s="59">
        <v>4.41</v>
      </c>
      <c r="C14" s="59">
        <v>102.83</v>
      </c>
      <c r="D14" s="59">
        <v>60.29</v>
      </c>
      <c r="E14" s="59">
        <v>5.63</v>
      </c>
      <c r="F14" s="59">
        <v>3.06</v>
      </c>
      <c r="G14" s="59">
        <v>62.07</v>
      </c>
      <c r="H14" s="59">
        <v>25.7</v>
      </c>
      <c r="I14" s="59">
        <v>0.56000000000000005</v>
      </c>
      <c r="J14" s="59">
        <v>1.21</v>
      </c>
      <c r="K14" s="59">
        <v>358.98</v>
      </c>
      <c r="L14" s="59">
        <v>24.07</v>
      </c>
      <c r="M14" s="59">
        <v>43.67</v>
      </c>
      <c r="N14" s="59">
        <v>4.7</v>
      </c>
      <c r="O14" s="59">
        <v>0</v>
      </c>
      <c r="P14" s="59">
        <v>1.1399999999999999</v>
      </c>
      <c r="Q14" s="59">
        <v>29.17</v>
      </c>
      <c r="R14" s="197"/>
      <c r="S14" s="197"/>
      <c r="T14" s="197"/>
      <c r="U14" s="197"/>
    </row>
    <row r="15" spans="1:21" s="12" customFormat="1" x14ac:dyDescent="0.25">
      <c r="A15" s="200" t="s">
        <v>925</v>
      </c>
      <c r="B15" s="59">
        <v>4.49</v>
      </c>
      <c r="C15" s="59">
        <v>101.81</v>
      </c>
      <c r="D15" s="59">
        <v>59.78</v>
      </c>
      <c r="E15" s="59">
        <v>5.18</v>
      </c>
      <c r="F15" s="59">
        <v>2.84</v>
      </c>
      <c r="G15" s="59">
        <v>62.07</v>
      </c>
      <c r="H15" s="59">
        <v>25.7</v>
      </c>
      <c r="I15" s="59">
        <v>0.55000000000000004</v>
      </c>
      <c r="J15" s="59">
        <v>0.8</v>
      </c>
      <c r="K15" s="59">
        <v>41.36</v>
      </c>
      <c r="L15" s="59">
        <v>24.03</v>
      </c>
      <c r="M15" s="59">
        <v>42.73</v>
      </c>
      <c r="N15" s="59">
        <v>4.7</v>
      </c>
      <c r="O15" s="59">
        <v>0</v>
      </c>
      <c r="P15" s="59">
        <v>1.0900000000000001</v>
      </c>
      <c r="Q15" s="59">
        <v>28.3</v>
      </c>
      <c r="R15" s="197"/>
      <c r="S15" s="197"/>
      <c r="T15" s="197"/>
      <c r="U15" s="197"/>
    </row>
    <row r="16" spans="1:21" s="12" customFormat="1" x14ac:dyDescent="0.25">
      <c r="A16" s="200" t="s">
        <v>926</v>
      </c>
      <c r="B16" s="59">
        <v>4.51</v>
      </c>
      <c r="C16" s="59">
        <v>100.75</v>
      </c>
      <c r="D16" s="59">
        <v>59.22</v>
      </c>
      <c r="E16" s="59">
        <v>4.68</v>
      </c>
      <c r="F16" s="59">
        <v>2.88</v>
      </c>
      <c r="G16" s="59">
        <v>62.07</v>
      </c>
      <c r="H16" s="59">
        <v>25.7</v>
      </c>
      <c r="I16" s="59">
        <v>0.54</v>
      </c>
      <c r="J16" s="59">
        <v>0.56000000000000005</v>
      </c>
      <c r="K16" s="59">
        <v>60.75</v>
      </c>
      <c r="L16" s="59">
        <v>24.17</v>
      </c>
      <c r="M16" s="59">
        <v>46.26</v>
      </c>
      <c r="N16" s="59">
        <v>6.6</v>
      </c>
      <c r="O16" s="59">
        <v>0.6</v>
      </c>
      <c r="P16" s="59">
        <v>1.1000000000000001</v>
      </c>
      <c r="Q16" s="59">
        <v>28.19</v>
      </c>
      <c r="R16" s="197"/>
      <c r="S16" s="197"/>
      <c r="T16" s="197"/>
      <c r="U16" s="197"/>
    </row>
    <row r="17" spans="1:21" s="12" customFormat="1" x14ac:dyDescent="0.25">
      <c r="A17" s="200" t="s">
        <v>927</v>
      </c>
      <c r="B17" s="59">
        <v>4.74</v>
      </c>
      <c r="C17" s="59">
        <v>100.15</v>
      </c>
      <c r="D17" s="59">
        <v>59.07</v>
      </c>
      <c r="E17" s="59">
        <v>4.24</v>
      </c>
      <c r="F17" s="59">
        <v>3.11</v>
      </c>
      <c r="G17" s="59">
        <v>48.99</v>
      </c>
      <c r="H17" s="59">
        <v>26.61</v>
      </c>
      <c r="I17" s="59">
        <v>0.54</v>
      </c>
      <c r="J17" s="59">
        <v>0.28000000000000003</v>
      </c>
      <c r="K17" s="59">
        <v>70.900000000000006</v>
      </c>
      <c r="L17" s="59">
        <v>21.66</v>
      </c>
      <c r="M17" s="59">
        <v>70.06</v>
      </c>
      <c r="N17" s="59">
        <v>8.5</v>
      </c>
      <c r="O17" s="59">
        <v>2</v>
      </c>
      <c r="P17" s="59">
        <v>1.06</v>
      </c>
      <c r="Q17" s="59">
        <v>28.27</v>
      </c>
      <c r="R17" s="197"/>
      <c r="S17" s="197"/>
      <c r="T17" s="197"/>
      <c r="U17" s="197"/>
    </row>
    <row r="18" spans="1:21" s="12" customFormat="1" x14ac:dyDescent="0.25">
      <c r="A18" s="200" t="s">
        <v>928</v>
      </c>
      <c r="B18" s="59">
        <v>5.0999999999999996</v>
      </c>
      <c r="C18" s="59">
        <v>98.08</v>
      </c>
      <c r="D18" s="59">
        <v>58.21</v>
      </c>
      <c r="E18" s="59">
        <v>3.98</v>
      </c>
      <c r="F18" s="59">
        <v>3.07</v>
      </c>
      <c r="G18" s="59">
        <v>48.69</v>
      </c>
      <c r="H18" s="59">
        <v>26.63</v>
      </c>
      <c r="I18" s="59">
        <v>0.53</v>
      </c>
      <c r="J18" s="59">
        <v>0.83</v>
      </c>
      <c r="K18" s="59">
        <v>26.02</v>
      </c>
      <c r="L18" s="59">
        <v>20.399999999999999</v>
      </c>
      <c r="M18" s="59">
        <v>74.25</v>
      </c>
      <c r="N18" s="59">
        <v>6.7</v>
      </c>
      <c r="O18" s="59">
        <v>0.4</v>
      </c>
      <c r="P18" s="59">
        <v>1.01</v>
      </c>
      <c r="Q18" s="59">
        <v>28.5</v>
      </c>
      <c r="R18" s="197"/>
      <c r="S18" s="197"/>
      <c r="T18" s="197"/>
      <c r="U18" s="197"/>
    </row>
    <row r="19" spans="1:21" s="12" customFormat="1" x14ac:dyDescent="0.25">
      <c r="A19" s="200" t="s">
        <v>929</v>
      </c>
      <c r="B19" s="59">
        <v>5.57</v>
      </c>
      <c r="C19" s="59">
        <v>96.03</v>
      </c>
      <c r="D19" s="59">
        <v>57.46</v>
      </c>
      <c r="E19" s="59">
        <v>4.49</v>
      </c>
      <c r="F19" s="59">
        <v>2.92</v>
      </c>
      <c r="G19" s="59">
        <v>48.69</v>
      </c>
      <c r="H19" s="59">
        <v>26.63</v>
      </c>
      <c r="I19" s="59">
        <v>0.54</v>
      </c>
      <c r="J19" s="59">
        <v>1.68</v>
      </c>
      <c r="K19" s="59">
        <v>29.25</v>
      </c>
      <c r="L19" s="59">
        <v>20.63</v>
      </c>
      <c r="M19" s="59">
        <v>71.91</v>
      </c>
      <c r="N19" s="59">
        <v>6.8</v>
      </c>
      <c r="O19" s="59">
        <v>0</v>
      </c>
      <c r="P19" s="59">
        <v>1.04</v>
      </c>
      <c r="Q19" s="59">
        <v>28.57</v>
      </c>
      <c r="R19" s="197"/>
      <c r="S19" s="197"/>
      <c r="T19" s="197"/>
      <c r="U19" s="197"/>
    </row>
    <row r="20" spans="1:21" s="12" customFormat="1" x14ac:dyDescent="0.25">
      <c r="A20" s="200" t="s">
        <v>930</v>
      </c>
      <c r="B20" s="59">
        <v>5.64</v>
      </c>
      <c r="C20" s="59">
        <v>94.01</v>
      </c>
      <c r="D20" s="59">
        <v>56.41</v>
      </c>
      <c r="E20" s="59">
        <v>4.28</v>
      </c>
      <c r="F20" s="59">
        <v>2.97</v>
      </c>
      <c r="G20" s="59">
        <v>48.69</v>
      </c>
      <c r="H20" s="59">
        <v>26.63</v>
      </c>
      <c r="I20" s="59">
        <v>0.54</v>
      </c>
      <c r="J20" s="59">
        <v>1.57</v>
      </c>
      <c r="K20" s="59">
        <v>39.01</v>
      </c>
      <c r="L20" s="59">
        <v>20.88</v>
      </c>
      <c r="M20" s="59">
        <v>69.13</v>
      </c>
      <c r="N20" s="59">
        <v>7.6</v>
      </c>
      <c r="O20" s="59">
        <v>0</v>
      </c>
      <c r="P20" s="59">
        <v>1.01</v>
      </c>
      <c r="Q20" s="59">
        <v>28.42</v>
      </c>
      <c r="R20" s="197"/>
      <c r="S20" s="197"/>
      <c r="T20" s="197"/>
      <c r="U20" s="197"/>
    </row>
    <row r="21" spans="1:21" s="12" customFormat="1" x14ac:dyDescent="0.25">
      <c r="A21" s="200" t="s">
        <v>931</v>
      </c>
      <c r="B21" s="59">
        <v>5.64</v>
      </c>
      <c r="C21" s="59">
        <v>94.25</v>
      </c>
      <c r="D21" s="59">
        <v>56.54</v>
      </c>
      <c r="E21" s="59">
        <v>4.53</v>
      </c>
      <c r="F21" s="59">
        <v>2.71</v>
      </c>
      <c r="G21" s="59">
        <v>66.83</v>
      </c>
      <c r="H21" s="59">
        <v>26.39</v>
      </c>
      <c r="I21" s="59">
        <v>0.55000000000000004</v>
      </c>
      <c r="J21" s="59">
        <v>0.52</v>
      </c>
      <c r="K21" s="59">
        <v>27.99</v>
      </c>
      <c r="L21" s="59">
        <v>20.81</v>
      </c>
      <c r="M21" s="59">
        <v>69.67</v>
      </c>
      <c r="N21" s="59">
        <v>6.7</v>
      </c>
      <c r="O21" s="59">
        <v>0</v>
      </c>
      <c r="P21" s="59">
        <v>1.02</v>
      </c>
      <c r="Q21" s="59">
        <v>28.82</v>
      </c>
      <c r="R21" s="197"/>
      <c r="S21" s="197"/>
      <c r="T21" s="197"/>
      <c r="U21" s="197"/>
    </row>
    <row r="22" spans="1:21" s="12" customFormat="1" x14ac:dyDescent="0.25">
      <c r="A22" s="200" t="s">
        <v>932</v>
      </c>
      <c r="B22" s="59">
        <v>5.61</v>
      </c>
      <c r="C22" s="59">
        <v>94.12</v>
      </c>
      <c r="D22" s="59">
        <v>56.44</v>
      </c>
      <c r="E22" s="59">
        <v>4.51</v>
      </c>
      <c r="F22" s="59">
        <v>3.06</v>
      </c>
      <c r="G22" s="59">
        <v>67.239999999999995</v>
      </c>
      <c r="H22" s="59">
        <v>26.38</v>
      </c>
      <c r="I22" s="59">
        <v>0.55000000000000004</v>
      </c>
      <c r="J22" s="59">
        <v>0.06</v>
      </c>
      <c r="K22" s="59">
        <v>215.78</v>
      </c>
      <c r="L22" s="59">
        <v>21</v>
      </c>
      <c r="M22" s="59">
        <v>68.930000000000007</v>
      </c>
      <c r="N22" s="59">
        <v>5.7</v>
      </c>
      <c r="O22" s="59">
        <v>0</v>
      </c>
      <c r="P22" s="59">
        <v>1.02</v>
      </c>
      <c r="Q22" s="59">
        <v>29.66</v>
      </c>
      <c r="R22" s="197"/>
      <c r="S22" s="197"/>
      <c r="T22" s="197"/>
      <c r="U22" s="197"/>
    </row>
    <row r="23" spans="1:21" s="12" customFormat="1" x14ac:dyDescent="0.25">
      <c r="A23" s="200" t="s">
        <v>933</v>
      </c>
      <c r="B23" s="59">
        <v>5.64</v>
      </c>
      <c r="C23" s="59">
        <v>93.96</v>
      </c>
      <c r="D23" s="59">
        <v>56.38</v>
      </c>
      <c r="E23" s="59">
        <v>4.28</v>
      </c>
      <c r="F23" s="59">
        <v>3.02</v>
      </c>
      <c r="G23" s="59">
        <v>67.239999999999995</v>
      </c>
      <c r="H23" s="59">
        <v>26.38</v>
      </c>
      <c r="I23" s="59">
        <v>0.55000000000000004</v>
      </c>
      <c r="J23" s="59">
        <v>0.43</v>
      </c>
      <c r="K23" s="59">
        <v>220.9</v>
      </c>
      <c r="L23" s="59">
        <v>21.23</v>
      </c>
      <c r="M23" s="59">
        <v>69.14</v>
      </c>
      <c r="N23" s="59">
        <v>4.8</v>
      </c>
      <c r="O23" s="59">
        <v>0</v>
      </c>
      <c r="P23" s="59">
        <v>1.01</v>
      </c>
      <c r="Q23" s="59">
        <v>30.02</v>
      </c>
      <c r="R23" s="197"/>
      <c r="S23" s="197"/>
      <c r="T23" s="197"/>
      <c r="U23" s="197"/>
    </row>
    <row r="24" spans="1:21" s="12" customFormat="1" x14ac:dyDescent="0.25">
      <c r="A24" s="200" t="s">
        <v>934</v>
      </c>
      <c r="B24" s="59">
        <v>5.81</v>
      </c>
      <c r="C24" s="59">
        <v>94.11</v>
      </c>
      <c r="D24" s="59">
        <v>56.6</v>
      </c>
      <c r="E24" s="59">
        <v>2.63</v>
      </c>
      <c r="F24" s="59">
        <v>2.98</v>
      </c>
      <c r="G24" s="59">
        <v>67.239999999999995</v>
      </c>
      <c r="H24" s="59">
        <v>26.38</v>
      </c>
      <c r="I24" s="59">
        <v>0.55000000000000004</v>
      </c>
      <c r="J24" s="59">
        <v>0.57999999999999996</v>
      </c>
      <c r="K24" s="59">
        <v>214.22</v>
      </c>
      <c r="L24" s="59">
        <v>21.22</v>
      </c>
      <c r="M24" s="59">
        <v>69.86</v>
      </c>
      <c r="N24" s="59">
        <v>4.9000000000000004</v>
      </c>
      <c r="O24" s="59">
        <v>0</v>
      </c>
      <c r="P24" s="59">
        <v>1</v>
      </c>
      <c r="Q24" s="59">
        <v>30.33</v>
      </c>
      <c r="R24" s="197"/>
      <c r="S24" s="197"/>
      <c r="T24" s="197"/>
      <c r="U24" s="197"/>
    </row>
    <row r="25" spans="1:21" s="12" customFormat="1" x14ac:dyDescent="0.25">
      <c r="A25" s="200" t="s">
        <v>935</v>
      </c>
      <c r="B25" s="59">
        <v>6.1</v>
      </c>
      <c r="C25" s="59">
        <v>94.38</v>
      </c>
      <c r="D25" s="59">
        <v>56.98</v>
      </c>
      <c r="E25" s="59">
        <v>4.22</v>
      </c>
      <c r="F25" s="59">
        <v>2.99</v>
      </c>
      <c r="G25" s="59">
        <v>73</v>
      </c>
      <c r="H25" s="59">
        <v>28.09</v>
      </c>
      <c r="I25" s="59">
        <v>0.55000000000000004</v>
      </c>
      <c r="J25" s="59">
        <v>0.8</v>
      </c>
      <c r="K25" s="59">
        <v>175.72</v>
      </c>
      <c r="L25" s="59">
        <v>20.97</v>
      </c>
      <c r="M25" s="59">
        <v>69.510000000000005</v>
      </c>
      <c r="N25" s="59">
        <v>4.9000000000000004</v>
      </c>
      <c r="O25" s="59">
        <v>0</v>
      </c>
      <c r="P25" s="59">
        <v>1</v>
      </c>
      <c r="Q25" s="59">
        <v>30.17</v>
      </c>
      <c r="R25" s="197"/>
      <c r="S25" s="197"/>
      <c r="T25" s="197"/>
      <c r="U25" s="197"/>
    </row>
    <row r="26" spans="1:21" s="12" customFormat="1" x14ac:dyDescent="0.25">
      <c r="A26" s="200" t="s">
        <v>936</v>
      </c>
      <c r="B26" s="59">
        <v>6.41</v>
      </c>
      <c r="C26" s="59">
        <v>94.08</v>
      </c>
      <c r="D26" s="59">
        <v>57.06</v>
      </c>
      <c r="E26" s="59">
        <v>4.41</v>
      </c>
      <c r="F26" s="59">
        <v>3.25</v>
      </c>
      <c r="G26" s="59">
        <v>73.13</v>
      </c>
      <c r="H26" s="59">
        <v>28.13</v>
      </c>
      <c r="I26" s="59">
        <v>0.55000000000000004</v>
      </c>
      <c r="J26" s="59">
        <v>0.05</v>
      </c>
      <c r="K26" s="59">
        <v>175.34</v>
      </c>
      <c r="L26" s="59">
        <v>20.85</v>
      </c>
      <c r="M26" s="59">
        <v>72.05</v>
      </c>
      <c r="N26" s="59">
        <v>5.2</v>
      </c>
      <c r="O26" s="59">
        <v>0</v>
      </c>
      <c r="P26" s="59">
        <v>0.98</v>
      </c>
      <c r="Q26" s="59">
        <v>30.35</v>
      </c>
      <c r="R26" s="197"/>
      <c r="S26" s="197"/>
      <c r="T26" s="197"/>
      <c r="U26" s="197"/>
    </row>
    <row r="27" spans="1:21" s="12" customFormat="1" x14ac:dyDescent="0.25">
      <c r="A27" s="200" t="s">
        <v>937</v>
      </c>
      <c r="B27" s="59">
        <v>7.01</v>
      </c>
      <c r="C27" s="59">
        <v>94.19</v>
      </c>
      <c r="D27" s="59">
        <v>57.61</v>
      </c>
      <c r="E27" s="59">
        <v>4.71</v>
      </c>
      <c r="F27" s="59">
        <v>3.18</v>
      </c>
      <c r="G27" s="59">
        <v>73.13</v>
      </c>
      <c r="H27" s="59">
        <v>28.13</v>
      </c>
      <c r="I27" s="59">
        <v>0.55000000000000004</v>
      </c>
      <c r="J27" s="59">
        <v>0.48</v>
      </c>
      <c r="K27" s="59">
        <v>235.45</v>
      </c>
      <c r="L27" s="59">
        <v>20.79</v>
      </c>
      <c r="M27" s="59">
        <v>72.739999999999995</v>
      </c>
      <c r="N27" s="59">
        <v>4.5999999999999996</v>
      </c>
      <c r="O27" s="59">
        <v>0</v>
      </c>
      <c r="P27" s="59">
        <v>0.98</v>
      </c>
      <c r="Q27" s="59">
        <v>30.54</v>
      </c>
      <c r="R27" s="197"/>
      <c r="S27" s="197"/>
      <c r="T27" s="197"/>
      <c r="U27" s="197"/>
    </row>
    <row r="28" spans="1:21" s="12" customFormat="1" x14ac:dyDescent="0.25">
      <c r="A28" s="200" t="s">
        <v>938</v>
      </c>
      <c r="B28" s="59">
        <v>7.33</v>
      </c>
      <c r="C28" s="59">
        <v>92.16</v>
      </c>
      <c r="D28" s="59">
        <v>56.74</v>
      </c>
      <c r="E28" s="59">
        <v>4.57</v>
      </c>
      <c r="F28" s="59">
        <v>2.86</v>
      </c>
      <c r="G28" s="59">
        <v>73.13</v>
      </c>
      <c r="H28" s="59">
        <v>28.13</v>
      </c>
      <c r="I28" s="59">
        <v>0.54</v>
      </c>
      <c r="J28" s="59">
        <v>0.99</v>
      </c>
      <c r="K28" s="59">
        <v>141.25</v>
      </c>
      <c r="L28" s="59">
        <v>20.61</v>
      </c>
      <c r="M28" s="59">
        <v>68.66</v>
      </c>
      <c r="N28" s="59">
        <v>4.5</v>
      </c>
      <c r="O28" s="59">
        <v>0</v>
      </c>
      <c r="P28" s="59">
        <v>0.94</v>
      </c>
      <c r="Q28" s="59">
        <v>30.09</v>
      </c>
      <c r="R28" s="197"/>
      <c r="S28" s="197"/>
      <c r="T28" s="197"/>
      <c r="U28" s="197"/>
    </row>
    <row r="29" spans="1:21" s="12" customFormat="1" x14ac:dyDescent="0.25">
      <c r="A29" s="200" t="s">
        <v>939</v>
      </c>
      <c r="B29" s="59">
        <v>7.6</v>
      </c>
      <c r="C29" s="59">
        <v>91.88</v>
      </c>
      <c r="D29" s="59">
        <v>56.8</v>
      </c>
      <c r="E29" s="59">
        <v>4.3899999999999997</v>
      </c>
      <c r="F29" s="59">
        <v>2.93</v>
      </c>
      <c r="G29" s="59">
        <v>46.73</v>
      </c>
      <c r="H29" s="59">
        <v>26.26</v>
      </c>
      <c r="I29" s="59">
        <v>0.54</v>
      </c>
      <c r="J29" s="59">
        <v>0.32</v>
      </c>
      <c r="K29" s="59">
        <v>190.9</v>
      </c>
      <c r="L29" s="59">
        <v>20.69</v>
      </c>
      <c r="M29" s="59">
        <v>68.63</v>
      </c>
      <c r="N29" s="59">
        <v>5</v>
      </c>
      <c r="O29" s="59">
        <v>0</v>
      </c>
      <c r="P29" s="59">
        <v>0.93</v>
      </c>
      <c r="Q29" s="59">
        <v>29.51</v>
      </c>
      <c r="R29" s="197"/>
      <c r="S29" s="197"/>
      <c r="T29" s="197"/>
      <c r="U29" s="197"/>
    </row>
    <row r="30" spans="1:21" s="12" customFormat="1" x14ac:dyDescent="0.25">
      <c r="A30" s="200" t="s">
        <v>940</v>
      </c>
      <c r="B30" s="59">
        <v>7.96</v>
      </c>
      <c r="C30" s="59">
        <v>91.8</v>
      </c>
      <c r="D30" s="59">
        <v>57.04</v>
      </c>
      <c r="E30" s="59">
        <v>4.0599999999999996</v>
      </c>
      <c r="F30" s="59">
        <v>2.92</v>
      </c>
      <c r="G30" s="59">
        <v>46.13</v>
      </c>
      <c r="H30" s="59">
        <v>26.22</v>
      </c>
      <c r="I30" s="59">
        <v>0.54</v>
      </c>
      <c r="J30" s="59">
        <v>0.21</v>
      </c>
      <c r="K30" s="59">
        <v>240.03</v>
      </c>
      <c r="L30" s="59">
        <v>20.7</v>
      </c>
      <c r="M30" s="59">
        <v>68.260000000000005</v>
      </c>
      <c r="N30" s="59">
        <v>4.7</v>
      </c>
      <c r="O30" s="59">
        <v>0</v>
      </c>
      <c r="P30" s="59">
        <v>0.91</v>
      </c>
      <c r="Q30" s="59">
        <v>29.45</v>
      </c>
      <c r="R30" s="197"/>
      <c r="S30" s="197"/>
      <c r="T30" s="197"/>
      <c r="U30" s="197"/>
    </row>
    <row r="31" spans="1:21" s="12" customFormat="1" x14ac:dyDescent="0.25">
      <c r="A31" s="200" t="s">
        <v>941</v>
      </c>
      <c r="B31" s="59">
        <v>8.33</v>
      </c>
      <c r="C31" s="59">
        <v>91.66</v>
      </c>
      <c r="D31" s="59">
        <v>57.27</v>
      </c>
      <c r="E31" s="59">
        <v>4.28</v>
      </c>
      <c r="F31" s="59">
        <v>2.95</v>
      </c>
      <c r="G31" s="59">
        <v>46.13</v>
      </c>
      <c r="H31" s="59">
        <v>26.22</v>
      </c>
      <c r="I31" s="59">
        <v>0.54</v>
      </c>
      <c r="J31" s="59">
        <v>0.25</v>
      </c>
      <c r="K31" s="59">
        <v>205.31</v>
      </c>
      <c r="L31" s="59">
        <v>20.8</v>
      </c>
      <c r="M31" s="59">
        <v>68.13</v>
      </c>
      <c r="N31" s="59">
        <v>4.8</v>
      </c>
      <c r="O31" s="59">
        <v>0</v>
      </c>
      <c r="P31" s="59">
        <v>0.89</v>
      </c>
      <c r="Q31" s="59">
        <v>29.68</v>
      </c>
      <c r="R31" s="197"/>
      <c r="S31" s="197"/>
      <c r="T31" s="197"/>
      <c r="U31" s="197"/>
    </row>
    <row r="32" spans="1:21" s="12" customFormat="1" x14ac:dyDescent="0.25">
      <c r="A32" s="200" t="s">
        <v>942</v>
      </c>
      <c r="B32" s="59">
        <v>8.99</v>
      </c>
      <c r="C32" s="59">
        <v>91.55</v>
      </c>
      <c r="D32" s="59">
        <v>57.73</v>
      </c>
      <c r="E32" s="59">
        <v>4.12</v>
      </c>
      <c r="F32" s="59">
        <v>2.95</v>
      </c>
      <c r="G32" s="59">
        <v>46.13</v>
      </c>
      <c r="H32" s="59">
        <v>26.22</v>
      </c>
      <c r="I32" s="59">
        <v>0.54</v>
      </c>
      <c r="J32" s="59">
        <v>0.14000000000000001</v>
      </c>
      <c r="K32" s="59">
        <v>342.56</v>
      </c>
      <c r="L32" s="59">
        <v>20.329999999999998</v>
      </c>
      <c r="M32" s="59">
        <v>74.290000000000006</v>
      </c>
      <c r="N32" s="59">
        <v>4.4000000000000004</v>
      </c>
      <c r="O32" s="59">
        <v>0</v>
      </c>
      <c r="P32" s="59">
        <v>0.9</v>
      </c>
      <c r="Q32" s="59">
        <v>29.95</v>
      </c>
      <c r="R32" s="197"/>
      <c r="S32" s="197"/>
      <c r="T32" s="197"/>
      <c r="U32" s="197"/>
    </row>
    <row r="33" spans="1:21" s="12" customFormat="1" x14ac:dyDescent="0.25">
      <c r="A33" s="200" t="s">
        <v>943</v>
      </c>
      <c r="B33" s="59">
        <v>10.07</v>
      </c>
      <c r="C33" s="59">
        <v>91.54</v>
      </c>
      <c r="D33" s="59">
        <v>58.59</v>
      </c>
      <c r="E33" s="59">
        <v>4.1399999999999997</v>
      </c>
      <c r="F33" s="59">
        <v>2.95</v>
      </c>
      <c r="G33" s="59">
        <v>43.2</v>
      </c>
      <c r="H33" s="59">
        <v>25.28</v>
      </c>
      <c r="I33" s="59">
        <v>0.54</v>
      </c>
      <c r="J33" s="59">
        <v>0.03</v>
      </c>
      <c r="K33" s="59">
        <v>119.35</v>
      </c>
      <c r="L33" s="59">
        <v>19.97</v>
      </c>
      <c r="M33" s="59">
        <v>76.48</v>
      </c>
      <c r="N33" s="59">
        <v>6.3</v>
      </c>
      <c r="O33" s="59">
        <v>0</v>
      </c>
      <c r="P33" s="59">
        <v>0.9</v>
      </c>
      <c r="Q33" s="59">
        <v>30.11</v>
      </c>
      <c r="R33" s="197"/>
      <c r="S33" s="197"/>
      <c r="T33" s="197"/>
      <c r="U33" s="197"/>
    </row>
    <row r="34" spans="1:21" s="12" customFormat="1" x14ac:dyDescent="0.25">
      <c r="A34" s="200" t="s">
        <v>944</v>
      </c>
      <c r="B34" s="59">
        <v>11.2</v>
      </c>
      <c r="C34" s="59">
        <v>91</v>
      </c>
      <c r="D34" s="59">
        <v>59.21</v>
      </c>
      <c r="E34" s="59">
        <v>4.12</v>
      </c>
      <c r="F34" s="59">
        <v>2.58</v>
      </c>
      <c r="G34" s="59">
        <v>43.13</v>
      </c>
      <c r="H34" s="59">
        <v>25.26</v>
      </c>
      <c r="I34" s="59">
        <v>0.54</v>
      </c>
      <c r="J34" s="59">
        <v>7.0000000000000007E-2</v>
      </c>
      <c r="K34" s="59">
        <v>234.62</v>
      </c>
      <c r="L34" s="59">
        <v>19.84</v>
      </c>
      <c r="M34" s="59">
        <v>78.33</v>
      </c>
      <c r="N34" s="59">
        <v>17.2</v>
      </c>
      <c r="O34" s="59">
        <v>0</v>
      </c>
      <c r="P34" s="59">
        <v>0.94</v>
      </c>
      <c r="Q34" s="59">
        <v>30.27</v>
      </c>
      <c r="R34" s="197"/>
      <c r="S34" s="197"/>
      <c r="T34" s="197"/>
      <c r="U34" s="197"/>
    </row>
    <row r="35" spans="1:21" s="12" customFormat="1" x14ac:dyDescent="0.25">
      <c r="A35" s="200" t="s">
        <v>945</v>
      </c>
      <c r="B35" s="59">
        <v>12.49</v>
      </c>
      <c r="C35" s="59">
        <v>91.07</v>
      </c>
      <c r="D35" s="59">
        <v>60.27</v>
      </c>
      <c r="E35" s="59">
        <v>4.4000000000000004</v>
      </c>
      <c r="F35" s="59">
        <v>2.79</v>
      </c>
      <c r="G35" s="59">
        <v>43.13</v>
      </c>
      <c r="H35" s="59">
        <v>25.26</v>
      </c>
      <c r="I35" s="59">
        <v>0.55000000000000004</v>
      </c>
      <c r="J35" s="59">
        <v>0.13</v>
      </c>
      <c r="K35" s="59">
        <v>79.73</v>
      </c>
      <c r="L35" s="59">
        <v>20.309999999999999</v>
      </c>
      <c r="M35" s="59">
        <v>78.260000000000005</v>
      </c>
      <c r="N35" s="59">
        <v>27.5</v>
      </c>
      <c r="O35" s="59">
        <v>0</v>
      </c>
      <c r="P35" s="59">
        <v>0.93</v>
      </c>
      <c r="Q35" s="59">
        <v>30.78</v>
      </c>
      <c r="R35" s="197"/>
      <c r="S35" s="197"/>
      <c r="T35" s="197"/>
      <c r="U35" s="197"/>
    </row>
    <row r="36" spans="1:21" s="12" customFormat="1" x14ac:dyDescent="0.25">
      <c r="A36" s="200" t="s">
        <v>946</v>
      </c>
      <c r="B36" s="59">
        <v>14.13</v>
      </c>
      <c r="C36" s="59">
        <v>91.4</v>
      </c>
      <c r="D36" s="59">
        <v>61.77</v>
      </c>
      <c r="E36" s="59">
        <v>4.54</v>
      </c>
      <c r="F36" s="59">
        <v>2.86</v>
      </c>
      <c r="G36" s="59">
        <v>43.13</v>
      </c>
      <c r="H36" s="59">
        <v>25.26</v>
      </c>
      <c r="I36" s="59">
        <v>0.55000000000000004</v>
      </c>
      <c r="J36" s="59">
        <v>0.1</v>
      </c>
      <c r="K36" s="59">
        <v>53.83</v>
      </c>
      <c r="L36" s="59">
        <v>20.61</v>
      </c>
      <c r="M36" s="59">
        <v>80.75</v>
      </c>
      <c r="N36" s="59">
        <v>54.7</v>
      </c>
      <c r="O36" s="59">
        <v>0</v>
      </c>
      <c r="P36" s="59">
        <v>0.95</v>
      </c>
      <c r="Q36" s="59">
        <v>31.74</v>
      </c>
      <c r="R36" s="197"/>
      <c r="S36" s="197"/>
      <c r="T36" s="197"/>
      <c r="U36" s="197"/>
    </row>
    <row r="37" spans="1:21" s="12" customFormat="1" x14ac:dyDescent="0.25">
      <c r="A37" s="200" t="s">
        <v>947</v>
      </c>
      <c r="B37" s="59">
        <v>15.48</v>
      </c>
      <c r="C37" s="59">
        <v>90.95</v>
      </c>
      <c r="D37" s="59">
        <v>62.6</v>
      </c>
      <c r="E37" s="59">
        <v>4.55</v>
      </c>
      <c r="F37" s="59">
        <v>2.89</v>
      </c>
      <c r="G37" s="59">
        <v>57.24</v>
      </c>
      <c r="H37" s="59">
        <v>25.01</v>
      </c>
      <c r="I37" s="59">
        <v>0.56000000000000005</v>
      </c>
      <c r="J37" s="59">
        <v>0.18</v>
      </c>
      <c r="K37" s="59">
        <v>8.5500000000000007</v>
      </c>
      <c r="L37" s="59">
        <v>21.37</v>
      </c>
      <c r="M37" s="59">
        <v>75.34</v>
      </c>
      <c r="N37" s="59">
        <v>116.6</v>
      </c>
      <c r="O37" s="59">
        <v>0</v>
      </c>
      <c r="P37" s="59">
        <v>0.93</v>
      </c>
      <c r="Q37" s="59">
        <v>31.82</v>
      </c>
      <c r="R37" s="197"/>
      <c r="S37" s="197"/>
      <c r="T37" s="197"/>
      <c r="U37" s="197"/>
    </row>
    <row r="38" spans="1:21" s="12" customFormat="1" x14ac:dyDescent="0.25">
      <c r="A38" s="200" t="s">
        <v>948</v>
      </c>
      <c r="B38" s="59">
        <v>15.9</v>
      </c>
      <c r="C38" s="59">
        <v>90.48</v>
      </c>
      <c r="D38" s="59">
        <v>62.68</v>
      </c>
      <c r="E38" s="59">
        <v>4.3600000000000003</v>
      </c>
      <c r="F38" s="59">
        <v>2.94</v>
      </c>
      <c r="G38" s="59">
        <v>57.56</v>
      </c>
      <c r="H38" s="59">
        <v>25</v>
      </c>
      <c r="I38" s="59">
        <v>0.56999999999999995</v>
      </c>
      <c r="J38" s="59">
        <v>0.12</v>
      </c>
      <c r="K38" s="59">
        <v>45.31</v>
      </c>
      <c r="L38" s="59">
        <v>23.03</v>
      </c>
      <c r="M38" s="59">
        <v>66.05</v>
      </c>
      <c r="N38" s="59">
        <v>167.7</v>
      </c>
      <c r="O38" s="59">
        <v>0</v>
      </c>
      <c r="P38" s="59">
        <v>0.98</v>
      </c>
      <c r="Q38" s="59">
        <v>31.92</v>
      </c>
      <c r="R38" s="197"/>
      <c r="S38" s="197"/>
      <c r="T38" s="197"/>
      <c r="U38" s="197"/>
    </row>
    <row r="39" spans="1:21" s="12" customFormat="1" x14ac:dyDescent="0.25">
      <c r="A39" s="200" t="s">
        <v>949</v>
      </c>
      <c r="B39" s="59">
        <v>15.6</v>
      </c>
      <c r="C39" s="59">
        <v>90.69</v>
      </c>
      <c r="D39" s="59">
        <v>62.56</v>
      </c>
      <c r="E39" s="59">
        <v>4.6399999999999997</v>
      </c>
      <c r="F39" s="59">
        <v>2.87</v>
      </c>
      <c r="G39" s="59">
        <v>57.56</v>
      </c>
      <c r="H39" s="59">
        <v>25</v>
      </c>
      <c r="I39" s="59">
        <v>0.56999999999999995</v>
      </c>
      <c r="J39" s="59">
        <v>0.19</v>
      </c>
      <c r="K39" s="59">
        <v>42.97</v>
      </c>
      <c r="L39" s="59">
        <v>23.89</v>
      </c>
      <c r="M39" s="59">
        <v>61.83</v>
      </c>
      <c r="N39" s="59">
        <v>178.8</v>
      </c>
      <c r="O39" s="59">
        <v>0</v>
      </c>
      <c r="P39" s="59">
        <v>0.99</v>
      </c>
      <c r="Q39" s="59">
        <v>31.94</v>
      </c>
      <c r="R39" s="197"/>
      <c r="S39" s="197"/>
      <c r="T39" s="197"/>
      <c r="U39" s="197"/>
    </row>
    <row r="40" spans="1:21" s="12" customFormat="1" x14ac:dyDescent="0.25">
      <c r="A40" s="200" t="s">
        <v>950</v>
      </c>
      <c r="B40" s="59">
        <v>14.94</v>
      </c>
      <c r="C40" s="59">
        <v>91.61</v>
      </c>
      <c r="D40" s="59">
        <v>62.54</v>
      </c>
      <c r="E40" s="59">
        <v>2.4700000000000002</v>
      </c>
      <c r="F40" s="59">
        <v>2.94</v>
      </c>
      <c r="G40" s="59">
        <v>57.56</v>
      </c>
      <c r="H40" s="59">
        <v>25</v>
      </c>
      <c r="I40" s="59">
        <v>0.56999999999999995</v>
      </c>
      <c r="J40" s="59">
        <v>0.1</v>
      </c>
      <c r="K40" s="59">
        <v>6.79</v>
      </c>
      <c r="L40" s="59">
        <v>23.99</v>
      </c>
      <c r="M40" s="59">
        <v>59.92</v>
      </c>
      <c r="N40" s="59">
        <v>168.8</v>
      </c>
      <c r="O40" s="59">
        <v>0</v>
      </c>
      <c r="P40" s="59">
        <v>0.98</v>
      </c>
      <c r="Q40" s="59">
        <v>31.86</v>
      </c>
      <c r="R40" s="197"/>
      <c r="S40" s="197"/>
      <c r="T40" s="197"/>
      <c r="U40" s="197"/>
    </row>
    <row r="41" spans="1:21" s="12" customFormat="1" x14ac:dyDescent="0.25">
      <c r="A41" s="200" t="s">
        <v>951</v>
      </c>
      <c r="B41" s="59">
        <v>14.21</v>
      </c>
      <c r="C41" s="59">
        <v>93.63</v>
      </c>
      <c r="D41" s="59">
        <v>63.06</v>
      </c>
      <c r="E41" s="59">
        <v>3.92</v>
      </c>
      <c r="F41" s="59">
        <v>2.98</v>
      </c>
      <c r="G41" s="59">
        <v>57.06</v>
      </c>
      <c r="H41" s="59">
        <v>25.72</v>
      </c>
      <c r="I41" s="59">
        <v>0.56999999999999995</v>
      </c>
      <c r="J41" s="59">
        <v>0.28000000000000003</v>
      </c>
      <c r="K41" s="59">
        <v>20.47</v>
      </c>
      <c r="L41" s="59">
        <v>24.41</v>
      </c>
      <c r="M41" s="59">
        <v>58.51</v>
      </c>
      <c r="N41" s="59">
        <v>188.1</v>
      </c>
      <c r="O41" s="59">
        <v>0</v>
      </c>
      <c r="P41" s="59">
        <v>0.98</v>
      </c>
      <c r="Q41" s="59">
        <v>31.59</v>
      </c>
      <c r="R41" s="197"/>
      <c r="S41" s="197"/>
      <c r="T41" s="197"/>
      <c r="U41" s="197"/>
    </row>
    <row r="42" spans="1:21" s="12" customFormat="1" x14ac:dyDescent="0.25">
      <c r="A42" s="200" t="s">
        <v>952</v>
      </c>
      <c r="B42" s="59">
        <v>13.74</v>
      </c>
      <c r="C42" s="59">
        <v>94.26</v>
      </c>
      <c r="D42" s="59">
        <v>63.04</v>
      </c>
      <c r="E42" s="59">
        <v>3.74</v>
      </c>
      <c r="F42" s="59">
        <v>3.09</v>
      </c>
      <c r="G42" s="59">
        <v>57.05</v>
      </c>
      <c r="H42" s="59">
        <v>25.73</v>
      </c>
      <c r="I42" s="59">
        <v>0.56999999999999995</v>
      </c>
      <c r="J42" s="59">
        <v>0.26</v>
      </c>
      <c r="K42" s="59">
        <v>22.61</v>
      </c>
      <c r="L42" s="59">
        <v>24.45</v>
      </c>
      <c r="M42" s="59">
        <v>57.65</v>
      </c>
      <c r="N42" s="59">
        <v>139.80000000000001</v>
      </c>
      <c r="O42" s="59">
        <v>0</v>
      </c>
      <c r="P42" s="59">
        <v>0.99</v>
      </c>
      <c r="Q42" s="59">
        <v>31.35</v>
      </c>
      <c r="R42" s="197"/>
      <c r="S42" s="197"/>
      <c r="T42" s="197"/>
      <c r="U42" s="197"/>
    </row>
    <row r="43" spans="1:21" s="12" customFormat="1" x14ac:dyDescent="0.25">
      <c r="A43" s="200" t="s">
        <v>953</v>
      </c>
      <c r="B43" s="59">
        <v>13.83</v>
      </c>
      <c r="C43" s="59">
        <v>94.07</v>
      </c>
      <c r="D43" s="59">
        <v>63</v>
      </c>
      <c r="E43" s="59">
        <v>4.03</v>
      </c>
      <c r="F43" s="59">
        <v>2.9</v>
      </c>
      <c r="G43" s="59">
        <v>57.05</v>
      </c>
      <c r="H43" s="59">
        <v>25.73</v>
      </c>
      <c r="I43" s="59">
        <v>0.56999999999999995</v>
      </c>
      <c r="J43" s="59">
        <v>0.13</v>
      </c>
      <c r="K43" s="59">
        <v>260.75</v>
      </c>
      <c r="L43" s="59">
        <v>24.84</v>
      </c>
      <c r="M43" s="59">
        <v>54.61</v>
      </c>
      <c r="N43" s="59">
        <v>365.7</v>
      </c>
      <c r="O43" s="59">
        <v>0</v>
      </c>
      <c r="P43" s="59">
        <v>0.99</v>
      </c>
      <c r="Q43" s="59">
        <v>30.96</v>
      </c>
      <c r="R43" s="197"/>
      <c r="S43" s="197"/>
      <c r="T43" s="197"/>
      <c r="U43" s="197"/>
    </row>
    <row r="44" spans="1:21" s="12" customFormat="1" x14ac:dyDescent="0.25">
      <c r="A44" s="200" t="s">
        <v>954</v>
      </c>
      <c r="B44" s="59">
        <v>13.61</v>
      </c>
      <c r="C44" s="59">
        <v>95.33</v>
      </c>
      <c r="D44" s="59">
        <v>63.52</v>
      </c>
      <c r="E44" s="59">
        <v>3.66</v>
      </c>
      <c r="F44" s="59">
        <v>2.88</v>
      </c>
      <c r="G44" s="59">
        <v>57.05</v>
      </c>
      <c r="H44" s="59">
        <v>25.73</v>
      </c>
      <c r="I44" s="59">
        <v>0.56000000000000005</v>
      </c>
      <c r="J44" s="59">
        <v>0.16</v>
      </c>
      <c r="K44" s="59">
        <v>319.33999999999997</v>
      </c>
      <c r="L44" s="59">
        <v>24.97</v>
      </c>
      <c r="M44" s="59">
        <v>55.04</v>
      </c>
      <c r="N44" s="59">
        <v>444.4</v>
      </c>
      <c r="O44" s="59">
        <v>0</v>
      </c>
      <c r="P44" s="59">
        <v>0.98</v>
      </c>
      <c r="Q44" s="59">
        <v>30.76</v>
      </c>
      <c r="R44" s="197"/>
      <c r="S44" s="197"/>
      <c r="T44" s="197"/>
      <c r="U44" s="197"/>
    </row>
    <row r="45" spans="1:21" s="12" customFormat="1" x14ac:dyDescent="0.25">
      <c r="A45" s="200" t="s">
        <v>955</v>
      </c>
      <c r="B45" s="59">
        <v>12.89</v>
      </c>
      <c r="C45" s="59">
        <v>96.73</v>
      </c>
      <c r="D45" s="59">
        <v>63.72</v>
      </c>
      <c r="E45" s="59">
        <v>3.95</v>
      </c>
      <c r="F45" s="59">
        <v>2.88</v>
      </c>
      <c r="G45" s="59">
        <v>14.53</v>
      </c>
      <c r="H45" s="59">
        <v>26.81</v>
      </c>
      <c r="I45" s="59">
        <v>0.56999999999999995</v>
      </c>
      <c r="J45" s="59">
        <v>0.17</v>
      </c>
      <c r="K45" s="59">
        <v>344.6</v>
      </c>
      <c r="L45" s="59">
        <v>27.24</v>
      </c>
      <c r="M45" s="59">
        <v>48.53</v>
      </c>
      <c r="N45" s="59">
        <v>497.1</v>
      </c>
      <c r="O45" s="59">
        <v>0</v>
      </c>
      <c r="P45" s="59">
        <v>0.98</v>
      </c>
      <c r="Q45" s="59">
        <v>30.79</v>
      </c>
      <c r="R45" s="197"/>
      <c r="S45" s="197"/>
      <c r="T45" s="197"/>
      <c r="U45" s="197"/>
    </row>
    <row r="46" spans="1:21" s="12" customFormat="1" x14ac:dyDescent="0.25">
      <c r="A46" s="200" t="s">
        <v>956</v>
      </c>
      <c r="B46" s="59">
        <v>12.22</v>
      </c>
      <c r="C46" s="59">
        <v>97.45</v>
      </c>
      <c r="D46" s="59">
        <v>63.58</v>
      </c>
      <c r="E46" s="59">
        <v>4.16</v>
      </c>
      <c r="F46" s="59">
        <v>2.88</v>
      </c>
      <c r="G46" s="59">
        <v>12.55</v>
      </c>
      <c r="H46" s="59">
        <v>26.84</v>
      </c>
      <c r="I46" s="59">
        <v>0.56999999999999995</v>
      </c>
      <c r="J46" s="59">
        <v>0.42</v>
      </c>
      <c r="K46" s="59">
        <v>39.4</v>
      </c>
      <c r="L46" s="59">
        <v>27.78</v>
      </c>
      <c r="M46" s="59">
        <v>47.34</v>
      </c>
      <c r="N46" s="59">
        <v>557</v>
      </c>
      <c r="O46" s="59">
        <v>0</v>
      </c>
      <c r="P46" s="59">
        <v>0.98</v>
      </c>
      <c r="Q46" s="59">
        <v>30.93</v>
      </c>
      <c r="R46" s="197"/>
      <c r="S46" s="197"/>
      <c r="T46" s="197"/>
      <c r="U46" s="197"/>
    </row>
    <row r="47" spans="1:21" s="12" customFormat="1" x14ac:dyDescent="0.25">
      <c r="A47" s="200" t="s">
        <v>957</v>
      </c>
      <c r="B47" s="59">
        <v>11.76</v>
      </c>
      <c r="C47" s="59">
        <v>97.73</v>
      </c>
      <c r="D47" s="59">
        <v>63.37</v>
      </c>
      <c r="E47" s="59">
        <v>4.04</v>
      </c>
      <c r="F47" s="59">
        <v>2.69</v>
      </c>
      <c r="G47" s="59">
        <v>12.55</v>
      </c>
      <c r="H47" s="59">
        <v>26.84</v>
      </c>
      <c r="I47" s="59">
        <v>0.56999999999999995</v>
      </c>
      <c r="J47" s="59">
        <v>0.45</v>
      </c>
      <c r="K47" s="59">
        <v>39</v>
      </c>
      <c r="L47" s="59">
        <v>29.72</v>
      </c>
      <c r="M47" s="59">
        <v>41.38</v>
      </c>
      <c r="N47" s="59">
        <v>592.29999999999995</v>
      </c>
      <c r="O47" s="59">
        <v>0</v>
      </c>
      <c r="P47" s="59">
        <v>0.98</v>
      </c>
      <c r="Q47" s="59">
        <v>31.13</v>
      </c>
      <c r="R47" s="197"/>
      <c r="S47" s="197"/>
      <c r="T47" s="197"/>
      <c r="U47" s="197"/>
    </row>
    <row r="48" spans="1:21" s="12" customFormat="1" x14ac:dyDescent="0.25">
      <c r="A48" s="200" t="s">
        <v>958</v>
      </c>
      <c r="B48" s="59">
        <v>11.27</v>
      </c>
      <c r="C48" s="59">
        <v>98.26</v>
      </c>
      <c r="D48" s="59">
        <v>63.26</v>
      </c>
      <c r="E48" s="59">
        <v>4.25</v>
      </c>
      <c r="F48" s="59">
        <v>2.96</v>
      </c>
      <c r="G48" s="59">
        <v>12.55</v>
      </c>
      <c r="H48" s="59">
        <v>26.84</v>
      </c>
      <c r="I48" s="59">
        <v>0.56999999999999995</v>
      </c>
      <c r="J48" s="59">
        <v>0.86</v>
      </c>
      <c r="K48" s="59">
        <v>130.93</v>
      </c>
      <c r="L48" s="59">
        <v>27.4</v>
      </c>
      <c r="M48" s="59">
        <v>46.42</v>
      </c>
      <c r="N48" s="59">
        <v>636.29999999999995</v>
      </c>
      <c r="O48" s="59">
        <v>0</v>
      </c>
      <c r="P48" s="59">
        <v>0.97</v>
      </c>
      <c r="Q48" s="59">
        <v>31.48</v>
      </c>
      <c r="R48" s="197"/>
      <c r="S48" s="197"/>
      <c r="T48" s="197"/>
      <c r="U48" s="197"/>
    </row>
    <row r="49" spans="1:21" s="12" customFormat="1" x14ac:dyDescent="0.25">
      <c r="A49" s="200" t="s">
        <v>959</v>
      </c>
      <c r="B49" s="59">
        <v>10.93</v>
      </c>
      <c r="C49" s="59">
        <v>98.51</v>
      </c>
      <c r="D49" s="59">
        <v>63.13</v>
      </c>
      <c r="E49" s="59">
        <v>4.26</v>
      </c>
      <c r="F49" s="59">
        <v>3.05</v>
      </c>
      <c r="G49" s="59">
        <v>107.78</v>
      </c>
      <c r="H49" s="59">
        <v>27.75</v>
      </c>
      <c r="I49" s="59">
        <v>0.56999999999999995</v>
      </c>
      <c r="J49" s="59">
        <v>0.28000000000000003</v>
      </c>
      <c r="K49" s="59">
        <v>232.03</v>
      </c>
      <c r="L49" s="59">
        <v>27.62</v>
      </c>
      <c r="M49" s="59">
        <v>46.34</v>
      </c>
      <c r="N49" s="59">
        <v>667.1</v>
      </c>
      <c r="O49" s="59">
        <v>0</v>
      </c>
      <c r="P49" s="59">
        <v>0.97</v>
      </c>
      <c r="Q49" s="59">
        <v>31.81</v>
      </c>
      <c r="R49" s="197"/>
      <c r="S49" s="197"/>
      <c r="T49" s="197"/>
      <c r="U49" s="197"/>
    </row>
    <row r="50" spans="1:21" s="12" customFormat="1" x14ac:dyDescent="0.25">
      <c r="A50" s="200" t="s">
        <v>960</v>
      </c>
      <c r="B50" s="59">
        <v>9.5</v>
      </c>
      <c r="C50" s="59">
        <v>99.71</v>
      </c>
      <c r="D50" s="59">
        <v>62.65</v>
      </c>
      <c r="E50" s="59">
        <v>4.45</v>
      </c>
      <c r="F50" s="59">
        <v>3.27</v>
      </c>
      <c r="G50" s="59">
        <v>109.94</v>
      </c>
      <c r="H50" s="59">
        <v>27.77</v>
      </c>
      <c r="I50" s="59">
        <v>0.57999999999999996</v>
      </c>
      <c r="J50" s="59">
        <v>0.24</v>
      </c>
      <c r="K50" s="59">
        <v>24.46</v>
      </c>
      <c r="L50" s="59">
        <v>29.89</v>
      </c>
      <c r="M50" s="59">
        <v>42.2</v>
      </c>
      <c r="N50" s="59">
        <v>697</v>
      </c>
      <c r="O50" s="59">
        <v>0</v>
      </c>
      <c r="P50" s="59">
        <v>0.98</v>
      </c>
      <c r="Q50" s="59">
        <v>32.9</v>
      </c>
      <c r="R50" s="197"/>
      <c r="S50" s="197"/>
      <c r="T50" s="197"/>
      <c r="U50" s="197"/>
    </row>
    <row r="51" spans="1:21" s="12" customFormat="1" x14ac:dyDescent="0.25">
      <c r="A51" s="200" t="s">
        <v>961</v>
      </c>
      <c r="B51" s="59">
        <v>7.02</v>
      </c>
      <c r="C51" s="59">
        <v>102.18</v>
      </c>
      <c r="D51" s="59">
        <v>62.02</v>
      </c>
      <c r="E51" s="59">
        <v>4.68</v>
      </c>
      <c r="F51" s="59">
        <v>3.32</v>
      </c>
      <c r="G51" s="59">
        <v>109.94</v>
      </c>
      <c r="H51" s="59">
        <v>27.77</v>
      </c>
      <c r="I51" s="59">
        <v>0.59</v>
      </c>
      <c r="J51" s="59">
        <v>0.52</v>
      </c>
      <c r="K51" s="59">
        <v>18.98</v>
      </c>
      <c r="L51" s="59">
        <v>32.72</v>
      </c>
      <c r="M51" s="59">
        <v>36.26</v>
      </c>
      <c r="N51" s="59">
        <v>736.4</v>
      </c>
      <c r="O51" s="59">
        <v>0</v>
      </c>
      <c r="P51" s="59">
        <v>0.99</v>
      </c>
      <c r="Q51" s="59">
        <v>33.5</v>
      </c>
      <c r="R51" s="197"/>
      <c r="S51" s="197"/>
      <c r="T51" s="197"/>
      <c r="U51" s="197"/>
    </row>
    <row r="52" spans="1:21" s="12" customFormat="1" x14ac:dyDescent="0.25">
      <c r="A52" s="200" t="s">
        <v>962</v>
      </c>
      <c r="B52" s="59">
        <v>4.6500000000000004</v>
      </c>
      <c r="C52" s="59">
        <v>104.41</v>
      </c>
      <c r="D52" s="59">
        <v>61.35</v>
      </c>
      <c r="E52" s="59">
        <v>4.9000000000000004</v>
      </c>
      <c r="F52" s="59">
        <v>3.37</v>
      </c>
      <c r="G52" s="59">
        <v>109.94</v>
      </c>
      <c r="H52" s="59">
        <v>27.77</v>
      </c>
      <c r="I52" s="59">
        <v>0.59</v>
      </c>
      <c r="J52" s="59">
        <v>0.42</v>
      </c>
      <c r="K52" s="59">
        <v>25.16</v>
      </c>
      <c r="L52" s="59">
        <v>33.369999999999997</v>
      </c>
      <c r="M52" s="59">
        <v>33.93</v>
      </c>
      <c r="N52" s="59">
        <v>765.2</v>
      </c>
      <c r="O52" s="59">
        <v>0</v>
      </c>
      <c r="P52" s="59">
        <v>1</v>
      </c>
      <c r="Q52" s="59">
        <v>33.56</v>
      </c>
      <c r="R52" s="197"/>
      <c r="S52" s="197"/>
      <c r="T52" s="197"/>
      <c r="U52" s="197"/>
    </row>
    <row r="53" spans="1:21" s="12" customFormat="1" x14ac:dyDescent="0.25">
      <c r="A53" s="200" t="s">
        <v>963</v>
      </c>
      <c r="B53" s="59">
        <v>2.78</v>
      </c>
      <c r="C53" s="59">
        <v>105.51</v>
      </c>
      <c r="D53" s="59">
        <v>60.46</v>
      </c>
      <c r="E53" s="59">
        <v>4.5999999999999996</v>
      </c>
      <c r="F53" s="59">
        <v>3.48</v>
      </c>
      <c r="G53" s="59">
        <v>71.47</v>
      </c>
      <c r="H53" s="59">
        <v>31.18</v>
      </c>
      <c r="I53" s="59">
        <v>0.57999999999999996</v>
      </c>
      <c r="J53" s="59">
        <v>0.32</v>
      </c>
      <c r="K53" s="59">
        <v>25.47</v>
      </c>
      <c r="L53" s="59">
        <v>33.380000000000003</v>
      </c>
      <c r="M53" s="59">
        <v>33.770000000000003</v>
      </c>
      <c r="N53" s="59">
        <v>798.4</v>
      </c>
      <c r="O53" s="59">
        <v>0</v>
      </c>
      <c r="P53" s="59">
        <v>1</v>
      </c>
      <c r="Q53" s="59">
        <v>33.53</v>
      </c>
      <c r="R53" s="197"/>
      <c r="S53" s="197"/>
      <c r="T53" s="197"/>
      <c r="U53" s="197"/>
    </row>
    <row r="54" spans="1:21" s="12" customFormat="1" x14ac:dyDescent="0.25">
      <c r="A54" s="200" t="s">
        <v>964</v>
      </c>
      <c r="B54" s="59">
        <v>1.62</v>
      </c>
      <c r="C54" s="59">
        <v>104.82</v>
      </c>
      <c r="D54" s="59">
        <v>59.15</v>
      </c>
      <c r="E54" s="59">
        <v>4.59</v>
      </c>
      <c r="F54" s="59">
        <v>3.63</v>
      </c>
      <c r="G54" s="59">
        <v>70.59</v>
      </c>
      <c r="H54" s="59">
        <v>31.26</v>
      </c>
      <c r="I54" s="59">
        <v>0.57999999999999996</v>
      </c>
      <c r="J54" s="59">
        <v>0.18</v>
      </c>
      <c r="K54" s="59">
        <v>15.87</v>
      </c>
      <c r="L54" s="59">
        <v>33.08</v>
      </c>
      <c r="M54" s="59">
        <v>33.57</v>
      </c>
      <c r="N54" s="59">
        <v>811.5</v>
      </c>
      <c r="O54" s="59">
        <v>0</v>
      </c>
      <c r="P54" s="59">
        <v>0.99</v>
      </c>
      <c r="Q54" s="59">
        <v>33.42</v>
      </c>
      <c r="R54" s="197"/>
      <c r="S54" s="197"/>
      <c r="T54" s="197"/>
      <c r="U54" s="197"/>
    </row>
    <row r="55" spans="1:21" s="12" customFormat="1" x14ac:dyDescent="0.25">
      <c r="A55" s="200" t="s">
        <v>965</v>
      </c>
      <c r="B55" s="59">
        <v>1.08</v>
      </c>
      <c r="C55" s="59">
        <v>104.04</v>
      </c>
      <c r="D55" s="59">
        <v>58.29</v>
      </c>
      <c r="E55" s="59">
        <v>4.3</v>
      </c>
      <c r="F55" s="59">
        <v>3.79</v>
      </c>
      <c r="G55" s="59">
        <v>70.59</v>
      </c>
      <c r="H55" s="59">
        <v>31.26</v>
      </c>
      <c r="I55" s="59">
        <v>0.56999999999999995</v>
      </c>
      <c r="J55" s="59">
        <v>0.48</v>
      </c>
      <c r="K55" s="59">
        <v>28.24</v>
      </c>
      <c r="L55" s="59">
        <v>33.76</v>
      </c>
      <c r="M55" s="59">
        <v>33.39</v>
      </c>
      <c r="N55" s="59">
        <v>822.6</v>
      </c>
      <c r="O55" s="59">
        <v>0</v>
      </c>
      <c r="P55" s="59">
        <v>0.98</v>
      </c>
      <c r="Q55" s="59">
        <v>33.21</v>
      </c>
      <c r="R55" s="197"/>
      <c r="S55" s="197"/>
      <c r="T55" s="197"/>
      <c r="U55" s="197"/>
    </row>
    <row r="56" spans="1:21" s="12" customFormat="1" x14ac:dyDescent="0.25">
      <c r="A56" s="200" t="s">
        <v>966</v>
      </c>
      <c r="B56" s="59">
        <v>0.85</v>
      </c>
      <c r="C56" s="59">
        <v>102.76</v>
      </c>
      <c r="D56" s="59">
        <v>57.4</v>
      </c>
      <c r="E56" s="59">
        <v>1.97</v>
      </c>
      <c r="F56" s="59">
        <v>3.96</v>
      </c>
      <c r="G56" s="59">
        <v>70.59</v>
      </c>
      <c r="H56" s="59">
        <v>31.26</v>
      </c>
      <c r="I56" s="59">
        <v>0.56999999999999995</v>
      </c>
      <c r="J56" s="59">
        <v>0.05</v>
      </c>
      <c r="K56" s="59">
        <v>333.45</v>
      </c>
      <c r="L56" s="59">
        <v>32.909999999999997</v>
      </c>
      <c r="M56" s="59">
        <v>32.65</v>
      </c>
      <c r="N56" s="59">
        <v>829.8</v>
      </c>
      <c r="O56" s="59">
        <v>0</v>
      </c>
      <c r="P56" s="59">
        <v>0.98</v>
      </c>
      <c r="Q56" s="59">
        <v>32.75</v>
      </c>
      <c r="R56" s="197"/>
      <c r="S56" s="197"/>
      <c r="T56" s="197"/>
      <c r="U56" s="197"/>
    </row>
    <row r="57" spans="1:21" s="12" customFormat="1" x14ac:dyDescent="0.25">
      <c r="A57" s="200" t="s">
        <v>967</v>
      </c>
      <c r="B57" s="59">
        <v>0.89</v>
      </c>
      <c r="C57" s="59">
        <v>101.33</v>
      </c>
      <c r="D57" s="59">
        <v>56.64</v>
      </c>
      <c r="E57" s="59">
        <v>3.44</v>
      </c>
      <c r="F57" s="59">
        <v>3.75</v>
      </c>
      <c r="G57" s="59">
        <v>55.35</v>
      </c>
      <c r="H57" s="59">
        <v>33.58</v>
      </c>
      <c r="I57" s="59">
        <v>0.56999999999999995</v>
      </c>
      <c r="J57" s="59">
        <v>0.2</v>
      </c>
      <c r="K57" s="59">
        <v>26.58</v>
      </c>
      <c r="L57" s="59">
        <v>33.369999999999997</v>
      </c>
      <c r="M57" s="59">
        <v>31.58</v>
      </c>
      <c r="N57" s="59">
        <v>815.3</v>
      </c>
      <c r="O57" s="59">
        <v>0</v>
      </c>
      <c r="P57" s="59">
        <v>0.96</v>
      </c>
      <c r="Q57" s="59">
        <v>31.95</v>
      </c>
      <c r="R57" s="197"/>
      <c r="S57" s="197"/>
      <c r="T57" s="197"/>
      <c r="U57" s="197"/>
    </row>
    <row r="58" spans="1:21" s="12" customFormat="1" x14ac:dyDescent="0.25">
      <c r="A58" s="200" t="s">
        <v>968</v>
      </c>
      <c r="B58" s="59">
        <v>1.26</v>
      </c>
      <c r="C58" s="59">
        <v>101.03</v>
      </c>
      <c r="D58" s="59">
        <v>56.77</v>
      </c>
      <c r="E58" s="59">
        <v>3.83</v>
      </c>
      <c r="F58" s="59">
        <v>3.58</v>
      </c>
      <c r="G58" s="59">
        <v>55.01</v>
      </c>
      <c r="H58" s="59">
        <v>33.630000000000003</v>
      </c>
      <c r="I58" s="59">
        <v>0.56999999999999995</v>
      </c>
      <c r="J58" s="59">
        <v>0.48</v>
      </c>
      <c r="K58" s="59">
        <v>43.76</v>
      </c>
      <c r="L58" s="59">
        <v>33.51</v>
      </c>
      <c r="M58" s="59">
        <v>31.36</v>
      </c>
      <c r="N58" s="59">
        <v>768.9</v>
      </c>
      <c r="O58" s="59">
        <v>0</v>
      </c>
      <c r="P58" s="59">
        <v>0.94</v>
      </c>
      <c r="Q58" s="59">
        <v>31.03</v>
      </c>
      <c r="R58" s="197"/>
      <c r="S58" s="197"/>
      <c r="T58" s="197"/>
      <c r="U58" s="197"/>
    </row>
    <row r="59" spans="1:21" s="12" customFormat="1" x14ac:dyDescent="0.25">
      <c r="A59" s="200" t="s">
        <v>969</v>
      </c>
      <c r="B59" s="59">
        <v>1.58</v>
      </c>
      <c r="C59" s="59">
        <v>100.59</v>
      </c>
      <c r="D59" s="59">
        <v>56.78</v>
      </c>
      <c r="E59" s="59">
        <v>3.23</v>
      </c>
      <c r="F59" s="59">
        <v>3.72</v>
      </c>
      <c r="G59" s="59">
        <v>55.01</v>
      </c>
      <c r="H59" s="59">
        <v>33.630000000000003</v>
      </c>
      <c r="I59" s="59">
        <v>0.56999999999999995</v>
      </c>
      <c r="J59" s="59">
        <v>0.25</v>
      </c>
      <c r="K59" s="59">
        <v>44.07</v>
      </c>
      <c r="L59" s="59">
        <v>32.869999999999997</v>
      </c>
      <c r="M59" s="59">
        <v>32.450000000000003</v>
      </c>
      <c r="N59" s="59">
        <v>765.2</v>
      </c>
      <c r="O59" s="59">
        <v>0</v>
      </c>
      <c r="P59" s="59">
        <v>0.95</v>
      </c>
      <c r="Q59" s="59">
        <v>31.01</v>
      </c>
      <c r="R59" s="197"/>
      <c r="S59" s="197"/>
      <c r="T59" s="197"/>
      <c r="U59" s="197"/>
    </row>
    <row r="60" spans="1:21" s="12" customFormat="1" x14ac:dyDescent="0.25">
      <c r="A60" s="200" t="s">
        <v>970</v>
      </c>
      <c r="B60" s="59">
        <v>1.8</v>
      </c>
      <c r="C60" s="59">
        <v>100.45</v>
      </c>
      <c r="D60" s="59">
        <v>56.88</v>
      </c>
      <c r="E60" s="59">
        <v>3.73</v>
      </c>
      <c r="F60" s="59">
        <v>3.76</v>
      </c>
      <c r="G60" s="59">
        <v>55.01</v>
      </c>
      <c r="H60" s="59">
        <v>33.630000000000003</v>
      </c>
      <c r="I60" s="59">
        <v>0.56000000000000005</v>
      </c>
      <c r="J60" s="59">
        <v>0.38</v>
      </c>
      <c r="K60" s="59">
        <v>78.25</v>
      </c>
      <c r="L60" s="59">
        <v>33.39</v>
      </c>
      <c r="M60" s="59">
        <v>30.14</v>
      </c>
      <c r="N60" s="59">
        <v>760.1</v>
      </c>
      <c r="O60" s="59">
        <v>0</v>
      </c>
      <c r="P60" s="59">
        <v>0.93</v>
      </c>
      <c r="Q60" s="59">
        <v>31.36</v>
      </c>
      <c r="R60" s="197"/>
      <c r="S60" s="197"/>
      <c r="T60" s="197"/>
      <c r="U60" s="197"/>
    </row>
    <row r="61" spans="1:21" s="12" customFormat="1" x14ac:dyDescent="0.25">
      <c r="A61" s="200" t="s">
        <v>971</v>
      </c>
      <c r="B61" s="59">
        <v>1.99</v>
      </c>
      <c r="C61" s="59">
        <v>100.05</v>
      </c>
      <c r="D61" s="59">
        <v>56.81</v>
      </c>
      <c r="E61" s="59">
        <v>3.68</v>
      </c>
      <c r="F61" s="59">
        <v>4.68</v>
      </c>
      <c r="G61" s="59">
        <v>49.68</v>
      </c>
      <c r="H61" s="59">
        <v>33.78</v>
      </c>
      <c r="I61" s="59">
        <v>0.57999999999999996</v>
      </c>
      <c r="J61" s="59">
        <v>0.51</v>
      </c>
      <c r="K61" s="59">
        <v>43.71</v>
      </c>
      <c r="L61" s="59">
        <v>33.130000000000003</v>
      </c>
      <c r="M61" s="59">
        <v>30.5</v>
      </c>
      <c r="N61" s="59">
        <v>724.8</v>
      </c>
      <c r="O61" s="59">
        <v>0</v>
      </c>
      <c r="P61" s="59">
        <v>0.9</v>
      </c>
      <c r="Q61" s="59">
        <v>31.82</v>
      </c>
      <c r="R61" s="197"/>
      <c r="S61" s="197"/>
      <c r="T61" s="197"/>
      <c r="U61" s="197"/>
    </row>
    <row r="62" spans="1:21" s="12" customFormat="1" x14ac:dyDescent="0.25">
      <c r="A62" s="200" t="s">
        <v>972</v>
      </c>
      <c r="B62" s="59">
        <v>2.09</v>
      </c>
      <c r="C62" s="59">
        <v>98.88</v>
      </c>
      <c r="D62" s="59">
        <v>56.24</v>
      </c>
      <c r="E62" s="59">
        <v>3.35</v>
      </c>
      <c r="F62" s="59">
        <v>3.76</v>
      </c>
      <c r="G62" s="59">
        <v>49.56</v>
      </c>
      <c r="H62" s="59">
        <v>33.79</v>
      </c>
      <c r="I62" s="59">
        <v>0.56999999999999995</v>
      </c>
      <c r="J62" s="59">
        <v>0.78</v>
      </c>
      <c r="K62" s="59">
        <v>18.510000000000002</v>
      </c>
      <c r="L62" s="59">
        <v>35.049999999999997</v>
      </c>
      <c r="M62" s="59">
        <v>28.26</v>
      </c>
      <c r="N62" s="59">
        <v>733.8</v>
      </c>
      <c r="O62" s="59">
        <v>0</v>
      </c>
      <c r="P62" s="59">
        <v>0.94</v>
      </c>
      <c r="Q62" s="59">
        <v>32.04</v>
      </c>
      <c r="R62" s="197"/>
      <c r="S62" s="197"/>
      <c r="T62" s="197"/>
      <c r="U62" s="197"/>
    </row>
    <row r="63" spans="1:21" s="12" customFormat="1" x14ac:dyDescent="0.25">
      <c r="A63" s="200" t="s">
        <v>973</v>
      </c>
      <c r="B63" s="59">
        <v>2.0299999999999998</v>
      </c>
      <c r="C63" s="59">
        <v>98.03</v>
      </c>
      <c r="D63" s="59">
        <v>55.73</v>
      </c>
      <c r="E63" s="59">
        <v>4.17</v>
      </c>
      <c r="F63" s="59">
        <v>3.54</v>
      </c>
      <c r="G63" s="59">
        <v>49.56</v>
      </c>
      <c r="H63" s="59">
        <v>33.79</v>
      </c>
      <c r="I63" s="59">
        <v>0.57999999999999996</v>
      </c>
      <c r="J63" s="59">
        <v>0.94</v>
      </c>
      <c r="K63" s="59">
        <v>27.95</v>
      </c>
      <c r="L63" s="59">
        <v>35.65</v>
      </c>
      <c r="M63" s="59">
        <v>26.6</v>
      </c>
      <c r="N63" s="59">
        <v>712.8</v>
      </c>
      <c r="O63" s="59">
        <v>0</v>
      </c>
      <c r="P63" s="59">
        <v>0.85</v>
      </c>
      <c r="Q63" s="59">
        <v>32.08</v>
      </c>
      <c r="R63" s="197"/>
      <c r="S63" s="197"/>
      <c r="T63" s="197"/>
      <c r="U63" s="197"/>
    </row>
    <row r="64" spans="1:21" s="12" customFormat="1" x14ac:dyDescent="0.25">
      <c r="A64" s="200" t="s">
        <v>974</v>
      </c>
      <c r="B64" s="59">
        <v>1.78</v>
      </c>
      <c r="C64" s="59">
        <v>97.36</v>
      </c>
      <c r="D64" s="59">
        <v>55.16</v>
      </c>
      <c r="E64" s="59">
        <v>3.89</v>
      </c>
      <c r="F64" s="59">
        <v>4.05</v>
      </c>
      <c r="G64" s="59">
        <v>49.56</v>
      </c>
      <c r="H64" s="59">
        <v>33.79</v>
      </c>
      <c r="I64" s="59">
        <v>0.61</v>
      </c>
      <c r="J64" s="59">
        <v>0.62</v>
      </c>
      <c r="K64" s="59">
        <v>128.5</v>
      </c>
      <c r="L64" s="59">
        <v>33.47</v>
      </c>
      <c r="M64" s="59">
        <v>29.39</v>
      </c>
      <c r="N64" s="59">
        <v>676.9</v>
      </c>
      <c r="O64" s="59">
        <v>0</v>
      </c>
      <c r="P64" s="59">
        <v>0.91</v>
      </c>
      <c r="Q64" s="59">
        <v>32.659999999999997</v>
      </c>
      <c r="R64" s="197"/>
      <c r="S64" s="197"/>
      <c r="T64" s="197"/>
      <c r="U64" s="197"/>
    </row>
    <row r="65" spans="1:21" s="12" customFormat="1" x14ac:dyDescent="0.25">
      <c r="A65" s="200" t="s">
        <v>975</v>
      </c>
      <c r="B65" s="59">
        <v>1.33</v>
      </c>
      <c r="C65" s="59">
        <v>96.54</v>
      </c>
      <c r="D65" s="59">
        <v>54.34</v>
      </c>
      <c r="E65" s="59">
        <v>3.65</v>
      </c>
      <c r="F65" s="59">
        <v>4.29</v>
      </c>
      <c r="G65" s="59">
        <v>51.72</v>
      </c>
      <c r="H65" s="59">
        <v>31.17</v>
      </c>
      <c r="I65" s="59">
        <v>0.57999999999999996</v>
      </c>
      <c r="J65" s="59">
        <v>0.33</v>
      </c>
      <c r="K65" s="59">
        <v>188.13</v>
      </c>
      <c r="L65" s="59">
        <v>33.29</v>
      </c>
      <c r="M65" s="59">
        <v>28.48</v>
      </c>
      <c r="N65" s="59">
        <v>661.9</v>
      </c>
      <c r="O65" s="59">
        <v>0</v>
      </c>
      <c r="P65" s="59">
        <v>0.87</v>
      </c>
      <c r="Q65" s="59">
        <v>33.71</v>
      </c>
      <c r="R65" s="197"/>
      <c r="S65" s="197"/>
      <c r="T65" s="197"/>
      <c r="U65" s="197"/>
    </row>
    <row r="66" spans="1:21" s="12" customFormat="1" x14ac:dyDescent="0.25">
      <c r="A66" s="200" t="s">
        <v>976</v>
      </c>
      <c r="B66" s="59">
        <v>0.98</v>
      </c>
      <c r="C66" s="59">
        <v>94.42</v>
      </c>
      <c r="D66" s="59">
        <v>52.89</v>
      </c>
      <c r="E66" s="59">
        <v>3.84</v>
      </c>
      <c r="F66" s="59">
        <v>4.3499999999999996</v>
      </c>
      <c r="G66" s="59">
        <v>51.77</v>
      </c>
      <c r="H66" s="59">
        <v>31.11</v>
      </c>
      <c r="I66" s="59">
        <v>0.6</v>
      </c>
      <c r="J66" s="59">
        <v>0.17</v>
      </c>
      <c r="K66" s="59">
        <v>298.31</v>
      </c>
      <c r="L66" s="59">
        <v>33.26</v>
      </c>
      <c r="M66" s="59">
        <v>28.07</v>
      </c>
      <c r="N66" s="59">
        <v>597.20000000000005</v>
      </c>
      <c r="O66" s="59">
        <v>0</v>
      </c>
      <c r="P66" s="59">
        <v>0.84</v>
      </c>
      <c r="Q66" s="59">
        <v>33.96</v>
      </c>
      <c r="R66" s="197"/>
      <c r="S66" s="197"/>
      <c r="T66" s="197"/>
      <c r="U66" s="197"/>
    </row>
    <row r="67" spans="1:21" s="12" customFormat="1" x14ac:dyDescent="0.25">
      <c r="A67" s="200" t="s">
        <v>977</v>
      </c>
      <c r="B67" s="59">
        <v>0.8</v>
      </c>
      <c r="C67" s="59">
        <v>92.96</v>
      </c>
      <c r="D67" s="59">
        <v>51.94</v>
      </c>
      <c r="E67" s="59">
        <v>3.43</v>
      </c>
      <c r="F67" s="59">
        <v>4.45</v>
      </c>
      <c r="G67" s="59">
        <v>51.77</v>
      </c>
      <c r="H67" s="59">
        <v>31.11</v>
      </c>
      <c r="I67" s="59">
        <v>0.61</v>
      </c>
      <c r="J67" s="59">
        <v>0.6</v>
      </c>
      <c r="K67" s="59">
        <v>29.6</v>
      </c>
      <c r="L67" s="59">
        <v>34.479999999999997</v>
      </c>
      <c r="M67" s="59">
        <v>25.82</v>
      </c>
      <c r="N67" s="59">
        <v>553.6</v>
      </c>
      <c r="O67" s="59">
        <v>0</v>
      </c>
      <c r="P67" s="59">
        <v>0.8</v>
      </c>
      <c r="Q67" s="59">
        <v>33.4</v>
      </c>
      <c r="R67" s="197"/>
      <c r="S67" s="197"/>
      <c r="T67" s="197"/>
      <c r="U67" s="197"/>
    </row>
    <row r="68" spans="1:21" s="12" customFormat="1" x14ac:dyDescent="0.25">
      <c r="A68" s="200" t="s">
        <v>978</v>
      </c>
      <c r="B68" s="59">
        <v>0.78</v>
      </c>
      <c r="C68" s="59">
        <v>92.9</v>
      </c>
      <c r="D68" s="59">
        <v>51.9</v>
      </c>
      <c r="E68" s="59">
        <v>4.03</v>
      </c>
      <c r="F68" s="59">
        <v>4.2</v>
      </c>
      <c r="G68" s="59">
        <v>51.77</v>
      </c>
      <c r="H68" s="59">
        <v>31.11</v>
      </c>
      <c r="I68" s="59">
        <v>0.6</v>
      </c>
      <c r="J68" s="59">
        <v>0.21</v>
      </c>
      <c r="K68" s="59">
        <v>13.51</v>
      </c>
      <c r="L68" s="59">
        <v>35.049999999999997</v>
      </c>
      <c r="M68" s="59">
        <v>24.18</v>
      </c>
      <c r="N68" s="59">
        <v>524.9</v>
      </c>
      <c r="O68" s="59">
        <v>0</v>
      </c>
      <c r="P68" s="59">
        <v>0.78</v>
      </c>
      <c r="Q68" s="59">
        <v>33.200000000000003</v>
      </c>
      <c r="R68" s="197"/>
      <c r="S68" s="197"/>
      <c r="T68" s="197"/>
      <c r="U68" s="197"/>
    </row>
    <row r="69" spans="1:21" s="12" customFormat="1" x14ac:dyDescent="0.25">
      <c r="A69" s="200" t="s">
        <v>979</v>
      </c>
      <c r="B69" s="59">
        <v>0.79</v>
      </c>
      <c r="C69" s="59">
        <v>93.05</v>
      </c>
      <c r="D69" s="59">
        <v>51.99</v>
      </c>
      <c r="E69" s="59">
        <v>3.51</v>
      </c>
      <c r="F69" s="59">
        <v>4.1500000000000004</v>
      </c>
      <c r="G69" s="59">
        <v>25.96</v>
      </c>
      <c r="H69" s="59">
        <v>27.94</v>
      </c>
      <c r="I69" s="59">
        <v>0.59</v>
      </c>
      <c r="J69" s="59">
        <v>0.45</v>
      </c>
      <c r="K69" s="59">
        <v>104.14</v>
      </c>
      <c r="L69" s="59">
        <v>33.47</v>
      </c>
      <c r="M69" s="59">
        <v>27.55</v>
      </c>
      <c r="N69" s="59">
        <v>486.7</v>
      </c>
      <c r="O69" s="59">
        <v>0</v>
      </c>
      <c r="P69" s="59">
        <v>0.77</v>
      </c>
      <c r="Q69" s="59">
        <v>33.04</v>
      </c>
      <c r="R69" s="197"/>
      <c r="S69" s="197"/>
      <c r="T69" s="197"/>
      <c r="U69" s="197"/>
    </row>
    <row r="70" spans="1:21" s="12" customFormat="1" x14ac:dyDescent="0.25">
      <c r="A70" s="200" t="s">
        <v>980</v>
      </c>
      <c r="B70" s="59">
        <v>0.78</v>
      </c>
      <c r="C70" s="59">
        <v>92.36</v>
      </c>
      <c r="D70" s="59">
        <v>51.6</v>
      </c>
      <c r="E70" s="59">
        <v>3.71</v>
      </c>
      <c r="F70" s="59">
        <v>4.2</v>
      </c>
      <c r="G70" s="59">
        <v>25.37</v>
      </c>
      <c r="H70" s="59">
        <v>27.87</v>
      </c>
      <c r="I70" s="59">
        <v>0.56999999999999995</v>
      </c>
      <c r="J70" s="59">
        <v>0.88</v>
      </c>
      <c r="K70" s="59">
        <v>121.23</v>
      </c>
      <c r="L70" s="59">
        <v>32.090000000000003</v>
      </c>
      <c r="M70" s="59">
        <v>28.25</v>
      </c>
      <c r="N70" s="59">
        <v>439.1</v>
      </c>
      <c r="O70" s="59">
        <v>0</v>
      </c>
      <c r="P70" s="59">
        <v>0.75</v>
      </c>
      <c r="Q70" s="59">
        <v>32.99</v>
      </c>
      <c r="R70" s="197"/>
      <c r="S70" s="197"/>
      <c r="T70" s="197"/>
      <c r="U70" s="197"/>
    </row>
    <row r="71" spans="1:21" s="12" customFormat="1" x14ac:dyDescent="0.25">
      <c r="A71" s="200" t="s">
        <v>981</v>
      </c>
      <c r="B71" s="59">
        <v>0.85</v>
      </c>
      <c r="C71" s="59">
        <v>90.86</v>
      </c>
      <c r="D71" s="59">
        <v>50.83</v>
      </c>
      <c r="E71" s="59">
        <v>3.69</v>
      </c>
      <c r="F71" s="59">
        <v>4.09</v>
      </c>
      <c r="G71" s="59">
        <v>25.37</v>
      </c>
      <c r="H71" s="59">
        <v>27.87</v>
      </c>
      <c r="I71" s="59">
        <v>0.56999999999999995</v>
      </c>
      <c r="J71" s="59">
        <v>1.08</v>
      </c>
      <c r="K71" s="59">
        <v>114.37</v>
      </c>
      <c r="L71" s="59">
        <v>31.06</v>
      </c>
      <c r="M71" s="59">
        <v>29.75</v>
      </c>
      <c r="N71" s="59">
        <v>343.8</v>
      </c>
      <c r="O71" s="59">
        <v>0</v>
      </c>
      <c r="P71" s="59">
        <v>0.65</v>
      </c>
      <c r="Q71" s="59">
        <v>32.31</v>
      </c>
      <c r="R71" s="197"/>
      <c r="S71" s="197"/>
      <c r="T71" s="197"/>
      <c r="U71" s="197"/>
    </row>
    <row r="72" spans="1:21" s="12" customFormat="1" x14ac:dyDescent="0.25">
      <c r="A72" s="200" t="s">
        <v>982</v>
      </c>
      <c r="B72" s="59">
        <v>1.2</v>
      </c>
      <c r="C72" s="59">
        <v>90.12</v>
      </c>
      <c r="D72" s="59">
        <v>50.7</v>
      </c>
      <c r="E72" s="59">
        <v>1.87</v>
      </c>
      <c r="F72" s="59">
        <v>4.08</v>
      </c>
      <c r="G72" s="59">
        <v>25.37</v>
      </c>
      <c r="H72" s="59">
        <v>27.87</v>
      </c>
      <c r="I72" s="59">
        <v>0.56000000000000005</v>
      </c>
      <c r="J72" s="59">
        <v>0.65</v>
      </c>
      <c r="K72" s="59">
        <v>122.24</v>
      </c>
      <c r="L72" s="59">
        <v>31.32</v>
      </c>
      <c r="M72" s="59">
        <v>29.11</v>
      </c>
      <c r="N72" s="59">
        <v>209.4</v>
      </c>
      <c r="O72" s="59">
        <v>0</v>
      </c>
      <c r="P72" s="59">
        <v>0.53</v>
      </c>
      <c r="Q72" s="59">
        <v>31.44</v>
      </c>
      <c r="R72" s="197"/>
      <c r="S72" s="197"/>
      <c r="T72" s="197"/>
      <c r="U72" s="197"/>
    </row>
    <row r="73" spans="1:21" s="12" customFormat="1" x14ac:dyDescent="0.25">
      <c r="A73" s="200" t="s">
        <v>983</v>
      </c>
      <c r="B73" s="59">
        <v>1.64</v>
      </c>
      <c r="C73" s="59">
        <v>90.27</v>
      </c>
      <c r="D73" s="59">
        <v>51.13</v>
      </c>
      <c r="E73" s="59">
        <v>2.98</v>
      </c>
      <c r="F73" s="59">
        <v>4.58</v>
      </c>
      <c r="G73" s="59">
        <v>31.32</v>
      </c>
      <c r="H73" s="59">
        <v>23.78</v>
      </c>
      <c r="I73" s="59">
        <v>0.51</v>
      </c>
      <c r="J73" s="59">
        <v>0.92</v>
      </c>
      <c r="K73" s="59">
        <v>125.65</v>
      </c>
      <c r="L73" s="59">
        <v>31.14</v>
      </c>
      <c r="M73" s="59">
        <v>29.86</v>
      </c>
      <c r="N73" s="59">
        <v>190.2</v>
      </c>
      <c r="O73" s="59">
        <v>0</v>
      </c>
      <c r="P73" s="59">
        <v>0.6</v>
      </c>
      <c r="Q73" s="59">
        <v>30.81</v>
      </c>
      <c r="R73" s="197"/>
      <c r="S73" s="197"/>
      <c r="T73" s="197"/>
      <c r="U73" s="197"/>
    </row>
    <row r="74" spans="1:21" s="12" customFormat="1" x14ac:dyDescent="0.25">
      <c r="A74" s="200" t="s">
        <v>984</v>
      </c>
      <c r="B74" s="59">
        <v>1.93</v>
      </c>
      <c r="C74" s="59">
        <v>90.39</v>
      </c>
      <c r="D74" s="59">
        <v>51.43</v>
      </c>
      <c r="E74" s="59">
        <v>2.96</v>
      </c>
      <c r="F74" s="59">
        <v>4.66</v>
      </c>
      <c r="G74" s="59">
        <v>31.45</v>
      </c>
      <c r="H74" s="59">
        <v>23.69</v>
      </c>
      <c r="I74" s="59">
        <v>0.47</v>
      </c>
      <c r="J74" s="59">
        <v>0.54</v>
      </c>
      <c r="K74" s="59">
        <v>86.98</v>
      </c>
      <c r="L74" s="59">
        <v>31.64</v>
      </c>
      <c r="M74" s="59">
        <v>29.48</v>
      </c>
      <c r="N74" s="59">
        <v>170.7</v>
      </c>
      <c r="O74" s="59">
        <v>0</v>
      </c>
      <c r="P74" s="59">
        <v>0.81</v>
      </c>
      <c r="Q74" s="59">
        <v>31.07</v>
      </c>
      <c r="R74" s="197"/>
      <c r="S74" s="197"/>
      <c r="T74" s="197"/>
      <c r="U74" s="197"/>
    </row>
    <row r="75" spans="1:21" s="12" customFormat="1" x14ac:dyDescent="0.25">
      <c r="A75" s="200" t="s">
        <v>985</v>
      </c>
      <c r="B75" s="59">
        <v>2.1</v>
      </c>
      <c r="C75" s="59">
        <v>90.32</v>
      </c>
      <c r="D75" s="59">
        <v>51.53</v>
      </c>
      <c r="E75" s="59">
        <v>3.06</v>
      </c>
      <c r="F75" s="59">
        <v>4.46</v>
      </c>
      <c r="G75" s="59">
        <v>31.45</v>
      </c>
      <c r="H75" s="59">
        <v>23.69</v>
      </c>
      <c r="I75" s="59">
        <v>0.5</v>
      </c>
      <c r="J75" s="59">
        <v>0.51</v>
      </c>
      <c r="K75" s="59">
        <v>144.29</v>
      </c>
      <c r="L75" s="59">
        <v>30.98</v>
      </c>
      <c r="M75" s="59">
        <v>29.66</v>
      </c>
      <c r="N75" s="59">
        <v>126.1</v>
      </c>
      <c r="O75" s="59">
        <v>0</v>
      </c>
      <c r="P75" s="59">
        <v>0.61</v>
      </c>
      <c r="Q75" s="59">
        <v>31.45</v>
      </c>
      <c r="R75" s="197"/>
      <c r="S75" s="197"/>
      <c r="T75" s="197"/>
      <c r="U75" s="197"/>
    </row>
    <row r="76" spans="1:21" s="12" customFormat="1" x14ac:dyDescent="0.25">
      <c r="A76" s="200" t="s">
        <v>986</v>
      </c>
      <c r="B76" s="59">
        <v>2.13</v>
      </c>
      <c r="C76" s="59">
        <v>90.13</v>
      </c>
      <c r="D76" s="59">
        <v>51.45</v>
      </c>
      <c r="E76" s="59">
        <v>3.64</v>
      </c>
      <c r="F76" s="59">
        <v>4.47</v>
      </c>
      <c r="G76" s="59">
        <v>31.45</v>
      </c>
      <c r="H76" s="59">
        <v>23.69</v>
      </c>
      <c r="I76" s="59">
        <v>0.5</v>
      </c>
      <c r="J76" s="59">
        <v>0.64</v>
      </c>
      <c r="K76" s="59">
        <v>181.36</v>
      </c>
      <c r="L76" s="59">
        <v>30.77</v>
      </c>
      <c r="M76" s="59">
        <v>29.07</v>
      </c>
      <c r="N76" s="59">
        <v>111.9</v>
      </c>
      <c r="O76" s="59">
        <v>0</v>
      </c>
      <c r="P76" s="59">
        <v>0.57999999999999996</v>
      </c>
      <c r="Q76" s="59">
        <v>31.54</v>
      </c>
      <c r="R76" s="197"/>
      <c r="S76" s="197"/>
      <c r="T76" s="197"/>
      <c r="U76" s="197"/>
    </row>
    <row r="77" spans="1:21" s="12" customFormat="1" x14ac:dyDescent="0.25">
      <c r="A77" s="200" t="s">
        <v>987</v>
      </c>
      <c r="B77" s="59">
        <v>2.1</v>
      </c>
      <c r="C77" s="59">
        <v>90.4</v>
      </c>
      <c r="D77" s="59">
        <v>51.57</v>
      </c>
      <c r="E77" s="59">
        <v>3.46</v>
      </c>
      <c r="F77" s="59">
        <v>4.42</v>
      </c>
      <c r="G77" s="59">
        <v>36.29</v>
      </c>
      <c r="H77" s="59">
        <v>22.95</v>
      </c>
      <c r="I77" s="59">
        <v>0.49</v>
      </c>
      <c r="J77" s="59">
        <v>0.75</v>
      </c>
      <c r="K77" s="59">
        <v>206.52</v>
      </c>
      <c r="L77" s="59">
        <v>30.61</v>
      </c>
      <c r="M77" s="59">
        <v>29.21</v>
      </c>
      <c r="N77" s="59">
        <v>86</v>
      </c>
      <c r="O77" s="59">
        <v>0</v>
      </c>
      <c r="P77" s="59">
        <v>0.59</v>
      </c>
      <c r="Q77" s="59">
        <v>31.7</v>
      </c>
      <c r="R77" s="197"/>
      <c r="S77" s="197"/>
      <c r="T77" s="197"/>
      <c r="U77" s="197"/>
    </row>
    <row r="78" spans="1:21" s="12" customFormat="1" x14ac:dyDescent="0.25">
      <c r="A78" s="200" t="s">
        <v>988</v>
      </c>
      <c r="B78" s="59">
        <v>2.06</v>
      </c>
      <c r="C78" s="59">
        <v>90.63</v>
      </c>
      <c r="D78" s="59">
        <v>51.66</v>
      </c>
      <c r="E78" s="59">
        <v>3.27</v>
      </c>
      <c r="F78" s="59">
        <v>4.3899999999999997</v>
      </c>
      <c r="G78" s="59">
        <v>36.4</v>
      </c>
      <c r="H78" s="59">
        <v>22.93</v>
      </c>
      <c r="I78" s="59">
        <v>0.49</v>
      </c>
      <c r="J78" s="59">
        <v>0.61</v>
      </c>
      <c r="K78" s="59">
        <v>194.28</v>
      </c>
      <c r="L78" s="59">
        <v>30.54</v>
      </c>
      <c r="M78" s="59">
        <v>29.19</v>
      </c>
      <c r="N78" s="59">
        <v>61.2</v>
      </c>
      <c r="O78" s="59">
        <v>0</v>
      </c>
      <c r="P78" s="59">
        <v>0.59</v>
      </c>
      <c r="Q78" s="59">
        <v>32.299999999999997</v>
      </c>
      <c r="R78" s="197"/>
      <c r="S78" s="197"/>
      <c r="T78" s="197"/>
      <c r="U78" s="197"/>
    </row>
    <row r="79" spans="1:21" s="12" customFormat="1" x14ac:dyDescent="0.25">
      <c r="A79" s="200" t="s">
        <v>989</v>
      </c>
      <c r="B79" s="59">
        <v>1.75</v>
      </c>
      <c r="C79" s="59">
        <v>90.87</v>
      </c>
      <c r="D79" s="59">
        <v>51.55</v>
      </c>
      <c r="E79" s="59">
        <v>3.8</v>
      </c>
      <c r="F79" s="59">
        <v>3.9</v>
      </c>
      <c r="G79" s="59">
        <v>36.4</v>
      </c>
      <c r="H79" s="59">
        <v>22.93</v>
      </c>
      <c r="I79" s="59">
        <v>0.5</v>
      </c>
      <c r="J79" s="59">
        <v>0.57999999999999996</v>
      </c>
      <c r="K79" s="59">
        <v>173.79</v>
      </c>
      <c r="L79" s="59">
        <v>30.21</v>
      </c>
      <c r="M79" s="59">
        <v>29.42</v>
      </c>
      <c r="N79" s="59">
        <v>35.700000000000003</v>
      </c>
      <c r="O79" s="59">
        <v>0</v>
      </c>
      <c r="P79" s="59">
        <v>0.63</v>
      </c>
      <c r="Q79" s="59">
        <v>33.659999999999997</v>
      </c>
      <c r="R79" s="197"/>
      <c r="S79" s="197"/>
      <c r="T79" s="197"/>
      <c r="U79" s="197"/>
    </row>
    <row r="80" spans="1:21" s="12" customFormat="1" x14ac:dyDescent="0.25">
      <c r="A80" s="200" t="s">
        <v>990</v>
      </c>
      <c r="B80" s="59">
        <v>1.32</v>
      </c>
      <c r="C80" s="59">
        <v>89.75</v>
      </c>
      <c r="D80" s="59">
        <v>50.59</v>
      </c>
      <c r="E80" s="59">
        <v>3.55</v>
      </c>
      <c r="F80" s="59">
        <v>3.92</v>
      </c>
      <c r="G80" s="59">
        <v>36.4</v>
      </c>
      <c r="H80" s="59">
        <v>22.93</v>
      </c>
      <c r="I80" s="59">
        <v>0.55000000000000004</v>
      </c>
      <c r="J80" s="59">
        <v>0.34</v>
      </c>
      <c r="K80" s="59">
        <v>117.32</v>
      </c>
      <c r="L80" s="59">
        <v>29.66</v>
      </c>
      <c r="M80" s="59">
        <v>31.71</v>
      </c>
      <c r="N80" s="59">
        <v>17.2</v>
      </c>
      <c r="O80" s="59">
        <v>0</v>
      </c>
      <c r="P80" s="59">
        <v>0.57999999999999996</v>
      </c>
      <c r="Q80" s="59">
        <v>34.17</v>
      </c>
      <c r="R80" s="197"/>
      <c r="S80" s="197"/>
      <c r="T80" s="197"/>
      <c r="U80" s="197"/>
    </row>
    <row r="81" spans="1:26" s="12" customFormat="1" x14ac:dyDescent="0.25">
      <c r="A81" s="200" t="s">
        <v>991</v>
      </c>
      <c r="B81" s="59">
        <v>1.1100000000000001</v>
      </c>
      <c r="C81" s="59">
        <v>89.68</v>
      </c>
      <c r="D81" s="59">
        <v>50.38</v>
      </c>
      <c r="E81" s="59">
        <v>3.54</v>
      </c>
      <c r="F81" s="59">
        <v>4.28</v>
      </c>
      <c r="G81" s="59">
        <v>26.13</v>
      </c>
      <c r="H81" s="59">
        <v>17.62</v>
      </c>
      <c r="I81" s="59">
        <v>0.56000000000000005</v>
      </c>
      <c r="J81" s="59">
        <v>0.18</v>
      </c>
      <c r="K81" s="59">
        <v>113.97</v>
      </c>
      <c r="L81" s="59">
        <v>29.1</v>
      </c>
      <c r="M81" s="59">
        <v>33.78</v>
      </c>
      <c r="N81" s="59">
        <v>6.4</v>
      </c>
      <c r="O81" s="59">
        <v>0</v>
      </c>
      <c r="P81" s="59">
        <v>0.55000000000000004</v>
      </c>
      <c r="Q81" s="59">
        <v>33.74</v>
      </c>
      <c r="R81" s="197"/>
      <c r="S81" s="197"/>
      <c r="T81" s="197"/>
      <c r="U81" s="197"/>
    </row>
    <row r="82" spans="1:26" s="12" customFormat="1" x14ac:dyDescent="0.25">
      <c r="A82" s="200" t="s">
        <v>992</v>
      </c>
      <c r="B82" s="59">
        <v>1.1299999999999999</v>
      </c>
      <c r="C82" s="59">
        <v>89.46</v>
      </c>
      <c r="D82" s="59">
        <v>50.28</v>
      </c>
      <c r="E82" s="59">
        <v>3.73</v>
      </c>
      <c r="F82" s="59">
        <v>4.22</v>
      </c>
      <c r="G82" s="59">
        <v>25.89</v>
      </c>
      <c r="H82" s="59">
        <v>17.5</v>
      </c>
      <c r="I82" s="59">
        <v>0.51</v>
      </c>
      <c r="J82" s="59">
        <v>0.16</v>
      </c>
      <c r="K82" s="59">
        <v>8.93</v>
      </c>
      <c r="L82" s="59">
        <v>28.19</v>
      </c>
      <c r="M82" s="59">
        <v>40.380000000000003</v>
      </c>
      <c r="N82" s="59">
        <v>5.4</v>
      </c>
      <c r="O82" s="59">
        <v>0</v>
      </c>
      <c r="P82" s="59">
        <v>0.7</v>
      </c>
      <c r="Q82" s="59">
        <v>33.75</v>
      </c>
      <c r="R82" s="197"/>
      <c r="S82" s="197"/>
      <c r="T82" s="197"/>
      <c r="U82" s="197"/>
    </row>
    <row r="83" spans="1:26" s="12" customFormat="1" x14ac:dyDescent="0.25">
      <c r="A83" s="200" t="s">
        <v>993</v>
      </c>
      <c r="B83" s="59">
        <v>1.36</v>
      </c>
      <c r="C83" s="59">
        <v>90.71</v>
      </c>
      <c r="D83" s="59">
        <v>51.15</v>
      </c>
      <c r="E83" s="59">
        <v>3.59</v>
      </c>
      <c r="F83" s="59">
        <v>3.66</v>
      </c>
      <c r="G83" s="59">
        <v>25.89</v>
      </c>
      <c r="H83" s="59">
        <v>17.5</v>
      </c>
      <c r="I83" s="59">
        <v>0.51</v>
      </c>
      <c r="J83" s="59">
        <v>0.17</v>
      </c>
      <c r="K83" s="59">
        <v>257.38</v>
      </c>
      <c r="L83" s="59">
        <v>27.39</v>
      </c>
      <c r="M83" s="59">
        <v>41.94</v>
      </c>
      <c r="N83" s="59">
        <v>4.8</v>
      </c>
      <c r="O83" s="59">
        <v>0</v>
      </c>
      <c r="P83" s="59">
        <v>0.66</v>
      </c>
      <c r="Q83" s="59">
        <v>33.82</v>
      </c>
      <c r="R83" s="197"/>
      <c r="S83" s="197"/>
      <c r="T83" s="197"/>
      <c r="U83" s="197"/>
    </row>
    <row r="84" spans="1:26" s="12" customFormat="1" x14ac:dyDescent="0.25">
      <c r="A84" s="200" t="s">
        <v>994</v>
      </c>
      <c r="B84" s="59">
        <v>1.65</v>
      </c>
      <c r="C84" s="59">
        <v>92.52</v>
      </c>
      <c r="D84" s="59">
        <v>52.38</v>
      </c>
      <c r="E84" s="59">
        <v>3.6</v>
      </c>
      <c r="F84" s="59">
        <v>3.33</v>
      </c>
      <c r="G84" s="59">
        <v>25.89</v>
      </c>
      <c r="H84" s="59">
        <v>17.5</v>
      </c>
      <c r="I84" s="59">
        <v>0.56000000000000005</v>
      </c>
      <c r="J84" s="59">
        <v>0.05</v>
      </c>
      <c r="K84" s="59">
        <v>352.23</v>
      </c>
      <c r="L84" s="59">
        <v>27.04</v>
      </c>
      <c r="M84" s="59">
        <v>44.16</v>
      </c>
      <c r="N84" s="59">
        <v>4.9000000000000004</v>
      </c>
      <c r="O84" s="59">
        <v>0</v>
      </c>
      <c r="P84" s="59">
        <v>0.94</v>
      </c>
      <c r="Q84" s="59">
        <v>33.549999999999997</v>
      </c>
      <c r="R84" s="197"/>
      <c r="S84" s="197"/>
      <c r="T84" s="197"/>
      <c r="U84" s="197"/>
    </row>
    <row r="85" spans="1:26" s="12" customFormat="1" x14ac:dyDescent="0.25">
      <c r="A85" s="200" t="s">
        <v>995</v>
      </c>
      <c r="B85" s="59">
        <v>2.62</v>
      </c>
      <c r="C85" s="59">
        <v>94.97</v>
      </c>
      <c r="D85" s="59">
        <v>54.51</v>
      </c>
      <c r="E85" s="59">
        <v>3.36</v>
      </c>
      <c r="F85" s="59">
        <v>3.14</v>
      </c>
      <c r="G85" s="59">
        <v>33.11</v>
      </c>
      <c r="H85" s="59">
        <v>18.36</v>
      </c>
      <c r="I85" s="59">
        <v>0.56000000000000005</v>
      </c>
      <c r="J85" s="59">
        <v>0.16</v>
      </c>
      <c r="K85" s="59">
        <v>92.99</v>
      </c>
      <c r="L85" s="59">
        <v>26.52</v>
      </c>
      <c r="M85" s="59">
        <v>45.45</v>
      </c>
      <c r="N85" s="59">
        <v>4.7</v>
      </c>
      <c r="O85" s="59">
        <v>0</v>
      </c>
      <c r="P85" s="59">
        <v>0.85</v>
      </c>
      <c r="Q85" s="59">
        <v>33.22</v>
      </c>
      <c r="R85" s="197"/>
      <c r="S85" s="197"/>
      <c r="T85" s="197"/>
      <c r="U85" s="197"/>
    </row>
    <row r="86" spans="1:26" s="12" customFormat="1" x14ac:dyDescent="0.25">
      <c r="A86" s="200" t="s">
        <v>996</v>
      </c>
      <c r="B86" s="59">
        <v>3.77</v>
      </c>
      <c r="C86" s="59">
        <v>95.95</v>
      </c>
      <c r="D86" s="59">
        <v>55.98</v>
      </c>
      <c r="E86" s="59">
        <v>3.1</v>
      </c>
      <c r="F86" s="59">
        <v>3.44</v>
      </c>
      <c r="G86" s="59">
        <v>33.28</v>
      </c>
      <c r="H86" s="59">
        <v>18.38</v>
      </c>
      <c r="I86" s="59">
        <v>0.59</v>
      </c>
      <c r="J86" s="59">
        <v>0.08</v>
      </c>
      <c r="K86" s="59">
        <v>324.35000000000002</v>
      </c>
      <c r="L86" s="59">
        <v>26.31</v>
      </c>
      <c r="M86" s="59">
        <v>48.19</v>
      </c>
      <c r="N86" s="59">
        <v>4.8</v>
      </c>
      <c r="O86" s="59">
        <v>0</v>
      </c>
      <c r="P86" s="59">
        <v>1.31</v>
      </c>
      <c r="Q86" s="59">
        <v>32.729999999999997</v>
      </c>
      <c r="R86" s="197"/>
      <c r="S86" s="197"/>
      <c r="T86" s="197"/>
      <c r="U86" s="197"/>
    </row>
    <row r="87" spans="1:26" s="12" customFormat="1" x14ac:dyDescent="0.25">
      <c r="A87" s="200" t="s">
        <v>997</v>
      </c>
      <c r="B87" s="59">
        <v>4.7699999999999996</v>
      </c>
      <c r="C87" s="59">
        <v>97.13</v>
      </c>
      <c r="D87" s="59">
        <v>57.43</v>
      </c>
      <c r="E87" s="59">
        <v>3.42</v>
      </c>
      <c r="F87" s="59">
        <v>3.01</v>
      </c>
      <c r="G87" s="59">
        <v>33.28</v>
      </c>
      <c r="H87" s="59">
        <v>18.38</v>
      </c>
      <c r="I87" s="59">
        <v>0.56999999999999995</v>
      </c>
      <c r="J87" s="59">
        <v>0.08</v>
      </c>
      <c r="K87" s="59">
        <v>328.67</v>
      </c>
      <c r="L87" s="59">
        <v>25.71</v>
      </c>
      <c r="M87" s="59">
        <v>49.72</v>
      </c>
      <c r="N87" s="59">
        <v>4.9000000000000004</v>
      </c>
      <c r="O87" s="59">
        <v>0</v>
      </c>
      <c r="P87" s="59">
        <v>1.02</v>
      </c>
      <c r="Q87" s="59">
        <v>32.53</v>
      </c>
      <c r="R87" s="197"/>
      <c r="S87" s="197"/>
      <c r="T87" s="197"/>
      <c r="U87" s="197"/>
    </row>
    <row r="88" spans="1:26" s="12" customFormat="1" x14ac:dyDescent="0.25">
      <c r="A88" s="200" t="s">
        <v>998</v>
      </c>
      <c r="B88" s="59">
        <v>5.68</v>
      </c>
      <c r="C88" s="59">
        <v>97.94</v>
      </c>
      <c r="D88" s="59">
        <v>58.61</v>
      </c>
      <c r="E88" s="59">
        <v>1.43</v>
      </c>
      <c r="F88" s="59">
        <v>3.04</v>
      </c>
      <c r="G88" s="59">
        <v>33.28</v>
      </c>
      <c r="H88" s="59">
        <v>18.38</v>
      </c>
      <c r="I88" s="59">
        <v>0.65</v>
      </c>
      <c r="J88" s="59">
        <v>0.02</v>
      </c>
      <c r="K88" s="59">
        <v>233.31</v>
      </c>
      <c r="L88" s="59">
        <v>25.32</v>
      </c>
      <c r="M88" s="59">
        <v>50.18</v>
      </c>
      <c r="N88" s="59">
        <v>4.9000000000000004</v>
      </c>
      <c r="O88" s="59">
        <v>0</v>
      </c>
      <c r="P88" s="59">
        <v>1</v>
      </c>
      <c r="Q88" s="59">
        <v>32.89</v>
      </c>
      <c r="R88" s="197"/>
      <c r="S88" s="197"/>
      <c r="T88" s="197"/>
      <c r="U88" s="197"/>
    </row>
    <row r="89" spans="1:26" s="12" customFormat="1" x14ac:dyDescent="0.25">
      <c r="A89" s="200" t="s">
        <v>999</v>
      </c>
      <c r="B89" s="59">
        <v>6.51</v>
      </c>
      <c r="C89" s="59">
        <v>98.49</v>
      </c>
      <c r="D89" s="59">
        <v>59.58</v>
      </c>
      <c r="E89" s="59">
        <v>2.99</v>
      </c>
      <c r="F89" s="59">
        <v>3.11</v>
      </c>
      <c r="G89" s="59">
        <v>43.49</v>
      </c>
      <c r="H89" s="59">
        <v>19.48</v>
      </c>
      <c r="I89" s="59">
        <v>0.63</v>
      </c>
      <c r="J89" s="59">
        <v>0.02</v>
      </c>
      <c r="K89" s="59">
        <v>79.959999999999994</v>
      </c>
      <c r="L89" s="59">
        <v>24.98</v>
      </c>
      <c r="M89" s="59">
        <v>54.48</v>
      </c>
      <c r="N89" s="59">
        <v>4.5999999999999996</v>
      </c>
      <c r="O89" s="59">
        <v>0</v>
      </c>
      <c r="P89" s="59">
        <v>1.61</v>
      </c>
      <c r="Q89" s="59">
        <v>33.049999999999997</v>
      </c>
      <c r="R89" s="197"/>
      <c r="S89" s="197"/>
      <c r="T89" s="197"/>
      <c r="U89" s="197"/>
    </row>
    <row r="90" spans="1:26" s="12" customFormat="1" x14ac:dyDescent="0.25">
      <c r="A90" s="200" t="s">
        <v>1000</v>
      </c>
      <c r="B90" s="59">
        <v>7.88</v>
      </c>
      <c r="C90" s="59">
        <v>98.39</v>
      </c>
      <c r="D90" s="59">
        <v>60.62</v>
      </c>
      <c r="E90" s="59">
        <v>3.28</v>
      </c>
      <c r="F90" s="59">
        <v>4.2</v>
      </c>
      <c r="G90" s="59">
        <v>43.72</v>
      </c>
      <c r="H90" s="59">
        <v>19.510000000000002</v>
      </c>
      <c r="I90" s="59">
        <v>0.66</v>
      </c>
      <c r="J90" s="59">
        <v>7.0000000000000007E-2</v>
      </c>
      <c r="K90" s="59">
        <v>106.14</v>
      </c>
      <c r="L90" s="59">
        <v>24.72</v>
      </c>
      <c r="M90" s="59">
        <v>55.56</v>
      </c>
      <c r="N90" s="59">
        <v>4.5999999999999996</v>
      </c>
      <c r="O90" s="59">
        <v>0</v>
      </c>
      <c r="P90" s="59">
        <v>1.52</v>
      </c>
      <c r="Q90" s="59">
        <v>33.51</v>
      </c>
      <c r="R90" s="197"/>
      <c r="S90" s="197"/>
      <c r="T90" s="197"/>
      <c r="U90" s="197"/>
    </row>
    <row r="91" spans="1:26" s="12" customFormat="1" x14ac:dyDescent="0.25">
      <c r="A91" s="200" t="s">
        <v>1001</v>
      </c>
      <c r="B91" s="59">
        <v>9.61</v>
      </c>
      <c r="C91" s="59">
        <v>98.41</v>
      </c>
      <c r="D91" s="59">
        <v>62.02</v>
      </c>
      <c r="E91" s="59">
        <v>3.19</v>
      </c>
      <c r="F91" s="59">
        <v>3.04</v>
      </c>
      <c r="G91" s="59">
        <v>43.72</v>
      </c>
      <c r="H91" s="59">
        <v>19.510000000000002</v>
      </c>
      <c r="I91" s="59">
        <v>0.77</v>
      </c>
      <c r="J91" s="59">
        <v>0.18</v>
      </c>
      <c r="K91" s="59">
        <v>27.03</v>
      </c>
      <c r="L91" s="59">
        <v>24.45</v>
      </c>
      <c r="M91" s="59">
        <v>60.02</v>
      </c>
      <c r="N91" s="59">
        <v>4.7</v>
      </c>
      <c r="O91" s="59">
        <v>0</v>
      </c>
      <c r="P91" s="59">
        <v>2.14</v>
      </c>
      <c r="Q91" s="59">
        <v>34.1</v>
      </c>
      <c r="R91" s="197"/>
      <c r="S91" s="197"/>
      <c r="T91" s="197"/>
      <c r="U91" s="197"/>
    </row>
    <row r="92" spans="1:26" s="12" customFormat="1" x14ac:dyDescent="0.25">
      <c r="A92" s="200" t="s">
        <v>1002</v>
      </c>
      <c r="B92" s="59">
        <v>11.51</v>
      </c>
      <c r="C92" s="59">
        <v>98.7</v>
      </c>
      <c r="D92" s="59">
        <v>63.7</v>
      </c>
      <c r="E92" s="59">
        <v>3.2</v>
      </c>
      <c r="F92" s="59">
        <v>2.2200000000000002</v>
      </c>
      <c r="G92" s="59">
        <v>43.72</v>
      </c>
      <c r="H92" s="59">
        <v>19.510000000000002</v>
      </c>
      <c r="I92" s="59">
        <v>0.83</v>
      </c>
      <c r="J92" s="59">
        <v>0.21</v>
      </c>
      <c r="K92" s="59">
        <v>250.03</v>
      </c>
      <c r="L92" s="59">
        <v>24.58</v>
      </c>
      <c r="M92" s="59">
        <v>55.54</v>
      </c>
      <c r="N92" s="59">
        <v>3.9</v>
      </c>
      <c r="O92" s="59">
        <v>0</v>
      </c>
      <c r="P92" s="59">
        <v>1.49</v>
      </c>
      <c r="Q92" s="59">
        <v>34.520000000000003</v>
      </c>
      <c r="R92" s="197"/>
      <c r="S92" s="197"/>
      <c r="T92" s="197"/>
      <c r="U92" s="197"/>
    </row>
    <row r="93" spans="1:26" s="12" customFormat="1" x14ac:dyDescent="0.25">
      <c r="A93" s="200" t="s">
        <v>1003</v>
      </c>
      <c r="B93" s="59">
        <v>12.79</v>
      </c>
      <c r="C93" s="59">
        <v>99.57</v>
      </c>
      <c r="D93" s="59">
        <v>65.209999999999994</v>
      </c>
      <c r="E93" s="59">
        <v>2.99</v>
      </c>
      <c r="F93" s="59">
        <v>2.25</v>
      </c>
      <c r="G93" s="59">
        <v>59.58</v>
      </c>
      <c r="H93" s="59">
        <v>22.02</v>
      </c>
      <c r="I93" s="59">
        <v>0.93</v>
      </c>
      <c r="J93" s="59">
        <v>0.38</v>
      </c>
      <c r="K93" s="59">
        <v>140.06</v>
      </c>
      <c r="L93" s="59">
        <v>25.89</v>
      </c>
      <c r="M93" s="59">
        <v>43.81</v>
      </c>
      <c r="N93" s="59">
        <v>2.9</v>
      </c>
      <c r="O93" s="59">
        <v>0</v>
      </c>
      <c r="P93" s="59">
        <v>1.06</v>
      </c>
      <c r="Q93" s="59">
        <v>35.68</v>
      </c>
      <c r="R93" s="197"/>
      <c r="S93" s="197"/>
      <c r="T93" s="197"/>
      <c r="U93" s="197"/>
    </row>
    <row r="94" spans="1:26" s="12" customFormat="1" x14ac:dyDescent="0.25">
      <c r="A94" s="200" t="s">
        <v>1004</v>
      </c>
      <c r="B94" s="59">
        <v>12.43</v>
      </c>
      <c r="C94" s="59">
        <v>100.28</v>
      </c>
      <c r="D94" s="59">
        <v>65.31</v>
      </c>
      <c r="E94" s="59">
        <v>4.03</v>
      </c>
      <c r="F94" s="59">
        <v>2.6</v>
      </c>
      <c r="G94" s="59">
        <v>59.94</v>
      </c>
      <c r="H94" s="59">
        <v>22.08</v>
      </c>
      <c r="I94" s="59">
        <v>0.8</v>
      </c>
      <c r="J94" s="59">
        <v>0.21</v>
      </c>
      <c r="K94" s="59">
        <v>274.11</v>
      </c>
      <c r="L94" s="59">
        <v>25.72</v>
      </c>
      <c r="M94" s="59">
        <v>46.27</v>
      </c>
      <c r="N94" s="59">
        <v>4.5</v>
      </c>
      <c r="O94" s="59">
        <v>0</v>
      </c>
      <c r="P94" s="59">
        <v>1.04</v>
      </c>
      <c r="Q94" s="59">
        <v>36.39</v>
      </c>
      <c r="R94" s="197"/>
      <c r="S94" s="197"/>
      <c r="T94" s="197"/>
      <c r="U94" s="197"/>
    </row>
    <row r="95" spans="1:26" s="12" customFormat="1" x14ac:dyDescent="0.25">
      <c r="A95" s="200" t="s">
        <v>1005</v>
      </c>
      <c r="B95" s="59">
        <v>12.24</v>
      </c>
      <c r="C95" s="59">
        <v>100.69</v>
      </c>
      <c r="D95" s="59">
        <v>65.38</v>
      </c>
      <c r="E95" s="59">
        <v>3.37</v>
      </c>
      <c r="F95" s="59">
        <v>2.73</v>
      </c>
      <c r="G95" s="59">
        <v>59.94</v>
      </c>
      <c r="H95" s="59">
        <v>22.08</v>
      </c>
      <c r="I95" s="59">
        <v>0.71</v>
      </c>
      <c r="J95" s="59">
        <v>0.19</v>
      </c>
      <c r="K95" s="59">
        <v>39</v>
      </c>
      <c r="L95" s="59">
        <v>24.61</v>
      </c>
      <c r="M95" s="59">
        <v>54.1</v>
      </c>
      <c r="N95" s="59">
        <v>5.4</v>
      </c>
      <c r="O95" s="59">
        <v>0</v>
      </c>
      <c r="P95" s="59">
        <v>1.08</v>
      </c>
      <c r="Q95" s="59">
        <v>36.53</v>
      </c>
      <c r="R95" s="197"/>
      <c r="S95" s="197"/>
      <c r="T95" s="197"/>
      <c r="U95" s="197"/>
    </row>
    <row r="96" spans="1:26" s="12" customFormat="1" x14ac:dyDescent="0.25">
      <c r="A96" s="200" t="s">
        <v>1006</v>
      </c>
      <c r="B96" s="59">
        <v>12.55</v>
      </c>
      <c r="C96" s="59">
        <v>101.49</v>
      </c>
      <c r="D96" s="59">
        <v>66.08</v>
      </c>
      <c r="E96" s="59">
        <v>3.65</v>
      </c>
      <c r="F96" s="59">
        <v>2.93</v>
      </c>
      <c r="G96" s="59">
        <v>59.94</v>
      </c>
      <c r="H96" s="59">
        <v>22.08</v>
      </c>
      <c r="I96" s="59">
        <v>0.7</v>
      </c>
      <c r="J96" s="59">
        <v>0.18</v>
      </c>
      <c r="K96" s="59">
        <v>305.42</v>
      </c>
      <c r="L96" s="59">
        <v>24.45</v>
      </c>
      <c r="M96" s="59">
        <v>54.08</v>
      </c>
      <c r="N96" s="59">
        <v>4.5999999999999996</v>
      </c>
      <c r="O96" s="59">
        <v>0</v>
      </c>
      <c r="P96" s="59">
        <v>1.1399999999999999</v>
      </c>
      <c r="Q96" s="59">
        <v>36.42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1007</v>
      </c>
      <c r="B97" s="59">
        <v>12.84</v>
      </c>
      <c r="C97" s="59">
        <v>102.11</v>
      </c>
      <c r="D97" s="59">
        <v>66.650000000000006</v>
      </c>
      <c r="E97" s="59">
        <v>3.53</v>
      </c>
      <c r="F97" s="59">
        <v>3.08</v>
      </c>
      <c r="G97" s="59">
        <v>50.69</v>
      </c>
      <c r="H97" s="59">
        <v>22.25</v>
      </c>
      <c r="I97" s="59">
        <v>0.7</v>
      </c>
      <c r="J97" s="59">
        <v>0.01</v>
      </c>
      <c r="K97" s="59">
        <v>148.12</v>
      </c>
      <c r="L97" s="59">
        <v>23.85</v>
      </c>
      <c r="M97" s="59">
        <v>55.41</v>
      </c>
      <c r="N97" s="59">
        <v>5</v>
      </c>
      <c r="O97" s="59">
        <v>0</v>
      </c>
      <c r="P97" s="59">
        <v>1.17</v>
      </c>
      <c r="Q97" s="59">
        <v>36.03</v>
      </c>
      <c r="R97" s="197"/>
      <c r="S97" s="197"/>
      <c r="T97" s="197"/>
      <c r="U97" s="197"/>
    </row>
    <row r="98" spans="1:33" s="12" customFormat="1" x14ac:dyDescent="0.25">
      <c r="A98" s="200" t="s">
        <v>1008</v>
      </c>
      <c r="B98" s="59">
        <v>12.6</v>
      </c>
      <c r="C98" s="59">
        <v>102.15</v>
      </c>
      <c r="D98" s="59">
        <v>66.48</v>
      </c>
      <c r="E98" s="59">
        <v>3.58</v>
      </c>
      <c r="F98" s="59">
        <v>2.9</v>
      </c>
      <c r="G98" s="59">
        <v>50.48</v>
      </c>
      <c r="H98" s="59">
        <v>22.25</v>
      </c>
      <c r="I98" s="59">
        <v>0.71</v>
      </c>
      <c r="J98" s="59">
        <v>0.08</v>
      </c>
      <c r="K98" s="59">
        <v>329.49</v>
      </c>
      <c r="L98" s="59">
        <v>23.81</v>
      </c>
      <c r="M98" s="59">
        <v>53.42</v>
      </c>
      <c r="N98" s="59">
        <v>4.9000000000000004</v>
      </c>
      <c r="O98" s="59">
        <v>0</v>
      </c>
      <c r="P98" s="59">
        <v>1.18</v>
      </c>
      <c r="Q98" s="59">
        <v>35.869999999999997</v>
      </c>
      <c r="R98" s="197"/>
      <c r="S98" s="197"/>
      <c r="T98" s="197"/>
      <c r="U98" s="197"/>
    </row>
    <row r="99" spans="1:33" s="12" customFormat="1" x14ac:dyDescent="0.25">
      <c r="A99" s="200" t="s">
        <v>1009</v>
      </c>
      <c r="B99" s="59">
        <v>12.67</v>
      </c>
      <c r="C99" s="59">
        <v>102.53</v>
      </c>
      <c r="D99" s="59">
        <v>66.75</v>
      </c>
      <c r="E99" s="59">
        <v>3.49</v>
      </c>
      <c r="F99" s="59">
        <v>2.78</v>
      </c>
      <c r="G99" s="59">
        <v>50.48</v>
      </c>
      <c r="H99" s="59">
        <v>22.25</v>
      </c>
      <c r="I99" s="59">
        <v>0.72</v>
      </c>
      <c r="J99" s="59">
        <v>0.04</v>
      </c>
      <c r="K99" s="59">
        <v>51.21</v>
      </c>
      <c r="L99" s="59">
        <v>23.8</v>
      </c>
      <c r="M99" s="59">
        <v>55.17</v>
      </c>
      <c r="N99" s="59">
        <v>4.4000000000000004</v>
      </c>
      <c r="O99" s="59">
        <v>0</v>
      </c>
      <c r="P99" s="59">
        <v>1.2</v>
      </c>
      <c r="Q99" s="59">
        <v>35.47</v>
      </c>
      <c r="R99" s="197"/>
      <c r="S99" s="197"/>
      <c r="T99" s="197"/>
      <c r="U99" s="197"/>
    </row>
    <row r="100" spans="1:33" s="12" customFormat="1" x14ac:dyDescent="0.25">
      <c r="A100" s="200" t="s">
        <v>1010</v>
      </c>
      <c r="B100" s="59">
        <v>13.37</v>
      </c>
      <c r="C100" s="59">
        <v>101.43</v>
      </c>
      <c r="D100" s="59">
        <v>66.7</v>
      </c>
      <c r="E100" s="59">
        <v>3.3</v>
      </c>
      <c r="F100" s="59">
        <v>3.17</v>
      </c>
      <c r="G100" s="59">
        <v>50.48</v>
      </c>
      <c r="H100" s="59">
        <v>22.25</v>
      </c>
      <c r="I100" s="59">
        <v>0.72</v>
      </c>
      <c r="J100" s="59">
        <v>0.12</v>
      </c>
      <c r="K100" s="59">
        <v>42.38</v>
      </c>
      <c r="L100" s="59">
        <v>23.97</v>
      </c>
      <c r="M100" s="59">
        <v>54.52</v>
      </c>
      <c r="N100" s="59">
        <v>4.5</v>
      </c>
      <c r="O100" s="59">
        <v>0</v>
      </c>
      <c r="P100" s="59">
        <v>1.2</v>
      </c>
      <c r="Q100" s="59">
        <v>34.979999999999997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1011</v>
      </c>
      <c r="B101" s="59">
        <v>14.17</v>
      </c>
      <c r="C101" s="59">
        <v>101.7</v>
      </c>
      <c r="D101" s="59">
        <v>67.489999999999995</v>
      </c>
      <c r="E101" s="59">
        <v>2.96</v>
      </c>
      <c r="F101" s="59">
        <v>3.04</v>
      </c>
      <c r="G101" s="59">
        <v>51.36</v>
      </c>
      <c r="H101" s="59">
        <v>24.02</v>
      </c>
      <c r="I101" s="59">
        <v>0.71</v>
      </c>
      <c r="J101" s="59">
        <v>0.1</v>
      </c>
      <c r="K101" s="59">
        <v>332.52</v>
      </c>
      <c r="L101" s="59">
        <v>23.68</v>
      </c>
      <c r="M101" s="59">
        <v>56.61</v>
      </c>
      <c r="N101" s="59">
        <v>4.7</v>
      </c>
      <c r="O101" s="59">
        <v>0</v>
      </c>
      <c r="P101" s="59">
        <v>1.25</v>
      </c>
      <c r="Q101" s="59">
        <v>34.090000000000003</v>
      </c>
      <c r="R101" s="197"/>
      <c r="S101" s="197"/>
      <c r="T101" s="197"/>
      <c r="U101" s="197"/>
    </row>
    <row r="102" spans="1:33" s="12" customFormat="1" x14ac:dyDescent="0.25">
      <c r="A102" s="200" t="s">
        <v>1012</v>
      </c>
      <c r="B102" s="59">
        <v>14.89</v>
      </c>
      <c r="C102" s="59">
        <v>101.32</v>
      </c>
      <c r="D102" s="59">
        <v>67.86</v>
      </c>
      <c r="E102" s="59">
        <v>3.58</v>
      </c>
      <c r="F102" s="59">
        <v>3.16</v>
      </c>
      <c r="G102" s="59">
        <v>51.38</v>
      </c>
      <c r="H102" s="59">
        <v>24.06</v>
      </c>
      <c r="I102" s="59">
        <v>0.67</v>
      </c>
      <c r="J102" s="59">
        <v>0.1</v>
      </c>
      <c r="K102" s="59">
        <v>142.79</v>
      </c>
      <c r="L102" s="59">
        <v>23.54</v>
      </c>
      <c r="M102" s="59">
        <v>56.42</v>
      </c>
      <c r="N102" s="59">
        <v>4.5999999999999996</v>
      </c>
      <c r="O102" s="59">
        <v>0</v>
      </c>
      <c r="P102" s="59">
        <v>1.1100000000000001</v>
      </c>
      <c r="Q102" s="59">
        <v>34.06</v>
      </c>
      <c r="R102" s="197"/>
      <c r="S102" s="197"/>
      <c r="T102" s="197"/>
      <c r="U102" s="197"/>
    </row>
    <row r="103" spans="1:33" s="12" customFormat="1" x14ac:dyDescent="0.25">
      <c r="A103" s="200" t="s">
        <v>1013</v>
      </c>
      <c r="B103" s="59">
        <v>15.27</v>
      </c>
      <c r="C103" s="59">
        <v>100.69</v>
      </c>
      <c r="D103" s="59">
        <v>67.81</v>
      </c>
      <c r="E103" s="59">
        <v>3.4</v>
      </c>
      <c r="F103" s="59">
        <v>3.22</v>
      </c>
      <c r="G103" s="59">
        <v>51.38</v>
      </c>
      <c r="H103" s="59">
        <v>24.06</v>
      </c>
      <c r="I103" s="59">
        <v>0.63</v>
      </c>
      <c r="J103" s="59">
        <v>0.14000000000000001</v>
      </c>
      <c r="K103" s="59">
        <v>35.26</v>
      </c>
      <c r="L103" s="59">
        <v>23.25</v>
      </c>
      <c r="M103" s="59">
        <v>59.77</v>
      </c>
      <c r="N103" s="59">
        <v>4.9000000000000004</v>
      </c>
      <c r="O103" s="59">
        <v>0</v>
      </c>
      <c r="P103" s="59">
        <v>1.2</v>
      </c>
      <c r="Q103" s="59">
        <v>34.29</v>
      </c>
      <c r="R103" s="197"/>
      <c r="S103" s="197"/>
      <c r="T103" s="197"/>
      <c r="U103" s="197"/>
    </row>
    <row r="104" spans="1:33" s="12" customFormat="1" x14ac:dyDescent="0.25">
      <c r="A104" s="200" t="s">
        <v>1014</v>
      </c>
      <c r="B104" s="59">
        <v>15.73</v>
      </c>
      <c r="C104" s="59">
        <v>100.83</v>
      </c>
      <c r="D104" s="59">
        <v>68.260000000000005</v>
      </c>
      <c r="E104" s="59">
        <v>1.9</v>
      </c>
      <c r="F104" s="59">
        <v>3.08</v>
      </c>
      <c r="G104" s="59">
        <v>51.38</v>
      </c>
      <c r="H104" s="59">
        <v>24.06</v>
      </c>
      <c r="I104" s="59">
        <v>0.61</v>
      </c>
      <c r="J104" s="59">
        <v>0.09</v>
      </c>
      <c r="K104" s="59">
        <v>24.74</v>
      </c>
      <c r="L104" s="59">
        <v>22.68</v>
      </c>
      <c r="M104" s="59">
        <v>60.06</v>
      </c>
      <c r="N104" s="59">
        <v>4.8</v>
      </c>
      <c r="O104" s="59">
        <v>0</v>
      </c>
      <c r="P104" s="59">
        <v>1.1499999999999999</v>
      </c>
      <c r="Q104" s="59">
        <v>34.68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0.78</v>
      </c>
      <c r="C106" s="66">
        <f>MIN(C9:C104)</f>
        <v>89.46</v>
      </c>
      <c r="D106" s="66">
        <f t="shared" ref="D106:Q106" si="0">MIN(D9:D104)</f>
        <v>50.28</v>
      </c>
      <c r="E106" s="66">
        <f t="shared" si="0"/>
        <v>1.43</v>
      </c>
      <c r="F106" s="66">
        <f t="shared" si="0"/>
        <v>2.2200000000000002</v>
      </c>
      <c r="G106" s="66">
        <f t="shared" si="0"/>
        <v>12.55</v>
      </c>
      <c r="H106" s="66">
        <f t="shared" si="0"/>
        <v>17.5</v>
      </c>
      <c r="I106" s="66">
        <f t="shared" si="0"/>
        <v>0.47</v>
      </c>
      <c r="J106" s="66">
        <f t="shared" si="0"/>
        <v>0.01</v>
      </c>
      <c r="K106" s="66">
        <f t="shared" si="0"/>
        <v>6.79</v>
      </c>
      <c r="L106" s="66">
        <f t="shared" si="0"/>
        <v>19.84</v>
      </c>
      <c r="M106" s="66">
        <f t="shared" si="0"/>
        <v>24.18</v>
      </c>
      <c r="N106" s="66">
        <f t="shared" si="0"/>
        <v>2.9</v>
      </c>
      <c r="O106" s="66">
        <f t="shared" si="0"/>
        <v>0</v>
      </c>
      <c r="P106" s="66">
        <f t="shared" si="0"/>
        <v>0.53</v>
      </c>
      <c r="Q106" s="66">
        <f t="shared" si="0"/>
        <v>28.19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15.9</v>
      </c>
      <c r="C107" s="65">
        <f t="shared" ref="C107:Q107" si="1">MAX(C9:C104)</f>
        <v>105.51</v>
      </c>
      <c r="D107" s="65">
        <f t="shared" si="1"/>
        <v>68.260000000000005</v>
      </c>
      <c r="E107" s="65">
        <f t="shared" si="1"/>
        <v>6.12</v>
      </c>
      <c r="F107" s="65">
        <f t="shared" si="1"/>
        <v>4.68</v>
      </c>
      <c r="G107" s="65">
        <f t="shared" si="1"/>
        <v>109.94</v>
      </c>
      <c r="H107" s="65">
        <f t="shared" si="1"/>
        <v>33.79</v>
      </c>
      <c r="I107" s="65">
        <f t="shared" si="1"/>
        <v>0.93</v>
      </c>
      <c r="J107" s="65">
        <f t="shared" si="1"/>
        <v>1.68</v>
      </c>
      <c r="K107" s="65">
        <f t="shared" si="1"/>
        <v>358.98</v>
      </c>
      <c r="L107" s="65">
        <f t="shared" si="1"/>
        <v>35.65</v>
      </c>
      <c r="M107" s="65">
        <f t="shared" si="1"/>
        <v>80.75</v>
      </c>
      <c r="N107" s="65">
        <f t="shared" si="1"/>
        <v>829.8</v>
      </c>
      <c r="O107" s="65">
        <f t="shared" si="1"/>
        <v>2</v>
      </c>
      <c r="P107" s="65">
        <f t="shared" si="1"/>
        <v>2.14</v>
      </c>
      <c r="Q107" s="65">
        <f t="shared" si="1"/>
        <v>36.53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6.7331249999999976</v>
      </c>
      <c r="C108" s="66">
        <f t="shared" ref="C108:Q108" si="2">AVERAGE(C9:C104)</f>
        <v>96.578541666666695</v>
      </c>
      <c r="D108" s="66">
        <f t="shared" si="2"/>
        <v>58.699270833333316</v>
      </c>
      <c r="E108" s="66">
        <f t="shared" si="2"/>
        <v>3.8479166666666651</v>
      </c>
      <c r="F108" s="66">
        <f t="shared" si="2"/>
        <v>3.3419791666666669</v>
      </c>
      <c r="G108" s="66">
        <f t="shared" si="2"/>
        <v>50.767916666666657</v>
      </c>
      <c r="H108" s="66">
        <f t="shared" si="2"/>
        <v>25.77416666666667</v>
      </c>
      <c r="I108" s="66">
        <f t="shared" si="2"/>
        <v>0.58427083333333341</v>
      </c>
      <c r="J108" s="66">
        <f t="shared" si="2"/>
        <v>0.39270833333333344</v>
      </c>
      <c r="K108" s="66">
        <f t="shared" si="2"/>
        <v>128.37322916666662</v>
      </c>
      <c r="L108" s="66">
        <f t="shared" si="2"/>
        <v>26.579999999999995</v>
      </c>
      <c r="M108" s="66">
        <f t="shared" si="2"/>
        <v>48.703645833333354</v>
      </c>
      <c r="N108" s="66">
        <f t="shared" si="2"/>
        <v>219.81145833333346</v>
      </c>
      <c r="O108" s="66">
        <f t="shared" si="2"/>
        <v>3.125E-2</v>
      </c>
      <c r="P108" s="66">
        <f t="shared" si="2"/>
        <v>0.9774999999999997</v>
      </c>
      <c r="Q108" s="66">
        <f t="shared" si="2"/>
        <v>31.999791666666667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4.9731665889101944</v>
      </c>
      <c r="C109" s="66">
        <f t="shared" ref="C109:Q109" si="3">STDEV(C9:C104)</f>
        <v>4.7505024618824159</v>
      </c>
      <c r="D109" s="66">
        <f t="shared" si="3"/>
        <v>4.9251449874018762</v>
      </c>
      <c r="E109" s="66">
        <f t="shared" si="3"/>
        <v>0.77495659187999322</v>
      </c>
      <c r="F109" s="66">
        <f t="shared" si="3"/>
        <v>0.59593644979392013</v>
      </c>
      <c r="G109" s="66">
        <f t="shared" si="3"/>
        <v>19.081321366397074</v>
      </c>
      <c r="H109" s="66">
        <f t="shared" si="3"/>
        <v>4.1352203954926132</v>
      </c>
      <c r="I109" s="66">
        <f t="shared" si="3"/>
        <v>7.3566937534775598E-2</v>
      </c>
      <c r="J109" s="66">
        <f t="shared" si="3"/>
        <v>0.33655054884790264</v>
      </c>
      <c r="K109" s="66">
        <f t="shared" si="3"/>
        <v>107.05471778974379</v>
      </c>
      <c r="L109" s="66">
        <f t="shared" si="3"/>
        <v>4.7112441087924379</v>
      </c>
      <c r="M109" s="66">
        <f t="shared" si="3"/>
        <v>16.181240413046918</v>
      </c>
      <c r="N109" s="66">
        <f t="shared" si="3"/>
        <v>297.57571380452373</v>
      </c>
      <c r="O109" s="66">
        <f t="shared" si="3"/>
        <v>0.21585204484358703</v>
      </c>
      <c r="P109" s="66">
        <f t="shared" si="3"/>
        <v>0.22872645118937271</v>
      </c>
      <c r="Q109" s="66">
        <f t="shared" si="3"/>
        <v>2.0375826643439736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55" sqref="J5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09-03-2023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1016</v>
      </c>
      <c r="B9" s="59">
        <v>16.260000000000002</v>
      </c>
      <c r="C9" s="59">
        <v>100.84</v>
      </c>
      <c r="D9" s="59">
        <v>68.69</v>
      </c>
      <c r="E9" s="59">
        <v>3.16</v>
      </c>
      <c r="F9" s="59">
        <v>3.21</v>
      </c>
      <c r="G9" s="59">
        <v>46.81</v>
      </c>
      <c r="H9" s="59">
        <v>24.46</v>
      </c>
      <c r="I9" s="59">
        <v>0.63</v>
      </c>
      <c r="J9" s="59">
        <v>7.0000000000000007E-2</v>
      </c>
      <c r="K9" s="59">
        <v>240.12</v>
      </c>
      <c r="L9" s="59">
        <v>23.12</v>
      </c>
      <c r="M9" s="59">
        <v>57.81</v>
      </c>
      <c r="N9" s="59">
        <v>4.5</v>
      </c>
      <c r="O9" s="59">
        <v>0</v>
      </c>
      <c r="P9" s="59">
        <v>1.1299999999999999</v>
      </c>
      <c r="Q9" s="59">
        <v>34.97</v>
      </c>
      <c r="R9" s="197"/>
      <c r="S9" s="197"/>
      <c r="T9" s="197"/>
      <c r="U9" s="197"/>
    </row>
    <row r="10" spans="1:21" s="12" customFormat="1" x14ac:dyDescent="0.25">
      <c r="A10" s="200" t="s">
        <v>1017</v>
      </c>
      <c r="B10" s="59">
        <v>16.670000000000002</v>
      </c>
      <c r="C10" s="59">
        <v>99.94</v>
      </c>
      <c r="D10" s="59">
        <v>68.52</v>
      </c>
      <c r="E10" s="59">
        <v>3.29</v>
      </c>
      <c r="F10" s="59">
        <v>3.3</v>
      </c>
      <c r="G10" s="59">
        <v>46.7</v>
      </c>
      <c r="H10" s="59">
        <v>24.47</v>
      </c>
      <c r="I10" s="59">
        <v>0.62</v>
      </c>
      <c r="J10" s="59">
        <v>0.09</v>
      </c>
      <c r="K10" s="59">
        <v>327.07</v>
      </c>
      <c r="L10" s="59">
        <v>23.4</v>
      </c>
      <c r="M10" s="59">
        <v>57.49</v>
      </c>
      <c r="N10" s="59">
        <v>4.5999999999999996</v>
      </c>
      <c r="O10" s="59">
        <v>0</v>
      </c>
      <c r="P10" s="59">
        <v>1.06</v>
      </c>
      <c r="Q10" s="59">
        <v>35.39</v>
      </c>
      <c r="R10" s="197"/>
      <c r="S10" s="197"/>
      <c r="T10" s="197"/>
      <c r="U10" s="197"/>
    </row>
    <row r="11" spans="1:21" s="12" customFormat="1" x14ac:dyDescent="0.25">
      <c r="A11" s="200" t="s">
        <v>1018</v>
      </c>
      <c r="B11" s="59">
        <v>16.7</v>
      </c>
      <c r="C11" s="59">
        <v>100.39</v>
      </c>
      <c r="D11" s="59">
        <v>68.790000000000006</v>
      </c>
      <c r="E11" s="59">
        <v>3.6</v>
      </c>
      <c r="F11" s="59">
        <v>2.96</v>
      </c>
      <c r="G11" s="59">
        <v>46.7</v>
      </c>
      <c r="H11" s="59">
        <v>24.47</v>
      </c>
      <c r="I11" s="59">
        <v>0.62</v>
      </c>
      <c r="J11" s="59">
        <v>0.03</v>
      </c>
      <c r="K11" s="59">
        <v>355.09</v>
      </c>
      <c r="L11" s="59">
        <v>23.71</v>
      </c>
      <c r="M11" s="59">
        <v>56.47</v>
      </c>
      <c r="N11" s="59">
        <v>4.8</v>
      </c>
      <c r="O11" s="59">
        <v>0</v>
      </c>
      <c r="P11" s="59">
        <v>1.19</v>
      </c>
      <c r="Q11" s="59">
        <v>36.119999999999997</v>
      </c>
      <c r="R11" s="197"/>
      <c r="S11" s="197"/>
      <c r="T11" s="197"/>
      <c r="U11" s="197"/>
    </row>
    <row r="12" spans="1:21" s="12" customFormat="1" x14ac:dyDescent="0.25">
      <c r="A12" s="200" t="s">
        <v>1019</v>
      </c>
      <c r="B12" s="59">
        <v>16.079999999999998</v>
      </c>
      <c r="C12" s="59">
        <v>100.34</v>
      </c>
      <c r="D12" s="59">
        <v>68.27</v>
      </c>
      <c r="E12" s="59">
        <v>3.79</v>
      </c>
      <c r="F12" s="59">
        <v>3.42</v>
      </c>
      <c r="G12" s="59">
        <v>46.7</v>
      </c>
      <c r="H12" s="59">
        <v>24.47</v>
      </c>
      <c r="I12" s="59">
        <v>0.63</v>
      </c>
      <c r="J12" s="59">
        <v>0.28999999999999998</v>
      </c>
      <c r="K12" s="59">
        <v>89.3</v>
      </c>
      <c r="L12" s="59">
        <v>24.04</v>
      </c>
      <c r="M12" s="59">
        <v>51.85</v>
      </c>
      <c r="N12" s="59">
        <v>4.4000000000000004</v>
      </c>
      <c r="O12" s="59">
        <v>0</v>
      </c>
      <c r="P12" s="59">
        <v>1.1599999999999999</v>
      </c>
      <c r="Q12" s="59">
        <v>36.909999999999997</v>
      </c>
      <c r="R12" s="197"/>
      <c r="S12" s="197"/>
      <c r="T12" s="197"/>
      <c r="U12" s="197"/>
    </row>
    <row r="13" spans="1:21" s="12" customFormat="1" x14ac:dyDescent="0.25">
      <c r="A13" s="200" t="s">
        <v>1020</v>
      </c>
      <c r="B13" s="59">
        <v>14.93</v>
      </c>
      <c r="C13" s="59">
        <v>100.67</v>
      </c>
      <c r="D13" s="59">
        <v>67.53</v>
      </c>
      <c r="E13" s="59">
        <v>3.3</v>
      </c>
      <c r="F13" s="59">
        <v>3.38</v>
      </c>
      <c r="G13" s="59">
        <v>23.27</v>
      </c>
      <c r="H13" s="59">
        <v>24.77</v>
      </c>
      <c r="I13" s="59">
        <v>0.71</v>
      </c>
      <c r="J13" s="59">
        <v>0.24</v>
      </c>
      <c r="K13" s="59">
        <v>20.48</v>
      </c>
      <c r="L13" s="59">
        <v>23.45</v>
      </c>
      <c r="M13" s="59">
        <v>58.13</v>
      </c>
      <c r="N13" s="59">
        <v>5.0999999999999996</v>
      </c>
      <c r="O13" s="59">
        <v>0</v>
      </c>
      <c r="P13" s="59">
        <v>1.1200000000000001</v>
      </c>
      <c r="Q13" s="59">
        <v>36.909999999999997</v>
      </c>
      <c r="R13" s="197"/>
      <c r="S13" s="197"/>
      <c r="T13" s="197"/>
      <c r="U13" s="197"/>
    </row>
    <row r="14" spans="1:21" s="12" customFormat="1" x14ac:dyDescent="0.25">
      <c r="A14" s="200" t="s">
        <v>1021</v>
      </c>
      <c r="B14" s="59">
        <v>13.71</v>
      </c>
      <c r="C14" s="59">
        <v>100.35</v>
      </c>
      <c r="D14" s="59">
        <v>66.38</v>
      </c>
      <c r="E14" s="59">
        <v>4.2699999999999996</v>
      </c>
      <c r="F14" s="59">
        <v>2.97</v>
      </c>
      <c r="G14" s="59">
        <v>22.74</v>
      </c>
      <c r="H14" s="59">
        <v>24.78</v>
      </c>
      <c r="I14" s="59">
        <v>0.73</v>
      </c>
      <c r="J14" s="59">
        <v>0.03</v>
      </c>
      <c r="K14" s="59">
        <v>314.77999999999997</v>
      </c>
      <c r="L14" s="59">
        <v>23.02</v>
      </c>
      <c r="M14" s="59">
        <v>50.37</v>
      </c>
      <c r="N14" s="59">
        <v>4.7</v>
      </c>
      <c r="O14" s="59">
        <v>0</v>
      </c>
      <c r="P14" s="59">
        <v>1.1200000000000001</v>
      </c>
      <c r="Q14" s="59">
        <v>36.92</v>
      </c>
      <c r="R14" s="197"/>
      <c r="S14" s="197"/>
      <c r="T14" s="197"/>
      <c r="U14" s="197"/>
    </row>
    <row r="15" spans="1:21" s="12" customFormat="1" x14ac:dyDescent="0.25">
      <c r="A15" s="200" t="s">
        <v>1022</v>
      </c>
      <c r="B15" s="59">
        <v>12.4</v>
      </c>
      <c r="C15" s="59">
        <v>100.5</v>
      </c>
      <c r="D15" s="59">
        <v>65.41</v>
      </c>
      <c r="E15" s="59">
        <v>3.48</v>
      </c>
      <c r="F15" s="59">
        <v>2.9</v>
      </c>
      <c r="G15" s="59">
        <v>22.74</v>
      </c>
      <c r="H15" s="59">
        <v>24.78</v>
      </c>
      <c r="I15" s="59">
        <v>0.72</v>
      </c>
      <c r="J15" s="59">
        <v>0.4</v>
      </c>
      <c r="K15" s="59">
        <v>113.28</v>
      </c>
      <c r="L15" s="59">
        <v>23.21</v>
      </c>
      <c r="M15" s="59">
        <v>49.19</v>
      </c>
      <c r="N15" s="59">
        <v>4.4000000000000004</v>
      </c>
      <c r="O15" s="59">
        <v>0</v>
      </c>
      <c r="P15" s="59">
        <v>1.1000000000000001</v>
      </c>
      <c r="Q15" s="59">
        <v>36.700000000000003</v>
      </c>
      <c r="R15" s="197"/>
      <c r="S15" s="197"/>
      <c r="T15" s="197"/>
      <c r="U15" s="197"/>
    </row>
    <row r="16" spans="1:21" s="12" customFormat="1" x14ac:dyDescent="0.25">
      <c r="A16" s="200" t="s">
        <v>1023</v>
      </c>
      <c r="B16" s="59">
        <v>11.34</v>
      </c>
      <c r="C16" s="59">
        <v>100.82</v>
      </c>
      <c r="D16" s="59">
        <v>64.73</v>
      </c>
      <c r="E16" s="59">
        <v>3.66</v>
      </c>
      <c r="F16" s="59">
        <v>2.73</v>
      </c>
      <c r="G16" s="59">
        <v>22.74</v>
      </c>
      <c r="H16" s="59">
        <v>24.78</v>
      </c>
      <c r="I16" s="59">
        <v>0.72</v>
      </c>
      <c r="J16" s="59">
        <v>0.82</v>
      </c>
      <c r="K16" s="59">
        <v>112.59</v>
      </c>
      <c r="L16" s="59">
        <v>23.87</v>
      </c>
      <c r="M16" s="59">
        <v>50.21</v>
      </c>
      <c r="N16" s="59">
        <v>3.1</v>
      </c>
      <c r="O16" s="59">
        <v>0</v>
      </c>
      <c r="P16" s="59">
        <v>1.07</v>
      </c>
      <c r="Q16" s="59">
        <v>36.549999999999997</v>
      </c>
      <c r="R16" s="197"/>
      <c r="S16" s="197"/>
      <c r="T16" s="197"/>
      <c r="U16" s="197"/>
    </row>
    <row r="17" spans="1:21" s="12" customFormat="1" x14ac:dyDescent="0.25">
      <c r="A17" s="200" t="s">
        <v>1024</v>
      </c>
      <c r="B17" s="59">
        <v>10.64</v>
      </c>
      <c r="C17" s="59">
        <v>101.25</v>
      </c>
      <c r="D17" s="59">
        <v>64.41</v>
      </c>
      <c r="E17" s="59">
        <v>3.77</v>
      </c>
      <c r="F17" s="59">
        <v>2.98</v>
      </c>
      <c r="G17" s="59">
        <v>42.76</v>
      </c>
      <c r="H17" s="59">
        <v>22.81</v>
      </c>
      <c r="I17" s="59">
        <v>0.71</v>
      </c>
      <c r="J17" s="59">
        <v>1.35</v>
      </c>
      <c r="K17" s="59">
        <v>126.9</v>
      </c>
      <c r="L17" s="59">
        <v>23.87</v>
      </c>
      <c r="M17" s="59">
        <v>51.24</v>
      </c>
      <c r="N17" s="59">
        <v>3.6</v>
      </c>
      <c r="O17" s="59">
        <v>0</v>
      </c>
      <c r="P17" s="59">
        <v>1.05</v>
      </c>
      <c r="Q17" s="59">
        <v>36.24</v>
      </c>
      <c r="R17" s="197"/>
      <c r="S17" s="197"/>
      <c r="T17" s="197"/>
      <c r="U17" s="197"/>
    </row>
    <row r="18" spans="1:21" s="12" customFormat="1" x14ac:dyDescent="0.25">
      <c r="A18" s="200" t="s">
        <v>1025</v>
      </c>
      <c r="B18" s="59">
        <v>10.4</v>
      </c>
      <c r="C18" s="59">
        <v>99.16</v>
      </c>
      <c r="D18" s="59">
        <v>63.06</v>
      </c>
      <c r="E18" s="59">
        <v>3.45</v>
      </c>
      <c r="F18" s="59">
        <v>3</v>
      </c>
      <c r="G18" s="59">
        <v>43.21</v>
      </c>
      <c r="H18" s="59">
        <v>22.76</v>
      </c>
      <c r="I18" s="59">
        <v>0.7</v>
      </c>
      <c r="J18" s="59">
        <v>0.28000000000000003</v>
      </c>
      <c r="K18" s="59">
        <v>116.35</v>
      </c>
      <c r="L18" s="59">
        <v>23.81</v>
      </c>
      <c r="M18" s="59">
        <v>52.14</v>
      </c>
      <c r="N18" s="59">
        <v>4.9000000000000004</v>
      </c>
      <c r="O18" s="59">
        <v>0</v>
      </c>
      <c r="P18" s="59">
        <v>1.01</v>
      </c>
      <c r="Q18" s="59">
        <v>35.700000000000003</v>
      </c>
      <c r="R18" s="197"/>
      <c r="S18" s="197"/>
      <c r="T18" s="197"/>
      <c r="U18" s="197"/>
    </row>
    <row r="19" spans="1:21" s="12" customFormat="1" x14ac:dyDescent="0.25">
      <c r="A19" s="200" t="s">
        <v>1026</v>
      </c>
      <c r="B19" s="59">
        <v>10.77</v>
      </c>
      <c r="C19" s="59">
        <v>97.88</v>
      </c>
      <c r="D19" s="59">
        <v>62.66</v>
      </c>
      <c r="E19" s="59">
        <v>3.7</v>
      </c>
      <c r="F19" s="59">
        <v>2.9</v>
      </c>
      <c r="G19" s="59">
        <v>43.21</v>
      </c>
      <c r="H19" s="59">
        <v>22.76</v>
      </c>
      <c r="I19" s="59">
        <v>0.68</v>
      </c>
      <c r="J19" s="59">
        <v>0.14000000000000001</v>
      </c>
      <c r="K19" s="59">
        <v>8.9700000000000006</v>
      </c>
      <c r="L19" s="59">
        <v>22.41</v>
      </c>
      <c r="M19" s="59">
        <v>60.28</v>
      </c>
      <c r="N19" s="59">
        <v>5.7</v>
      </c>
      <c r="O19" s="59">
        <v>0</v>
      </c>
      <c r="P19" s="59">
        <v>1.03</v>
      </c>
      <c r="Q19" s="59">
        <v>34.99</v>
      </c>
      <c r="R19" s="197"/>
      <c r="S19" s="197"/>
      <c r="T19" s="197"/>
      <c r="U19" s="197"/>
    </row>
    <row r="20" spans="1:21" s="12" customFormat="1" x14ac:dyDescent="0.25">
      <c r="A20" s="200" t="s">
        <v>1027</v>
      </c>
      <c r="B20" s="59">
        <v>11.3</v>
      </c>
      <c r="C20" s="59">
        <v>97.38</v>
      </c>
      <c r="D20" s="59">
        <v>62.81</v>
      </c>
      <c r="E20" s="59">
        <v>3.23</v>
      </c>
      <c r="F20" s="59">
        <v>3.08</v>
      </c>
      <c r="G20" s="59">
        <v>43.21</v>
      </c>
      <c r="H20" s="59">
        <v>22.76</v>
      </c>
      <c r="I20" s="59">
        <v>0.67</v>
      </c>
      <c r="J20" s="59">
        <v>0.11</v>
      </c>
      <c r="K20" s="59">
        <v>342.13</v>
      </c>
      <c r="L20" s="59">
        <v>21.54</v>
      </c>
      <c r="M20" s="59">
        <v>63.07</v>
      </c>
      <c r="N20" s="59">
        <v>5.3</v>
      </c>
      <c r="O20" s="59">
        <v>0</v>
      </c>
      <c r="P20" s="59">
        <v>1.03</v>
      </c>
      <c r="Q20" s="59">
        <v>34.76</v>
      </c>
      <c r="R20" s="197"/>
      <c r="S20" s="197"/>
      <c r="T20" s="197"/>
      <c r="U20" s="197"/>
    </row>
    <row r="21" spans="1:21" s="12" customFormat="1" x14ac:dyDescent="0.25">
      <c r="A21" s="200" t="s">
        <v>1028</v>
      </c>
      <c r="B21" s="59">
        <v>11.81</v>
      </c>
      <c r="C21" s="59">
        <v>97.31</v>
      </c>
      <c r="D21" s="59">
        <v>63.17</v>
      </c>
      <c r="E21" s="59">
        <v>3.71</v>
      </c>
      <c r="F21" s="59">
        <v>2.84</v>
      </c>
      <c r="G21" s="59">
        <v>47.5</v>
      </c>
      <c r="H21" s="59">
        <v>21.43</v>
      </c>
      <c r="I21" s="59">
        <v>0.67</v>
      </c>
      <c r="J21" s="59">
        <v>0.1</v>
      </c>
      <c r="K21" s="59">
        <v>227.42</v>
      </c>
      <c r="L21" s="59">
        <v>21.57</v>
      </c>
      <c r="M21" s="59">
        <v>63.94</v>
      </c>
      <c r="N21" s="59">
        <v>4.4000000000000004</v>
      </c>
      <c r="O21" s="59">
        <v>0</v>
      </c>
      <c r="P21" s="59">
        <v>1.01</v>
      </c>
      <c r="Q21" s="59">
        <v>34.590000000000003</v>
      </c>
      <c r="R21" s="197"/>
      <c r="S21" s="197"/>
      <c r="T21" s="197"/>
      <c r="U21" s="197"/>
    </row>
    <row r="22" spans="1:21" s="12" customFormat="1" x14ac:dyDescent="0.25">
      <c r="A22" s="200" t="s">
        <v>1029</v>
      </c>
      <c r="B22" s="59">
        <v>12.33</v>
      </c>
      <c r="C22" s="59">
        <v>96.06</v>
      </c>
      <c r="D22" s="59">
        <v>62.9</v>
      </c>
      <c r="E22" s="59">
        <v>3.16</v>
      </c>
      <c r="F22" s="59">
        <v>2.71</v>
      </c>
      <c r="G22" s="59">
        <v>47.6</v>
      </c>
      <c r="H22" s="59">
        <v>21.4</v>
      </c>
      <c r="I22" s="59">
        <v>0.67</v>
      </c>
      <c r="J22" s="59">
        <v>0.19</v>
      </c>
      <c r="K22" s="59">
        <v>140.94</v>
      </c>
      <c r="L22" s="59">
        <v>21.46</v>
      </c>
      <c r="M22" s="59">
        <v>64.760000000000005</v>
      </c>
      <c r="N22" s="59">
        <v>4.8</v>
      </c>
      <c r="O22" s="59">
        <v>0</v>
      </c>
      <c r="P22" s="59">
        <v>1.02</v>
      </c>
      <c r="Q22" s="59">
        <v>34.72</v>
      </c>
      <c r="R22" s="197"/>
      <c r="S22" s="197"/>
      <c r="T22" s="197"/>
      <c r="U22" s="197"/>
    </row>
    <row r="23" spans="1:21" s="12" customFormat="1" x14ac:dyDescent="0.25">
      <c r="A23" s="200" t="s">
        <v>1030</v>
      </c>
      <c r="B23" s="59">
        <v>12.87</v>
      </c>
      <c r="C23" s="59">
        <v>95.44</v>
      </c>
      <c r="D23" s="59">
        <v>62.99</v>
      </c>
      <c r="E23" s="59">
        <v>3.1</v>
      </c>
      <c r="F23" s="59">
        <v>2.9</v>
      </c>
      <c r="G23" s="59">
        <v>47.6</v>
      </c>
      <c r="H23" s="59">
        <v>21.4</v>
      </c>
      <c r="I23" s="59">
        <v>0.66</v>
      </c>
      <c r="J23" s="59">
        <v>0.2</v>
      </c>
      <c r="K23" s="59">
        <v>101.85</v>
      </c>
      <c r="L23" s="59">
        <v>21.51</v>
      </c>
      <c r="M23" s="59">
        <v>64.400000000000006</v>
      </c>
      <c r="N23" s="59">
        <v>4.5999999999999996</v>
      </c>
      <c r="O23" s="59">
        <v>0</v>
      </c>
      <c r="P23" s="59">
        <v>1.03</v>
      </c>
      <c r="Q23" s="59">
        <v>34.840000000000003</v>
      </c>
      <c r="R23" s="197"/>
      <c r="S23" s="197"/>
      <c r="T23" s="197"/>
      <c r="U23" s="197"/>
    </row>
    <row r="24" spans="1:21" s="12" customFormat="1" x14ac:dyDescent="0.25">
      <c r="A24" s="200" t="s">
        <v>1031</v>
      </c>
      <c r="B24" s="59">
        <v>13.48</v>
      </c>
      <c r="C24" s="59">
        <v>94.47</v>
      </c>
      <c r="D24" s="59">
        <v>62.95</v>
      </c>
      <c r="E24" s="59">
        <v>1.53</v>
      </c>
      <c r="F24" s="59">
        <v>3.56</v>
      </c>
      <c r="G24" s="59">
        <v>47.6</v>
      </c>
      <c r="H24" s="59">
        <v>21.4</v>
      </c>
      <c r="I24" s="59">
        <v>0.67</v>
      </c>
      <c r="J24" s="59">
        <v>0.11</v>
      </c>
      <c r="K24" s="59">
        <v>271.39</v>
      </c>
      <c r="L24" s="59">
        <v>21.6</v>
      </c>
      <c r="M24" s="59">
        <v>64.39</v>
      </c>
      <c r="N24" s="59">
        <v>4.5999999999999996</v>
      </c>
      <c r="O24" s="59">
        <v>0</v>
      </c>
      <c r="P24" s="59">
        <v>1.06</v>
      </c>
      <c r="Q24" s="59">
        <v>35.090000000000003</v>
      </c>
      <c r="R24" s="197"/>
      <c r="S24" s="197"/>
      <c r="T24" s="197"/>
      <c r="U24" s="197"/>
    </row>
    <row r="25" spans="1:21" s="12" customFormat="1" x14ac:dyDescent="0.25">
      <c r="A25" s="200" t="s">
        <v>1032</v>
      </c>
      <c r="B25" s="59">
        <v>14.47</v>
      </c>
      <c r="C25" s="59">
        <v>93.47</v>
      </c>
      <c r="D25" s="59">
        <v>63.19</v>
      </c>
      <c r="E25" s="59">
        <v>3.39</v>
      </c>
      <c r="F25" s="59">
        <v>3.4</v>
      </c>
      <c r="G25" s="59">
        <v>42.4</v>
      </c>
      <c r="H25" s="59">
        <v>23.52</v>
      </c>
      <c r="I25" s="59">
        <v>0.68</v>
      </c>
      <c r="J25" s="59">
        <v>0.12</v>
      </c>
      <c r="K25" s="59">
        <v>301.64</v>
      </c>
      <c r="L25" s="59">
        <v>21.78</v>
      </c>
      <c r="M25" s="59">
        <v>63.97</v>
      </c>
      <c r="N25" s="59">
        <v>4.5</v>
      </c>
      <c r="O25" s="59">
        <v>0</v>
      </c>
      <c r="P25" s="59">
        <v>1.03</v>
      </c>
      <c r="Q25" s="59">
        <v>35.47</v>
      </c>
      <c r="R25" s="197"/>
      <c r="S25" s="197"/>
      <c r="T25" s="197"/>
      <c r="U25" s="197"/>
    </row>
    <row r="26" spans="1:21" s="12" customFormat="1" x14ac:dyDescent="0.25">
      <c r="A26" s="200" t="s">
        <v>1033</v>
      </c>
      <c r="B26" s="59">
        <v>15.22</v>
      </c>
      <c r="C26" s="59">
        <v>93.73</v>
      </c>
      <c r="D26" s="59">
        <v>63.93</v>
      </c>
      <c r="E26" s="59">
        <v>3.78</v>
      </c>
      <c r="F26" s="59">
        <v>3.14</v>
      </c>
      <c r="G26" s="59">
        <v>42.28</v>
      </c>
      <c r="H26" s="59">
        <v>23.57</v>
      </c>
      <c r="I26" s="59">
        <v>0.68</v>
      </c>
      <c r="J26" s="59">
        <v>0.11</v>
      </c>
      <c r="K26" s="59">
        <v>300.5</v>
      </c>
      <c r="L26" s="59">
        <v>21.56</v>
      </c>
      <c r="M26" s="59">
        <v>66.569999999999993</v>
      </c>
      <c r="N26" s="59">
        <v>4.7</v>
      </c>
      <c r="O26" s="59">
        <v>0</v>
      </c>
      <c r="P26" s="59">
        <v>1.04</v>
      </c>
      <c r="Q26" s="59">
        <v>36.49</v>
      </c>
      <c r="R26" s="197"/>
      <c r="S26" s="197"/>
      <c r="T26" s="197"/>
      <c r="U26" s="197"/>
    </row>
    <row r="27" spans="1:21" s="12" customFormat="1" x14ac:dyDescent="0.25">
      <c r="A27" s="200" t="s">
        <v>1034</v>
      </c>
      <c r="B27" s="59">
        <v>15.82</v>
      </c>
      <c r="C27" s="59">
        <v>94.23</v>
      </c>
      <c r="D27" s="59">
        <v>64.7</v>
      </c>
      <c r="E27" s="59">
        <v>3.79</v>
      </c>
      <c r="F27" s="59">
        <v>3.06</v>
      </c>
      <c r="G27" s="59">
        <v>42.28</v>
      </c>
      <c r="H27" s="59">
        <v>23.57</v>
      </c>
      <c r="I27" s="59">
        <v>0.7</v>
      </c>
      <c r="J27" s="59">
        <v>0.08</v>
      </c>
      <c r="K27" s="59">
        <v>299.14</v>
      </c>
      <c r="L27" s="59">
        <v>21.04</v>
      </c>
      <c r="M27" s="59">
        <v>68.040000000000006</v>
      </c>
      <c r="N27" s="59">
        <v>4.8</v>
      </c>
      <c r="O27" s="59">
        <v>0</v>
      </c>
      <c r="P27" s="59">
        <v>1.04</v>
      </c>
      <c r="Q27" s="59">
        <v>36.630000000000003</v>
      </c>
      <c r="R27" s="197"/>
      <c r="S27" s="197"/>
      <c r="T27" s="197"/>
      <c r="U27" s="197"/>
    </row>
    <row r="28" spans="1:21" s="12" customFormat="1" x14ac:dyDescent="0.25">
      <c r="A28" s="200" t="s">
        <v>1035</v>
      </c>
      <c r="B28" s="59">
        <v>16.510000000000002</v>
      </c>
      <c r="C28" s="59">
        <v>94.28</v>
      </c>
      <c r="D28" s="59">
        <v>65.27</v>
      </c>
      <c r="E28" s="59">
        <v>3.44</v>
      </c>
      <c r="F28" s="59">
        <v>3.1</v>
      </c>
      <c r="G28" s="59">
        <v>42.28</v>
      </c>
      <c r="H28" s="59">
        <v>23.57</v>
      </c>
      <c r="I28" s="59">
        <v>0.72</v>
      </c>
      <c r="J28" s="59">
        <v>0.09</v>
      </c>
      <c r="K28" s="59">
        <v>276.3</v>
      </c>
      <c r="L28" s="59">
        <v>21.08</v>
      </c>
      <c r="M28" s="59">
        <v>68.52</v>
      </c>
      <c r="N28" s="59">
        <v>4.4000000000000004</v>
      </c>
      <c r="O28" s="59">
        <v>0</v>
      </c>
      <c r="P28" s="59">
        <v>1.04</v>
      </c>
      <c r="Q28" s="59">
        <v>36.56</v>
      </c>
      <c r="R28" s="197"/>
      <c r="S28" s="197"/>
      <c r="T28" s="197"/>
      <c r="U28" s="197"/>
    </row>
    <row r="29" spans="1:21" s="12" customFormat="1" x14ac:dyDescent="0.25">
      <c r="A29" s="200" t="s">
        <v>1036</v>
      </c>
      <c r="B29" s="59">
        <v>17.510000000000002</v>
      </c>
      <c r="C29" s="59">
        <v>94.39</v>
      </c>
      <c r="D29" s="59">
        <v>66.13</v>
      </c>
      <c r="E29" s="59">
        <v>3.29</v>
      </c>
      <c r="F29" s="59">
        <v>2.82</v>
      </c>
      <c r="G29" s="59">
        <v>46.8</v>
      </c>
      <c r="H29" s="59">
        <v>25.71</v>
      </c>
      <c r="I29" s="59">
        <v>0.72</v>
      </c>
      <c r="J29" s="59">
        <v>0.11</v>
      </c>
      <c r="K29" s="59">
        <v>233.64</v>
      </c>
      <c r="L29" s="59">
        <v>21.09</v>
      </c>
      <c r="M29" s="59">
        <v>69.430000000000007</v>
      </c>
      <c r="N29" s="59">
        <v>4.5</v>
      </c>
      <c r="O29" s="59">
        <v>0</v>
      </c>
      <c r="P29" s="59">
        <v>1.06</v>
      </c>
      <c r="Q29" s="59">
        <v>36.31</v>
      </c>
      <c r="R29" s="197"/>
      <c r="S29" s="197"/>
      <c r="T29" s="197"/>
      <c r="U29" s="197"/>
    </row>
    <row r="30" spans="1:21" s="12" customFormat="1" x14ac:dyDescent="0.25">
      <c r="A30" s="200" t="s">
        <v>1037</v>
      </c>
      <c r="B30" s="59">
        <v>19.5</v>
      </c>
      <c r="C30" s="59">
        <v>94.44</v>
      </c>
      <c r="D30" s="59">
        <v>67.760000000000005</v>
      </c>
      <c r="E30" s="59">
        <v>3.39</v>
      </c>
      <c r="F30" s="59">
        <v>2.96</v>
      </c>
      <c r="G30" s="59">
        <v>46.91</v>
      </c>
      <c r="H30" s="59">
        <v>25.76</v>
      </c>
      <c r="I30" s="59">
        <v>0.72</v>
      </c>
      <c r="J30" s="59">
        <v>0.12</v>
      </c>
      <c r="K30" s="59">
        <v>296.87</v>
      </c>
      <c r="L30" s="59">
        <v>21.02</v>
      </c>
      <c r="M30" s="59">
        <v>70.19</v>
      </c>
      <c r="N30" s="59">
        <v>4.7</v>
      </c>
      <c r="O30" s="59">
        <v>0</v>
      </c>
      <c r="P30" s="59">
        <v>1.08</v>
      </c>
      <c r="Q30" s="59">
        <v>36.32</v>
      </c>
      <c r="R30" s="197"/>
      <c r="S30" s="197"/>
      <c r="T30" s="197"/>
      <c r="U30" s="197"/>
    </row>
    <row r="31" spans="1:21" s="12" customFormat="1" x14ac:dyDescent="0.25">
      <c r="A31" s="200" t="s">
        <v>1038</v>
      </c>
      <c r="B31" s="59">
        <v>20.98</v>
      </c>
      <c r="C31" s="59">
        <v>94.55</v>
      </c>
      <c r="D31" s="59">
        <v>69.010000000000005</v>
      </c>
      <c r="E31" s="59">
        <v>3.86</v>
      </c>
      <c r="F31" s="59">
        <v>2.88</v>
      </c>
      <c r="G31" s="59">
        <v>46.91</v>
      </c>
      <c r="H31" s="59">
        <v>25.76</v>
      </c>
      <c r="I31" s="59">
        <v>0.72</v>
      </c>
      <c r="J31" s="59">
        <v>0.14000000000000001</v>
      </c>
      <c r="K31" s="59">
        <v>344.34</v>
      </c>
      <c r="L31" s="59">
        <v>20.76</v>
      </c>
      <c r="M31" s="59">
        <v>69.040000000000006</v>
      </c>
      <c r="N31" s="59">
        <v>4.7</v>
      </c>
      <c r="O31" s="59">
        <v>0</v>
      </c>
      <c r="P31" s="59">
        <v>1.0900000000000001</v>
      </c>
      <c r="Q31" s="59">
        <v>36.21</v>
      </c>
      <c r="R31" s="197"/>
      <c r="S31" s="197"/>
      <c r="T31" s="197"/>
      <c r="U31" s="197"/>
    </row>
    <row r="32" spans="1:21" s="12" customFormat="1" x14ac:dyDescent="0.25">
      <c r="A32" s="200" t="s">
        <v>1039</v>
      </c>
      <c r="B32" s="59">
        <v>21.26</v>
      </c>
      <c r="C32" s="59">
        <v>93.43</v>
      </c>
      <c r="D32" s="59">
        <v>68.62</v>
      </c>
      <c r="E32" s="59">
        <v>3.67</v>
      </c>
      <c r="F32" s="59">
        <v>3.23</v>
      </c>
      <c r="G32" s="59">
        <v>46.91</v>
      </c>
      <c r="H32" s="59">
        <v>25.76</v>
      </c>
      <c r="I32" s="59">
        <v>0.72</v>
      </c>
      <c r="J32" s="59">
        <v>0.21</v>
      </c>
      <c r="K32" s="59">
        <v>251.03</v>
      </c>
      <c r="L32" s="59">
        <v>20.78</v>
      </c>
      <c r="M32" s="59">
        <v>67.98</v>
      </c>
      <c r="N32" s="59">
        <v>4.5</v>
      </c>
      <c r="O32" s="59">
        <v>0</v>
      </c>
      <c r="P32" s="59">
        <v>1.05</v>
      </c>
      <c r="Q32" s="59">
        <v>35.659999999999997</v>
      </c>
      <c r="R32" s="197"/>
      <c r="S32" s="197"/>
      <c r="T32" s="197"/>
      <c r="U32" s="197"/>
    </row>
    <row r="33" spans="1:21" s="12" customFormat="1" x14ac:dyDescent="0.25">
      <c r="A33" s="200" t="s">
        <v>1040</v>
      </c>
      <c r="B33" s="59">
        <v>21.98</v>
      </c>
      <c r="C33" s="59">
        <v>92.58</v>
      </c>
      <c r="D33" s="59">
        <v>68.72</v>
      </c>
      <c r="E33" s="59">
        <v>3.52</v>
      </c>
      <c r="F33" s="59">
        <v>3.21</v>
      </c>
      <c r="G33" s="59">
        <v>46.93</v>
      </c>
      <c r="H33" s="59">
        <v>27.62</v>
      </c>
      <c r="I33" s="59">
        <v>0.72</v>
      </c>
      <c r="J33" s="59">
        <v>0.13</v>
      </c>
      <c r="K33" s="59">
        <v>335.24</v>
      </c>
      <c r="L33" s="59">
        <v>20.68</v>
      </c>
      <c r="M33" s="59">
        <v>68.510000000000005</v>
      </c>
      <c r="N33" s="59">
        <v>7.1</v>
      </c>
      <c r="O33" s="59">
        <v>0</v>
      </c>
      <c r="P33" s="59">
        <v>1.08</v>
      </c>
      <c r="Q33" s="59">
        <v>34.89</v>
      </c>
      <c r="R33" s="197"/>
      <c r="S33" s="197"/>
      <c r="T33" s="197"/>
      <c r="U33" s="197"/>
    </row>
    <row r="34" spans="1:21" s="12" customFormat="1" x14ac:dyDescent="0.25">
      <c r="A34" s="200" t="s">
        <v>1041</v>
      </c>
      <c r="B34" s="59">
        <v>23.06</v>
      </c>
      <c r="C34" s="59">
        <v>93.04</v>
      </c>
      <c r="D34" s="59">
        <v>69.84</v>
      </c>
      <c r="E34" s="59">
        <v>3.41</v>
      </c>
      <c r="F34" s="59">
        <v>2.93</v>
      </c>
      <c r="G34" s="59">
        <v>46.93</v>
      </c>
      <c r="H34" s="59">
        <v>27.66</v>
      </c>
      <c r="I34" s="59">
        <v>0.7</v>
      </c>
      <c r="J34" s="59">
        <v>0.05</v>
      </c>
      <c r="K34" s="59">
        <v>211.17</v>
      </c>
      <c r="L34" s="59">
        <v>20.14</v>
      </c>
      <c r="M34" s="59">
        <v>69.52</v>
      </c>
      <c r="N34" s="59">
        <v>16.600000000000001</v>
      </c>
      <c r="O34" s="59">
        <v>0</v>
      </c>
      <c r="P34" s="59">
        <v>1.07</v>
      </c>
      <c r="Q34" s="59">
        <v>34.39</v>
      </c>
      <c r="R34" s="197"/>
      <c r="S34" s="197"/>
      <c r="T34" s="197"/>
      <c r="U34" s="197"/>
    </row>
    <row r="35" spans="1:21" s="12" customFormat="1" x14ac:dyDescent="0.25">
      <c r="A35" s="200" t="s">
        <v>1042</v>
      </c>
      <c r="B35" s="59">
        <v>23.93</v>
      </c>
      <c r="C35" s="59">
        <v>93.24</v>
      </c>
      <c r="D35" s="59">
        <v>70.650000000000006</v>
      </c>
      <c r="E35" s="59">
        <v>3.7</v>
      </c>
      <c r="F35" s="59">
        <v>2.95</v>
      </c>
      <c r="G35" s="59">
        <v>46.93</v>
      </c>
      <c r="H35" s="59">
        <v>27.66</v>
      </c>
      <c r="I35" s="59">
        <v>0.71</v>
      </c>
      <c r="J35" s="59">
        <v>0.24</v>
      </c>
      <c r="K35" s="59">
        <v>39.21</v>
      </c>
      <c r="L35" s="59">
        <v>20.53</v>
      </c>
      <c r="M35" s="59">
        <v>67.73</v>
      </c>
      <c r="N35" s="59">
        <v>32.799999999999997</v>
      </c>
      <c r="O35" s="59">
        <v>0</v>
      </c>
      <c r="P35" s="59">
        <v>1.07</v>
      </c>
      <c r="Q35" s="59">
        <v>34.49</v>
      </c>
      <c r="R35" s="197"/>
      <c r="S35" s="197"/>
      <c r="T35" s="197"/>
      <c r="U35" s="197"/>
    </row>
    <row r="36" spans="1:21" s="12" customFormat="1" x14ac:dyDescent="0.25">
      <c r="A36" s="200" t="s">
        <v>1043</v>
      </c>
      <c r="B36" s="59">
        <v>24.65</v>
      </c>
      <c r="C36" s="59">
        <v>93.89</v>
      </c>
      <c r="D36" s="59">
        <v>71.59</v>
      </c>
      <c r="E36" s="59">
        <v>3.53</v>
      </c>
      <c r="F36" s="59">
        <v>3.08</v>
      </c>
      <c r="G36" s="59">
        <v>46.93</v>
      </c>
      <c r="H36" s="59">
        <v>27.66</v>
      </c>
      <c r="I36" s="59">
        <v>0.7</v>
      </c>
      <c r="J36" s="59">
        <v>1.1499999999999999</v>
      </c>
      <c r="K36" s="59">
        <v>16.87</v>
      </c>
      <c r="L36" s="59">
        <v>21.09</v>
      </c>
      <c r="M36" s="59">
        <v>66.25</v>
      </c>
      <c r="N36" s="59">
        <v>64.5</v>
      </c>
      <c r="O36" s="59">
        <v>0</v>
      </c>
      <c r="P36" s="59">
        <v>1.0900000000000001</v>
      </c>
      <c r="Q36" s="59">
        <v>34.409999999999997</v>
      </c>
      <c r="R36" s="197"/>
      <c r="S36" s="197"/>
      <c r="T36" s="197"/>
      <c r="U36" s="197"/>
    </row>
    <row r="37" spans="1:21" s="12" customFormat="1" x14ac:dyDescent="0.25">
      <c r="A37" s="200" t="s">
        <v>1044</v>
      </c>
      <c r="B37" s="59">
        <v>24.4</v>
      </c>
      <c r="C37" s="59">
        <v>93.63</v>
      </c>
      <c r="D37" s="59">
        <v>71.25</v>
      </c>
      <c r="E37" s="59">
        <v>3.4</v>
      </c>
      <c r="F37" s="59">
        <v>2.9</v>
      </c>
      <c r="G37" s="59">
        <v>50.54</v>
      </c>
      <c r="H37" s="59">
        <v>26.84</v>
      </c>
      <c r="I37" s="59">
        <v>0.71</v>
      </c>
      <c r="J37" s="59">
        <v>0.93</v>
      </c>
      <c r="K37" s="59">
        <v>17.07</v>
      </c>
      <c r="L37" s="59">
        <v>22.62</v>
      </c>
      <c r="M37" s="59">
        <v>59.8</v>
      </c>
      <c r="N37" s="59">
        <v>123.2</v>
      </c>
      <c r="O37" s="59">
        <v>0</v>
      </c>
      <c r="P37" s="59">
        <v>1.1000000000000001</v>
      </c>
      <c r="Q37" s="59">
        <v>34.119999999999997</v>
      </c>
      <c r="R37" s="197"/>
      <c r="S37" s="197"/>
      <c r="T37" s="197"/>
      <c r="U37" s="197"/>
    </row>
    <row r="38" spans="1:21" s="12" customFormat="1" x14ac:dyDescent="0.25">
      <c r="A38" s="200" t="s">
        <v>1045</v>
      </c>
      <c r="B38" s="59">
        <v>24.5</v>
      </c>
      <c r="C38" s="59">
        <v>93.13</v>
      </c>
      <c r="D38" s="59">
        <v>71.040000000000006</v>
      </c>
      <c r="E38" s="59">
        <v>3.63</v>
      </c>
      <c r="F38" s="59">
        <v>2.99</v>
      </c>
      <c r="G38" s="59">
        <v>50.62</v>
      </c>
      <c r="H38" s="59">
        <v>26.82</v>
      </c>
      <c r="I38" s="59">
        <v>0.72</v>
      </c>
      <c r="J38" s="59">
        <v>1.04</v>
      </c>
      <c r="K38" s="59">
        <v>20.68</v>
      </c>
      <c r="L38" s="59">
        <v>24.46</v>
      </c>
      <c r="M38" s="59">
        <v>52.64</v>
      </c>
      <c r="N38" s="59">
        <v>164</v>
      </c>
      <c r="O38" s="59">
        <v>0</v>
      </c>
      <c r="P38" s="59">
        <v>1.2</v>
      </c>
      <c r="Q38" s="59">
        <v>34.159999999999997</v>
      </c>
      <c r="R38" s="197"/>
      <c r="S38" s="197"/>
      <c r="T38" s="197"/>
      <c r="U38" s="197"/>
    </row>
    <row r="39" spans="1:21" s="12" customFormat="1" x14ac:dyDescent="0.25">
      <c r="A39" s="200" t="s">
        <v>1046</v>
      </c>
      <c r="B39" s="59">
        <v>24.58</v>
      </c>
      <c r="C39" s="59">
        <v>92.93</v>
      </c>
      <c r="D39" s="59">
        <v>71</v>
      </c>
      <c r="E39" s="59">
        <v>3.13</v>
      </c>
      <c r="F39" s="59">
        <v>3.08</v>
      </c>
      <c r="G39" s="59">
        <v>50.62</v>
      </c>
      <c r="H39" s="59">
        <v>26.82</v>
      </c>
      <c r="I39" s="59">
        <v>0.72</v>
      </c>
      <c r="J39" s="59">
        <v>0.7</v>
      </c>
      <c r="K39" s="59">
        <v>26.11</v>
      </c>
      <c r="L39" s="59">
        <v>26.06</v>
      </c>
      <c r="M39" s="59">
        <v>47.08</v>
      </c>
      <c r="N39" s="59">
        <v>204.9</v>
      </c>
      <c r="O39" s="59">
        <v>0</v>
      </c>
      <c r="P39" s="59">
        <v>1.27</v>
      </c>
      <c r="Q39" s="59">
        <v>34.200000000000003</v>
      </c>
      <c r="R39" s="197"/>
      <c r="S39" s="197"/>
      <c r="T39" s="197"/>
      <c r="U39" s="197"/>
    </row>
    <row r="40" spans="1:21" s="12" customFormat="1" x14ac:dyDescent="0.25">
      <c r="A40" s="200" t="s">
        <v>1047</v>
      </c>
      <c r="B40" s="59">
        <v>24.65</v>
      </c>
      <c r="C40" s="59">
        <v>94.37</v>
      </c>
      <c r="D40" s="59">
        <v>71.849999999999994</v>
      </c>
      <c r="E40" s="59">
        <v>2.09</v>
      </c>
      <c r="F40" s="59">
        <v>3.08</v>
      </c>
      <c r="G40" s="59">
        <v>50.62</v>
      </c>
      <c r="H40" s="59">
        <v>26.82</v>
      </c>
      <c r="I40" s="59">
        <v>0.72</v>
      </c>
      <c r="J40" s="59">
        <v>0.33</v>
      </c>
      <c r="K40" s="59">
        <v>15.1</v>
      </c>
      <c r="L40" s="59">
        <v>27.64</v>
      </c>
      <c r="M40" s="59">
        <v>43.27</v>
      </c>
      <c r="N40" s="59">
        <v>241.5</v>
      </c>
      <c r="O40" s="59">
        <v>0</v>
      </c>
      <c r="P40" s="59">
        <v>1.33</v>
      </c>
      <c r="Q40" s="59">
        <v>35.06</v>
      </c>
      <c r="R40" s="197"/>
      <c r="S40" s="197"/>
      <c r="T40" s="197"/>
      <c r="U40" s="197"/>
    </row>
    <row r="41" spans="1:21" s="12" customFormat="1" x14ac:dyDescent="0.25">
      <c r="A41" s="200" t="s">
        <v>1048</v>
      </c>
      <c r="B41" s="59">
        <v>24.92</v>
      </c>
      <c r="C41" s="59">
        <v>97.92</v>
      </c>
      <c r="D41" s="59">
        <v>74.02</v>
      </c>
      <c r="E41" s="59">
        <v>4.5</v>
      </c>
      <c r="F41" s="59">
        <v>3.89</v>
      </c>
      <c r="G41" s="59">
        <v>161.94999999999999</v>
      </c>
      <c r="H41" s="59">
        <v>39.67</v>
      </c>
      <c r="I41" s="59">
        <v>0.72</v>
      </c>
      <c r="J41" s="59">
        <v>0.41</v>
      </c>
      <c r="K41" s="59">
        <v>21.88</v>
      </c>
      <c r="L41" s="59">
        <v>28.57</v>
      </c>
      <c r="M41" s="59">
        <v>40.380000000000003</v>
      </c>
      <c r="N41" s="59">
        <v>301.39999999999998</v>
      </c>
      <c r="O41" s="59">
        <v>0</v>
      </c>
      <c r="P41" s="59">
        <v>1.39</v>
      </c>
      <c r="Q41" s="59">
        <v>35.28</v>
      </c>
      <c r="R41" s="197"/>
      <c r="S41" s="197"/>
      <c r="T41" s="197"/>
      <c r="U41" s="197"/>
    </row>
    <row r="42" spans="1:21" s="12" customFormat="1" x14ac:dyDescent="0.25">
      <c r="A42" s="200" t="s">
        <v>1049</v>
      </c>
      <c r="B42" s="59">
        <v>24.74</v>
      </c>
      <c r="C42" s="59">
        <v>99.9</v>
      </c>
      <c r="D42" s="59">
        <v>74.97</v>
      </c>
      <c r="E42" s="59">
        <v>4.3600000000000003</v>
      </c>
      <c r="F42" s="59">
        <v>3.53</v>
      </c>
      <c r="G42" s="59">
        <v>164.48</v>
      </c>
      <c r="H42" s="59">
        <v>39.96</v>
      </c>
      <c r="I42" s="59">
        <v>0.71</v>
      </c>
      <c r="J42" s="59">
        <v>0.49</v>
      </c>
      <c r="K42" s="59">
        <v>147.79</v>
      </c>
      <c r="L42" s="59">
        <v>28.44</v>
      </c>
      <c r="M42" s="59">
        <v>39.06</v>
      </c>
      <c r="N42" s="59">
        <v>369.4</v>
      </c>
      <c r="O42" s="59">
        <v>0</v>
      </c>
      <c r="P42" s="59">
        <v>1.43</v>
      </c>
      <c r="Q42" s="59">
        <v>35.450000000000003</v>
      </c>
      <c r="R42" s="197"/>
      <c r="S42" s="197"/>
      <c r="T42" s="197"/>
      <c r="U42" s="197"/>
    </row>
    <row r="43" spans="1:21" s="12" customFormat="1" x14ac:dyDescent="0.25">
      <c r="A43" s="200" t="s">
        <v>1050</v>
      </c>
      <c r="B43" s="59">
        <v>23.39</v>
      </c>
      <c r="C43" s="59">
        <v>102.05</v>
      </c>
      <c r="D43" s="59">
        <v>75.08</v>
      </c>
      <c r="E43" s="59">
        <v>4.83</v>
      </c>
      <c r="F43" s="59">
        <v>3.14</v>
      </c>
      <c r="G43" s="59">
        <v>164.48</v>
      </c>
      <c r="H43" s="59">
        <v>39.96</v>
      </c>
      <c r="I43" s="59">
        <v>0.7</v>
      </c>
      <c r="J43" s="59">
        <v>0.85</v>
      </c>
      <c r="K43" s="59">
        <v>114.97</v>
      </c>
      <c r="L43" s="59">
        <v>27.55</v>
      </c>
      <c r="M43" s="59">
        <v>39.229999999999997</v>
      </c>
      <c r="N43" s="59">
        <v>441.4</v>
      </c>
      <c r="O43" s="59">
        <v>0</v>
      </c>
      <c r="P43" s="59">
        <v>1.46</v>
      </c>
      <c r="Q43" s="59">
        <v>35.64</v>
      </c>
      <c r="R43" s="197"/>
      <c r="S43" s="197"/>
      <c r="T43" s="197"/>
      <c r="U43" s="197"/>
    </row>
    <row r="44" spans="1:21" s="12" customFormat="1" x14ac:dyDescent="0.25">
      <c r="A44" s="200" t="s">
        <v>1051</v>
      </c>
      <c r="B44" s="59">
        <v>20.9</v>
      </c>
      <c r="C44" s="59">
        <v>104.12</v>
      </c>
      <c r="D44" s="59">
        <v>74.23</v>
      </c>
      <c r="E44" s="59">
        <v>4.7699999999999996</v>
      </c>
      <c r="F44" s="59">
        <v>2.31</v>
      </c>
      <c r="G44" s="59">
        <v>164.48</v>
      </c>
      <c r="H44" s="59">
        <v>39.96</v>
      </c>
      <c r="I44" s="59">
        <v>0.7</v>
      </c>
      <c r="J44" s="59">
        <v>1.27</v>
      </c>
      <c r="K44" s="59">
        <v>120.46</v>
      </c>
      <c r="L44" s="59">
        <v>27.4</v>
      </c>
      <c r="M44" s="59">
        <v>38.450000000000003</v>
      </c>
      <c r="N44" s="59">
        <v>503.7</v>
      </c>
      <c r="O44" s="59">
        <v>0</v>
      </c>
      <c r="P44" s="59">
        <v>1.45</v>
      </c>
      <c r="Q44" s="59">
        <v>35.700000000000003</v>
      </c>
      <c r="R44" s="197"/>
      <c r="S44" s="197"/>
      <c r="T44" s="197"/>
      <c r="U44" s="197"/>
    </row>
    <row r="45" spans="1:21" s="12" customFormat="1" x14ac:dyDescent="0.25">
      <c r="A45" s="200" t="s">
        <v>1052</v>
      </c>
      <c r="B45" s="59">
        <v>17.86</v>
      </c>
      <c r="C45" s="59">
        <v>106.09</v>
      </c>
      <c r="D45" s="59">
        <v>72.86</v>
      </c>
      <c r="E45" s="59">
        <v>5.04</v>
      </c>
      <c r="F45" s="59">
        <v>2.74</v>
      </c>
      <c r="G45" s="59">
        <v>137.82</v>
      </c>
      <c r="H45" s="59">
        <v>49.69</v>
      </c>
      <c r="I45" s="59">
        <v>0.69</v>
      </c>
      <c r="J45" s="59">
        <v>0.98</v>
      </c>
      <c r="K45" s="59">
        <v>123.19</v>
      </c>
      <c r="L45" s="59">
        <v>28.37</v>
      </c>
      <c r="M45" s="59">
        <v>36.9</v>
      </c>
      <c r="N45" s="59">
        <v>549.1</v>
      </c>
      <c r="O45" s="59">
        <v>0</v>
      </c>
      <c r="P45" s="59">
        <v>1.44</v>
      </c>
      <c r="Q45" s="59">
        <v>35.58</v>
      </c>
      <c r="R45" s="197"/>
      <c r="S45" s="197"/>
      <c r="T45" s="197"/>
      <c r="U45" s="197"/>
    </row>
    <row r="46" spans="1:21" s="12" customFormat="1" x14ac:dyDescent="0.25">
      <c r="A46" s="200" t="s">
        <v>1053</v>
      </c>
      <c r="B46" s="59">
        <v>14.46</v>
      </c>
      <c r="C46" s="59">
        <v>106.73</v>
      </c>
      <c r="D46" s="59">
        <v>70.5</v>
      </c>
      <c r="E46" s="59">
        <v>4.6500000000000004</v>
      </c>
      <c r="F46" s="59">
        <v>3.06</v>
      </c>
      <c r="G46" s="59">
        <v>137.22</v>
      </c>
      <c r="H46" s="59">
        <v>49.91</v>
      </c>
      <c r="I46" s="59">
        <v>0.68</v>
      </c>
      <c r="J46" s="59">
        <v>1.29</v>
      </c>
      <c r="K46" s="59">
        <v>114.72</v>
      </c>
      <c r="L46" s="59">
        <v>28.54</v>
      </c>
      <c r="M46" s="59">
        <v>36.94</v>
      </c>
      <c r="N46" s="59">
        <v>588.29999999999995</v>
      </c>
      <c r="O46" s="59">
        <v>0</v>
      </c>
      <c r="P46" s="59">
        <v>1.4</v>
      </c>
      <c r="Q46" s="59">
        <v>35.21</v>
      </c>
      <c r="R46" s="197"/>
      <c r="S46" s="197"/>
      <c r="T46" s="197"/>
      <c r="U46" s="197"/>
    </row>
    <row r="47" spans="1:21" s="12" customFormat="1" x14ac:dyDescent="0.25">
      <c r="A47" s="200" t="s">
        <v>1054</v>
      </c>
      <c r="B47" s="59">
        <v>11.99</v>
      </c>
      <c r="C47" s="59">
        <v>105.52</v>
      </c>
      <c r="D47" s="59">
        <v>67.849999999999994</v>
      </c>
      <c r="E47" s="59">
        <v>3.43</v>
      </c>
      <c r="F47" s="59">
        <v>3.03</v>
      </c>
      <c r="G47" s="59">
        <v>137.22</v>
      </c>
      <c r="H47" s="59">
        <v>49.91</v>
      </c>
      <c r="I47" s="59">
        <v>0.67</v>
      </c>
      <c r="J47" s="59">
        <v>1.48</v>
      </c>
      <c r="K47" s="59">
        <v>116.62</v>
      </c>
      <c r="L47" s="59">
        <v>28.52</v>
      </c>
      <c r="M47" s="59">
        <v>35.92</v>
      </c>
      <c r="N47" s="59">
        <v>625.6</v>
      </c>
      <c r="O47" s="59">
        <v>0</v>
      </c>
      <c r="P47" s="59">
        <v>1.37</v>
      </c>
      <c r="Q47" s="59">
        <v>34.11</v>
      </c>
      <c r="R47" s="197"/>
      <c r="S47" s="197"/>
      <c r="T47" s="197"/>
      <c r="U47" s="197"/>
    </row>
    <row r="48" spans="1:21" s="12" customFormat="1" x14ac:dyDescent="0.25">
      <c r="A48" s="200" t="s">
        <v>1055</v>
      </c>
      <c r="B48" s="59">
        <v>10.66</v>
      </c>
      <c r="C48" s="59">
        <v>105.12</v>
      </c>
      <c r="D48" s="59">
        <v>66.56</v>
      </c>
      <c r="E48" s="59">
        <v>4.09</v>
      </c>
      <c r="F48" s="59">
        <v>3.11</v>
      </c>
      <c r="G48" s="59">
        <v>137.22</v>
      </c>
      <c r="H48" s="59">
        <v>49.91</v>
      </c>
      <c r="I48" s="59">
        <v>0.65</v>
      </c>
      <c r="J48" s="59">
        <v>1.0900000000000001</v>
      </c>
      <c r="K48" s="59">
        <v>120.05</v>
      </c>
      <c r="L48" s="59">
        <v>29.29</v>
      </c>
      <c r="M48" s="59">
        <v>35.56</v>
      </c>
      <c r="N48" s="59">
        <v>660.4</v>
      </c>
      <c r="O48" s="59">
        <v>0</v>
      </c>
      <c r="P48" s="59">
        <v>1.34</v>
      </c>
      <c r="Q48" s="59">
        <v>32.86</v>
      </c>
      <c r="R48" s="197"/>
      <c r="S48" s="197"/>
      <c r="T48" s="197"/>
      <c r="U48" s="197"/>
    </row>
    <row r="49" spans="1:21" s="12" customFormat="1" x14ac:dyDescent="0.25">
      <c r="A49" s="200" t="s">
        <v>1056</v>
      </c>
      <c r="B49" s="59">
        <v>9.74</v>
      </c>
      <c r="C49" s="59">
        <v>104.87</v>
      </c>
      <c r="D49" s="59">
        <v>65.680000000000007</v>
      </c>
      <c r="E49" s="59">
        <v>4.01</v>
      </c>
      <c r="F49" s="59">
        <v>3.17</v>
      </c>
      <c r="G49" s="59">
        <v>84.21</v>
      </c>
      <c r="H49" s="59">
        <v>48.05</v>
      </c>
      <c r="I49" s="59">
        <v>0.65</v>
      </c>
      <c r="J49" s="59">
        <v>0.95</v>
      </c>
      <c r="K49" s="59">
        <v>121.58</v>
      </c>
      <c r="L49" s="59">
        <v>30.18</v>
      </c>
      <c r="M49" s="59">
        <v>35.03</v>
      </c>
      <c r="N49" s="59">
        <v>703</v>
      </c>
      <c r="O49" s="59">
        <v>0</v>
      </c>
      <c r="P49" s="59">
        <v>1.31</v>
      </c>
      <c r="Q49" s="59">
        <v>32.520000000000003</v>
      </c>
      <c r="R49" s="197"/>
      <c r="S49" s="197"/>
      <c r="T49" s="197"/>
      <c r="U49" s="197"/>
    </row>
    <row r="50" spans="1:21" s="12" customFormat="1" x14ac:dyDescent="0.25">
      <c r="A50" s="200" t="s">
        <v>1057</v>
      </c>
      <c r="B50" s="59">
        <v>5.82</v>
      </c>
      <c r="C50" s="59">
        <v>98.25</v>
      </c>
      <c r="D50" s="59">
        <v>58.88</v>
      </c>
      <c r="E50" s="59">
        <v>4.5</v>
      </c>
      <c r="F50" s="59">
        <v>5.31</v>
      </c>
      <c r="G50" s="59">
        <v>83.01</v>
      </c>
      <c r="H50" s="59">
        <v>48</v>
      </c>
      <c r="I50" s="59">
        <v>0.64</v>
      </c>
      <c r="J50" s="59">
        <v>1.38</v>
      </c>
      <c r="K50" s="59">
        <v>116.02</v>
      </c>
      <c r="L50" s="59">
        <v>30.5</v>
      </c>
      <c r="M50" s="59">
        <v>32.9</v>
      </c>
      <c r="N50" s="59">
        <v>737.1</v>
      </c>
      <c r="O50" s="59">
        <v>0</v>
      </c>
      <c r="P50" s="59">
        <v>1.18</v>
      </c>
      <c r="Q50" s="59">
        <v>31.26</v>
      </c>
      <c r="R50" s="197"/>
      <c r="S50" s="197"/>
      <c r="T50" s="197"/>
      <c r="U50" s="197"/>
    </row>
    <row r="51" spans="1:21" s="12" customFormat="1" x14ac:dyDescent="0.25">
      <c r="A51" s="200" t="s">
        <v>1058</v>
      </c>
      <c r="B51" s="59">
        <v>1.02</v>
      </c>
      <c r="C51" s="59">
        <v>76.95</v>
      </c>
      <c r="D51" s="59">
        <v>43.29</v>
      </c>
      <c r="E51" s="59">
        <v>5.2</v>
      </c>
      <c r="F51" s="59">
        <v>10.99</v>
      </c>
      <c r="G51" s="59">
        <v>83.01</v>
      </c>
      <c r="H51" s="59">
        <v>48</v>
      </c>
      <c r="I51" s="59">
        <v>0.64</v>
      </c>
      <c r="J51" s="59">
        <v>0.91</v>
      </c>
      <c r="K51" s="59">
        <v>122.02</v>
      </c>
      <c r="L51" s="59">
        <v>31.06</v>
      </c>
      <c r="M51" s="59">
        <v>32.229999999999997</v>
      </c>
      <c r="N51" s="59">
        <v>750.7</v>
      </c>
      <c r="O51" s="59">
        <v>0</v>
      </c>
      <c r="P51" s="59">
        <v>0.88</v>
      </c>
      <c r="Q51" s="59">
        <v>25.63</v>
      </c>
      <c r="R51" s="197"/>
      <c r="S51" s="197"/>
      <c r="T51" s="197"/>
      <c r="U51" s="197"/>
    </row>
    <row r="52" spans="1:21" s="12" customFormat="1" x14ac:dyDescent="0.25">
      <c r="A52" s="200" t="s">
        <v>1059</v>
      </c>
      <c r="B52" s="59">
        <v>0.26</v>
      </c>
      <c r="C52" s="59">
        <v>57.3</v>
      </c>
      <c r="D52" s="59">
        <v>31.83</v>
      </c>
      <c r="E52" s="59">
        <v>4.53</v>
      </c>
      <c r="F52" s="59">
        <v>12.08</v>
      </c>
      <c r="G52" s="59">
        <v>83.01</v>
      </c>
      <c r="H52" s="59">
        <v>48</v>
      </c>
      <c r="I52" s="59">
        <v>0.59</v>
      </c>
      <c r="J52" s="59">
        <v>0.85</v>
      </c>
      <c r="K52" s="59">
        <v>126.89</v>
      </c>
      <c r="L52" s="59">
        <v>32.06</v>
      </c>
      <c r="M52" s="59">
        <v>29.99</v>
      </c>
      <c r="N52" s="59">
        <v>786</v>
      </c>
      <c r="O52" s="59">
        <v>0</v>
      </c>
      <c r="P52" s="59">
        <v>0.72</v>
      </c>
      <c r="Q52" s="59">
        <v>21.05</v>
      </c>
      <c r="R52" s="197"/>
      <c r="S52" s="197"/>
      <c r="T52" s="197"/>
      <c r="U52" s="197"/>
    </row>
    <row r="53" spans="1:21" s="12" customFormat="1" x14ac:dyDescent="0.25">
      <c r="A53" s="200" t="s">
        <v>1060</v>
      </c>
      <c r="B53" s="59">
        <v>0.42</v>
      </c>
      <c r="C53" s="59">
        <v>58.1</v>
      </c>
      <c r="D53" s="59">
        <v>32.4</v>
      </c>
      <c r="E53" s="59">
        <v>3.68</v>
      </c>
      <c r="F53" s="59">
        <v>7.72</v>
      </c>
      <c r="G53" s="210" t="s">
        <v>43</v>
      </c>
      <c r="H53" s="210" t="s">
        <v>43</v>
      </c>
      <c r="I53" s="59">
        <v>0.5</v>
      </c>
      <c r="J53" s="59">
        <v>0.55000000000000004</v>
      </c>
      <c r="K53" s="59">
        <v>147.56</v>
      </c>
      <c r="L53" s="59">
        <v>32.56</v>
      </c>
      <c r="M53" s="59">
        <v>27.33</v>
      </c>
      <c r="N53" s="59">
        <v>822.1</v>
      </c>
      <c r="O53" s="59">
        <v>0</v>
      </c>
      <c r="P53" s="59">
        <v>0.74</v>
      </c>
      <c r="Q53" s="59">
        <v>20.54</v>
      </c>
      <c r="R53" s="197"/>
      <c r="S53" s="197"/>
      <c r="T53" s="197"/>
      <c r="U53" s="197"/>
    </row>
    <row r="54" spans="1:21" s="12" customFormat="1" x14ac:dyDescent="0.25">
      <c r="A54" s="200" t="s">
        <v>1061</v>
      </c>
      <c r="B54" s="59">
        <v>0.47</v>
      </c>
      <c r="C54" s="59">
        <v>62.38</v>
      </c>
      <c r="D54" s="59">
        <v>34.799999999999997</v>
      </c>
      <c r="E54" s="59">
        <v>3.44</v>
      </c>
      <c r="F54" s="59">
        <v>5.6</v>
      </c>
      <c r="G54" s="210" t="s">
        <v>43</v>
      </c>
      <c r="H54" s="210" t="s">
        <v>43</v>
      </c>
      <c r="I54" s="59">
        <v>0.45</v>
      </c>
      <c r="J54" s="59">
        <v>1.03</v>
      </c>
      <c r="K54" s="59">
        <v>118.31</v>
      </c>
      <c r="L54" s="59">
        <v>32.65</v>
      </c>
      <c r="M54" s="59">
        <v>27.43</v>
      </c>
      <c r="N54" s="59">
        <v>832.5</v>
      </c>
      <c r="O54" s="59">
        <v>0</v>
      </c>
      <c r="P54" s="59">
        <v>0.77</v>
      </c>
      <c r="Q54" s="59">
        <v>21.44</v>
      </c>
      <c r="R54" s="197"/>
      <c r="S54" s="197"/>
      <c r="T54" s="197"/>
      <c r="U54" s="197"/>
    </row>
    <row r="55" spans="1:21" s="12" customFormat="1" x14ac:dyDescent="0.25">
      <c r="A55" s="200" t="s">
        <v>1062</v>
      </c>
      <c r="B55" s="59">
        <v>0.51</v>
      </c>
      <c r="C55" s="59">
        <v>67.67</v>
      </c>
      <c r="D55" s="59">
        <v>37.75</v>
      </c>
      <c r="E55" s="59">
        <v>3.26</v>
      </c>
      <c r="F55" s="59">
        <v>4.7300000000000004</v>
      </c>
      <c r="G55" s="210" t="s">
        <v>43</v>
      </c>
      <c r="H55" s="210" t="s">
        <v>43</v>
      </c>
      <c r="I55" s="59">
        <v>0.48</v>
      </c>
      <c r="J55" s="59">
        <v>0.69</v>
      </c>
      <c r="K55" s="59">
        <v>182.1</v>
      </c>
      <c r="L55" s="59">
        <v>32.659999999999997</v>
      </c>
      <c r="M55" s="59">
        <v>24.46</v>
      </c>
      <c r="N55" s="59">
        <v>821.9</v>
      </c>
      <c r="O55" s="59">
        <v>0</v>
      </c>
      <c r="P55" s="59">
        <v>0.75</v>
      </c>
      <c r="Q55" s="59">
        <v>22.88</v>
      </c>
      <c r="R55" s="197"/>
      <c r="S55" s="197"/>
      <c r="T55" s="197"/>
      <c r="U55" s="197"/>
    </row>
    <row r="56" spans="1:21" s="12" customFormat="1" x14ac:dyDescent="0.25">
      <c r="A56" s="200" t="s">
        <v>1063</v>
      </c>
      <c r="B56" s="59">
        <v>1.94</v>
      </c>
      <c r="C56" s="59">
        <v>54.36</v>
      </c>
      <c r="D56" s="59">
        <v>31.56</v>
      </c>
      <c r="E56" s="59">
        <v>7.52</v>
      </c>
      <c r="F56" s="59">
        <v>20.94</v>
      </c>
      <c r="G56" s="210" t="s">
        <v>43</v>
      </c>
      <c r="H56" s="210" t="s">
        <v>43</v>
      </c>
      <c r="I56" s="59">
        <v>0.51</v>
      </c>
      <c r="J56" s="59">
        <v>0.79</v>
      </c>
      <c r="K56" s="59">
        <v>13.8</v>
      </c>
      <c r="L56" s="59">
        <v>35.78</v>
      </c>
      <c r="M56" s="59">
        <v>21.6</v>
      </c>
      <c r="N56" s="59">
        <v>831.7</v>
      </c>
      <c r="O56" s="59">
        <v>0</v>
      </c>
      <c r="P56" s="59">
        <v>0.79</v>
      </c>
      <c r="Q56" s="59">
        <v>19.8</v>
      </c>
      <c r="R56" s="197"/>
      <c r="S56" s="197"/>
      <c r="T56" s="197"/>
      <c r="U56" s="197"/>
    </row>
    <row r="57" spans="1:21" s="12" customFormat="1" x14ac:dyDescent="0.25">
      <c r="A57" s="200" t="s">
        <v>1064</v>
      </c>
      <c r="B57" s="59">
        <v>1.38</v>
      </c>
      <c r="C57" s="59">
        <v>63.58</v>
      </c>
      <c r="D57" s="59">
        <v>36.19</v>
      </c>
      <c r="E57" s="59">
        <v>10.210000000000001</v>
      </c>
      <c r="F57" s="59">
        <v>19</v>
      </c>
      <c r="G57" s="209" t="s">
        <v>36</v>
      </c>
      <c r="H57" s="209" t="s">
        <v>36</v>
      </c>
      <c r="I57" s="59">
        <v>0.51</v>
      </c>
      <c r="J57" s="59">
        <v>1.02</v>
      </c>
      <c r="K57" s="59">
        <v>16.27</v>
      </c>
      <c r="L57" s="59">
        <v>37.770000000000003</v>
      </c>
      <c r="M57" s="59">
        <v>19.190000000000001</v>
      </c>
      <c r="N57" s="59">
        <v>839.6</v>
      </c>
      <c r="O57" s="59">
        <v>0</v>
      </c>
      <c r="P57" s="59">
        <v>0.87</v>
      </c>
      <c r="Q57" s="59">
        <v>17.2</v>
      </c>
      <c r="R57" s="197"/>
      <c r="S57" s="197"/>
      <c r="T57" s="197"/>
      <c r="U57" s="197"/>
    </row>
    <row r="58" spans="1:21" s="12" customFormat="1" x14ac:dyDescent="0.25">
      <c r="A58" s="200" t="s">
        <v>1065</v>
      </c>
      <c r="B58" s="59">
        <v>0.3</v>
      </c>
      <c r="C58" s="59">
        <v>70.430000000000007</v>
      </c>
      <c r="D58" s="59">
        <v>39.11</v>
      </c>
      <c r="E58" s="59">
        <v>5.81</v>
      </c>
      <c r="F58" s="59">
        <v>7.83</v>
      </c>
      <c r="G58" s="209" t="s">
        <v>36</v>
      </c>
      <c r="H58" s="209" t="s">
        <v>36</v>
      </c>
      <c r="I58" s="59">
        <v>0.49</v>
      </c>
      <c r="J58" s="59">
        <v>0.94</v>
      </c>
      <c r="K58" s="59">
        <v>119.33</v>
      </c>
      <c r="L58" s="59">
        <v>35.4</v>
      </c>
      <c r="M58" s="59">
        <v>19.28</v>
      </c>
      <c r="N58" s="59">
        <v>875.5</v>
      </c>
      <c r="O58" s="59">
        <v>0</v>
      </c>
      <c r="P58" s="59">
        <v>0.86</v>
      </c>
      <c r="Q58" s="59">
        <v>17.62</v>
      </c>
      <c r="R58" s="197"/>
      <c r="S58" s="197"/>
      <c r="T58" s="197"/>
      <c r="U58" s="197"/>
    </row>
    <row r="59" spans="1:21" s="12" customFormat="1" x14ac:dyDescent="0.25">
      <c r="A59" s="200" t="s">
        <v>1066</v>
      </c>
      <c r="B59" s="59">
        <v>0.35</v>
      </c>
      <c r="C59" s="59">
        <v>72.08</v>
      </c>
      <c r="D59" s="59">
        <v>40.06</v>
      </c>
      <c r="E59" s="59">
        <v>4.3600000000000003</v>
      </c>
      <c r="F59" s="59">
        <v>5.35</v>
      </c>
      <c r="G59" s="209" t="s">
        <v>36</v>
      </c>
      <c r="H59" s="209" t="s">
        <v>36</v>
      </c>
      <c r="I59" s="59">
        <v>0.47</v>
      </c>
      <c r="J59" s="59">
        <v>0.71</v>
      </c>
      <c r="K59" s="59">
        <v>149.66</v>
      </c>
      <c r="L59" s="59">
        <v>33.65</v>
      </c>
      <c r="M59" s="59">
        <v>20.09</v>
      </c>
      <c r="N59" s="59">
        <v>845.6</v>
      </c>
      <c r="O59" s="59">
        <v>0</v>
      </c>
      <c r="P59" s="59">
        <v>0.84</v>
      </c>
      <c r="Q59" s="59">
        <v>18.66</v>
      </c>
      <c r="R59" s="197"/>
      <c r="S59" s="197"/>
      <c r="T59" s="197"/>
      <c r="U59" s="197"/>
    </row>
    <row r="60" spans="1:21" s="12" customFormat="1" x14ac:dyDescent="0.25">
      <c r="A60" s="200" t="s">
        <v>1067</v>
      </c>
      <c r="B60" s="59">
        <v>0.48</v>
      </c>
      <c r="C60" s="59">
        <v>71.59</v>
      </c>
      <c r="D60" s="59">
        <v>39.89</v>
      </c>
      <c r="E60" s="59">
        <v>3.72</v>
      </c>
      <c r="F60" s="59">
        <v>4.84</v>
      </c>
      <c r="G60" s="210" t="s">
        <v>43</v>
      </c>
      <c r="H60" s="210" t="s">
        <v>43</v>
      </c>
      <c r="I60" s="59">
        <v>0.47</v>
      </c>
      <c r="J60" s="59">
        <v>0.33</v>
      </c>
      <c r="K60" s="59">
        <v>264.49</v>
      </c>
      <c r="L60" s="59">
        <v>34.18</v>
      </c>
      <c r="M60" s="59">
        <v>18.739999999999998</v>
      </c>
      <c r="N60" s="59">
        <v>848.2</v>
      </c>
      <c r="O60" s="59">
        <v>0</v>
      </c>
      <c r="P60" s="59">
        <v>0.79</v>
      </c>
      <c r="Q60" s="59">
        <v>19.510000000000002</v>
      </c>
      <c r="R60" s="197"/>
      <c r="S60" s="197"/>
      <c r="T60" s="197"/>
      <c r="U60" s="197"/>
    </row>
    <row r="61" spans="1:21" s="12" customFormat="1" x14ac:dyDescent="0.25">
      <c r="A61" s="200" t="s">
        <v>1068</v>
      </c>
      <c r="B61" s="59">
        <v>0.65</v>
      </c>
      <c r="C61" s="59">
        <v>69.98</v>
      </c>
      <c r="D61" s="59">
        <v>39.15</v>
      </c>
      <c r="E61" s="59">
        <v>3.31</v>
      </c>
      <c r="F61" s="59">
        <v>5.12</v>
      </c>
      <c r="G61" s="210" t="s">
        <v>43</v>
      </c>
      <c r="H61" s="210" t="s">
        <v>43</v>
      </c>
      <c r="I61" s="59">
        <v>0.47</v>
      </c>
      <c r="J61" s="59">
        <v>0.97</v>
      </c>
      <c r="K61" s="59">
        <v>17.079999999999998</v>
      </c>
      <c r="L61" s="59">
        <v>36.89</v>
      </c>
      <c r="M61" s="59">
        <v>17.440000000000001</v>
      </c>
      <c r="N61" s="59">
        <v>842.3</v>
      </c>
      <c r="O61" s="59">
        <v>0</v>
      </c>
      <c r="P61" s="59">
        <v>0.66</v>
      </c>
      <c r="Q61" s="59">
        <v>20.2</v>
      </c>
      <c r="R61" s="197"/>
      <c r="S61" s="197"/>
      <c r="T61" s="197"/>
      <c r="U61" s="197"/>
    </row>
    <row r="62" spans="1:21" s="12" customFormat="1" x14ac:dyDescent="0.25">
      <c r="A62" s="200" t="s">
        <v>1069</v>
      </c>
      <c r="B62" s="59">
        <v>1</v>
      </c>
      <c r="C62" s="59">
        <v>70.13</v>
      </c>
      <c r="D62" s="59">
        <v>39.51</v>
      </c>
      <c r="E62" s="59">
        <v>3.22</v>
      </c>
      <c r="F62" s="59">
        <v>4.49</v>
      </c>
      <c r="G62" s="210" t="s">
        <v>43</v>
      </c>
      <c r="H62" s="210" t="s">
        <v>43</v>
      </c>
      <c r="I62" s="59">
        <v>0.48</v>
      </c>
      <c r="J62" s="59">
        <v>0.23</v>
      </c>
      <c r="K62" s="59">
        <v>52.79</v>
      </c>
      <c r="L62" s="59">
        <v>35.520000000000003</v>
      </c>
      <c r="M62" s="59">
        <v>17.79</v>
      </c>
      <c r="N62" s="59">
        <v>794.1</v>
      </c>
      <c r="O62" s="59">
        <v>0</v>
      </c>
      <c r="P62" s="59">
        <v>0.74</v>
      </c>
      <c r="Q62" s="59">
        <v>20.6</v>
      </c>
      <c r="R62" s="197"/>
      <c r="S62" s="197"/>
      <c r="T62" s="197"/>
      <c r="U62" s="197"/>
    </row>
    <row r="63" spans="1:21" s="12" customFormat="1" x14ac:dyDescent="0.25">
      <c r="A63" s="200" t="s">
        <v>1070</v>
      </c>
      <c r="B63" s="59">
        <v>1.41</v>
      </c>
      <c r="C63" s="59">
        <v>70.650000000000006</v>
      </c>
      <c r="D63" s="59">
        <v>40.119999999999997</v>
      </c>
      <c r="E63" s="59">
        <v>3.62</v>
      </c>
      <c r="F63" s="59">
        <v>3.82</v>
      </c>
      <c r="G63" s="210" t="s">
        <v>43</v>
      </c>
      <c r="H63" s="210" t="s">
        <v>43</v>
      </c>
      <c r="I63" s="59">
        <v>0.48</v>
      </c>
      <c r="J63" s="59">
        <v>0.23</v>
      </c>
      <c r="K63" s="59">
        <v>257.74</v>
      </c>
      <c r="L63" s="59">
        <v>35.97</v>
      </c>
      <c r="M63" s="59">
        <v>17.579999999999998</v>
      </c>
      <c r="N63" s="59">
        <v>758.4</v>
      </c>
      <c r="O63" s="59">
        <v>0</v>
      </c>
      <c r="P63" s="59">
        <v>0.7</v>
      </c>
      <c r="Q63" s="59">
        <v>20.9</v>
      </c>
      <c r="R63" s="197"/>
      <c r="S63" s="197"/>
      <c r="T63" s="197"/>
      <c r="U63" s="197"/>
    </row>
    <row r="64" spans="1:21" s="12" customFormat="1" x14ac:dyDescent="0.25">
      <c r="A64" s="200" t="s">
        <v>1071</v>
      </c>
      <c r="B64" s="59">
        <v>1.32</v>
      </c>
      <c r="C64" s="59">
        <v>70.33</v>
      </c>
      <c r="D64" s="59">
        <v>39.869999999999997</v>
      </c>
      <c r="E64" s="59">
        <v>3.49</v>
      </c>
      <c r="F64" s="59">
        <v>4.57</v>
      </c>
      <c r="G64" s="59">
        <v>31.48</v>
      </c>
      <c r="H64" s="59">
        <v>26.08</v>
      </c>
      <c r="I64" s="59">
        <v>0.49</v>
      </c>
      <c r="J64" s="59">
        <v>1.07</v>
      </c>
      <c r="K64" s="59">
        <v>358.48</v>
      </c>
      <c r="L64" s="59">
        <v>36.94</v>
      </c>
      <c r="M64" s="59">
        <v>16.25</v>
      </c>
      <c r="N64" s="59">
        <v>740.6</v>
      </c>
      <c r="O64" s="59">
        <v>0</v>
      </c>
      <c r="P64" s="59">
        <v>0.71</v>
      </c>
      <c r="Q64" s="59">
        <v>21.1</v>
      </c>
      <c r="R64" s="197"/>
      <c r="S64" s="197"/>
      <c r="T64" s="197"/>
      <c r="U64" s="197"/>
    </row>
    <row r="65" spans="1:21" s="12" customFormat="1" x14ac:dyDescent="0.25">
      <c r="A65" s="200" t="s">
        <v>1072</v>
      </c>
      <c r="B65" s="59">
        <v>1.35</v>
      </c>
      <c r="C65" s="59">
        <v>70.260000000000005</v>
      </c>
      <c r="D65" s="59">
        <v>39.86</v>
      </c>
      <c r="E65" s="59">
        <v>3.08</v>
      </c>
      <c r="F65" s="59">
        <v>4.38</v>
      </c>
      <c r="G65" s="59">
        <v>31.48</v>
      </c>
      <c r="H65" s="59">
        <v>26.08</v>
      </c>
      <c r="I65" s="59">
        <v>0.51</v>
      </c>
      <c r="J65" s="59">
        <v>0.69</v>
      </c>
      <c r="K65" s="59">
        <v>19.46</v>
      </c>
      <c r="L65" s="59">
        <v>38.130000000000003</v>
      </c>
      <c r="M65" s="59">
        <v>14.42</v>
      </c>
      <c r="N65" s="59">
        <v>722.9</v>
      </c>
      <c r="O65" s="59">
        <v>0</v>
      </c>
      <c r="P65" s="59">
        <v>0.69</v>
      </c>
      <c r="Q65" s="59">
        <v>21.71</v>
      </c>
      <c r="R65" s="197"/>
      <c r="S65" s="197"/>
      <c r="T65" s="197"/>
      <c r="U65" s="197"/>
    </row>
    <row r="66" spans="1:21" s="12" customFormat="1" x14ac:dyDescent="0.25">
      <c r="A66" s="200" t="s">
        <v>1073</v>
      </c>
      <c r="B66" s="59">
        <v>1.1100000000000001</v>
      </c>
      <c r="C66" s="59">
        <v>70.38</v>
      </c>
      <c r="D66" s="59">
        <v>39.729999999999997</v>
      </c>
      <c r="E66" s="59">
        <v>3.73</v>
      </c>
      <c r="F66" s="59">
        <v>4.6399999999999997</v>
      </c>
      <c r="G66" s="59">
        <v>31.48</v>
      </c>
      <c r="H66" s="59">
        <v>26.08</v>
      </c>
      <c r="I66" s="59">
        <v>0.51</v>
      </c>
      <c r="J66" s="59">
        <v>1.1100000000000001</v>
      </c>
      <c r="K66" s="59">
        <v>11.02</v>
      </c>
      <c r="L66" s="59">
        <v>38.21</v>
      </c>
      <c r="M66" s="59">
        <v>14.43</v>
      </c>
      <c r="N66" s="59">
        <v>664.2</v>
      </c>
      <c r="O66" s="59">
        <v>0</v>
      </c>
      <c r="P66" s="59">
        <v>0.67</v>
      </c>
      <c r="Q66" s="59">
        <v>22.11</v>
      </c>
      <c r="R66" s="197"/>
      <c r="S66" s="197"/>
      <c r="T66" s="197"/>
      <c r="U66" s="197"/>
    </row>
    <row r="67" spans="1:21" s="12" customFormat="1" x14ac:dyDescent="0.25">
      <c r="A67" s="200" t="s">
        <v>1074</v>
      </c>
      <c r="B67" s="59">
        <v>0.91</v>
      </c>
      <c r="C67" s="59">
        <v>69.38</v>
      </c>
      <c r="D67" s="59">
        <v>39.020000000000003</v>
      </c>
      <c r="E67" s="59">
        <v>4.01</v>
      </c>
      <c r="F67" s="59">
        <v>4.8600000000000003</v>
      </c>
      <c r="G67" s="59">
        <v>31.48</v>
      </c>
      <c r="H67" s="59">
        <v>26.08</v>
      </c>
      <c r="I67" s="59">
        <v>0.52</v>
      </c>
      <c r="J67" s="59">
        <v>0.49</v>
      </c>
      <c r="K67" s="59">
        <v>8.4499999999999993</v>
      </c>
      <c r="L67" s="59">
        <v>37.1</v>
      </c>
      <c r="M67" s="59">
        <v>14.36</v>
      </c>
      <c r="N67" s="59">
        <v>409.7</v>
      </c>
      <c r="O67" s="59">
        <v>0</v>
      </c>
      <c r="P67" s="59">
        <v>0.65</v>
      </c>
      <c r="Q67" s="59">
        <v>22.62</v>
      </c>
      <c r="R67" s="197"/>
      <c r="S67" s="197"/>
      <c r="T67" s="197"/>
      <c r="U67" s="197"/>
    </row>
    <row r="68" spans="1:21" s="12" customFormat="1" x14ac:dyDescent="0.25">
      <c r="A68" s="200" t="s">
        <v>1075</v>
      </c>
      <c r="B68" s="59">
        <v>0.8</v>
      </c>
      <c r="C68" s="59">
        <v>68.48</v>
      </c>
      <c r="D68" s="59">
        <v>38.43</v>
      </c>
      <c r="E68" s="59">
        <v>4.08</v>
      </c>
      <c r="F68" s="59">
        <v>5.68</v>
      </c>
      <c r="G68" s="59">
        <v>35.97</v>
      </c>
      <c r="H68" s="59">
        <v>22.34</v>
      </c>
      <c r="I68" s="59">
        <v>0.54</v>
      </c>
      <c r="J68" s="59">
        <v>0.23</v>
      </c>
      <c r="K68" s="59">
        <v>31.43</v>
      </c>
      <c r="L68" s="59">
        <v>36.299999999999997</v>
      </c>
      <c r="M68" s="59">
        <v>14.6</v>
      </c>
      <c r="N68" s="59">
        <v>457.8</v>
      </c>
      <c r="O68" s="59">
        <v>0</v>
      </c>
      <c r="P68" s="59">
        <v>0.63</v>
      </c>
      <c r="Q68" s="59">
        <v>22.46</v>
      </c>
      <c r="R68" s="197"/>
      <c r="S68" s="197"/>
      <c r="T68" s="197"/>
      <c r="U68" s="197"/>
    </row>
    <row r="69" spans="1:21" s="12" customFormat="1" x14ac:dyDescent="0.25">
      <c r="A69" s="200" t="s">
        <v>1076</v>
      </c>
      <c r="B69" s="59">
        <v>0.74</v>
      </c>
      <c r="C69" s="59">
        <v>68.77</v>
      </c>
      <c r="D69" s="59">
        <v>38.549999999999997</v>
      </c>
      <c r="E69" s="59">
        <v>3.73</v>
      </c>
      <c r="F69" s="59">
        <v>5.55</v>
      </c>
      <c r="G69" s="59">
        <v>36.17</v>
      </c>
      <c r="H69" s="59">
        <v>22.17</v>
      </c>
      <c r="I69" s="59">
        <v>0.53</v>
      </c>
      <c r="J69" s="59">
        <v>0.84</v>
      </c>
      <c r="K69" s="59">
        <v>5.16</v>
      </c>
      <c r="L69" s="59">
        <v>36.340000000000003</v>
      </c>
      <c r="M69" s="59">
        <v>14.56</v>
      </c>
      <c r="N69" s="59">
        <v>421.7</v>
      </c>
      <c r="O69" s="59">
        <v>0</v>
      </c>
      <c r="P69" s="59">
        <v>0.6</v>
      </c>
      <c r="Q69" s="59">
        <v>23.79</v>
      </c>
      <c r="R69" s="197"/>
      <c r="S69" s="197"/>
      <c r="T69" s="197"/>
      <c r="U69" s="197"/>
    </row>
    <row r="70" spans="1:21" s="12" customFormat="1" x14ac:dyDescent="0.25">
      <c r="A70" s="200" t="s">
        <v>1077</v>
      </c>
      <c r="B70" s="59">
        <v>0.86</v>
      </c>
      <c r="C70" s="59">
        <v>68.87</v>
      </c>
      <c r="D70" s="59">
        <v>38.700000000000003</v>
      </c>
      <c r="E70" s="59">
        <v>3.4</v>
      </c>
      <c r="F70" s="59">
        <v>4.6900000000000004</v>
      </c>
      <c r="G70" s="59">
        <v>36.17</v>
      </c>
      <c r="H70" s="59">
        <v>22.17</v>
      </c>
      <c r="I70" s="59">
        <v>0.52</v>
      </c>
      <c r="J70" s="59">
        <v>0.78</v>
      </c>
      <c r="K70" s="59">
        <v>6.85</v>
      </c>
      <c r="L70" s="59">
        <v>35.99</v>
      </c>
      <c r="M70" s="59">
        <v>15.71</v>
      </c>
      <c r="N70" s="59">
        <v>367</v>
      </c>
      <c r="O70" s="59">
        <v>0</v>
      </c>
      <c r="P70" s="59">
        <v>0.6</v>
      </c>
      <c r="Q70" s="59">
        <v>24.55</v>
      </c>
      <c r="R70" s="197"/>
      <c r="S70" s="197"/>
      <c r="T70" s="197"/>
      <c r="U70" s="197"/>
    </row>
    <row r="71" spans="1:21" s="12" customFormat="1" x14ac:dyDescent="0.25">
      <c r="A71" s="200" t="s">
        <v>1078</v>
      </c>
      <c r="B71" s="59">
        <v>1.01</v>
      </c>
      <c r="C71" s="59">
        <v>69.77</v>
      </c>
      <c r="D71" s="59">
        <v>39.31</v>
      </c>
      <c r="E71" s="59">
        <v>3.18</v>
      </c>
      <c r="F71" s="59">
        <v>4.82</v>
      </c>
      <c r="G71" s="59">
        <v>36.17</v>
      </c>
      <c r="H71" s="59">
        <v>22.17</v>
      </c>
      <c r="I71" s="59">
        <v>0.52</v>
      </c>
      <c r="J71" s="59">
        <v>1.07</v>
      </c>
      <c r="K71" s="59">
        <v>27.36</v>
      </c>
      <c r="L71" s="59">
        <v>35.22</v>
      </c>
      <c r="M71" s="59">
        <v>16.55</v>
      </c>
      <c r="N71" s="59">
        <v>297.10000000000002</v>
      </c>
      <c r="O71" s="59">
        <v>0</v>
      </c>
      <c r="P71" s="59">
        <v>0.6</v>
      </c>
      <c r="Q71" s="59">
        <v>25.3</v>
      </c>
      <c r="R71" s="197"/>
      <c r="S71" s="197"/>
      <c r="T71" s="197"/>
      <c r="U71" s="197"/>
    </row>
    <row r="72" spans="1:21" s="12" customFormat="1" x14ac:dyDescent="0.25">
      <c r="A72" s="200" t="s">
        <v>1079</v>
      </c>
      <c r="B72" s="59">
        <v>1.1200000000000001</v>
      </c>
      <c r="C72" s="59">
        <v>71.58</v>
      </c>
      <c r="D72" s="59">
        <v>40.4</v>
      </c>
      <c r="E72" s="59">
        <v>1.78</v>
      </c>
      <c r="F72" s="59">
        <v>4.18</v>
      </c>
      <c r="G72" s="59">
        <v>33.92</v>
      </c>
      <c r="H72" s="59">
        <v>19.98</v>
      </c>
      <c r="I72" s="59">
        <v>0.52</v>
      </c>
      <c r="J72" s="59">
        <v>0.83</v>
      </c>
      <c r="K72" s="59">
        <v>22.49</v>
      </c>
      <c r="L72" s="59">
        <v>35.32</v>
      </c>
      <c r="M72" s="59">
        <v>16.22</v>
      </c>
      <c r="N72" s="59">
        <v>168.2</v>
      </c>
      <c r="O72" s="59">
        <v>0</v>
      </c>
      <c r="P72" s="59">
        <v>0.57999999999999996</v>
      </c>
      <c r="Q72" s="59">
        <v>25.58</v>
      </c>
      <c r="R72" s="197"/>
      <c r="S72" s="197"/>
      <c r="T72" s="197"/>
      <c r="U72" s="197"/>
    </row>
    <row r="73" spans="1:21" s="12" customFormat="1" x14ac:dyDescent="0.25">
      <c r="A73" s="200" t="s">
        <v>1080</v>
      </c>
      <c r="B73" s="59">
        <v>1.3</v>
      </c>
      <c r="C73" s="59">
        <v>72.459999999999994</v>
      </c>
      <c r="D73" s="59">
        <v>41.03</v>
      </c>
      <c r="E73" s="59">
        <v>3.13</v>
      </c>
      <c r="F73" s="59">
        <v>3.97</v>
      </c>
      <c r="G73" s="59">
        <v>33.82</v>
      </c>
      <c r="H73" s="59">
        <v>19.88</v>
      </c>
      <c r="I73" s="59">
        <v>0.52</v>
      </c>
      <c r="J73" s="59">
        <v>0.73</v>
      </c>
      <c r="K73" s="59">
        <v>21.29</v>
      </c>
      <c r="L73" s="59">
        <v>35.32</v>
      </c>
      <c r="M73" s="59">
        <v>15.13</v>
      </c>
      <c r="N73" s="59">
        <v>191.5</v>
      </c>
      <c r="O73" s="59">
        <v>0</v>
      </c>
      <c r="P73" s="59">
        <v>0.57999999999999996</v>
      </c>
      <c r="Q73" s="59">
        <v>25.92</v>
      </c>
      <c r="R73" s="197"/>
      <c r="S73" s="197"/>
      <c r="T73" s="197"/>
      <c r="U73" s="197"/>
    </row>
    <row r="74" spans="1:21" s="12" customFormat="1" x14ac:dyDescent="0.25">
      <c r="A74" s="200" t="s">
        <v>1081</v>
      </c>
      <c r="B74" s="59">
        <v>1.53</v>
      </c>
      <c r="C74" s="59">
        <v>73.7</v>
      </c>
      <c r="D74" s="59">
        <v>41.9</v>
      </c>
      <c r="E74" s="59">
        <v>3.2</v>
      </c>
      <c r="F74" s="59">
        <v>3.91</v>
      </c>
      <c r="G74" s="59">
        <v>33.82</v>
      </c>
      <c r="H74" s="59">
        <v>19.88</v>
      </c>
      <c r="I74" s="59">
        <v>0.52</v>
      </c>
      <c r="J74" s="59">
        <v>0.23</v>
      </c>
      <c r="K74" s="59">
        <v>14.59</v>
      </c>
      <c r="L74" s="59">
        <v>34.79</v>
      </c>
      <c r="M74" s="59">
        <v>14.31</v>
      </c>
      <c r="N74" s="59">
        <v>171</v>
      </c>
      <c r="O74" s="59">
        <v>0</v>
      </c>
      <c r="P74" s="59">
        <v>0.57999999999999996</v>
      </c>
      <c r="Q74" s="59">
        <v>26.36</v>
      </c>
      <c r="R74" s="197"/>
      <c r="S74" s="197"/>
      <c r="T74" s="197"/>
      <c r="U74" s="197"/>
    </row>
    <row r="75" spans="1:21" s="12" customFormat="1" x14ac:dyDescent="0.25">
      <c r="A75" s="200" t="s">
        <v>1082</v>
      </c>
      <c r="B75" s="59">
        <v>1.71</v>
      </c>
      <c r="C75" s="59">
        <v>74.59</v>
      </c>
      <c r="D75" s="59">
        <v>42.54</v>
      </c>
      <c r="E75" s="59">
        <v>3.28</v>
      </c>
      <c r="F75" s="59">
        <v>4.1900000000000004</v>
      </c>
      <c r="G75" s="59">
        <v>33.82</v>
      </c>
      <c r="H75" s="59">
        <v>19.88</v>
      </c>
      <c r="I75" s="59">
        <v>0.52</v>
      </c>
      <c r="J75" s="59">
        <v>0.78</v>
      </c>
      <c r="K75" s="59">
        <v>32.96</v>
      </c>
      <c r="L75" s="59">
        <v>34.22</v>
      </c>
      <c r="M75" s="59">
        <v>16.11</v>
      </c>
      <c r="N75" s="59">
        <v>111.7</v>
      </c>
      <c r="O75" s="59">
        <v>0</v>
      </c>
      <c r="P75" s="59">
        <v>0.54</v>
      </c>
      <c r="Q75" s="59">
        <v>26.45</v>
      </c>
      <c r="R75" s="197"/>
      <c r="S75" s="197"/>
      <c r="T75" s="197"/>
      <c r="U75" s="197"/>
    </row>
    <row r="76" spans="1:21" s="12" customFormat="1" x14ac:dyDescent="0.25">
      <c r="A76" s="200" t="s">
        <v>1083</v>
      </c>
      <c r="B76" s="59">
        <v>1.81</v>
      </c>
      <c r="C76" s="59">
        <v>76.09</v>
      </c>
      <c r="D76" s="59">
        <v>43.45</v>
      </c>
      <c r="E76" s="59">
        <v>2.63</v>
      </c>
      <c r="F76" s="59">
        <v>4.72</v>
      </c>
      <c r="G76" s="59">
        <v>25.79</v>
      </c>
      <c r="H76" s="59">
        <v>18.260000000000002</v>
      </c>
      <c r="I76" s="59">
        <v>0.52</v>
      </c>
      <c r="J76" s="59">
        <v>0.32</v>
      </c>
      <c r="K76" s="59">
        <v>18.48</v>
      </c>
      <c r="L76" s="59">
        <v>33.520000000000003</v>
      </c>
      <c r="M76" s="59">
        <v>16.43</v>
      </c>
      <c r="N76" s="59">
        <v>81.3</v>
      </c>
      <c r="O76" s="59">
        <v>0</v>
      </c>
      <c r="P76" s="59">
        <v>0.57999999999999996</v>
      </c>
      <c r="Q76" s="59">
        <v>26.29</v>
      </c>
      <c r="R76" s="197"/>
      <c r="S76" s="197"/>
      <c r="T76" s="197"/>
      <c r="U76" s="197"/>
    </row>
    <row r="77" spans="1:21" s="12" customFormat="1" x14ac:dyDescent="0.25">
      <c r="A77" s="200" t="s">
        <v>1084</v>
      </c>
      <c r="B77" s="59">
        <v>2.46</v>
      </c>
      <c r="C77" s="59">
        <v>79.14</v>
      </c>
      <c r="D77" s="59">
        <v>45.65</v>
      </c>
      <c r="E77" s="59">
        <v>2.39</v>
      </c>
      <c r="F77" s="59">
        <v>4.34</v>
      </c>
      <c r="G77" s="59">
        <v>25.42</v>
      </c>
      <c r="H77" s="59">
        <v>18.190000000000001</v>
      </c>
      <c r="I77" s="59">
        <v>0.49</v>
      </c>
      <c r="J77" s="59">
        <v>0.38</v>
      </c>
      <c r="K77" s="59">
        <v>8.85</v>
      </c>
      <c r="L77" s="59">
        <v>32.75</v>
      </c>
      <c r="M77" s="59">
        <v>17.12</v>
      </c>
      <c r="N77" s="59">
        <v>59.8</v>
      </c>
      <c r="O77" s="59">
        <v>0</v>
      </c>
      <c r="P77" s="59">
        <v>0.56999999999999995</v>
      </c>
      <c r="Q77" s="59">
        <v>26.22</v>
      </c>
      <c r="R77" s="197"/>
      <c r="S77" s="197"/>
      <c r="T77" s="197"/>
      <c r="U77" s="197"/>
    </row>
    <row r="78" spans="1:21" s="12" customFormat="1" x14ac:dyDescent="0.25">
      <c r="A78" s="200" t="s">
        <v>1085</v>
      </c>
      <c r="B78" s="59">
        <v>3.76</v>
      </c>
      <c r="C78" s="59">
        <v>82.47</v>
      </c>
      <c r="D78" s="59">
        <v>48.53</v>
      </c>
      <c r="E78" s="59">
        <v>2.2200000000000002</v>
      </c>
      <c r="F78" s="59">
        <v>3.71</v>
      </c>
      <c r="G78" s="59">
        <v>25.42</v>
      </c>
      <c r="H78" s="59">
        <v>18.190000000000001</v>
      </c>
      <c r="I78" s="59">
        <v>0.47</v>
      </c>
      <c r="J78" s="59">
        <v>0.34</v>
      </c>
      <c r="K78" s="59">
        <v>18.559999999999999</v>
      </c>
      <c r="L78" s="59">
        <v>32.04</v>
      </c>
      <c r="M78" s="59">
        <v>17.53</v>
      </c>
      <c r="N78" s="59">
        <v>43.2</v>
      </c>
      <c r="O78" s="59">
        <v>0</v>
      </c>
      <c r="P78" s="59">
        <v>0.6</v>
      </c>
      <c r="Q78" s="59">
        <v>26.63</v>
      </c>
      <c r="R78" s="197"/>
      <c r="S78" s="197"/>
      <c r="T78" s="197"/>
      <c r="U78" s="197"/>
    </row>
    <row r="79" spans="1:21" s="12" customFormat="1" x14ac:dyDescent="0.25">
      <c r="A79" s="200" t="s">
        <v>1086</v>
      </c>
      <c r="B79" s="59">
        <v>4.2300000000000004</v>
      </c>
      <c r="C79" s="59">
        <v>84.87</v>
      </c>
      <c r="D79" s="59">
        <v>50.23</v>
      </c>
      <c r="E79" s="59">
        <v>2.73</v>
      </c>
      <c r="F79" s="59">
        <v>3.67</v>
      </c>
      <c r="G79" s="59">
        <v>25.42</v>
      </c>
      <c r="H79" s="59">
        <v>18.190000000000001</v>
      </c>
      <c r="I79" s="59">
        <v>0.5</v>
      </c>
      <c r="J79" s="59">
        <v>0.61</v>
      </c>
      <c r="K79" s="59">
        <v>23.01</v>
      </c>
      <c r="L79" s="59">
        <v>31.29</v>
      </c>
      <c r="M79" s="59">
        <v>20.75</v>
      </c>
      <c r="N79" s="59">
        <v>27.4</v>
      </c>
      <c r="O79" s="59">
        <v>0</v>
      </c>
      <c r="P79" s="59">
        <v>0.77</v>
      </c>
      <c r="Q79" s="59">
        <v>27.07</v>
      </c>
      <c r="R79" s="197"/>
      <c r="S79" s="197"/>
      <c r="T79" s="197"/>
      <c r="U79" s="197"/>
    </row>
    <row r="80" spans="1:21" s="12" customFormat="1" x14ac:dyDescent="0.25">
      <c r="A80" s="200" t="s">
        <v>1087</v>
      </c>
      <c r="B80" s="59">
        <v>4.75</v>
      </c>
      <c r="C80" s="59">
        <v>86.41</v>
      </c>
      <c r="D80" s="59">
        <v>51.5</v>
      </c>
      <c r="E80" s="59">
        <v>2.8</v>
      </c>
      <c r="F80" s="59">
        <v>4.3</v>
      </c>
      <c r="G80" s="59">
        <v>29.59</v>
      </c>
      <c r="H80" s="59">
        <v>16.920000000000002</v>
      </c>
      <c r="I80" s="59">
        <v>0.53</v>
      </c>
      <c r="J80" s="59">
        <v>0.78</v>
      </c>
      <c r="K80" s="59">
        <v>26.98</v>
      </c>
      <c r="L80" s="59">
        <v>30.54</v>
      </c>
      <c r="M80" s="59">
        <v>21.92</v>
      </c>
      <c r="N80" s="59">
        <v>14.2</v>
      </c>
      <c r="O80" s="59">
        <v>0</v>
      </c>
      <c r="P80" s="59">
        <v>0.85</v>
      </c>
      <c r="Q80" s="59">
        <v>27.63</v>
      </c>
      <c r="R80" s="197"/>
      <c r="S80" s="197"/>
      <c r="T80" s="197"/>
      <c r="U80" s="197"/>
    </row>
    <row r="81" spans="1:26" s="12" customFormat="1" x14ac:dyDescent="0.25">
      <c r="A81" s="200" t="s">
        <v>1088</v>
      </c>
      <c r="B81" s="59">
        <v>5.45</v>
      </c>
      <c r="C81" s="59">
        <v>87.62</v>
      </c>
      <c r="D81" s="59">
        <v>52.73</v>
      </c>
      <c r="E81" s="59">
        <v>2.5</v>
      </c>
      <c r="F81" s="59">
        <v>4.57</v>
      </c>
      <c r="G81" s="59">
        <v>29.78</v>
      </c>
      <c r="H81" s="59">
        <v>16.87</v>
      </c>
      <c r="I81" s="59">
        <v>0.52</v>
      </c>
      <c r="J81" s="59">
        <v>0.36</v>
      </c>
      <c r="K81" s="59">
        <v>24.9</v>
      </c>
      <c r="L81" s="59">
        <v>29.82</v>
      </c>
      <c r="M81" s="59">
        <v>24</v>
      </c>
      <c r="N81" s="59">
        <v>7.1</v>
      </c>
      <c r="O81" s="59">
        <v>0</v>
      </c>
      <c r="P81" s="59">
        <v>1.22</v>
      </c>
      <c r="Q81" s="59">
        <v>28.18</v>
      </c>
      <c r="R81" s="197"/>
      <c r="S81" s="197"/>
      <c r="T81" s="197"/>
      <c r="U81" s="197"/>
    </row>
    <row r="82" spans="1:26" s="12" customFormat="1" x14ac:dyDescent="0.25">
      <c r="A82" s="200" t="s">
        <v>1089</v>
      </c>
      <c r="B82" s="59">
        <v>6.35</v>
      </c>
      <c r="C82" s="59">
        <v>89.18</v>
      </c>
      <c r="D82" s="59">
        <v>54.31</v>
      </c>
      <c r="E82" s="59">
        <v>2.72</v>
      </c>
      <c r="F82" s="59">
        <v>3.8</v>
      </c>
      <c r="G82" s="59">
        <v>29.78</v>
      </c>
      <c r="H82" s="59">
        <v>16.87</v>
      </c>
      <c r="I82" s="59">
        <v>0.52</v>
      </c>
      <c r="J82" s="59">
        <v>0.43</v>
      </c>
      <c r="K82" s="59">
        <v>104.93</v>
      </c>
      <c r="L82" s="59">
        <v>29.29</v>
      </c>
      <c r="M82" s="59">
        <v>25.65</v>
      </c>
      <c r="N82" s="59">
        <v>5</v>
      </c>
      <c r="O82" s="59">
        <v>0</v>
      </c>
      <c r="P82" s="59">
        <v>1.21</v>
      </c>
      <c r="Q82" s="59">
        <v>28.86</v>
      </c>
      <c r="R82" s="197"/>
      <c r="S82" s="197"/>
      <c r="T82" s="197"/>
      <c r="U82" s="197"/>
    </row>
    <row r="83" spans="1:26" s="12" customFormat="1" x14ac:dyDescent="0.25">
      <c r="A83" s="200" t="s">
        <v>1090</v>
      </c>
      <c r="B83" s="59">
        <v>6.6</v>
      </c>
      <c r="C83" s="59">
        <v>91.12</v>
      </c>
      <c r="D83" s="59">
        <v>55.58</v>
      </c>
      <c r="E83" s="59">
        <v>3.23</v>
      </c>
      <c r="F83" s="59">
        <v>3.56</v>
      </c>
      <c r="G83" s="59">
        <v>29.78</v>
      </c>
      <c r="H83" s="59">
        <v>16.87</v>
      </c>
      <c r="I83" s="59">
        <v>0.6</v>
      </c>
      <c r="J83" s="59">
        <v>0.4</v>
      </c>
      <c r="K83" s="59">
        <v>97.7</v>
      </c>
      <c r="L83" s="59">
        <v>29.08</v>
      </c>
      <c r="M83" s="59">
        <v>25.4</v>
      </c>
      <c r="N83" s="59">
        <v>4.5</v>
      </c>
      <c r="O83" s="59">
        <v>0</v>
      </c>
      <c r="P83" s="59">
        <v>0.83</v>
      </c>
      <c r="Q83" s="59">
        <v>30.47</v>
      </c>
      <c r="R83" s="197"/>
      <c r="S83" s="197"/>
      <c r="T83" s="197"/>
      <c r="U83" s="197"/>
    </row>
    <row r="84" spans="1:26" s="12" customFormat="1" x14ac:dyDescent="0.25">
      <c r="A84" s="200" t="s">
        <v>1091</v>
      </c>
      <c r="B84" s="59">
        <v>6</v>
      </c>
      <c r="C84" s="59">
        <v>92.95</v>
      </c>
      <c r="D84" s="59">
        <v>56.1</v>
      </c>
      <c r="E84" s="59">
        <v>3.03</v>
      </c>
      <c r="F84" s="59">
        <v>3.65</v>
      </c>
      <c r="G84" s="59">
        <v>36.69</v>
      </c>
      <c r="H84" s="59">
        <v>18.079999999999998</v>
      </c>
      <c r="I84" s="59">
        <v>0.65</v>
      </c>
      <c r="J84" s="59">
        <v>0.38</v>
      </c>
      <c r="K84" s="59">
        <v>73.03</v>
      </c>
      <c r="L84" s="59">
        <v>28.87</v>
      </c>
      <c r="M84" s="59">
        <v>25.29</v>
      </c>
      <c r="N84" s="59">
        <v>4.4000000000000004</v>
      </c>
      <c r="O84" s="59">
        <v>0</v>
      </c>
      <c r="P84" s="59">
        <v>1.07</v>
      </c>
      <c r="Q84" s="59">
        <v>31.4</v>
      </c>
      <c r="R84" s="197"/>
      <c r="S84" s="197"/>
      <c r="T84" s="197"/>
      <c r="U84" s="197"/>
    </row>
    <row r="85" spans="1:26" s="12" customFormat="1" x14ac:dyDescent="0.25">
      <c r="A85" s="200" t="s">
        <v>1092</v>
      </c>
      <c r="B85" s="59">
        <v>6.73</v>
      </c>
      <c r="C85" s="59">
        <v>95.18</v>
      </c>
      <c r="D85" s="59">
        <v>57.92</v>
      </c>
      <c r="E85" s="59">
        <v>2.96</v>
      </c>
      <c r="F85" s="59">
        <v>2.11</v>
      </c>
      <c r="G85" s="59">
        <v>37.01</v>
      </c>
      <c r="H85" s="59">
        <v>18.13</v>
      </c>
      <c r="I85" s="59">
        <v>0.59</v>
      </c>
      <c r="J85" s="59">
        <v>0.23</v>
      </c>
      <c r="K85" s="59">
        <v>42.23</v>
      </c>
      <c r="L85" s="59">
        <v>28.37</v>
      </c>
      <c r="M85" s="59">
        <v>27.68</v>
      </c>
      <c r="N85" s="59">
        <v>4.9000000000000004</v>
      </c>
      <c r="O85" s="59">
        <v>0</v>
      </c>
      <c r="P85" s="59">
        <v>1.19</v>
      </c>
      <c r="Q85" s="59">
        <v>31.7</v>
      </c>
      <c r="R85" s="197"/>
      <c r="S85" s="197"/>
      <c r="T85" s="197"/>
      <c r="U85" s="197"/>
    </row>
    <row r="86" spans="1:26" s="12" customFormat="1" x14ac:dyDescent="0.25">
      <c r="A86" s="200" t="s">
        <v>1093</v>
      </c>
      <c r="B86" s="59">
        <v>9.32</v>
      </c>
      <c r="C86" s="59">
        <v>98.24</v>
      </c>
      <c r="D86" s="59">
        <v>61.69</v>
      </c>
      <c r="E86" s="59">
        <v>3.38</v>
      </c>
      <c r="F86" s="59">
        <v>3.41</v>
      </c>
      <c r="G86" s="59">
        <v>37.01</v>
      </c>
      <c r="H86" s="59">
        <v>18.13</v>
      </c>
      <c r="I86" s="59">
        <v>0.64</v>
      </c>
      <c r="J86" s="59">
        <v>0.16</v>
      </c>
      <c r="K86" s="59">
        <v>52.08</v>
      </c>
      <c r="L86" s="59">
        <v>27.99</v>
      </c>
      <c r="M86" s="59">
        <v>28.4</v>
      </c>
      <c r="N86" s="59">
        <v>4.8</v>
      </c>
      <c r="O86" s="59">
        <v>0</v>
      </c>
      <c r="P86" s="59">
        <v>1.47</v>
      </c>
      <c r="Q86" s="59">
        <v>31.77</v>
      </c>
      <c r="R86" s="197"/>
      <c r="S86" s="197"/>
      <c r="T86" s="197"/>
      <c r="U86" s="197"/>
    </row>
    <row r="87" spans="1:26" s="12" customFormat="1" x14ac:dyDescent="0.25">
      <c r="A87" s="200" t="s">
        <v>1094</v>
      </c>
      <c r="B87" s="59">
        <v>10.65</v>
      </c>
      <c r="C87" s="59">
        <v>101.09</v>
      </c>
      <c r="D87" s="59">
        <v>64.33</v>
      </c>
      <c r="E87" s="59">
        <v>2.99</v>
      </c>
      <c r="F87" s="59">
        <v>3.23</v>
      </c>
      <c r="G87" s="59">
        <v>37.01</v>
      </c>
      <c r="H87" s="59">
        <v>18.13</v>
      </c>
      <c r="I87" s="59">
        <v>0.7</v>
      </c>
      <c r="J87" s="59">
        <v>0.33</v>
      </c>
      <c r="K87" s="59">
        <v>80.45</v>
      </c>
      <c r="L87" s="59">
        <v>28.33</v>
      </c>
      <c r="M87" s="59">
        <v>26.9</v>
      </c>
      <c r="N87" s="59">
        <v>3.9</v>
      </c>
      <c r="O87" s="59">
        <v>0</v>
      </c>
      <c r="P87" s="59">
        <v>1.49</v>
      </c>
      <c r="Q87" s="59">
        <v>32</v>
      </c>
      <c r="R87" s="197"/>
      <c r="S87" s="197"/>
      <c r="T87" s="197"/>
      <c r="U87" s="197"/>
    </row>
    <row r="88" spans="1:26" s="12" customFormat="1" x14ac:dyDescent="0.25">
      <c r="A88" s="200" t="s">
        <v>1095</v>
      </c>
      <c r="B88" s="59">
        <v>11.79</v>
      </c>
      <c r="C88" s="59">
        <v>104.29</v>
      </c>
      <c r="D88" s="59">
        <v>67.010000000000005</v>
      </c>
      <c r="E88" s="59">
        <v>2.13</v>
      </c>
      <c r="F88" s="59">
        <v>1.96</v>
      </c>
      <c r="G88" s="59">
        <v>51.34</v>
      </c>
      <c r="H88" s="59">
        <v>19.45</v>
      </c>
      <c r="I88" s="59">
        <v>0.77</v>
      </c>
      <c r="J88" s="59">
        <v>0.12</v>
      </c>
      <c r="K88" s="59">
        <v>87.88</v>
      </c>
      <c r="L88" s="59">
        <v>28.03</v>
      </c>
      <c r="M88" s="59">
        <v>28.23</v>
      </c>
      <c r="N88" s="59">
        <v>4.9000000000000004</v>
      </c>
      <c r="O88" s="59">
        <v>0</v>
      </c>
      <c r="P88" s="59">
        <v>1.39</v>
      </c>
      <c r="Q88" s="59">
        <v>31.93</v>
      </c>
      <c r="R88" s="197"/>
      <c r="S88" s="197"/>
      <c r="T88" s="197"/>
      <c r="U88" s="197"/>
    </row>
    <row r="89" spans="1:26" s="12" customFormat="1" x14ac:dyDescent="0.25">
      <c r="A89" s="200" t="s">
        <v>1096</v>
      </c>
      <c r="B89" s="59">
        <v>12.92</v>
      </c>
      <c r="C89" s="59">
        <v>105.66</v>
      </c>
      <c r="D89" s="59">
        <v>68.67</v>
      </c>
      <c r="E89" s="59">
        <v>3.7</v>
      </c>
      <c r="F89" s="59">
        <v>3.84</v>
      </c>
      <c r="G89" s="59">
        <v>52.01</v>
      </c>
      <c r="H89" s="59">
        <v>19.510000000000002</v>
      </c>
      <c r="I89" s="59">
        <v>0.77</v>
      </c>
      <c r="J89" s="59">
        <v>0.26</v>
      </c>
      <c r="K89" s="59">
        <v>71.11</v>
      </c>
      <c r="L89" s="59">
        <v>27.13</v>
      </c>
      <c r="M89" s="59">
        <v>29.94</v>
      </c>
      <c r="N89" s="59">
        <v>4.5999999999999996</v>
      </c>
      <c r="O89" s="59">
        <v>0</v>
      </c>
      <c r="P89" s="59">
        <v>1.5</v>
      </c>
      <c r="Q89" s="59">
        <v>32.049999999999997</v>
      </c>
      <c r="R89" s="197"/>
      <c r="S89" s="197"/>
      <c r="T89" s="197"/>
      <c r="U89" s="197"/>
    </row>
    <row r="90" spans="1:26" s="12" customFormat="1" x14ac:dyDescent="0.25">
      <c r="A90" s="200" t="s">
        <v>1097</v>
      </c>
      <c r="B90" s="59">
        <v>13.6</v>
      </c>
      <c r="C90" s="59">
        <v>105.85</v>
      </c>
      <c r="D90" s="59">
        <v>69.33</v>
      </c>
      <c r="E90" s="59">
        <v>3.68</v>
      </c>
      <c r="F90" s="59">
        <v>2.89</v>
      </c>
      <c r="G90" s="59">
        <v>52.01</v>
      </c>
      <c r="H90" s="59">
        <v>19.510000000000002</v>
      </c>
      <c r="I90" s="59">
        <v>0.78</v>
      </c>
      <c r="J90" s="59">
        <v>0.21</v>
      </c>
      <c r="K90" s="59">
        <v>102.07</v>
      </c>
      <c r="L90" s="59">
        <v>27.37</v>
      </c>
      <c r="M90" s="59">
        <v>28.79</v>
      </c>
      <c r="N90" s="59">
        <v>4.5</v>
      </c>
      <c r="O90" s="59">
        <v>0</v>
      </c>
      <c r="P90" s="59">
        <v>1.6</v>
      </c>
      <c r="Q90" s="59">
        <v>31.74</v>
      </c>
      <c r="R90" s="197"/>
      <c r="S90" s="197"/>
      <c r="T90" s="197"/>
      <c r="U90" s="197"/>
    </row>
    <row r="91" spans="1:26" s="12" customFormat="1" x14ac:dyDescent="0.25">
      <c r="A91" s="200" t="s">
        <v>1098</v>
      </c>
      <c r="B91" s="59">
        <v>14.21</v>
      </c>
      <c r="C91" s="59">
        <v>106.62</v>
      </c>
      <c r="D91" s="59">
        <v>70.239999999999995</v>
      </c>
      <c r="E91" s="59">
        <v>3.92</v>
      </c>
      <c r="F91" s="59">
        <v>3.71</v>
      </c>
      <c r="G91" s="59">
        <v>52.01</v>
      </c>
      <c r="H91" s="59">
        <v>19.510000000000002</v>
      </c>
      <c r="I91" s="59">
        <v>0.84</v>
      </c>
      <c r="J91" s="59">
        <v>0.01</v>
      </c>
      <c r="K91" s="59">
        <v>47.41</v>
      </c>
      <c r="L91" s="59">
        <v>26.94</v>
      </c>
      <c r="M91" s="59">
        <v>32.93</v>
      </c>
      <c r="N91" s="59">
        <v>4.5999999999999996</v>
      </c>
      <c r="O91" s="59">
        <v>0</v>
      </c>
      <c r="P91" s="59">
        <v>1.45</v>
      </c>
      <c r="Q91" s="59">
        <v>31.33</v>
      </c>
      <c r="R91" s="197"/>
      <c r="S91" s="197"/>
      <c r="T91" s="197"/>
      <c r="U91" s="197"/>
    </row>
    <row r="92" spans="1:26" s="12" customFormat="1" x14ac:dyDescent="0.25">
      <c r="A92" s="200" t="s">
        <v>1099</v>
      </c>
      <c r="B92" s="59">
        <v>15.96</v>
      </c>
      <c r="C92" s="59">
        <v>107.07</v>
      </c>
      <c r="D92" s="59">
        <v>71.89</v>
      </c>
      <c r="E92" s="59">
        <v>4.24</v>
      </c>
      <c r="F92" s="59">
        <v>2.86</v>
      </c>
      <c r="G92" s="59">
        <v>57.35</v>
      </c>
      <c r="H92" s="59">
        <v>18.16</v>
      </c>
      <c r="I92" s="59">
        <v>0.79</v>
      </c>
      <c r="J92" s="59">
        <v>0.18</v>
      </c>
      <c r="K92" s="59">
        <v>16.86</v>
      </c>
      <c r="L92" s="59">
        <v>25.78</v>
      </c>
      <c r="M92" s="59">
        <v>41.96</v>
      </c>
      <c r="N92" s="59">
        <v>5.6</v>
      </c>
      <c r="O92" s="59">
        <v>0</v>
      </c>
      <c r="P92" s="59">
        <v>2.27</v>
      </c>
      <c r="Q92" s="59">
        <v>31.55</v>
      </c>
      <c r="R92" s="197"/>
      <c r="S92" s="197"/>
      <c r="T92" s="197"/>
      <c r="U92" s="197"/>
    </row>
    <row r="93" spans="1:26" s="12" customFormat="1" x14ac:dyDescent="0.25">
      <c r="A93" s="200" t="s">
        <v>1100</v>
      </c>
      <c r="B93" s="59">
        <v>18.64</v>
      </c>
      <c r="C93" s="59">
        <v>107.33</v>
      </c>
      <c r="D93" s="59">
        <v>74.180000000000007</v>
      </c>
      <c r="E93" s="59">
        <v>3.95</v>
      </c>
      <c r="F93" s="59">
        <v>2.71</v>
      </c>
      <c r="G93" s="59">
        <v>57.6</v>
      </c>
      <c r="H93" s="59">
        <v>18.09</v>
      </c>
      <c r="I93" s="59">
        <v>0.85</v>
      </c>
      <c r="J93" s="59">
        <v>7.0000000000000007E-2</v>
      </c>
      <c r="K93" s="59">
        <v>355.85</v>
      </c>
      <c r="L93" s="59">
        <v>25.06</v>
      </c>
      <c r="M93" s="59">
        <v>37.549999999999997</v>
      </c>
      <c r="N93" s="59">
        <v>5.0999999999999996</v>
      </c>
      <c r="O93" s="59">
        <v>0</v>
      </c>
      <c r="P93" s="59">
        <v>1.99</v>
      </c>
      <c r="Q93" s="59">
        <v>32.07</v>
      </c>
      <c r="R93" s="197"/>
      <c r="S93" s="197"/>
      <c r="T93" s="197"/>
      <c r="U93" s="197"/>
    </row>
    <row r="94" spans="1:26" s="12" customFormat="1" x14ac:dyDescent="0.25">
      <c r="A94" s="200" t="s">
        <v>1101</v>
      </c>
      <c r="B94" s="59">
        <v>21.37</v>
      </c>
      <c r="C94" s="59">
        <v>107.48</v>
      </c>
      <c r="D94" s="59">
        <v>76.45</v>
      </c>
      <c r="E94" s="59">
        <v>3.62</v>
      </c>
      <c r="F94" s="59">
        <v>2.97</v>
      </c>
      <c r="G94" s="59">
        <v>57.6</v>
      </c>
      <c r="H94" s="59">
        <v>18.09</v>
      </c>
      <c r="I94" s="59">
        <v>0.99</v>
      </c>
      <c r="J94" s="59">
        <v>0.13</v>
      </c>
      <c r="K94" s="59">
        <v>13.04</v>
      </c>
      <c r="L94" s="59">
        <v>25</v>
      </c>
      <c r="M94" s="59">
        <v>40.020000000000003</v>
      </c>
      <c r="N94" s="59">
        <v>5</v>
      </c>
      <c r="O94" s="59">
        <v>0</v>
      </c>
      <c r="P94" s="59">
        <v>2.27</v>
      </c>
      <c r="Q94" s="59">
        <v>32.630000000000003</v>
      </c>
      <c r="R94" s="197"/>
      <c r="S94" s="197"/>
      <c r="T94" s="197"/>
      <c r="U94" s="197"/>
    </row>
    <row r="95" spans="1:26" s="12" customFormat="1" x14ac:dyDescent="0.25">
      <c r="A95" s="200" t="s">
        <v>1102</v>
      </c>
      <c r="B95" s="59">
        <v>25.22</v>
      </c>
      <c r="C95" s="59">
        <v>107.5</v>
      </c>
      <c r="D95" s="59">
        <v>79.56</v>
      </c>
      <c r="E95" s="59">
        <v>3.9</v>
      </c>
      <c r="F95" s="59">
        <v>3.29</v>
      </c>
      <c r="G95" s="59">
        <v>57.6</v>
      </c>
      <c r="H95" s="59">
        <v>18.09</v>
      </c>
      <c r="I95" s="59">
        <v>0.95</v>
      </c>
      <c r="J95" s="59">
        <v>0.6</v>
      </c>
      <c r="K95" s="59">
        <v>9.81</v>
      </c>
      <c r="L95" s="59">
        <v>24.69</v>
      </c>
      <c r="M95" s="59">
        <v>44.82</v>
      </c>
      <c r="N95" s="59">
        <v>3.6</v>
      </c>
      <c r="O95" s="59">
        <v>0</v>
      </c>
      <c r="P95" s="59">
        <v>1.96</v>
      </c>
      <c r="Q95" s="59">
        <v>33.25</v>
      </c>
      <c r="R95" s="197"/>
      <c r="S95" s="197"/>
      <c r="T95" s="197"/>
      <c r="U95" s="197"/>
    </row>
    <row r="96" spans="1:26" s="12" customFormat="1" x14ac:dyDescent="0.25">
      <c r="A96" s="200" t="s">
        <v>1103</v>
      </c>
      <c r="B96" s="59">
        <v>27.35</v>
      </c>
      <c r="C96" s="59">
        <v>107.19</v>
      </c>
      <c r="D96" s="59">
        <v>81.08</v>
      </c>
      <c r="E96" s="59">
        <v>3.8</v>
      </c>
      <c r="F96" s="59">
        <v>3.33</v>
      </c>
      <c r="G96" s="59">
        <v>73.430000000000007</v>
      </c>
      <c r="H96" s="59">
        <v>26.1</v>
      </c>
      <c r="I96" s="59">
        <v>1.04</v>
      </c>
      <c r="J96" s="59">
        <v>1.18</v>
      </c>
      <c r="K96" s="59">
        <v>18.260000000000002</v>
      </c>
      <c r="L96" s="59">
        <v>25.5</v>
      </c>
      <c r="M96" s="59">
        <v>36.11</v>
      </c>
      <c r="N96" s="59">
        <v>2</v>
      </c>
      <c r="O96" s="59">
        <v>0</v>
      </c>
      <c r="P96" s="59">
        <v>1.51</v>
      </c>
      <c r="Q96" s="59">
        <v>33.51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1104</v>
      </c>
      <c r="B97" s="59">
        <v>26.82</v>
      </c>
      <c r="C97" s="59">
        <v>106.96</v>
      </c>
      <c r="D97" s="59">
        <v>80.540000000000006</v>
      </c>
      <c r="E97" s="59">
        <v>4.24</v>
      </c>
      <c r="F97" s="59">
        <v>3.25</v>
      </c>
      <c r="G97" s="59">
        <v>74.17</v>
      </c>
      <c r="H97" s="59">
        <v>26.47</v>
      </c>
      <c r="I97" s="59">
        <v>0.99</v>
      </c>
      <c r="J97" s="59">
        <v>1.3</v>
      </c>
      <c r="K97" s="59">
        <v>11.18</v>
      </c>
      <c r="L97" s="59">
        <v>25.91</v>
      </c>
      <c r="M97" s="59">
        <v>34.92</v>
      </c>
      <c r="N97" s="59">
        <v>3.8</v>
      </c>
      <c r="O97" s="59">
        <v>0</v>
      </c>
      <c r="P97" s="59">
        <v>1.44</v>
      </c>
      <c r="Q97" s="59">
        <v>34.28</v>
      </c>
      <c r="R97" s="197"/>
      <c r="S97" s="197"/>
      <c r="T97" s="197"/>
      <c r="U97" s="197"/>
    </row>
    <row r="98" spans="1:33" s="12" customFormat="1" x14ac:dyDescent="0.25">
      <c r="A98" s="200" t="s">
        <v>1105</v>
      </c>
      <c r="B98" s="59">
        <v>23.87</v>
      </c>
      <c r="C98" s="59">
        <v>106.79</v>
      </c>
      <c r="D98" s="59">
        <v>78.08</v>
      </c>
      <c r="E98" s="59">
        <v>4.3899999999999997</v>
      </c>
      <c r="F98" s="59">
        <v>3.09</v>
      </c>
      <c r="G98" s="59">
        <v>74.17</v>
      </c>
      <c r="H98" s="59">
        <v>26.47</v>
      </c>
      <c r="I98" s="59">
        <v>0.87</v>
      </c>
      <c r="J98" s="59">
        <v>1.1399999999999999</v>
      </c>
      <c r="K98" s="59">
        <v>27.95</v>
      </c>
      <c r="L98" s="59">
        <v>25.73</v>
      </c>
      <c r="M98" s="59">
        <v>36.04</v>
      </c>
      <c r="N98" s="59">
        <v>4.7</v>
      </c>
      <c r="O98" s="59">
        <v>0</v>
      </c>
      <c r="P98" s="59">
        <v>1.37</v>
      </c>
      <c r="Q98" s="59">
        <v>34.75</v>
      </c>
      <c r="R98" s="197"/>
      <c r="S98" s="197"/>
      <c r="T98" s="197"/>
      <c r="U98" s="197"/>
    </row>
    <row r="99" spans="1:33" s="12" customFormat="1" x14ac:dyDescent="0.25">
      <c r="A99" s="200" t="s">
        <v>1106</v>
      </c>
      <c r="B99" s="59">
        <v>21.08</v>
      </c>
      <c r="C99" s="59">
        <v>106.28</v>
      </c>
      <c r="D99" s="59">
        <v>75.56</v>
      </c>
      <c r="E99" s="59">
        <v>4.16</v>
      </c>
      <c r="F99" s="59">
        <v>3.1</v>
      </c>
      <c r="G99" s="59">
        <v>74.17</v>
      </c>
      <c r="H99" s="59">
        <v>26.47</v>
      </c>
      <c r="I99" s="59">
        <v>0.86</v>
      </c>
      <c r="J99" s="59">
        <v>1.45</v>
      </c>
      <c r="K99" s="59">
        <v>35.700000000000003</v>
      </c>
      <c r="L99" s="59">
        <v>25.71</v>
      </c>
      <c r="M99" s="59">
        <v>35.58</v>
      </c>
      <c r="N99" s="59">
        <v>4.0999999999999996</v>
      </c>
      <c r="O99" s="59">
        <v>0</v>
      </c>
      <c r="P99" s="59">
        <v>1.32</v>
      </c>
      <c r="Q99" s="59">
        <v>34.5</v>
      </c>
      <c r="R99" s="197"/>
      <c r="S99" s="197"/>
      <c r="T99" s="197"/>
      <c r="U99" s="197"/>
    </row>
    <row r="100" spans="1:33" s="12" customFormat="1" x14ac:dyDescent="0.25">
      <c r="A100" s="200" t="s">
        <v>1107</v>
      </c>
      <c r="B100" s="59">
        <v>18.239999999999998</v>
      </c>
      <c r="C100" s="59">
        <v>105.63</v>
      </c>
      <c r="D100" s="59">
        <v>72.92</v>
      </c>
      <c r="E100" s="59">
        <v>4.0199999999999996</v>
      </c>
      <c r="F100" s="59">
        <v>3.1</v>
      </c>
      <c r="G100" s="59">
        <v>75.42</v>
      </c>
      <c r="H100" s="59">
        <v>27.18</v>
      </c>
      <c r="I100" s="59">
        <v>0.78</v>
      </c>
      <c r="J100" s="59">
        <v>1.2</v>
      </c>
      <c r="K100" s="59">
        <v>36.630000000000003</v>
      </c>
      <c r="L100" s="59">
        <v>25.75</v>
      </c>
      <c r="M100" s="59">
        <v>34.6</v>
      </c>
      <c r="N100" s="59">
        <v>4.4000000000000004</v>
      </c>
      <c r="O100" s="59">
        <v>0</v>
      </c>
      <c r="P100" s="59">
        <v>1.26</v>
      </c>
      <c r="Q100" s="59">
        <v>33.92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1108</v>
      </c>
      <c r="B101" s="59">
        <v>15.92</v>
      </c>
      <c r="C101" s="59">
        <v>104.83</v>
      </c>
      <c r="D101" s="59">
        <v>70.62</v>
      </c>
      <c r="E101" s="59">
        <v>4.34</v>
      </c>
      <c r="F101" s="59">
        <v>3.35</v>
      </c>
      <c r="G101" s="59">
        <v>75.48</v>
      </c>
      <c r="H101" s="59">
        <v>27.21</v>
      </c>
      <c r="I101" s="59">
        <v>0.76</v>
      </c>
      <c r="J101" s="59">
        <v>0.94</v>
      </c>
      <c r="K101" s="59">
        <v>30.93</v>
      </c>
      <c r="L101" s="59">
        <v>25.89</v>
      </c>
      <c r="M101" s="59">
        <v>32.659999999999997</v>
      </c>
      <c r="N101" s="59">
        <v>4.4000000000000004</v>
      </c>
      <c r="O101" s="59">
        <v>0</v>
      </c>
      <c r="P101" s="59">
        <v>1.18</v>
      </c>
      <c r="Q101" s="59">
        <v>33.61</v>
      </c>
      <c r="R101" s="197"/>
      <c r="S101" s="197"/>
      <c r="T101" s="197"/>
      <c r="U101" s="197"/>
    </row>
    <row r="102" spans="1:33" s="12" customFormat="1" x14ac:dyDescent="0.25">
      <c r="A102" s="200" t="s">
        <v>1109</v>
      </c>
      <c r="B102" s="59">
        <v>14.29</v>
      </c>
      <c r="C102" s="59">
        <v>104.57</v>
      </c>
      <c r="D102" s="59">
        <v>69.17</v>
      </c>
      <c r="E102" s="59">
        <v>4.33</v>
      </c>
      <c r="F102" s="59">
        <v>2.97</v>
      </c>
      <c r="G102" s="59">
        <v>75.48</v>
      </c>
      <c r="H102" s="59">
        <v>27.21</v>
      </c>
      <c r="I102" s="59">
        <v>0.71</v>
      </c>
      <c r="J102" s="59">
        <v>1.26</v>
      </c>
      <c r="K102" s="59">
        <v>29.36</v>
      </c>
      <c r="L102" s="59">
        <v>26.04</v>
      </c>
      <c r="M102" s="59">
        <v>30.71</v>
      </c>
      <c r="N102" s="59">
        <v>3.8</v>
      </c>
      <c r="O102" s="59">
        <v>0</v>
      </c>
      <c r="P102" s="59">
        <v>1.1399999999999999</v>
      </c>
      <c r="Q102" s="59">
        <v>33.29</v>
      </c>
      <c r="R102" s="197"/>
      <c r="S102" s="197"/>
      <c r="T102" s="197"/>
      <c r="U102" s="197"/>
    </row>
    <row r="103" spans="1:33" s="12" customFormat="1" x14ac:dyDescent="0.25">
      <c r="A103" s="200" t="s">
        <v>1110</v>
      </c>
      <c r="B103" s="59">
        <v>12.87</v>
      </c>
      <c r="C103" s="59">
        <v>104.15</v>
      </c>
      <c r="D103" s="59">
        <v>67.790000000000006</v>
      </c>
      <c r="E103" s="59">
        <v>3.83</v>
      </c>
      <c r="F103" s="59">
        <v>3.09</v>
      </c>
      <c r="G103" s="59">
        <v>75.48</v>
      </c>
      <c r="H103" s="59">
        <v>27.21</v>
      </c>
      <c r="I103" s="59">
        <v>0.67</v>
      </c>
      <c r="J103" s="59">
        <v>1.39</v>
      </c>
      <c r="K103" s="59">
        <v>31.16</v>
      </c>
      <c r="L103" s="59">
        <v>26.29</v>
      </c>
      <c r="M103" s="59">
        <v>29.27</v>
      </c>
      <c r="N103" s="59">
        <v>4</v>
      </c>
      <c r="O103" s="59">
        <v>0</v>
      </c>
      <c r="P103" s="59">
        <v>1.08</v>
      </c>
      <c r="Q103" s="59">
        <v>32.82</v>
      </c>
      <c r="R103" s="197"/>
      <c r="S103" s="197"/>
      <c r="T103" s="197"/>
      <c r="U103" s="197"/>
    </row>
    <row r="104" spans="1:33" s="12" customFormat="1" x14ac:dyDescent="0.25">
      <c r="A104" s="200" t="s">
        <v>1111</v>
      </c>
      <c r="B104" s="59">
        <v>10.95</v>
      </c>
      <c r="C104" s="59">
        <v>102.47</v>
      </c>
      <c r="D104" s="59">
        <v>65.33</v>
      </c>
      <c r="E104" s="59">
        <v>1.87</v>
      </c>
      <c r="F104" s="59">
        <v>3.39</v>
      </c>
      <c r="G104" s="59">
        <v>67.23</v>
      </c>
      <c r="H104" s="59">
        <v>24.98</v>
      </c>
      <c r="I104" s="59">
        <v>0.65</v>
      </c>
      <c r="J104" s="59">
        <v>1.1599999999999999</v>
      </c>
      <c r="K104" s="59">
        <v>27.8</v>
      </c>
      <c r="L104" s="59">
        <v>26.05</v>
      </c>
      <c r="M104" s="59">
        <v>30.3</v>
      </c>
      <c r="N104" s="59">
        <v>4.7</v>
      </c>
      <c r="O104" s="59">
        <v>0</v>
      </c>
      <c r="P104" s="59">
        <v>0.84</v>
      </c>
      <c r="Q104" s="59">
        <v>31.55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0.26</v>
      </c>
      <c r="C106" s="66">
        <f>MIN(C9:C104)</f>
        <v>54.36</v>
      </c>
      <c r="D106" s="66">
        <f t="shared" ref="D106:Q106" si="0">MIN(D9:D104)</f>
        <v>31.56</v>
      </c>
      <c r="E106" s="66">
        <f t="shared" si="0"/>
        <v>1.53</v>
      </c>
      <c r="F106" s="66">
        <f t="shared" si="0"/>
        <v>1.96</v>
      </c>
      <c r="G106" s="66">
        <f t="shared" si="0"/>
        <v>22.74</v>
      </c>
      <c r="H106" s="66">
        <f t="shared" si="0"/>
        <v>16.87</v>
      </c>
      <c r="I106" s="66">
        <f t="shared" si="0"/>
        <v>0.45</v>
      </c>
      <c r="J106" s="66">
        <f t="shared" si="0"/>
        <v>0.01</v>
      </c>
      <c r="K106" s="66">
        <f t="shared" si="0"/>
        <v>5.16</v>
      </c>
      <c r="L106" s="66">
        <f t="shared" si="0"/>
        <v>20.14</v>
      </c>
      <c r="M106" s="66">
        <f t="shared" si="0"/>
        <v>14.31</v>
      </c>
      <c r="N106" s="66">
        <f t="shared" si="0"/>
        <v>2</v>
      </c>
      <c r="O106" s="66">
        <f t="shared" si="0"/>
        <v>0</v>
      </c>
      <c r="P106" s="66">
        <f t="shared" si="0"/>
        <v>0.54</v>
      </c>
      <c r="Q106" s="66">
        <f t="shared" si="0"/>
        <v>17.2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27.35</v>
      </c>
      <c r="C107" s="65">
        <f t="shared" ref="C107:Q107" si="1">MAX(C9:C104)</f>
        <v>107.5</v>
      </c>
      <c r="D107" s="65">
        <f t="shared" si="1"/>
        <v>81.08</v>
      </c>
      <c r="E107" s="65">
        <f t="shared" si="1"/>
        <v>10.210000000000001</v>
      </c>
      <c r="F107" s="65">
        <f t="shared" si="1"/>
        <v>20.94</v>
      </c>
      <c r="G107" s="65">
        <f t="shared" si="1"/>
        <v>164.48</v>
      </c>
      <c r="H107" s="65">
        <f t="shared" si="1"/>
        <v>49.91</v>
      </c>
      <c r="I107" s="65">
        <f t="shared" si="1"/>
        <v>1.04</v>
      </c>
      <c r="J107" s="65">
        <f t="shared" si="1"/>
        <v>1.48</v>
      </c>
      <c r="K107" s="65">
        <f t="shared" si="1"/>
        <v>358.48</v>
      </c>
      <c r="L107" s="65">
        <f t="shared" si="1"/>
        <v>38.21</v>
      </c>
      <c r="M107" s="65">
        <f t="shared" si="1"/>
        <v>70.19</v>
      </c>
      <c r="N107" s="65">
        <f t="shared" si="1"/>
        <v>875.5</v>
      </c>
      <c r="O107" s="65">
        <f t="shared" si="1"/>
        <v>0</v>
      </c>
      <c r="P107" s="65">
        <f t="shared" si="1"/>
        <v>2.27</v>
      </c>
      <c r="Q107" s="65">
        <f t="shared" si="1"/>
        <v>36.92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11.524479166666667</v>
      </c>
      <c r="C108" s="66">
        <f t="shared" ref="C108:Q108" si="2">AVERAGE(C9:C104)</f>
        <v>90.536458333333314</v>
      </c>
      <c r="D108" s="66">
        <f t="shared" si="2"/>
        <v>59.207187500000011</v>
      </c>
      <c r="E108" s="66">
        <f t="shared" si="2"/>
        <v>3.6778125000000004</v>
      </c>
      <c r="F108" s="66">
        <f t="shared" si="2"/>
        <v>4.133958333333335</v>
      </c>
      <c r="G108" s="66">
        <f t="shared" si="2"/>
        <v>56.507294117647078</v>
      </c>
      <c r="H108" s="66">
        <f t="shared" si="2"/>
        <v>26.060823529411767</v>
      </c>
      <c r="I108" s="66">
        <f t="shared" si="2"/>
        <v>0.65145833333333381</v>
      </c>
      <c r="J108" s="66">
        <f t="shared" si="2"/>
        <v>0.57927083333333329</v>
      </c>
      <c r="K108" s="66">
        <f t="shared" si="2"/>
        <v>111.2773958333334</v>
      </c>
      <c r="L108" s="66">
        <f t="shared" si="2"/>
        <v>28.021562499999998</v>
      </c>
      <c r="M108" s="66">
        <f t="shared" si="2"/>
        <v>37.936979166666667</v>
      </c>
      <c r="N108" s="66">
        <f t="shared" si="2"/>
        <v>230.73541666666668</v>
      </c>
      <c r="O108" s="66">
        <f t="shared" si="2"/>
        <v>0</v>
      </c>
      <c r="P108" s="66">
        <f t="shared" si="2"/>
        <v>1.0787499999999997</v>
      </c>
      <c r="Q108" s="66">
        <f t="shared" si="2"/>
        <v>30.639166666666679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8.4825560782475229</v>
      </c>
      <c r="C109" s="66">
        <f t="shared" ref="C109:Q109" si="3">STDEV(C9:C104)</f>
        <v>14.703236376938859</v>
      </c>
      <c r="D109" s="66">
        <f t="shared" si="3"/>
        <v>14.061900425814596</v>
      </c>
      <c r="E109" s="66">
        <f t="shared" si="3"/>
        <v>1.0638601046981788</v>
      </c>
      <c r="F109" s="66">
        <f t="shared" si="3"/>
        <v>2.773752722696575</v>
      </c>
      <c r="G109" s="66">
        <f t="shared" si="3"/>
        <v>34.517909960877219</v>
      </c>
      <c r="H109" s="66">
        <f t="shared" si="3"/>
        <v>8.8779666016713588</v>
      </c>
      <c r="I109" s="66">
        <f t="shared" si="3"/>
        <v>0.12678186128495045</v>
      </c>
      <c r="J109" s="66">
        <f t="shared" si="3"/>
        <v>0.43389361973370161</v>
      </c>
      <c r="K109" s="66">
        <f t="shared" si="3"/>
        <v>108.24027713471328</v>
      </c>
      <c r="L109" s="66">
        <f t="shared" si="3"/>
        <v>5.2836634675344589</v>
      </c>
      <c r="M109" s="66">
        <f t="shared" si="3"/>
        <v>18.123398375394334</v>
      </c>
      <c r="N109" s="66">
        <f t="shared" si="3"/>
        <v>314.14549595242164</v>
      </c>
      <c r="O109" s="66">
        <f t="shared" si="3"/>
        <v>0</v>
      </c>
      <c r="P109" s="66">
        <f t="shared" si="3"/>
        <v>0.3544224360250009</v>
      </c>
      <c r="Q109" s="66">
        <f t="shared" si="3"/>
        <v>5.7322670571105165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88</v>
      </c>
      <c r="H110" s="65">
        <f>COUNT(H9:H104)+3</f>
        <v>88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10-03-2023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1112</v>
      </c>
      <c r="B9" s="59">
        <v>9.6199999999999992</v>
      </c>
      <c r="C9" s="59">
        <v>100.28</v>
      </c>
      <c r="D9" s="59">
        <v>63.05</v>
      </c>
      <c r="E9" s="59">
        <v>2.63</v>
      </c>
      <c r="F9" s="59">
        <v>3.54</v>
      </c>
      <c r="G9" s="59">
        <v>66.849999999999994</v>
      </c>
      <c r="H9" s="59">
        <v>24.88</v>
      </c>
      <c r="I9" s="59">
        <v>0.6</v>
      </c>
      <c r="J9" s="59">
        <v>1.24</v>
      </c>
      <c r="K9" s="59">
        <v>31.17</v>
      </c>
      <c r="L9" s="59">
        <v>25.65</v>
      </c>
      <c r="M9" s="59">
        <v>31.69</v>
      </c>
      <c r="N9" s="59">
        <v>4.5999999999999996</v>
      </c>
      <c r="O9" s="59">
        <v>0</v>
      </c>
      <c r="P9" s="59">
        <v>0.89</v>
      </c>
      <c r="Q9" s="59">
        <v>30.34</v>
      </c>
      <c r="R9" s="197"/>
      <c r="S9" s="197"/>
      <c r="T9" s="197"/>
      <c r="U9" s="197"/>
    </row>
    <row r="10" spans="1:21" s="12" customFormat="1" x14ac:dyDescent="0.25">
      <c r="A10" s="200" t="s">
        <v>1113</v>
      </c>
      <c r="B10" s="59">
        <v>8.6300000000000008</v>
      </c>
      <c r="C10" s="59">
        <v>98.78</v>
      </c>
      <c r="D10" s="59">
        <v>61.44</v>
      </c>
      <c r="E10" s="59">
        <v>2.69</v>
      </c>
      <c r="F10" s="59">
        <v>3.77</v>
      </c>
      <c r="G10" s="59">
        <v>66.849999999999994</v>
      </c>
      <c r="H10" s="59">
        <v>24.88</v>
      </c>
      <c r="I10" s="59">
        <v>0.57999999999999996</v>
      </c>
      <c r="J10" s="59">
        <v>0.76</v>
      </c>
      <c r="K10" s="59">
        <v>33.81</v>
      </c>
      <c r="L10" s="59">
        <v>25.42</v>
      </c>
      <c r="M10" s="59">
        <v>32.57</v>
      </c>
      <c r="N10" s="59">
        <v>4.9000000000000004</v>
      </c>
      <c r="O10" s="59">
        <v>0</v>
      </c>
      <c r="P10" s="59">
        <v>0.9</v>
      </c>
      <c r="Q10" s="59">
        <v>29.91</v>
      </c>
      <c r="R10" s="197"/>
      <c r="S10" s="197"/>
      <c r="T10" s="197"/>
      <c r="U10" s="197"/>
    </row>
    <row r="11" spans="1:21" s="12" customFormat="1" x14ac:dyDescent="0.25">
      <c r="A11" s="200" t="s">
        <v>1114</v>
      </c>
      <c r="B11" s="59">
        <v>8.2799999999999994</v>
      </c>
      <c r="C11" s="59">
        <v>98.07</v>
      </c>
      <c r="D11" s="59">
        <v>60.76</v>
      </c>
      <c r="E11" s="59">
        <v>3.58</v>
      </c>
      <c r="F11" s="59">
        <v>3.67</v>
      </c>
      <c r="G11" s="59">
        <v>66.849999999999994</v>
      </c>
      <c r="H11" s="59">
        <v>24.88</v>
      </c>
      <c r="I11" s="59">
        <v>0.57999999999999996</v>
      </c>
      <c r="J11" s="59">
        <v>0.31</v>
      </c>
      <c r="K11" s="59">
        <v>55.36</v>
      </c>
      <c r="L11" s="59">
        <v>24.94</v>
      </c>
      <c r="M11" s="59">
        <v>34.5</v>
      </c>
      <c r="N11" s="59">
        <v>5.2</v>
      </c>
      <c r="O11" s="59">
        <v>0</v>
      </c>
      <c r="P11" s="59">
        <v>0.86</v>
      </c>
      <c r="Q11" s="59">
        <v>29.88</v>
      </c>
      <c r="R11" s="197"/>
      <c r="S11" s="197"/>
      <c r="T11" s="197"/>
      <c r="U11" s="197"/>
    </row>
    <row r="12" spans="1:21" s="12" customFormat="1" x14ac:dyDescent="0.25">
      <c r="A12" s="200" t="s">
        <v>1115</v>
      </c>
      <c r="B12" s="59">
        <v>8.64</v>
      </c>
      <c r="C12" s="59">
        <v>97.61</v>
      </c>
      <c r="D12" s="59">
        <v>60.8</v>
      </c>
      <c r="E12" s="59">
        <v>4.01</v>
      </c>
      <c r="F12" s="59">
        <v>2.73</v>
      </c>
      <c r="G12" s="59">
        <v>71.17</v>
      </c>
      <c r="H12" s="59">
        <v>21.78</v>
      </c>
      <c r="I12" s="59">
        <v>0.57999999999999996</v>
      </c>
      <c r="J12" s="59">
        <v>1.22</v>
      </c>
      <c r="K12" s="59">
        <v>28.94</v>
      </c>
      <c r="L12" s="59">
        <v>24.73</v>
      </c>
      <c r="M12" s="59">
        <v>34.78</v>
      </c>
      <c r="N12" s="59">
        <v>4.0999999999999996</v>
      </c>
      <c r="O12" s="59">
        <v>0</v>
      </c>
      <c r="P12" s="59">
        <v>1</v>
      </c>
      <c r="Q12" s="59">
        <v>30</v>
      </c>
      <c r="R12" s="197"/>
      <c r="S12" s="197"/>
      <c r="T12" s="197"/>
      <c r="U12" s="197"/>
    </row>
    <row r="13" spans="1:21" s="12" customFormat="1" x14ac:dyDescent="0.25">
      <c r="A13" s="200" t="s">
        <v>1116</v>
      </c>
      <c r="B13" s="59">
        <v>8.76</v>
      </c>
      <c r="C13" s="59">
        <v>96.24</v>
      </c>
      <c r="D13" s="59">
        <v>60.14</v>
      </c>
      <c r="E13" s="59">
        <v>4.13</v>
      </c>
      <c r="F13" s="59">
        <v>3.58</v>
      </c>
      <c r="G13" s="59">
        <v>71.38</v>
      </c>
      <c r="H13" s="59">
        <v>21.63</v>
      </c>
      <c r="I13" s="59">
        <v>0.56000000000000005</v>
      </c>
      <c r="J13" s="59">
        <v>1.2</v>
      </c>
      <c r="K13" s="59">
        <v>29.26</v>
      </c>
      <c r="L13" s="59">
        <v>24.65</v>
      </c>
      <c r="M13" s="59">
        <v>36.26</v>
      </c>
      <c r="N13" s="59">
        <v>4.5999999999999996</v>
      </c>
      <c r="O13" s="59">
        <v>0</v>
      </c>
      <c r="P13" s="59">
        <v>0.9</v>
      </c>
      <c r="Q13" s="59">
        <v>30.03</v>
      </c>
      <c r="R13" s="197"/>
      <c r="S13" s="197"/>
      <c r="T13" s="197"/>
      <c r="U13" s="197"/>
    </row>
    <row r="14" spans="1:21" s="12" customFormat="1" x14ac:dyDescent="0.25">
      <c r="A14" s="200" t="s">
        <v>1117</v>
      </c>
      <c r="B14" s="59">
        <v>8.5</v>
      </c>
      <c r="C14" s="59">
        <v>94.55</v>
      </c>
      <c r="D14" s="59">
        <v>58.99</v>
      </c>
      <c r="E14" s="59">
        <v>3.98</v>
      </c>
      <c r="F14" s="59">
        <v>3.4</v>
      </c>
      <c r="G14" s="59">
        <v>71.38</v>
      </c>
      <c r="H14" s="59">
        <v>21.63</v>
      </c>
      <c r="I14" s="59">
        <v>0.59</v>
      </c>
      <c r="J14" s="59">
        <v>0.56000000000000005</v>
      </c>
      <c r="K14" s="59">
        <v>61.75</v>
      </c>
      <c r="L14" s="59">
        <v>24.26</v>
      </c>
      <c r="M14" s="59">
        <v>38.24</v>
      </c>
      <c r="N14" s="59">
        <v>4.9000000000000004</v>
      </c>
      <c r="O14" s="59">
        <v>0</v>
      </c>
      <c r="P14" s="59">
        <v>0.87</v>
      </c>
      <c r="Q14" s="59">
        <v>29.8</v>
      </c>
      <c r="R14" s="197"/>
      <c r="S14" s="197"/>
      <c r="T14" s="197"/>
      <c r="U14" s="197"/>
    </row>
    <row r="15" spans="1:21" s="12" customFormat="1" x14ac:dyDescent="0.25">
      <c r="A15" s="200" t="s">
        <v>1118</v>
      </c>
      <c r="B15" s="59">
        <v>8.25</v>
      </c>
      <c r="C15" s="59">
        <v>93.84</v>
      </c>
      <c r="D15" s="59">
        <v>58.41</v>
      </c>
      <c r="E15" s="59">
        <v>3.4</v>
      </c>
      <c r="F15" s="59">
        <v>3.44</v>
      </c>
      <c r="G15" s="59">
        <v>71.38</v>
      </c>
      <c r="H15" s="59">
        <v>21.63</v>
      </c>
      <c r="I15" s="59">
        <v>0.56999999999999995</v>
      </c>
      <c r="J15" s="59">
        <v>0.57999999999999996</v>
      </c>
      <c r="K15" s="59">
        <v>91.16</v>
      </c>
      <c r="L15" s="59">
        <v>24.04</v>
      </c>
      <c r="M15" s="59">
        <v>39.57</v>
      </c>
      <c r="N15" s="59">
        <v>4.5</v>
      </c>
      <c r="O15" s="59">
        <v>0</v>
      </c>
      <c r="P15" s="59">
        <v>0.9</v>
      </c>
      <c r="Q15" s="59">
        <v>30.11</v>
      </c>
      <c r="R15" s="197"/>
      <c r="S15" s="197"/>
      <c r="T15" s="197"/>
      <c r="U15" s="197"/>
    </row>
    <row r="16" spans="1:21" s="12" customFormat="1" x14ac:dyDescent="0.25">
      <c r="A16" s="200" t="s">
        <v>1119</v>
      </c>
      <c r="B16" s="59">
        <v>7.77</v>
      </c>
      <c r="C16" s="59">
        <v>93.99</v>
      </c>
      <c r="D16" s="59">
        <v>58.1</v>
      </c>
      <c r="E16" s="59">
        <v>3.24</v>
      </c>
      <c r="F16" s="59">
        <v>3.23</v>
      </c>
      <c r="G16" s="59">
        <v>67.92</v>
      </c>
      <c r="H16" s="59">
        <v>21.03</v>
      </c>
      <c r="I16" s="59">
        <v>0.56999999999999995</v>
      </c>
      <c r="J16" s="59">
        <v>1.08</v>
      </c>
      <c r="K16" s="59">
        <v>110.7</v>
      </c>
      <c r="L16" s="59">
        <v>24.2</v>
      </c>
      <c r="M16" s="59">
        <v>39.92</v>
      </c>
      <c r="N16" s="59">
        <v>3.7</v>
      </c>
      <c r="O16" s="59">
        <v>0</v>
      </c>
      <c r="P16" s="59">
        <v>0.89</v>
      </c>
      <c r="Q16" s="59">
        <v>31.05</v>
      </c>
      <c r="R16" s="197"/>
      <c r="S16" s="197"/>
      <c r="T16" s="197"/>
      <c r="U16" s="197"/>
    </row>
    <row r="17" spans="1:21" s="12" customFormat="1" x14ac:dyDescent="0.25">
      <c r="A17" s="200" t="s">
        <v>1120</v>
      </c>
      <c r="B17" s="59">
        <v>6.81</v>
      </c>
      <c r="C17" s="59">
        <v>92.77</v>
      </c>
      <c r="D17" s="59">
        <v>56.65</v>
      </c>
      <c r="E17" s="59">
        <v>3.59</v>
      </c>
      <c r="F17" s="59">
        <v>3.08</v>
      </c>
      <c r="G17" s="59">
        <v>67.760000000000005</v>
      </c>
      <c r="H17" s="59">
        <v>21.01</v>
      </c>
      <c r="I17" s="59">
        <v>0.59</v>
      </c>
      <c r="J17" s="59">
        <v>0.76</v>
      </c>
      <c r="K17" s="59">
        <v>94.8</v>
      </c>
      <c r="L17" s="59">
        <v>24.34</v>
      </c>
      <c r="M17" s="59">
        <v>39.58</v>
      </c>
      <c r="N17" s="59">
        <v>4.2</v>
      </c>
      <c r="O17" s="59">
        <v>0</v>
      </c>
      <c r="P17" s="59">
        <v>0.86</v>
      </c>
      <c r="Q17" s="59">
        <v>31.64</v>
      </c>
      <c r="R17" s="197"/>
      <c r="S17" s="197"/>
      <c r="T17" s="197"/>
      <c r="U17" s="197"/>
    </row>
    <row r="18" spans="1:21" s="12" customFormat="1" x14ac:dyDescent="0.25">
      <c r="A18" s="200" t="s">
        <v>1121</v>
      </c>
      <c r="B18" s="59">
        <v>5.73</v>
      </c>
      <c r="C18" s="59">
        <v>92.06</v>
      </c>
      <c r="D18" s="59">
        <v>55.4</v>
      </c>
      <c r="E18" s="59">
        <v>3.32</v>
      </c>
      <c r="F18" s="59">
        <v>3.07</v>
      </c>
      <c r="G18" s="59">
        <v>67.760000000000005</v>
      </c>
      <c r="H18" s="59">
        <v>21.01</v>
      </c>
      <c r="I18" s="59">
        <v>0.59</v>
      </c>
      <c r="J18" s="59">
        <v>0.46</v>
      </c>
      <c r="K18" s="59">
        <v>47.16</v>
      </c>
      <c r="L18" s="59">
        <v>24.04</v>
      </c>
      <c r="M18" s="59">
        <v>39.979999999999997</v>
      </c>
      <c r="N18" s="59">
        <v>4.8</v>
      </c>
      <c r="O18" s="59">
        <v>0</v>
      </c>
      <c r="P18" s="59">
        <v>0.82</v>
      </c>
      <c r="Q18" s="59">
        <v>31.7</v>
      </c>
      <c r="R18" s="197"/>
      <c r="S18" s="197"/>
      <c r="T18" s="197"/>
      <c r="U18" s="197"/>
    </row>
    <row r="19" spans="1:21" s="12" customFormat="1" x14ac:dyDescent="0.25">
      <c r="A19" s="200" t="s">
        <v>1122</v>
      </c>
      <c r="B19" s="59">
        <v>4.82</v>
      </c>
      <c r="C19" s="59">
        <v>92.59</v>
      </c>
      <c r="D19" s="59">
        <v>54.96</v>
      </c>
      <c r="E19" s="59">
        <v>3.13</v>
      </c>
      <c r="F19" s="59">
        <v>2.98</v>
      </c>
      <c r="G19" s="59">
        <v>67.760000000000005</v>
      </c>
      <c r="H19" s="59">
        <v>21.01</v>
      </c>
      <c r="I19" s="59">
        <v>0.59</v>
      </c>
      <c r="J19" s="59">
        <v>0.41</v>
      </c>
      <c r="K19" s="59">
        <v>72.38</v>
      </c>
      <c r="L19" s="59">
        <v>23.63</v>
      </c>
      <c r="M19" s="59">
        <v>41.25</v>
      </c>
      <c r="N19" s="59">
        <v>4.7</v>
      </c>
      <c r="O19" s="59">
        <v>0</v>
      </c>
      <c r="P19" s="59">
        <v>0.8</v>
      </c>
      <c r="Q19" s="59">
        <v>31.63</v>
      </c>
      <c r="R19" s="197"/>
      <c r="S19" s="197"/>
      <c r="T19" s="197"/>
      <c r="U19" s="197"/>
    </row>
    <row r="20" spans="1:21" s="12" customFormat="1" x14ac:dyDescent="0.25">
      <c r="A20" s="200" t="s">
        <v>1123</v>
      </c>
      <c r="B20" s="59">
        <v>4.13</v>
      </c>
      <c r="C20" s="59">
        <v>93.06</v>
      </c>
      <c r="D20" s="59">
        <v>54.67</v>
      </c>
      <c r="E20" s="59">
        <v>3.14</v>
      </c>
      <c r="F20" s="59">
        <v>3.04</v>
      </c>
      <c r="G20" s="59">
        <v>55.63</v>
      </c>
      <c r="H20" s="59">
        <v>19.399999999999999</v>
      </c>
      <c r="I20" s="59">
        <v>0.57999999999999996</v>
      </c>
      <c r="J20" s="59">
        <v>0.5</v>
      </c>
      <c r="K20" s="59">
        <v>44.03</v>
      </c>
      <c r="L20" s="59">
        <v>23.44</v>
      </c>
      <c r="M20" s="59">
        <v>42.15</v>
      </c>
      <c r="N20" s="59">
        <v>4.5999999999999996</v>
      </c>
      <c r="O20" s="59">
        <v>0</v>
      </c>
      <c r="P20" s="59">
        <v>0.77</v>
      </c>
      <c r="Q20" s="59">
        <v>31.5</v>
      </c>
      <c r="R20" s="197"/>
      <c r="S20" s="197"/>
      <c r="T20" s="197"/>
      <c r="U20" s="197"/>
    </row>
    <row r="21" spans="1:21" s="12" customFormat="1" x14ac:dyDescent="0.25">
      <c r="A21" s="200" t="s">
        <v>1124</v>
      </c>
      <c r="B21" s="59">
        <v>3.61</v>
      </c>
      <c r="C21" s="59">
        <v>92.59</v>
      </c>
      <c r="D21" s="59">
        <v>53.99</v>
      </c>
      <c r="E21" s="59">
        <v>2.81</v>
      </c>
      <c r="F21" s="59">
        <v>3.15</v>
      </c>
      <c r="G21" s="59">
        <v>55.07</v>
      </c>
      <c r="H21" s="59">
        <v>19.329999999999998</v>
      </c>
      <c r="I21" s="59">
        <v>0.56999999999999995</v>
      </c>
      <c r="J21" s="59">
        <v>0.86</v>
      </c>
      <c r="K21" s="59">
        <v>29.97</v>
      </c>
      <c r="L21" s="59">
        <v>23.43</v>
      </c>
      <c r="M21" s="59">
        <v>42.24</v>
      </c>
      <c r="N21" s="59">
        <v>4.0999999999999996</v>
      </c>
      <c r="O21" s="59">
        <v>0</v>
      </c>
      <c r="P21" s="59">
        <v>0.74</v>
      </c>
      <c r="Q21" s="59">
        <v>31.47</v>
      </c>
      <c r="R21" s="197"/>
      <c r="S21" s="197"/>
      <c r="T21" s="197"/>
      <c r="U21" s="197"/>
    </row>
    <row r="22" spans="1:21" s="12" customFormat="1" x14ac:dyDescent="0.25">
      <c r="A22" s="200" t="s">
        <v>1125</v>
      </c>
      <c r="B22" s="59">
        <v>3.1</v>
      </c>
      <c r="C22" s="59">
        <v>91.03</v>
      </c>
      <c r="D22" s="59">
        <v>52.72</v>
      </c>
      <c r="E22" s="59">
        <v>2.84</v>
      </c>
      <c r="F22" s="59">
        <v>3.48</v>
      </c>
      <c r="G22" s="59">
        <v>55.07</v>
      </c>
      <c r="H22" s="59">
        <v>19.329999999999998</v>
      </c>
      <c r="I22" s="59">
        <v>0.56000000000000005</v>
      </c>
      <c r="J22" s="59">
        <v>0.93</v>
      </c>
      <c r="K22" s="59">
        <v>31.39</v>
      </c>
      <c r="L22" s="59">
        <v>23.46</v>
      </c>
      <c r="M22" s="59">
        <v>42.27</v>
      </c>
      <c r="N22" s="59">
        <v>4.4000000000000004</v>
      </c>
      <c r="O22" s="59">
        <v>0</v>
      </c>
      <c r="P22" s="59">
        <v>0.64</v>
      </c>
      <c r="Q22" s="59">
        <v>30.83</v>
      </c>
      <c r="R22" s="197"/>
      <c r="S22" s="197"/>
      <c r="T22" s="197"/>
      <c r="U22" s="197"/>
    </row>
    <row r="23" spans="1:21" s="12" customFormat="1" x14ac:dyDescent="0.25">
      <c r="A23" s="200" t="s">
        <v>1126</v>
      </c>
      <c r="B23" s="59">
        <v>2.91</v>
      </c>
      <c r="C23" s="59">
        <v>89.23</v>
      </c>
      <c r="D23" s="59">
        <v>51.58</v>
      </c>
      <c r="E23" s="59">
        <v>3.34</v>
      </c>
      <c r="F23" s="59">
        <v>3.42</v>
      </c>
      <c r="G23" s="59">
        <v>55.07</v>
      </c>
      <c r="H23" s="59">
        <v>19.329999999999998</v>
      </c>
      <c r="I23" s="59">
        <v>0.56000000000000005</v>
      </c>
      <c r="J23" s="59">
        <v>0.76</v>
      </c>
      <c r="K23" s="59">
        <v>35.94</v>
      </c>
      <c r="L23" s="59">
        <v>23.22</v>
      </c>
      <c r="M23" s="59">
        <v>43.67</v>
      </c>
      <c r="N23" s="59">
        <v>4.7</v>
      </c>
      <c r="O23" s="59">
        <v>0</v>
      </c>
      <c r="P23" s="59">
        <v>0.64</v>
      </c>
      <c r="Q23" s="59">
        <v>29.75</v>
      </c>
      <c r="R23" s="197"/>
      <c r="S23" s="197"/>
      <c r="T23" s="197"/>
      <c r="U23" s="197"/>
    </row>
    <row r="24" spans="1:21" s="12" customFormat="1" x14ac:dyDescent="0.25">
      <c r="A24" s="200" t="s">
        <v>1127</v>
      </c>
      <c r="B24" s="59">
        <v>3.07</v>
      </c>
      <c r="C24" s="59">
        <v>89.37</v>
      </c>
      <c r="D24" s="59">
        <v>51.78</v>
      </c>
      <c r="E24" s="59">
        <v>2.2200000000000002</v>
      </c>
      <c r="F24" s="59">
        <v>3.17</v>
      </c>
      <c r="G24" s="59">
        <v>51.83</v>
      </c>
      <c r="H24" s="59">
        <v>17.399999999999999</v>
      </c>
      <c r="I24" s="59">
        <v>0.53</v>
      </c>
      <c r="J24" s="59">
        <v>0.62</v>
      </c>
      <c r="K24" s="59">
        <v>34.29</v>
      </c>
      <c r="L24" s="59">
        <v>22.91</v>
      </c>
      <c r="M24" s="59">
        <v>44.55</v>
      </c>
      <c r="N24" s="59">
        <v>4.7</v>
      </c>
      <c r="O24" s="59">
        <v>0</v>
      </c>
      <c r="P24" s="59">
        <v>0.65</v>
      </c>
      <c r="Q24" s="59">
        <v>29.18</v>
      </c>
      <c r="R24" s="197"/>
      <c r="S24" s="197"/>
      <c r="T24" s="197"/>
      <c r="U24" s="197"/>
    </row>
    <row r="25" spans="1:21" s="12" customFormat="1" x14ac:dyDescent="0.25">
      <c r="A25" s="200" t="s">
        <v>1128</v>
      </c>
      <c r="B25" s="59">
        <v>3.4</v>
      </c>
      <c r="C25" s="59">
        <v>89.22</v>
      </c>
      <c r="D25" s="59">
        <v>51.97</v>
      </c>
      <c r="E25" s="59">
        <v>4.0199999999999996</v>
      </c>
      <c r="F25" s="59">
        <v>3.31</v>
      </c>
      <c r="G25" s="59">
        <v>51.64</v>
      </c>
      <c r="H25" s="59">
        <v>17.309999999999999</v>
      </c>
      <c r="I25" s="59">
        <v>0.52</v>
      </c>
      <c r="J25" s="59">
        <v>0.55000000000000004</v>
      </c>
      <c r="K25" s="59">
        <v>44.3</v>
      </c>
      <c r="L25" s="59">
        <v>22.82</v>
      </c>
      <c r="M25" s="59">
        <v>45.15</v>
      </c>
      <c r="N25" s="59">
        <v>4.5999999999999996</v>
      </c>
      <c r="O25" s="59">
        <v>0</v>
      </c>
      <c r="P25" s="59">
        <v>0.64</v>
      </c>
      <c r="Q25" s="59">
        <v>29.42</v>
      </c>
      <c r="R25" s="197"/>
      <c r="S25" s="197"/>
      <c r="T25" s="197"/>
      <c r="U25" s="197"/>
    </row>
    <row r="26" spans="1:21" s="12" customFormat="1" x14ac:dyDescent="0.25">
      <c r="A26" s="200" t="s">
        <v>1129</v>
      </c>
      <c r="B26" s="59">
        <v>3.98</v>
      </c>
      <c r="C26" s="59">
        <v>89.7</v>
      </c>
      <c r="D26" s="59">
        <v>52.69</v>
      </c>
      <c r="E26" s="59">
        <v>4.17</v>
      </c>
      <c r="F26" s="59">
        <v>3.15</v>
      </c>
      <c r="G26" s="59">
        <v>51.64</v>
      </c>
      <c r="H26" s="59">
        <v>17.309999999999999</v>
      </c>
      <c r="I26" s="59">
        <v>0.53</v>
      </c>
      <c r="J26" s="59">
        <v>0.3</v>
      </c>
      <c r="K26" s="59">
        <v>78.14</v>
      </c>
      <c r="L26" s="59">
        <v>22.53</v>
      </c>
      <c r="M26" s="59">
        <v>46.08</v>
      </c>
      <c r="N26" s="59">
        <v>4.8</v>
      </c>
      <c r="O26" s="59">
        <v>0</v>
      </c>
      <c r="P26" s="59">
        <v>0.65</v>
      </c>
      <c r="Q26" s="59">
        <v>29.84</v>
      </c>
      <c r="R26" s="197"/>
      <c r="S26" s="197"/>
      <c r="T26" s="197"/>
      <c r="U26" s="197"/>
    </row>
    <row r="27" spans="1:21" s="12" customFormat="1" x14ac:dyDescent="0.25">
      <c r="A27" s="200" t="s">
        <v>1130</v>
      </c>
      <c r="B27" s="59">
        <v>4.75</v>
      </c>
      <c r="C27" s="59">
        <v>90.37</v>
      </c>
      <c r="D27" s="59">
        <v>53.68</v>
      </c>
      <c r="E27" s="59">
        <v>4.09</v>
      </c>
      <c r="F27" s="59">
        <v>3.04</v>
      </c>
      <c r="G27" s="59">
        <v>51.64</v>
      </c>
      <c r="H27" s="59">
        <v>17.309999999999999</v>
      </c>
      <c r="I27" s="59">
        <v>0.54</v>
      </c>
      <c r="J27" s="59">
        <v>0.39</v>
      </c>
      <c r="K27" s="59">
        <v>86.4</v>
      </c>
      <c r="L27" s="59">
        <v>22.46</v>
      </c>
      <c r="M27" s="59">
        <v>46.51</v>
      </c>
      <c r="N27" s="59">
        <v>4.5</v>
      </c>
      <c r="O27" s="59">
        <v>0</v>
      </c>
      <c r="P27" s="59">
        <v>0.64</v>
      </c>
      <c r="Q27" s="59">
        <v>30.22</v>
      </c>
      <c r="R27" s="197"/>
      <c r="S27" s="197"/>
      <c r="T27" s="197"/>
      <c r="U27" s="197"/>
    </row>
    <row r="28" spans="1:21" s="12" customFormat="1" x14ac:dyDescent="0.25">
      <c r="A28" s="200" t="s">
        <v>1131</v>
      </c>
      <c r="B28" s="59">
        <v>5.3</v>
      </c>
      <c r="C28" s="59">
        <v>90.72</v>
      </c>
      <c r="D28" s="59">
        <v>54.32</v>
      </c>
      <c r="E28" s="59">
        <v>4.07</v>
      </c>
      <c r="F28" s="59">
        <v>3.29</v>
      </c>
      <c r="G28" s="59">
        <v>51.44</v>
      </c>
      <c r="H28" s="59">
        <v>18.87</v>
      </c>
      <c r="I28" s="59">
        <v>0.55000000000000004</v>
      </c>
      <c r="J28" s="59">
        <v>0.38</v>
      </c>
      <c r="K28" s="59">
        <v>71.34</v>
      </c>
      <c r="L28" s="59">
        <v>22.48</v>
      </c>
      <c r="M28" s="59">
        <v>46.74</v>
      </c>
      <c r="N28" s="59">
        <v>4.5</v>
      </c>
      <c r="O28" s="59">
        <v>0</v>
      </c>
      <c r="P28" s="59">
        <v>0.61</v>
      </c>
      <c r="Q28" s="59">
        <v>30.39</v>
      </c>
      <c r="R28" s="197"/>
      <c r="S28" s="197"/>
      <c r="T28" s="197"/>
      <c r="U28" s="197"/>
    </row>
    <row r="29" spans="1:21" s="12" customFormat="1" x14ac:dyDescent="0.25">
      <c r="A29" s="200" t="s">
        <v>1132</v>
      </c>
      <c r="B29" s="59">
        <v>5.67</v>
      </c>
      <c r="C29" s="59">
        <v>90.66</v>
      </c>
      <c r="D29" s="59">
        <v>54.58</v>
      </c>
      <c r="E29" s="59">
        <v>4.1500000000000004</v>
      </c>
      <c r="F29" s="59">
        <v>3.08</v>
      </c>
      <c r="G29" s="59">
        <v>51.43</v>
      </c>
      <c r="H29" s="59">
        <v>18.940000000000001</v>
      </c>
      <c r="I29" s="59">
        <v>0.54</v>
      </c>
      <c r="J29" s="59">
        <v>0.3</v>
      </c>
      <c r="K29" s="59">
        <v>61.03</v>
      </c>
      <c r="L29" s="59">
        <v>22.28</v>
      </c>
      <c r="M29" s="59">
        <v>47.55</v>
      </c>
      <c r="N29" s="59">
        <v>4.7</v>
      </c>
      <c r="O29" s="59">
        <v>0</v>
      </c>
      <c r="P29" s="59">
        <v>0.63</v>
      </c>
      <c r="Q29" s="59">
        <v>30.75</v>
      </c>
      <c r="R29" s="197"/>
      <c r="S29" s="197"/>
      <c r="T29" s="197"/>
      <c r="U29" s="197"/>
    </row>
    <row r="30" spans="1:21" s="12" customFormat="1" x14ac:dyDescent="0.25">
      <c r="A30" s="200" t="s">
        <v>1133</v>
      </c>
      <c r="B30" s="59">
        <v>6.09</v>
      </c>
      <c r="C30" s="59">
        <v>91.44</v>
      </c>
      <c r="D30" s="59">
        <v>55.35</v>
      </c>
      <c r="E30" s="59">
        <v>4.7699999999999996</v>
      </c>
      <c r="F30" s="59">
        <v>2.93</v>
      </c>
      <c r="G30" s="59">
        <v>51.43</v>
      </c>
      <c r="H30" s="59">
        <v>18.940000000000001</v>
      </c>
      <c r="I30" s="59">
        <v>0.54</v>
      </c>
      <c r="J30" s="59">
        <v>0.51</v>
      </c>
      <c r="K30" s="59">
        <v>33.42</v>
      </c>
      <c r="L30" s="59">
        <v>22.06</v>
      </c>
      <c r="M30" s="59">
        <v>48.84</v>
      </c>
      <c r="N30" s="59">
        <v>4.5</v>
      </c>
      <c r="O30" s="59">
        <v>0</v>
      </c>
      <c r="P30" s="59">
        <v>0.63</v>
      </c>
      <c r="Q30" s="59">
        <v>31.93</v>
      </c>
      <c r="R30" s="197"/>
      <c r="S30" s="197"/>
      <c r="T30" s="197"/>
      <c r="U30" s="197"/>
    </row>
    <row r="31" spans="1:21" s="12" customFormat="1" x14ac:dyDescent="0.25">
      <c r="A31" s="200" t="s">
        <v>1134</v>
      </c>
      <c r="B31" s="59">
        <v>6.85</v>
      </c>
      <c r="C31" s="59">
        <v>92.35</v>
      </c>
      <c r="D31" s="59">
        <v>56.46</v>
      </c>
      <c r="E31" s="59">
        <v>4.34</v>
      </c>
      <c r="F31" s="59">
        <v>2.89</v>
      </c>
      <c r="G31" s="59">
        <v>51.43</v>
      </c>
      <c r="H31" s="59">
        <v>18.940000000000001</v>
      </c>
      <c r="I31" s="59">
        <v>0.55000000000000004</v>
      </c>
      <c r="J31" s="59">
        <v>0.33</v>
      </c>
      <c r="K31" s="59">
        <v>73.430000000000007</v>
      </c>
      <c r="L31" s="59">
        <v>21.92</v>
      </c>
      <c r="M31" s="59">
        <v>48.95</v>
      </c>
      <c r="N31" s="59">
        <v>4.7</v>
      </c>
      <c r="O31" s="59">
        <v>0</v>
      </c>
      <c r="P31" s="59">
        <v>0.63</v>
      </c>
      <c r="Q31" s="59">
        <v>32.340000000000003</v>
      </c>
      <c r="R31" s="197"/>
      <c r="S31" s="197"/>
      <c r="T31" s="197"/>
      <c r="U31" s="197"/>
    </row>
    <row r="32" spans="1:21" s="12" customFormat="1" x14ac:dyDescent="0.25">
      <c r="A32" s="200" t="s">
        <v>1135</v>
      </c>
      <c r="B32" s="59">
        <v>7.02</v>
      </c>
      <c r="C32" s="59">
        <v>93.27</v>
      </c>
      <c r="D32" s="59">
        <v>57.11</v>
      </c>
      <c r="E32" s="59">
        <v>4.0199999999999996</v>
      </c>
      <c r="F32" s="59">
        <v>3</v>
      </c>
      <c r="G32" s="59">
        <v>47.99</v>
      </c>
      <c r="H32" s="59">
        <v>18.14</v>
      </c>
      <c r="I32" s="59">
        <v>0.56000000000000005</v>
      </c>
      <c r="J32" s="59">
        <v>0.74</v>
      </c>
      <c r="K32" s="59">
        <v>36.24</v>
      </c>
      <c r="L32" s="59">
        <v>21.74</v>
      </c>
      <c r="M32" s="59">
        <v>50.59</v>
      </c>
      <c r="N32" s="59">
        <v>4.5999999999999996</v>
      </c>
      <c r="O32" s="59">
        <v>0</v>
      </c>
      <c r="P32" s="59">
        <v>0.62</v>
      </c>
      <c r="Q32" s="59">
        <v>32.409999999999997</v>
      </c>
      <c r="R32" s="197"/>
      <c r="S32" s="197"/>
      <c r="T32" s="197"/>
      <c r="U32" s="197"/>
    </row>
    <row r="33" spans="1:21" s="12" customFormat="1" x14ac:dyDescent="0.25">
      <c r="A33" s="200" t="s">
        <v>1136</v>
      </c>
      <c r="B33" s="59">
        <v>7.19</v>
      </c>
      <c r="C33" s="59">
        <v>93.55</v>
      </c>
      <c r="D33" s="59">
        <v>57.4</v>
      </c>
      <c r="E33" s="59">
        <v>4.3600000000000003</v>
      </c>
      <c r="F33" s="59">
        <v>3.18</v>
      </c>
      <c r="G33" s="59">
        <v>47.83</v>
      </c>
      <c r="H33" s="59">
        <v>18.100000000000001</v>
      </c>
      <c r="I33" s="59">
        <v>0.55000000000000004</v>
      </c>
      <c r="J33" s="59">
        <v>0.52</v>
      </c>
      <c r="K33" s="59">
        <v>41.97</v>
      </c>
      <c r="L33" s="59">
        <v>21.76</v>
      </c>
      <c r="M33" s="59">
        <v>50.56</v>
      </c>
      <c r="N33" s="59">
        <v>7</v>
      </c>
      <c r="O33" s="59">
        <v>0</v>
      </c>
      <c r="P33" s="59">
        <v>0.62</v>
      </c>
      <c r="Q33" s="59">
        <v>32.42</v>
      </c>
      <c r="R33" s="197"/>
      <c r="S33" s="197"/>
      <c r="T33" s="197"/>
      <c r="U33" s="197"/>
    </row>
    <row r="34" spans="1:21" s="12" customFormat="1" x14ac:dyDescent="0.25">
      <c r="A34" s="200" t="s">
        <v>1137</v>
      </c>
      <c r="B34" s="59">
        <v>7.4</v>
      </c>
      <c r="C34" s="59">
        <v>94.18</v>
      </c>
      <c r="D34" s="59">
        <v>57.91</v>
      </c>
      <c r="E34" s="59">
        <v>4.26</v>
      </c>
      <c r="F34" s="59">
        <v>3.24</v>
      </c>
      <c r="G34" s="59">
        <v>47.83</v>
      </c>
      <c r="H34" s="59">
        <v>18.100000000000001</v>
      </c>
      <c r="I34" s="59">
        <v>0.55000000000000004</v>
      </c>
      <c r="J34" s="59">
        <v>0.91</v>
      </c>
      <c r="K34" s="59">
        <v>24.27</v>
      </c>
      <c r="L34" s="59">
        <v>21.74</v>
      </c>
      <c r="M34" s="59">
        <v>50.84</v>
      </c>
      <c r="N34" s="59">
        <v>17.5</v>
      </c>
      <c r="O34" s="59">
        <v>0</v>
      </c>
      <c r="P34" s="59">
        <v>0.62</v>
      </c>
      <c r="Q34" s="59">
        <v>32.119999999999997</v>
      </c>
      <c r="R34" s="197"/>
      <c r="S34" s="197"/>
      <c r="T34" s="197"/>
      <c r="U34" s="197"/>
    </row>
    <row r="35" spans="1:21" s="12" customFormat="1" x14ac:dyDescent="0.25">
      <c r="A35" s="200" t="s">
        <v>1138</v>
      </c>
      <c r="B35" s="59">
        <v>8.23</v>
      </c>
      <c r="C35" s="59">
        <v>95.25</v>
      </c>
      <c r="D35" s="59">
        <v>59.17</v>
      </c>
      <c r="E35" s="59">
        <v>4.2300000000000004</v>
      </c>
      <c r="F35" s="59">
        <v>2.93</v>
      </c>
      <c r="G35" s="59">
        <v>47.83</v>
      </c>
      <c r="H35" s="59">
        <v>18.100000000000001</v>
      </c>
      <c r="I35" s="59">
        <v>0.55000000000000004</v>
      </c>
      <c r="J35" s="59">
        <v>0.73</v>
      </c>
      <c r="K35" s="59">
        <v>33.76</v>
      </c>
      <c r="L35" s="59">
        <v>21.93</v>
      </c>
      <c r="M35" s="59">
        <v>50.51</v>
      </c>
      <c r="N35" s="59">
        <v>35.4</v>
      </c>
      <c r="O35" s="59">
        <v>0</v>
      </c>
      <c r="P35" s="59">
        <v>0.62</v>
      </c>
      <c r="Q35" s="59">
        <v>31.88</v>
      </c>
      <c r="R35" s="197"/>
      <c r="S35" s="197"/>
      <c r="T35" s="197"/>
      <c r="U35" s="197"/>
    </row>
    <row r="36" spans="1:21" s="12" customFormat="1" x14ac:dyDescent="0.25">
      <c r="A36" s="200" t="s">
        <v>1139</v>
      </c>
      <c r="B36" s="59">
        <v>9.08</v>
      </c>
      <c r="C36" s="59">
        <v>96.07</v>
      </c>
      <c r="D36" s="59">
        <v>60.3</v>
      </c>
      <c r="E36" s="59">
        <v>4.42</v>
      </c>
      <c r="F36" s="59">
        <v>3</v>
      </c>
      <c r="G36" s="59">
        <v>50.38</v>
      </c>
      <c r="H36" s="59">
        <v>19.23</v>
      </c>
      <c r="I36" s="59">
        <v>0.55000000000000004</v>
      </c>
      <c r="J36" s="59">
        <v>0.76</v>
      </c>
      <c r="K36" s="59">
        <v>32.65</v>
      </c>
      <c r="L36" s="59">
        <v>22.38</v>
      </c>
      <c r="M36" s="59">
        <v>49.56</v>
      </c>
      <c r="N36" s="59">
        <v>74</v>
      </c>
      <c r="O36" s="59">
        <v>0</v>
      </c>
      <c r="P36" s="59">
        <v>0.62</v>
      </c>
      <c r="Q36" s="59">
        <v>31.38</v>
      </c>
      <c r="R36" s="197"/>
      <c r="S36" s="197"/>
      <c r="T36" s="197"/>
      <c r="U36" s="197"/>
    </row>
    <row r="37" spans="1:21" s="12" customFormat="1" x14ac:dyDescent="0.25">
      <c r="A37" s="200" t="s">
        <v>1140</v>
      </c>
      <c r="B37" s="59">
        <v>9.7899999999999991</v>
      </c>
      <c r="C37" s="59">
        <v>95.56</v>
      </c>
      <c r="D37" s="59">
        <v>60.58</v>
      </c>
      <c r="E37" s="59">
        <v>3.91</v>
      </c>
      <c r="F37" s="59">
        <v>3.14</v>
      </c>
      <c r="G37" s="59">
        <v>50.5</v>
      </c>
      <c r="H37" s="59">
        <v>19.29</v>
      </c>
      <c r="I37" s="59">
        <v>0.54</v>
      </c>
      <c r="J37" s="59">
        <v>0.82</v>
      </c>
      <c r="K37" s="59">
        <v>28.86</v>
      </c>
      <c r="L37" s="59">
        <v>23.3</v>
      </c>
      <c r="M37" s="59">
        <v>47.17</v>
      </c>
      <c r="N37" s="59">
        <v>116.4</v>
      </c>
      <c r="O37" s="59">
        <v>0</v>
      </c>
      <c r="P37" s="59">
        <v>0.62</v>
      </c>
      <c r="Q37" s="59">
        <v>30.84</v>
      </c>
      <c r="R37" s="197"/>
      <c r="S37" s="197"/>
      <c r="T37" s="197"/>
      <c r="U37" s="197"/>
    </row>
    <row r="38" spans="1:21" s="12" customFormat="1" x14ac:dyDescent="0.25">
      <c r="A38" s="200" t="s">
        <v>1141</v>
      </c>
      <c r="B38" s="59">
        <v>10.47</v>
      </c>
      <c r="C38" s="59">
        <v>95.91</v>
      </c>
      <c r="D38" s="59">
        <v>61.32</v>
      </c>
      <c r="E38" s="59">
        <v>3.86</v>
      </c>
      <c r="F38" s="59">
        <v>3.05</v>
      </c>
      <c r="G38" s="59">
        <v>50.5</v>
      </c>
      <c r="H38" s="59">
        <v>19.29</v>
      </c>
      <c r="I38" s="59">
        <v>0.53</v>
      </c>
      <c r="J38" s="59">
        <v>0.83</v>
      </c>
      <c r="K38" s="59">
        <v>28.82</v>
      </c>
      <c r="L38" s="59">
        <v>24.23</v>
      </c>
      <c r="M38" s="59">
        <v>45.05</v>
      </c>
      <c r="N38" s="59">
        <v>167.4</v>
      </c>
      <c r="O38" s="59">
        <v>0</v>
      </c>
      <c r="P38" s="59">
        <v>0.65</v>
      </c>
      <c r="Q38" s="59">
        <v>30.37</v>
      </c>
      <c r="R38" s="197"/>
      <c r="S38" s="197"/>
      <c r="T38" s="197"/>
      <c r="U38" s="197"/>
    </row>
    <row r="39" spans="1:21" s="12" customFormat="1" x14ac:dyDescent="0.25">
      <c r="A39" s="200" t="s">
        <v>1142</v>
      </c>
      <c r="B39" s="59">
        <v>11.03</v>
      </c>
      <c r="C39" s="59">
        <v>96.4</v>
      </c>
      <c r="D39" s="59">
        <v>62.05</v>
      </c>
      <c r="E39" s="59">
        <v>4.3499999999999996</v>
      </c>
      <c r="F39" s="59">
        <v>3.04</v>
      </c>
      <c r="G39" s="59">
        <v>50.5</v>
      </c>
      <c r="H39" s="59">
        <v>19.29</v>
      </c>
      <c r="I39" s="59">
        <v>0.53</v>
      </c>
      <c r="J39" s="59">
        <v>0.87</v>
      </c>
      <c r="K39" s="59">
        <v>29.71</v>
      </c>
      <c r="L39" s="59">
        <v>25.38</v>
      </c>
      <c r="M39" s="59">
        <v>42.17</v>
      </c>
      <c r="N39" s="59">
        <v>221.7</v>
      </c>
      <c r="O39" s="59">
        <v>0</v>
      </c>
      <c r="P39" s="59">
        <v>0.69</v>
      </c>
      <c r="Q39" s="59">
        <v>30.14</v>
      </c>
      <c r="R39" s="197"/>
      <c r="S39" s="197"/>
      <c r="T39" s="197"/>
      <c r="U39" s="197"/>
    </row>
    <row r="40" spans="1:21" s="12" customFormat="1" x14ac:dyDescent="0.25">
      <c r="A40" s="200" t="s">
        <v>1143</v>
      </c>
      <c r="B40" s="59">
        <v>11.73</v>
      </c>
      <c r="C40" s="59">
        <v>97.17</v>
      </c>
      <c r="D40" s="59">
        <v>63.03</v>
      </c>
      <c r="E40" s="59">
        <v>1.83</v>
      </c>
      <c r="F40" s="59">
        <v>3.05</v>
      </c>
      <c r="G40" s="59">
        <v>63.03</v>
      </c>
      <c r="H40" s="59">
        <v>22.51</v>
      </c>
      <c r="I40" s="59">
        <v>0.54</v>
      </c>
      <c r="J40" s="59">
        <v>1.25</v>
      </c>
      <c r="K40" s="59">
        <v>31.55</v>
      </c>
      <c r="L40" s="59">
        <v>26.34</v>
      </c>
      <c r="M40" s="59">
        <v>40.450000000000003</v>
      </c>
      <c r="N40" s="59">
        <v>276.5</v>
      </c>
      <c r="O40" s="59">
        <v>0</v>
      </c>
      <c r="P40" s="59">
        <v>0.71</v>
      </c>
      <c r="Q40" s="59">
        <v>29.98</v>
      </c>
      <c r="R40" s="197"/>
      <c r="S40" s="197"/>
      <c r="T40" s="197"/>
      <c r="U40" s="197"/>
    </row>
    <row r="41" spans="1:21" s="12" customFormat="1" x14ac:dyDescent="0.25">
      <c r="A41" s="200" t="s">
        <v>1144</v>
      </c>
      <c r="B41" s="59">
        <v>12.3</v>
      </c>
      <c r="C41" s="59">
        <v>97.6</v>
      </c>
      <c r="D41" s="59">
        <v>63.73</v>
      </c>
      <c r="E41" s="59">
        <v>3.43</v>
      </c>
      <c r="F41" s="59">
        <v>3.2</v>
      </c>
      <c r="G41" s="59">
        <v>63.61</v>
      </c>
      <c r="H41" s="59">
        <v>22.66</v>
      </c>
      <c r="I41" s="59">
        <v>0.54</v>
      </c>
      <c r="J41" s="59">
        <v>1.23</v>
      </c>
      <c r="K41" s="59">
        <v>28.25</v>
      </c>
      <c r="L41" s="59">
        <v>27.8</v>
      </c>
      <c r="M41" s="59">
        <v>37.4</v>
      </c>
      <c r="N41" s="59">
        <v>332.1</v>
      </c>
      <c r="O41" s="59">
        <v>0</v>
      </c>
      <c r="P41" s="59">
        <v>0.71</v>
      </c>
      <c r="Q41" s="59">
        <v>29.97</v>
      </c>
      <c r="R41" s="197"/>
      <c r="S41" s="197"/>
      <c r="T41" s="197"/>
      <c r="U41" s="197"/>
    </row>
    <row r="42" spans="1:21" s="12" customFormat="1" x14ac:dyDescent="0.25">
      <c r="A42" s="200" t="s">
        <v>1145</v>
      </c>
      <c r="B42" s="59">
        <v>12.59</v>
      </c>
      <c r="C42" s="59">
        <v>98.19</v>
      </c>
      <c r="D42" s="59">
        <v>64.28</v>
      </c>
      <c r="E42" s="59">
        <v>3.08</v>
      </c>
      <c r="F42" s="59">
        <v>3.22</v>
      </c>
      <c r="G42" s="59">
        <v>63.61</v>
      </c>
      <c r="H42" s="59">
        <v>22.66</v>
      </c>
      <c r="I42" s="59">
        <v>0.54</v>
      </c>
      <c r="J42" s="59">
        <v>0.99</v>
      </c>
      <c r="K42" s="59">
        <v>29.43</v>
      </c>
      <c r="L42" s="59">
        <v>28.44</v>
      </c>
      <c r="M42" s="59">
        <v>35.99</v>
      </c>
      <c r="N42" s="59">
        <v>391.4</v>
      </c>
      <c r="O42" s="59">
        <v>0</v>
      </c>
      <c r="P42" s="59">
        <v>0.73</v>
      </c>
      <c r="Q42" s="59">
        <v>29.93</v>
      </c>
      <c r="R42" s="197"/>
      <c r="S42" s="197"/>
      <c r="T42" s="197"/>
      <c r="U42" s="197"/>
    </row>
    <row r="43" spans="1:21" s="12" customFormat="1" x14ac:dyDescent="0.25">
      <c r="A43" s="200" t="s">
        <v>1146</v>
      </c>
      <c r="B43" s="59">
        <v>12.79</v>
      </c>
      <c r="C43" s="59">
        <v>98.66</v>
      </c>
      <c r="D43" s="59">
        <v>64.7</v>
      </c>
      <c r="E43" s="59">
        <v>3.13</v>
      </c>
      <c r="F43" s="59">
        <v>3.24</v>
      </c>
      <c r="G43" s="59">
        <v>63.61</v>
      </c>
      <c r="H43" s="59">
        <v>22.66</v>
      </c>
      <c r="I43" s="59">
        <v>0.55000000000000004</v>
      </c>
      <c r="J43" s="59">
        <v>0.89</v>
      </c>
      <c r="K43" s="59">
        <v>33.340000000000003</v>
      </c>
      <c r="L43" s="59">
        <v>29.07</v>
      </c>
      <c r="M43" s="59">
        <v>33.979999999999997</v>
      </c>
      <c r="N43" s="59">
        <v>446.9</v>
      </c>
      <c r="O43" s="59">
        <v>0</v>
      </c>
      <c r="P43" s="59">
        <v>0.76</v>
      </c>
      <c r="Q43" s="59">
        <v>29.89</v>
      </c>
      <c r="R43" s="197"/>
      <c r="S43" s="197"/>
      <c r="T43" s="197"/>
      <c r="U43" s="197"/>
    </row>
    <row r="44" spans="1:21" s="12" customFormat="1" x14ac:dyDescent="0.25">
      <c r="A44" s="200" t="s">
        <v>1147</v>
      </c>
      <c r="B44" s="59">
        <v>12.81</v>
      </c>
      <c r="C44" s="59">
        <v>100.14</v>
      </c>
      <c r="D44" s="59">
        <v>65.540000000000006</v>
      </c>
      <c r="E44" s="59">
        <v>3.5</v>
      </c>
      <c r="F44" s="59">
        <v>3.2</v>
      </c>
      <c r="G44" s="59">
        <v>51.35</v>
      </c>
      <c r="H44" s="59">
        <v>21.53</v>
      </c>
      <c r="I44" s="59">
        <v>0.55000000000000004</v>
      </c>
      <c r="J44" s="59">
        <v>0.5</v>
      </c>
      <c r="K44" s="59">
        <v>79.680000000000007</v>
      </c>
      <c r="L44" s="59">
        <v>28.96</v>
      </c>
      <c r="M44" s="59">
        <v>34.630000000000003</v>
      </c>
      <c r="N44" s="59">
        <v>499.3</v>
      </c>
      <c r="O44" s="59">
        <v>0</v>
      </c>
      <c r="P44" s="59">
        <v>0.77</v>
      </c>
      <c r="Q44" s="59">
        <v>30.34</v>
      </c>
      <c r="R44" s="197"/>
      <c r="S44" s="197"/>
      <c r="T44" s="197"/>
      <c r="U44" s="197"/>
    </row>
    <row r="45" spans="1:21" s="12" customFormat="1" x14ac:dyDescent="0.25">
      <c r="A45" s="200" t="s">
        <v>1148</v>
      </c>
      <c r="B45" s="59">
        <v>12.58</v>
      </c>
      <c r="C45" s="59">
        <v>101.72</v>
      </c>
      <c r="D45" s="59">
        <v>66.23</v>
      </c>
      <c r="E45" s="59">
        <v>3.84</v>
      </c>
      <c r="F45" s="59">
        <v>3.22</v>
      </c>
      <c r="G45" s="59">
        <v>50.78</v>
      </c>
      <c r="H45" s="59">
        <v>21.48</v>
      </c>
      <c r="I45" s="59">
        <v>0.55000000000000004</v>
      </c>
      <c r="J45" s="59">
        <v>0.6</v>
      </c>
      <c r="K45" s="59">
        <v>68.319999999999993</v>
      </c>
      <c r="L45" s="59">
        <v>29.3</v>
      </c>
      <c r="M45" s="59">
        <v>33.51</v>
      </c>
      <c r="N45" s="59">
        <v>555.70000000000005</v>
      </c>
      <c r="O45" s="59">
        <v>0</v>
      </c>
      <c r="P45" s="59">
        <v>0.78</v>
      </c>
      <c r="Q45" s="59">
        <v>31.3</v>
      </c>
      <c r="R45" s="197"/>
      <c r="S45" s="197"/>
      <c r="T45" s="197"/>
      <c r="U45" s="197"/>
    </row>
    <row r="46" spans="1:21" s="12" customFormat="1" x14ac:dyDescent="0.25">
      <c r="A46" s="200" t="s">
        <v>1149</v>
      </c>
      <c r="B46" s="59">
        <v>11.61</v>
      </c>
      <c r="C46" s="59">
        <v>102.98</v>
      </c>
      <c r="D46" s="59">
        <v>66.14</v>
      </c>
      <c r="E46" s="59">
        <v>3.83</v>
      </c>
      <c r="F46" s="59">
        <v>3.2</v>
      </c>
      <c r="G46" s="59">
        <v>50.78</v>
      </c>
      <c r="H46" s="59">
        <v>21.48</v>
      </c>
      <c r="I46" s="59">
        <v>0.56000000000000005</v>
      </c>
      <c r="J46" s="59">
        <v>0.67</v>
      </c>
      <c r="K46" s="59">
        <v>108.72</v>
      </c>
      <c r="L46" s="59">
        <v>29.3</v>
      </c>
      <c r="M46" s="59">
        <v>33.75</v>
      </c>
      <c r="N46" s="59">
        <v>604.6</v>
      </c>
      <c r="O46" s="59">
        <v>0</v>
      </c>
      <c r="P46" s="59">
        <v>0.78</v>
      </c>
      <c r="Q46" s="59">
        <v>31.72</v>
      </c>
      <c r="R46" s="197"/>
      <c r="S46" s="197"/>
      <c r="T46" s="197"/>
      <c r="U46" s="197"/>
    </row>
    <row r="47" spans="1:21" s="12" customFormat="1" x14ac:dyDescent="0.25">
      <c r="A47" s="200" t="s">
        <v>1150</v>
      </c>
      <c r="B47" s="59">
        <v>10.38</v>
      </c>
      <c r="C47" s="59">
        <v>104.42</v>
      </c>
      <c r="D47" s="59">
        <v>65.95</v>
      </c>
      <c r="E47" s="59">
        <v>4.0599999999999996</v>
      </c>
      <c r="F47" s="59">
        <v>3.14</v>
      </c>
      <c r="G47" s="59">
        <v>50.78</v>
      </c>
      <c r="H47" s="59">
        <v>21.48</v>
      </c>
      <c r="I47" s="59">
        <v>0.56000000000000005</v>
      </c>
      <c r="J47" s="59">
        <v>0.89</v>
      </c>
      <c r="K47" s="59">
        <v>41.18</v>
      </c>
      <c r="L47" s="59">
        <v>31.46</v>
      </c>
      <c r="M47" s="59">
        <v>29.87</v>
      </c>
      <c r="N47" s="59">
        <v>646.1</v>
      </c>
      <c r="O47" s="59">
        <v>0</v>
      </c>
      <c r="P47" s="59">
        <v>0.78</v>
      </c>
      <c r="Q47" s="59">
        <v>31.91</v>
      </c>
      <c r="R47" s="197"/>
      <c r="S47" s="197"/>
      <c r="T47" s="197"/>
      <c r="U47" s="197"/>
    </row>
    <row r="48" spans="1:21" s="12" customFormat="1" x14ac:dyDescent="0.25">
      <c r="A48" s="200" t="s">
        <v>1151</v>
      </c>
      <c r="B48" s="59">
        <v>8.9499999999999993</v>
      </c>
      <c r="C48" s="59">
        <v>106.25</v>
      </c>
      <c r="D48" s="59">
        <v>65.81</v>
      </c>
      <c r="E48" s="59">
        <v>4.0599999999999996</v>
      </c>
      <c r="F48" s="59">
        <v>3.14</v>
      </c>
      <c r="G48" s="59">
        <v>67.77</v>
      </c>
      <c r="H48" s="59">
        <v>24.22</v>
      </c>
      <c r="I48" s="59">
        <v>0.56000000000000005</v>
      </c>
      <c r="J48" s="59">
        <v>1.23</v>
      </c>
      <c r="K48" s="59">
        <v>115.45</v>
      </c>
      <c r="L48" s="59">
        <v>31.11</v>
      </c>
      <c r="M48" s="59">
        <v>30.21</v>
      </c>
      <c r="N48" s="59">
        <v>695.1</v>
      </c>
      <c r="O48" s="59">
        <v>0</v>
      </c>
      <c r="P48" s="59">
        <v>0.79</v>
      </c>
      <c r="Q48" s="59">
        <v>32.06</v>
      </c>
      <c r="R48" s="197"/>
      <c r="S48" s="197"/>
      <c r="T48" s="197"/>
      <c r="U48" s="197"/>
    </row>
    <row r="49" spans="1:21" s="12" customFormat="1" x14ac:dyDescent="0.25">
      <c r="A49" s="200" t="s">
        <v>1152</v>
      </c>
      <c r="B49" s="59">
        <v>6.87</v>
      </c>
      <c r="C49" s="59">
        <v>106.34</v>
      </c>
      <c r="D49" s="59">
        <v>64.19</v>
      </c>
      <c r="E49" s="59">
        <v>3.31</v>
      </c>
      <c r="F49" s="59">
        <v>3.16</v>
      </c>
      <c r="G49" s="59">
        <v>68.56</v>
      </c>
      <c r="H49" s="59">
        <v>24.35</v>
      </c>
      <c r="I49" s="59">
        <v>0.56000000000000005</v>
      </c>
      <c r="J49" s="59">
        <v>1.58</v>
      </c>
      <c r="K49" s="59">
        <v>123.54</v>
      </c>
      <c r="L49" s="59">
        <v>29.17</v>
      </c>
      <c r="M49" s="59">
        <v>33.5</v>
      </c>
      <c r="N49" s="59">
        <v>762.4</v>
      </c>
      <c r="O49" s="59">
        <v>0</v>
      </c>
      <c r="P49" s="59">
        <v>0.79</v>
      </c>
      <c r="Q49" s="59">
        <v>32.1</v>
      </c>
      <c r="R49" s="197"/>
      <c r="S49" s="197"/>
      <c r="T49" s="197"/>
      <c r="U49" s="197"/>
    </row>
    <row r="50" spans="1:21" s="12" customFormat="1" x14ac:dyDescent="0.25">
      <c r="A50" s="200" t="s">
        <v>1153</v>
      </c>
      <c r="B50" s="59">
        <v>4.5599999999999996</v>
      </c>
      <c r="C50" s="59">
        <v>102.36</v>
      </c>
      <c r="D50" s="59">
        <v>60.14</v>
      </c>
      <c r="E50" s="59">
        <v>4.07</v>
      </c>
      <c r="F50" s="59">
        <v>4.32</v>
      </c>
      <c r="G50" s="59">
        <v>68.56</v>
      </c>
      <c r="H50" s="59">
        <v>24.35</v>
      </c>
      <c r="I50" s="59">
        <v>0.56000000000000005</v>
      </c>
      <c r="J50" s="59">
        <v>0.85</v>
      </c>
      <c r="K50" s="59">
        <v>116.13</v>
      </c>
      <c r="L50" s="59">
        <v>31.21</v>
      </c>
      <c r="M50" s="59">
        <v>30.2</v>
      </c>
      <c r="N50" s="59">
        <v>755</v>
      </c>
      <c r="O50" s="59">
        <v>0</v>
      </c>
      <c r="P50" s="59">
        <v>0.78</v>
      </c>
      <c r="Q50" s="59">
        <v>30.76</v>
      </c>
      <c r="R50" s="197"/>
      <c r="S50" s="197"/>
      <c r="T50" s="197"/>
      <c r="U50" s="197"/>
    </row>
    <row r="51" spans="1:21" s="12" customFormat="1" x14ac:dyDescent="0.25">
      <c r="A51" s="200" t="s">
        <v>1154</v>
      </c>
      <c r="B51" s="59">
        <v>0.74</v>
      </c>
      <c r="C51" s="59">
        <v>46.37</v>
      </c>
      <c r="D51" s="59">
        <v>25.62</v>
      </c>
      <c r="E51" s="59">
        <v>11.46</v>
      </c>
      <c r="F51" s="59">
        <v>17.21</v>
      </c>
      <c r="G51" s="59">
        <v>68.56</v>
      </c>
      <c r="H51" s="59">
        <v>24.35</v>
      </c>
      <c r="I51" s="59">
        <v>0.56000000000000005</v>
      </c>
      <c r="J51" s="59">
        <v>1.63</v>
      </c>
      <c r="K51" s="59">
        <v>127.18</v>
      </c>
      <c r="L51" s="59">
        <v>30.1</v>
      </c>
      <c r="M51" s="59">
        <v>31.12</v>
      </c>
      <c r="N51" s="59">
        <v>793</v>
      </c>
      <c r="O51" s="59">
        <v>0</v>
      </c>
      <c r="P51" s="59">
        <v>0.59</v>
      </c>
      <c r="Q51" s="59">
        <v>21.44</v>
      </c>
      <c r="R51" s="197"/>
      <c r="S51" s="197"/>
      <c r="T51" s="197"/>
      <c r="U51" s="197"/>
    </row>
    <row r="52" spans="1:21" s="12" customFormat="1" x14ac:dyDescent="0.25">
      <c r="A52" s="200" t="s">
        <v>1155</v>
      </c>
      <c r="B52" s="59">
        <v>1.32</v>
      </c>
      <c r="C52" s="59">
        <v>45.81</v>
      </c>
      <c r="D52" s="59">
        <v>25.38</v>
      </c>
      <c r="E52" s="59">
        <v>6.53</v>
      </c>
      <c r="F52" s="59">
        <v>11.83</v>
      </c>
      <c r="G52" s="59">
        <v>59.95</v>
      </c>
      <c r="H52" s="59">
        <v>24.28</v>
      </c>
      <c r="I52" s="59">
        <v>0.52</v>
      </c>
      <c r="J52" s="59">
        <v>0.72</v>
      </c>
      <c r="K52" s="59">
        <v>83.3</v>
      </c>
      <c r="L52" s="59">
        <v>31.61</v>
      </c>
      <c r="M52" s="59">
        <v>28.28</v>
      </c>
      <c r="N52" s="59">
        <v>802.9</v>
      </c>
      <c r="O52" s="59">
        <v>0</v>
      </c>
      <c r="P52" s="59">
        <v>0.62</v>
      </c>
      <c r="Q52" s="59">
        <v>18.420000000000002</v>
      </c>
      <c r="R52" s="197"/>
      <c r="S52" s="197"/>
      <c r="T52" s="197"/>
      <c r="U52" s="197"/>
    </row>
    <row r="53" spans="1:21" s="12" customFormat="1" x14ac:dyDescent="0.25">
      <c r="A53" s="200" t="s">
        <v>1156</v>
      </c>
      <c r="B53" s="59">
        <v>1.69</v>
      </c>
      <c r="C53" s="59">
        <v>51.61</v>
      </c>
      <c r="D53" s="59">
        <v>28.87</v>
      </c>
      <c r="E53" s="59">
        <v>4.1399999999999997</v>
      </c>
      <c r="F53" s="59">
        <v>7.88</v>
      </c>
      <c r="G53" s="59">
        <v>59.55</v>
      </c>
      <c r="H53" s="59">
        <v>24.27</v>
      </c>
      <c r="I53" s="59">
        <v>0.47</v>
      </c>
      <c r="J53" s="59">
        <v>1.07</v>
      </c>
      <c r="K53" s="59">
        <v>41.41</v>
      </c>
      <c r="L53" s="59">
        <v>35.46</v>
      </c>
      <c r="M53" s="59">
        <v>22.32</v>
      </c>
      <c r="N53" s="59">
        <v>816.3</v>
      </c>
      <c r="O53" s="59">
        <v>0</v>
      </c>
      <c r="P53" s="59">
        <v>0.67</v>
      </c>
      <c r="Q53" s="59">
        <v>17.87</v>
      </c>
      <c r="R53" s="197"/>
      <c r="S53" s="197"/>
      <c r="T53" s="197"/>
      <c r="U53" s="197"/>
    </row>
    <row r="54" spans="1:21" s="12" customFormat="1" x14ac:dyDescent="0.25">
      <c r="A54" s="200" t="s">
        <v>1157</v>
      </c>
      <c r="B54" s="59">
        <v>2.21</v>
      </c>
      <c r="C54" s="59">
        <v>59.34</v>
      </c>
      <c r="D54" s="59">
        <v>33.549999999999997</v>
      </c>
      <c r="E54" s="59">
        <v>3.2</v>
      </c>
      <c r="F54" s="59">
        <v>4.9800000000000004</v>
      </c>
      <c r="G54" s="59">
        <v>59.55</v>
      </c>
      <c r="H54" s="59">
        <v>24.27</v>
      </c>
      <c r="I54" s="59">
        <v>0.45</v>
      </c>
      <c r="J54" s="59">
        <v>0.96</v>
      </c>
      <c r="K54" s="59">
        <v>57.86</v>
      </c>
      <c r="L54" s="59">
        <v>34.54</v>
      </c>
      <c r="M54" s="59">
        <v>22.75</v>
      </c>
      <c r="N54" s="59">
        <v>851.9</v>
      </c>
      <c r="O54" s="59">
        <v>0</v>
      </c>
      <c r="P54" s="59">
        <v>0.69</v>
      </c>
      <c r="Q54" s="59">
        <v>18.84</v>
      </c>
      <c r="R54" s="197"/>
      <c r="S54" s="197"/>
      <c r="T54" s="197"/>
      <c r="U54" s="197"/>
    </row>
    <row r="55" spans="1:21" s="12" customFormat="1" x14ac:dyDescent="0.25">
      <c r="A55" s="200" t="s">
        <v>1158</v>
      </c>
      <c r="B55" s="59">
        <v>2.74</v>
      </c>
      <c r="C55" s="59">
        <v>64.58</v>
      </c>
      <c r="D55" s="59">
        <v>36.880000000000003</v>
      </c>
      <c r="E55" s="59">
        <v>2.84</v>
      </c>
      <c r="F55" s="59">
        <v>4.49</v>
      </c>
      <c r="G55" s="59">
        <v>59.55</v>
      </c>
      <c r="H55" s="59">
        <v>24.27</v>
      </c>
      <c r="I55" s="59">
        <v>0.46</v>
      </c>
      <c r="J55" s="59">
        <v>0.74</v>
      </c>
      <c r="K55" s="59">
        <v>55.17</v>
      </c>
      <c r="L55" s="59">
        <v>35.590000000000003</v>
      </c>
      <c r="M55" s="59">
        <v>21.11</v>
      </c>
      <c r="N55" s="59">
        <v>860.3</v>
      </c>
      <c r="O55" s="59">
        <v>0</v>
      </c>
      <c r="P55" s="59">
        <v>0.65</v>
      </c>
      <c r="Q55" s="59">
        <v>19.68</v>
      </c>
      <c r="R55" s="197"/>
      <c r="S55" s="197"/>
      <c r="T55" s="197"/>
      <c r="U55" s="197"/>
    </row>
    <row r="56" spans="1:21" s="12" customFormat="1" x14ac:dyDescent="0.25">
      <c r="A56" s="200" t="s">
        <v>1159</v>
      </c>
      <c r="B56" s="59">
        <v>2.88</v>
      </c>
      <c r="C56" s="59">
        <v>68.84</v>
      </c>
      <c r="D56" s="59">
        <v>39.340000000000003</v>
      </c>
      <c r="E56" s="59">
        <v>2.02</v>
      </c>
      <c r="F56" s="59">
        <v>4.9800000000000004</v>
      </c>
      <c r="G56" s="59">
        <v>60.3</v>
      </c>
      <c r="H56" s="59">
        <v>24.96</v>
      </c>
      <c r="I56" s="59">
        <v>0.46</v>
      </c>
      <c r="J56" s="59">
        <v>1.25</v>
      </c>
      <c r="K56" s="59">
        <v>41.56</v>
      </c>
      <c r="L56" s="59">
        <v>36.880000000000003</v>
      </c>
      <c r="M56" s="59">
        <v>20.14</v>
      </c>
      <c r="N56" s="59">
        <v>849</v>
      </c>
      <c r="O56" s="59">
        <v>0</v>
      </c>
      <c r="P56" s="59">
        <v>0.67</v>
      </c>
      <c r="Q56" s="59">
        <v>20.75</v>
      </c>
      <c r="R56" s="197"/>
      <c r="S56" s="197"/>
      <c r="T56" s="197"/>
      <c r="U56" s="197"/>
    </row>
    <row r="57" spans="1:21" s="12" customFormat="1" x14ac:dyDescent="0.25">
      <c r="A57" s="200" t="s">
        <v>1160</v>
      </c>
      <c r="B57" s="59">
        <v>2.52</v>
      </c>
      <c r="C57" s="59">
        <v>71.150000000000006</v>
      </c>
      <c r="D57" s="59">
        <v>40.32</v>
      </c>
      <c r="E57" s="59">
        <v>3.21</v>
      </c>
      <c r="F57" s="59">
        <v>5.21</v>
      </c>
      <c r="G57" s="59">
        <v>60.33</v>
      </c>
      <c r="H57" s="59">
        <v>24.99</v>
      </c>
      <c r="I57" s="59">
        <v>0.47</v>
      </c>
      <c r="J57" s="59">
        <v>0.82</v>
      </c>
      <c r="K57" s="59">
        <v>34.97</v>
      </c>
      <c r="L57" s="59">
        <v>37.869999999999997</v>
      </c>
      <c r="M57" s="59">
        <v>18.95</v>
      </c>
      <c r="N57" s="59">
        <v>847.4</v>
      </c>
      <c r="O57" s="59">
        <v>0</v>
      </c>
      <c r="P57" s="59">
        <v>0.67</v>
      </c>
      <c r="Q57" s="59">
        <v>21.17</v>
      </c>
      <c r="R57" s="197"/>
      <c r="S57" s="197"/>
      <c r="T57" s="197"/>
      <c r="U57" s="197"/>
    </row>
    <row r="58" spans="1:21" s="12" customFormat="1" x14ac:dyDescent="0.25">
      <c r="A58" s="200" t="s">
        <v>1161</v>
      </c>
      <c r="B58" s="59">
        <v>2.66</v>
      </c>
      <c r="C58" s="59">
        <v>73.39</v>
      </c>
      <c r="D58" s="59">
        <v>41.68</v>
      </c>
      <c r="E58" s="59">
        <v>3.54</v>
      </c>
      <c r="F58" s="59">
        <v>4.0199999999999996</v>
      </c>
      <c r="G58" s="59">
        <v>60.33</v>
      </c>
      <c r="H58" s="59">
        <v>24.99</v>
      </c>
      <c r="I58" s="59">
        <v>0.49</v>
      </c>
      <c r="J58" s="59">
        <v>0.79</v>
      </c>
      <c r="K58" s="59">
        <v>35.840000000000003</v>
      </c>
      <c r="L58" s="59">
        <v>36.6</v>
      </c>
      <c r="M58" s="59">
        <v>21.38</v>
      </c>
      <c r="N58" s="59">
        <v>795</v>
      </c>
      <c r="O58" s="59">
        <v>0</v>
      </c>
      <c r="P58" s="59">
        <v>0.7</v>
      </c>
      <c r="Q58" s="59">
        <v>22.44</v>
      </c>
      <c r="R58" s="197"/>
      <c r="S58" s="197"/>
      <c r="T58" s="197"/>
      <c r="U58" s="197"/>
    </row>
    <row r="59" spans="1:21" s="12" customFormat="1" x14ac:dyDescent="0.25">
      <c r="A59" s="200" t="s">
        <v>1162</v>
      </c>
      <c r="B59" s="59">
        <v>3.19</v>
      </c>
      <c r="C59" s="59">
        <v>76.63</v>
      </c>
      <c r="D59" s="59">
        <v>43.89</v>
      </c>
      <c r="E59" s="59">
        <v>3.75</v>
      </c>
      <c r="F59" s="59">
        <v>4.6100000000000003</v>
      </c>
      <c r="G59" s="59">
        <v>60.33</v>
      </c>
      <c r="H59" s="59">
        <v>24.99</v>
      </c>
      <c r="I59" s="59">
        <v>0.51</v>
      </c>
      <c r="J59" s="59">
        <v>1.48</v>
      </c>
      <c r="K59" s="59">
        <v>33.17</v>
      </c>
      <c r="L59" s="59">
        <v>37.31</v>
      </c>
      <c r="M59" s="59">
        <v>20.63</v>
      </c>
      <c r="N59" s="59">
        <v>785.6</v>
      </c>
      <c r="O59" s="59">
        <v>0</v>
      </c>
      <c r="P59" s="59">
        <v>0.72</v>
      </c>
      <c r="Q59" s="59">
        <v>24.55</v>
      </c>
      <c r="R59" s="197"/>
      <c r="S59" s="197"/>
      <c r="T59" s="197"/>
      <c r="U59" s="197"/>
    </row>
    <row r="60" spans="1:21" s="12" customFormat="1" x14ac:dyDescent="0.25">
      <c r="A60" s="200" t="s">
        <v>1163</v>
      </c>
      <c r="B60" s="59">
        <v>3.24</v>
      </c>
      <c r="C60" s="59">
        <v>79.48</v>
      </c>
      <c r="D60" s="59">
        <v>45.5</v>
      </c>
      <c r="E60" s="59">
        <v>5.0999999999999996</v>
      </c>
      <c r="F60" s="59">
        <v>5.76</v>
      </c>
      <c r="G60" s="59">
        <v>67.56</v>
      </c>
      <c r="H60" s="59">
        <v>25</v>
      </c>
      <c r="I60" s="59">
        <v>0.52</v>
      </c>
      <c r="J60" s="59">
        <v>1.37</v>
      </c>
      <c r="K60" s="59">
        <v>31.27</v>
      </c>
      <c r="L60" s="59">
        <v>37.729999999999997</v>
      </c>
      <c r="M60" s="59">
        <v>20.47</v>
      </c>
      <c r="N60" s="59">
        <v>767.6</v>
      </c>
      <c r="O60" s="59">
        <v>0</v>
      </c>
      <c r="P60" s="59">
        <v>0.76</v>
      </c>
      <c r="Q60" s="59">
        <v>24.56</v>
      </c>
      <c r="R60" s="197"/>
      <c r="S60" s="197"/>
      <c r="T60" s="197"/>
      <c r="U60" s="197"/>
    </row>
    <row r="61" spans="1:21" s="12" customFormat="1" x14ac:dyDescent="0.25">
      <c r="A61" s="200" t="s">
        <v>1164</v>
      </c>
      <c r="B61" s="59">
        <v>2.64</v>
      </c>
      <c r="C61" s="59">
        <v>83.54</v>
      </c>
      <c r="D61" s="59">
        <v>47.26</v>
      </c>
      <c r="E61" s="59">
        <v>5.23</v>
      </c>
      <c r="F61" s="59">
        <v>6.04</v>
      </c>
      <c r="G61" s="59">
        <v>67.900000000000006</v>
      </c>
      <c r="H61" s="59">
        <v>25</v>
      </c>
      <c r="I61" s="59">
        <v>0.55000000000000004</v>
      </c>
      <c r="J61" s="59">
        <v>1.1599999999999999</v>
      </c>
      <c r="K61" s="59">
        <v>37.31</v>
      </c>
      <c r="L61" s="59">
        <v>37.130000000000003</v>
      </c>
      <c r="M61" s="59">
        <v>20.440000000000001</v>
      </c>
      <c r="N61" s="59">
        <v>734.7</v>
      </c>
      <c r="O61" s="59">
        <v>0</v>
      </c>
      <c r="P61" s="59">
        <v>0.74</v>
      </c>
      <c r="Q61" s="59">
        <v>24.2</v>
      </c>
      <c r="R61" s="197"/>
      <c r="S61" s="197"/>
      <c r="T61" s="197"/>
      <c r="U61" s="197"/>
    </row>
    <row r="62" spans="1:21" s="12" customFormat="1" x14ac:dyDescent="0.25">
      <c r="A62" s="200" t="s">
        <v>1165</v>
      </c>
      <c r="B62" s="59">
        <v>2.2999999999999998</v>
      </c>
      <c r="C62" s="59">
        <v>85.9</v>
      </c>
      <c r="D62" s="59">
        <v>48.29</v>
      </c>
      <c r="E62" s="59">
        <v>3.92</v>
      </c>
      <c r="F62" s="59">
        <v>5.21</v>
      </c>
      <c r="G62" s="59">
        <v>67.900000000000006</v>
      </c>
      <c r="H62" s="59">
        <v>25</v>
      </c>
      <c r="I62" s="59">
        <v>0.52</v>
      </c>
      <c r="J62" s="59">
        <v>1.04</v>
      </c>
      <c r="K62" s="59">
        <v>32.93</v>
      </c>
      <c r="L62" s="59">
        <v>37.69</v>
      </c>
      <c r="M62" s="59">
        <v>19.149999999999999</v>
      </c>
      <c r="N62" s="59">
        <v>688.3</v>
      </c>
      <c r="O62" s="59">
        <v>0</v>
      </c>
      <c r="P62" s="59">
        <v>0.78</v>
      </c>
      <c r="Q62" s="59">
        <v>24.35</v>
      </c>
      <c r="R62" s="197"/>
      <c r="S62" s="197"/>
      <c r="T62" s="197"/>
      <c r="U62" s="197"/>
    </row>
    <row r="63" spans="1:21" s="12" customFormat="1" x14ac:dyDescent="0.25">
      <c r="A63" s="200" t="s">
        <v>1166</v>
      </c>
      <c r="B63" s="59">
        <v>2.6</v>
      </c>
      <c r="C63" s="59">
        <v>87</v>
      </c>
      <c r="D63" s="59">
        <v>49.14</v>
      </c>
      <c r="E63" s="59">
        <v>4.93</v>
      </c>
      <c r="F63" s="59">
        <v>5</v>
      </c>
      <c r="G63" s="59">
        <v>67.900000000000006</v>
      </c>
      <c r="H63" s="59">
        <v>25</v>
      </c>
      <c r="I63" s="59">
        <v>0.49</v>
      </c>
      <c r="J63" s="59">
        <v>1.19</v>
      </c>
      <c r="K63" s="59">
        <v>26.01</v>
      </c>
      <c r="L63" s="59">
        <v>37.61</v>
      </c>
      <c r="M63" s="59">
        <v>19.13</v>
      </c>
      <c r="N63" s="59">
        <v>670</v>
      </c>
      <c r="O63" s="59">
        <v>0</v>
      </c>
      <c r="P63" s="59">
        <v>0.79</v>
      </c>
      <c r="Q63" s="59">
        <v>24.78</v>
      </c>
      <c r="R63" s="197"/>
      <c r="S63" s="197"/>
      <c r="T63" s="197"/>
      <c r="U63" s="197"/>
    </row>
    <row r="64" spans="1:21" s="12" customFormat="1" x14ac:dyDescent="0.25">
      <c r="A64" s="200" t="s">
        <v>1167</v>
      </c>
      <c r="B64" s="59">
        <v>2.46</v>
      </c>
      <c r="C64" s="59">
        <v>87.26</v>
      </c>
      <c r="D64" s="59">
        <v>49.16</v>
      </c>
      <c r="E64" s="59">
        <v>4.2300000000000004</v>
      </c>
      <c r="F64" s="59">
        <v>5.14</v>
      </c>
      <c r="G64" s="59">
        <v>65.06</v>
      </c>
      <c r="H64" s="59">
        <v>27.13</v>
      </c>
      <c r="I64" s="59">
        <v>0.49</v>
      </c>
      <c r="J64" s="59">
        <v>1.18</v>
      </c>
      <c r="K64" s="59">
        <v>32.46</v>
      </c>
      <c r="L64" s="59">
        <v>37.5</v>
      </c>
      <c r="M64" s="59">
        <v>19.14</v>
      </c>
      <c r="N64" s="59">
        <v>644.6</v>
      </c>
      <c r="O64" s="59">
        <v>0</v>
      </c>
      <c r="P64" s="59">
        <v>0.78</v>
      </c>
      <c r="Q64" s="59">
        <v>25.11</v>
      </c>
      <c r="R64" s="197"/>
      <c r="S64" s="197"/>
      <c r="T64" s="197"/>
      <c r="U64" s="197"/>
    </row>
    <row r="65" spans="1:21" s="12" customFormat="1" x14ac:dyDescent="0.25">
      <c r="A65" s="200" t="s">
        <v>1168</v>
      </c>
      <c r="B65" s="59">
        <v>2.59</v>
      </c>
      <c r="C65" s="59">
        <v>86.44</v>
      </c>
      <c r="D65" s="59">
        <v>48.82</v>
      </c>
      <c r="E65" s="59">
        <v>3.9</v>
      </c>
      <c r="F65" s="59">
        <v>4.6399999999999997</v>
      </c>
      <c r="G65" s="59">
        <v>64.930000000000007</v>
      </c>
      <c r="H65" s="59">
        <v>27.26</v>
      </c>
      <c r="I65" s="59">
        <v>0.52</v>
      </c>
      <c r="J65" s="59">
        <v>1.0900000000000001</v>
      </c>
      <c r="K65" s="59">
        <v>24.94</v>
      </c>
      <c r="L65" s="59">
        <v>38.03</v>
      </c>
      <c r="M65" s="59">
        <v>18.23</v>
      </c>
      <c r="N65" s="59">
        <v>628.70000000000005</v>
      </c>
      <c r="O65" s="59">
        <v>0</v>
      </c>
      <c r="P65" s="59">
        <v>0.75</v>
      </c>
      <c r="Q65" s="59">
        <v>25.26</v>
      </c>
      <c r="R65" s="197"/>
      <c r="S65" s="197"/>
      <c r="T65" s="197"/>
      <c r="U65" s="197"/>
    </row>
    <row r="66" spans="1:21" s="12" customFormat="1" x14ac:dyDescent="0.25">
      <c r="A66" s="200" t="s">
        <v>1169</v>
      </c>
      <c r="B66" s="59">
        <v>3.07</v>
      </c>
      <c r="C66" s="59">
        <v>85.79</v>
      </c>
      <c r="D66" s="59">
        <v>48.85</v>
      </c>
      <c r="E66" s="59">
        <v>3.4</v>
      </c>
      <c r="F66" s="59">
        <v>4.6399999999999997</v>
      </c>
      <c r="G66" s="59">
        <v>64.930000000000007</v>
      </c>
      <c r="H66" s="59">
        <v>27.26</v>
      </c>
      <c r="I66" s="59">
        <v>0.53</v>
      </c>
      <c r="J66" s="59">
        <v>0.85</v>
      </c>
      <c r="K66" s="59">
        <v>29.02</v>
      </c>
      <c r="L66" s="59">
        <v>37.36</v>
      </c>
      <c r="M66" s="59">
        <v>18.93</v>
      </c>
      <c r="N66" s="59">
        <v>597.29999999999995</v>
      </c>
      <c r="O66" s="59">
        <v>0</v>
      </c>
      <c r="P66" s="59">
        <v>0.7</v>
      </c>
      <c r="Q66" s="59">
        <v>25.47</v>
      </c>
      <c r="R66" s="197"/>
      <c r="S66" s="197"/>
      <c r="T66" s="197"/>
      <c r="U66" s="197"/>
    </row>
    <row r="67" spans="1:21" s="12" customFormat="1" x14ac:dyDescent="0.25">
      <c r="A67" s="200" t="s">
        <v>1170</v>
      </c>
      <c r="B67" s="59">
        <v>3.65</v>
      </c>
      <c r="C67" s="59">
        <v>85.5</v>
      </c>
      <c r="D67" s="59">
        <v>49.15</v>
      </c>
      <c r="E67" s="59">
        <v>3.62</v>
      </c>
      <c r="F67" s="59">
        <v>3.41</v>
      </c>
      <c r="G67" s="59">
        <v>64.930000000000007</v>
      </c>
      <c r="H67" s="59">
        <v>27.26</v>
      </c>
      <c r="I67" s="59">
        <v>0.49</v>
      </c>
      <c r="J67" s="59">
        <v>0.5</v>
      </c>
      <c r="K67" s="59">
        <v>16.38</v>
      </c>
      <c r="L67" s="59">
        <v>37.42</v>
      </c>
      <c r="M67" s="59">
        <v>17.260000000000002</v>
      </c>
      <c r="N67" s="59">
        <v>572.9</v>
      </c>
      <c r="O67" s="59">
        <v>0</v>
      </c>
      <c r="P67" s="59">
        <v>0.75</v>
      </c>
      <c r="Q67" s="59">
        <v>25.44</v>
      </c>
      <c r="R67" s="197"/>
      <c r="S67" s="197"/>
      <c r="T67" s="197"/>
      <c r="U67" s="197"/>
    </row>
    <row r="68" spans="1:21" s="12" customFormat="1" x14ac:dyDescent="0.25">
      <c r="A68" s="200" t="s">
        <v>1171</v>
      </c>
      <c r="B68" s="59">
        <v>3.8</v>
      </c>
      <c r="C68" s="59">
        <v>84.67</v>
      </c>
      <c r="D68" s="59">
        <v>48.81</v>
      </c>
      <c r="E68" s="59">
        <v>3.03</v>
      </c>
      <c r="F68" s="59">
        <v>5.27</v>
      </c>
      <c r="G68" s="59">
        <v>61.4</v>
      </c>
      <c r="H68" s="59">
        <v>26.45</v>
      </c>
      <c r="I68" s="59">
        <v>0.49</v>
      </c>
      <c r="J68" s="59">
        <v>0.47</v>
      </c>
      <c r="K68" s="59">
        <v>30.59</v>
      </c>
      <c r="L68" s="59">
        <v>35.42</v>
      </c>
      <c r="M68" s="59">
        <v>18.47</v>
      </c>
      <c r="N68" s="59">
        <v>444.5</v>
      </c>
      <c r="O68" s="59">
        <v>0</v>
      </c>
      <c r="P68" s="59">
        <v>0.64</v>
      </c>
      <c r="Q68" s="59">
        <v>24.96</v>
      </c>
      <c r="R68" s="197"/>
      <c r="S68" s="197"/>
      <c r="T68" s="197"/>
      <c r="U68" s="197"/>
    </row>
    <row r="69" spans="1:21" s="12" customFormat="1" x14ac:dyDescent="0.25">
      <c r="A69" s="200" t="s">
        <v>1172</v>
      </c>
      <c r="B69" s="59">
        <v>3.39</v>
      </c>
      <c r="C69" s="59">
        <v>84.04</v>
      </c>
      <c r="D69" s="59">
        <v>48.14</v>
      </c>
      <c r="E69" s="59">
        <v>3.44</v>
      </c>
      <c r="F69" s="59">
        <v>4.24</v>
      </c>
      <c r="G69" s="59">
        <v>61.24</v>
      </c>
      <c r="H69" s="59">
        <v>26.41</v>
      </c>
      <c r="I69" s="59">
        <v>0.51</v>
      </c>
      <c r="J69" s="59">
        <v>0.62</v>
      </c>
      <c r="K69" s="59">
        <v>22.83</v>
      </c>
      <c r="L69" s="59">
        <v>36.17</v>
      </c>
      <c r="M69" s="59">
        <v>18.45</v>
      </c>
      <c r="N69" s="59">
        <v>471</v>
      </c>
      <c r="O69" s="59">
        <v>0</v>
      </c>
      <c r="P69" s="59">
        <v>0.73</v>
      </c>
      <c r="Q69" s="59">
        <v>25.22</v>
      </c>
      <c r="R69" s="197"/>
      <c r="S69" s="197"/>
      <c r="T69" s="197"/>
      <c r="U69" s="197"/>
    </row>
    <row r="70" spans="1:21" s="12" customFormat="1" x14ac:dyDescent="0.25">
      <c r="A70" s="200" t="s">
        <v>1173</v>
      </c>
      <c r="B70" s="59">
        <v>3.13</v>
      </c>
      <c r="C70" s="59">
        <v>83.55</v>
      </c>
      <c r="D70" s="59">
        <v>47.66</v>
      </c>
      <c r="E70" s="59">
        <v>3.13</v>
      </c>
      <c r="F70" s="59">
        <v>4.22</v>
      </c>
      <c r="G70" s="59">
        <v>61.24</v>
      </c>
      <c r="H70" s="59">
        <v>26.41</v>
      </c>
      <c r="I70" s="59">
        <v>0.51</v>
      </c>
      <c r="J70" s="59">
        <v>0.69</v>
      </c>
      <c r="K70" s="59">
        <v>14.01</v>
      </c>
      <c r="L70" s="59">
        <v>35.99</v>
      </c>
      <c r="M70" s="59">
        <v>18.100000000000001</v>
      </c>
      <c r="N70" s="59">
        <v>394.8</v>
      </c>
      <c r="O70" s="59">
        <v>0</v>
      </c>
      <c r="P70" s="59">
        <v>0.68</v>
      </c>
      <c r="Q70" s="59">
        <v>25.9</v>
      </c>
      <c r="R70" s="197"/>
      <c r="S70" s="197"/>
      <c r="T70" s="197"/>
      <c r="U70" s="197"/>
    </row>
    <row r="71" spans="1:21" s="12" customFormat="1" x14ac:dyDescent="0.25">
      <c r="A71" s="200" t="s">
        <v>1174</v>
      </c>
      <c r="B71" s="59">
        <v>3.35</v>
      </c>
      <c r="C71" s="59">
        <v>83.32</v>
      </c>
      <c r="D71" s="59">
        <v>47.71</v>
      </c>
      <c r="E71" s="59">
        <v>3.05</v>
      </c>
      <c r="F71" s="59">
        <v>4.22</v>
      </c>
      <c r="G71" s="59">
        <v>61.24</v>
      </c>
      <c r="H71" s="59">
        <v>26.41</v>
      </c>
      <c r="I71" s="59">
        <v>0.54</v>
      </c>
      <c r="J71" s="59">
        <v>1.31</v>
      </c>
      <c r="K71" s="59">
        <v>25.33</v>
      </c>
      <c r="L71" s="59">
        <v>35.700000000000003</v>
      </c>
      <c r="M71" s="59">
        <v>18.010000000000002</v>
      </c>
      <c r="N71" s="59">
        <v>313.7</v>
      </c>
      <c r="O71" s="59">
        <v>0</v>
      </c>
      <c r="P71" s="59">
        <v>0.67</v>
      </c>
      <c r="Q71" s="59">
        <v>26.56</v>
      </c>
      <c r="R71" s="197"/>
      <c r="S71" s="197"/>
      <c r="T71" s="197"/>
      <c r="U71" s="197"/>
    </row>
    <row r="72" spans="1:21" s="12" customFormat="1" x14ac:dyDescent="0.25">
      <c r="A72" s="200" t="s">
        <v>1175</v>
      </c>
      <c r="B72" s="59">
        <v>3.71</v>
      </c>
      <c r="C72" s="59">
        <v>83.8</v>
      </c>
      <c r="D72" s="59">
        <v>48.26</v>
      </c>
      <c r="E72" s="59">
        <v>2.74</v>
      </c>
      <c r="F72" s="59">
        <v>3.75</v>
      </c>
      <c r="G72" s="59">
        <v>62.2</v>
      </c>
      <c r="H72" s="59">
        <v>25.65</v>
      </c>
      <c r="I72" s="59">
        <v>0.54</v>
      </c>
      <c r="J72" s="59">
        <v>1.05</v>
      </c>
      <c r="K72" s="59">
        <v>17.55</v>
      </c>
      <c r="L72" s="59">
        <v>35.21</v>
      </c>
      <c r="M72" s="59">
        <v>19.36</v>
      </c>
      <c r="N72" s="59">
        <v>166.1</v>
      </c>
      <c r="O72" s="59">
        <v>0</v>
      </c>
      <c r="P72" s="59">
        <v>0.71</v>
      </c>
      <c r="Q72" s="59">
        <v>26.99</v>
      </c>
      <c r="R72" s="197"/>
      <c r="S72" s="197"/>
      <c r="T72" s="197"/>
      <c r="U72" s="197"/>
    </row>
    <row r="73" spans="1:21" s="12" customFormat="1" x14ac:dyDescent="0.25">
      <c r="A73" s="200" t="s">
        <v>1176</v>
      </c>
      <c r="B73" s="59">
        <v>3.81</v>
      </c>
      <c r="C73" s="59">
        <v>84.73</v>
      </c>
      <c r="D73" s="59">
        <v>48.86</v>
      </c>
      <c r="E73" s="59">
        <v>4.01</v>
      </c>
      <c r="F73" s="59">
        <v>3.9</v>
      </c>
      <c r="G73" s="59">
        <v>62.24</v>
      </c>
      <c r="H73" s="59">
        <v>25.61</v>
      </c>
      <c r="I73" s="59">
        <v>0.53</v>
      </c>
      <c r="J73" s="59">
        <v>0.85</v>
      </c>
      <c r="K73" s="59">
        <v>32.619999999999997</v>
      </c>
      <c r="L73" s="59">
        <v>35.04</v>
      </c>
      <c r="M73" s="59">
        <v>18.559999999999999</v>
      </c>
      <c r="N73" s="59">
        <v>187.2</v>
      </c>
      <c r="O73" s="59">
        <v>0</v>
      </c>
      <c r="P73" s="59">
        <v>0.69</v>
      </c>
      <c r="Q73" s="59">
        <v>28.8</v>
      </c>
      <c r="R73" s="197"/>
      <c r="S73" s="197"/>
      <c r="T73" s="197"/>
      <c r="U73" s="197"/>
    </row>
    <row r="74" spans="1:21" s="12" customFormat="1" x14ac:dyDescent="0.25">
      <c r="A74" s="200" t="s">
        <v>1177</v>
      </c>
      <c r="B74" s="59">
        <v>3.77</v>
      </c>
      <c r="C74" s="59">
        <v>85.48</v>
      </c>
      <c r="D74" s="59">
        <v>49.24</v>
      </c>
      <c r="E74" s="59">
        <v>3.71</v>
      </c>
      <c r="F74" s="59">
        <v>3.74</v>
      </c>
      <c r="G74" s="59">
        <v>62.24</v>
      </c>
      <c r="H74" s="59">
        <v>25.61</v>
      </c>
      <c r="I74" s="59">
        <v>0.56000000000000005</v>
      </c>
      <c r="J74" s="59">
        <v>0.56999999999999995</v>
      </c>
      <c r="K74" s="59">
        <v>31.02</v>
      </c>
      <c r="L74" s="59">
        <v>34.659999999999997</v>
      </c>
      <c r="M74" s="59">
        <v>19.399999999999999</v>
      </c>
      <c r="N74" s="59">
        <v>142.6</v>
      </c>
      <c r="O74" s="59">
        <v>0</v>
      </c>
      <c r="P74" s="59">
        <v>0.75</v>
      </c>
      <c r="Q74" s="59">
        <v>29.75</v>
      </c>
      <c r="R74" s="197"/>
      <c r="S74" s="197"/>
      <c r="T74" s="197"/>
      <c r="U74" s="197"/>
    </row>
    <row r="75" spans="1:21" s="12" customFormat="1" x14ac:dyDescent="0.25">
      <c r="A75" s="200" t="s">
        <v>1178</v>
      </c>
      <c r="B75" s="59">
        <v>3.93</v>
      </c>
      <c r="C75" s="59">
        <v>87.05</v>
      </c>
      <c r="D75" s="59">
        <v>50.23</v>
      </c>
      <c r="E75" s="59">
        <v>3.84</v>
      </c>
      <c r="F75" s="59">
        <v>4.3899999999999997</v>
      </c>
      <c r="G75" s="59">
        <v>62.24</v>
      </c>
      <c r="H75" s="59">
        <v>25.61</v>
      </c>
      <c r="I75" s="59">
        <v>0.57999999999999996</v>
      </c>
      <c r="J75" s="59">
        <v>0.99</v>
      </c>
      <c r="K75" s="59">
        <v>28.05</v>
      </c>
      <c r="L75" s="59">
        <v>33.97</v>
      </c>
      <c r="M75" s="59">
        <v>20.69</v>
      </c>
      <c r="N75" s="59">
        <v>114</v>
      </c>
      <c r="O75" s="59">
        <v>0</v>
      </c>
      <c r="P75" s="59">
        <v>0.76</v>
      </c>
      <c r="Q75" s="59">
        <v>30.24</v>
      </c>
      <c r="R75" s="197"/>
      <c r="S75" s="197"/>
      <c r="T75" s="197"/>
      <c r="U75" s="197"/>
    </row>
    <row r="76" spans="1:21" s="12" customFormat="1" x14ac:dyDescent="0.25">
      <c r="A76" s="200" t="s">
        <v>1179</v>
      </c>
      <c r="B76" s="59">
        <v>3.44</v>
      </c>
      <c r="C76" s="59">
        <v>86.49</v>
      </c>
      <c r="D76" s="59">
        <v>49.53</v>
      </c>
      <c r="E76" s="59">
        <v>3.95</v>
      </c>
      <c r="F76" s="59">
        <v>5.91</v>
      </c>
      <c r="G76" s="59">
        <v>57.86</v>
      </c>
      <c r="H76" s="59">
        <v>23.74</v>
      </c>
      <c r="I76" s="59">
        <v>0.56999999999999995</v>
      </c>
      <c r="J76" s="59">
        <v>1.02</v>
      </c>
      <c r="K76" s="59">
        <v>30.02</v>
      </c>
      <c r="L76" s="59">
        <v>33.18</v>
      </c>
      <c r="M76" s="59">
        <v>21.68</v>
      </c>
      <c r="N76" s="59">
        <v>82.4</v>
      </c>
      <c r="O76" s="59">
        <v>0</v>
      </c>
      <c r="P76" s="59">
        <v>0.73</v>
      </c>
      <c r="Q76" s="59">
        <v>29.23</v>
      </c>
      <c r="R76" s="197"/>
      <c r="S76" s="197"/>
      <c r="T76" s="197"/>
      <c r="U76" s="197"/>
    </row>
    <row r="77" spans="1:21" s="12" customFormat="1" x14ac:dyDescent="0.25">
      <c r="A77" s="200" t="s">
        <v>1180</v>
      </c>
      <c r="B77" s="59">
        <v>2.4300000000000002</v>
      </c>
      <c r="C77" s="59">
        <v>84.06</v>
      </c>
      <c r="D77" s="59">
        <v>47.38</v>
      </c>
      <c r="E77" s="59">
        <v>4.6399999999999997</v>
      </c>
      <c r="F77" s="59">
        <v>6.8</v>
      </c>
      <c r="G77" s="59">
        <v>57.65</v>
      </c>
      <c r="H77" s="59">
        <v>23.66</v>
      </c>
      <c r="I77" s="59">
        <v>0.57999999999999996</v>
      </c>
      <c r="J77" s="59">
        <v>0.9</v>
      </c>
      <c r="K77" s="59">
        <v>19.079999999999998</v>
      </c>
      <c r="L77" s="59">
        <v>32.729999999999997</v>
      </c>
      <c r="M77" s="59">
        <v>21.71</v>
      </c>
      <c r="N77" s="59">
        <v>65.5</v>
      </c>
      <c r="O77" s="59">
        <v>0</v>
      </c>
      <c r="P77" s="59">
        <v>0.81</v>
      </c>
      <c r="Q77" s="59">
        <v>25.73</v>
      </c>
      <c r="R77" s="197"/>
      <c r="S77" s="197"/>
      <c r="T77" s="197"/>
      <c r="U77" s="197"/>
    </row>
    <row r="78" spans="1:21" s="12" customFormat="1" x14ac:dyDescent="0.25">
      <c r="A78" s="200" t="s">
        <v>1181</v>
      </c>
      <c r="B78" s="59">
        <v>2.09</v>
      </c>
      <c r="C78" s="59">
        <v>84.67</v>
      </c>
      <c r="D78" s="59">
        <v>47.44</v>
      </c>
      <c r="E78" s="59">
        <v>4.1399999999999997</v>
      </c>
      <c r="F78" s="59">
        <v>5.26</v>
      </c>
      <c r="G78" s="59">
        <v>57.65</v>
      </c>
      <c r="H78" s="59">
        <v>23.66</v>
      </c>
      <c r="I78" s="59">
        <v>0.55000000000000004</v>
      </c>
      <c r="J78" s="59">
        <v>0.83</v>
      </c>
      <c r="K78" s="59">
        <v>29.19</v>
      </c>
      <c r="L78" s="59">
        <v>32.090000000000003</v>
      </c>
      <c r="M78" s="59">
        <v>22.83</v>
      </c>
      <c r="N78" s="59">
        <v>48.9</v>
      </c>
      <c r="O78" s="59">
        <v>0</v>
      </c>
      <c r="P78" s="59">
        <v>0.82</v>
      </c>
      <c r="Q78" s="59">
        <v>25.66</v>
      </c>
      <c r="R78" s="197"/>
      <c r="S78" s="197"/>
      <c r="T78" s="197"/>
      <c r="U78" s="197"/>
    </row>
    <row r="79" spans="1:21" s="12" customFormat="1" x14ac:dyDescent="0.25">
      <c r="A79" s="200" t="s">
        <v>1182</v>
      </c>
      <c r="B79" s="59">
        <v>2.46</v>
      </c>
      <c r="C79" s="59">
        <v>87.84</v>
      </c>
      <c r="D79" s="59">
        <v>49.49</v>
      </c>
      <c r="E79" s="59">
        <v>3.78</v>
      </c>
      <c r="F79" s="59">
        <v>4.67</v>
      </c>
      <c r="G79" s="59">
        <v>57.65</v>
      </c>
      <c r="H79" s="59">
        <v>23.66</v>
      </c>
      <c r="I79" s="59">
        <v>0.54</v>
      </c>
      <c r="J79" s="59">
        <v>0.66</v>
      </c>
      <c r="K79" s="59">
        <v>27.28</v>
      </c>
      <c r="L79" s="59">
        <v>31.42</v>
      </c>
      <c r="M79" s="59">
        <v>24.31</v>
      </c>
      <c r="N79" s="59">
        <v>31</v>
      </c>
      <c r="O79" s="59">
        <v>0</v>
      </c>
      <c r="P79" s="59">
        <v>1.01</v>
      </c>
      <c r="Q79" s="59">
        <v>25.99</v>
      </c>
      <c r="R79" s="197"/>
      <c r="S79" s="197"/>
      <c r="T79" s="197"/>
      <c r="U79" s="197"/>
    </row>
    <row r="80" spans="1:21" s="12" customFormat="1" x14ac:dyDescent="0.25">
      <c r="A80" s="200" t="s">
        <v>1183</v>
      </c>
      <c r="B80" s="59">
        <v>3.02</v>
      </c>
      <c r="C80" s="59">
        <v>90.33</v>
      </c>
      <c r="D80" s="59">
        <v>51.31</v>
      </c>
      <c r="E80" s="59">
        <v>3.9</v>
      </c>
      <c r="F80" s="59">
        <v>5.16</v>
      </c>
      <c r="G80" s="59">
        <v>51.91</v>
      </c>
      <c r="H80" s="59">
        <v>21.88</v>
      </c>
      <c r="I80" s="59">
        <v>0.55000000000000004</v>
      </c>
      <c r="J80" s="59">
        <v>0.56000000000000005</v>
      </c>
      <c r="K80" s="59">
        <v>37.229999999999997</v>
      </c>
      <c r="L80" s="59">
        <v>30.59</v>
      </c>
      <c r="M80" s="59">
        <v>26.64</v>
      </c>
      <c r="N80" s="59">
        <v>15.1</v>
      </c>
      <c r="O80" s="59">
        <v>0</v>
      </c>
      <c r="P80" s="59">
        <v>1.28</v>
      </c>
      <c r="Q80" s="59">
        <v>26.6</v>
      </c>
      <c r="R80" s="197"/>
      <c r="S80" s="197"/>
      <c r="T80" s="197"/>
      <c r="U80" s="197"/>
    </row>
    <row r="81" spans="1:26" s="12" customFormat="1" x14ac:dyDescent="0.25">
      <c r="A81" s="200" t="s">
        <v>1184</v>
      </c>
      <c r="B81" s="59">
        <v>4.6100000000000003</v>
      </c>
      <c r="C81" s="59">
        <v>93.19</v>
      </c>
      <c r="D81" s="59">
        <v>54.16</v>
      </c>
      <c r="E81" s="59">
        <v>3.43</v>
      </c>
      <c r="F81" s="59">
        <v>4.28</v>
      </c>
      <c r="G81" s="59">
        <v>51.65</v>
      </c>
      <c r="H81" s="59">
        <v>21.79</v>
      </c>
      <c r="I81" s="59">
        <v>0.55000000000000004</v>
      </c>
      <c r="J81" s="59">
        <v>0.32</v>
      </c>
      <c r="K81" s="59">
        <v>34.270000000000003</v>
      </c>
      <c r="L81" s="59">
        <v>29.72</v>
      </c>
      <c r="M81" s="59">
        <v>28.09</v>
      </c>
      <c r="N81" s="59">
        <v>6.9</v>
      </c>
      <c r="O81" s="59">
        <v>0</v>
      </c>
      <c r="P81" s="59">
        <v>1.53</v>
      </c>
      <c r="Q81" s="59">
        <v>26.71</v>
      </c>
      <c r="R81" s="197"/>
      <c r="S81" s="197"/>
      <c r="T81" s="197"/>
      <c r="U81" s="197"/>
    </row>
    <row r="82" spans="1:26" s="12" customFormat="1" x14ac:dyDescent="0.25">
      <c r="A82" s="200" t="s">
        <v>1185</v>
      </c>
      <c r="B82" s="59">
        <v>6.42</v>
      </c>
      <c r="C82" s="59">
        <v>97.02</v>
      </c>
      <c r="D82" s="59">
        <v>57.73</v>
      </c>
      <c r="E82" s="59">
        <v>3.69</v>
      </c>
      <c r="F82" s="59">
        <v>3.83</v>
      </c>
      <c r="G82" s="59">
        <v>51.65</v>
      </c>
      <c r="H82" s="59">
        <v>21.79</v>
      </c>
      <c r="I82" s="59">
        <v>0.56999999999999995</v>
      </c>
      <c r="J82" s="59">
        <v>0.24</v>
      </c>
      <c r="K82" s="59">
        <v>36.43</v>
      </c>
      <c r="L82" s="59">
        <v>29.07</v>
      </c>
      <c r="M82" s="59">
        <v>30.53</v>
      </c>
      <c r="N82" s="59">
        <v>5.3</v>
      </c>
      <c r="O82" s="59">
        <v>0</v>
      </c>
      <c r="P82" s="59">
        <v>2.0699999999999998</v>
      </c>
      <c r="Q82" s="59">
        <v>26.9</v>
      </c>
      <c r="R82" s="197"/>
      <c r="S82" s="197"/>
      <c r="T82" s="197"/>
      <c r="U82" s="197"/>
    </row>
    <row r="83" spans="1:26" s="12" customFormat="1" x14ac:dyDescent="0.25">
      <c r="A83" s="200" t="s">
        <v>1186</v>
      </c>
      <c r="B83" s="59">
        <v>8.2799999999999994</v>
      </c>
      <c r="C83" s="59">
        <v>99.97</v>
      </c>
      <c r="D83" s="59">
        <v>60.85</v>
      </c>
      <c r="E83" s="59">
        <v>3.22</v>
      </c>
      <c r="F83" s="59">
        <v>3.46</v>
      </c>
      <c r="G83" s="59">
        <v>51.65</v>
      </c>
      <c r="H83" s="59">
        <v>21.79</v>
      </c>
      <c r="I83" s="59">
        <v>0.62</v>
      </c>
      <c r="J83" s="59">
        <v>0.28000000000000003</v>
      </c>
      <c r="K83" s="59">
        <v>33.659999999999997</v>
      </c>
      <c r="L83" s="59">
        <v>28.52</v>
      </c>
      <c r="M83" s="59">
        <v>32.85</v>
      </c>
      <c r="N83" s="59">
        <v>4.7</v>
      </c>
      <c r="O83" s="59">
        <v>0</v>
      </c>
      <c r="P83" s="59">
        <v>2.38</v>
      </c>
      <c r="Q83" s="59">
        <v>27.43</v>
      </c>
      <c r="R83" s="197"/>
      <c r="S83" s="197"/>
      <c r="T83" s="197"/>
      <c r="U83" s="197"/>
    </row>
    <row r="84" spans="1:26" s="12" customFormat="1" x14ac:dyDescent="0.25">
      <c r="A84" s="200" t="s">
        <v>1187</v>
      </c>
      <c r="B84" s="59">
        <v>10.15</v>
      </c>
      <c r="C84" s="59">
        <v>102.13</v>
      </c>
      <c r="D84" s="59">
        <v>63.55</v>
      </c>
      <c r="E84" s="59">
        <v>3.31</v>
      </c>
      <c r="F84" s="59">
        <v>3.59</v>
      </c>
      <c r="G84" s="59">
        <v>60.92</v>
      </c>
      <c r="H84" s="59">
        <v>23.47</v>
      </c>
      <c r="I84" s="59">
        <v>0.7</v>
      </c>
      <c r="J84" s="59">
        <v>0.22</v>
      </c>
      <c r="K84" s="59">
        <v>26.96</v>
      </c>
      <c r="L84" s="59">
        <v>28.19</v>
      </c>
      <c r="M84" s="59">
        <v>32.78</v>
      </c>
      <c r="N84" s="59">
        <v>4.5999999999999996</v>
      </c>
      <c r="O84" s="59">
        <v>0</v>
      </c>
      <c r="P84" s="59">
        <v>2.2799999999999998</v>
      </c>
      <c r="Q84" s="59">
        <v>28</v>
      </c>
      <c r="R84" s="197"/>
      <c r="S84" s="197"/>
      <c r="T84" s="197"/>
      <c r="U84" s="197"/>
    </row>
    <row r="85" spans="1:26" s="12" customFormat="1" x14ac:dyDescent="0.25">
      <c r="A85" s="200" t="s">
        <v>1188</v>
      </c>
      <c r="B85" s="59">
        <v>12.36</v>
      </c>
      <c r="C85" s="59">
        <v>103.3</v>
      </c>
      <c r="D85" s="59">
        <v>65.959999999999994</v>
      </c>
      <c r="E85" s="59">
        <v>3.13</v>
      </c>
      <c r="F85" s="59">
        <v>3.46</v>
      </c>
      <c r="G85" s="59">
        <v>61.35</v>
      </c>
      <c r="H85" s="59">
        <v>23.54</v>
      </c>
      <c r="I85" s="59">
        <v>0.76</v>
      </c>
      <c r="J85" s="59">
        <v>0.3</v>
      </c>
      <c r="K85" s="59">
        <v>34.07</v>
      </c>
      <c r="L85" s="59">
        <v>28.31</v>
      </c>
      <c r="M85" s="59">
        <v>34.04</v>
      </c>
      <c r="N85" s="59">
        <v>4.4000000000000004</v>
      </c>
      <c r="O85" s="59">
        <v>0</v>
      </c>
      <c r="P85" s="59">
        <v>2.4500000000000002</v>
      </c>
      <c r="Q85" s="59">
        <v>28.89</v>
      </c>
      <c r="R85" s="197"/>
      <c r="S85" s="197"/>
      <c r="T85" s="197"/>
      <c r="U85" s="197"/>
    </row>
    <row r="86" spans="1:26" s="12" customFormat="1" x14ac:dyDescent="0.25">
      <c r="A86" s="200" t="s">
        <v>1189</v>
      </c>
      <c r="B86" s="59">
        <v>14.44</v>
      </c>
      <c r="C86" s="59">
        <v>104.36</v>
      </c>
      <c r="D86" s="59">
        <v>68.209999999999994</v>
      </c>
      <c r="E86" s="59">
        <v>3.3</v>
      </c>
      <c r="F86" s="59">
        <v>3.62</v>
      </c>
      <c r="G86" s="59">
        <v>61.35</v>
      </c>
      <c r="H86" s="59">
        <v>23.54</v>
      </c>
      <c r="I86" s="59">
        <v>0.83</v>
      </c>
      <c r="J86" s="59">
        <v>0.24</v>
      </c>
      <c r="K86" s="59">
        <v>46.02</v>
      </c>
      <c r="L86" s="59">
        <v>28.27</v>
      </c>
      <c r="M86" s="59">
        <v>31.89</v>
      </c>
      <c r="N86" s="59">
        <v>4.2</v>
      </c>
      <c r="O86" s="59">
        <v>0</v>
      </c>
      <c r="P86" s="59">
        <v>2.2999999999999998</v>
      </c>
      <c r="Q86" s="59">
        <v>29.56</v>
      </c>
      <c r="R86" s="197"/>
      <c r="S86" s="197"/>
      <c r="T86" s="197"/>
      <c r="U86" s="197"/>
    </row>
    <row r="87" spans="1:26" s="12" customFormat="1" x14ac:dyDescent="0.25">
      <c r="A87" s="200" t="s">
        <v>1190</v>
      </c>
      <c r="B87" s="59">
        <v>15.82</v>
      </c>
      <c r="C87" s="59">
        <v>106.63</v>
      </c>
      <c r="D87" s="59">
        <v>70.569999999999993</v>
      </c>
      <c r="E87" s="59">
        <v>4.13</v>
      </c>
      <c r="F87" s="59">
        <v>3.51</v>
      </c>
      <c r="G87" s="59">
        <v>61.35</v>
      </c>
      <c r="H87" s="59">
        <v>23.54</v>
      </c>
      <c r="I87" s="59">
        <v>0.87</v>
      </c>
      <c r="J87" s="59">
        <v>0.38</v>
      </c>
      <c r="K87" s="59">
        <v>97.62</v>
      </c>
      <c r="L87" s="59">
        <v>28.5</v>
      </c>
      <c r="M87" s="59">
        <v>30.69</v>
      </c>
      <c r="N87" s="59">
        <v>4</v>
      </c>
      <c r="O87" s="59">
        <v>0</v>
      </c>
      <c r="P87" s="59">
        <v>1.66</v>
      </c>
      <c r="Q87" s="59">
        <v>30.18</v>
      </c>
      <c r="R87" s="197"/>
      <c r="S87" s="197"/>
      <c r="T87" s="197"/>
      <c r="U87" s="197"/>
    </row>
    <row r="88" spans="1:26" s="12" customFormat="1" x14ac:dyDescent="0.25">
      <c r="A88" s="200" t="s">
        <v>1191</v>
      </c>
      <c r="B88" s="59">
        <v>16.5</v>
      </c>
      <c r="C88" s="59">
        <v>109.59</v>
      </c>
      <c r="D88" s="59">
        <v>72.75</v>
      </c>
      <c r="E88" s="59">
        <v>1.48</v>
      </c>
      <c r="F88" s="59">
        <v>3.31</v>
      </c>
      <c r="G88" s="59">
        <v>79.069999999999993</v>
      </c>
      <c r="H88" s="59">
        <v>27.28</v>
      </c>
      <c r="I88" s="59">
        <v>0.88</v>
      </c>
      <c r="J88" s="59">
        <v>0.16</v>
      </c>
      <c r="K88" s="59">
        <v>74.02</v>
      </c>
      <c r="L88" s="59">
        <v>28.09</v>
      </c>
      <c r="M88" s="59">
        <v>32.590000000000003</v>
      </c>
      <c r="N88" s="59">
        <v>5</v>
      </c>
      <c r="O88" s="59">
        <v>0</v>
      </c>
      <c r="P88" s="59">
        <v>2</v>
      </c>
      <c r="Q88" s="59">
        <v>31.24</v>
      </c>
      <c r="R88" s="197"/>
      <c r="S88" s="197"/>
      <c r="T88" s="197"/>
      <c r="U88" s="197"/>
    </row>
    <row r="89" spans="1:26" s="12" customFormat="1" x14ac:dyDescent="0.25">
      <c r="A89" s="200" t="s">
        <v>1192</v>
      </c>
      <c r="B89" s="59">
        <v>19.77</v>
      </c>
      <c r="C89" s="59">
        <v>111.72</v>
      </c>
      <c r="D89" s="59">
        <v>76.55</v>
      </c>
      <c r="E89" s="59">
        <v>2.93</v>
      </c>
      <c r="F89" s="59">
        <v>3.21</v>
      </c>
      <c r="G89" s="59">
        <v>79.89</v>
      </c>
      <c r="H89" s="59">
        <v>27.45</v>
      </c>
      <c r="I89" s="59">
        <v>0.88</v>
      </c>
      <c r="J89" s="59">
        <v>0.08</v>
      </c>
      <c r="K89" s="59">
        <v>64.010000000000005</v>
      </c>
      <c r="L89" s="59">
        <v>27.55</v>
      </c>
      <c r="M89" s="59">
        <v>33.770000000000003</v>
      </c>
      <c r="N89" s="59">
        <v>5.0999999999999996</v>
      </c>
      <c r="O89" s="59">
        <v>0</v>
      </c>
      <c r="P89" s="59">
        <v>2.78</v>
      </c>
      <c r="Q89" s="59">
        <v>32.35</v>
      </c>
      <c r="R89" s="197"/>
      <c r="S89" s="197"/>
      <c r="T89" s="197"/>
      <c r="U89" s="197"/>
    </row>
    <row r="90" spans="1:26" s="12" customFormat="1" x14ac:dyDescent="0.25">
      <c r="A90" s="200" t="s">
        <v>1193</v>
      </c>
      <c r="B90" s="59">
        <v>25.25</v>
      </c>
      <c r="C90" s="59">
        <v>114.22</v>
      </c>
      <c r="D90" s="59">
        <v>82.32</v>
      </c>
      <c r="E90" s="59">
        <v>3.16</v>
      </c>
      <c r="F90" s="59">
        <v>3.12</v>
      </c>
      <c r="G90" s="59">
        <v>79.89</v>
      </c>
      <c r="H90" s="59">
        <v>27.45</v>
      </c>
      <c r="I90" s="59">
        <v>0.96</v>
      </c>
      <c r="J90" s="59">
        <v>0.06</v>
      </c>
      <c r="K90" s="59">
        <v>318.12</v>
      </c>
      <c r="L90" s="59">
        <v>26.91</v>
      </c>
      <c r="M90" s="59">
        <v>37.5</v>
      </c>
      <c r="N90" s="59">
        <v>5</v>
      </c>
      <c r="O90" s="59">
        <v>0</v>
      </c>
      <c r="P90" s="59">
        <v>2.1800000000000002</v>
      </c>
      <c r="Q90" s="59">
        <v>33.020000000000003</v>
      </c>
      <c r="R90" s="197"/>
      <c r="S90" s="197"/>
      <c r="T90" s="197"/>
      <c r="U90" s="197"/>
    </row>
    <row r="91" spans="1:26" s="12" customFormat="1" x14ac:dyDescent="0.25">
      <c r="A91" s="200" t="s">
        <v>1194</v>
      </c>
      <c r="B91" s="59">
        <v>34.85</v>
      </c>
      <c r="C91" s="59">
        <v>116.81</v>
      </c>
      <c r="D91" s="59">
        <v>91.45</v>
      </c>
      <c r="E91" s="59">
        <v>3.63</v>
      </c>
      <c r="F91" s="59">
        <v>3.14</v>
      </c>
      <c r="G91" s="59">
        <v>79.89</v>
      </c>
      <c r="H91" s="59">
        <v>27.45</v>
      </c>
      <c r="I91" s="59">
        <v>1.08</v>
      </c>
      <c r="J91" s="59">
        <v>0.17</v>
      </c>
      <c r="K91" s="59">
        <v>26.87</v>
      </c>
      <c r="L91" s="59">
        <v>26.18</v>
      </c>
      <c r="M91" s="59">
        <v>41.14</v>
      </c>
      <c r="N91" s="59">
        <v>5.2</v>
      </c>
      <c r="O91" s="59">
        <v>0</v>
      </c>
      <c r="P91" s="59">
        <v>2.91</v>
      </c>
      <c r="Q91" s="59">
        <v>33.770000000000003</v>
      </c>
      <c r="R91" s="197"/>
      <c r="S91" s="197"/>
      <c r="T91" s="197"/>
      <c r="U91" s="197"/>
    </row>
    <row r="92" spans="1:26" s="12" customFormat="1" x14ac:dyDescent="0.25">
      <c r="A92" s="200" t="s">
        <v>1195</v>
      </c>
      <c r="B92" s="59">
        <v>45.73</v>
      </c>
      <c r="C92" s="59">
        <v>118.73</v>
      </c>
      <c r="D92" s="59">
        <v>101.23</v>
      </c>
      <c r="E92" s="59">
        <v>3.37</v>
      </c>
      <c r="F92" s="59">
        <v>2.96</v>
      </c>
      <c r="G92" s="59">
        <v>172.99</v>
      </c>
      <c r="H92" s="59">
        <v>38.729999999999997</v>
      </c>
      <c r="I92" s="59">
        <v>1.0900000000000001</v>
      </c>
      <c r="J92" s="59">
        <v>0.27</v>
      </c>
      <c r="K92" s="59">
        <v>115.01</v>
      </c>
      <c r="L92" s="59">
        <v>26.02</v>
      </c>
      <c r="M92" s="59">
        <v>41.17</v>
      </c>
      <c r="N92" s="59">
        <v>4.4000000000000004</v>
      </c>
      <c r="O92" s="59">
        <v>0</v>
      </c>
      <c r="P92" s="59">
        <v>2.76</v>
      </c>
      <c r="Q92" s="59">
        <v>34.479999999999997</v>
      </c>
      <c r="R92" s="197"/>
      <c r="S92" s="197"/>
      <c r="T92" s="197"/>
      <c r="U92" s="197"/>
    </row>
    <row r="93" spans="1:26" s="12" customFormat="1" x14ac:dyDescent="0.25">
      <c r="A93" s="200" t="s">
        <v>1196</v>
      </c>
      <c r="B93" s="59">
        <v>57.05</v>
      </c>
      <c r="C93" s="59">
        <v>120.24</v>
      </c>
      <c r="D93" s="59">
        <v>111.14</v>
      </c>
      <c r="E93" s="59">
        <v>3.49</v>
      </c>
      <c r="F93" s="59">
        <v>2.99</v>
      </c>
      <c r="G93" s="59">
        <v>177.32</v>
      </c>
      <c r="H93" s="59">
        <v>39.25</v>
      </c>
      <c r="I93" s="59">
        <v>1.1299999999999999</v>
      </c>
      <c r="J93" s="59">
        <v>0.17</v>
      </c>
      <c r="K93" s="59">
        <v>85.7</v>
      </c>
      <c r="L93" s="59">
        <v>26.06</v>
      </c>
      <c r="M93" s="59">
        <v>41.39</v>
      </c>
      <c r="N93" s="59">
        <v>4.7</v>
      </c>
      <c r="O93" s="59">
        <v>0</v>
      </c>
      <c r="P93" s="59">
        <v>2.4500000000000002</v>
      </c>
      <c r="Q93" s="59">
        <v>35.19</v>
      </c>
      <c r="R93" s="197"/>
      <c r="S93" s="197"/>
      <c r="T93" s="197"/>
      <c r="U93" s="197"/>
    </row>
    <row r="94" spans="1:26" s="12" customFormat="1" x14ac:dyDescent="0.25">
      <c r="A94" s="200" t="s">
        <v>1197</v>
      </c>
      <c r="B94" s="59">
        <v>67.33</v>
      </c>
      <c r="C94" s="59">
        <v>120.12</v>
      </c>
      <c r="D94" s="59">
        <v>119.32</v>
      </c>
      <c r="E94" s="59">
        <v>3</v>
      </c>
      <c r="F94" s="59">
        <v>2.93</v>
      </c>
      <c r="G94" s="59">
        <v>177.32</v>
      </c>
      <c r="H94" s="59">
        <v>39.25</v>
      </c>
      <c r="I94" s="59">
        <v>1.1399999999999999</v>
      </c>
      <c r="J94" s="59">
        <v>0.1</v>
      </c>
      <c r="K94" s="59">
        <v>148.47</v>
      </c>
      <c r="L94" s="59">
        <v>25.47</v>
      </c>
      <c r="M94" s="59">
        <v>44.08</v>
      </c>
      <c r="N94" s="59">
        <v>4.7</v>
      </c>
      <c r="O94" s="59">
        <v>0</v>
      </c>
      <c r="P94" s="59">
        <v>4.07</v>
      </c>
      <c r="Q94" s="59">
        <v>35.700000000000003</v>
      </c>
      <c r="R94" s="197"/>
      <c r="S94" s="197"/>
      <c r="T94" s="197"/>
      <c r="U94" s="197"/>
    </row>
    <row r="95" spans="1:26" s="12" customFormat="1" x14ac:dyDescent="0.25">
      <c r="A95" s="200" t="s">
        <v>1198</v>
      </c>
      <c r="B95" s="59">
        <v>73.069999999999993</v>
      </c>
      <c r="C95" s="59">
        <v>119.76</v>
      </c>
      <c r="D95" s="59">
        <v>123.73</v>
      </c>
      <c r="E95" s="59">
        <v>2.76</v>
      </c>
      <c r="F95" s="59">
        <v>2.99</v>
      </c>
      <c r="G95" s="59">
        <v>177.32</v>
      </c>
      <c r="H95" s="59">
        <v>39.25</v>
      </c>
      <c r="I95" s="59">
        <v>1.1399999999999999</v>
      </c>
      <c r="J95" s="59">
        <v>0.18</v>
      </c>
      <c r="K95" s="59">
        <v>288.54000000000002</v>
      </c>
      <c r="L95" s="59">
        <v>25.62</v>
      </c>
      <c r="M95" s="59">
        <v>44.96</v>
      </c>
      <c r="N95" s="59">
        <v>4.2</v>
      </c>
      <c r="O95" s="59">
        <v>0</v>
      </c>
      <c r="P95" s="59">
        <v>4.28</v>
      </c>
      <c r="Q95" s="59">
        <v>35.590000000000003</v>
      </c>
      <c r="R95" s="197"/>
      <c r="S95" s="197"/>
      <c r="T95" s="197"/>
      <c r="U95" s="197"/>
    </row>
    <row r="96" spans="1:26" s="12" customFormat="1" x14ac:dyDescent="0.25">
      <c r="A96" s="200" t="s">
        <v>1199</v>
      </c>
      <c r="B96" s="59">
        <v>77.34</v>
      </c>
      <c r="C96" s="59">
        <v>119.89</v>
      </c>
      <c r="D96" s="59">
        <v>127.22</v>
      </c>
      <c r="E96" s="59">
        <v>2.8</v>
      </c>
      <c r="F96" s="59">
        <v>2.94</v>
      </c>
      <c r="G96" s="59">
        <v>173.37</v>
      </c>
      <c r="H96" s="59">
        <v>45.25</v>
      </c>
      <c r="I96" s="59">
        <v>1.26</v>
      </c>
      <c r="J96" s="59">
        <v>0.19</v>
      </c>
      <c r="K96" s="59">
        <v>12.77</v>
      </c>
      <c r="L96" s="59">
        <v>25.01</v>
      </c>
      <c r="M96" s="59">
        <v>53.32</v>
      </c>
      <c r="N96" s="59">
        <v>5</v>
      </c>
      <c r="O96" s="59">
        <v>0</v>
      </c>
      <c r="P96" s="59">
        <v>4.74</v>
      </c>
      <c r="Q96" s="59">
        <v>35.47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1200</v>
      </c>
      <c r="B97" s="59">
        <v>81.849999999999994</v>
      </c>
      <c r="C97" s="59">
        <v>118.31</v>
      </c>
      <c r="D97" s="59">
        <v>129.97</v>
      </c>
      <c r="E97" s="59">
        <v>3.58</v>
      </c>
      <c r="F97" s="59">
        <v>2.9</v>
      </c>
      <c r="G97" s="59">
        <v>173.19</v>
      </c>
      <c r="H97" s="59">
        <v>45.53</v>
      </c>
      <c r="I97" s="59">
        <v>1.43</v>
      </c>
      <c r="J97" s="59">
        <v>0.1</v>
      </c>
      <c r="K97" s="59">
        <v>325.74</v>
      </c>
      <c r="L97" s="59">
        <v>24.75</v>
      </c>
      <c r="M97" s="59">
        <v>50.3</v>
      </c>
      <c r="N97" s="59">
        <v>4.7</v>
      </c>
      <c r="O97" s="59">
        <v>0</v>
      </c>
      <c r="P97" s="59">
        <v>3.53</v>
      </c>
      <c r="Q97" s="59">
        <v>36.159999999999997</v>
      </c>
      <c r="R97" s="197"/>
      <c r="S97" s="197"/>
      <c r="T97" s="197"/>
      <c r="U97" s="197"/>
    </row>
    <row r="98" spans="1:33" s="12" customFormat="1" x14ac:dyDescent="0.25">
      <c r="A98" s="200" t="s">
        <v>1201</v>
      </c>
      <c r="B98" s="59">
        <v>83.9</v>
      </c>
      <c r="C98" s="59">
        <v>116.81</v>
      </c>
      <c r="D98" s="59">
        <v>130.79</v>
      </c>
      <c r="E98" s="59">
        <v>3.15</v>
      </c>
      <c r="F98" s="59">
        <v>3.13</v>
      </c>
      <c r="G98" s="59">
        <v>173.19</v>
      </c>
      <c r="H98" s="59">
        <v>45.53</v>
      </c>
      <c r="I98" s="59">
        <v>1.48</v>
      </c>
      <c r="J98" s="59">
        <v>0.16</v>
      </c>
      <c r="K98" s="59">
        <v>199.84</v>
      </c>
      <c r="L98" s="59">
        <v>25.4</v>
      </c>
      <c r="M98" s="59">
        <v>43.4</v>
      </c>
      <c r="N98" s="59">
        <v>4</v>
      </c>
      <c r="O98" s="59">
        <v>0</v>
      </c>
      <c r="P98" s="59">
        <v>2.15</v>
      </c>
      <c r="Q98" s="59">
        <v>36.76</v>
      </c>
      <c r="R98" s="197"/>
      <c r="S98" s="197"/>
      <c r="T98" s="197"/>
      <c r="U98" s="197"/>
    </row>
    <row r="99" spans="1:33" s="12" customFormat="1" x14ac:dyDescent="0.25">
      <c r="A99" s="200" t="s">
        <v>1202</v>
      </c>
      <c r="B99" s="59">
        <v>83.72</v>
      </c>
      <c r="C99" s="59">
        <v>115.09</v>
      </c>
      <c r="D99" s="59">
        <v>129.69</v>
      </c>
      <c r="E99" s="59">
        <v>3.54</v>
      </c>
      <c r="F99" s="59">
        <v>3.16</v>
      </c>
      <c r="G99" s="59">
        <v>173.19</v>
      </c>
      <c r="H99" s="59">
        <v>45.53</v>
      </c>
      <c r="I99" s="59">
        <v>1.25</v>
      </c>
      <c r="J99" s="59">
        <v>0.06</v>
      </c>
      <c r="K99" s="59">
        <v>304.66000000000003</v>
      </c>
      <c r="L99" s="59">
        <v>25.13</v>
      </c>
      <c r="M99" s="59">
        <v>46.88</v>
      </c>
      <c r="N99" s="59">
        <v>4.8</v>
      </c>
      <c r="O99" s="59">
        <v>0</v>
      </c>
      <c r="P99" s="59">
        <v>2.3199999999999998</v>
      </c>
      <c r="Q99" s="59">
        <v>37.090000000000003</v>
      </c>
      <c r="R99" s="197"/>
      <c r="S99" s="197"/>
      <c r="T99" s="197"/>
      <c r="U99" s="197"/>
    </row>
    <row r="100" spans="1:33" s="12" customFormat="1" x14ac:dyDescent="0.25">
      <c r="A100" s="200" t="s">
        <v>1203</v>
      </c>
      <c r="B100" s="59">
        <v>82.81</v>
      </c>
      <c r="C100" s="59">
        <v>113.55</v>
      </c>
      <c r="D100" s="59">
        <v>128.11000000000001</v>
      </c>
      <c r="E100" s="59">
        <v>3.04</v>
      </c>
      <c r="F100" s="59">
        <v>3.8</v>
      </c>
      <c r="G100" s="59">
        <v>149.46</v>
      </c>
      <c r="H100" s="59">
        <v>48.96</v>
      </c>
      <c r="I100" s="59">
        <v>0.95</v>
      </c>
      <c r="J100" s="59">
        <v>0.87</v>
      </c>
      <c r="K100" s="59">
        <v>192.76</v>
      </c>
      <c r="L100" s="59">
        <v>25.46</v>
      </c>
      <c r="M100" s="59">
        <v>45.64</v>
      </c>
      <c r="N100" s="59">
        <v>3.1</v>
      </c>
      <c r="O100" s="59">
        <v>0</v>
      </c>
      <c r="P100" s="59">
        <v>2.34</v>
      </c>
      <c r="Q100" s="59">
        <v>37.18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1204</v>
      </c>
      <c r="B101" s="59">
        <v>79.59</v>
      </c>
      <c r="C101" s="59">
        <v>111.76</v>
      </c>
      <c r="D101" s="59">
        <v>124.55</v>
      </c>
      <c r="E101" s="59">
        <v>3.4</v>
      </c>
      <c r="F101" s="59">
        <v>3.26</v>
      </c>
      <c r="G101" s="59">
        <v>148.35</v>
      </c>
      <c r="H101" s="59">
        <v>49.12</v>
      </c>
      <c r="I101" s="59">
        <v>0.94</v>
      </c>
      <c r="J101" s="59">
        <v>0.67</v>
      </c>
      <c r="K101" s="59">
        <v>200.7</v>
      </c>
      <c r="L101" s="59">
        <v>25.86</v>
      </c>
      <c r="M101" s="59">
        <v>40.75</v>
      </c>
      <c r="N101" s="59">
        <v>4.0999999999999996</v>
      </c>
      <c r="O101" s="59">
        <v>0</v>
      </c>
      <c r="P101" s="59">
        <v>2.4700000000000002</v>
      </c>
      <c r="Q101" s="59">
        <v>37.53</v>
      </c>
      <c r="R101" s="197"/>
      <c r="S101" s="197"/>
      <c r="T101" s="197"/>
      <c r="U101" s="197"/>
    </row>
    <row r="102" spans="1:33" s="12" customFormat="1" x14ac:dyDescent="0.25">
      <c r="A102" s="200" t="s">
        <v>1205</v>
      </c>
      <c r="B102" s="59">
        <v>73.25</v>
      </c>
      <c r="C102" s="59">
        <v>110.8</v>
      </c>
      <c r="D102" s="59">
        <v>118.92</v>
      </c>
      <c r="E102" s="59">
        <v>3.73</v>
      </c>
      <c r="F102" s="59">
        <v>2.93</v>
      </c>
      <c r="G102" s="59">
        <v>148.35</v>
      </c>
      <c r="H102" s="59">
        <v>49.12</v>
      </c>
      <c r="I102" s="59">
        <v>1.02</v>
      </c>
      <c r="J102" s="59">
        <v>0.84</v>
      </c>
      <c r="K102" s="59">
        <v>186.56</v>
      </c>
      <c r="L102" s="59">
        <v>25.61</v>
      </c>
      <c r="M102" s="59">
        <v>40.82</v>
      </c>
      <c r="N102" s="59">
        <v>4.5</v>
      </c>
      <c r="O102" s="59">
        <v>0</v>
      </c>
      <c r="P102" s="59">
        <v>2.4900000000000002</v>
      </c>
      <c r="Q102" s="59">
        <v>38.06</v>
      </c>
      <c r="R102" s="197"/>
      <c r="S102" s="197"/>
      <c r="T102" s="197"/>
      <c r="U102" s="197"/>
    </row>
    <row r="103" spans="1:33" s="12" customFormat="1" x14ac:dyDescent="0.25">
      <c r="A103" s="200" t="s">
        <v>1206</v>
      </c>
      <c r="B103" s="59">
        <v>65.7</v>
      </c>
      <c r="C103" s="59">
        <v>110.39</v>
      </c>
      <c r="D103" s="59">
        <v>112.64</v>
      </c>
      <c r="E103" s="59">
        <v>3.33</v>
      </c>
      <c r="F103" s="59">
        <v>3.37</v>
      </c>
      <c r="G103" s="59">
        <v>148.35</v>
      </c>
      <c r="H103" s="59">
        <v>49.12</v>
      </c>
      <c r="I103" s="59">
        <v>1.07</v>
      </c>
      <c r="J103" s="59">
        <v>0.35</v>
      </c>
      <c r="K103" s="59">
        <v>139.91</v>
      </c>
      <c r="L103" s="59">
        <v>25.39</v>
      </c>
      <c r="M103" s="59">
        <v>41.29</v>
      </c>
      <c r="N103" s="59">
        <v>4.5999999999999996</v>
      </c>
      <c r="O103" s="59">
        <v>0</v>
      </c>
      <c r="P103" s="59">
        <v>2.35</v>
      </c>
      <c r="Q103" s="59">
        <v>37.93</v>
      </c>
      <c r="R103" s="197"/>
      <c r="S103" s="197"/>
      <c r="T103" s="197"/>
      <c r="U103" s="197"/>
    </row>
    <row r="104" spans="1:33" s="12" customFormat="1" x14ac:dyDescent="0.25">
      <c r="A104" s="200" t="s">
        <v>1207</v>
      </c>
      <c r="B104" s="59">
        <v>58.92</v>
      </c>
      <c r="C104" s="59">
        <v>111.21</v>
      </c>
      <c r="D104" s="59">
        <v>107.66</v>
      </c>
      <c r="E104" s="59">
        <v>2.21</v>
      </c>
      <c r="F104" s="59">
        <v>3.02</v>
      </c>
      <c r="G104" s="59">
        <v>61.8</v>
      </c>
      <c r="H104" s="59">
        <v>43.06</v>
      </c>
      <c r="I104" s="59">
        <v>1.08</v>
      </c>
      <c r="J104" s="59">
        <v>0.27</v>
      </c>
      <c r="K104" s="59">
        <v>187.38</v>
      </c>
      <c r="L104" s="59">
        <v>25.16</v>
      </c>
      <c r="M104" s="59">
        <v>42.43</v>
      </c>
      <c r="N104" s="59">
        <v>4.5</v>
      </c>
      <c r="O104" s="59">
        <v>0</v>
      </c>
      <c r="P104" s="59">
        <v>2.2599999999999998</v>
      </c>
      <c r="Q104" s="59">
        <v>37.53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0.74</v>
      </c>
      <c r="C106" s="66">
        <f>MIN(C9:C104)</f>
        <v>45.81</v>
      </c>
      <c r="D106" s="66">
        <f t="shared" ref="D106:Q106" si="0">MIN(D9:D104)</f>
        <v>25.38</v>
      </c>
      <c r="E106" s="66">
        <f t="shared" si="0"/>
        <v>1.48</v>
      </c>
      <c r="F106" s="66">
        <f t="shared" si="0"/>
        <v>2.73</v>
      </c>
      <c r="G106" s="66">
        <f t="shared" si="0"/>
        <v>47.83</v>
      </c>
      <c r="H106" s="66">
        <f t="shared" si="0"/>
        <v>17.309999999999999</v>
      </c>
      <c r="I106" s="66">
        <f t="shared" si="0"/>
        <v>0.45</v>
      </c>
      <c r="J106" s="66">
        <f t="shared" si="0"/>
        <v>0.06</v>
      </c>
      <c r="K106" s="66">
        <f t="shared" si="0"/>
        <v>12.77</v>
      </c>
      <c r="L106" s="66">
        <f t="shared" si="0"/>
        <v>21.74</v>
      </c>
      <c r="M106" s="66">
        <f t="shared" si="0"/>
        <v>17.260000000000002</v>
      </c>
      <c r="N106" s="66">
        <f t="shared" si="0"/>
        <v>3.1</v>
      </c>
      <c r="O106" s="66">
        <f t="shared" si="0"/>
        <v>0</v>
      </c>
      <c r="P106" s="66">
        <f t="shared" si="0"/>
        <v>0.59</v>
      </c>
      <c r="Q106" s="66">
        <f t="shared" si="0"/>
        <v>17.87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83.9</v>
      </c>
      <c r="C107" s="65">
        <f t="shared" ref="C107:Q107" si="1">MAX(C9:C104)</f>
        <v>120.24</v>
      </c>
      <c r="D107" s="65">
        <f t="shared" si="1"/>
        <v>130.79</v>
      </c>
      <c r="E107" s="65">
        <f t="shared" si="1"/>
        <v>11.46</v>
      </c>
      <c r="F107" s="65">
        <f t="shared" si="1"/>
        <v>17.21</v>
      </c>
      <c r="G107" s="65">
        <f t="shared" si="1"/>
        <v>177.32</v>
      </c>
      <c r="H107" s="65">
        <f t="shared" si="1"/>
        <v>49.12</v>
      </c>
      <c r="I107" s="65">
        <f t="shared" si="1"/>
        <v>1.48</v>
      </c>
      <c r="J107" s="65">
        <f t="shared" si="1"/>
        <v>1.63</v>
      </c>
      <c r="K107" s="65">
        <f t="shared" si="1"/>
        <v>325.74</v>
      </c>
      <c r="L107" s="65">
        <f t="shared" si="1"/>
        <v>38.03</v>
      </c>
      <c r="M107" s="65">
        <f t="shared" si="1"/>
        <v>53.32</v>
      </c>
      <c r="N107" s="65">
        <f t="shared" si="1"/>
        <v>860.3</v>
      </c>
      <c r="O107" s="65">
        <f t="shared" si="1"/>
        <v>0</v>
      </c>
      <c r="P107" s="65">
        <f t="shared" si="1"/>
        <v>4.74</v>
      </c>
      <c r="Q107" s="65">
        <f t="shared" si="1"/>
        <v>38.06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15.724895833333335</v>
      </c>
      <c r="C108" s="66">
        <f t="shared" ref="C108:Q108" si="2">AVERAGE(C9:C104)</f>
        <v>94.070833333333312</v>
      </c>
      <c r="D108" s="66">
        <f t="shared" si="2"/>
        <v>63.988541666666656</v>
      </c>
      <c r="E108" s="66">
        <f t="shared" si="2"/>
        <v>3.6708333333333338</v>
      </c>
      <c r="F108" s="66">
        <f t="shared" si="2"/>
        <v>3.9645833333333322</v>
      </c>
      <c r="G108" s="66">
        <f t="shared" si="2"/>
        <v>73.70166666666664</v>
      </c>
      <c r="H108" s="66">
        <f t="shared" si="2"/>
        <v>25.713854166666675</v>
      </c>
      <c r="I108" s="66">
        <f t="shared" si="2"/>
        <v>0.65239583333333317</v>
      </c>
      <c r="J108" s="66">
        <f t="shared" si="2"/>
        <v>0.69697916666666682</v>
      </c>
      <c r="K108" s="66">
        <f t="shared" si="2"/>
        <v>68.517812500000019</v>
      </c>
      <c r="L108" s="66">
        <f t="shared" si="2"/>
        <v>28.608124999999998</v>
      </c>
      <c r="M108" s="66">
        <f t="shared" si="2"/>
        <v>34.197083333333346</v>
      </c>
      <c r="N108" s="66">
        <f t="shared" si="2"/>
        <v>229.25104166666665</v>
      </c>
      <c r="O108" s="66">
        <f t="shared" si="2"/>
        <v>0</v>
      </c>
      <c r="P108" s="66">
        <f t="shared" si="2"/>
        <v>1.2089583333333336</v>
      </c>
      <c r="Q108" s="66">
        <f t="shared" si="2"/>
        <v>29.519895833333322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23.186086980400969</v>
      </c>
      <c r="C109" s="66">
        <f t="shared" ref="C109:Q109" si="3">STDEV(C9:C104)</f>
        <v>15.00193781634967</v>
      </c>
      <c r="D109" s="66">
        <f t="shared" si="3"/>
        <v>24.877096546577182</v>
      </c>
      <c r="E109" s="66">
        <f t="shared" si="3"/>
        <v>1.0838262306502886</v>
      </c>
      <c r="F109" s="66">
        <f t="shared" si="3"/>
        <v>1.857291132503788</v>
      </c>
      <c r="G109" s="66">
        <f t="shared" si="3"/>
        <v>36.148941242897564</v>
      </c>
      <c r="H109" s="66">
        <f t="shared" si="3"/>
        <v>8.0742843736723557</v>
      </c>
      <c r="I109" s="66">
        <f t="shared" si="3"/>
        <v>0.23036696031225709</v>
      </c>
      <c r="J109" s="66">
        <f t="shared" si="3"/>
        <v>0.38176630986884752</v>
      </c>
      <c r="K109" s="66">
        <f t="shared" si="3"/>
        <v>67.009627638251402</v>
      </c>
      <c r="L109" s="66">
        <f t="shared" si="3"/>
        <v>5.183893946385159</v>
      </c>
      <c r="M109" s="66">
        <f t="shared" si="3"/>
        <v>10.650707109381253</v>
      </c>
      <c r="N109" s="66">
        <f t="shared" si="3"/>
        <v>307.6934024213719</v>
      </c>
      <c r="O109" s="66">
        <f t="shared" si="3"/>
        <v>0</v>
      </c>
      <c r="P109" s="66">
        <f t="shared" si="3"/>
        <v>0.90859345221254362</v>
      </c>
      <c r="Q109" s="66">
        <f t="shared" si="3"/>
        <v>4.4400214543796217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11-03-2023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1208</v>
      </c>
      <c r="B9" s="59">
        <v>52.27</v>
      </c>
      <c r="C9" s="59">
        <v>110.45</v>
      </c>
      <c r="D9" s="59">
        <v>101.91</v>
      </c>
      <c r="E9" s="59">
        <v>4.7699999999999996</v>
      </c>
      <c r="F9" s="59">
        <v>2.9</v>
      </c>
      <c r="G9" s="59">
        <v>57.78</v>
      </c>
      <c r="H9" s="59">
        <v>42.78</v>
      </c>
      <c r="I9" s="59">
        <v>1.04</v>
      </c>
      <c r="J9" s="59">
        <v>0.62</v>
      </c>
      <c r="K9" s="59">
        <v>192.54</v>
      </c>
      <c r="L9" s="59">
        <v>25.1</v>
      </c>
      <c r="M9" s="59">
        <v>42.87</v>
      </c>
      <c r="N9" s="59">
        <v>4.0999999999999996</v>
      </c>
      <c r="O9" s="59">
        <v>0</v>
      </c>
      <c r="P9" s="59">
        <v>2.14</v>
      </c>
      <c r="Q9" s="59">
        <v>37.42</v>
      </c>
      <c r="R9" s="197"/>
      <c r="S9" s="197"/>
      <c r="T9" s="197"/>
      <c r="U9" s="197"/>
    </row>
    <row r="10" spans="1:21" s="12" customFormat="1" x14ac:dyDescent="0.25">
      <c r="A10" s="200" t="s">
        <v>1209</v>
      </c>
      <c r="B10" s="59">
        <v>45.59</v>
      </c>
      <c r="C10" s="59">
        <v>110.72</v>
      </c>
      <c r="D10" s="59">
        <v>96.7</v>
      </c>
      <c r="E10" s="59">
        <v>4.7</v>
      </c>
      <c r="F10" s="59">
        <v>2.79</v>
      </c>
      <c r="G10" s="59">
        <v>57.78</v>
      </c>
      <c r="H10" s="59">
        <v>42.78</v>
      </c>
      <c r="I10" s="59">
        <v>1</v>
      </c>
      <c r="J10" s="59">
        <v>0.23</v>
      </c>
      <c r="K10" s="59">
        <v>195</v>
      </c>
      <c r="L10" s="59">
        <v>24.84</v>
      </c>
      <c r="M10" s="59">
        <v>43.78</v>
      </c>
      <c r="N10" s="59">
        <v>4.7</v>
      </c>
      <c r="O10" s="59">
        <v>0</v>
      </c>
      <c r="P10" s="59">
        <v>2.0299999999999998</v>
      </c>
      <c r="Q10" s="59">
        <v>37.11</v>
      </c>
      <c r="R10" s="197"/>
      <c r="S10" s="197"/>
      <c r="T10" s="197"/>
      <c r="U10" s="197"/>
    </row>
    <row r="11" spans="1:21" s="12" customFormat="1" x14ac:dyDescent="0.25">
      <c r="A11" s="200" t="s">
        <v>1210</v>
      </c>
      <c r="B11" s="59">
        <v>39.53</v>
      </c>
      <c r="C11" s="59">
        <v>111.19</v>
      </c>
      <c r="D11" s="59">
        <v>92.09</v>
      </c>
      <c r="E11" s="59">
        <v>4.57</v>
      </c>
      <c r="F11" s="59">
        <v>3.06</v>
      </c>
      <c r="G11" s="59">
        <v>57.78</v>
      </c>
      <c r="H11" s="59">
        <v>42.78</v>
      </c>
      <c r="I11" s="59">
        <v>0.96</v>
      </c>
      <c r="J11" s="59">
        <v>0.14000000000000001</v>
      </c>
      <c r="K11" s="59">
        <v>170.98</v>
      </c>
      <c r="L11" s="59">
        <v>24.62</v>
      </c>
      <c r="M11" s="59">
        <v>44.6</v>
      </c>
      <c r="N11" s="59">
        <v>4.5999999999999996</v>
      </c>
      <c r="O11" s="59">
        <v>0</v>
      </c>
      <c r="P11" s="59">
        <v>1.93</v>
      </c>
      <c r="Q11" s="59">
        <v>36.799999999999997</v>
      </c>
      <c r="R11" s="197"/>
      <c r="S11" s="197"/>
      <c r="T11" s="197"/>
      <c r="U11" s="197"/>
    </row>
    <row r="12" spans="1:21" s="12" customFormat="1" x14ac:dyDescent="0.25">
      <c r="A12" s="200" t="s">
        <v>1211</v>
      </c>
      <c r="B12" s="59">
        <v>34.61</v>
      </c>
      <c r="C12" s="59">
        <v>111.22</v>
      </c>
      <c r="D12" s="59">
        <v>88.18</v>
      </c>
      <c r="E12" s="59">
        <v>4.3899999999999997</v>
      </c>
      <c r="F12" s="59">
        <v>3.28</v>
      </c>
      <c r="G12" s="59">
        <v>10.46</v>
      </c>
      <c r="H12" s="59">
        <v>38.68</v>
      </c>
      <c r="I12" s="59">
        <v>0.92</v>
      </c>
      <c r="J12" s="59">
        <v>0.3</v>
      </c>
      <c r="K12" s="59">
        <v>120.24</v>
      </c>
      <c r="L12" s="59">
        <v>24.42</v>
      </c>
      <c r="M12" s="59">
        <v>45.2</v>
      </c>
      <c r="N12" s="59">
        <v>4.3</v>
      </c>
      <c r="O12" s="59">
        <v>0</v>
      </c>
      <c r="P12" s="59">
        <v>1.64</v>
      </c>
      <c r="Q12" s="59">
        <v>36.18</v>
      </c>
      <c r="R12" s="197"/>
      <c r="S12" s="197"/>
      <c r="T12" s="197"/>
      <c r="U12" s="197"/>
    </row>
    <row r="13" spans="1:21" s="12" customFormat="1" x14ac:dyDescent="0.25">
      <c r="A13" s="200" t="s">
        <v>1212</v>
      </c>
      <c r="B13" s="59">
        <v>31.87</v>
      </c>
      <c r="C13" s="59">
        <v>109.89</v>
      </c>
      <c r="D13" s="59">
        <v>85.24</v>
      </c>
      <c r="E13" s="59">
        <v>3.69</v>
      </c>
      <c r="F13" s="59">
        <v>3.21</v>
      </c>
      <c r="G13" s="59">
        <v>8.26</v>
      </c>
      <c r="H13" s="59">
        <v>38.49</v>
      </c>
      <c r="I13" s="59">
        <v>0.87</v>
      </c>
      <c r="J13" s="59">
        <v>0.39</v>
      </c>
      <c r="K13" s="59">
        <v>153.62</v>
      </c>
      <c r="L13" s="59">
        <v>24.39</v>
      </c>
      <c r="M13" s="59">
        <v>45.28</v>
      </c>
      <c r="N13" s="59">
        <v>4</v>
      </c>
      <c r="O13" s="59">
        <v>0</v>
      </c>
      <c r="P13" s="59">
        <v>1.53</v>
      </c>
      <c r="Q13" s="59">
        <v>35.630000000000003</v>
      </c>
      <c r="R13" s="197"/>
      <c r="S13" s="197"/>
      <c r="T13" s="197"/>
      <c r="U13" s="197"/>
    </row>
    <row r="14" spans="1:21" s="12" customFormat="1" x14ac:dyDescent="0.25">
      <c r="A14" s="200" t="s">
        <v>1213</v>
      </c>
      <c r="B14" s="59">
        <v>29.63</v>
      </c>
      <c r="C14" s="59">
        <v>109.6</v>
      </c>
      <c r="D14" s="59">
        <v>83.28</v>
      </c>
      <c r="E14" s="59">
        <v>3.97</v>
      </c>
      <c r="F14" s="59">
        <v>3.07</v>
      </c>
      <c r="G14" s="59">
        <v>8.26</v>
      </c>
      <c r="H14" s="59">
        <v>38.49</v>
      </c>
      <c r="I14" s="59">
        <v>0.72</v>
      </c>
      <c r="J14" s="59">
        <v>0.39</v>
      </c>
      <c r="K14" s="59">
        <v>185.83</v>
      </c>
      <c r="L14" s="59">
        <v>24.41</v>
      </c>
      <c r="M14" s="59">
        <v>44.98</v>
      </c>
      <c r="N14" s="59">
        <v>4.3</v>
      </c>
      <c r="O14" s="59">
        <v>0</v>
      </c>
      <c r="P14" s="59">
        <v>1.52</v>
      </c>
      <c r="Q14" s="59">
        <v>34.85</v>
      </c>
      <c r="R14" s="197"/>
      <c r="S14" s="197"/>
      <c r="T14" s="197"/>
      <c r="U14" s="197"/>
    </row>
    <row r="15" spans="1:21" s="12" customFormat="1" x14ac:dyDescent="0.25">
      <c r="A15" s="200" t="s">
        <v>1214</v>
      </c>
      <c r="B15" s="59">
        <v>27.68</v>
      </c>
      <c r="C15" s="59">
        <v>109.33</v>
      </c>
      <c r="D15" s="59">
        <v>81.569999999999993</v>
      </c>
      <c r="E15" s="59">
        <v>3.87</v>
      </c>
      <c r="F15" s="59">
        <v>3.21</v>
      </c>
      <c r="G15" s="59">
        <v>8.26</v>
      </c>
      <c r="H15" s="59">
        <v>38.49</v>
      </c>
      <c r="I15" s="59">
        <v>0.76</v>
      </c>
      <c r="J15" s="59">
        <v>0.44</v>
      </c>
      <c r="K15" s="59">
        <v>184.38</v>
      </c>
      <c r="L15" s="59">
        <v>24.12</v>
      </c>
      <c r="M15" s="59">
        <v>46.35</v>
      </c>
      <c r="N15" s="59">
        <v>4.5</v>
      </c>
      <c r="O15" s="59">
        <v>0</v>
      </c>
      <c r="P15" s="59">
        <v>1.38</v>
      </c>
      <c r="Q15" s="59">
        <v>34.78</v>
      </c>
      <c r="R15" s="197"/>
      <c r="S15" s="197"/>
      <c r="T15" s="197"/>
      <c r="U15" s="197"/>
    </row>
    <row r="16" spans="1:21" s="12" customFormat="1" x14ac:dyDescent="0.25">
      <c r="A16" s="200" t="s">
        <v>1215</v>
      </c>
      <c r="B16" s="59">
        <v>26.03</v>
      </c>
      <c r="C16" s="59">
        <v>109.01</v>
      </c>
      <c r="D16" s="59">
        <v>80.069999999999993</v>
      </c>
      <c r="E16" s="59">
        <v>4.0199999999999996</v>
      </c>
      <c r="F16" s="59">
        <v>3.37</v>
      </c>
      <c r="G16" s="59">
        <v>49.3</v>
      </c>
      <c r="H16" s="59">
        <v>35.159999999999997</v>
      </c>
      <c r="I16" s="59">
        <v>0.72</v>
      </c>
      <c r="J16" s="59">
        <v>0.79</v>
      </c>
      <c r="K16" s="59">
        <v>182.92</v>
      </c>
      <c r="L16" s="59">
        <v>24.03</v>
      </c>
      <c r="M16" s="59">
        <v>46.48</v>
      </c>
      <c r="N16" s="59">
        <v>4.0999999999999996</v>
      </c>
      <c r="O16" s="59">
        <v>0</v>
      </c>
      <c r="P16" s="59">
        <v>1.47</v>
      </c>
      <c r="Q16" s="59">
        <v>34.83</v>
      </c>
      <c r="R16" s="197"/>
      <c r="S16" s="197"/>
      <c r="T16" s="197"/>
      <c r="U16" s="197"/>
    </row>
    <row r="17" spans="1:21" s="12" customFormat="1" x14ac:dyDescent="0.25">
      <c r="A17" s="200" t="s">
        <v>1216</v>
      </c>
      <c r="B17" s="59">
        <v>24.11</v>
      </c>
      <c r="C17" s="59">
        <v>108.7</v>
      </c>
      <c r="D17" s="59">
        <v>78.36</v>
      </c>
      <c r="E17" s="59">
        <v>4.1900000000000004</v>
      </c>
      <c r="F17" s="59">
        <v>3.34</v>
      </c>
      <c r="G17" s="59">
        <v>51.71</v>
      </c>
      <c r="H17" s="59">
        <v>35</v>
      </c>
      <c r="I17" s="59">
        <v>0.67</v>
      </c>
      <c r="J17" s="59">
        <v>0.71</v>
      </c>
      <c r="K17" s="59">
        <v>179.21</v>
      </c>
      <c r="L17" s="59">
        <v>23.87</v>
      </c>
      <c r="M17" s="59">
        <v>46.83</v>
      </c>
      <c r="N17" s="59">
        <v>4.3</v>
      </c>
      <c r="O17" s="59">
        <v>0</v>
      </c>
      <c r="P17" s="59">
        <v>1.46</v>
      </c>
      <c r="Q17" s="59">
        <v>35.020000000000003</v>
      </c>
      <c r="R17" s="197"/>
      <c r="S17" s="197"/>
      <c r="T17" s="197"/>
      <c r="U17" s="197"/>
    </row>
    <row r="18" spans="1:21" s="12" customFormat="1" x14ac:dyDescent="0.25">
      <c r="A18" s="200" t="s">
        <v>1217</v>
      </c>
      <c r="B18" s="59">
        <v>22.07</v>
      </c>
      <c r="C18" s="59">
        <v>108.48</v>
      </c>
      <c r="D18" s="59">
        <v>76.599999999999994</v>
      </c>
      <c r="E18" s="59">
        <v>3.89</v>
      </c>
      <c r="F18" s="59">
        <v>3.1</v>
      </c>
      <c r="G18" s="59">
        <v>51.71</v>
      </c>
      <c r="H18" s="59">
        <v>35</v>
      </c>
      <c r="I18" s="59">
        <v>0.7</v>
      </c>
      <c r="J18" s="59">
        <v>0.53</v>
      </c>
      <c r="K18" s="59">
        <v>194.25</v>
      </c>
      <c r="L18" s="59">
        <v>23.65</v>
      </c>
      <c r="M18" s="59">
        <v>47.55</v>
      </c>
      <c r="N18" s="59">
        <v>4.7</v>
      </c>
      <c r="O18" s="59">
        <v>0</v>
      </c>
      <c r="P18" s="59">
        <v>1.42</v>
      </c>
      <c r="Q18" s="59">
        <v>35.03</v>
      </c>
      <c r="R18" s="197"/>
      <c r="S18" s="197"/>
      <c r="T18" s="197"/>
      <c r="U18" s="197"/>
    </row>
    <row r="19" spans="1:21" s="12" customFormat="1" x14ac:dyDescent="0.25">
      <c r="A19" s="200" t="s">
        <v>1218</v>
      </c>
      <c r="B19" s="59">
        <v>20.32</v>
      </c>
      <c r="C19" s="59">
        <v>108.24</v>
      </c>
      <c r="D19" s="59">
        <v>75.06</v>
      </c>
      <c r="E19" s="59">
        <v>3.9</v>
      </c>
      <c r="F19" s="59">
        <v>3.11</v>
      </c>
      <c r="G19" s="59">
        <v>51.71</v>
      </c>
      <c r="H19" s="59">
        <v>35</v>
      </c>
      <c r="I19" s="59">
        <v>0.73</v>
      </c>
      <c r="J19" s="59">
        <v>0.68</v>
      </c>
      <c r="K19" s="59">
        <v>191.93</v>
      </c>
      <c r="L19" s="59">
        <v>23.42</v>
      </c>
      <c r="M19" s="59">
        <v>48.12</v>
      </c>
      <c r="N19" s="59">
        <v>4.4000000000000004</v>
      </c>
      <c r="O19" s="59">
        <v>0</v>
      </c>
      <c r="P19" s="59">
        <v>1.32</v>
      </c>
      <c r="Q19" s="59">
        <v>35.369999999999997</v>
      </c>
      <c r="R19" s="197"/>
      <c r="S19" s="197"/>
      <c r="T19" s="197"/>
      <c r="U19" s="197"/>
    </row>
    <row r="20" spans="1:21" s="12" customFormat="1" x14ac:dyDescent="0.25">
      <c r="A20" s="200" t="s">
        <v>1219</v>
      </c>
      <c r="B20" s="59">
        <v>18.350000000000001</v>
      </c>
      <c r="C20" s="59">
        <v>108.76</v>
      </c>
      <c r="D20" s="59">
        <v>73.77</v>
      </c>
      <c r="E20" s="59">
        <v>4.17</v>
      </c>
      <c r="F20" s="59">
        <v>3.22</v>
      </c>
      <c r="G20" s="59">
        <v>41.13</v>
      </c>
      <c r="H20" s="59">
        <v>31.29</v>
      </c>
      <c r="I20" s="59">
        <v>0.71</v>
      </c>
      <c r="J20" s="59">
        <v>0.33</v>
      </c>
      <c r="K20" s="59">
        <v>204.47</v>
      </c>
      <c r="L20" s="59">
        <v>23.24</v>
      </c>
      <c r="M20" s="59">
        <v>48.87</v>
      </c>
      <c r="N20" s="59">
        <v>4.7</v>
      </c>
      <c r="O20" s="59">
        <v>0</v>
      </c>
      <c r="P20" s="59">
        <v>1.34</v>
      </c>
      <c r="Q20" s="59">
        <v>35.979999999999997</v>
      </c>
      <c r="R20" s="197"/>
      <c r="S20" s="197"/>
      <c r="T20" s="197"/>
      <c r="U20" s="197"/>
    </row>
    <row r="21" spans="1:21" s="12" customFormat="1" x14ac:dyDescent="0.25">
      <c r="A21" s="200" t="s">
        <v>1220</v>
      </c>
      <c r="B21" s="59">
        <v>15.73</v>
      </c>
      <c r="C21" s="59">
        <v>108.28</v>
      </c>
      <c r="D21" s="59">
        <v>71.41</v>
      </c>
      <c r="E21" s="59">
        <v>4.5</v>
      </c>
      <c r="F21" s="59">
        <v>3.23</v>
      </c>
      <c r="G21" s="59">
        <v>40.64</v>
      </c>
      <c r="H21" s="59">
        <v>31.12</v>
      </c>
      <c r="I21" s="59">
        <v>0.69</v>
      </c>
      <c r="J21" s="59">
        <v>0.08</v>
      </c>
      <c r="K21" s="59">
        <v>280.35000000000002</v>
      </c>
      <c r="L21" s="59">
        <v>22.74</v>
      </c>
      <c r="M21" s="59">
        <v>50.85</v>
      </c>
      <c r="N21" s="59">
        <v>5</v>
      </c>
      <c r="O21" s="59">
        <v>0</v>
      </c>
      <c r="P21" s="59">
        <v>1.28</v>
      </c>
      <c r="Q21" s="59">
        <v>36.18</v>
      </c>
      <c r="R21" s="197"/>
      <c r="S21" s="197"/>
      <c r="T21" s="197"/>
      <c r="U21" s="197"/>
    </row>
    <row r="22" spans="1:21" s="12" customFormat="1" x14ac:dyDescent="0.25">
      <c r="A22" s="200" t="s">
        <v>1221</v>
      </c>
      <c r="B22" s="59">
        <v>13.42</v>
      </c>
      <c r="C22" s="59">
        <v>107.61</v>
      </c>
      <c r="D22" s="59">
        <v>69.19</v>
      </c>
      <c r="E22" s="59">
        <v>4.1500000000000004</v>
      </c>
      <c r="F22" s="59">
        <v>3.22</v>
      </c>
      <c r="G22" s="59">
        <v>40.64</v>
      </c>
      <c r="H22" s="59">
        <v>31.12</v>
      </c>
      <c r="I22" s="59">
        <v>0.69</v>
      </c>
      <c r="J22" s="59">
        <v>0.26</v>
      </c>
      <c r="K22" s="59">
        <v>359.5</v>
      </c>
      <c r="L22" s="59">
        <v>22.11</v>
      </c>
      <c r="M22" s="59">
        <v>56.17</v>
      </c>
      <c r="N22" s="59">
        <v>5.3</v>
      </c>
      <c r="O22" s="59">
        <v>0</v>
      </c>
      <c r="P22" s="59">
        <v>1.23</v>
      </c>
      <c r="Q22" s="59">
        <v>36.15</v>
      </c>
      <c r="R22" s="197"/>
      <c r="S22" s="197"/>
      <c r="T22" s="197"/>
      <c r="U22" s="197"/>
    </row>
    <row r="23" spans="1:21" s="12" customFormat="1" x14ac:dyDescent="0.25">
      <c r="A23" s="200" t="s">
        <v>1222</v>
      </c>
      <c r="B23" s="59">
        <v>11.76</v>
      </c>
      <c r="C23" s="59">
        <v>106.83</v>
      </c>
      <c r="D23" s="59">
        <v>67.430000000000007</v>
      </c>
      <c r="E23" s="59">
        <v>3.91</v>
      </c>
      <c r="F23" s="59">
        <v>3.07</v>
      </c>
      <c r="G23" s="59">
        <v>40.64</v>
      </c>
      <c r="H23" s="59">
        <v>31.12</v>
      </c>
      <c r="I23" s="59">
        <v>0.69</v>
      </c>
      <c r="J23" s="59">
        <v>0.09</v>
      </c>
      <c r="K23" s="59">
        <v>330.51</v>
      </c>
      <c r="L23" s="59">
        <v>21.3</v>
      </c>
      <c r="M23" s="59">
        <v>58.7</v>
      </c>
      <c r="N23" s="59">
        <v>5.2</v>
      </c>
      <c r="O23" s="59">
        <v>0</v>
      </c>
      <c r="P23" s="59">
        <v>1.18</v>
      </c>
      <c r="Q23" s="59">
        <v>36.03</v>
      </c>
      <c r="R23" s="197"/>
      <c r="S23" s="197"/>
      <c r="T23" s="197"/>
      <c r="U23" s="197"/>
    </row>
    <row r="24" spans="1:21" s="12" customFormat="1" x14ac:dyDescent="0.25">
      <c r="A24" s="200" t="s">
        <v>1223</v>
      </c>
      <c r="B24" s="59">
        <v>10.44</v>
      </c>
      <c r="C24" s="59">
        <v>107.15</v>
      </c>
      <c r="D24" s="59">
        <v>66.540000000000006</v>
      </c>
      <c r="E24" s="59">
        <v>1.02</v>
      </c>
      <c r="F24" s="59">
        <v>3</v>
      </c>
      <c r="G24" s="59">
        <v>38.35</v>
      </c>
      <c r="H24" s="59">
        <v>28.72</v>
      </c>
      <c r="I24" s="59">
        <v>0.67</v>
      </c>
      <c r="J24" s="59">
        <v>0.1</v>
      </c>
      <c r="K24" s="59">
        <v>289.44</v>
      </c>
      <c r="L24" s="59">
        <v>21.42</v>
      </c>
      <c r="M24" s="59">
        <v>55.54</v>
      </c>
      <c r="N24" s="59">
        <v>4.7</v>
      </c>
      <c r="O24" s="59">
        <v>0</v>
      </c>
      <c r="P24" s="59">
        <v>1.1299999999999999</v>
      </c>
      <c r="Q24" s="59">
        <v>35.520000000000003</v>
      </c>
      <c r="R24" s="197"/>
      <c r="S24" s="197"/>
      <c r="T24" s="197"/>
      <c r="U24" s="197"/>
    </row>
    <row r="25" spans="1:21" s="12" customFormat="1" x14ac:dyDescent="0.25">
      <c r="A25" s="200" t="s">
        <v>1224</v>
      </c>
      <c r="B25" s="59">
        <v>9.1999999999999993</v>
      </c>
      <c r="C25" s="59">
        <v>106.81</v>
      </c>
      <c r="D25" s="59">
        <v>65.36</v>
      </c>
      <c r="E25" s="59">
        <v>2.67</v>
      </c>
      <c r="F25" s="59">
        <v>3.13</v>
      </c>
      <c r="G25" s="59">
        <v>38.21</v>
      </c>
      <c r="H25" s="59">
        <v>28.61</v>
      </c>
      <c r="I25" s="59">
        <v>0.65</v>
      </c>
      <c r="J25" s="59">
        <v>0.1</v>
      </c>
      <c r="K25" s="59">
        <v>299.52999999999997</v>
      </c>
      <c r="L25" s="59">
        <v>21.68</v>
      </c>
      <c r="M25" s="59">
        <v>54.61</v>
      </c>
      <c r="N25" s="59">
        <v>4.7</v>
      </c>
      <c r="O25" s="59">
        <v>0</v>
      </c>
      <c r="P25" s="59">
        <v>1.0900000000000001</v>
      </c>
      <c r="Q25" s="59">
        <v>35.57</v>
      </c>
      <c r="R25" s="197"/>
      <c r="S25" s="197"/>
      <c r="T25" s="197"/>
      <c r="U25" s="197"/>
    </row>
    <row r="26" spans="1:21" s="12" customFormat="1" x14ac:dyDescent="0.25">
      <c r="A26" s="200" t="s">
        <v>1225</v>
      </c>
      <c r="B26" s="59">
        <v>8.34</v>
      </c>
      <c r="C26" s="59">
        <v>106.68</v>
      </c>
      <c r="D26" s="59">
        <v>64.599999999999994</v>
      </c>
      <c r="E26" s="59">
        <v>2.93</v>
      </c>
      <c r="F26" s="59">
        <v>3.02</v>
      </c>
      <c r="G26" s="59">
        <v>38.21</v>
      </c>
      <c r="H26" s="59">
        <v>28.61</v>
      </c>
      <c r="I26" s="59">
        <v>0.64</v>
      </c>
      <c r="J26" s="59">
        <v>0.11</v>
      </c>
      <c r="K26" s="59">
        <v>346.41</v>
      </c>
      <c r="L26" s="59">
        <v>21.3</v>
      </c>
      <c r="M26" s="59">
        <v>57.39</v>
      </c>
      <c r="N26" s="59">
        <v>4.8</v>
      </c>
      <c r="O26" s="59">
        <v>0</v>
      </c>
      <c r="P26" s="59">
        <v>1.03</v>
      </c>
      <c r="Q26" s="59">
        <v>35.32</v>
      </c>
      <c r="R26" s="197"/>
      <c r="S26" s="197"/>
      <c r="T26" s="197"/>
      <c r="U26" s="197"/>
    </row>
    <row r="27" spans="1:21" s="12" customFormat="1" x14ac:dyDescent="0.25">
      <c r="A27" s="200" t="s">
        <v>1226</v>
      </c>
      <c r="B27" s="59">
        <v>8.32</v>
      </c>
      <c r="C27" s="59">
        <v>105.29</v>
      </c>
      <c r="D27" s="59">
        <v>63.82</v>
      </c>
      <c r="E27" s="59">
        <v>2.0499999999999998</v>
      </c>
      <c r="F27" s="59">
        <v>3.13</v>
      </c>
      <c r="G27" s="59">
        <v>38.21</v>
      </c>
      <c r="H27" s="59">
        <v>28.61</v>
      </c>
      <c r="I27" s="59">
        <v>0.63</v>
      </c>
      <c r="J27" s="59">
        <v>0.05</v>
      </c>
      <c r="K27" s="59">
        <v>163.54</v>
      </c>
      <c r="L27" s="59">
        <v>21.14</v>
      </c>
      <c r="M27" s="59">
        <v>58.58</v>
      </c>
      <c r="N27" s="59">
        <v>4.5999999999999996</v>
      </c>
      <c r="O27" s="59">
        <v>0</v>
      </c>
      <c r="P27" s="59">
        <v>0.96</v>
      </c>
      <c r="Q27" s="59">
        <v>34.950000000000003</v>
      </c>
      <c r="R27" s="197"/>
      <c r="S27" s="197"/>
      <c r="T27" s="197"/>
      <c r="U27" s="197"/>
    </row>
    <row r="28" spans="1:21" s="12" customFormat="1" x14ac:dyDescent="0.25">
      <c r="A28" s="200" t="s">
        <v>1227</v>
      </c>
      <c r="B28" s="59">
        <v>8.83</v>
      </c>
      <c r="C28" s="59">
        <v>105.51</v>
      </c>
      <c r="D28" s="59">
        <v>64.349999999999994</v>
      </c>
      <c r="E28" s="59">
        <v>1.76</v>
      </c>
      <c r="F28" s="59">
        <v>3.19</v>
      </c>
      <c r="G28" s="59">
        <v>55.58</v>
      </c>
      <c r="H28" s="59">
        <v>28.09</v>
      </c>
      <c r="I28" s="59">
        <v>0.6</v>
      </c>
      <c r="J28" s="59">
        <v>0.18</v>
      </c>
      <c r="K28" s="59">
        <v>112.23</v>
      </c>
      <c r="L28" s="59">
        <v>21.49</v>
      </c>
      <c r="M28" s="59">
        <v>56.56</v>
      </c>
      <c r="N28" s="59">
        <v>4.3</v>
      </c>
      <c r="O28" s="59">
        <v>0</v>
      </c>
      <c r="P28" s="59">
        <v>0.96</v>
      </c>
      <c r="Q28" s="59">
        <v>34.24</v>
      </c>
      <c r="R28" s="197"/>
      <c r="S28" s="197"/>
      <c r="T28" s="197"/>
      <c r="U28" s="197"/>
    </row>
    <row r="29" spans="1:21" s="12" customFormat="1" x14ac:dyDescent="0.25">
      <c r="A29" s="200" t="s">
        <v>1228</v>
      </c>
      <c r="B29" s="59">
        <v>9.44</v>
      </c>
      <c r="C29" s="59">
        <v>105.26</v>
      </c>
      <c r="D29" s="59">
        <v>64.69</v>
      </c>
      <c r="E29" s="59">
        <v>1.87</v>
      </c>
      <c r="F29" s="59">
        <v>3.09</v>
      </c>
      <c r="G29" s="59">
        <v>56.6</v>
      </c>
      <c r="H29" s="59">
        <v>28.07</v>
      </c>
      <c r="I29" s="59">
        <v>0.57999999999999996</v>
      </c>
      <c r="J29" s="59">
        <v>0.17</v>
      </c>
      <c r="K29" s="59">
        <v>265.32</v>
      </c>
      <c r="L29" s="59">
        <v>21.4</v>
      </c>
      <c r="M29" s="59">
        <v>56.98</v>
      </c>
      <c r="N29" s="59">
        <v>4.5</v>
      </c>
      <c r="O29" s="59">
        <v>0</v>
      </c>
      <c r="P29" s="59">
        <v>0.98</v>
      </c>
      <c r="Q29" s="59">
        <v>34.51</v>
      </c>
      <c r="R29" s="197"/>
      <c r="S29" s="197"/>
      <c r="T29" s="197"/>
      <c r="U29" s="197"/>
    </row>
    <row r="30" spans="1:21" s="12" customFormat="1" x14ac:dyDescent="0.25">
      <c r="A30" s="200" t="s">
        <v>1229</v>
      </c>
      <c r="B30" s="59">
        <v>10.27</v>
      </c>
      <c r="C30" s="59">
        <v>105.24</v>
      </c>
      <c r="D30" s="59">
        <v>65.349999999999994</v>
      </c>
      <c r="E30" s="59">
        <v>2.08</v>
      </c>
      <c r="F30" s="59">
        <v>2.99</v>
      </c>
      <c r="G30" s="59">
        <v>56.6</v>
      </c>
      <c r="H30" s="59">
        <v>28.07</v>
      </c>
      <c r="I30" s="59">
        <v>0.57999999999999996</v>
      </c>
      <c r="J30" s="59">
        <v>0.12</v>
      </c>
      <c r="K30" s="59">
        <v>5.89</v>
      </c>
      <c r="L30" s="59">
        <v>20.91</v>
      </c>
      <c r="M30" s="59">
        <v>60.18</v>
      </c>
      <c r="N30" s="59">
        <v>5</v>
      </c>
      <c r="O30" s="59">
        <v>0</v>
      </c>
      <c r="P30" s="59">
        <v>1.02</v>
      </c>
      <c r="Q30" s="59">
        <v>34.590000000000003</v>
      </c>
      <c r="R30" s="197"/>
      <c r="S30" s="197"/>
      <c r="T30" s="197"/>
      <c r="U30" s="197"/>
    </row>
    <row r="31" spans="1:21" s="12" customFormat="1" x14ac:dyDescent="0.25">
      <c r="A31" s="200" t="s">
        <v>1230</v>
      </c>
      <c r="B31" s="59">
        <v>12.13</v>
      </c>
      <c r="C31" s="59">
        <v>105.5</v>
      </c>
      <c r="D31" s="59">
        <v>66.989999999999995</v>
      </c>
      <c r="E31" s="59">
        <v>2.23</v>
      </c>
      <c r="F31" s="59">
        <v>2.91</v>
      </c>
      <c r="G31" s="59">
        <v>56.6</v>
      </c>
      <c r="H31" s="59">
        <v>28.07</v>
      </c>
      <c r="I31" s="59">
        <v>0.6</v>
      </c>
      <c r="J31" s="59">
        <v>0.09</v>
      </c>
      <c r="K31" s="59">
        <v>356.73</v>
      </c>
      <c r="L31" s="59">
        <v>20.43</v>
      </c>
      <c r="M31" s="59">
        <v>62.14</v>
      </c>
      <c r="N31" s="59">
        <v>4.8</v>
      </c>
      <c r="O31" s="59">
        <v>0</v>
      </c>
      <c r="P31" s="59">
        <v>1.01</v>
      </c>
      <c r="Q31" s="59">
        <v>34.83</v>
      </c>
      <c r="R31" s="197"/>
      <c r="S31" s="197"/>
      <c r="T31" s="197"/>
      <c r="U31" s="197"/>
    </row>
    <row r="32" spans="1:21" s="12" customFormat="1" x14ac:dyDescent="0.25">
      <c r="A32" s="200" t="s">
        <v>1231</v>
      </c>
      <c r="B32" s="59">
        <v>14.24</v>
      </c>
      <c r="C32" s="59">
        <v>106.09</v>
      </c>
      <c r="D32" s="59">
        <v>69.010000000000005</v>
      </c>
      <c r="E32" s="59">
        <v>2.68</v>
      </c>
      <c r="F32" s="59">
        <v>3.05</v>
      </c>
      <c r="G32" s="59">
        <v>55.41</v>
      </c>
      <c r="H32" s="59">
        <v>28.68</v>
      </c>
      <c r="I32" s="59">
        <v>0.6</v>
      </c>
      <c r="J32" s="59">
        <v>0.11</v>
      </c>
      <c r="K32" s="59">
        <v>270.70999999999998</v>
      </c>
      <c r="L32" s="59">
        <v>20.62</v>
      </c>
      <c r="M32" s="59">
        <v>60.68</v>
      </c>
      <c r="N32" s="59">
        <v>4.5999999999999996</v>
      </c>
      <c r="O32" s="59">
        <v>0</v>
      </c>
      <c r="P32" s="59">
        <v>0.95</v>
      </c>
      <c r="Q32" s="59">
        <v>34.950000000000003</v>
      </c>
      <c r="R32" s="197"/>
      <c r="S32" s="197"/>
      <c r="T32" s="197"/>
      <c r="U32" s="197"/>
    </row>
    <row r="33" spans="1:21" s="12" customFormat="1" x14ac:dyDescent="0.25">
      <c r="A33" s="200" t="s">
        <v>1232</v>
      </c>
      <c r="B33" s="59">
        <v>15.89</v>
      </c>
      <c r="C33" s="59">
        <v>106.41</v>
      </c>
      <c r="D33" s="59">
        <v>70.510000000000005</v>
      </c>
      <c r="E33" s="59">
        <v>2.06</v>
      </c>
      <c r="F33" s="59">
        <v>2.99</v>
      </c>
      <c r="G33" s="59">
        <v>55.34</v>
      </c>
      <c r="H33" s="59">
        <v>28.71</v>
      </c>
      <c r="I33" s="59">
        <v>0.6</v>
      </c>
      <c r="J33" s="59">
        <v>0.13</v>
      </c>
      <c r="K33" s="59">
        <v>342.89</v>
      </c>
      <c r="L33" s="59">
        <v>20.91</v>
      </c>
      <c r="M33" s="59">
        <v>60.65</v>
      </c>
      <c r="N33" s="59">
        <v>7.4</v>
      </c>
      <c r="O33" s="59">
        <v>0</v>
      </c>
      <c r="P33" s="59">
        <v>0.98</v>
      </c>
      <c r="Q33" s="59">
        <v>35.270000000000003</v>
      </c>
      <c r="R33" s="197"/>
      <c r="S33" s="197"/>
      <c r="T33" s="197"/>
      <c r="U33" s="197"/>
    </row>
    <row r="34" spans="1:21" s="12" customFormat="1" x14ac:dyDescent="0.25">
      <c r="A34" s="200" t="s">
        <v>1233</v>
      </c>
      <c r="B34" s="59">
        <v>17.32</v>
      </c>
      <c r="C34" s="59">
        <v>107.01</v>
      </c>
      <c r="D34" s="59">
        <v>71.98</v>
      </c>
      <c r="E34" s="59">
        <v>2.57</v>
      </c>
      <c r="F34" s="59">
        <v>2.98</v>
      </c>
      <c r="G34" s="59">
        <v>55.34</v>
      </c>
      <c r="H34" s="59">
        <v>28.71</v>
      </c>
      <c r="I34" s="59">
        <v>0.62</v>
      </c>
      <c r="J34" s="59">
        <v>0.14000000000000001</v>
      </c>
      <c r="K34" s="59">
        <v>218.54</v>
      </c>
      <c r="L34" s="59">
        <v>21.3</v>
      </c>
      <c r="M34" s="59">
        <v>58.33</v>
      </c>
      <c r="N34" s="59">
        <v>17.8</v>
      </c>
      <c r="O34" s="59">
        <v>0</v>
      </c>
      <c r="P34" s="59">
        <v>0.99</v>
      </c>
      <c r="Q34" s="59">
        <v>36</v>
      </c>
      <c r="R34" s="197"/>
      <c r="S34" s="197"/>
      <c r="T34" s="197"/>
      <c r="U34" s="197"/>
    </row>
    <row r="35" spans="1:21" s="12" customFormat="1" x14ac:dyDescent="0.25">
      <c r="A35" s="200" t="s">
        <v>1234</v>
      </c>
      <c r="B35" s="59">
        <v>18.14</v>
      </c>
      <c r="C35" s="59">
        <v>108.53</v>
      </c>
      <c r="D35" s="59">
        <v>73.48</v>
      </c>
      <c r="E35" s="59">
        <v>3.04</v>
      </c>
      <c r="F35" s="59">
        <v>2.5099999999999998</v>
      </c>
      <c r="G35" s="59">
        <v>55.34</v>
      </c>
      <c r="H35" s="59">
        <v>28.71</v>
      </c>
      <c r="I35" s="59">
        <v>0.62</v>
      </c>
      <c r="J35" s="59">
        <v>0.24</v>
      </c>
      <c r="K35" s="59">
        <v>13.16</v>
      </c>
      <c r="L35" s="59">
        <v>21.6</v>
      </c>
      <c r="M35" s="59">
        <v>58.9</v>
      </c>
      <c r="N35" s="59">
        <v>37.700000000000003</v>
      </c>
      <c r="O35" s="59">
        <v>0</v>
      </c>
      <c r="P35" s="59">
        <v>0.96</v>
      </c>
      <c r="Q35" s="59">
        <v>36.450000000000003</v>
      </c>
      <c r="R35" s="197"/>
      <c r="S35" s="197"/>
      <c r="T35" s="197"/>
      <c r="U35" s="197"/>
    </row>
    <row r="36" spans="1:21" s="12" customFormat="1" x14ac:dyDescent="0.25">
      <c r="A36" s="200" t="s">
        <v>1235</v>
      </c>
      <c r="B36" s="59">
        <v>20.75</v>
      </c>
      <c r="C36" s="59">
        <v>110.41</v>
      </c>
      <c r="D36" s="59">
        <v>76.61</v>
      </c>
      <c r="E36" s="59">
        <v>2.44</v>
      </c>
      <c r="F36" s="59">
        <v>3.26</v>
      </c>
      <c r="G36" s="59">
        <v>42.67</v>
      </c>
      <c r="H36" s="59">
        <v>31.29</v>
      </c>
      <c r="I36" s="59">
        <v>0.63</v>
      </c>
      <c r="J36" s="59">
        <v>0.3</v>
      </c>
      <c r="K36" s="59">
        <v>27.72</v>
      </c>
      <c r="L36" s="59">
        <v>21.83</v>
      </c>
      <c r="M36" s="59">
        <v>60.07</v>
      </c>
      <c r="N36" s="59">
        <v>75.900000000000006</v>
      </c>
      <c r="O36" s="59">
        <v>0</v>
      </c>
      <c r="P36" s="59">
        <v>1</v>
      </c>
      <c r="Q36" s="59">
        <v>36.35</v>
      </c>
      <c r="R36" s="197"/>
      <c r="S36" s="197"/>
      <c r="T36" s="197"/>
      <c r="U36" s="197"/>
    </row>
    <row r="37" spans="1:21" s="12" customFormat="1" x14ac:dyDescent="0.25">
      <c r="A37" s="200" t="s">
        <v>1236</v>
      </c>
      <c r="B37" s="59">
        <v>22.22</v>
      </c>
      <c r="C37" s="59">
        <v>111.4</v>
      </c>
      <c r="D37" s="59">
        <v>78.34</v>
      </c>
      <c r="E37" s="59">
        <v>2.8</v>
      </c>
      <c r="F37" s="59">
        <v>3.07</v>
      </c>
      <c r="G37" s="59">
        <v>41.92</v>
      </c>
      <c r="H37" s="59">
        <v>31.44</v>
      </c>
      <c r="I37" s="59">
        <v>0.63</v>
      </c>
      <c r="J37" s="59">
        <v>0.31</v>
      </c>
      <c r="K37" s="59">
        <v>30.04</v>
      </c>
      <c r="L37" s="59">
        <v>23.14</v>
      </c>
      <c r="M37" s="59">
        <v>56.97</v>
      </c>
      <c r="N37" s="59">
        <v>114.5</v>
      </c>
      <c r="O37" s="59">
        <v>0</v>
      </c>
      <c r="P37" s="59">
        <v>1.05</v>
      </c>
      <c r="Q37" s="59">
        <v>36.380000000000003</v>
      </c>
      <c r="R37" s="197"/>
      <c r="S37" s="197"/>
      <c r="T37" s="197"/>
      <c r="U37" s="197"/>
    </row>
    <row r="38" spans="1:21" s="12" customFormat="1" x14ac:dyDescent="0.25">
      <c r="A38" s="200" t="s">
        <v>1237</v>
      </c>
      <c r="B38" s="59">
        <v>22.82</v>
      </c>
      <c r="C38" s="59">
        <v>113.02</v>
      </c>
      <c r="D38" s="59">
        <v>79.709999999999994</v>
      </c>
      <c r="E38" s="59">
        <v>2.69</v>
      </c>
      <c r="F38" s="59">
        <v>3.15</v>
      </c>
      <c r="G38" s="59">
        <v>41.92</v>
      </c>
      <c r="H38" s="59">
        <v>31.44</v>
      </c>
      <c r="I38" s="59">
        <v>0.63</v>
      </c>
      <c r="J38" s="59">
        <v>0.11</v>
      </c>
      <c r="K38" s="59">
        <v>102.8</v>
      </c>
      <c r="L38" s="59">
        <v>24.68</v>
      </c>
      <c r="M38" s="59">
        <v>51.05</v>
      </c>
      <c r="N38" s="59">
        <v>160.19999999999999</v>
      </c>
      <c r="O38" s="59">
        <v>0</v>
      </c>
      <c r="P38" s="59">
        <v>1.1200000000000001</v>
      </c>
      <c r="Q38" s="59">
        <v>36.229999999999997</v>
      </c>
      <c r="R38" s="197"/>
      <c r="S38" s="197"/>
      <c r="T38" s="197"/>
      <c r="U38" s="197"/>
    </row>
    <row r="39" spans="1:21" s="12" customFormat="1" x14ac:dyDescent="0.25">
      <c r="A39" s="200" t="s">
        <v>1238</v>
      </c>
      <c r="B39" s="59">
        <v>22.61</v>
      </c>
      <c r="C39" s="59">
        <v>114.73</v>
      </c>
      <c r="D39" s="59">
        <v>80.489999999999995</v>
      </c>
      <c r="E39" s="59">
        <v>2.48</v>
      </c>
      <c r="F39" s="59">
        <v>2.99</v>
      </c>
      <c r="G39" s="59">
        <v>41.92</v>
      </c>
      <c r="H39" s="59">
        <v>31.44</v>
      </c>
      <c r="I39" s="59">
        <v>0.63</v>
      </c>
      <c r="J39" s="59">
        <v>0.25</v>
      </c>
      <c r="K39" s="59">
        <v>25.03</v>
      </c>
      <c r="L39" s="59">
        <v>26.84</v>
      </c>
      <c r="M39" s="59">
        <v>45.74</v>
      </c>
      <c r="N39" s="59">
        <v>207.4</v>
      </c>
      <c r="O39" s="59">
        <v>0</v>
      </c>
      <c r="P39" s="59">
        <v>1.1100000000000001</v>
      </c>
      <c r="Q39" s="59">
        <v>36.130000000000003</v>
      </c>
      <c r="R39" s="197"/>
      <c r="S39" s="197"/>
      <c r="T39" s="197"/>
      <c r="U39" s="197"/>
    </row>
    <row r="40" spans="1:21" s="12" customFormat="1" x14ac:dyDescent="0.25">
      <c r="A40" s="200" t="s">
        <v>1239</v>
      </c>
      <c r="B40" s="59">
        <v>21.89</v>
      </c>
      <c r="C40" s="59">
        <v>117.09</v>
      </c>
      <c r="D40" s="59">
        <v>81.209999999999994</v>
      </c>
      <c r="E40" s="59">
        <v>2.2200000000000002</v>
      </c>
      <c r="F40" s="59">
        <v>2.96</v>
      </c>
      <c r="G40" s="59">
        <v>110.5</v>
      </c>
      <c r="H40" s="59">
        <v>31.18</v>
      </c>
      <c r="I40" s="59">
        <v>0.62</v>
      </c>
      <c r="J40" s="59">
        <v>0.16</v>
      </c>
      <c r="K40" s="59">
        <v>18.13</v>
      </c>
      <c r="L40" s="59">
        <v>27.79</v>
      </c>
      <c r="M40" s="59">
        <v>43.4</v>
      </c>
      <c r="N40" s="59">
        <v>264.2</v>
      </c>
      <c r="O40" s="59">
        <v>0</v>
      </c>
      <c r="P40" s="59">
        <v>1.1000000000000001</v>
      </c>
      <c r="Q40" s="59">
        <v>35.76</v>
      </c>
      <c r="R40" s="197"/>
      <c r="S40" s="197"/>
      <c r="T40" s="197"/>
      <c r="U40" s="197"/>
    </row>
    <row r="41" spans="1:21" s="12" customFormat="1" x14ac:dyDescent="0.25">
      <c r="A41" s="200" t="s">
        <v>1240</v>
      </c>
      <c r="B41" s="59">
        <v>20.79</v>
      </c>
      <c r="C41" s="59">
        <v>116.69</v>
      </c>
      <c r="D41" s="59">
        <v>80.11</v>
      </c>
      <c r="E41" s="59">
        <v>3.38</v>
      </c>
      <c r="F41" s="59">
        <v>3.07</v>
      </c>
      <c r="G41" s="59">
        <v>113.69</v>
      </c>
      <c r="H41" s="59">
        <v>31.17</v>
      </c>
      <c r="I41" s="59">
        <v>0.62</v>
      </c>
      <c r="J41" s="59">
        <v>0.66</v>
      </c>
      <c r="K41" s="59">
        <v>13.57</v>
      </c>
      <c r="L41" s="59">
        <v>28.63</v>
      </c>
      <c r="M41" s="59">
        <v>40.549999999999997</v>
      </c>
      <c r="N41" s="59">
        <v>311.39999999999998</v>
      </c>
      <c r="O41" s="59">
        <v>0</v>
      </c>
      <c r="P41" s="59">
        <v>1.0900000000000001</v>
      </c>
      <c r="Q41" s="59">
        <v>35.65</v>
      </c>
      <c r="R41" s="197"/>
      <c r="S41" s="197"/>
      <c r="T41" s="197"/>
      <c r="U41" s="197"/>
    </row>
    <row r="42" spans="1:21" s="12" customFormat="1" x14ac:dyDescent="0.25">
      <c r="A42" s="200" t="s">
        <v>1241</v>
      </c>
      <c r="B42" s="59">
        <v>20.63</v>
      </c>
      <c r="C42" s="59">
        <v>116.72</v>
      </c>
      <c r="D42" s="59">
        <v>80</v>
      </c>
      <c r="E42" s="59">
        <v>3.64</v>
      </c>
      <c r="F42" s="59">
        <v>2.99</v>
      </c>
      <c r="G42" s="59">
        <v>113.69</v>
      </c>
      <c r="H42" s="59">
        <v>31.17</v>
      </c>
      <c r="I42" s="59">
        <v>0.61</v>
      </c>
      <c r="J42" s="59">
        <v>0.56999999999999995</v>
      </c>
      <c r="K42" s="59">
        <v>84.15</v>
      </c>
      <c r="L42" s="59">
        <v>27.75</v>
      </c>
      <c r="M42" s="59">
        <v>42.73</v>
      </c>
      <c r="N42" s="59">
        <v>368.6</v>
      </c>
      <c r="O42" s="59">
        <v>0</v>
      </c>
      <c r="P42" s="59">
        <v>1.1000000000000001</v>
      </c>
      <c r="Q42" s="59">
        <v>35.19</v>
      </c>
      <c r="R42" s="197"/>
      <c r="S42" s="197"/>
      <c r="T42" s="197"/>
      <c r="U42" s="197"/>
    </row>
    <row r="43" spans="1:21" s="12" customFormat="1" x14ac:dyDescent="0.25">
      <c r="A43" s="200" t="s">
        <v>1242</v>
      </c>
      <c r="B43" s="59">
        <v>20.260000000000002</v>
      </c>
      <c r="C43" s="59">
        <v>117.36</v>
      </c>
      <c r="D43" s="59">
        <v>80.05</v>
      </c>
      <c r="E43" s="59">
        <v>3.17</v>
      </c>
      <c r="F43" s="59">
        <v>3.07</v>
      </c>
      <c r="G43" s="59">
        <v>113.69</v>
      </c>
      <c r="H43" s="59">
        <v>31.17</v>
      </c>
      <c r="I43" s="59">
        <v>0.61</v>
      </c>
      <c r="J43" s="59">
        <v>0.52</v>
      </c>
      <c r="K43" s="59">
        <v>23.34</v>
      </c>
      <c r="L43" s="59">
        <v>28.5</v>
      </c>
      <c r="M43" s="59">
        <v>40.36</v>
      </c>
      <c r="N43" s="59">
        <v>416.3</v>
      </c>
      <c r="O43" s="59">
        <v>0</v>
      </c>
      <c r="P43" s="59">
        <v>1.1299999999999999</v>
      </c>
      <c r="Q43" s="59">
        <v>34.83</v>
      </c>
      <c r="R43" s="197"/>
      <c r="S43" s="197"/>
      <c r="T43" s="197"/>
      <c r="U43" s="197"/>
    </row>
    <row r="44" spans="1:21" s="12" customFormat="1" x14ac:dyDescent="0.25">
      <c r="A44" s="200" t="s">
        <v>1243</v>
      </c>
      <c r="B44" s="59">
        <v>19.739999999999998</v>
      </c>
      <c r="C44" s="59">
        <v>118.19</v>
      </c>
      <c r="D44" s="59">
        <v>80.09</v>
      </c>
      <c r="E44" s="59">
        <v>3.43</v>
      </c>
      <c r="F44" s="59">
        <v>3.09</v>
      </c>
      <c r="G44" s="59">
        <v>64.63</v>
      </c>
      <c r="H44" s="59">
        <v>33.76</v>
      </c>
      <c r="I44" s="59">
        <v>0.62</v>
      </c>
      <c r="J44" s="59">
        <v>0.35</v>
      </c>
      <c r="K44" s="59">
        <v>77.930000000000007</v>
      </c>
      <c r="L44" s="59">
        <v>28.97</v>
      </c>
      <c r="M44" s="59">
        <v>39.96</v>
      </c>
      <c r="N44" s="59">
        <v>466</v>
      </c>
      <c r="O44" s="59">
        <v>0</v>
      </c>
      <c r="P44" s="59">
        <v>1.1499999999999999</v>
      </c>
      <c r="Q44" s="59">
        <v>34.76</v>
      </c>
      <c r="R44" s="197"/>
      <c r="S44" s="197"/>
      <c r="T44" s="197"/>
      <c r="U44" s="197"/>
    </row>
    <row r="45" spans="1:21" s="12" customFormat="1" x14ac:dyDescent="0.25">
      <c r="A45" s="200" t="s">
        <v>1244</v>
      </c>
      <c r="B45" s="59">
        <v>18.97</v>
      </c>
      <c r="C45" s="59">
        <v>118.09</v>
      </c>
      <c r="D45" s="59">
        <v>79.42</v>
      </c>
      <c r="E45" s="59">
        <v>3.58</v>
      </c>
      <c r="F45" s="59">
        <v>2.99</v>
      </c>
      <c r="G45" s="59">
        <v>62.34</v>
      </c>
      <c r="H45" s="59">
        <v>33.880000000000003</v>
      </c>
      <c r="I45" s="59">
        <v>0.62</v>
      </c>
      <c r="J45" s="59">
        <v>0.6</v>
      </c>
      <c r="K45" s="59">
        <v>17.29</v>
      </c>
      <c r="L45" s="59">
        <v>30.2</v>
      </c>
      <c r="M45" s="59">
        <v>36.4</v>
      </c>
      <c r="N45" s="59">
        <v>497.8</v>
      </c>
      <c r="O45" s="59">
        <v>0</v>
      </c>
      <c r="P45" s="59">
        <v>1.17</v>
      </c>
      <c r="Q45" s="59">
        <v>35.01</v>
      </c>
      <c r="R45" s="197"/>
      <c r="S45" s="197"/>
      <c r="T45" s="197"/>
      <c r="U45" s="197"/>
    </row>
    <row r="46" spans="1:21" s="12" customFormat="1" x14ac:dyDescent="0.25">
      <c r="A46" s="200" t="s">
        <v>1245</v>
      </c>
      <c r="B46" s="59">
        <v>17.96</v>
      </c>
      <c r="C46" s="59">
        <v>118.56</v>
      </c>
      <c r="D46" s="59">
        <v>78.87</v>
      </c>
      <c r="E46" s="59">
        <v>4.17</v>
      </c>
      <c r="F46" s="59">
        <v>3.06</v>
      </c>
      <c r="G46" s="59">
        <v>62.34</v>
      </c>
      <c r="H46" s="59">
        <v>33.880000000000003</v>
      </c>
      <c r="I46" s="59">
        <v>0.63</v>
      </c>
      <c r="J46" s="59">
        <v>0.48</v>
      </c>
      <c r="K46" s="59">
        <v>9.7100000000000009</v>
      </c>
      <c r="L46" s="59">
        <v>31.49</v>
      </c>
      <c r="M46" s="59">
        <v>33.92</v>
      </c>
      <c r="N46" s="59">
        <v>535.6</v>
      </c>
      <c r="O46" s="59">
        <v>0</v>
      </c>
      <c r="P46" s="59">
        <v>1.2</v>
      </c>
      <c r="Q46" s="59">
        <v>34.869999999999997</v>
      </c>
      <c r="R46" s="197"/>
      <c r="S46" s="197"/>
      <c r="T46" s="197"/>
      <c r="U46" s="197"/>
    </row>
    <row r="47" spans="1:21" s="12" customFormat="1" x14ac:dyDescent="0.25">
      <c r="A47" s="200" t="s">
        <v>1246</v>
      </c>
      <c r="B47" s="59">
        <v>17.149999999999999</v>
      </c>
      <c r="C47" s="59">
        <v>119.34</v>
      </c>
      <c r="D47" s="59">
        <v>78.650000000000006</v>
      </c>
      <c r="E47" s="59">
        <v>3.66</v>
      </c>
      <c r="F47" s="59">
        <v>3.09</v>
      </c>
      <c r="G47" s="59">
        <v>62.34</v>
      </c>
      <c r="H47" s="59">
        <v>33.880000000000003</v>
      </c>
      <c r="I47" s="59">
        <v>0.63</v>
      </c>
      <c r="J47" s="59">
        <v>0.61</v>
      </c>
      <c r="K47" s="59">
        <v>10.75</v>
      </c>
      <c r="L47" s="59">
        <v>32.14</v>
      </c>
      <c r="M47" s="59">
        <v>33.08</v>
      </c>
      <c r="N47" s="59">
        <v>577.79999999999995</v>
      </c>
      <c r="O47" s="59">
        <v>0</v>
      </c>
      <c r="P47" s="59">
        <v>1.24</v>
      </c>
      <c r="Q47" s="59">
        <v>34.81</v>
      </c>
      <c r="R47" s="197"/>
      <c r="S47" s="197"/>
      <c r="T47" s="197"/>
      <c r="U47" s="197"/>
    </row>
    <row r="48" spans="1:21" s="12" customFormat="1" x14ac:dyDescent="0.25">
      <c r="A48" s="200" t="s">
        <v>1247</v>
      </c>
      <c r="B48" s="59">
        <v>16.46</v>
      </c>
      <c r="C48" s="59">
        <v>120.75</v>
      </c>
      <c r="D48" s="59">
        <v>78.88</v>
      </c>
      <c r="E48" s="59">
        <v>3.72</v>
      </c>
      <c r="F48" s="59">
        <v>3.13</v>
      </c>
      <c r="G48" s="59">
        <v>191.6</v>
      </c>
      <c r="H48" s="59">
        <v>42.36</v>
      </c>
      <c r="I48" s="59">
        <v>0.63</v>
      </c>
      <c r="J48" s="59">
        <v>0.28000000000000003</v>
      </c>
      <c r="K48" s="59">
        <v>66.709999999999994</v>
      </c>
      <c r="L48" s="59">
        <v>31.84</v>
      </c>
      <c r="M48" s="59">
        <v>33.21</v>
      </c>
      <c r="N48" s="59">
        <v>623.5</v>
      </c>
      <c r="O48" s="59">
        <v>0</v>
      </c>
      <c r="P48" s="59">
        <v>1.27</v>
      </c>
      <c r="Q48" s="59">
        <v>35.28</v>
      </c>
      <c r="R48" s="197"/>
      <c r="S48" s="197"/>
      <c r="T48" s="197"/>
      <c r="U48" s="197"/>
    </row>
    <row r="49" spans="1:21" s="12" customFormat="1" x14ac:dyDescent="0.25">
      <c r="A49" s="200" t="s">
        <v>1248</v>
      </c>
      <c r="B49" s="59">
        <v>14.7</v>
      </c>
      <c r="C49" s="59">
        <v>122.57</v>
      </c>
      <c r="D49" s="59">
        <v>78.47</v>
      </c>
      <c r="E49" s="59">
        <v>4.58</v>
      </c>
      <c r="F49" s="59">
        <v>3.47</v>
      </c>
      <c r="G49" s="59">
        <v>197.62</v>
      </c>
      <c r="H49" s="59">
        <v>42.75</v>
      </c>
      <c r="I49" s="59">
        <v>0.64</v>
      </c>
      <c r="J49" s="59">
        <v>0.39</v>
      </c>
      <c r="K49" s="59">
        <v>28.62</v>
      </c>
      <c r="L49" s="59">
        <v>32.19</v>
      </c>
      <c r="M49" s="59">
        <v>32.21</v>
      </c>
      <c r="N49" s="59">
        <v>669.6</v>
      </c>
      <c r="O49" s="59">
        <v>0</v>
      </c>
      <c r="P49" s="59">
        <v>1.29</v>
      </c>
      <c r="Q49" s="59">
        <v>36.39</v>
      </c>
      <c r="R49" s="197"/>
      <c r="S49" s="197"/>
      <c r="T49" s="197"/>
      <c r="U49" s="197"/>
    </row>
    <row r="50" spans="1:21" s="12" customFormat="1" x14ac:dyDescent="0.25">
      <c r="A50" s="200" t="s">
        <v>1249</v>
      </c>
      <c r="B50" s="59">
        <v>12.27</v>
      </c>
      <c r="C50" s="59">
        <v>125.43</v>
      </c>
      <c r="D50" s="59">
        <v>78.099999999999994</v>
      </c>
      <c r="E50" s="59">
        <v>4.8099999999999996</v>
      </c>
      <c r="F50" s="59">
        <v>3.36</v>
      </c>
      <c r="G50" s="59">
        <v>197.62</v>
      </c>
      <c r="H50" s="59">
        <v>42.75</v>
      </c>
      <c r="I50" s="59">
        <v>0.65</v>
      </c>
      <c r="J50" s="59">
        <v>0.25</v>
      </c>
      <c r="K50" s="59">
        <v>16.45</v>
      </c>
      <c r="L50" s="59">
        <v>33.75</v>
      </c>
      <c r="M50" s="59">
        <v>29.35</v>
      </c>
      <c r="N50" s="59">
        <v>698.6</v>
      </c>
      <c r="O50" s="59">
        <v>0</v>
      </c>
      <c r="P50" s="59">
        <v>1.33</v>
      </c>
      <c r="Q50" s="59">
        <v>36.880000000000003</v>
      </c>
      <c r="R50" s="197"/>
      <c r="S50" s="197"/>
      <c r="T50" s="197"/>
      <c r="U50" s="197"/>
    </row>
    <row r="51" spans="1:21" s="12" customFormat="1" x14ac:dyDescent="0.25">
      <c r="A51" s="200" t="s">
        <v>1250</v>
      </c>
      <c r="B51" s="59">
        <v>9.99</v>
      </c>
      <c r="C51" s="59">
        <v>128.02000000000001</v>
      </c>
      <c r="D51" s="59">
        <v>77.7</v>
      </c>
      <c r="E51" s="59">
        <v>4.49</v>
      </c>
      <c r="F51" s="59">
        <v>3.33</v>
      </c>
      <c r="G51" s="59">
        <v>197.62</v>
      </c>
      <c r="H51" s="59">
        <v>42.75</v>
      </c>
      <c r="I51" s="59">
        <v>0.65</v>
      </c>
      <c r="J51" s="59">
        <v>0.56999999999999995</v>
      </c>
      <c r="K51" s="59">
        <v>36.659999999999997</v>
      </c>
      <c r="L51" s="59">
        <v>32.75</v>
      </c>
      <c r="M51" s="59">
        <v>30.89</v>
      </c>
      <c r="N51" s="59">
        <v>734</v>
      </c>
      <c r="O51" s="59">
        <v>0</v>
      </c>
      <c r="P51" s="59">
        <v>1.36</v>
      </c>
      <c r="Q51" s="59">
        <v>36.979999999999997</v>
      </c>
      <c r="R51" s="197"/>
      <c r="S51" s="197"/>
      <c r="T51" s="197"/>
      <c r="U51" s="197"/>
    </row>
    <row r="52" spans="1:21" s="12" customFormat="1" x14ac:dyDescent="0.25">
      <c r="A52" s="200" t="s">
        <v>1251</v>
      </c>
      <c r="B52" s="59">
        <v>8.07</v>
      </c>
      <c r="C52" s="59">
        <v>130.54</v>
      </c>
      <c r="D52" s="59">
        <v>75.97</v>
      </c>
      <c r="E52" s="59">
        <v>4.32</v>
      </c>
      <c r="F52" s="59">
        <v>3.38</v>
      </c>
      <c r="G52" s="59">
        <v>128.97999999999999</v>
      </c>
      <c r="H52" s="59">
        <v>47.14</v>
      </c>
      <c r="I52" s="59">
        <v>0.64</v>
      </c>
      <c r="J52" s="59">
        <v>0.09</v>
      </c>
      <c r="K52" s="59">
        <v>104.53</v>
      </c>
      <c r="L52" s="59">
        <v>34.28</v>
      </c>
      <c r="M52" s="59">
        <v>27.82</v>
      </c>
      <c r="N52" s="59">
        <v>761</v>
      </c>
      <c r="O52" s="59">
        <v>0</v>
      </c>
      <c r="P52" s="59">
        <v>1.38</v>
      </c>
      <c r="Q52" s="59">
        <v>36.46</v>
      </c>
      <c r="R52" s="197"/>
      <c r="S52" s="197"/>
      <c r="T52" s="197"/>
      <c r="U52" s="197"/>
    </row>
    <row r="53" spans="1:21" s="12" customFormat="1" x14ac:dyDescent="0.25">
      <c r="A53" s="200" t="s">
        <v>1252</v>
      </c>
      <c r="B53" s="59">
        <v>6.29</v>
      </c>
      <c r="C53" s="59">
        <v>132.34</v>
      </c>
      <c r="D53" s="59">
        <v>77.11</v>
      </c>
      <c r="E53" s="59">
        <v>4.38</v>
      </c>
      <c r="F53" s="59">
        <v>3.37</v>
      </c>
      <c r="G53" s="59">
        <v>125.79</v>
      </c>
      <c r="H53" s="59">
        <v>47.35</v>
      </c>
      <c r="I53" s="59">
        <v>0.63</v>
      </c>
      <c r="J53" s="59">
        <v>0.7</v>
      </c>
      <c r="K53" s="59">
        <v>12.29</v>
      </c>
      <c r="L53" s="59">
        <v>34.200000000000003</v>
      </c>
      <c r="M53" s="59">
        <v>28.46</v>
      </c>
      <c r="N53" s="59">
        <v>780.4</v>
      </c>
      <c r="O53" s="59">
        <v>0</v>
      </c>
      <c r="P53" s="59">
        <v>1.39</v>
      </c>
      <c r="Q53" s="59">
        <v>36.159999999999997</v>
      </c>
      <c r="R53" s="197"/>
      <c r="S53" s="197"/>
      <c r="T53" s="197"/>
      <c r="U53" s="197"/>
    </row>
    <row r="54" spans="1:21" s="12" customFormat="1" x14ac:dyDescent="0.25">
      <c r="A54" s="200" t="s">
        <v>1253</v>
      </c>
      <c r="B54" s="59">
        <v>5.55</v>
      </c>
      <c r="C54" s="59">
        <v>133.53</v>
      </c>
      <c r="D54" s="59">
        <v>77.180000000000007</v>
      </c>
      <c r="E54" s="59">
        <v>4.42</v>
      </c>
      <c r="F54" s="59">
        <v>3.5</v>
      </c>
      <c r="G54" s="59">
        <v>125.79</v>
      </c>
      <c r="H54" s="59">
        <v>47.35</v>
      </c>
      <c r="I54" s="59">
        <v>0.63</v>
      </c>
      <c r="J54" s="59">
        <v>0.36</v>
      </c>
      <c r="K54" s="59">
        <v>21.08</v>
      </c>
      <c r="L54" s="59">
        <v>35.56</v>
      </c>
      <c r="M54" s="59">
        <v>25.71</v>
      </c>
      <c r="N54" s="59">
        <v>797.1</v>
      </c>
      <c r="O54" s="59">
        <v>0</v>
      </c>
      <c r="P54" s="59">
        <v>1.4</v>
      </c>
      <c r="Q54" s="59">
        <v>35.89</v>
      </c>
      <c r="R54" s="197"/>
      <c r="S54" s="197"/>
      <c r="T54" s="197"/>
      <c r="U54" s="197"/>
    </row>
    <row r="55" spans="1:21" s="12" customFormat="1" x14ac:dyDescent="0.25">
      <c r="A55" s="200" t="s">
        <v>1254</v>
      </c>
      <c r="B55" s="59">
        <v>4.62</v>
      </c>
      <c r="C55" s="59">
        <v>133.22</v>
      </c>
      <c r="D55" s="59">
        <v>76.260000000000005</v>
      </c>
      <c r="E55" s="59">
        <v>3.93</v>
      </c>
      <c r="F55" s="59">
        <v>3.85</v>
      </c>
      <c r="G55" s="59">
        <v>125.79</v>
      </c>
      <c r="H55" s="59">
        <v>47.35</v>
      </c>
      <c r="I55" s="59">
        <v>0.63</v>
      </c>
      <c r="J55" s="59">
        <v>0.75</v>
      </c>
      <c r="K55" s="59">
        <v>8.3699999999999992</v>
      </c>
      <c r="L55" s="59">
        <v>36.08</v>
      </c>
      <c r="M55" s="59">
        <v>23.7</v>
      </c>
      <c r="N55" s="59">
        <v>813.1</v>
      </c>
      <c r="O55" s="59">
        <v>0</v>
      </c>
      <c r="P55" s="59">
        <v>1.35</v>
      </c>
      <c r="Q55" s="59">
        <v>35.520000000000003</v>
      </c>
      <c r="R55" s="197"/>
      <c r="S55" s="197"/>
      <c r="T55" s="197"/>
      <c r="U55" s="197"/>
    </row>
    <row r="56" spans="1:21" s="12" customFormat="1" x14ac:dyDescent="0.25">
      <c r="A56" s="200" t="s">
        <v>1255</v>
      </c>
      <c r="B56" s="59">
        <v>4.3099999999999996</v>
      </c>
      <c r="C56" s="59">
        <v>132.26</v>
      </c>
      <c r="D56" s="59">
        <v>75.48</v>
      </c>
      <c r="E56" s="59">
        <v>1.94</v>
      </c>
      <c r="F56" s="59">
        <v>3.42</v>
      </c>
      <c r="G56" s="59">
        <v>103.34</v>
      </c>
      <c r="H56" s="59">
        <v>49.34</v>
      </c>
      <c r="I56" s="59">
        <v>0.62</v>
      </c>
      <c r="J56" s="59">
        <v>0.68</v>
      </c>
      <c r="K56" s="59">
        <v>121.71</v>
      </c>
      <c r="L56" s="59">
        <v>34.25</v>
      </c>
      <c r="M56" s="59">
        <v>25.2</v>
      </c>
      <c r="N56" s="59">
        <v>819.7</v>
      </c>
      <c r="O56" s="59">
        <v>0</v>
      </c>
      <c r="P56" s="59">
        <v>1.34</v>
      </c>
      <c r="Q56" s="59">
        <v>34.880000000000003</v>
      </c>
      <c r="R56" s="197"/>
      <c r="S56" s="197"/>
      <c r="T56" s="197"/>
      <c r="U56" s="197"/>
    </row>
    <row r="57" spans="1:21" s="12" customFormat="1" x14ac:dyDescent="0.25">
      <c r="A57" s="200" t="s">
        <v>1256</v>
      </c>
      <c r="B57" s="59">
        <v>4.42</v>
      </c>
      <c r="C57" s="59">
        <v>129.83000000000001</v>
      </c>
      <c r="D57" s="59">
        <v>74.23</v>
      </c>
      <c r="E57" s="59">
        <v>3.73</v>
      </c>
      <c r="F57" s="59">
        <v>3.61</v>
      </c>
      <c r="G57" s="59">
        <v>102.3</v>
      </c>
      <c r="H57" s="59">
        <v>49.44</v>
      </c>
      <c r="I57" s="59">
        <v>0.57999999999999996</v>
      </c>
      <c r="J57" s="59">
        <v>0.56999999999999995</v>
      </c>
      <c r="K57" s="59">
        <v>71.989999999999995</v>
      </c>
      <c r="L57" s="59">
        <v>33.409999999999997</v>
      </c>
      <c r="M57" s="59">
        <v>26.66</v>
      </c>
      <c r="N57" s="59">
        <v>805</v>
      </c>
      <c r="O57" s="59">
        <v>0</v>
      </c>
      <c r="P57" s="59">
        <v>1.35</v>
      </c>
      <c r="Q57" s="59">
        <v>34.17</v>
      </c>
      <c r="R57" s="197"/>
      <c r="S57" s="197"/>
      <c r="T57" s="197"/>
      <c r="U57" s="197"/>
    </row>
    <row r="58" spans="1:21" s="12" customFormat="1" x14ac:dyDescent="0.25">
      <c r="A58" s="200" t="s">
        <v>1257</v>
      </c>
      <c r="B58" s="59">
        <v>4.4000000000000004</v>
      </c>
      <c r="C58" s="59">
        <v>127.51</v>
      </c>
      <c r="D58" s="59">
        <v>72.94</v>
      </c>
      <c r="E58" s="59">
        <v>3.98</v>
      </c>
      <c r="F58" s="59">
        <v>3.72</v>
      </c>
      <c r="G58" s="59">
        <v>102.3</v>
      </c>
      <c r="H58" s="59">
        <v>49.44</v>
      </c>
      <c r="I58" s="59">
        <v>0.61</v>
      </c>
      <c r="J58" s="59">
        <v>0.73</v>
      </c>
      <c r="K58" s="59">
        <v>123.8</v>
      </c>
      <c r="L58" s="59">
        <v>32.770000000000003</v>
      </c>
      <c r="M58" s="59">
        <v>26.48</v>
      </c>
      <c r="N58" s="59">
        <v>799.5</v>
      </c>
      <c r="O58" s="59">
        <v>0</v>
      </c>
      <c r="P58" s="59">
        <v>1.32</v>
      </c>
      <c r="Q58" s="59">
        <v>34.04</v>
      </c>
      <c r="R58" s="197"/>
      <c r="S58" s="197"/>
      <c r="T58" s="197"/>
      <c r="U58" s="197"/>
    </row>
    <row r="59" spans="1:21" s="12" customFormat="1" x14ac:dyDescent="0.25">
      <c r="A59" s="200" t="s">
        <v>1258</v>
      </c>
      <c r="B59" s="59">
        <v>3.92</v>
      </c>
      <c r="C59" s="59">
        <v>124.31</v>
      </c>
      <c r="D59" s="59">
        <v>70.790000000000006</v>
      </c>
      <c r="E59" s="59">
        <v>4.08</v>
      </c>
      <c r="F59" s="59">
        <v>3.89</v>
      </c>
      <c r="G59" s="59">
        <v>102.3</v>
      </c>
      <c r="H59" s="59">
        <v>49.44</v>
      </c>
      <c r="I59" s="59">
        <v>0.65</v>
      </c>
      <c r="J59" s="59">
        <v>0.27</v>
      </c>
      <c r="K59" s="59">
        <v>162.26</v>
      </c>
      <c r="L59" s="59">
        <v>33.619999999999997</v>
      </c>
      <c r="M59" s="59">
        <v>25.41</v>
      </c>
      <c r="N59" s="59">
        <v>800.7</v>
      </c>
      <c r="O59" s="59">
        <v>0</v>
      </c>
      <c r="P59" s="59">
        <v>1.32</v>
      </c>
      <c r="Q59" s="59">
        <v>33.69</v>
      </c>
      <c r="R59" s="197"/>
      <c r="S59" s="197"/>
      <c r="T59" s="197"/>
      <c r="U59" s="197"/>
    </row>
    <row r="60" spans="1:21" s="12" customFormat="1" x14ac:dyDescent="0.25">
      <c r="A60" s="200" t="s">
        <v>1259</v>
      </c>
      <c r="B60" s="59">
        <v>3.41</v>
      </c>
      <c r="C60" s="59">
        <v>122.28</v>
      </c>
      <c r="D60" s="59">
        <v>69.25</v>
      </c>
      <c r="E60" s="59">
        <v>4.0599999999999996</v>
      </c>
      <c r="F60" s="59">
        <v>4.25</v>
      </c>
      <c r="G60" s="59">
        <v>82.7</v>
      </c>
      <c r="H60" s="59">
        <v>46.62</v>
      </c>
      <c r="I60" s="59">
        <v>0.65</v>
      </c>
      <c r="J60" s="59">
        <v>0.56999999999999995</v>
      </c>
      <c r="K60" s="59">
        <v>154.19</v>
      </c>
      <c r="L60" s="59">
        <v>34.369999999999997</v>
      </c>
      <c r="M60" s="59">
        <v>23.59</v>
      </c>
      <c r="N60" s="59">
        <v>822.2</v>
      </c>
      <c r="O60" s="59">
        <v>0</v>
      </c>
      <c r="P60" s="59">
        <v>1.27</v>
      </c>
      <c r="Q60" s="59">
        <v>33.46</v>
      </c>
      <c r="R60" s="197"/>
      <c r="S60" s="197"/>
      <c r="T60" s="197"/>
      <c r="U60" s="197"/>
    </row>
    <row r="61" spans="1:21" s="12" customFormat="1" x14ac:dyDescent="0.25">
      <c r="A61" s="200" t="s">
        <v>1260</v>
      </c>
      <c r="B61" s="59">
        <v>3.1</v>
      </c>
      <c r="C61" s="59">
        <v>119.75</v>
      </c>
      <c r="D61" s="59">
        <v>67.61</v>
      </c>
      <c r="E61" s="59">
        <v>3.81</v>
      </c>
      <c r="F61" s="59">
        <v>4.43</v>
      </c>
      <c r="G61" s="59">
        <v>81.790000000000006</v>
      </c>
      <c r="H61" s="59">
        <v>46.49</v>
      </c>
      <c r="I61" s="59">
        <v>0.67</v>
      </c>
      <c r="J61" s="59">
        <v>0.39</v>
      </c>
      <c r="K61" s="59">
        <v>153.81</v>
      </c>
      <c r="L61" s="59">
        <v>33.97</v>
      </c>
      <c r="M61" s="59">
        <v>23.51</v>
      </c>
      <c r="N61" s="59">
        <v>832.6</v>
      </c>
      <c r="O61" s="59">
        <v>0</v>
      </c>
      <c r="P61" s="59">
        <v>1.21</v>
      </c>
      <c r="Q61" s="59">
        <v>33.67</v>
      </c>
      <c r="R61" s="197"/>
      <c r="S61" s="197"/>
      <c r="T61" s="197"/>
      <c r="U61" s="197"/>
    </row>
    <row r="62" spans="1:21" s="12" customFormat="1" x14ac:dyDescent="0.25">
      <c r="A62" s="200" t="s">
        <v>1261</v>
      </c>
      <c r="B62" s="59">
        <v>2.98</v>
      </c>
      <c r="C62" s="59">
        <v>116.57</v>
      </c>
      <c r="D62" s="59">
        <v>65.760000000000005</v>
      </c>
      <c r="E62" s="59">
        <v>4.22</v>
      </c>
      <c r="F62" s="59">
        <v>4.26</v>
      </c>
      <c r="G62" s="59">
        <v>81.790000000000006</v>
      </c>
      <c r="H62" s="59">
        <v>46.49</v>
      </c>
      <c r="I62" s="59">
        <v>0.66</v>
      </c>
      <c r="J62" s="59">
        <v>0.51</v>
      </c>
      <c r="K62" s="59">
        <v>171.03</v>
      </c>
      <c r="L62" s="59">
        <v>35.5</v>
      </c>
      <c r="M62" s="59">
        <v>18.82</v>
      </c>
      <c r="N62" s="59">
        <v>827.6</v>
      </c>
      <c r="O62" s="59">
        <v>0</v>
      </c>
      <c r="P62" s="59">
        <v>1.25</v>
      </c>
      <c r="Q62" s="59">
        <v>33.700000000000003</v>
      </c>
      <c r="R62" s="197"/>
      <c r="S62" s="197"/>
      <c r="T62" s="197"/>
      <c r="U62" s="197"/>
    </row>
    <row r="63" spans="1:21" s="12" customFormat="1" x14ac:dyDescent="0.25">
      <c r="A63" s="200" t="s">
        <v>1262</v>
      </c>
      <c r="B63" s="59">
        <v>2.8</v>
      </c>
      <c r="C63" s="59">
        <v>114.17</v>
      </c>
      <c r="D63" s="59">
        <v>64.290000000000006</v>
      </c>
      <c r="E63" s="59">
        <v>5.0199999999999996</v>
      </c>
      <c r="F63" s="59">
        <v>4.37</v>
      </c>
      <c r="G63" s="59">
        <v>81.790000000000006</v>
      </c>
      <c r="H63" s="59">
        <v>46.49</v>
      </c>
      <c r="I63" s="59">
        <v>0.67</v>
      </c>
      <c r="J63" s="59">
        <v>0.36</v>
      </c>
      <c r="K63" s="59">
        <v>137.94999999999999</v>
      </c>
      <c r="L63" s="59">
        <v>34.65</v>
      </c>
      <c r="M63" s="59">
        <v>18.96</v>
      </c>
      <c r="N63" s="59">
        <v>729.1</v>
      </c>
      <c r="O63" s="59">
        <v>0</v>
      </c>
      <c r="P63" s="59">
        <v>1.23</v>
      </c>
      <c r="Q63" s="59">
        <v>34.270000000000003</v>
      </c>
      <c r="R63" s="197"/>
      <c r="S63" s="197"/>
      <c r="T63" s="197"/>
      <c r="U63" s="197"/>
    </row>
    <row r="64" spans="1:21" s="12" customFormat="1" x14ac:dyDescent="0.25">
      <c r="A64" s="200" t="s">
        <v>1263</v>
      </c>
      <c r="B64" s="59">
        <v>2.76</v>
      </c>
      <c r="C64" s="59">
        <v>110.89</v>
      </c>
      <c r="D64" s="59">
        <v>62.45</v>
      </c>
      <c r="E64" s="59">
        <v>4.45</v>
      </c>
      <c r="F64" s="59">
        <v>4.5999999999999996</v>
      </c>
      <c r="G64" s="59">
        <v>52.91</v>
      </c>
      <c r="H64" s="59">
        <v>40.44</v>
      </c>
      <c r="I64" s="59">
        <v>0.68</v>
      </c>
      <c r="J64" s="59">
        <v>0.55000000000000004</v>
      </c>
      <c r="K64" s="59">
        <v>311</v>
      </c>
      <c r="L64" s="59">
        <v>35.06</v>
      </c>
      <c r="M64" s="59">
        <v>16.2</v>
      </c>
      <c r="N64" s="59">
        <v>695.7</v>
      </c>
      <c r="O64" s="59">
        <v>0</v>
      </c>
      <c r="P64" s="59">
        <v>1.1599999999999999</v>
      </c>
      <c r="Q64" s="59">
        <v>34.630000000000003</v>
      </c>
      <c r="R64" s="197"/>
      <c r="S64" s="197"/>
      <c r="T64" s="197"/>
      <c r="U64" s="197"/>
    </row>
    <row r="65" spans="1:21" s="12" customFormat="1" x14ac:dyDescent="0.25">
      <c r="A65" s="200" t="s">
        <v>1264</v>
      </c>
      <c r="B65" s="59">
        <v>2.54</v>
      </c>
      <c r="C65" s="59">
        <v>106.69</v>
      </c>
      <c r="D65" s="59">
        <v>59.95</v>
      </c>
      <c r="E65" s="59">
        <v>4.07</v>
      </c>
      <c r="F65" s="59">
        <v>4.95</v>
      </c>
      <c r="G65" s="59">
        <v>51.57</v>
      </c>
      <c r="H65" s="59">
        <v>40.08</v>
      </c>
      <c r="I65" s="59">
        <v>0.68</v>
      </c>
      <c r="J65" s="59">
        <v>1.72</v>
      </c>
      <c r="K65" s="59">
        <v>120.27</v>
      </c>
      <c r="L65" s="59">
        <v>34.1</v>
      </c>
      <c r="M65" s="59">
        <v>17.170000000000002</v>
      </c>
      <c r="N65" s="59">
        <v>617.5</v>
      </c>
      <c r="O65" s="59">
        <v>0</v>
      </c>
      <c r="P65" s="59">
        <v>1.07</v>
      </c>
      <c r="Q65" s="59">
        <v>34.06</v>
      </c>
      <c r="R65" s="197"/>
      <c r="S65" s="197"/>
      <c r="T65" s="197"/>
      <c r="U65" s="197"/>
    </row>
    <row r="66" spans="1:21" s="12" customFormat="1" x14ac:dyDescent="0.25">
      <c r="A66" s="200" t="s">
        <v>1265</v>
      </c>
      <c r="B66" s="59">
        <v>2.36</v>
      </c>
      <c r="C66" s="59">
        <v>103.09</v>
      </c>
      <c r="D66" s="59">
        <v>57.83</v>
      </c>
      <c r="E66" s="59">
        <v>4.0599999999999996</v>
      </c>
      <c r="F66" s="59">
        <v>5.04</v>
      </c>
      <c r="G66" s="59">
        <v>51.57</v>
      </c>
      <c r="H66" s="59">
        <v>40.08</v>
      </c>
      <c r="I66" s="59">
        <v>0.66</v>
      </c>
      <c r="J66" s="59">
        <v>0.66</v>
      </c>
      <c r="K66" s="59">
        <v>162.07</v>
      </c>
      <c r="L66" s="59">
        <v>33.97</v>
      </c>
      <c r="M66" s="59">
        <v>17.649999999999999</v>
      </c>
      <c r="N66" s="59">
        <v>604.5</v>
      </c>
      <c r="O66" s="59">
        <v>0</v>
      </c>
      <c r="P66" s="59">
        <v>1.01</v>
      </c>
      <c r="Q66" s="59">
        <v>33.770000000000003</v>
      </c>
      <c r="R66" s="197"/>
      <c r="S66" s="197"/>
      <c r="T66" s="197"/>
      <c r="U66" s="197"/>
    </row>
    <row r="67" spans="1:21" s="12" customFormat="1" x14ac:dyDescent="0.25">
      <c r="A67" s="200" t="s">
        <v>1266</v>
      </c>
      <c r="B67" s="59">
        <v>2.37</v>
      </c>
      <c r="C67" s="59">
        <v>101.09</v>
      </c>
      <c r="D67" s="59">
        <v>56.73</v>
      </c>
      <c r="E67" s="59">
        <v>4.04</v>
      </c>
      <c r="F67" s="59">
        <v>5.07</v>
      </c>
      <c r="G67" s="59">
        <v>51.57</v>
      </c>
      <c r="H67" s="59">
        <v>40.08</v>
      </c>
      <c r="I67" s="59">
        <v>0.63</v>
      </c>
      <c r="J67" s="59">
        <v>0.76</v>
      </c>
      <c r="K67" s="59">
        <v>341.18</v>
      </c>
      <c r="L67" s="59">
        <v>36.36</v>
      </c>
      <c r="M67" s="59">
        <v>17.86</v>
      </c>
      <c r="N67" s="59">
        <v>568.4</v>
      </c>
      <c r="O67" s="59">
        <v>0</v>
      </c>
      <c r="P67" s="59">
        <v>1</v>
      </c>
      <c r="Q67" s="59">
        <v>33.29</v>
      </c>
      <c r="R67" s="197"/>
      <c r="S67" s="197"/>
      <c r="T67" s="197"/>
      <c r="U67" s="197"/>
    </row>
    <row r="68" spans="1:21" s="12" customFormat="1" x14ac:dyDescent="0.25">
      <c r="A68" s="200" t="s">
        <v>1267</v>
      </c>
      <c r="B68" s="59">
        <v>2.41</v>
      </c>
      <c r="C68" s="59">
        <v>101.15</v>
      </c>
      <c r="D68" s="59">
        <v>56.79</v>
      </c>
      <c r="E68" s="59">
        <v>4.32</v>
      </c>
      <c r="F68" s="59">
        <v>5.07</v>
      </c>
      <c r="G68" s="59">
        <v>40.549999999999997</v>
      </c>
      <c r="H68" s="59">
        <v>29.77</v>
      </c>
      <c r="I68" s="59">
        <v>0.61</v>
      </c>
      <c r="J68" s="59">
        <v>0.25</v>
      </c>
      <c r="K68" s="59">
        <v>330.36</v>
      </c>
      <c r="L68" s="59">
        <v>36.25</v>
      </c>
      <c r="M68" s="59">
        <v>16.899999999999999</v>
      </c>
      <c r="N68" s="59">
        <v>432.5</v>
      </c>
      <c r="O68" s="59">
        <v>0</v>
      </c>
      <c r="P68" s="59">
        <v>0.97</v>
      </c>
      <c r="Q68" s="59">
        <v>32.950000000000003</v>
      </c>
      <c r="R68" s="197"/>
      <c r="S68" s="197"/>
      <c r="T68" s="197"/>
      <c r="U68" s="197"/>
    </row>
    <row r="69" spans="1:21" s="12" customFormat="1" x14ac:dyDescent="0.25">
      <c r="A69" s="200" t="s">
        <v>1268</v>
      </c>
      <c r="B69" s="59">
        <v>2.38</v>
      </c>
      <c r="C69" s="59">
        <v>101.37</v>
      </c>
      <c r="D69" s="59">
        <v>56.89</v>
      </c>
      <c r="E69" s="59">
        <v>4.04</v>
      </c>
      <c r="F69" s="59">
        <v>5.55</v>
      </c>
      <c r="G69" s="59">
        <v>40.04</v>
      </c>
      <c r="H69" s="59">
        <v>29.29</v>
      </c>
      <c r="I69" s="59">
        <v>0.61</v>
      </c>
      <c r="J69" s="59">
        <v>0.35</v>
      </c>
      <c r="K69" s="59">
        <v>267.73</v>
      </c>
      <c r="L69" s="59">
        <v>36.020000000000003</v>
      </c>
      <c r="M69" s="59">
        <v>16.850000000000001</v>
      </c>
      <c r="N69" s="59">
        <v>442.5</v>
      </c>
      <c r="O69" s="59">
        <v>0</v>
      </c>
      <c r="P69" s="59">
        <v>0.96</v>
      </c>
      <c r="Q69" s="59">
        <v>32.51</v>
      </c>
      <c r="R69" s="197"/>
      <c r="S69" s="197"/>
      <c r="T69" s="197"/>
      <c r="U69" s="197"/>
    </row>
    <row r="70" spans="1:21" s="12" customFormat="1" x14ac:dyDescent="0.25">
      <c r="A70" s="200" t="s">
        <v>1269</v>
      </c>
      <c r="B70" s="59">
        <v>2.25</v>
      </c>
      <c r="C70" s="59">
        <v>99.93</v>
      </c>
      <c r="D70" s="59">
        <v>55.99</v>
      </c>
      <c r="E70" s="59">
        <v>4.0599999999999996</v>
      </c>
      <c r="F70" s="59">
        <v>5.19</v>
      </c>
      <c r="G70" s="59">
        <v>40.04</v>
      </c>
      <c r="H70" s="59">
        <v>29.29</v>
      </c>
      <c r="I70" s="59">
        <v>0.6</v>
      </c>
      <c r="J70" s="59">
        <v>0.39</v>
      </c>
      <c r="K70" s="59">
        <v>215.1</v>
      </c>
      <c r="L70" s="59">
        <v>34.14</v>
      </c>
      <c r="M70" s="59">
        <v>18.440000000000001</v>
      </c>
      <c r="N70" s="59">
        <v>371.6</v>
      </c>
      <c r="O70" s="59">
        <v>0</v>
      </c>
      <c r="P70" s="59">
        <v>0.87</v>
      </c>
      <c r="Q70" s="59">
        <v>32.119999999999997</v>
      </c>
      <c r="R70" s="197"/>
      <c r="S70" s="197"/>
      <c r="T70" s="197"/>
      <c r="U70" s="197"/>
    </row>
    <row r="71" spans="1:21" s="12" customFormat="1" x14ac:dyDescent="0.25">
      <c r="A71" s="200" t="s">
        <v>1270</v>
      </c>
      <c r="B71" s="59">
        <v>2.1800000000000002</v>
      </c>
      <c r="C71" s="59">
        <v>99.08</v>
      </c>
      <c r="D71" s="59">
        <v>55.47</v>
      </c>
      <c r="E71" s="59">
        <v>3.54</v>
      </c>
      <c r="F71" s="59">
        <v>5.52</v>
      </c>
      <c r="G71" s="59">
        <v>40.04</v>
      </c>
      <c r="H71" s="59">
        <v>29.29</v>
      </c>
      <c r="I71" s="59">
        <v>0.59</v>
      </c>
      <c r="J71" s="59">
        <v>0.1</v>
      </c>
      <c r="K71" s="59">
        <v>339.08</v>
      </c>
      <c r="L71" s="59">
        <v>34.22</v>
      </c>
      <c r="M71" s="59">
        <v>18.75</v>
      </c>
      <c r="N71" s="59">
        <v>276.89999999999998</v>
      </c>
      <c r="O71" s="59">
        <v>0</v>
      </c>
      <c r="P71" s="59">
        <v>0.85</v>
      </c>
      <c r="Q71" s="59">
        <v>31.37</v>
      </c>
      <c r="R71" s="197"/>
      <c r="S71" s="197"/>
      <c r="T71" s="197"/>
      <c r="U71" s="197"/>
    </row>
    <row r="72" spans="1:21" s="12" customFormat="1" x14ac:dyDescent="0.25">
      <c r="A72" s="200" t="s">
        <v>1271</v>
      </c>
      <c r="B72" s="59">
        <v>2.37</v>
      </c>
      <c r="C72" s="59">
        <v>99.35</v>
      </c>
      <c r="D72" s="59">
        <v>55.77</v>
      </c>
      <c r="E72" s="59">
        <v>2.34</v>
      </c>
      <c r="F72" s="59">
        <v>4.9000000000000004</v>
      </c>
      <c r="G72" s="59">
        <v>42.85</v>
      </c>
      <c r="H72" s="59">
        <v>26.73</v>
      </c>
      <c r="I72" s="59">
        <v>0.54</v>
      </c>
      <c r="J72" s="59">
        <v>0.63</v>
      </c>
      <c r="K72" s="59">
        <v>351.08</v>
      </c>
      <c r="L72" s="59">
        <v>34.76</v>
      </c>
      <c r="M72" s="59">
        <v>19.16</v>
      </c>
      <c r="N72" s="59">
        <v>163.9</v>
      </c>
      <c r="O72" s="59">
        <v>0</v>
      </c>
      <c r="P72" s="59">
        <v>0.92</v>
      </c>
      <c r="Q72" s="59">
        <v>30.54</v>
      </c>
      <c r="R72" s="197"/>
      <c r="S72" s="197"/>
      <c r="T72" s="197"/>
      <c r="U72" s="197"/>
    </row>
    <row r="73" spans="1:21" s="12" customFormat="1" x14ac:dyDescent="0.25">
      <c r="A73" s="200" t="s">
        <v>1272</v>
      </c>
      <c r="B73" s="59">
        <v>2.66</v>
      </c>
      <c r="C73" s="59">
        <v>99.84</v>
      </c>
      <c r="D73" s="59">
        <v>56.27</v>
      </c>
      <c r="E73" s="59">
        <v>3.44</v>
      </c>
      <c r="F73" s="59">
        <v>4.76</v>
      </c>
      <c r="G73" s="59">
        <v>42.98</v>
      </c>
      <c r="H73" s="59">
        <v>26.61</v>
      </c>
      <c r="I73" s="59">
        <v>0.56000000000000005</v>
      </c>
      <c r="J73" s="59">
        <v>0.6</v>
      </c>
      <c r="K73" s="59">
        <v>348.17</v>
      </c>
      <c r="L73" s="59">
        <v>35.130000000000003</v>
      </c>
      <c r="M73" s="59">
        <v>18.54</v>
      </c>
      <c r="N73" s="59">
        <v>190.1</v>
      </c>
      <c r="O73" s="59">
        <v>0</v>
      </c>
      <c r="P73" s="59">
        <v>0.94</v>
      </c>
      <c r="Q73" s="59">
        <v>30.58</v>
      </c>
      <c r="R73" s="197"/>
      <c r="S73" s="197"/>
      <c r="T73" s="197"/>
      <c r="U73" s="197"/>
    </row>
    <row r="74" spans="1:21" s="12" customFormat="1" x14ac:dyDescent="0.25">
      <c r="A74" s="200" t="s">
        <v>1273</v>
      </c>
      <c r="B74" s="59">
        <v>3.14</v>
      </c>
      <c r="C74" s="59">
        <v>100.67</v>
      </c>
      <c r="D74" s="59">
        <v>57.12</v>
      </c>
      <c r="E74" s="59">
        <v>3.65</v>
      </c>
      <c r="F74" s="59">
        <v>5.29</v>
      </c>
      <c r="G74" s="59">
        <v>42.98</v>
      </c>
      <c r="H74" s="59">
        <v>26.61</v>
      </c>
      <c r="I74" s="59">
        <v>0.55000000000000004</v>
      </c>
      <c r="J74" s="59">
        <v>0.37</v>
      </c>
      <c r="K74" s="59">
        <v>1.93</v>
      </c>
      <c r="L74" s="59">
        <v>34.909999999999997</v>
      </c>
      <c r="M74" s="59">
        <v>17.23</v>
      </c>
      <c r="N74" s="59">
        <v>143</v>
      </c>
      <c r="O74" s="59">
        <v>0</v>
      </c>
      <c r="P74" s="59">
        <v>0.83</v>
      </c>
      <c r="Q74" s="59">
        <v>30.76</v>
      </c>
      <c r="R74" s="197"/>
      <c r="S74" s="197"/>
      <c r="T74" s="197"/>
      <c r="U74" s="197"/>
    </row>
    <row r="75" spans="1:21" s="12" customFormat="1" x14ac:dyDescent="0.25">
      <c r="A75" s="200" t="s">
        <v>1274</v>
      </c>
      <c r="B75" s="59">
        <v>3.59</v>
      </c>
      <c r="C75" s="59">
        <v>101.56</v>
      </c>
      <c r="D75" s="59">
        <v>57.96</v>
      </c>
      <c r="E75" s="59">
        <v>4.03</v>
      </c>
      <c r="F75" s="59">
        <v>5.66</v>
      </c>
      <c r="G75" s="59">
        <v>42.98</v>
      </c>
      <c r="H75" s="59">
        <v>26.61</v>
      </c>
      <c r="I75" s="59">
        <v>0.53</v>
      </c>
      <c r="J75" s="59">
        <v>0.52</v>
      </c>
      <c r="K75" s="59">
        <v>2.0699999999999998</v>
      </c>
      <c r="L75" s="59">
        <v>34.22</v>
      </c>
      <c r="M75" s="59">
        <v>18.420000000000002</v>
      </c>
      <c r="N75" s="59">
        <v>114.7</v>
      </c>
      <c r="O75" s="59">
        <v>0</v>
      </c>
      <c r="P75" s="59">
        <v>0.72</v>
      </c>
      <c r="Q75" s="59">
        <v>31.12</v>
      </c>
      <c r="R75" s="197"/>
      <c r="S75" s="197"/>
      <c r="T75" s="197"/>
      <c r="U75" s="197"/>
    </row>
    <row r="76" spans="1:21" s="12" customFormat="1" x14ac:dyDescent="0.25">
      <c r="A76" s="200" t="s">
        <v>1275</v>
      </c>
      <c r="B76" s="59">
        <v>3.87</v>
      </c>
      <c r="C76" s="59">
        <v>102.06</v>
      </c>
      <c r="D76" s="59">
        <v>58.47</v>
      </c>
      <c r="E76" s="59">
        <v>3.71</v>
      </c>
      <c r="F76" s="59">
        <v>4.9000000000000004</v>
      </c>
      <c r="G76" s="59">
        <v>26.83</v>
      </c>
      <c r="H76" s="59">
        <v>20.93</v>
      </c>
      <c r="I76" s="59">
        <v>0.5</v>
      </c>
      <c r="J76" s="59">
        <v>0.56999999999999995</v>
      </c>
      <c r="K76" s="59">
        <v>0.87</v>
      </c>
      <c r="L76" s="59">
        <v>33.47</v>
      </c>
      <c r="M76" s="59">
        <v>19.66</v>
      </c>
      <c r="N76" s="59">
        <v>76.599999999999994</v>
      </c>
      <c r="O76" s="59">
        <v>0</v>
      </c>
      <c r="P76" s="59">
        <v>0.84</v>
      </c>
      <c r="Q76" s="59">
        <v>31.25</v>
      </c>
      <c r="R76" s="197"/>
      <c r="S76" s="197"/>
      <c r="T76" s="197"/>
      <c r="U76" s="197"/>
    </row>
    <row r="77" spans="1:21" s="12" customFormat="1" x14ac:dyDescent="0.25">
      <c r="A77" s="200" t="s">
        <v>1276</v>
      </c>
      <c r="B77" s="59">
        <v>4.3099999999999996</v>
      </c>
      <c r="C77" s="59">
        <v>102.84</v>
      </c>
      <c r="D77" s="59">
        <v>59.25</v>
      </c>
      <c r="E77" s="59">
        <v>3.79</v>
      </c>
      <c r="F77" s="59">
        <v>4.38</v>
      </c>
      <c r="G77" s="59">
        <v>26.08</v>
      </c>
      <c r="H77" s="59">
        <v>20.66</v>
      </c>
      <c r="I77" s="59">
        <v>0.51</v>
      </c>
      <c r="J77" s="59">
        <v>0.53</v>
      </c>
      <c r="K77" s="59">
        <v>350.03</v>
      </c>
      <c r="L77" s="59">
        <v>32.94</v>
      </c>
      <c r="M77" s="59">
        <v>19.690000000000001</v>
      </c>
      <c r="N77" s="59">
        <v>61.1</v>
      </c>
      <c r="O77" s="59">
        <v>0</v>
      </c>
      <c r="P77" s="59">
        <v>0.94</v>
      </c>
      <c r="Q77" s="59">
        <v>32.15</v>
      </c>
      <c r="R77" s="197"/>
      <c r="S77" s="197"/>
      <c r="T77" s="197"/>
      <c r="U77" s="197"/>
    </row>
    <row r="78" spans="1:21" s="12" customFormat="1" x14ac:dyDescent="0.25">
      <c r="A78" s="200" t="s">
        <v>1277</v>
      </c>
      <c r="B78" s="59">
        <v>4.51</v>
      </c>
      <c r="C78" s="59">
        <v>104.17</v>
      </c>
      <c r="D78" s="59">
        <v>60.14</v>
      </c>
      <c r="E78" s="59">
        <v>3.78</v>
      </c>
      <c r="F78" s="59">
        <v>3.85</v>
      </c>
      <c r="G78" s="59">
        <v>26.08</v>
      </c>
      <c r="H78" s="59">
        <v>20.66</v>
      </c>
      <c r="I78" s="59">
        <v>0.54</v>
      </c>
      <c r="J78" s="59">
        <v>0.9</v>
      </c>
      <c r="K78" s="59">
        <v>13.76</v>
      </c>
      <c r="L78" s="59">
        <v>32.39</v>
      </c>
      <c r="M78" s="59">
        <v>21.01</v>
      </c>
      <c r="N78" s="59">
        <v>45.3</v>
      </c>
      <c r="O78" s="59">
        <v>0</v>
      </c>
      <c r="P78" s="59">
        <v>0.92</v>
      </c>
      <c r="Q78" s="59">
        <v>33.229999999999997</v>
      </c>
      <c r="R78" s="197"/>
      <c r="S78" s="197"/>
      <c r="T78" s="197"/>
      <c r="U78" s="197"/>
    </row>
    <row r="79" spans="1:21" s="12" customFormat="1" x14ac:dyDescent="0.25">
      <c r="A79" s="200" t="s">
        <v>1278</v>
      </c>
      <c r="B79" s="59">
        <v>5.04</v>
      </c>
      <c r="C79" s="59">
        <v>105.93</v>
      </c>
      <c r="D79" s="59">
        <v>61.54</v>
      </c>
      <c r="E79" s="59">
        <v>3.9</v>
      </c>
      <c r="F79" s="59">
        <v>3.87</v>
      </c>
      <c r="G79" s="59">
        <v>26.08</v>
      </c>
      <c r="H79" s="59">
        <v>20.66</v>
      </c>
      <c r="I79" s="59">
        <v>0.56999999999999995</v>
      </c>
      <c r="J79" s="59">
        <v>0.35</v>
      </c>
      <c r="K79" s="59">
        <v>10.06</v>
      </c>
      <c r="L79" s="59">
        <v>31.71</v>
      </c>
      <c r="M79" s="59">
        <v>23.16</v>
      </c>
      <c r="N79" s="59">
        <v>30.5</v>
      </c>
      <c r="O79" s="59">
        <v>0</v>
      </c>
      <c r="P79" s="59">
        <v>1.1000000000000001</v>
      </c>
      <c r="Q79" s="59">
        <v>33.6</v>
      </c>
      <c r="R79" s="197"/>
      <c r="S79" s="197"/>
      <c r="T79" s="197"/>
      <c r="U79" s="197"/>
    </row>
    <row r="80" spans="1:21" s="12" customFormat="1" x14ac:dyDescent="0.25">
      <c r="A80" s="200" t="s">
        <v>1279</v>
      </c>
      <c r="B80" s="59">
        <v>5.45</v>
      </c>
      <c r="C80" s="59">
        <v>108.71</v>
      </c>
      <c r="D80" s="59">
        <v>63.4</v>
      </c>
      <c r="E80" s="59">
        <v>4.1500000000000004</v>
      </c>
      <c r="F80" s="59">
        <v>3.82</v>
      </c>
      <c r="G80" s="59">
        <v>49.31</v>
      </c>
      <c r="H80" s="59">
        <v>18.600000000000001</v>
      </c>
      <c r="I80" s="59">
        <v>0.6</v>
      </c>
      <c r="J80" s="59">
        <v>0.18</v>
      </c>
      <c r="K80" s="59">
        <v>87.66</v>
      </c>
      <c r="L80" s="59">
        <v>30.96</v>
      </c>
      <c r="M80" s="59">
        <v>23.59</v>
      </c>
      <c r="N80" s="59">
        <v>15.9</v>
      </c>
      <c r="O80" s="59">
        <v>0</v>
      </c>
      <c r="P80" s="59">
        <v>1.32</v>
      </c>
      <c r="Q80" s="59">
        <v>33.61</v>
      </c>
      <c r="R80" s="197"/>
      <c r="S80" s="197"/>
      <c r="T80" s="197"/>
      <c r="U80" s="197"/>
    </row>
    <row r="81" spans="1:26" s="12" customFormat="1" x14ac:dyDescent="0.25">
      <c r="A81" s="200" t="s">
        <v>1280</v>
      </c>
      <c r="B81" s="59">
        <v>6.11</v>
      </c>
      <c r="C81" s="59">
        <v>112.29</v>
      </c>
      <c r="D81" s="59">
        <v>65.91</v>
      </c>
      <c r="E81" s="59">
        <v>3.77</v>
      </c>
      <c r="F81" s="59">
        <v>3.55</v>
      </c>
      <c r="G81" s="59">
        <v>50.39</v>
      </c>
      <c r="H81" s="59">
        <v>18.510000000000002</v>
      </c>
      <c r="I81" s="59">
        <v>0.6</v>
      </c>
      <c r="J81" s="59">
        <v>0.23</v>
      </c>
      <c r="K81" s="59">
        <v>89.76</v>
      </c>
      <c r="L81" s="59">
        <v>30.42</v>
      </c>
      <c r="M81" s="59">
        <v>24.37</v>
      </c>
      <c r="N81" s="59">
        <v>7</v>
      </c>
      <c r="O81" s="59">
        <v>0</v>
      </c>
      <c r="P81" s="59">
        <v>1.71</v>
      </c>
      <c r="Q81" s="59">
        <v>33.799999999999997</v>
      </c>
      <c r="R81" s="197"/>
      <c r="S81" s="197"/>
      <c r="T81" s="197"/>
      <c r="U81" s="197"/>
    </row>
    <row r="82" spans="1:26" s="12" customFormat="1" x14ac:dyDescent="0.25">
      <c r="A82" s="200" t="s">
        <v>1281</v>
      </c>
      <c r="B82" s="59">
        <v>7.98</v>
      </c>
      <c r="C82" s="59">
        <v>117.17</v>
      </c>
      <c r="D82" s="59">
        <v>70.099999999999994</v>
      </c>
      <c r="E82" s="59">
        <v>3.54</v>
      </c>
      <c r="F82" s="59">
        <v>3.47</v>
      </c>
      <c r="G82" s="59">
        <v>50.39</v>
      </c>
      <c r="H82" s="59">
        <v>18.510000000000002</v>
      </c>
      <c r="I82" s="59">
        <v>0.61</v>
      </c>
      <c r="J82" s="59">
        <v>0.16</v>
      </c>
      <c r="K82" s="59">
        <v>103.42</v>
      </c>
      <c r="L82" s="59">
        <v>29.53</v>
      </c>
      <c r="M82" s="59">
        <v>26.73</v>
      </c>
      <c r="N82" s="59">
        <v>5.2</v>
      </c>
      <c r="O82" s="59">
        <v>0</v>
      </c>
      <c r="P82" s="59">
        <v>1.27</v>
      </c>
      <c r="Q82" s="59">
        <v>33.78</v>
      </c>
      <c r="R82" s="197"/>
      <c r="S82" s="197"/>
      <c r="T82" s="197"/>
      <c r="U82" s="197"/>
    </row>
    <row r="83" spans="1:26" s="12" customFormat="1" x14ac:dyDescent="0.25">
      <c r="A83" s="200" t="s">
        <v>1282</v>
      </c>
      <c r="B83" s="59">
        <v>10.119999999999999</v>
      </c>
      <c r="C83" s="59">
        <v>121.27</v>
      </c>
      <c r="D83" s="59">
        <v>74.069999999999993</v>
      </c>
      <c r="E83" s="59">
        <v>3.62</v>
      </c>
      <c r="F83" s="59">
        <v>3.12</v>
      </c>
      <c r="G83" s="59">
        <v>50.39</v>
      </c>
      <c r="H83" s="59">
        <v>18.510000000000002</v>
      </c>
      <c r="I83" s="59">
        <v>0.75</v>
      </c>
      <c r="J83" s="59">
        <v>0.27</v>
      </c>
      <c r="K83" s="59">
        <v>77.260000000000005</v>
      </c>
      <c r="L83" s="59">
        <v>28.89</v>
      </c>
      <c r="M83" s="59">
        <v>29.16</v>
      </c>
      <c r="N83" s="59">
        <v>4.7</v>
      </c>
      <c r="O83" s="59">
        <v>0</v>
      </c>
      <c r="P83" s="59">
        <v>1.29</v>
      </c>
      <c r="Q83" s="59">
        <v>33.82</v>
      </c>
      <c r="R83" s="197"/>
      <c r="S83" s="197"/>
      <c r="T83" s="197"/>
      <c r="U83" s="197"/>
    </row>
    <row r="84" spans="1:26" s="12" customFormat="1" x14ac:dyDescent="0.25">
      <c r="A84" s="200" t="s">
        <v>1283</v>
      </c>
      <c r="B84" s="59">
        <v>13.87</v>
      </c>
      <c r="C84" s="59">
        <v>123.41</v>
      </c>
      <c r="D84" s="59">
        <v>78.260000000000005</v>
      </c>
      <c r="E84" s="59">
        <v>3.88</v>
      </c>
      <c r="F84" s="59">
        <v>3.98</v>
      </c>
      <c r="G84" s="59">
        <v>76.86</v>
      </c>
      <c r="H84" s="59">
        <v>22.77</v>
      </c>
      <c r="I84" s="59">
        <v>0.84</v>
      </c>
      <c r="J84" s="59">
        <v>0.24</v>
      </c>
      <c r="K84" s="59">
        <v>96.82</v>
      </c>
      <c r="L84" s="59">
        <v>28.26</v>
      </c>
      <c r="M84" s="59">
        <v>32.340000000000003</v>
      </c>
      <c r="N84" s="59">
        <v>4.5999999999999996</v>
      </c>
      <c r="O84" s="59">
        <v>0</v>
      </c>
      <c r="P84" s="59">
        <v>2.37</v>
      </c>
      <c r="Q84" s="59">
        <v>33.72</v>
      </c>
      <c r="R84" s="197"/>
      <c r="S84" s="197"/>
      <c r="T84" s="197"/>
      <c r="U84" s="197"/>
    </row>
    <row r="85" spans="1:26" s="12" customFormat="1" x14ac:dyDescent="0.25">
      <c r="A85" s="200" t="s">
        <v>1284</v>
      </c>
      <c r="B85" s="59">
        <v>16.16</v>
      </c>
      <c r="C85" s="59">
        <v>123.8</v>
      </c>
      <c r="D85" s="59">
        <v>80.319999999999993</v>
      </c>
      <c r="E85" s="59">
        <v>3.7</v>
      </c>
      <c r="F85" s="59">
        <v>3.78</v>
      </c>
      <c r="G85" s="59">
        <v>78.09</v>
      </c>
      <c r="H85" s="59">
        <v>22.96</v>
      </c>
      <c r="I85" s="59">
        <v>0.88</v>
      </c>
      <c r="J85" s="59">
        <v>0.08</v>
      </c>
      <c r="K85" s="59">
        <v>19.28</v>
      </c>
      <c r="L85" s="59">
        <v>28.04</v>
      </c>
      <c r="M85" s="59">
        <v>35.78</v>
      </c>
      <c r="N85" s="59">
        <v>4.7</v>
      </c>
      <c r="O85" s="59">
        <v>0</v>
      </c>
      <c r="P85" s="59">
        <v>2.71</v>
      </c>
      <c r="Q85" s="59">
        <v>33.67</v>
      </c>
      <c r="R85" s="197"/>
      <c r="S85" s="197"/>
      <c r="T85" s="197"/>
      <c r="U85" s="197"/>
    </row>
    <row r="86" spans="1:26" s="12" customFormat="1" x14ac:dyDescent="0.25">
      <c r="A86" s="200" t="s">
        <v>1285</v>
      </c>
      <c r="B86" s="59">
        <v>18.84</v>
      </c>
      <c r="C86" s="59">
        <v>124.43</v>
      </c>
      <c r="D86" s="59">
        <v>82.82</v>
      </c>
      <c r="E86" s="59">
        <v>3.74</v>
      </c>
      <c r="F86" s="59">
        <v>3.17</v>
      </c>
      <c r="G86" s="59">
        <v>78.09</v>
      </c>
      <c r="H86" s="59">
        <v>22.96</v>
      </c>
      <c r="I86" s="59">
        <v>1.01</v>
      </c>
      <c r="J86" s="59">
        <v>0.08</v>
      </c>
      <c r="K86" s="59">
        <v>119.58</v>
      </c>
      <c r="L86" s="59">
        <v>27.34</v>
      </c>
      <c r="M86" s="59">
        <v>40.15</v>
      </c>
      <c r="N86" s="59">
        <v>4.8</v>
      </c>
      <c r="O86" s="59">
        <v>0</v>
      </c>
      <c r="P86" s="59">
        <v>2.08</v>
      </c>
      <c r="Q86" s="59">
        <v>33.32</v>
      </c>
      <c r="R86" s="197"/>
      <c r="S86" s="197"/>
      <c r="T86" s="197"/>
      <c r="U86" s="197"/>
    </row>
    <row r="87" spans="1:26" s="12" customFormat="1" x14ac:dyDescent="0.25">
      <c r="A87" s="200" t="s">
        <v>1286</v>
      </c>
      <c r="B87" s="59">
        <v>23.06</v>
      </c>
      <c r="C87" s="59">
        <v>124.65</v>
      </c>
      <c r="D87" s="59">
        <v>86.32</v>
      </c>
      <c r="E87" s="59">
        <v>3.27</v>
      </c>
      <c r="F87" s="59">
        <v>3.08</v>
      </c>
      <c r="G87" s="59">
        <v>78.09</v>
      </c>
      <c r="H87" s="59">
        <v>22.96</v>
      </c>
      <c r="I87" s="59">
        <v>1.22</v>
      </c>
      <c r="J87" s="59">
        <v>0.18</v>
      </c>
      <c r="K87" s="59">
        <v>38.35</v>
      </c>
      <c r="L87" s="59">
        <v>27.11</v>
      </c>
      <c r="M87" s="59">
        <v>41.66</v>
      </c>
      <c r="N87" s="59">
        <v>4.5999999999999996</v>
      </c>
      <c r="O87" s="59">
        <v>0</v>
      </c>
      <c r="P87" s="59">
        <v>3.37</v>
      </c>
      <c r="Q87" s="59">
        <v>33.83</v>
      </c>
      <c r="R87" s="197"/>
      <c r="S87" s="197"/>
      <c r="T87" s="197"/>
      <c r="U87" s="197"/>
    </row>
    <row r="88" spans="1:26" s="12" customFormat="1" x14ac:dyDescent="0.25">
      <c r="A88" s="200" t="s">
        <v>1287</v>
      </c>
      <c r="B88" s="59">
        <v>29.35</v>
      </c>
      <c r="C88" s="59">
        <v>125.13</v>
      </c>
      <c r="D88" s="59">
        <v>91.63</v>
      </c>
      <c r="E88" s="59">
        <v>2.2200000000000002</v>
      </c>
      <c r="F88" s="59">
        <v>3.05</v>
      </c>
      <c r="G88" s="59">
        <v>120.35</v>
      </c>
      <c r="H88" s="59">
        <v>30.9</v>
      </c>
      <c r="I88" s="59">
        <v>1.27</v>
      </c>
      <c r="J88" s="59">
        <v>0.1</v>
      </c>
      <c r="K88" s="59">
        <v>358.92</v>
      </c>
      <c r="L88" s="59">
        <v>26.43</v>
      </c>
      <c r="M88" s="59">
        <v>45.33</v>
      </c>
      <c r="N88" s="59">
        <v>4.9000000000000004</v>
      </c>
      <c r="O88" s="59">
        <v>0</v>
      </c>
      <c r="P88" s="59">
        <v>3.83</v>
      </c>
      <c r="Q88" s="59">
        <v>34.299999999999997</v>
      </c>
      <c r="R88" s="197"/>
      <c r="S88" s="197"/>
      <c r="T88" s="197"/>
      <c r="U88" s="197"/>
    </row>
    <row r="89" spans="1:26" s="12" customFormat="1" x14ac:dyDescent="0.25">
      <c r="A89" s="200" t="s">
        <v>1288</v>
      </c>
      <c r="B89" s="59">
        <v>35.47</v>
      </c>
      <c r="C89" s="59">
        <v>124.6</v>
      </c>
      <c r="D89" s="59">
        <v>96.24</v>
      </c>
      <c r="E89" s="59">
        <v>3.69</v>
      </c>
      <c r="F89" s="59">
        <v>3.11</v>
      </c>
      <c r="G89" s="59">
        <v>122.32</v>
      </c>
      <c r="H89" s="59">
        <v>31.27</v>
      </c>
      <c r="I89" s="59">
        <v>1.59</v>
      </c>
      <c r="J89" s="59">
        <v>0.06</v>
      </c>
      <c r="K89" s="59">
        <v>327.7</v>
      </c>
      <c r="L89" s="59">
        <v>26.33</v>
      </c>
      <c r="M89" s="59">
        <v>42.22</v>
      </c>
      <c r="N89" s="59">
        <v>4.9000000000000004</v>
      </c>
      <c r="O89" s="59">
        <v>0</v>
      </c>
      <c r="P89" s="59">
        <v>3.46</v>
      </c>
      <c r="Q89" s="59">
        <v>35.130000000000003</v>
      </c>
      <c r="R89" s="197"/>
      <c r="S89" s="197"/>
      <c r="T89" s="197"/>
      <c r="U89" s="197"/>
    </row>
    <row r="90" spans="1:26" s="12" customFormat="1" x14ac:dyDescent="0.25">
      <c r="A90" s="200" t="s">
        <v>1289</v>
      </c>
      <c r="B90" s="59">
        <v>42.22</v>
      </c>
      <c r="C90" s="59">
        <v>124.4</v>
      </c>
      <c r="D90" s="59">
        <v>101.55</v>
      </c>
      <c r="E90" s="59">
        <v>3.7</v>
      </c>
      <c r="F90" s="59">
        <v>2.97</v>
      </c>
      <c r="G90" s="59">
        <v>122.32</v>
      </c>
      <c r="H90" s="59">
        <v>31.27</v>
      </c>
      <c r="I90" s="59">
        <v>1.57</v>
      </c>
      <c r="J90" s="59">
        <v>0.25</v>
      </c>
      <c r="K90" s="59">
        <v>10.4</v>
      </c>
      <c r="L90" s="59">
        <v>26.05</v>
      </c>
      <c r="M90" s="59">
        <v>44.05</v>
      </c>
      <c r="N90" s="59">
        <v>4.5999999999999996</v>
      </c>
      <c r="O90" s="59">
        <v>0</v>
      </c>
      <c r="P90" s="59">
        <v>3.81</v>
      </c>
      <c r="Q90" s="59">
        <v>35.799999999999997</v>
      </c>
      <c r="R90" s="197"/>
      <c r="S90" s="197"/>
      <c r="T90" s="197"/>
      <c r="U90" s="197"/>
    </row>
    <row r="91" spans="1:26" s="12" customFormat="1" x14ac:dyDescent="0.25">
      <c r="A91" s="200" t="s">
        <v>1290</v>
      </c>
      <c r="B91" s="59">
        <v>48.1</v>
      </c>
      <c r="C91" s="59">
        <v>124.41</v>
      </c>
      <c r="D91" s="59">
        <v>106.26</v>
      </c>
      <c r="E91" s="59">
        <v>4.37</v>
      </c>
      <c r="F91" s="59">
        <v>3.11</v>
      </c>
      <c r="G91" s="59">
        <v>122.32</v>
      </c>
      <c r="H91" s="59">
        <v>31.27</v>
      </c>
      <c r="I91" s="59">
        <v>1.5</v>
      </c>
      <c r="J91" s="59">
        <v>0.21</v>
      </c>
      <c r="K91" s="59">
        <v>13.79</v>
      </c>
      <c r="L91" s="59">
        <v>25.79</v>
      </c>
      <c r="M91" s="59">
        <v>43.63</v>
      </c>
      <c r="N91" s="59">
        <v>4</v>
      </c>
      <c r="O91" s="59">
        <v>0</v>
      </c>
      <c r="P91" s="59">
        <v>2.95</v>
      </c>
      <c r="Q91" s="59">
        <v>36.64</v>
      </c>
      <c r="R91" s="197"/>
      <c r="S91" s="197"/>
      <c r="T91" s="197"/>
      <c r="U91" s="197"/>
    </row>
    <row r="92" spans="1:26" s="12" customFormat="1" x14ac:dyDescent="0.25">
      <c r="A92" s="200" t="s">
        <v>1291</v>
      </c>
      <c r="B92" s="59">
        <v>50.79</v>
      </c>
      <c r="C92" s="59">
        <v>125.73</v>
      </c>
      <c r="D92" s="59">
        <v>109.15</v>
      </c>
      <c r="E92" s="59">
        <v>4.5199999999999996</v>
      </c>
      <c r="F92" s="59">
        <v>3.04</v>
      </c>
      <c r="G92" s="59">
        <v>166.47</v>
      </c>
      <c r="H92" s="59">
        <v>40.21</v>
      </c>
      <c r="I92" s="59">
        <v>1.64</v>
      </c>
      <c r="J92" s="59">
        <v>0.06</v>
      </c>
      <c r="K92" s="59">
        <v>296.08999999999997</v>
      </c>
      <c r="L92" s="59">
        <v>26.48</v>
      </c>
      <c r="M92" s="59">
        <v>37.08</v>
      </c>
      <c r="N92" s="59">
        <v>4.5</v>
      </c>
      <c r="O92" s="59">
        <v>0</v>
      </c>
      <c r="P92" s="59">
        <v>2.25</v>
      </c>
      <c r="Q92" s="59">
        <v>37.49</v>
      </c>
      <c r="R92" s="197"/>
      <c r="S92" s="197"/>
      <c r="T92" s="197"/>
      <c r="U92" s="197"/>
    </row>
    <row r="93" spans="1:26" s="12" customFormat="1" x14ac:dyDescent="0.25">
      <c r="A93" s="200" t="s">
        <v>1292</v>
      </c>
      <c r="B93" s="59">
        <v>50.57</v>
      </c>
      <c r="C93" s="59">
        <v>126.41</v>
      </c>
      <c r="D93" s="59">
        <v>109.35</v>
      </c>
      <c r="E93" s="59">
        <v>3.95</v>
      </c>
      <c r="F93" s="59">
        <v>3.19</v>
      </c>
      <c r="G93" s="59">
        <v>168.53</v>
      </c>
      <c r="H93" s="59">
        <v>40.630000000000003</v>
      </c>
      <c r="I93" s="59">
        <v>1.33</v>
      </c>
      <c r="J93" s="59">
        <v>0.27</v>
      </c>
      <c r="K93" s="59">
        <v>106.07</v>
      </c>
      <c r="L93" s="59">
        <v>26.58</v>
      </c>
      <c r="M93" s="59">
        <v>37.15</v>
      </c>
      <c r="N93" s="59">
        <v>4.2</v>
      </c>
      <c r="O93" s="59">
        <v>0</v>
      </c>
      <c r="P93" s="59">
        <v>2.0299999999999998</v>
      </c>
      <c r="Q93" s="59">
        <v>37.94</v>
      </c>
      <c r="R93" s="197"/>
      <c r="S93" s="197"/>
      <c r="T93" s="197"/>
      <c r="U93" s="197"/>
    </row>
    <row r="94" spans="1:26" s="12" customFormat="1" x14ac:dyDescent="0.25">
      <c r="A94" s="200" t="s">
        <v>1293</v>
      </c>
      <c r="B94" s="59">
        <v>51.91</v>
      </c>
      <c r="C94" s="59">
        <v>127.48</v>
      </c>
      <c r="D94" s="59">
        <v>111.02</v>
      </c>
      <c r="E94" s="59">
        <v>4.1500000000000004</v>
      </c>
      <c r="F94" s="59">
        <v>2.92</v>
      </c>
      <c r="G94" s="59">
        <v>168.53</v>
      </c>
      <c r="H94" s="59">
        <v>40.630000000000003</v>
      </c>
      <c r="I94" s="59">
        <v>1.1399999999999999</v>
      </c>
      <c r="J94" s="59">
        <v>0.17</v>
      </c>
      <c r="K94" s="59">
        <v>73.53</v>
      </c>
      <c r="L94" s="59">
        <v>26.22</v>
      </c>
      <c r="M94" s="59">
        <v>40.81</v>
      </c>
      <c r="N94" s="59">
        <v>4.7</v>
      </c>
      <c r="O94" s="59">
        <v>0</v>
      </c>
      <c r="P94" s="59">
        <v>2.14</v>
      </c>
      <c r="Q94" s="59">
        <v>38.130000000000003</v>
      </c>
      <c r="R94" s="197"/>
      <c r="S94" s="197"/>
      <c r="T94" s="197"/>
      <c r="U94" s="197"/>
    </row>
    <row r="95" spans="1:26" s="12" customFormat="1" x14ac:dyDescent="0.25">
      <c r="A95" s="200" t="s">
        <v>1294</v>
      </c>
      <c r="B95" s="59">
        <v>58.21</v>
      </c>
      <c r="C95" s="59">
        <v>128.91</v>
      </c>
      <c r="D95" s="59">
        <v>116.86</v>
      </c>
      <c r="E95" s="59">
        <v>4.09</v>
      </c>
      <c r="F95" s="59">
        <v>2.82</v>
      </c>
      <c r="G95" s="59">
        <v>168.53</v>
      </c>
      <c r="H95" s="59">
        <v>40.630000000000003</v>
      </c>
      <c r="I95" s="59">
        <v>1.1399999999999999</v>
      </c>
      <c r="J95" s="59">
        <v>0.05</v>
      </c>
      <c r="K95" s="59">
        <v>115.29</v>
      </c>
      <c r="L95" s="59">
        <v>25.6</v>
      </c>
      <c r="M95" s="59">
        <v>44.48</v>
      </c>
      <c r="N95" s="59">
        <v>4.5999999999999996</v>
      </c>
      <c r="O95" s="59">
        <v>0</v>
      </c>
      <c r="P95" s="59">
        <v>2.12</v>
      </c>
      <c r="Q95" s="59">
        <v>38.36</v>
      </c>
      <c r="R95" s="197"/>
      <c r="S95" s="197"/>
      <c r="T95" s="197"/>
      <c r="U95" s="197"/>
    </row>
    <row r="96" spans="1:26" s="12" customFormat="1" x14ac:dyDescent="0.25">
      <c r="A96" s="200" t="s">
        <v>1295</v>
      </c>
      <c r="B96" s="59">
        <v>66.37</v>
      </c>
      <c r="C96" s="59">
        <v>129.43</v>
      </c>
      <c r="D96" s="59">
        <v>123.69</v>
      </c>
      <c r="E96" s="59">
        <v>4.6900000000000004</v>
      </c>
      <c r="F96" s="59">
        <v>2.8</v>
      </c>
      <c r="G96" s="59">
        <v>130.47999999999999</v>
      </c>
      <c r="H96" s="59">
        <v>38.75</v>
      </c>
      <c r="I96" s="59">
        <v>1.17</v>
      </c>
      <c r="J96" s="59">
        <v>0.18</v>
      </c>
      <c r="K96" s="59">
        <v>18.89</v>
      </c>
      <c r="L96" s="59">
        <v>25.06</v>
      </c>
      <c r="M96" s="59">
        <v>50.64</v>
      </c>
      <c r="N96" s="59">
        <v>4.9000000000000004</v>
      </c>
      <c r="O96" s="59">
        <v>0</v>
      </c>
      <c r="P96" s="59">
        <v>2.31</v>
      </c>
      <c r="Q96" s="59">
        <v>38.54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1296</v>
      </c>
      <c r="B97" s="59">
        <v>78.650000000000006</v>
      </c>
      <c r="C97" s="59">
        <v>129.57</v>
      </c>
      <c r="D97" s="59">
        <v>133.62</v>
      </c>
      <c r="E97" s="59">
        <v>4.42</v>
      </c>
      <c r="F97" s="59">
        <v>2.84</v>
      </c>
      <c r="G97" s="59">
        <v>128.71</v>
      </c>
      <c r="H97" s="59">
        <v>38.67</v>
      </c>
      <c r="I97" s="59">
        <v>1.18</v>
      </c>
      <c r="J97" s="59">
        <v>0.14000000000000001</v>
      </c>
      <c r="K97" s="59">
        <v>85.05</v>
      </c>
      <c r="L97" s="59">
        <v>24.71</v>
      </c>
      <c r="M97" s="59">
        <v>47.75</v>
      </c>
      <c r="N97" s="59">
        <v>4.9000000000000004</v>
      </c>
      <c r="O97" s="59">
        <v>0</v>
      </c>
      <c r="P97" s="59">
        <v>2.34</v>
      </c>
      <c r="Q97" s="59">
        <v>39.21</v>
      </c>
      <c r="R97" s="197"/>
      <c r="S97" s="197"/>
      <c r="T97" s="197"/>
      <c r="U97" s="197"/>
    </row>
    <row r="98" spans="1:33" s="12" customFormat="1" x14ac:dyDescent="0.25">
      <c r="A98" s="200" t="s">
        <v>1297</v>
      </c>
      <c r="B98" s="59">
        <v>90.93</v>
      </c>
      <c r="C98" s="59">
        <v>129.44999999999999</v>
      </c>
      <c r="D98" s="59">
        <v>143.4</v>
      </c>
      <c r="E98" s="59">
        <v>4.6399999999999997</v>
      </c>
      <c r="F98" s="59">
        <v>2.76</v>
      </c>
      <c r="G98" s="59">
        <v>128.71</v>
      </c>
      <c r="H98" s="59">
        <v>38.67</v>
      </c>
      <c r="I98" s="59">
        <v>1.22</v>
      </c>
      <c r="J98" s="59">
        <v>0.12</v>
      </c>
      <c r="K98" s="59">
        <v>348.67</v>
      </c>
      <c r="L98" s="59">
        <v>24.57</v>
      </c>
      <c r="M98" s="59">
        <v>49.4</v>
      </c>
      <c r="N98" s="59">
        <v>4.5999999999999996</v>
      </c>
      <c r="O98" s="59">
        <v>0</v>
      </c>
      <c r="P98" s="59">
        <v>3.07</v>
      </c>
      <c r="Q98" s="59">
        <v>39.700000000000003</v>
      </c>
      <c r="R98" s="197"/>
      <c r="S98" s="197"/>
      <c r="T98" s="197"/>
      <c r="U98" s="197"/>
    </row>
    <row r="99" spans="1:33" s="12" customFormat="1" x14ac:dyDescent="0.25">
      <c r="A99" s="200" t="s">
        <v>1298</v>
      </c>
      <c r="B99" s="59">
        <v>99.58</v>
      </c>
      <c r="C99" s="59">
        <v>128.47</v>
      </c>
      <c r="D99" s="59">
        <v>149.79</v>
      </c>
      <c r="E99" s="59">
        <v>4.33</v>
      </c>
      <c r="F99" s="59">
        <v>2.78</v>
      </c>
      <c r="G99" s="59">
        <v>128.71</v>
      </c>
      <c r="H99" s="59">
        <v>38.67</v>
      </c>
      <c r="I99" s="59">
        <v>1.23</v>
      </c>
      <c r="J99" s="59">
        <v>0.14000000000000001</v>
      </c>
      <c r="K99" s="59">
        <v>17.850000000000001</v>
      </c>
      <c r="L99" s="59">
        <v>24.02</v>
      </c>
      <c r="M99" s="59">
        <v>53.59</v>
      </c>
      <c r="N99" s="59">
        <v>4.9000000000000004</v>
      </c>
      <c r="O99" s="59">
        <v>0</v>
      </c>
      <c r="P99" s="59">
        <v>3.46</v>
      </c>
      <c r="Q99" s="59">
        <v>39.71</v>
      </c>
      <c r="R99" s="197"/>
      <c r="S99" s="197"/>
      <c r="T99" s="197"/>
      <c r="U99" s="197"/>
    </row>
    <row r="100" spans="1:33" s="12" customFormat="1" x14ac:dyDescent="0.25">
      <c r="A100" s="200" t="s">
        <v>1299</v>
      </c>
      <c r="B100" s="59">
        <v>105.48</v>
      </c>
      <c r="C100" s="59">
        <v>128.31</v>
      </c>
      <c r="D100" s="59">
        <v>154.44</v>
      </c>
      <c r="E100" s="59">
        <v>4.78</v>
      </c>
      <c r="F100" s="59">
        <v>2.78</v>
      </c>
      <c r="G100" s="59">
        <v>178.94</v>
      </c>
      <c r="H100" s="59">
        <v>49.32</v>
      </c>
      <c r="I100" s="59">
        <v>1.4</v>
      </c>
      <c r="J100" s="59">
        <v>0.04</v>
      </c>
      <c r="K100" s="59">
        <v>93.37</v>
      </c>
      <c r="L100" s="59">
        <v>23.84</v>
      </c>
      <c r="M100" s="59">
        <v>52.55</v>
      </c>
      <c r="N100" s="59">
        <v>4.8</v>
      </c>
      <c r="O100" s="59">
        <v>0</v>
      </c>
      <c r="P100" s="59">
        <v>3.18</v>
      </c>
      <c r="Q100" s="59">
        <v>39.020000000000003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1300</v>
      </c>
      <c r="B101" s="59">
        <v>111.94</v>
      </c>
      <c r="C101" s="59">
        <v>127.27</v>
      </c>
      <c r="D101" s="59">
        <v>159.04</v>
      </c>
      <c r="E101" s="59">
        <v>4.83</v>
      </c>
      <c r="F101" s="59">
        <v>3.01</v>
      </c>
      <c r="G101" s="59">
        <v>181.27</v>
      </c>
      <c r="H101" s="59">
        <v>49.81</v>
      </c>
      <c r="I101" s="59">
        <v>1.44</v>
      </c>
      <c r="J101" s="59">
        <v>7.0000000000000007E-2</v>
      </c>
      <c r="K101" s="59">
        <v>133.43</v>
      </c>
      <c r="L101" s="59">
        <v>23.57</v>
      </c>
      <c r="M101" s="59">
        <v>53.61</v>
      </c>
      <c r="N101" s="59">
        <v>4.8</v>
      </c>
      <c r="O101" s="59">
        <v>0</v>
      </c>
      <c r="P101" s="59">
        <v>2.92</v>
      </c>
      <c r="Q101" s="59">
        <v>39.53</v>
      </c>
      <c r="R101" s="197"/>
      <c r="S101" s="197"/>
      <c r="T101" s="197"/>
      <c r="U101" s="197"/>
    </row>
    <row r="102" spans="1:33" s="12" customFormat="1" x14ac:dyDescent="0.25">
      <c r="A102" s="200" t="s">
        <v>1301</v>
      </c>
      <c r="B102" s="59">
        <v>119.04</v>
      </c>
      <c r="C102" s="59">
        <v>126.34</v>
      </c>
      <c r="D102" s="59">
        <v>164.22</v>
      </c>
      <c r="E102" s="59">
        <v>4.68</v>
      </c>
      <c r="F102" s="59">
        <v>3.06</v>
      </c>
      <c r="G102" s="59">
        <v>181.27</v>
      </c>
      <c r="H102" s="59">
        <v>49.81</v>
      </c>
      <c r="I102" s="59">
        <v>1.49</v>
      </c>
      <c r="J102" s="59">
        <v>0.08</v>
      </c>
      <c r="K102" s="59">
        <v>137.33000000000001</v>
      </c>
      <c r="L102" s="59">
        <v>23.41</v>
      </c>
      <c r="M102" s="59">
        <v>52.63</v>
      </c>
      <c r="N102" s="59">
        <v>4.7</v>
      </c>
      <c r="O102" s="59">
        <v>0</v>
      </c>
      <c r="P102" s="59">
        <v>2.44</v>
      </c>
      <c r="Q102" s="59">
        <v>40.29</v>
      </c>
      <c r="R102" s="197"/>
      <c r="S102" s="197"/>
      <c r="T102" s="197"/>
      <c r="U102" s="197"/>
    </row>
    <row r="103" spans="1:33" s="12" customFormat="1" x14ac:dyDescent="0.25">
      <c r="A103" s="200" t="s">
        <v>1302</v>
      </c>
      <c r="B103" s="59">
        <v>128.97</v>
      </c>
      <c r="C103" s="59">
        <v>125.19</v>
      </c>
      <c r="D103" s="59">
        <v>171.55</v>
      </c>
      <c r="E103" s="59">
        <v>5.18</v>
      </c>
      <c r="F103" s="59">
        <v>2.98</v>
      </c>
      <c r="G103" s="59">
        <v>181.27</v>
      </c>
      <c r="H103" s="59">
        <v>49.81</v>
      </c>
      <c r="I103" s="59">
        <v>1.47</v>
      </c>
      <c r="J103" s="59">
        <v>0.06</v>
      </c>
      <c r="K103" s="59">
        <v>142.21</v>
      </c>
      <c r="L103" s="59">
        <v>23.25</v>
      </c>
      <c r="M103" s="59">
        <v>53.24</v>
      </c>
      <c r="N103" s="59">
        <v>4.8</v>
      </c>
      <c r="O103" s="59">
        <v>0</v>
      </c>
      <c r="P103" s="59">
        <v>2.33</v>
      </c>
      <c r="Q103" s="59">
        <v>40.92</v>
      </c>
      <c r="R103" s="197"/>
      <c r="S103" s="197"/>
      <c r="T103" s="197"/>
      <c r="U103" s="197"/>
    </row>
    <row r="104" spans="1:33" s="12" customFormat="1" x14ac:dyDescent="0.25">
      <c r="A104" s="200" t="s">
        <v>1303</v>
      </c>
      <c r="B104" s="59">
        <v>136.75</v>
      </c>
      <c r="C104" s="59">
        <v>124.4</v>
      </c>
      <c r="D104" s="59">
        <v>177.36</v>
      </c>
      <c r="E104" s="59">
        <v>3.12</v>
      </c>
      <c r="F104" s="59">
        <v>2.0099999999999998</v>
      </c>
      <c r="G104" s="59">
        <v>164.54</v>
      </c>
      <c r="H104" s="59">
        <v>51.82</v>
      </c>
      <c r="I104" s="59">
        <v>1.37</v>
      </c>
      <c r="J104" s="59">
        <v>0.1</v>
      </c>
      <c r="K104" s="59">
        <v>17.18</v>
      </c>
      <c r="L104" s="59">
        <v>22.99</v>
      </c>
      <c r="M104" s="59">
        <v>56.09</v>
      </c>
      <c r="N104" s="59">
        <v>4.5999999999999996</v>
      </c>
      <c r="O104" s="59">
        <v>0</v>
      </c>
      <c r="P104" s="59">
        <v>2.54</v>
      </c>
      <c r="Q104" s="59">
        <v>41.36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2.1800000000000002</v>
      </c>
      <c r="C106" s="66">
        <f>MIN(C9:C104)</f>
        <v>99.08</v>
      </c>
      <c r="D106" s="66">
        <f t="shared" ref="D106:Q106" si="0">MIN(D9:D104)</f>
        <v>55.47</v>
      </c>
      <c r="E106" s="66">
        <f t="shared" si="0"/>
        <v>1.02</v>
      </c>
      <c r="F106" s="66">
        <f t="shared" si="0"/>
        <v>2.0099999999999998</v>
      </c>
      <c r="G106" s="66">
        <f t="shared" si="0"/>
        <v>8.26</v>
      </c>
      <c r="H106" s="66">
        <f t="shared" si="0"/>
        <v>18.510000000000002</v>
      </c>
      <c r="I106" s="66">
        <f t="shared" si="0"/>
        <v>0.5</v>
      </c>
      <c r="J106" s="66">
        <f t="shared" si="0"/>
        <v>0.04</v>
      </c>
      <c r="K106" s="66">
        <f t="shared" si="0"/>
        <v>0.87</v>
      </c>
      <c r="L106" s="66">
        <f t="shared" si="0"/>
        <v>20.43</v>
      </c>
      <c r="M106" s="66">
        <f t="shared" si="0"/>
        <v>16.2</v>
      </c>
      <c r="N106" s="66">
        <f t="shared" si="0"/>
        <v>4</v>
      </c>
      <c r="O106" s="66">
        <f t="shared" si="0"/>
        <v>0</v>
      </c>
      <c r="P106" s="66">
        <f t="shared" si="0"/>
        <v>0.72</v>
      </c>
      <c r="Q106" s="66">
        <f t="shared" si="0"/>
        <v>30.54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136.75</v>
      </c>
      <c r="C107" s="65">
        <f t="shared" ref="C107:Q107" si="1">MAX(C9:C104)</f>
        <v>133.53</v>
      </c>
      <c r="D107" s="65">
        <f t="shared" si="1"/>
        <v>177.36</v>
      </c>
      <c r="E107" s="65">
        <f t="shared" si="1"/>
        <v>5.18</v>
      </c>
      <c r="F107" s="65">
        <f t="shared" si="1"/>
        <v>5.66</v>
      </c>
      <c r="G107" s="65">
        <f t="shared" si="1"/>
        <v>197.62</v>
      </c>
      <c r="H107" s="65">
        <f t="shared" si="1"/>
        <v>51.82</v>
      </c>
      <c r="I107" s="65">
        <f t="shared" si="1"/>
        <v>1.64</v>
      </c>
      <c r="J107" s="65">
        <f t="shared" si="1"/>
        <v>1.72</v>
      </c>
      <c r="K107" s="65">
        <f t="shared" si="1"/>
        <v>359.5</v>
      </c>
      <c r="L107" s="65">
        <f t="shared" si="1"/>
        <v>36.36</v>
      </c>
      <c r="M107" s="65">
        <f t="shared" si="1"/>
        <v>62.14</v>
      </c>
      <c r="N107" s="65">
        <f t="shared" si="1"/>
        <v>832.6</v>
      </c>
      <c r="O107" s="65">
        <f t="shared" si="1"/>
        <v>0</v>
      </c>
      <c r="P107" s="65">
        <f t="shared" si="1"/>
        <v>3.83</v>
      </c>
      <c r="Q107" s="65">
        <f t="shared" si="1"/>
        <v>41.36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24.617395833333333</v>
      </c>
      <c r="C108" s="66">
        <f t="shared" ref="C108:Q108" si="2">AVERAGE(C9:C104)</f>
        <v>115.30635416666668</v>
      </c>
      <c r="D108" s="66">
        <f t="shared" si="2"/>
        <v>82.39687499999998</v>
      </c>
      <c r="E108" s="66">
        <f t="shared" si="2"/>
        <v>3.6984374999999989</v>
      </c>
      <c r="F108" s="66">
        <f t="shared" si="2"/>
        <v>3.4906249999999996</v>
      </c>
      <c r="G108" s="66">
        <f t="shared" si="2"/>
        <v>81.215104166666663</v>
      </c>
      <c r="H108" s="66">
        <f t="shared" si="2"/>
        <v>34.832500000000017</v>
      </c>
      <c r="I108" s="66">
        <f t="shared" si="2"/>
        <v>0.7913541666666668</v>
      </c>
      <c r="J108" s="66">
        <f t="shared" si="2"/>
        <v>0.34041666666666665</v>
      </c>
      <c r="K108" s="66">
        <f t="shared" si="2"/>
        <v>143.06968750000004</v>
      </c>
      <c r="L108" s="66">
        <f t="shared" si="2"/>
        <v>28.028229166666673</v>
      </c>
      <c r="M108" s="66">
        <f t="shared" si="2"/>
        <v>38.709375000000016</v>
      </c>
      <c r="N108" s="66">
        <f t="shared" si="2"/>
        <v>223.41875000000005</v>
      </c>
      <c r="O108" s="66">
        <f t="shared" si="2"/>
        <v>0</v>
      </c>
      <c r="P108" s="66">
        <f t="shared" si="2"/>
        <v>1.5401041666666666</v>
      </c>
      <c r="Q108" s="66">
        <f t="shared" si="2"/>
        <v>35.276250000000026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29.759134970619719</v>
      </c>
      <c r="C109" s="66">
        <f t="shared" ref="C109:Q109" si="3">STDEV(C9:C104)</f>
        <v>9.983968952358909</v>
      </c>
      <c r="D109" s="66">
        <f t="shared" si="3"/>
        <v>26.830931219985345</v>
      </c>
      <c r="E109" s="66">
        <f t="shared" si="3"/>
        <v>0.84481368624904407</v>
      </c>
      <c r="F109" s="66">
        <f t="shared" si="3"/>
        <v>0.76470677214760929</v>
      </c>
      <c r="G109" s="66">
        <f t="shared" si="3"/>
        <v>50.701369627400588</v>
      </c>
      <c r="H109" s="66">
        <f t="shared" si="3"/>
        <v>8.8820353286252001</v>
      </c>
      <c r="I109" s="66">
        <f t="shared" si="3"/>
        <v>0.29713232845658943</v>
      </c>
      <c r="J109" s="66">
        <f t="shared" si="3"/>
        <v>0.26413679337425722</v>
      </c>
      <c r="K109" s="66">
        <f t="shared" si="3"/>
        <v>116.45229928762673</v>
      </c>
      <c r="L109" s="66">
        <f t="shared" si="3"/>
        <v>5.0404895323645338</v>
      </c>
      <c r="M109" s="66">
        <f t="shared" si="3"/>
        <v>14.20075081873453</v>
      </c>
      <c r="N109" s="66">
        <f t="shared" si="3"/>
        <v>301.84570903988254</v>
      </c>
      <c r="O109" s="66">
        <f t="shared" si="3"/>
        <v>0</v>
      </c>
      <c r="P109" s="66">
        <f t="shared" si="3"/>
        <v>0.73445360254970893</v>
      </c>
      <c r="Q109" s="66">
        <f t="shared" si="3"/>
        <v>2.1876669861076352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12-03-2023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1304</v>
      </c>
      <c r="B9" s="59">
        <v>140.72999999999999</v>
      </c>
      <c r="C9" s="59">
        <v>122.37</v>
      </c>
      <c r="D9" s="59">
        <v>179.43</v>
      </c>
      <c r="E9" s="59">
        <v>5.15</v>
      </c>
      <c r="F9" s="59">
        <v>2.7</v>
      </c>
      <c r="G9" s="59">
        <v>163.76</v>
      </c>
      <c r="H9" s="59">
        <v>51.91</v>
      </c>
      <c r="I9" s="59">
        <v>1.28</v>
      </c>
      <c r="J9" s="59">
        <v>0.05</v>
      </c>
      <c r="K9" s="59">
        <v>223.02</v>
      </c>
      <c r="L9" s="59">
        <v>22.97</v>
      </c>
      <c r="M9" s="59">
        <v>53.11</v>
      </c>
      <c r="N9" s="59">
        <v>4.5999999999999996</v>
      </c>
      <c r="O9" s="59">
        <v>0</v>
      </c>
      <c r="P9" s="59">
        <v>2.19</v>
      </c>
      <c r="Q9" s="59">
        <v>42.19</v>
      </c>
      <c r="R9" s="197"/>
      <c r="S9" s="197"/>
      <c r="T9" s="197"/>
      <c r="U9" s="197"/>
    </row>
    <row r="10" spans="1:21" s="12" customFormat="1" x14ac:dyDescent="0.25">
      <c r="A10" s="200" t="s">
        <v>1305</v>
      </c>
      <c r="B10" s="59">
        <v>142.65</v>
      </c>
      <c r="C10" s="59">
        <v>121.46</v>
      </c>
      <c r="D10" s="59">
        <v>180.46</v>
      </c>
      <c r="E10" s="59">
        <v>5.39</v>
      </c>
      <c r="F10" s="59">
        <v>2.9</v>
      </c>
      <c r="G10" s="59">
        <v>163.76</v>
      </c>
      <c r="H10" s="59">
        <v>51.91</v>
      </c>
      <c r="I10" s="59">
        <v>1.24</v>
      </c>
      <c r="J10" s="59">
        <v>0.1</v>
      </c>
      <c r="K10" s="59">
        <v>287.8</v>
      </c>
      <c r="L10" s="59">
        <v>22.93</v>
      </c>
      <c r="M10" s="59">
        <v>55.31</v>
      </c>
      <c r="N10" s="59">
        <v>4.5999999999999996</v>
      </c>
      <c r="O10" s="59">
        <v>0</v>
      </c>
      <c r="P10" s="59">
        <v>2.4500000000000002</v>
      </c>
      <c r="Q10" s="59">
        <v>42.95</v>
      </c>
      <c r="R10" s="197"/>
      <c r="S10" s="197"/>
      <c r="T10" s="197"/>
      <c r="U10" s="197"/>
    </row>
    <row r="11" spans="1:21" s="12" customFormat="1" x14ac:dyDescent="0.25">
      <c r="A11" s="200" t="s">
        <v>1306</v>
      </c>
      <c r="B11" s="59">
        <v>140.06</v>
      </c>
      <c r="C11" s="59">
        <v>119.75</v>
      </c>
      <c r="D11" s="59">
        <v>177.44</v>
      </c>
      <c r="E11" s="59">
        <v>5.92</v>
      </c>
      <c r="F11" s="59">
        <v>3.4</v>
      </c>
      <c r="G11" s="59">
        <v>163.76</v>
      </c>
      <c r="H11" s="59">
        <v>51.91</v>
      </c>
      <c r="I11" s="59">
        <v>1.27</v>
      </c>
      <c r="J11" s="59">
        <v>0.14000000000000001</v>
      </c>
      <c r="K11" s="59">
        <v>330.55</v>
      </c>
      <c r="L11" s="59">
        <v>23.56</v>
      </c>
      <c r="M11" s="59">
        <v>48.26</v>
      </c>
      <c r="N11" s="59">
        <v>3.9</v>
      </c>
      <c r="O11" s="59">
        <v>0</v>
      </c>
      <c r="P11" s="59">
        <v>2.4</v>
      </c>
      <c r="Q11" s="59">
        <v>43</v>
      </c>
      <c r="R11" s="197"/>
      <c r="S11" s="197"/>
      <c r="T11" s="197"/>
      <c r="U11" s="197"/>
    </row>
    <row r="12" spans="1:21" s="12" customFormat="1" x14ac:dyDescent="0.25">
      <c r="A12" s="200" t="s">
        <v>1307</v>
      </c>
      <c r="B12" s="59">
        <v>136.13999999999999</v>
      </c>
      <c r="C12" s="59">
        <v>118.73</v>
      </c>
      <c r="D12" s="59">
        <v>173.74</v>
      </c>
      <c r="E12" s="59">
        <v>5.58</v>
      </c>
      <c r="F12" s="59">
        <v>3.66</v>
      </c>
      <c r="G12" s="59">
        <v>109.34</v>
      </c>
      <c r="H12" s="59">
        <v>45</v>
      </c>
      <c r="I12" s="59">
        <v>1.33</v>
      </c>
      <c r="J12" s="59">
        <v>0.22</v>
      </c>
      <c r="K12" s="59">
        <v>25.71</v>
      </c>
      <c r="L12" s="59">
        <v>22.73</v>
      </c>
      <c r="M12" s="59">
        <v>56.16</v>
      </c>
      <c r="N12" s="59">
        <v>4.9000000000000004</v>
      </c>
      <c r="O12" s="59">
        <v>0</v>
      </c>
      <c r="P12" s="59">
        <v>2.33</v>
      </c>
      <c r="Q12" s="59">
        <v>42.71</v>
      </c>
      <c r="R12" s="197"/>
      <c r="S12" s="197"/>
      <c r="T12" s="197"/>
      <c r="U12" s="197"/>
    </row>
    <row r="13" spans="1:21" s="12" customFormat="1" x14ac:dyDescent="0.25">
      <c r="A13" s="200" t="s">
        <v>1308</v>
      </c>
      <c r="B13" s="59">
        <v>133.69999999999999</v>
      </c>
      <c r="C13" s="59">
        <v>117.66</v>
      </c>
      <c r="D13" s="59">
        <v>171.19</v>
      </c>
      <c r="E13" s="59">
        <v>5.89</v>
      </c>
      <c r="F13" s="59">
        <v>3.04</v>
      </c>
      <c r="G13" s="59">
        <v>106.81</v>
      </c>
      <c r="H13" s="59">
        <v>44.68</v>
      </c>
      <c r="I13" s="59">
        <v>1.32</v>
      </c>
      <c r="J13" s="59">
        <v>0.06</v>
      </c>
      <c r="K13" s="59">
        <v>128.09</v>
      </c>
      <c r="L13" s="59">
        <v>22.38</v>
      </c>
      <c r="M13" s="59">
        <v>53.99</v>
      </c>
      <c r="N13" s="59">
        <v>4.5999999999999996</v>
      </c>
      <c r="O13" s="59">
        <v>0</v>
      </c>
      <c r="P13" s="59">
        <v>2.09</v>
      </c>
      <c r="Q13" s="59">
        <v>42.55</v>
      </c>
      <c r="R13" s="197"/>
      <c r="S13" s="197"/>
      <c r="T13" s="197"/>
      <c r="U13" s="197"/>
    </row>
    <row r="14" spans="1:21" s="12" customFormat="1" x14ac:dyDescent="0.25">
      <c r="A14" s="200" t="s">
        <v>1309</v>
      </c>
      <c r="B14" s="59">
        <v>127.64</v>
      </c>
      <c r="C14" s="59">
        <v>116.75</v>
      </c>
      <c r="D14" s="59">
        <v>165.82</v>
      </c>
      <c r="E14" s="59">
        <v>5.8</v>
      </c>
      <c r="F14" s="59">
        <v>2.92</v>
      </c>
      <c r="G14" s="59">
        <v>106.81</v>
      </c>
      <c r="H14" s="59">
        <v>44.68</v>
      </c>
      <c r="I14" s="59">
        <v>1.31</v>
      </c>
      <c r="J14" s="59">
        <v>0.37</v>
      </c>
      <c r="K14" s="59">
        <v>254.92</v>
      </c>
      <c r="L14" s="59">
        <v>22.93</v>
      </c>
      <c r="M14" s="59">
        <v>54.58</v>
      </c>
      <c r="N14" s="59">
        <v>3.6</v>
      </c>
      <c r="O14" s="59">
        <v>0</v>
      </c>
      <c r="P14" s="59">
        <v>2.13</v>
      </c>
      <c r="Q14" s="59">
        <v>42.2</v>
      </c>
      <c r="R14" s="197"/>
      <c r="S14" s="197"/>
      <c r="T14" s="197"/>
      <c r="U14" s="197"/>
    </row>
    <row r="15" spans="1:21" s="12" customFormat="1" x14ac:dyDescent="0.25">
      <c r="A15" s="200" t="s">
        <v>1310</v>
      </c>
      <c r="B15" s="59">
        <v>120.34</v>
      </c>
      <c r="C15" s="59">
        <v>116.27</v>
      </c>
      <c r="D15" s="59">
        <v>159.71</v>
      </c>
      <c r="E15" s="59">
        <v>5.17</v>
      </c>
      <c r="F15" s="59">
        <v>2.17</v>
      </c>
      <c r="G15" s="59">
        <v>106.81</v>
      </c>
      <c r="H15" s="59">
        <v>44.68</v>
      </c>
      <c r="I15" s="59">
        <v>1.28</v>
      </c>
      <c r="J15" s="59">
        <v>0.27</v>
      </c>
      <c r="K15" s="59">
        <v>240.71</v>
      </c>
      <c r="L15" s="59">
        <v>23.24</v>
      </c>
      <c r="M15" s="59">
        <v>53.78</v>
      </c>
      <c r="N15" s="59">
        <v>3.6</v>
      </c>
      <c r="O15" s="59">
        <v>0</v>
      </c>
      <c r="P15" s="59">
        <v>2.04</v>
      </c>
      <c r="Q15" s="59">
        <v>41.62</v>
      </c>
      <c r="R15" s="197"/>
      <c r="S15" s="197"/>
      <c r="T15" s="197"/>
      <c r="U15" s="197"/>
    </row>
    <row r="16" spans="1:21" s="12" customFormat="1" x14ac:dyDescent="0.25">
      <c r="A16" s="200" t="s">
        <v>1311</v>
      </c>
      <c r="B16" s="59">
        <v>112.35</v>
      </c>
      <c r="C16" s="59">
        <v>115.7</v>
      </c>
      <c r="D16" s="59">
        <v>152.99</v>
      </c>
      <c r="E16" s="59">
        <v>5.48</v>
      </c>
      <c r="F16" s="59">
        <v>3.2</v>
      </c>
      <c r="G16" s="59">
        <v>90.77</v>
      </c>
      <c r="H16" s="59">
        <v>40.5</v>
      </c>
      <c r="I16" s="59">
        <v>1.24</v>
      </c>
      <c r="J16" s="59">
        <v>0.08</v>
      </c>
      <c r="K16" s="59">
        <v>303.11</v>
      </c>
      <c r="L16" s="59">
        <v>23.33</v>
      </c>
      <c r="M16" s="59">
        <v>48.41</v>
      </c>
      <c r="N16" s="59">
        <v>4.4000000000000004</v>
      </c>
      <c r="O16" s="59">
        <v>0</v>
      </c>
      <c r="P16" s="59">
        <v>1.64</v>
      </c>
      <c r="Q16" s="59">
        <v>40.81</v>
      </c>
      <c r="R16" s="197"/>
      <c r="S16" s="197"/>
      <c r="T16" s="197"/>
      <c r="U16" s="197"/>
    </row>
    <row r="17" spans="1:21" s="12" customFormat="1" x14ac:dyDescent="0.25">
      <c r="A17" s="200" t="s">
        <v>1312</v>
      </c>
      <c r="B17" s="59">
        <v>105.35</v>
      </c>
      <c r="C17" s="59">
        <v>113.55</v>
      </c>
      <c r="D17" s="59">
        <v>146.19</v>
      </c>
      <c r="E17" s="59">
        <v>5.26</v>
      </c>
      <c r="F17" s="59">
        <v>3.4</v>
      </c>
      <c r="G17" s="59">
        <v>89.83</v>
      </c>
      <c r="H17" s="59">
        <v>40.25</v>
      </c>
      <c r="I17" s="59">
        <v>1.21</v>
      </c>
      <c r="J17" s="59">
        <v>0.22</v>
      </c>
      <c r="K17" s="59">
        <v>203.93</v>
      </c>
      <c r="L17" s="59">
        <v>23.01</v>
      </c>
      <c r="M17" s="59">
        <v>50.1</v>
      </c>
      <c r="N17" s="59">
        <v>4.0999999999999996</v>
      </c>
      <c r="O17" s="59">
        <v>0</v>
      </c>
      <c r="P17" s="59">
        <v>1.67</v>
      </c>
      <c r="Q17" s="59">
        <v>40.11</v>
      </c>
      <c r="R17" s="197"/>
      <c r="S17" s="197"/>
      <c r="T17" s="197"/>
      <c r="U17" s="197"/>
    </row>
    <row r="18" spans="1:21" s="12" customFormat="1" x14ac:dyDescent="0.25">
      <c r="A18" s="200" t="s">
        <v>1313</v>
      </c>
      <c r="B18" s="59">
        <v>100.69</v>
      </c>
      <c r="C18" s="59">
        <v>112.78</v>
      </c>
      <c r="D18" s="59">
        <v>142.02000000000001</v>
      </c>
      <c r="E18" s="59">
        <v>4.9000000000000004</v>
      </c>
      <c r="F18" s="59">
        <v>1.77</v>
      </c>
      <c r="G18" s="59">
        <v>89.83</v>
      </c>
      <c r="H18" s="59">
        <v>40.25</v>
      </c>
      <c r="I18" s="59">
        <v>0.96</v>
      </c>
      <c r="J18" s="59">
        <v>0.08</v>
      </c>
      <c r="K18" s="59">
        <v>6.82</v>
      </c>
      <c r="L18" s="59">
        <v>22.14</v>
      </c>
      <c r="M18" s="59">
        <v>54.77</v>
      </c>
      <c r="N18" s="59">
        <v>5.2</v>
      </c>
      <c r="O18" s="59">
        <v>0</v>
      </c>
      <c r="P18" s="59">
        <v>1.65</v>
      </c>
      <c r="Q18" s="59">
        <v>39.270000000000003</v>
      </c>
      <c r="R18" s="197"/>
      <c r="S18" s="197"/>
      <c r="T18" s="197"/>
      <c r="U18" s="197"/>
    </row>
    <row r="19" spans="1:21" s="12" customFormat="1" x14ac:dyDescent="0.25">
      <c r="A19" s="200" t="s">
        <v>1314</v>
      </c>
      <c r="B19" s="59">
        <v>96.42</v>
      </c>
      <c r="C19" s="59">
        <v>111.87</v>
      </c>
      <c r="D19" s="59">
        <v>138.1</v>
      </c>
      <c r="E19" s="59">
        <v>4.87</v>
      </c>
      <c r="F19" s="59">
        <v>3.64</v>
      </c>
      <c r="G19" s="59">
        <v>89.83</v>
      </c>
      <c r="H19" s="59">
        <v>40.25</v>
      </c>
      <c r="I19" s="59">
        <v>0.99</v>
      </c>
      <c r="J19" s="59">
        <v>0.13</v>
      </c>
      <c r="K19" s="59">
        <v>355.47</v>
      </c>
      <c r="L19" s="59">
        <v>21.61</v>
      </c>
      <c r="M19" s="59">
        <v>56.67</v>
      </c>
      <c r="N19" s="59">
        <v>5.0999999999999996</v>
      </c>
      <c r="O19" s="59">
        <v>0</v>
      </c>
      <c r="P19" s="59">
        <v>1.45</v>
      </c>
      <c r="Q19" s="59">
        <v>38.9</v>
      </c>
      <c r="R19" s="197"/>
      <c r="S19" s="197"/>
      <c r="T19" s="197"/>
      <c r="U19" s="197"/>
    </row>
    <row r="20" spans="1:21" s="12" customFormat="1" x14ac:dyDescent="0.25">
      <c r="A20" s="200" t="s">
        <v>1315</v>
      </c>
      <c r="B20" s="59">
        <v>92.36</v>
      </c>
      <c r="C20" s="59">
        <v>111.12</v>
      </c>
      <c r="D20" s="59">
        <v>134.41999999999999</v>
      </c>
      <c r="E20" s="59">
        <v>5.51</v>
      </c>
      <c r="F20" s="59">
        <v>1.1200000000000001</v>
      </c>
      <c r="G20" s="59">
        <v>52.86</v>
      </c>
      <c r="H20" s="59">
        <v>31.84</v>
      </c>
      <c r="I20" s="59">
        <v>0.93</v>
      </c>
      <c r="J20" s="59">
        <v>0.04</v>
      </c>
      <c r="K20" s="59">
        <v>284.41000000000003</v>
      </c>
      <c r="L20" s="59">
        <v>21.5</v>
      </c>
      <c r="M20" s="59">
        <v>55.87</v>
      </c>
      <c r="N20" s="59">
        <v>4.7</v>
      </c>
      <c r="O20" s="59">
        <v>0</v>
      </c>
      <c r="P20" s="59">
        <v>1.39</v>
      </c>
      <c r="Q20" s="59">
        <v>38.58</v>
      </c>
      <c r="R20" s="197"/>
      <c r="S20" s="197"/>
      <c r="T20" s="197"/>
      <c r="U20" s="197"/>
    </row>
    <row r="21" spans="1:21" s="12" customFormat="1" x14ac:dyDescent="0.25">
      <c r="A21" s="200" t="s">
        <v>1316</v>
      </c>
      <c r="B21" s="59">
        <v>87.9</v>
      </c>
      <c r="C21" s="59">
        <v>109.95</v>
      </c>
      <c r="D21" s="59">
        <v>130.21</v>
      </c>
      <c r="E21" s="59">
        <v>5.03</v>
      </c>
      <c r="F21" s="59">
        <v>2.65</v>
      </c>
      <c r="G21" s="59">
        <v>50.68</v>
      </c>
      <c r="H21" s="59">
        <v>31.45</v>
      </c>
      <c r="I21" s="59">
        <v>0.93</v>
      </c>
      <c r="J21" s="59">
        <v>0.05</v>
      </c>
      <c r="K21" s="59">
        <v>336.11</v>
      </c>
      <c r="L21" s="59">
        <v>21.18</v>
      </c>
      <c r="M21" s="59">
        <v>58.67</v>
      </c>
      <c r="N21" s="59">
        <v>4.9000000000000004</v>
      </c>
      <c r="O21" s="59">
        <v>0</v>
      </c>
      <c r="P21" s="59">
        <v>1.34</v>
      </c>
      <c r="Q21" s="59">
        <v>38.61</v>
      </c>
      <c r="R21" s="197"/>
      <c r="S21" s="197"/>
      <c r="T21" s="197"/>
      <c r="U21" s="197"/>
    </row>
    <row r="22" spans="1:21" s="12" customFormat="1" x14ac:dyDescent="0.25">
      <c r="A22" s="200" t="s">
        <v>1317</v>
      </c>
      <c r="B22" s="59">
        <v>83.74</v>
      </c>
      <c r="C22" s="59">
        <v>108.76</v>
      </c>
      <c r="D22" s="59">
        <v>126.21</v>
      </c>
      <c r="E22" s="59">
        <v>5.23</v>
      </c>
      <c r="F22" s="59">
        <v>1.57</v>
      </c>
      <c r="G22" s="59">
        <v>50.68</v>
      </c>
      <c r="H22" s="59">
        <v>31.45</v>
      </c>
      <c r="I22" s="59">
        <v>0.86</v>
      </c>
      <c r="J22" s="59">
        <v>0.37</v>
      </c>
      <c r="K22" s="59">
        <v>0.18</v>
      </c>
      <c r="L22" s="59">
        <v>21.13</v>
      </c>
      <c r="M22" s="59">
        <v>59.08</v>
      </c>
      <c r="N22" s="59">
        <v>3.8</v>
      </c>
      <c r="O22" s="59">
        <v>0</v>
      </c>
      <c r="P22" s="59">
        <v>1.46</v>
      </c>
      <c r="Q22" s="59">
        <v>38.69</v>
      </c>
      <c r="R22" s="197"/>
      <c r="S22" s="197"/>
      <c r="T22" s="197"/>
      <c r="U22" s="197"/>
    </row>
    <row r="23" spans="1:21" s="12" customFormat="1" x14ac:dyDescent="0.25">
      <c r="A23" s="200" t="s">
        <v>1318</v>
      </c>
      <c r="B23" s="59">
        <v>79.930000000000007</v>
      </c>
      <c r="C23" s="59">
        <v>107.78</v>
      </c>
      <c r="D23" s="59">
        <v>122.61</v>
      </c>
      <c r="E23" s="59">
        <v>4.84</v>
      </c>
      <c r="F23" s="59">
        <v>2.19</v>
      </c>
      <c r="G23" s="59">
        <v>50.68</v>
      </c>
      <c r="H23" s="59">
        <v>31.45</v>
      </c>
      <c r="I23" s="59">
        <v>0.77</v>
      </c>
      <c r="J23" s="59">
        <v>0.34</v>
      </c>
      <c r="K23" s="59">
        <v>18.41</v>
      </c>
      <c r="L23" s="59">
        <v>21.26</v>
      </c>
      <c r="M23" s="59">
        <v>52.21</v>
      </c>
      <c r="N23" s="59">
        <v>3.9</v>
      </c>
      <c r="O23" s="59">
        <v>0</v>
      </c>
      <c r="P23" s="59">
        <v>1.51</v>
      </c>
      <c r="Q23" s="59">
        <v>38.5</v>
      </c>
      <c r="R23" s="197"/>
      <c r="S23" s="197"/>
      <c r="T23" s="197"/>
      <c r="U23" s="197"/>
    </row>
    <row r="24" spans="1:21" s="12" customFormat="1" x14ac:dyDescent="0.25">
      <c r="A24" s="200" t="s">
        <v>1319</v>
      </c>
      <c r="B24" s="59">
        <v>76.42</v>
      </c>
      <c r="C24" s="59">
        <v>108.75</v>
      </c>
      <c r="D24" s="59">
        <v>120.34</v>
      </c>
      <c r="E24" s="59">
        <v>2.31</v>
      </c>
      <c r="F24" s="59">
        <v>1.92</v>
      </c>
      <c r="G24" s="210" t="s">
        <v>43</v>
      </c>
      <c r="H24" s="210" t="s">
        <v>43</v>
      </c>
      <c r="I24" s="59">
        <v>0.92</v>
      </c>
      <c r="J24" s="59">
        <v>0.12</v>
      </c>
      <c r="K24" s="59">
        <v>329.59</v>
      </c>
      <c r="L24" s="59">
        <v>21.46</v>
      </c>
      <c r="M24" s="59">
        <v>49.81</v>
      </c>
      <c r="N24" s="59">
        <v>4.9000000000000004</v>
      </c>
      <c r="O24" s="59">
        <v>0</v>
      </c>
      <c r="P24" s="59">
        <v>1.55</v>
      </c>
      <c r="Q24" s="59">
        <v>38.520000000000003</v>
      </c>
      <c r="R24" s="197"/>
      <c r="S24" s="197"/>
      <c r="T24" s="197"/>
      <c r="U24" s="197"/>
    </row>
    <row r="25" spans="1:21" s="12" customFormat="1" x14ac:dyDescent="0.25">
      <c r="A25" s="200" t="s">
        <v>1320</v>
      </c>
      <c r="B25" s="59">
        <v>72.17</v>
      </c>
      <c r="C25" s="59">
        <v>107.88</v>
      </c>
      <c r="D25" s="59">
        <v>116.45</v>
      </c>
      <c r="E25" s="59">
        <v>4.63</v>
      </c>
      <c r="F25" s="59">
        <v>3.11</v>
      </c>
      <c r="G25" s="210" t="s">
        <v>43</v>
      </c>
      <c r="H25" s="210" t="s">
        <v>43</v>
      </c>
      <c r="I25" s="59">
        <v>0.91</v>
      </c>
      <c r="J25" s="59">
        <v>0.43</v>
      </c>
      <c r="K25" s="59">
        <v>12.31</v>
      </c>
      <c r="L25" s="59">
        <v>21.19</v>
      </c>
      <c r="M25" s="59">
        <v>51.69</v>
      </c>
      <c r="N25" s="59">
        <v>4.2</v>
      </c>
      <c r="O25" s="59">
        <v>0</v>
      </c>
      <c r="P25" s="59">
        <v>1.51</v>
      </c>
      <c r="Q25" s="59">
        <v>38.950000000000003</v>
      </c>
      <c r="R25" s="197"/>
      <c r="S25" s="197"/>
      <c r="T25" s="197"/>
      <c r="U25" s="197"/>
    </row>
    <row r="26" spans="1:21" s="12" customFormat="1" x14ac:dyDescent="0.25">
      <c r="A26" s="200" t="s">
        <v>1321</v>
      </c>
      <c r="B26" s="59">
        <v>67.78</v>
      </c>
      <c r="C26" s="59">
        <v>107.07</v>
      </c>
      <c r="D26" s="59">
        <v>112.48</v>
      </c>
      <c r="E26" s="59">
        <v>4.34</v>
      </c>
      <c r="F26" s="59">
        <v>3.11</v>
      </c>
      <c r="G26" s="210" t="s">
        <v>43</v>
      </c>
      <c r="H26" s="210" t="s">
        <v>43</v>
      </c>
      <c r="I26" s="59">
        <v>0.96</v>
      </c>
      <c r="J26" s="59">
        <v>0.67</v>
      </c>
      <c r="K26" s="59">
        <v>359.65</v>
      </c>
      <c r="L26" s="59">
        <v>21</v>
      </c>
      <c r="M26" s="59">
        <v>51.57</v>
      </c>
      <c r="N26" s="59">
        <v>3.8</v>
      </c>
      <c r="O26" s="59">
        <v>0</v>
      </c>
      <c r="P26" s="59">
        <v>1.46</v>
      </c>
      <c r="Q26" s="59">
        <v>38.729999999999997</v>
      </c>
      <c r="R26" s="197"/>
      <c r="S26" s="197"/>
      <c r="T26" s="197"/>
      <c r="U26" s="197"/>
    </row>
    <row r="27" spans="1:21" s="12" customFormat="1" x14ac:dyDescent="0.25">
      <c r="A27" s="200" t="s">
        <v>1322</v>
      </c>
      <c r="B27" s="59">
        <v>63.79</v>
      </c>
      <c r="C27" s="59">
        <v>106.93</v>
      </c>
      <c r="D27" s="59">
        <v>109.2</v>
      </c>
      <c r="E27" s="59">
        <v>4.66</v>
      </c>
      <c r="F27" s="59">
        <v>3.26</v>
      </c>
      <c r="G27" s="210" t="s">
        <v>43</v>
      </c>
      <c r="H27" s="210" t="s">
        <v>43</v>
      </c>
      <c r="I27" s="59">
        <v>0.93</v>
      </c>
      <c r="J27" s="59">
        <v>0.56999999999999995</v>
      </c>
      <c r="K27" s="59">
        <v>19.89</v>
      </c>
      <c r="L27" s="59">
        <v>20.99</v>
      </c>
      <c r="M27" s="59">
        <v>52.91</v>
      </c>
      <c r="N27" s="59">
        <v>4.4000000000000004</v>
      </c>
      <c r="O27" s="59">
        <v>0</v>
      </c>
      <c r="P27" s="59">
        <v>1.43</v>
      </c>
      <c r="Q27" s="59">
        <v>38.270000000000003</v>
      </c>
      <c r="R27" s="197"/>
      <c r="S27" s="197"/>
      <c r="T27" s="197"/>
      <c r="U27" s="197"/>
    </row>
    <row r="28" spans="1:21" s="12" customFormat="1" x14ac:dyDescent="0.25">
      <c r="A28" s="200" t="s">
        <v>1323</v>
      </c>
      <c r="B28" s="59">
        <v>60.33</v>
      </c>
      <c r="C28" s="59">
        <v>107.46</v>
      </c>
      <c r="D28" s="59">
        <v>106.72</v>
      </c>
      <c r="E28" s="59">
        <v>5.04</v>
      </c>
      <c r="F28" s="59">
        <v>2.74</v>
      </c>
      <c r="G28" s="59">
        <v>102.85</v>
      </c>
      <c r="H28" s="59">
        <v>39.35</v>
      </c>
      <c r="I28" s="59">
        <v>0.86</v>
      </c>
      <c r="J28" s="59">
        <v>0.45</v>
      </c>
      <c r="K28" s="59">
        <v>31.91</v>
      </c>
      <c r="L28" s="59">
        <v>21.45</v>
      </c>
      <c r="M28" s="59">
        <v>51.62</v>
      </c>
      <c r="N28" s="59">
        <v>4.3</v>
      </c>
      <c r="O28" s="59">
        <v>0</v>
      </c>
      <c r="P28" s="59">
        <v>1.42</v>
      </c>
      <c r="Q28" s="59">
        <v>37.700000000000003</v>
      </c>
      <c r="R28" s="197"/>
      <c r="S28" s="197"/>
      <c r="T28" s="197"/>
      <c r="U28" s="197"/>
    </row>
    <row r="29" spans="1:21" s="12" customFormat="1" x14ac:dyDescent="0.25">
      <c r="A29" s="200" t="s">
        <v>1324</v>
      </c>
      <c r="B29" s="59">
        <v>57.76</v>
      </c>
      <c r="C29" s="59">
        <v>107.78</v>
      </c>
      <c r="D29" s="59">
        <v>104.84</v>
      </c>
      <c r="E29" s="59">
        <v>4.6399999999999997</v>
      </c>
      <c r="F29" s="59">
        <v>3.04</v>
      </c>
      <c r="G29" s="59">
        <v>107.43</v>
      </c>
      <c r="H29" s="59">
        <v>39.68</v>
      </c>
      <c r="I29" s="59">
        <v>0.83</v>
      </c>
      <c r="J29" s="59">
        <v>0.32</v>
      </c>
      <c r="K29" s="59">
        <v>92.24</v>
      </c>
      <c r="L29" s="59">
        <v>21.95</v>
      </c>
      <c r="M29" s="59">
        <v>50.06</v>
      </c>
      <c r="N29" s="59">
        <v>4.2</v>
      </c>
      <c r="O29" s="59">
        <v>0</v>
      </c>
      <c r="P29" s="59">
        <v>1.45</v>
      </c>
      <c r="Q29" s="59">
        <v>37.49</v>
      </c>
      <c r="R29" s="197"/>
      <c r="S29" s="197"/>
      <c r="T29" s="197"/>
      <c r="U29" s="197"/>
    </row>
    <row r="30" spans="1:21" s="12" customFormat="1" x14ac:dyDescent="0.25">
      <c r="A30" s="200" t="s">
        <v>1325</v>
      </c>
      <c r="B30" s="59">
        <v>55.02</v>
      </c>
      <c r="C30" s="59">
        <v>108.28</v>
      </c>
      <c r="D30" s="59">
        <v>102.92</v>
      </c>
      <c r="E30" s="59">
        <v>4.8600000000000003</v>
      </c>
      <c r="F30" s="59">
        <v>4.08</v>
      </c>
      <c r="G30" s="59">
        <v>107.43</v>
      </c>
      <c r="H30" s="59">
        <v>39.68</v>
      </c>
      <c r="I30" s="59">
        <v>0.82</v>
      </c>
      <c r="J30" s="59">
        <v>0.36</v>
      </c>
      <c r="K30" s="59">
        <v>82.61</v>
      </c>
      <c r="L30" s="59">
        <v>21.86</v>
      </c>
      <c r="M30" s="59">
        <v>50.78</v>
      </c>
      <c r="N30" s="59">
        <v>4.5</v>
      </c>
      <c r="O30" s="59">
        <v>0</v>
      </c>
      <c r="P30" s="59">
        <v>1.49</v>
      </c>
      <c r="Q30" s="59">
        <v>37.24</v>
      </c>
      <c r="R30" s="197"/>
      <c r="S30" s="197"/>
      <c r="T30" s="197"/>
      <c r="U30" s="197"/>
    </row>
    <row r="31" spans="1:21" s="12" customFormat="1" x14ac:dyDescent="0.25">
      <c r="A31" s="200" t="s">
        <v>1326</v>
      </c>
      <c r="B31" s="59">
        <v>52.14</v>
      </c>
      <c r="C31" s="59">
        <v>107.5</v>
      </c>
      <c r="D31" s="59">
        <v>100.17</v>
      </c>
      <c r="E31" s="59">
        <v>4.54</v>
      </c>
      <c r="F31" s="59">
        <v>3.41</v>
      </c>
      <c r="G31" s="59">
        <v>107.43</v>
      </c>
      <c r="H31" s="59">
        <v>39.68</v>
      </c>
      <c r="I31" s="59">
        <v>0.79</v>
      </c>
      <c r="J31" s="59">
        <v>0.28999999999999998</v>
      </c>
      <c r="K31" s="59">
        <v>69.14</v>
      </c>
      <c r="L31" s="59">
        <v>21.74</v>
      </c>
      <c r="M31" s="59">
        <v>51.6</v>
      </c>
      <c r="N31" s="59">
        <v>4.5999999999999996</v>
      </c>
      <c r="O31" s="59">
        <v>0</v>
      </c>
      <c r="P31" s="59">
        <v>1.48</v>
      </c>
      <c r="Q31" s="59">
        <v>36.950000000000003</v>
      </c>
      <c r="R31" s="197"/>
      <c r="S31" s="197"/>
      <c r="T31" s="197"/>
      <c r="U31" s="197"/>
    </row>
    <row r="32" spans="1:21" s="12" customFormat="1" x14ac:dyDescent="0.25">
      <c r="A32" s="200" t="s">
        <v>1327</v>
      </c>
      <c r="B32" s="59">
        <v>50.75</v>
      </c>
      <c r="C32" s="59">
        <v>107.55</v>
      </c>
      <c r="D32" s="59">
        <v>99.09</v>
      </c>
      <c r="E32" s="59">
        <v>3.75</v>
      </c>
      <c r="F32" s="59">
        <v>2.7</v>
      </c>
      <c r="G32" s="59">
        <v>144.13</v>
      </c>
      <c r="H32" s="59">
        <v>48.27</v>
      </c>
      <c r="I32" s="59">
        <v>0.74</v>
      </c>
      <c r="J32" s="59">
        <v>0.33</v>
      </c>
      <c r="K32" s="59">
        <v>94.16</v>
      </c>
      <c r="L32" s="59">
        <v>21.55</v>
      </c>
      <c r="M32" s="59">
        <v>52.09</v>
      </c>
      <c r="N32" s="59">
        <v>4.8</v>
      </c>
      <c r="O32" s="59">
        <v>0</v>
      </c>
      <c r="P32" s="59">
        <v>1.45</v>
      </c>
      <c r="Q32" s="59">
        <v>36.01</v>
      </c>
      <c r="R32" s="197"/>
      <c r="S32" s="197"/>
      <c r="T32" s="197"/>
      <c r="U32" s="197"/>
    </row>
    <row r="33" spans="1:21" s="12" customFormat="1" x14ac:dyDescent="0.25">
      <c r="A33" s="200" t="s">
        <v>1328</v>
      </c>
      <c r="B33" s="59">
        <v>49.56</v>
      </c>
      <c r="C33" s="59">
        <v>107.44</v>
      </c>
      <c r="D33" s="59">
        <v>98.08</v>
      </c>
      <c r="E33" s="59">
        <v>4.05</v>
      </c>
      <c r="F33" s="59">
        <v>2.65</v>
      </c>
      <c r="G33" s="59">
        <v>146.29</v>
      </c>
      <c r="H33" s="59">
        <v>48.78</v>
      </c>
      <c r="I33" s="59">
        <v>0.73</v>
      </c>
      <c r="J33" s="59">
        <v>0.19</v>
      </c>
      <c r="K33" s="59">
        <v>35.729999999999997</v>
      </c>
      <c r="L33" s="59">
        <v>21.49</v>
      </c>
      <c r="M33" s="59">
        <v>56.06</v>
      </c>
      <c r="N33" s="59">
        <v>8.1</v>
      </c>
      <c r="O33" s="59">
        <v>0</v>
      </c>
      <c r="P33" s="59">
        <v>1.46</v>
      </c>
      <c r="Q33" s="59">
        <v>35.83</v>
      </c>
      <c r="R33" s="197"/>
      <c r="S33" s="197"/>
      <c r="T33" s="197"/>
      <c r="U33" s="197"/>
    </row>
    <row r="34" spans="1:21" s="12" customFormat="1" x14ac:dyDescent="0.25">
      <c r="A34" s="200" t="s">
        <v>1329</v>
      </c>
      <c r="B34" s="59">
        <v>49.04</v>
      </c>
      <c r="C34" s="59">
        <v>107.26</v>
      </c>
      <c r="D34" s="59">
        <v>97.56</v>
      </c>
      <c r="E34" s="59">
        <v>3.86</v>
      </c>
      <c r="F34" s="59">
        <v>2.85</v>
      </c>
      <c r="G34" s="59">
        <v>146.29</v>
      </c>
      <c r="H34" s="59">
        <v>48.78</v>
      </c>
      <c r="I34" s="59">
        <v>0.73</v>
      </c>
      <c r="J34" s="59">
        <v>0.39</v>
      </c>
      <c r="K34" s="59">
        <v>7.27</v>
      </c>
      <c r="L34" s="59">
        <v>20.53</v>
      </c>
      <c r="M34" s="59">
        <v>59.98</v>
      </c>
      <c r="N34" s="59">
        <v>18.5</v>
      </c>
      <c r="O34" s="59">
        <v>0</v>
      </c>
      <c r="P34" s="59">
        <v>1.46</v>
      </c>
      <c r="Q34" s="59">
        <v>35.68</v>
      </c>
      <c r="R34" s="197"/>
      <c r="S34" s="197"/>
      <c r="T34" s="197"/>
      <c r="U34" s="197"/>
    </row>
    <row r="35" spans="1:21" s="12" customFormat="1" x14ac:dyDescent="0.25">
      <c r="A35" s="200" t="s">
        <v>1330</v>
      </c>
      <c r="B35" s="59">
        <v>49.08</v>
      </c>
      <c r="C35" s="59">
        <v>106.87</v>
      </c>
      <c r="D35" s="59">
        <v>97.37</v>
      </c>
      <c r="E35" s="59">
        <v>3.67</v>
      </c>
      <c r="F35" s="59">
        <v>3.1</v>
      </c>
      <c r="G35" s="59">
        <v>146.29</v>
      </c>
      <c r="H35" s="59">
        <v>48.78</v>
      </c>
      <c r="I35" s="59">
        <v>0.75</v>
      </c>
      <c r="J35" s="59">
        <v>0.26</v>
      </c>
      <c r="K35" s="59">
        <v>127.31</v>
      </c>
      <c r="L35" s="59">
        <v>20.87</v>
      </c>
      <c r="M35" s="59">
        <v>57.74</v>
      </c>
      <c r="N35" s="59">
        <v>37.6</v>
      </c>
      <c r="O35" s="59">
        <v>0</v>
      </c>
      <c r="P35" s="59">
        <v>1.44</v>
      </c>
      <c r="Q35" s="59">
        <v>35.79</v>
      </c>
      <c r="R35" s="197"/>
      <c r="S35" s="197"/>
      <c r="T35" s="197"/>
      <c r="U35" s="197"/>
    </row>
    <row r="36" spans="1:21" s="12" customFormat="1" x14ac:dyDescent="0.25">
      <c r="A36" s="200" t="s">
        <v>1331</v>
      </c>
      <c r="B36" s="59">
        <v>48.76</v>
      </c>
      <c r="C36" s="59">
        <v>106.74</v>
      </c>
      <c r="D36" s="59">
        <v>97.04</v>
      </c>
      <c r="E36" s="59">
        <v>4.25</v>
      </c>
      <c r="F36" s="59">
        <v>2.62</v>
      </c>
      <c r="G36" s="59">
        <v>92.26</v>
      </c>
      <c r="H36" s="59">
        <v>42.13</v>
      </c>
      <c r="I36" s="59">
        <v>0.78</v>
      </c>
      <c r="J36" s="59">
        <v>0.14000000000000001</v>
      </c>
      <c r="K36" s="59">
        <v>17.7</v>
      </c>
      <c r="L36" s="59">
        <v>22.13</v>
      </c>
      <c r="M36" s="59">
        <v>54.55</v>
      </c>
      <c r="N36" s="59">
        <v>74.5</v>
      </c>
      <c r="O36" s="59">
        <v>0</v>
      </c>
      <c r="P36" s="59">
        <v>1.39</v>
      </c>
      <c r="Q36" s="59">
        <v>35.68</v>
      </c>
      <c r="R36" s="197"/>
      <c r="S36" s="197"/>
      <c r="T36" s="197"/>
      <c r="U36" s="197"/>
    </row>
    <row r="37" spans="1:21" s="12" customFormat="1" x14ac:dyDescent="0.25">
      <c r="A37" s="200" t="s">
        <v>1332</v>
      </c>
      <c r="B37" s="59">
        <v>50.08</v>
      </c>
      <c r="C37" s="59">
        <v>106.23</v>
      </c>
      <c r="D37" s="59">
        <v>97.83</v>
      </c>
      <c r="E37" s="59">
        <v>3.76</v>
      </c>
      <c r="F37" s="59">
        <v>2.6</v>
      </c>
      <c r="G37" s="59">
        <v>89.74</v>
      </c>
      <c r="H37" s="59">
        <v>41.82</v>
      </c>
      <c r="I37" s="59">
        <v>0.75</v>
      </c>
      <c r="J37" s="59">
        <v>0.32</v>
      </c>
      <c r="K37" s="59">
        <v>103.08</v>
      </c>
      <c r="L37" s="59">
        <v>23.34</v>
      </c>
      <c r="M37" s="59">
        <v>50.67</v>
      </c>
      <c r="N37" s="59">
        <v>114.4</v>
      </c>
      <c r="O37" s="59">
        <v>0</v>
      </c>
      <c r="P37" s="59">
        <v>1.4</v>
      </c>
      <c r="Q37" s="59">
        <v>35.94</v>
      </c>
      <c r="R37" s="197"/>
      <c r="S37" s="197"/>
      <c r="T37" s="197"/>
      <c r="U37" s="197"/>
    </row>
    <row r="38" spans="1:21" s="12" customFormat="1" x14ac:dyDescent="0.25">
      <c r="A38" s="200" t="s">
        <v>1333</v>
      </c>
      <c r="B38" s="59">
        <v>51.3</v>
      </c>
      <c r="C38" s="59">
        <v>106.58</v>
      </c>
      <c r="D38" s="59">
        <v>99</v>
      </c>
      <c r="E38" s="59">
        <v>3.76</v>
      </c>
      <c r="F38" s="59">
        <v>3.01</v>
      </c>
      <c r="G38" s="59">
        <v>89.74</v>
      </c>
      <c r="H38" s="59">
        <v>41.82</v>
      </c>
      <c r="I38" s="59">
        <v>0.74</v>
      </c>
      <c r="J38" s="59">
        <v>0.41</v>
      </c>
      <c r="K38" s="59">
        <v>71.930000000000007</v>
      </c>
      <c r="L38" s="59">
        <v>24.24</v>
      </c>
      <c r="M38" s="59">
        <v>46.06</v>
      </c>
      <c r="N38" s="59">
        <v>163.1</v>
      </c>
      <c r="O38" s="59">
        <v>0</v>
      </c>
      <c r="P38" s="59">
        <v>1.42</v>
      </c>
      <c r="Q38" s="59">
        <v>36.380000000000003</v>
      </c>
      <c r="R38" s="197"/>
      <c r="S38" s="197"/>
      <c r="T38" s="197"/>
      <c r="U38" s="197"/>
    </row>
    <row r="39" spans="1:21" s="12" customFormat="1" x14ac:dyDescent="0.25">
      <c r="A39" s="200" t="s">
        <v>1334</v>
      </c>
      <c r="B39" s="59">
        <v>51.1</v>
      </c>
      <c r="C39" s="59">
        <v>108.35</v>
      </c>
      <c r="D39" s="59">
        <v>99.81</v>
      </c>
      <c r="E39" s="59">
        <v>4.01</v>
      </c>
      <c r="F39" s="59">
        <v>3.09</v>
      </c>
      <c r="G39" s="59">
        <v>89.74</v>
      </c>
      <c r="H39" s="59">
        <v>41.82</v>
      </c>
      <c r="I39" s="59">
        <v>0.75</v>
      </c>
      <c r="J39" s="59">
        <v>0.56000000000000005</v>
      </c>
      <c r="K39" s="59">
        <v>31.16</v>
      </c>
      <c r="L39" s="59">
        <v>25.76</v>
      </c>
      <c r="M39" s="59">
        <v>41.62</v>
      </c>
      <c r="N39" s="59">
        <v>218.9</v>
      </c>
      <c r="O39" s="59">
        <v>0</v>
      </c>
      <c r="P39" s="59">
        <v>1.41</v>
      </c>
      <c r="Q39" s="59">
        <v>36.99</v>
      </c>
      <c r="R39" s="197"/>
      <c r="S39" s="197"/>
      <c r="T39" s="197"/>
      <c r="U39" s="197"/>
    </row>
    <row r="40" spans="1:21" s="12" customFormat="1" x14ac:dyDescent="0.25">
      <c r="A40" s="200" t="s">
        <v>1335</v>
      </c>
      <c r="B40" s="59">
        <v>49.43</v>
      </c>
      <c r="C40" s="59">
        <v>109.94</v>
      </c>
      <c r="D40" s="59">
        <v>99.35</v>
      </c>
      <c r="E40" s="59">
        <v>2.38</v>
      </c>
      <c r="F40" s="59">
        <v>3.1</v>
      </c>
      <c r="G40" s="59">
        <v>107.39</v>
      </c>
      <c r="H40" s="59">
        <v>42.94</v>
      </c>
      <c r="I40" s="59">
        <v>0.76</v>
      </c>
      <c r="J40" s="59">
        <v>0.45</v>
      </c>
      <c r="K40" s="59">
        <v>32.39</v>
      </c>
      <c r="L40" s="59">
        <v>26.93</v>
      </c>
      <c r="M40" s="59">
        <v>39.19</v>
      </c>
      <c r="N40" s="59">
        <v>274.2</v>
      </c>
      <c r="O40" s="59">
        <v>0</v>
      </c>
      <c r="P40" s="59">
        <v>1.39</v>
      </c>
      <c r="Q40" s="59">
        <v>36.619999999999997</v>
      </c>
      <c r="R40" s="197"/>
      <c r="S40" s="197"/>
      <c r="T40" s="197"/>
      <c r="U40" s="197"/>
    </row>
    <row r="41" spans="1:21" s="12" customFormat="1" x14ac:dyDescent="0.25">
      <c r="A41" s="200" t="s">
        <v>1336</v>
      </c>
      <c r="B41" s="59">
        <v>47.9</v>
      </c>
      <c r="C41" s="59">
        <v>111.05</v>
      </c>
      <c r="D41" s="59">
        <v>98.74</v>
      </c>
      <c r="E41" s="59">
        <v>4.01</v>
      </c>
      <c r="F41" s="59">
        <v>3.04</v>
      </c>
      <c r="G41" s="59">
        <v>108.21</v>
      </c>
      <c r="H41" s="59">
        <v>42.99</v>
      </c>
      <c r="I41" s="59">
        <v>0.75</v>
      </c>
      <c r="J41" s="59">
        <v>0.91</v>
      </c>
      <c r="K41" s="59">
        <v>24.37</v>
      </c>
      <c r="L41" s="59">
        <v>28.09</v>
      </c>
      <c r="M41" s="59">
        <v>35.35</v>
      </c>
      <c r="N41" s="59">
        <v>335.9</v>
      </c>
      <c r="O41" s="59">
        <v>0</v>
      </c>
      <c r="P41" s="59">
        <v>1.35</v>
      </c>
      <c r="Q41" s="59">
        <v>36.49</v>
      </c>
      <c r="R41" s="197"/>
      <c r="S41" s="197"/>
      <c r="T41" s="197"/>
      <c r="U41" s="197"/>
    </row>
    <row r="42" spans="1:21" s="12" customFormat="1" x14ac:dyDescent="0.25">
      <c r="A42" s="200" t="s">
        <v>1337</v>
      </c>
      <c r="B42" s="59">
        <v>45.26</v>
      </c>
      <c r="C42" s="59">
        <v>112.88</v>
      </c>
      <c r="D42" s="59">
        <v>97.63</v>
      </c>
      <c r="E42" s="59">
        <v>4.42</v>
      </c>
      <c r="F42" s="59">
        <v>3</v>
      </c>
      <c r="G42" s="59">
        <v>108.21</v>
      </c>
      <c r="H42" s="59">
        <v>42.99</v>
      </c>
      <c r="I42" s="59">
        <v>0.74</v>
      </c>
      <c r="J42" s="59">
        <v>0.59</v>
      </c>
      <c r="K42" s="59">
        <v>48.69</v>
      </c>
      <c r="L42" s="59">
        <v>28.46</v>
      </c>
      <c r="M42" s="59">
        <v>34.659999999999997</v>
      </c>
      <c r="N42" s="59">
        <v>396.3</v>
      </c>
      <c r="O42" s="59">
        <v>0</v>
      </c>
      <c r="P42" s="59">
        <v>1.34</v>
      </c>
      <c r="Q42" s="59">
        <v>36.15</v>
      </c>
      <c r="R42" s="197"/>
      <c r="S42" s="197"/>
      <c r="T42" s="197"/>
      <c r="U42" s="197"/>
    </row>
    <row r="43" spans="1:21" s="12" customFormat="1" x14ac:dyDescent="0.25">
      <c r="A43" s="200" t="s">
        <v>1338</v>
      </c>
      <c r="B43" s="59">
        <v>42.53</v>
      </c>
      <c r="C43" s="59">
        <v>115.28</v>
      </c>
      <c r="D43" s="59">
        <v>96.76</v>
      </c>
      <c r="E43" s="59">
        <v>4.41</v>
      </c>
      <c r="F43" s="59">
        <v>3.05</v>
      </c>
      <c r="G43" s="59">
        <v>108.21</v>
      </c>
      <c r="H43" s="59">
        <v>42.99</v>
      </c>
      <c r="I43" s="59">
        <v>0.72</v>
      </c>
      <c r="J43" s="59">
        <v>0.49</v>
      </c>
      <c r="K43" s="59">
        <v>66.55</v>
      </c>
      <c r="L43" s="59">
        <v>28.74</v>
      </c>
      <c r="M43" s="59">
        <v>34.130000000000003</v>
      </c>
      <c r="N43" s="59">
        <v>450</v>
      </c>
      <c r="O43" s="59">
        <v>0</v>
      </c>
      <c r="P43" s="59">
        <v>1.31</v>
      </c>
      <c r="Q43" s="59">
        <v>35.86</v>
      </c>
      <c r="R43" s="197"/>
      <c r="S43" s="197"/>
      <c r="T43" s="197"/>
      <c r="U43" s="197"/>
    </row>
    <row r="44" spans="1:21" s="12" customFormat="1" x14ac:dyDescent="0.25">
      <c r="A44" s="200" t="s">
        <v>1339</v>
      </c>
      <c r="B44" s="59">
        <v>39.24</v>
      </c>
      <c r="C44" s="59">
        <v>117.6</v>
      </c>
      <c r="D44" s="59">
        <v>95.41</v>
      </c>
      <c r="E44" s="59">
        <v>4.32</v>
      </c>
      <c r="F44" s="59">
        <v>2.12</v>
      </c>
      <c r="G44" s="59">
        <v>76.040000000000006</v>
      </c>
      <c r="H44" s="59">
        <v>43.48</v>
      </c>
      <c r="I44" s="59">
        <v>0.71</v>
      </c>
      <c r="J44" s="59">
        <v>1.6</v>
      </c>
      <c r="K44" s="59">
        <v>107.51</v>
      </c>
      <c r="L44" s="59">
        <v>27.55</v>
      </c>
      <c r="M44" s="59">
        <v>36.74</v>
      </c>
      <c r="N44" s="59">
        <v>512.29999999999995</v>
      </c>
      <c r="O44" s="59">
        <v>0</v>
      </c>
      <c r="P44" s="59">
        <v>1.27</v>
      </c>
      <c r="Q44" s="59">
        <v>35.65</v>
      </c>
      <c r="R44" s="197"/>
      <c r="S44" s="197"/>
      <c r="T44" s="197"/>
      <c r="U44" s="197"/>
    </row>
    <row r="45" spans="1:21" s="12" customFormat="1" x14ac:dyDescent="0.25">
      <c r="A45" s="200" t="s">
        <v>1340</v>
      </c>
      <c r="B45" s="59">
        <v>35.04</v>
      </c>
      <c r="C45" s="59">
        <v>117.99</v>
      </c>
      <c r="D45" s="59">
        <v>92.25</v>
      </c>
      <c r="E45" s="59">
        <v>4.83</v>
      </c>
      <c r="F45" s="59">
        <v>2.98</v>
      </c>
      <c r="G45" s="59">
        <v>74.540000000000006</v>
      </c>
      <c r="H45" s="59">
        <v>43.5</v>
      </c>
      <c r="I45" s="59">
        <v>0.7</v>
      </c>
      <c r="J45" s="59">
        <v>0.65</v>
      </c>
      <c r="K45" s="59">
        <v>83.41</v>
      </c>
      <c r="L45" s="59">
        <v>28.8</v>
      </c>
      <c r="M45" s="59">
        <v>34.630000000000003</v>
      </c>
      <c r="N45" s="59">
        <v>555.5</v>
      </c>
      <c r="O45" s="59">
        <v>0</v>
      </c>
      <c r="P45" s="59">
        <v>1.21</v>
      </c>
      <c r="Q45" s="59">
        <v>35.42</v>
      </c>
      <c r="R45" s="197"/>
      <c r="S45" s="197"/>
      <c r="T45" s="197"/>
      <c r="U45" s="197"/>
    </row>
    <row r="46" spans="1:21" s="12" customFormat="1" x14ac:dyDescent="0.25">
      <c r="A46" s="200" t="s">
        <v>1341</v>
      </c>
      <c r="B46" s="59">
        <v>31.89</v>
      </c>
      <c r="C46" s="59">
        <v>117.43</v>
      </c>
      <c r="D46" s="59">
        <v>89.42</v>
      </c>
      <c r="E46" s="59">
        <v>4.05</v>
      </c>
      <c r="F46" s="59">
        <v>3.15</v>
      </c>
      <c r="G46" s="59">
        <v>74.540000000000006</v>
      </c>
      <c r="H46" s="59">
        <v>43.5</v>
      </c>
      <c r="I46" s="59">
        <v>0.68</v>
      </c>
      <c r="J46" s="59">
        <v>0.72</v>
      </c>
      <c r="K46" s="59">
        <v>96.76</v>
      </c>
      <c r="L46" s="59">
        <v>29.42</v>
      </c>
      <c r="M46" s="59">
        <v>33.43</v>
      </c>
      <c r="N46" s="59">
        <v>609.29999999999995</v>
      </c>
      <c r="O46" s="59">
        <v>0</v>
      </c>
      <c r="P46" s="59">
        <v>1.1599999999999999</v>
      </c>
      <c r="Q46" s="59">
        <v>35.04</v>
      </c>
      <c r="R46" s="197"/>
      <c r="S46" s="197"/>
      <c r="T46" s="197"/>
      <c r="U46" s="197"/>
    </row>
    <row r="47" spans="1:21" s="12" customFormat="1" x14ac:dyDescent="0.25">
      <c r="A47" s="200" t="s">
        <v>1342</v>
      </c>
      <c r="B47" s="59">
        <v>29.44</v>
      </c>
      <c r="C47" s="59">
        <v>117.1</v>
      </c>
      <c r="D47" s="59">
        <v>87.27</v>
      </c>
      <c r="E47" s="59">
        <v>3.72</v>
      </c>
      <c r="F47" s="59">
        <v>3.45</v>
      </c>
      <c r="G47" s="59">
        <v>74.540000000000006</v>
      </c>
      <c r="H47" s="59">
        <v>43.5</v>
      </c>
      <c r="I47" s="59">
        <v>0.65</v>
      </c>
      <c r="J47" s="59">
        <v>0.97</v>
      </c>
      <c r="K47" s="59">
        <v>91.71</v>
      </c>
      <c r="L47" s="59">
        <v>30.54</v>
      </c>
      <c r="M47" s="59">
        <v>30.97</v>
      </c>
      <c r="N47" s="59">
        <v>660.4</v>
      </c>
      <c r="O47" s="59">
        <v>0</v>
      </c>
      <c r="P47" s="59">
        <v>1.1299999999999999</v>
      </c>
      <c r="Q47" s="59">
        <v>33.700000000000003</v>
      </c>
      <c r="R47" s="197"/>
      <c r="S47" s="197"/>
      <c r="T47" s="197"/>
      <c r="U47" s="197"/>
    </row>
    <row r="48" spans="1:21" s="12" customFormat="1" x14ac:dyDescent="0.25">
      <c r="A48" s="200" t="s">
        <v>1343</v>
      </c>
      <c r="B48" s="59">
        <v>27.01</v>
      </c>
      <c r="C48" s="59">
        <v>117.26</v>
      </c>
      <c r="D48" s="59">
        <v>85.41</v>
      </c>
      <c r="E48" s="59">
        <v>4.22</v>
      </c>
      <c r="F48" s="59">
        <v>3.84</v>
      </c>
      <c r="G48" s="59">
        <v>95.37</v>
      </c>
      <c r="H48" s="59">
        <v>41.9</v>
      </c>
      <c r="I48" s="59">
        <v>0.64</v>
      </c>
      <c r="J48" s="59">
        <v>0.8</v>
      </c>
      <c r="K48" s="59">
        <v>99.78</v>
      </c>
      <c r="L48" s="59">
        <v>30.42</v>
      </c>
      <c r="M48" s="59">
        <v>31.1</v>
      </c>
      <c r="N48" s="59">
        <v>700.6</v>
      </c>
      <c r="O48" s="59">
        <v>0</v>
      </c>
      <c r="P48" s="59">
        <v>1.0900000000000001</v>
      </c>
      <c r="Q48" s="59">
        <v>32.729999999999997</v>
      </c>
      <c r="R48" s="197"/>
      <c r="S48" s="197"/>
      <c r="T48" s="197"/>
      <c r="U48" s="197"/>
    </row>
    <row r="49" spans="1:21" s="12" customFormat="1" x14ac:dyDescent="0.25">
      <c r="A49" s="200" t="s">
        <v>1344</v>
      </c>
      <c r="B49" s="59">
        <v>24.56</v>
      </c>
      <c r="C49" s="59">
        <v>117.32</v>
      </c>
      <c r="D49" s="59">
        <v>83.47</v>
      </c>
      <c r="E49" s="59">
        <v>3.65</v>
      </c>
      <c r="F49" s="59">
        <v>4.01</v>
      </c>
      <c r="G49" s="59">
        <v>96.33</v>
      </c>
      <c r="H49" s="59">
        <v>41.82</v>
      </c>
      <c r="I49" s="59">
        <v>0.64</v>
      </c>
      <c r="J49" s="59">
        <v>0.57999999999999996</v>
      </c>
      <c r="K49" s="59">
        <v>67.47</v>
      </c>
      <c r="L49" s="59">
        <v>32.03</v>
      </c>
      <c r="M49" s="59">
        <v>28.7</v>
      </c>
      <c r="N49" s="59">
        <v>734</v>
      </c>
      <c r="O49" s="59">
        <v>0</v>
      </c>
      <c r="P49" s="59">
        <v>1.06</v>
      </c>
      <c r="Q49" s="59">
        <v>32.64</v>
      </c>
      <c r="R49" s="197"/>
      <c r="S49" s="197"/>
      <c r="T49" s="197"/>
      <c r="U49" s="197"/>
    </row>
    <row r="50" spans="1:21" s="12" customFormat="1" x14ac:dyDescent="0.25">
      <c r="A50" s="200" t="s">
        <v>1345</v>
      </c>
      <c r="B50" s="59">
        <v>22.28</v>
      </c>
      <c r="C50" s="59">
        <v>117.71</v>
      </c>
      <c r="D50" s="59">
        <v>81.86</v>
      </c>
      <c r="E50" s="59">
        <v>3.82</v>
      </c>
      <c r="F50" s="59">
        <v>3.44</v>
      </c>
      <c r="G50" s="59">
        <v>96.33</v>
      </c>
      <c r="H50" s="59">
        <v>41.82</v>
      </c>
      <c r="I50" s="59">
        <v>0.62</v>
      </c>
      <c r="J50" s="59">
        <v>0.36</v>
      </c>
      <c r="K50" s="59">
        <v>44.69</v>
      </c>
      <c r="L50" s="59">
        <v>33.08</v>
      </c>
      <c r="M50" s="59">
        <v>26.58</v>
      </c>
      <c r="N50" s="59">
        <v>764.9</v>
      </c>
      <c r="O50" s="59">
        <v>0</v>
      </c>
      <c r="P50" s="59">
        <v>1</v>
      </c>
      <c r="Q50" s="59">
        <v>32.409999999999997</v>
      </c>
      <c r="R50" s="197"/>
      <c r="S50" s="197"/>
      <c r="T50" s="197"/>
      <c r="U50" s="197"/>
    </row>
    <row r="51" spans="1:21" s="12" customFormat="1" x14ac:dyDescent="0.25">
      <c r="A51" s="200" t="s">
        <v>1346</v>
      </c>
      <c r="B51" s="59">
        <v>19.96</v>
      </c>
      <c r="C51" s="59">
        <v>117.8</v>
      </c>
      <c r="D51" s="59">
        <v>80.05</v>
      </c>
      <c r="E51" s="59">
        <v>3.78</v>
      </c>
      <c r="F51" s="59">
        <v>4.83</v>
      </c>
      <c r="G51" s="59">
        <v>96.33</v>
      </c>
      <c r="H51" s="59">
        <v>41.82</v>
      </c>
      <c r="I51" s="59">
        <v>0.62</v>
      </c>
      <c r="J51" s="59">
        <v>0.68</v>
      </c>
      <c r="K51" s="59">
        <v>10.199999999999999</v>
      </c>
      <c r="L51" s="59">
        <v>36.119999999999997</v>
      </c>
      <c r="M51" s="59">
        <v>21.81</v>
      </c>
      <c r="N51" s="59">
        <v>783</v>
      </c>
      <c r="O51" s="59">
        <v>0</v>
      </c>
      <c r="P51" s="59">
        <v>0.95</v>
      </c>
      <c r="Q51" s="59">
        <v>32.409999999999997</v>
      </c>
      <c r="R51" s="197"/>
      <c r="S51" s="197"/>
      <c r="T51" s="197"/>
      <c r="U51" s="197"/>
    </row>
    <row r="52" spans="1:21" s="12" customFormat="1" x14ac:dyDescent="0.25">
      <c r="A52" s="200" t="s">
        <v>1347</v>
      </c>
      <c r="B52" s="59">
        <v>17.600000000000001</v>
      </c>
      <c r="C52" s="59">
        <v>119.38</v>
      </c>
      <c r="D52" s="59">
        <v>79.03</v>
      </c>
      <c r="E52" s="59">
        <v>3.86</v>
      </c>
      <c r="F52" s="59">
        <v>3.94</v>
      </c>
      <c r="G52" s="59">
        <v>68.959999999999994</v>
      </c>
      <c r="H52" s="59">
        <v>37.659999999999997</v>
      </c>
      <c r="I52" s="59">
        <v>0.57999999999999996</v>
      </c>
      <c r="J52" s="59">
        <v>0.59</v>
      </c>
      <c r="K52" s="59">
        <v>11.15</v>
      </c>
      <c r="L52" s="59">
        <v>37.619999999999997</v>
      </c>
      <c r="M52" s="59">
        <v>20.309999999999999</v>
      </c>
      <c r="N52" s="59">
        <v>796.4</v>
      </c>
      <c r="O52" s="59">
        <v>0</v>
      </c>
      <c r="P52" s="59">
        <v>1.07</v>
      </c>
      <c r="Q52" s="59">
        <v>32.159999999999997</v>
      </c>
      <c r="R52" s="197"/>
      <c r="S52" s="197"/>
      <c r="T52" s="197"/>
      <c r="U52" s="197"/>
    </row>
    <row r="53" spans="1:21" s="12" customFormat="1" x14ac:dyDescent="0.25">
      <c r="A53" s="200" t="s">
        <v>1348</v>
      </c>
      <c r="B53" s="59">
        <v>14.91</v>
      </c>
      <c r="C53" s="59">
        <v>121.97</v>
      </c>
      <c r="D53" s="59">
        <v>78.31</v>
      </c>
      <c r="E53" s="59">
        <v>4.22</v>
      </c>
      <c r="F53" s="59">
        <v>3.72</v>
      </c>
      <c r="G53" s="59">
        <v>67.349999999999994</v>
      </c>
      <c r="H53" s="59">
        <v>37.47</v>
      </c>
      <c r="I53" s="59">
        <v>0.59</v>
      </c>
      <c r="J53" s="59">
        <v>0.41</v>
      </c>
      <c r="K53" s="59">
        <v>4.41</v>
      </c>
      <c r="L53" s="59">
        <v>36.619999999999997</v>
      </c>
      <c r="M53" s="59">
        <v>21.04</v>
      </c>
      <c r="N53" s="59">
        <v>824.2</v>
      </c>
      <c r="O53" s="59">
        <v>0</v>
      </c>
      <c r="P53" s="59">
        <v>1.06</v>
      </c>
      <c r="Q53" s="59">
        <v>33.31</v>
      </c>
      <c r="R53" s="197"/>
      <c r="S53" s="197"/>
      <c r="T53" s="197"/>
      <c r="U53" s="197"/>
    </row>
    <row r="54" spans="1:21" s="12" customFormat="1" x14ac:dyDescent="0.25">
      <c r="A54" s="200" t="s">
        <v>1349</v>
      </c>
      <c r="B54" s="59">
        <v>11.17</v>
      </c>
      <c r="C54" s="59">
        <v>124.69</v>
      </c>
      <c r="D54" s="59">
        <v>76.81</v>
      </c>
      <c r="E54" s="59">
        <v>4.16</v>
      </c>
      <c r="F54" s="59">
        <v>3.52</v>
      </c>
      <c r="G54" s="59">
        <v>67.349999999999994</v>
      </c>
      <c r="H54" s="59">
        <v>37.47</v>
      </c>
      <c r="I54" s="59">
        <v>0.63</v>
      </c>
      <c r="J54" s="59">
        <v>0.05</v>
      </c>
      <c r="K54" s="59">
        <v>136.72</v>
      </c>
      <c r="L54" s="59">
        <v>36.880000000000003</v>
      </c>
      <c r="M54" s="59">
        <v>21.01</v>
      </c>
      <c r="N54" s="59">
        <v>851.9</v>
      </c>
      <c r="O54" s="59">
        <v>0</v>
      </c>
      <c r="P54" s="59">
        <v>1.05</v>
      </c>
      <c r="Q54" s="59">
        <v>33.96</v>
      </c>
      <c r="R54" s="197"/>
      <c r="S54" s="197"/>
      <c r="T54" s="197"/>
      <c r="U54" s="197"/>
    </row>
    <row r="55" spans="1:21" s="12" customFormat="1" x14ac:dyDescent="0.25">
      <c r="A55" s="200" t="s">
        <v>1350</v>
      </c>
      <c r="B55" s="59">
        <v>7.42</v>
      </c>
      <c r="C55" s="59">
        <v>126.08</v>
      </c>
      <c r="D55" s="59">
        <v>74.569999999999993</v>
      </c>
      <c r="E55" s="59">
        <v>4.17</v>
      </c>
      <c r="F55" s="59">
        <v>3.66</v>
      </c>
      <c r="G55" s="59">
        <v>67.349999999999994</v>
      </c>
      <c r="H55" s="59">
        <v>37.47</v>
      </c>
      <c r="I55" s="59">
        <v>0.65</v>
      </c>
      <c r="J55" s="59">
        <v>0.28000000000000003</v>
      </c>
      <c r="K55" s="59">
        <v>170.5</v>
      </c>
      <c r="L55" s="59">
        <v>34.32</v>
      </c>
      <c r="M55" s="59">
        <v>23.48</v>
      </c>
      <c r="N55" s="59">
        <v>860.2</v>
      </c>
      <c r="O55" s="59">
        <v>0</v>
      </c>
      <c r="P55" s="59">
        <v>1.03</v>
      </c>
      <c r="Q55" s="59">
        <v>33.58</v>
      </c>
      <c r="R55" s="197"/>
      <c r="S55" s="197"/>
      <c r="T55" s="197"/>
      <c r="U55" s="197"/>
    </row>
    <row r="56" spans="1:21" s="12" customFormat="1" x14ac:dyDescent="0.25">
      <c r="A56" s="200" t="s">
        <v>1351</v>
      </c>
      <c r="B56" s="59">
        <v>4.7300000000000004</v>
      </c>
      <c r="C56" s="59">
        <v>126.42</v>
      </c>
      <c r="D56" s="59">
        <v>72.599999999999994</v>
      </c>
      <c r="E56" s="59">
        <v>2.62</v>
      </c>
      <c r="F56" s="59">
        <v>4.08</v>
      </c>
      <c r="G56" s="59">
        <v>63.38</v>
      </c>
      <c r="H56" s="59">
        <v>35.549999999999997</v>
      </c>
      <c r="I56" s="59">
        <v>0.65</v>
      </c>
      <c r="J56" s="59">
        <v>0.1</v>
      </c>
      <c r="K56" s="59">
        <v>220.57</v>
      </c>
      <c r="L56" s="59">
        <v>35.9</v>
      </c>
      <c r="M56" s="59">
        <v>20.58</v>
      </c>
      <c r="N56" s="59">
        <v>890.4</v>
      </c>
      <c r="O56" s="59">
        <v>0</v>
      </c>
      <c r="P56" s="59">
        <v>1</v>
      </c>
      <c r="Q56" s="59">
        <v>32.78</v>
      </c>
      <c r="R56" s="197"/>
      <c r="S56" s="197"/>
      <c r="T56" s="197"/>
      <c r="U56" s="197"/>
    </row>
    <row r="57" spans="1:21" s="12" customFormat="1" x14ac:dyDescent="0.25">
      <c r="A57" s="200" t="s">
        <v>1352</v>
      </c>
      <c r="B57" s="59">
        <v>3.09</v>
      </c>
      <c r="C57" s="59">
        <v>123.54</v>
      </c>
      <c r="D57" s="59">
        <v>69.7</v>
      </c>
      <c r="E57" s="59">
        <v>3.91</v>
      </c>
      <c r="F57" s="59">
        <v>4.55</v>
      </c>
      <c r="G57" s="59">
        <v>63.15</v>
      </c>
      <c r="H57" s="59">
        <v>35.43</v>
      </c>
      <c r="I57" s="59">
        <v>0.65</v>
      </c>
      <c r="J57" s="59">
        <v>0.08</v>
      </c>
      <c r="K57" s="59">
        <v>180.08</v>
      </c>
      <c r="L57" s="59">
        <v>35.159999999999997</v>
      </c>
      <c r="M57" s="59">
        <v>20.399999999999999</v>
      </c>
      <c r="N57" s="59">
        <v>884.9</v>
      </c>
      <c r="O57" s="59">
        <v>0</v>
      </c>
      <c r="P57" s="59">
        <v>0.94</v>
      </c>
      <c r="Q57" s="59">
        <v>32.9</v>
      </c>
      <c r="R57" s="197"/>
      <c r="S57" s="197"/>
      <c r="T57" s="197"/>
      <c r="U57" s="197"/>
    </row>
    <row r="58" spans="1:21" s="12" customFormat="1" x14ac:dyDescent="0.25">
      <c r="A58" s="200" t="s">
        <v>1353</v>
      </c>
      <c r="B58" s="59">
        <v>2.42</v>
      </c>
      <c r="C58" s="59">
        <v>119.76</v>
      </c>
      <c r="D58" s="59">
        <v>67.069999999999993</v>
      </c>
      <c r="E58" s="59">
        <v>3.92</v>
      </c>
      <c r="F58" s="59">
        <v>4.63</v>
      </c>
      <c r="G58" s="59">
        <v>63.15</v>
      </c>
      <c r="H58" s="59">
        <v>35.43</v>
      </c>
      <c r="I58" s="59">
        <v>0.64</v>
      </c>
      <c r="J58" s="59">
        <v>0.2</v>
      </c>
      <c r="K58" s="59">
        <v>201.44</v>
      </c>
      <c r="L58" s="59">
        <v>35.65</v>
      </c>
      <c r="M58" s="59">
        <v>17.850000000000001</v>
      </c>
      <c r="N58" s="59">
        <v>886.6</v>
      </c>
      <c r="O58" s="59">
        <v>0</v>
      </c>
      <c r="P58" s="59">
        <v>0.88</v>
      </c>
      <c r="Q58" s="59">
        <v>32.33</v>
      </c>
      <c r="R58" s="197"/>
      <c r="S58" s="197"/>
      <c r="T58" s="197"/>
      <c r="U58" s="197"/>
    </row>
    <row r="59" spans="1:21" s="12" customFormat="1" x14ac:dyDescent="0.25">
      <c r="A59" s="200" t="s">
        <v>1354</v>
      </c>
      <c r="B59" s="59">
        <v>2.29</v>
      </c>
      <c r="C59" s="59">
        <v>116.85</v>
      </c>
      <c r="D59" s="59">
        <v>65.36</v>
      </c>
      <c r="E59" s="59">
        <v>4.1100000000000003</v>
      </c>
      <c r="F59" s="59">
        <v>6.02</v>
      </c>
      <c r="G59" s="59">
        <v>63.15</v>
      </c>
      <c r="H59" s="59">
        <v>35.43</v>
      </c>
      <c r="I59" s="59">
        <v>0.62</v>
      </c>
      <c r="J59" s="59">
        <v>0.54</v>
      </c>
      <c r="K59" s="59">
        <v>14.33</v>
      </c>
      <c r="L59" s="59">
        <v>37.57</v>
      </c>
      <c r="M59" s="59">
        <v>16.91</v>
      </c>
      <c r="N59" s="59">
        <v>858.9</v>
      </c>
      <c r="O59" s="59">
        <v>0</v>
      </c>
      <c r="P59" s="59">
        <v>0.83</v>
      </c>
      <c r="Q59" s="59">
        <v>32.03</v>
      </c>
      <c r="R59" s="197"/>
      <c r="S59" s="197"/>
      <c r="T59" s="197"/>
      <c r="U59" s="197"/>
    </row>
    <row r="60" spans="1:21" s="12" customFormat="1" x14ac:dyDescent="0.25">
      <c r="A60" s="200" t="s">
        <v>1355</v>
      </c>
      <c r="B60" s="59">
        <v>2.5</v>
      </c>
      <c r="C60" s="59">
        <v>115.16</v>
      </c>
      <c r="D60" s="59">
        <v>64.59</v>
      </c>
      <c r="E60" s="59">
        <v>3.58</v>
      </c>
      <c r="F60" s="59">
        <v>6.57</v>
      </c>
      <c r="G60" s="59">
        <v>39.46</v>
      </c>
      <c r="H60" s="59">
        <v>29.97</v>
      </c>
      <c r="I60" s="59">
        <v>0.62</v>
      </c>
      <c r="J60" s="59">
        <v>0.89</v>
      </c>
      <c r="K60" s="59">
        <v>98.61</v>
      </c>
      <c r="L60" s="59">
        <v>36.46</v>
      </c>
      <c r="M60" s="59">
        <v>17.59</v>
      </c>
      <c r="N60" s="59">
        <v>842.2</v>
      </c>
      <c r="O60" s="59">
        <v>0</v>
      </c>
      <c r="P60" s="59">
        <v>0.75</v>
      </c>
      <c r="Q60" s="59">
        <v>32.11</v>
      </c>
      <c r="R60" s="197"/>
      <c r="S60" s="197"/>
      <c r="T60" s="197"/>
      <c r="U60" s="197"/>
    </row>
    <row r="61" spans="1:21" s="12" customFormat="1" x14ac:dyDescent="0.25">
      <c r="A61" s="200" t="s">
        <v>1356</v>
      </c>
      <c r="B61" s="59">
        <v>2.85</v>
      </c>
      <c r="C61" s="59">
        <v>112.85</v>
      </c>
      <c r="D61" s="59">
        <v>63.6</v>
      </c>
      <c r="E61" s="59">
        <v>3.37</v>
      </c>
      <c r="F61" s="59">
        <v>4.82</v>
      </c>
      <c r="G61" s="59">
        <v>38.35</v>
      </c>
      <c r="H61" s="59">
        <v>29.72</v>
      </c>
      <c r="I61" s="59">
        <v>0.55000000000000004</v>
      </c>
      <c r="J61" s="59">
        <v>0.83</v>
      </c>
      <c r="K61" s="59">
        <v>122.42</v>
      </c>
      <c r="L61" s="59">
        <v>34.04</v>
      </c>
      <c r="M61" s="59">
        <v>19.059999999999999</v>
      </c>
      <c r="N61" s="59">
        <v>800</v>
      </c>
      <c r="O61" s="59">
        <v>0</v>
      </c>
      <c r="P61" s="59">
        <v>0.73</v>
      </c>
      <c r="Q61" s="59">
        <v>31.75</v>
      </c>
      <c r="R61" s="197"/>
      <c r="S61" s="197"/>
      <c r="T61" s="197"/>
      <c r="U61" s="197"/>
    </row>
    <row r="62" spans="1:21" s="12" customFormat="1" x14ac:dyDescent="0.25">
      <c r="A62" s="200" t="s">
        <v>1357</v>
      </c>
      <c r="B62" s="59">
        <v>3</v>
      </c>
      <c r="C62" s="59">
        <v>110.57</v>
      </c>
      <c r="D62" s="59">
        <v>62.46</v>
      </c>
      <c r="E62" s="59">
        <v>3.64</v>
      </c>
      <c r="F62" s="59">
        <v>4.33</v>
      </c>
      <c r="G62" s="59">
        <v>38.35</v>
      </c>
      <c r="H62" s="59">
        <v>29.72</v>
      </c>
      <c r="I62" s="59">
        <v>0.56999999999999995</v>
      </c>
      <c r="J62" s="59">
        <v>0.48</v>
      </c>
      <c r="K62" s="59">
        <v>23.26</v>
      </c>
      <c r="L62" s="59">
        <v>37.01</v>
      </c>
      <c r="M62" s="59">
        <v>16.34</v>
      </c>
      <c r="N62" s="59">
        <v>734.3</v>
      </c>
      <c r="O62" s="59">
        <v>0</v>
      </c>
      <c r="P62" s="59">
        <v>0.77</v>
      </c>
      <c r="Q62" s="59">
        <v>31.11</v>
      </c>
      <c r="R62" s="197"/>
      <c r="S62" s="197"/>
      <c r="T62" s="197"/>
      <c r="U62" s="197"/>
    </row>
    <row r="63" spans="1:21" s="12" customFormat="1" x14ac:dyDescent="0.25">
      <c r="A63" s="200" t="s">
        <v>1358</v>
      </c>
      <c r="B63" s="59">
        <v>3.07</v>
      </c>
      <c r="C63" s="59">
        <v>109.88</v>
      </c>
      <c r="D63" s="59">
        <v>62.13</v>
      </c>
      <c r="E63" s="59">
        <v>3.62</v>
      </c>
      <c r="F63" s="59">
        <v>4.05</v>
      </c>
      <c r="G63" s="59">
        <v>38.35</v>
      </c>
      <c r="H63" s="59">
        <v>29.72</v>
      </c>
      <c r="I63" s="59">
        <v>0.57999999999999996</v>
      </c>
      <c r="J63" s="59">
        <v>0.42</v>
      </c>
      <c r="K63" s="59">
        <v>96.86</v>
      </c>
      <c r="L63" s="59">
        <v>36.479999999999997</v>
      </c>
      <c r="M63" s="59">
        <v>17.02</v>
      </c>
      <c r="N63" s="59">
        <v>751.3</v>
      </c>
      <c r="O63" s="59">
        <v>0</v>
      </c>
      <c r="P63" s="59">
        <v>0.72</v>
      </c>
      <c r="Q63" s="59">
        <v>30.63</v>
      </c>
      <c r="R63" s="197"/>
      <c r="S63" s="197"/>
      <c r="T63" s="197"/>
      <c r="U63" s="197"/>
    </row>
    <row r="64" spans="1:21" s="12" customFormat="1" x14ac:dyDescent="0.25">
      <c r="A64" s="200" t="s">
        <v>1359</v>
      </c>
      <c r="B64" s="59">
        <v>3.14</v>
      </c>
      <c r="C64" s="59">
        <v>108.71</v>
      </c>
      <c r="D64" s="59">
        <v>61.55</v>
      </c>
      <c r="E64" s="59">
        <v>3.68</v>
      </c>
      <c r="F64" s="59">
        <v>4.1900000000000004</v>
      </c>
      <c r="G64" s="59">
        <v>47.48</v>
      </c>
      <c r="H64" s="59">
        <v>24.08</v>
      </c>
      <c r="I64" s="59">
        <v>0.56000000000000005</v>
      </c>
      <c r="J64" s="59">
        <v>0.9</v>
      </c>
      <c r="K64" s="59">
        <v>21.74</v>
      </c>
      <c r="L64" s="59">
        <v>36.99</v>
      </c>
      <c r="M64" s="59">
        <v>16.32</v>
      </c>
      <c r="N64" s="59">
        <v>712.5</v>
      </c>
      <c r="O64" s="59">
        <v>0</v>
      </c>
      <c r="P64" s="59">
        <v>0.74</v>
      </c>
      <c r="Q64" s="59">
        <v>30.51</v>
      </c>
      <c r="R64" s="197"/>
      <c r="S64" s="197"/>
      <c r="T64" s="197"/>
      <c r="U64" s="197"/>
    </row>
    <row r="65" spans="1:21" s="12" customFormat="1" x14ac:dyDescent="0.25">
      <c r="A65" s="200" t="s">
        <v>1360</v>
      </c>
      <c r="B65" s="59">
        <v>3.14</v>
      </c>
      <c r="C65" s="59">
        <v>107.5</v>
      </c>
      <c r="D65" s="59">
        <v>60.88</v>
      </c>
      <c r="E65" s="59">
        <v>3.8</v>
      </c>
      <c r="F65" s="59">
        <v>4.37</v>
      </c>
      <c r="G65" s="59">
        <v>47.9</v>
      </c>
      <c r="H65" s="59">
        <v>23.75</v>
      </c>
      <c r="I65" s="59">
        <v>0.62</v>
      </c>
      <c r="J65" s="59">
        <v>0.96</v>
      </c>
      <c r="K65" s="59">
        <v>10.75</v>
      </c>
      <c r="L65" s="59">
        <v>38.89</v>
      </c>
      <c r="M65" s="59">
        <v>13.41</v>
      </c>
      <c r="N65" s="59">
        <v>674.8</v>
      </c>
      <c r="O65" s="59">
        <v>0</v>
      </c>
      <c r="P65" s="59">
        <v>0.8</v>
      </c>
      <c r="Q65" s="59">
        <v>30.55</v>
      </c>
      <c r="R65" s="197"/>
      <c r="S65" s="197"/>
      <c r="T65" s="197"/>
      <c r="U65" s="197"/>
    </row>
    <row r="66" spans="1:21" s="12" customFormat="1" x14ac:dyDescent="0.25">
      <c r="A66" s="200" t="s">
        <v>1361</v>
      </c>
      <c r="B66" s="59">
        <v>3.04</v>
      </c>
      <c r="C66" s="59">
        <v>105.92</v>
      </c>
      <c r="D66" s="59">
        <v>59.93</v>
      </c>
      <c r="E66" s="59">
        <v>3.56</v>
      </c>
      <c r="F66" s="59">
        <v>5.09</v>
      </c>
      <c r="G66" s="59">
        <v>47.9</v>
      </c>
      <c r="H66" s="59">
        <v>23.75</v>
      </c>
      <c r="I66" s="59">
        <v>0.67</v>
      </c>
      <c r="J66" s="59">
        <v>0.56000000000000005</v>
      </c>
      <c r="K66" s="59">
        <v>13.94</v>
      </c>
      <c r="L66" s="59">
        <v>38.58</v>
      </c>
      <c r="M66" s="59">
        <v>13.83</v>
      </c>
      <c r="N66" s="59">
        <v>651.70000000000005</v>
      </c>
      <c r="O66" s="59">
        <v>0</v>
      </c>
      <c r="P66" s="59">
        <v>0.65</v>
      </c>
      <c r="Q66" s="59">
        <v>30.28</v>
      </c>
      <c r="R66" s="197"/>
      <c r="S66" s="197"/>
      <c r="T66" s="197"/>
      <c r="U66" s="197"/>
    </row>
    <row r="67" spans="1:21" s="12" customFormat="1" x14ac:dyDescent="0.25">
      <c r="A67" s="200" t="s">
        <v>1362</v>
      </c>
      <c r="B67" s="59">
        <v>2.94</v>
      </c>
      <c r="C67" s="59">
        <v>105.21</v>
      </c>
      <c r="D67" s="59">
        <v>59.45</v>
      </c>
      <c r="E67" s="59">
        <v>3.51</v>
      </c>
      <c r="F67" s="59">
        <v>5.61</v>
      </c>
      <c r="G67" s="59">
        <v>47.9</v>
      </c>
      <c r="H67" s="59">
        <v>23.75</v>
      </c>
      <c r="I67" s="59">
        <v>0.7</v>
      </c>
      <c r="J67" s="59">
        <v>0.45</v>
      </c>
      <c r="K67" s="59">
        <v>31.29</v>
      </c>
      <c r="L67" s="59">
        <v>37.79</v>
      </c>
      <c r="M67" s="59">
        <v>13.45</v>
      </c>
      <c r="N67" s="59">
        <v>614.29999999999995</v>
      </c>
      <c r="O67" s="59">
        <v>0</v>
      </c>
      <c r="P67" s="59">
        <v>0.71</v>
      </c>
      <c r="Q67" s="59">
        <v>30.93</v>
      </c>
      <c r="R67" s="197"/>
      <c r="S67" s="197"/>
      <c r="T67" s="197"/>
      <c r="U67" s="197"/>
    </row>
    <row r="68" spans="1:21" s="12" customFormat="1" x14ac:dyDescent="0.25">
      <c r="A68" s="200" t="s">
        <v>1363</v>
      </c>
      <c r="B68" s="59">
        <v>2.73</v>
      </c>
      <c r="C68" s="59">
        <v>103.97</v>
      </c>
      <c r="D68" s="59">
        <v>58.61</v>
      </c>
      <c r="E68" s="59">
        <v>4.04</v>
      </c>
      <c r="F68" s="59">
        <v>5.05</v>
      </c>
      <c r="G68" s="59">
        <v>43.49</v>
      </c>
      <c r="H68" s="59">
        <v>22.79</v>
      </c>
      <c r="I68" s="59">
        <v>0.6</v>
      </c>
      <c r="J68" s="59">
        <v>0.81</v>
      </c>
      <c r="K68" s="59">
        <v>2.08</v>
      </c>
      <c r="L68" s="59">
        <v>37</v>
      </c>
      <c r="M68" s="59">
        <v>14.31</v>
      </c>
      <c r="N68" s="59">
        <v>477.5</v>
      </c>
      <c r="O68" s="59">
        <v>0</v>
      </c>
      <c r="P68" s="59">
        <v>0.71</v>
      </c>
      <c r="Q68" s="59">
        <v>31.38</v>
      </c>
      <c r="R68" s="197"/>
      <c r="S68" s="197"/>
      <c r="T68" s="197"/>
      <c r="U68" s="197"/>
    </row>
    <row r="69" spans="1:21" s="12" customFormat="1" x14ac:dyDescent="0.25">
      <c r="A69" s="200" t="s">
        <v>1364</v>
      </c>
      <c r="B69" s="59">
        <v>2.6</v>
      </c>
      <c r="C69" s="59">
        <v>101.98</v>
      </c>
      <c r="D69" s="59">
        <v>57.4</v>
      </c>
      <c r="E69" s="59">
        <v>3.85</v>
      </c>
      <c r="F69" s="59">
        <v>4.91</v>
      </c>
      <c r="G69" s="59">
        <v>43.23</v>
      </c>
      <c r="H69" s="59">
        <v>22.74</v>
      </c>
      <c r="I69" s="59">
        <v>0.56999999999999995</v>
      </c>
      <c r="J69" s="59">
        <v>0.4</v>
      </c>
      <c r="K69" s="59">
        <v>20.46</v>
      </c>
      <c r="L69" s="59">
        <v>37.43</v>
      </c>
      <c r="M69" s="59">
        <v>13.37</v>
      </c>
      <c r="N69" s="59">
        <v>503.8</v>
      </c>
      <c r="O69" s="59">
        <v>0</v>
      </c>
      <c r="P69" s="59">
        <v>0.67</v>
      </c>
      <c r="Q69" s="59">
        <v>31.23</v>
      </c>
      <c r="R69" s="197"/>
      <c r="S69" s="197"/>
      <c r="T69" s="197"/>
      <c r="U69" s="197"/>
    </row>
    <row r="70" spans="1:21" s="12" customFormat="1" x14ac:dyDescent="0.25">
      <c r="A70" s="200" t="s">
        <v>1365</v>
      </c>
      <c r="B70" s="59">
        <v>2.46</v>
      </c>
      <c r="C70" s="59">
        <v>100.91</v>
      </c>
      <c r="D70" s="59">
        <v>56.69</v>
      </c>
      <c r="E70" s="59">
        <v>3.46</v>
      </c>
      <c r="F70" s="59">
        <v>5.14</v>
      </c>
      <c r="G70" s="59">
        <v>43.23</v>
      </c>
      <c r="H70" s="59">
        <v>22.74</v>
      </c>
      <c r="I70" s="59">
        <v>0.6</v>
      </c>
      <c r="J70" s="59">
        <v>0.23</v>
      </c>
      <c r="K70" s="59">
        <v>15.54</v>
      </c>
      <c r="L70" s="59">
        <v>36.36</v>
      </c>
      <c r="M70" s="59">
        <v>14.2</v>
      </c>
      <c r="N70" s="59">
        <v>457.3</v>
      </c>
      <c r="O70" s="59">
        <v>0</v>
      </c>
      <c r="P70" s="59">
        <v>0.66</v>
      </c>
      <c r="Q70" s="59">
        <v>31.11</v>
      </c>
      <c r="R70" s="197"/>
      <c r="S70" s="197"/>
      <c r="T70" s="197"/>
      <c r="U70" s="197"/>
    </row>
    <row r="71" spans="1:21" s="12" customFormat="1" x14ac:dyDescent="0.25">
      <c r="A71" s="200" t="s">
        <v>1366</v>
      </c>
      <c r="B71" s="59">
        <v>2.41</v>
      </c>
      <c r="C71" s="59">
        <v>100.23</v>
      </c>
      <c r="D71" s="59">
        <v>56.29</v>
      </c>
      <c r="E71" s="59">
        <v>3.14</v>
      </c>
      <c r="F71" s="59">
        <v>4.9800000000000004</v>
      </c>
      <c r="G71" s="59">
        <v>43.23</v>
      </c>
      <c r="H71" s="59">
        <v>22.74</v>
      </c>
      <c r="I71" s="59">
        <v>0.57999999999999996</v>
      </c>
      <c r="J71" s="59">
        <v>0.9</v>
      </c>
      <c r="K71" s="59">
        <v>24.31</v>
      </c>
      <c r="L71" s="59">
        <v>36.75</v>
      </c>
      <c r="M71" s="59">
        <v>14.52</v>
      </c>
      <c r="N71" s="59">
        <v>347.7</v>
      </c>
      <c r="O71" s="59">
        <v>0</v>
      </c>
      <c r="P71" s="59">
        <v>0.61</v>
      </c>
      <c r="Q71" s="59">
        <v>30.72</v>
      </c>
      <c r="R71" s="197"/>
      <c r="S71" s="197"/>
      <c r="T71" s="197"/>
      <c r="U71" s="197"/>
    </row>
    <row r="72" spans="1:21" s="12" customFormat="1" x14ac:dyDescent="0.25">
      <c r="A72" s="200" t="s">
        <v>1367</v>
      </c>
      <c r="B72" s="59">
        <v>2.39</v>
      </c>
      <c r="C72" s="59">
        <v>100.6</v>
      </c>
      <c r="D72" s="59">
        <v>56.47</v>
      </c>
      <c r="E72" s="59">
        <v>2.44</v>
      </c>
      <c r="F72" s="59">
        <v>5.0199999999999996</v>
      </c>
      <c r="G72" s="59">
        <v>34.42</v>
      </c>
      <c r="H72" s="59">
        <v>20.7</v>
      </c>
      <c r="I72" s="59">
        <v>0.56000000000000005</v>
      </c>
      <c r="J72" s="59">
        <v>0.49</v>
      </c>
      <c r="K72" s="59">
        <v>6.68</v>
      </c>
      <c r="L72" s="59">
        <v>36.28</v>
      </c>
      <c r="M72" s="59">
        <v>14.83</v>
      </c>
      <c r="N72" s="59">
        <v>139.30000000000001</v>
      </c>
      <c r="O72" s="59">
        <v>0</v>
      </c>
      <c r="P72" s="59">
        <v>0.62</v>
      </c>
      <c r="Q72" s="59">
        <v>30.34</v>
      </c>
      <c r="R72" s="197"/>
      <c r="S72" s="197"/>
      <c r="T72" s="197"/>
      <c r="U72" s="197"/>
    </row>
    <row r="73" spans="1:21" s="12" customFormat="1" x14ac:dyDescent="0.25">
      <c r="A73" s="200" t="s">
        <v>1368</v>
      </c>
      <c r="B73" s="59">
        <v>2.3199999999999998</v>
      </c>
      <c r="C73" s="59">
        <v>100.11</v>
      </c>
      <c r="D73" s="59">
        <v>56.14</v>
      </c>
      <c r="E73" s="59">
        <v>4.04</v>
      </c>
      <c r="F73" s="59">
        <v>5.03</v>
      </c>
      <c r="G73" s="59">
        <v>34.01</v>
      </c>
      <c r="H73" s="59">
        <v>20.61</v>
      </c>
      <c r="I73" s="59">
        <v>0.55000000000000004</v>
      </c>
      <c r="J73" s="59">
        <v>0.11</v>
      </c>
      <c r="K73" s="59">
        <v>185</v>
      </c>
      <c r="L73" s="59">
        <v>35.42</v>
      </c>
      <c r="M73" s="59">
        <v>14.42</v>
      </c>
      <c r="N73" s="59">
        <v>190.3</v>
      </c>
      <c r="O73" s="59">
        <v>0</v>
      </c>
      <c r="P73" s="59">
        <v>0.48</v>
      </c>
      <c r="Q73" s="59">
        <v>30.16</v>
      </c>
      <c r="R73" s="197"/>
      <c r="S73" s="197"/>
      <c r="T73" s="197"/>
      <c r="U73" s="197"/>
    </row>
    <row r="74" spans="1:21" s="12" customFormat="1" x14ac:dyDescent="0.25">
      <c r="A74" s="200" t="s">
        <v>1369</v>
      </c>
      <c r="B74" s="59">
        <v>2.29</v>
      </c>
      <c r="C74" s="59">
        <v>99.5</v>
      </c>
      <c r="D74" s="59">
        <v>55.78</v>
      </c>
      <c r="E74" s="59">
        <v>4.1900000000000004</v>
      </c>
      <c r="F74" s="59">
        <v>8.41</v>
      </c>
      <c r="G74" s="59">
        <v>34.01</v>
      </c>
      <c r="H74" s="59">
        <v>20.61</v>
      </c>
      <c r="I74" s="59">
        <v>0.57999999999999996</v>
      </c>
      <c r="J74" s="59">
        <v>0.56000000000000005</v>
      </c>
      <c r="K74" s="59">
        <v>23.66</v>
      </c>
      <c r="L74" s="59">
        <v>35.159999999999997</v>
      </c>
      <c r="M74" s="59">
        <v>16.03</v>
      </c>
      <c r="N74" s="59">
        <v>147.5</v>
      </c>
      <c r="O74" s="59">
        <v>0</v>
      </c>
      <c r="P74" s="59">
        <v>0.56000000000000005</v>
      </c>
      <c r="Q74" s="59">
        <v>29.92</v>
      </c>
      <c r="R74" s="197"/>
      <c r="S74" s="197"/>
      <c r="T74" s="197"/>
      <c r="U74" s="197"/>
    </row>
    <row r="75" spans="1:21" s="12" customFormat="1" x14ac:dyDescent="0.25">
      <c r="A75" s="200" t="s">
        <v>1370</v>
      </c>
      <c r="B75" s="59">
        <v>2.76</v>
      </c>
      <c r="C75" s="59">
        <v>100.21</v>
      </c>
      <c r="D75" s="59">
        <v>56.56</v>
      </c>
      <c r="E75" s="59">
        <v>3.7</v>
      </c>
      <c r="F75" s="59">
        <v>5.15</v>
      </c>
      <c r="G75" s="59">
        <v>34.01</v>
      </c>
      <c r="H75" s="59">
        <v>20.61</v>
      </c>
      <c r="I75" s="59">
        <v>0.49</v>
      </c>
      <c r="J75" s="59">
        <v>0.43</v>
      </c>
      <c r="K75" s="59">
        <v>7.33</v>
      </c>
      <c r="L75" s="59">
        <v>34.76</v>
      </c>
      <c r="M75" s="59">
        <v>17.02</v>
      </c>
      <c r="N75" s="59">
        <v>134.9</v>
      </c>
      <c r="O75" s="59">
        <v>0</v>
      </c>
      <c r="P75" s="59">
        <v>0.62</v>
      </c>
      <c r="Q75" s="59">
        <v>29.95</v>
      </c>
      <c r="R75" s="197"/>
      <c r="S75" s="197"/>
      <c r="T75" s="197"/>
      <c r="U75" s="197"/>
    </row>
    <row r="76" spans="1:21" s="12" customFormat="1" x14ac:dyDescent="0.25">
      <c r="A76" s="200" t="s">
        <v>1371</v>
      </c>
      <c r="B76" s="59">
        <v>3.24</v>
      </c>
      <c r="C76" s="59">
        <v>101</v>
      </c>
      <c r="D76" s="59">
        <v>57.38</v>
      </c>
      <c r="E76" s="59">
        <v>3.25</v>
      </c>
      <c r="F76" s="59">
        <v>5.81</v>
      </c>
      <c r="G76" s="59">
        <v>30.68</v>
      </c>
      <c r="H76" s="59">
        <v>18.36</v>
      </c>
      <c r="I76" s="59">
        <v>0.51</v>
      </c>
      <c r="J76" s="59">
        <v>0.37</v>
      </c>
      <c r="K76" s="59">
        <v>32.700000000000003</v>
      </c>
      <c r="L76" s="59">
        <v>33.83</v>
      </c>
      <c r="M76" s="59">
        <v>17.78</v>
      </c>
      <c r="N76" s="59">
        <v>74.400000000000006</v>
      </c>
      <c r="O76" s="59">
        <v>0</v>
      </c>
      <c r="P76" s="59">
        <v>0.68</v>
      </c>
      <c r="Q76" s="59">
        <v>29.63</v>
      </c>
      <c r="R76" s="197"/>
      <c r="S76" s="197"/>
      <c r="T76" s="197"/>
      <c r="U76" s="197"/>
    </row>
    <row r="77" spans="1:21" s="12" customFormat="1" x14ac:dyDescent="0.25">
      <c r="A77" s="200" t="s">
        <v>1372</v>
      </c>
      <c r="B77" s="59">
        <v>3.67</v>
      </c>
      <c r="C77" s="59">
        <v>101.67</v>
      </c>
      <c r="D77" s="59">
        <v>58.09</v>
      </c>
      <c r="E77" s="59">
        <v>3.66</v>
      </c>
      <c r="F77" s="59">
        <v>5.49</v>
      </c>
      <c r="G77" s="59">
        <v>30.53</v>
      </c>
      <c r="H77" s="59">
        <v>18.25</v>
      </c>
      <c r="I77" s="59">
        <v>0.5</v>
      </c>
      <c r="J77" s="59">
        <v>0.73</v>
      </c>
      <c r="K77" s="59">
        <v>25.33</v>
      </c>
      <c r="L77" s="59">
        <v>33.6</v>
      </c>
      <c r="M77" s="59">
        <v>18.88</v>
      </c>
      <c r="N77" s="59">
        <v>59.9</v>
      </c>
      <c r="O77" s="59">
        <v>0</v>
      </c>
      <c r="P77" s="59">
        <v>0.83</v>
      </c>
      <c r="Q77" s="59">
        <v>29.28</v>
      </c>
      <c r="R77" s="197"/>
      <c r="S77" s="197"/>
      <c r="T77" s="197"/>
      <c r="U77" s="197"/>
    </row>
    <row r="78" spans="1:21" s="12" customFormat="1" x14ac:dyDescent="0.25">
      <c r="A78" s="200" t="s">
        <v>1373</v>
      </c>
      <c r="B78" s="59">
        <v>4.34</v>
      </c>
      <c r="C78" s="59">
        <v>103</v>
      </c>
      <c r="D78" s="59">
        <v>59.36</v>
      </c>
      <c r="E78" s="59">
        <v>3.5</v>
      </c>
      <c r="F78" s="59">
        <v>4.53</v>
      </c>
      <c r="G78" s="59">
        <v>30.53</v>
      </c>
      <c r="H78" s="59">
        <v>18.25</v>
      </c>
      <c r="I78" s="59">
        <v>0.49</v>
      </c>
      <c r="J78" s="59">
        <v>0.94</v>
      </c>
      <c r="K78" s="59">
        <v>24.18</v>
      </c>
      <c r="L78" s="59">
        <v>33.04</v>
      </c>
      <c r="M78" s="59">
        <v>19.2</v>
      </c>
      <c r="N78" s="59">
        <v>45.4</v>
      </c>
      <c r="O78" s="59">
        <v>0</v>
      </c>
      <c r="P78" s="59">
        <v>0.72</v>
      </c>
      <c r="Q78" s="59">
        <v>29.15</v>
      </c>
      <c r="R78" s="197"/>
      <c r="S78" s="197"/>
      <c r="T78" s="197"/>
      <c r="U78" s="197"/>
    </row>
    <row r="79" spans="1:21" s="12" customFormat="1" x14ac:dyDescent="0.25">
      <c r="A79" s="200" t="s">
        <v>1374</v>
      </c>
      <c r="B79" s="59">
        <v>4.97</v>
      </c>
      <c r="C79" s="59">
        <v>104.13</v>
      </c>
      <c r="D79" s="59">
        <v>60.49</v>
      </c>
      <c r="E79" s="59">
        <v>3.12</v>
      </c>
      <c r="F79" s="59">
        <v>4.76</v>
      </c>
      <c r="G79" s="59">
        <v>30.53</v>
      </c>
      <c r="H79" s="59">
        <v>18.25</v>
      </c>
      <c r="I79" s="59">
        <v>0.51</v>
      </c>
      <c r="J79" s="59">
        <v>0.89</v>
      </c>
      <c r="K79" s="59">
        <v>36.770000000000003</v>
      </c>
      <c r="L79" s="59">
        <v>32.520000000000003</v>
      </c>
      <c r="M79" s="59">
        <v>18.98</v>
      </c>
      <c r="N79" s="59">
        <v>30.8</v>
      </c>
      <c r="O79" s="59">
        <v>0</v>
      </c>
      <c r="P79" s="59">
        <v>0.83</v>
      </c>
      <c r="Q79" s="59">
        <v>29.52</v>
      </c>
      <c r="R79" s="197"/>
      <c r="S79" s="197"/>
      <c r="T79" s="197"/>
      <c r="U79" s="197"/>
    </row>
    <row r="80" spans="1:21" s="12" customFormat="1" x14ac:dyDescent="0.25">
      <c r="A80" s="200" t="s">
        <v>1375</v>
      </c>
      <c r="B80" s="59">
        <v>5.44</v>
      </c>
      <c r="C80" s="59">
        <v>105.24</v>
      </c>
      <c r="D80" s="59">
        <v>61.48</v>
      </c>
      <c r="E80" s="59">
        <v>3.42</v>
      </c>
      <c r="F80" s="59">
        <v>4.99</v>
      </c>
      <c r="G80" s="59">
        <v>34.200000000000003</v>
      </c>
      <c r="H80" s="59">
        <v>21.67</v>
      </c>
      <c r="I80" s="59">
        <v>0.52</v>
      </c>
      <c r="J80" s="59">
        <v>0.52</v>
      </c>
      <c r="K80" s="59">
        <v>28.95</v>
      </c>
      <c r="L80" s="59">
        <v>31.64</v>
      </c>
      <c r="M80" s="59">
        <v>21.22</v>
      </c>
      <c r="N80" s="59">
        <v>16.2</v>
      </c>
      <c r="O80" s="59">
        <v>0</v>
      </c>
      <c r="P80" s="59">
        <v>1.1100000000000001</v>
      </c>
      <c r="Q80" s="59">
        <v>29.49</v>
      </c>
      <c r="R80" s="197"/>
      <c r="S80" s="197"/>
      <c r="T80" s="197"/>
      <c r="U80" s="197"/>
    </row>
    <row r="81" spans="1:26" s="12" customFormat="1" x14ac:dyDescent="0.25">
      <c r="A81" s="200" t="s">
        <v>1376</v>
      </c>
      <c r="B81" s="59">
        <v>6.57</v>
      </c>
      <c r="C81" s="59">
        <v>106.76</v>
      </c>
      <c r="D81" s="59">
        <v>63.22</v>
      </c>
      <c r="E81" s="59">
        <v>3.77</v>
      </c>
      <c r="F81" s="59">
        <v>4.32</v>
      </c>
      <c r="G81" s="59">
        <v>34.369999999999997</v>
      </c>
      <c r="H81" s="59">
        <v>21.82</v>
      </c>
      <c r="I81" s="59">
        <v>0.54</v>
      </c>
      <c r="J81" s="59">
        <v>0.31</v>
      </c>
      <c r="K81" s="59">
        <v>39.82</v>
      </c>
      <c r="L81" s="59">
        <v>30.82</v>
      </c>
      <c r="M81" s="59">
        <v>21.73</v>
      </c>
      <c r="N81" s="59">
        <v>7.4</v>
      </c>
      <c r="O81" s="59">
        <v>0</v>
      </c>
      <c r="P81" s="59">
        <v>1.19</v>
      </c>
      <c r="Q81" s="59">
        <v>30.18</v>
      </c>
      <c r="R81" s="197"/>
      <c r="S81" s="197"/>
      <c r="T81" s="197"/>
      <c r="U81" s="197"/>
    </row>
    <row r="82" spans="1:26" s="12" customFormat="1" x14ac:dyDescent="0.25">
      <c r="A82" s="200" t="s">
        <v>1377</v>
      </c>
      <c r="B82" s="59">
        <v>8.39</v>
      </c>
      <c r="C82" s="59">
        <v>110.2</v>
      </c>
      <c r="D82" s="59">
        <v>66.58</v>
      </c>
      <c r="E82" s="59">
        <v>4.03</v>
      </c>
      <c r="F82" s="59">
        <v>3.73</v>
      </c>
      <c r="G82" s="59">
        <v>34.369999999999997</v>
      </c>
      <c r="H82" s="59">
        <v>21.82</v>
      </c>
      <c r="I82" s="59">
        <v>0.55000000000000004</v>
      </c>
      <c r="J82" s="59">
        <v>0.23</v>
      </c>
      <c r="K82" s="59">
        <v>275.35000000000002</v>
      </c>
      <c r="L82" s="59">
        <v>30.46</v>
      </c>
      <c r="M82" s="59">
        <v>21.51</v>
      </c>
      <c r="N82" s="59">
        <v>4.8</v>
      </c>
      <c r="O82" s="59">
        <v>0</v>
      </c>
      <c r="P82" s="59">
        <v>0.91</v>
      </c>
      <c r="Q82" s="59">
        <v>31.4</v>
      </c>
      <c r="R82" s="197"/>
      <c r="S82" s="197"/>
      <c r="T82" s="197"/>
      <c r="U82" s="197"/>
    </row>
    <row r="83" spans="1:26" s="12" customFormat="1" x14ac:dyDescent="0.25">
      <c r="A83" s="200" t="s">
        <v>1378</v>
      </c>
      <c r="B83" s="59">
        <v>9.5</v>
      </c>
      <c r="C83" s="59">
        <v>113.32</v>
      </c>
      <c r="D83" s="59">
        <v>69.2</v>
      </c>
      <c r="E83" s="59">
        <v>4.07</v>
      </c>
      <c r="F83" s="59">
        <v>3.42</v>
      </c>
      <c r="G83" s="59">
        <v>34.369999999999997</v>
      </c>
      <c r="H83" s="59">
        <v>21.82</v>
      </c>
      <c r="I83" s="59">
        <v>0.62</v>
      </c>
      <c r="J83" s="59">
        <v>0.28000000000000003</v>
      </c>
      <c r="K83" s="59">
        <v>85.03</v>
      </c>
      <c r="L83" s="59">
        <v>29.77</v>
      </c>
      <c r="M83" s="59">
        <v>25.1</v>
      </c>
      <c r="N83" s="59">
        <v>5</v>
      </c>
      <c r="O83" s="59">
        <v>0</v>
      </c>
      <c r="P83" s="59">
        <v>1.22</v>
      </c>
      <c r="Q83" s="59">
        <v>32.049999999999997</v>
      </c>
      <c r="R83" s="197"/>
      <c r="S83" s="197"/>
      <c r="T83" s="197"/>
      <c r="U83" s="197"/>
    </row>
    <row r="84" spans="1:26" s="12" customFormat="1" x14ac:dyDescent="0.25">
      <c r="A84" s="200" t="s">
        <v>1379</v>
      </c>
      <c r="B84" s="59">
        <v>12.75</v>
      </c>
      <c r="C84" s="59">
        <v>117.05</v>
      </c>
      <c r="D84" s="59">
        <v>73.86</v>
      </c>
      <c r="E84" s="59">
        <v>3.61</v>
      </c>
      <c r="F84" s="59">
        <v>3.15</v>
      </c>
      <c r="G84" s="59">
        <v>59.43</v>
      </c>
      <c r="H84" s="59">
        <v>18.45</v>
      </c>
      <c r="I84" s="59">
        <v>0.69</v>
      </c>
      <c r="J84" s="59">
        <v>0.27</v>
      </c>
      <c r="K84" s="59">
        <v>102.95</v>
      </c>
      <c r="L84" s="59">
        <v>28.9</v>
      </c>
      <c r="M84" s="59">
        <v>30.59</v>
      </c>
      <c r="N84" s="59">
        <v>4.9000000000000004</v>
      </c>
      <c r="O84" s="59">
        <v>0</v>
      </c>
      <c r="P84" s="59">
        <v>1.29</v>
      </c>
      <c r="Q84" s="59">
        <v>32.26</v>
      </c>
      <c r="R84" s="197"/>
      <c r="S84" s="197"/>
      <c r="T84" s="197"/>
      <c r="U84" s="197"/>
    </row>
    <row r="85" spans="1:26" s="12" customFormat="1" x14ac:dyDescent="0.25">
      <c r="A85" s="200" t="s">
        <v>1380</v>
      </c>
      <c r="B85" s="59">
        <v>16.22</v>
      </c>
      <c r="C85" s="59">
        <v>119.75</v>
      </c>
      <c r="D85" s="59">
        <v>78.13</v>
      </c>
      <c r="E85" s="59">
        <v>3.84</v>
      </c>
      <c r="F85" s="59">
        <v>3.1</v>
      </c>
      <c r="G85" s="59">
        <v>60.59</v>
      </c>
      <c r="H85" s="59">
        <v>18.29</v>
      </c>
      <c r="I85" s="59">
        <v>0.81</v>
      </c>
      <c r="J85" s="59">
        <v>0.13</v>
      </c>
      <c r="K85" s="59">
        <v>71.59</v>
      </c>
      <c r="L85" s="59">
        <v>28.17</v>
      </c>
      <c r="M85" s="59">
        <v>36.4</v>
      </c>
      <c r="N85" s="59">
        <v>5.0999999999999996</v>
      </c>
      <c r="O85" s="59">
        <v>0</v>
      </c>
      <c r="P85" s="59">
        <v>1.44</v>
      </c>
      <c r="Q85" s="59">
        <v>32.81</v>
      </c>
      <c r="R85" s="197"/>
      <c r="S85" s="197"/>
      <c r="T85" s="197"/>
      <c r="U85" s="197"/>
    </row>
    <row r="86" spans="1:26" s="12" customFormat="1" x14ac:dyDescent="0.25">
      <c r="A86" s="200" t="s">
        <v>1381</v>
      </c>
      <c r="B86" s="59">
        <v>19.87</v>
      </c>
      <c r="C86" s="59">
        <v>122.08</v>
      </c>
      <c r="D86" s="59">
        <v>82.34</v>
      </c>
      <c r="E86" s="59">
        <v>3.25</v>
      </c>
      <c r="F86" s="59">
        <v>3.03</v>
      </c>
      <c r="G86" s="59">
        <v>60.59</v>
      </c>
      <c r="H86" s="59">
        <v>18.29</v>
      </c>
      <c r="I86" s="59">
        <v>0.8</v>
      </c>
      <c r="J86" s="59">
        <v>0.06</v>
      </c>
      <c r="K86" s="59">
        <v>118.8</v>
      </c>
      <c r="L86" s="59">
        <v>27.3</v>
      </c>
      <c r="M86" s="59">
        <v>38.79</v>
      </c>
      <c r="N86" s="59">
        <v>5.0999999999999996</v>
      </c>
      <c r="O86" s="59">
        <v>0</v>
      </c>
      <c r="P86" s="59">
        <v>1.48</v>
      </c>
      <c r="Q86" s="59">
        <v>33.33</v>
      </c>
      <c r="R86" s="197"/>
      <c r="S86" s="197"/>
      <c r="T86" s="197"/>
      <c r="U86" s="197"/>
    </row>
    <row r="87" spans="1:26" s="12" customFormat="1" x14ac:dyDescent="0.25">
      <c r="A87" s="200" t="s">
        <v>1382</v>
      </c>
      <c r="B87" s="59">
        <v>26.53</v>
      </c>
      <c r="C87" s="59">
        <v>124.85</v>
      </c>
      <c r="D87" s="59">
        <v>89.22</v>
      </c>
      <c r="E87" s="59">
        <v>4.07</v>
      </c>
      <c r="F87" s="59">
        <v>2.87</v>
      </c>
      <c r="G87" s="59">
        <v>60.59</v>
      </c>
      <c r="H87" s="59">
        <v>18.29</v>
      </c>
      <c r="I87" s="59">
        <v>0.92</v>
      </c>
      <c r="J87" s="59">
        <v>0.16</v>
      </c>
      <c r="K87" s="59">
        <v>99.67</v>
      </c>
      <c r="L87" s="59">
        <v>27.26</v>
      </c>
      <c r="M87" s="59">
        <v>35.369999999999997</v>
      </c>
      <c r="N87" s="59">
        <v>4.4000000000000004</v>
      </c>
      <c r="O87" s="59">
        <v>0</v>
      </c>
      <c r="P87" s="59">
        <v>1.88</v>
      </c>
      <c r="Q87" s="59">
        <v>33.590000000000003</v>
      </c>
      <c r="R87" s="197"/>
      <c r="S87" s="197"/>
      <c r="T87" s="197"/>
      <c r="U87" s="197"/>
    </row>
    <row r="88" spans="1:26" s="12" customFormat="1" x14ac:dyDescent="0.25">
      <c r="A88" s="200" t="s">
        <v>1383</v>
      </c>
      <c r="B88" s="59">
        <v>35.01</v>
      </c>
      <c r="C88" s="59">
        <v>127.76</v>
      </c>
      <c r="D88" s="59">
        <v>97.62</v>
      </c>
      <c r="E88" s="59">
        <v>2.13</v>
      </c>
      <c r="F88" s="59">
        <v>2.85</v>
      </c>
      <c r="G88" s="59">
        <v>91.98</v>
      </c>
      <c r="H88" s="59">
        <v>25.57</v>
      </c>
      <c r="I88" s="59">
        <v>1.06</v>
      </c>
      <c r="J88" s="59">
        <v>0.18</v>
      </c>
      <c r="K88" s="59">
        <v>29.5</v>
      </c>
      <c r="L88" s="59">
        <v>26.98</v>
      </c>
      <c r="M88" s="59">
        <v>41.01</v>
      </c>
      <c r="N88" s="59">
        <v>4.8</v>
      </c>
      <c r="O88" s="59">
        <v>0</v>
      </c>
      <c r="P88" s="59">
        <v>4.8499999999999996</v>
      </c>
      <c r="Q88" s="59">
        <v>33.26</v>
      </c>
      <c r="R88" s="197"/>
      <c r="S88" s="197"/>
      <c r="T88" s="197"/>
      <c r="U88" s="197"/>
    </row>
    <row r="89" spans="1:26" s="12" customFormat="1" x14ac:dyDescent="0.25">
      <c r="A89" s="200" t="s">
        <v>1384</v>
      </c>
      <c r="B89" s="59">
        <v>43.05</v>
      </c>
      <c r="C89" s="59">
        <v>127.57</v>
      </c>
      <c r="D89" s="59">
        <v>103.96</v>
      </c>
      <c r="E89" s="59">
        <v>2.91</v>
      </c>
      <c r="F89" s="59">
        <v>2.75</v>
      </c>
      <c r="G89" s="59">
        <v>93.44</v>
      </c>
      <c r="H89" s="59">
        <v>25.91</v>
      </c>
      <c r="I89" s="59">
        <v>1.27</v>
      </c>
      <c r="J89" s="59">
        <v>0.2</v>
      </c>
      <c r="K89" s="59">
        <v>24.26</v>
      </c>
      <c r="L89" s="59">
        <v>26.5</v>
      </c>
      <c r="M89" s="59">
        <v>43.18</v>
      </c>
      <c r="N89" s="59">
        <v>4.8</v>
      </c>
      <c r="O89" s="59">
        <v>0</v>
      </c>
      <c r="P89" s="59">
        <v>4.7300000000000004</v>
      </c>
      <c r="Q89" s="59">
        <v>33.61</v>
      </c>
      <c r="R89" s="197"/>
      <c r="S89" s="197"/>
      <c r="T89" s="197"/>
      <c r="U89" s="197"/>
    </row>
    <row r="90" spans="1:26" s="12" customFormat="1" x14ac:dyDescent="0.25">
      <c r="A90" s="200" t="s">
        <v>1385</v>
      </c>
      <c r="B90" s="59">
        <v>48.57</v>
      </c>
      <c r="C90" s="59">
        <v>126.21</v>
      </c>
      <c r="D90" s="59">
        <v>107.64</v>
      </c>
      <c r="E90" s="59">
        <v>3.65</v>
      </c>
      <c r="F90" s="59">
        <v>2.84</v>
      </c>
      <c r="G90" s="59">
        <v>93.44</v>
      </c>
      <c r="H90" s="59">
        <v>25.91</v>
      </c>
      <c r="I90" s="59">
        <v>1.83</v>
      </c>
      <c r="J90" s="59">
        <v>0.11</v>
      </c>
      <c r="K90" s="59">
        <v>40.619999999999997</v>
      </c>
      <c r="L90" s="59">
        <v>26.15</v>
      </c>
      <c r="M90" s="59">
        <v>39.67</v>
      </c>
      <c r="N90" s="59">
        <v>4.7</v>
      </c>
      <c r="O90" s="59">
        <v>0</v>
      </c>
      <c r="P90" s="59">
        <v>4.6100000000000003</v>
      </c>
      <c r="Q90" s="59">
        <v>33.590000000000003</v>
      </c>
      <c r="R90" s="197"/>
      <c r="S90" s="197"/>
      <c r="T90" s="197"/>
      <c r="U90" s="197"/>
    </row>
    <row r="91" spans="1:26" s="12" customFormat="1" x14ac:dyDescent="0.25">
      <c r="A91" s="200" t="s">
        <v>1386</v>
      </c>
      <c r="B91" s="59">
        <v>52.81</v>
      </c>
      <c r="C91" s="59">
        <v>125.46</v>
      </c>
      <c r="D91" s="59">
        <v>110.62</v>
      </c>
      <c r="E91" s="59">
        <v>3.61</v>
      </c>
      <c r="F91" s="59">
        <v>2.96</v>
      </c>
      <c r="G91" s="59">
        <v>93.44</v>
      </c>
      <c r="H91" s="59">
        <v>25.91</v>
      </c>
      <c r="I91" s="59">
        <v>1.86</v>
      </c>
      <c r="J91" s="59">
        <v>0.08</v>
      </c>
      <c r="K91" s="59">
        <v>294.52</v>
      </c>
      <c r="L91" s="59">
        <v>26.37</v>
      </c>
      <c r="M91" s="59">
        <v>42.49</v>
      </c>
      <c r="N91" s="59">
        <v>4.3</v>
      </c>
      <c r="O91" s="59">
        <v>0</v>
      </c>
      <c r="P91" s="59">
        <v>4.55</v>
      </c>
      <c r="Q91" s="59">
        <v>34.229999999999997</v>
      </c>
      <c r="R91" s="197"/>
      <c r="S91" s="197"/>
      <c r="T91" s="197"/>
      <c r="U91" s="197"/>
    </row>
    <row r="92" spans="1:26" s="12" customFormat="1" x14ac:dyDescent="0.25">
      <c r="A92" s="200" t="s">
        <v>1387</v>
      </c>
      <c r="B92" s="59">
        <v>55.8</v>
      </c>
      <c r="C92" s="59">
        <v>125.93</v>
      </c>
      <c r="D92" s="59">
        <v>113.29</v>
      </c>
      <c r="E92" s="59">
        <v>3.72</v>
      </c>
      <c r="F92" s="59">
        <v>3.19</v>
      </c>
      <c r="G92" s="59">
        <v>175.05</v>
      </c>
      <c r="H92" s="59">
        <v>36.479999999999997</v>
      </c>
      <c r="I92" s="59">
        <v>1.83</v>
      </c>
      <c r="J92" s="59">
        <v>0.57999999999999996</v>
      </c>
      <c r="K92" s="59">
        <v>196.66</v>
      </c>
      <c r="L92" s="59">
        <v>27.55</v>
      </c>
      <c r="M92" s="59">
        <v>35.130000000000003</v>
      </c>
      <c r="N92" s="59">
        <v>2.1</v>
      </c>
      <c r="O92" s="59">
        <v>0</v>
      </c>
      <c r="P92" s="59">
        <v>2.79</v>
      </c>
      <c r="Q92" s="59">
        <v>34.68</v>
      </c>
      <c r="R92" s="197"/>
      <c r="S92" s="197"/>
      <c r="T92" s="197"/>
      <c r="U92" s="197"/>
    </row>
    <row r="93" spans="1:26" s="12" customFormat="1" x14ac:dyDescent="0.25">
      <c r="A93" s="200" t="s">
        <v>1388</v>
      </c>
      <c r="B93" s="59">
        <v>58.41</v>
      </c>
      <c r="C93" s="59">
        <v>126.16</v>
      </c>
      <c r="D93" s="59">
        <v>115.5</v>
      </c>
      <c r="E93" s="59">
        <v>3.84</v>
      </c>
      <c r="F93" s="59">
        <v>2.97</v>
      </c>
      <c r="G93" s="59">
        <v>178.85</v>
      </c>
      <c r="H93" s="59">
        <v>36.97</v>
      </c>
      <c r="I93" s="59">
        <v>1.73</v>
      </c>
      <c r="J93" s="59">
        <v>0.13</v>
      </c>
      <c r="K93" s="59">
        <v>343.18</v>
      </c>
      <c r="L93" s="59">
        <v>27.09</v>
      </c>
      <c r="M93" s="59">
        <v>36.229999999999997</v>
      </c>
      <c r="N93" s="59">
        <v>4.9000000000000004</v>
      </c>
      <c r="O93" s="59">
        <v>0</v>
      </c>
      <c r="P93" s="59">
        <v>3.53</v>
      </c>
      <c r="Q93" s="59">
        <v>35.380000000000003</v>
      </c>
      <c r="R93" s="197"/>
      <c r="S93" s="197"/>
      <c r="T93" s="197"/>
      <c r="U93" s="197"/>
    </row>
    <row r="94" spans="1:26" s="12" customFormat="1" x14ac:dyDescent="0.25">
      <c r="A94" s="200" t="s">
        <v>1389</v>
      </c>
      <c r="B94" s="59">
        <v>62.81</v>
      </c>
      <c r="C94" s="59">
        <v>126.47</v>
      </c>
      <c r="D94" s="59">
        <v>119.2</v>
      </c>
      <c r="E94" s="59">
        <v>4.33</v>
      </c>
      <c r="F94" s="59">
        <v>2.81</v>
      </c>
      <c r="G94" s="59">
        <v>178.85</v>
      </c>
      <c r="H94" s="59">
        <v>36.97</v>
      </c>
      <c r="I94" s="59">
        <v>1.46</v>
      </c>
      <c r="J94" s="59">
        <v>0.1</v>
      </c>
      <c r="K94" s="59">
        <v>328.22</v>
      </c>
      <c r="L94" s="59">
        <v>26.02</v>
      </c>
      <c r="M94" s="59">
        <v>42.75</v>
      </c>
      <c r="N94" s="59">
        <v>4.8</v>
      </c>
      <c r="O94" s="59">
        <v>0</v>
      </c>
      <c r="P94" s="59">
        <v>3.65</v>
      </c>
      <c r="Q94" s="59">
        <v>36.08</v>
      </c>
      <c r="R94" s="197"/>
      <c r="S94" s="197"/>
      <c r="T94" s="197"/>
      <c r="U94" s="197"/>
    </row>
    <row r="95" spans="1:26" s="12" customFormat="1" x14ac:dyDescent="0.25">
      <c r="A95" s="200" t="s">
        <v>1390</v>
      </c>
      <c r="B95" s="59">
        <v>67.17</v>
      </c>
      <c r="C95" s="59">
        <v>126.64</v>
      </c>
      <c r="D95" s="59">
        <v>122.79</v>
      </c>
      <c r="E95" s="59">
        <v>3.99</v>
      </c>
      <c r="F95" s="59">
        <v>3.33</v>
      </c>
      <c r="G95" s="59">
        <v>178.85</v>
      </c>
      <c r="H95" s="59">
        <v>36.97</v>
      </c>
      <c r="I95" s="59">
        <v>1.6</v>
      </c>
      <c r="J95" s="59">
        <v>0.18</v>
      </c>
      <c r="K95" s="59">
        <v>10.7</v>
      </c>
      <c r="L95" s="59">
        <v>25.84</v>
      </c>
      <c r="M95" s="59">
        <v>40.299999999999997</v>
      </c>
      <c r="N95" s="59">
        <v>4.9000000000000004</v>
      </c>
      <c r="O95" s="59">
        <v>0</v>
      </c>
      <c r="P95" s="59">
        <v>3.38</v>
      </c>
      <c r="Q95" s="59">
        <v>36.61</v>
      </c>
      <c r="R95" s="197"/>
      <c r="S95" s="197"/>
      <c r="T95" s="197"/>
      <c r="U95" s="197"/>
    </row>
    <row r="96" spans="1:26" s="12" customFormat="1" x14ac:dyDescent="0.25">
      <c r="A96" s="200" t="s">
        <v>1391</v>
      </c>
      <c r="B96" s="59">
        <v>70.89</v>
      </c>
      <c r="C96" s="59">
        <v>127.35</v>
      </c>
      <c r="D96" s="59">
        <v>126.17</v>
      </c>
      <c r="E96" s="59">
        <v>4.6900000000000004</v>
      </c>
      <c r="F96" s="59">
        <v>3.32</v>
      </c>
      <c r="G96" s="59">
        <v>157.5</v>
      </c>
      <c r="H96" s="59">
        <v>44.97</v>
      </c>
      <c r="I96" s="59">
        <v>1.56</v>
      </c>
      <c r="J96" s="59">
        <v>0.32</v>
      </c>
      <c r="K96" s="59">
        <v>84.66</v>
      </c>
      <c r="L96" s="59">
        <v>25.39</v>
      </c>
      <c r="M96" s="59">
        <v>42.73</v>
      </c>
      <c r="N96" s="59">
        <v>4.7</v>
      </c>
      <c r="O96" s="59">
        <v>0</v>
      </c>
      <c r="P96" s="59">
        <v>2.29</v>
      </c>
      <c r="Q96" s="59">
        <v>37.43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1392</v>
      </c>
      <c r="B97" s="59">
        <v>73.41</v>
      </c>
      <c r="C97" s="59">
        <v>127.05</v>
      </c>
      <c r="D97" s="59">
        <v>128.02000000000001</v>
      </c>
      <c r="E97" s="59">
        <v>4.6900000000000004</v>
      </c>
      <c r="F97" s="59">
        <v>3.24</v>
      </c>
      <c r="G97" s="59">
        <v>156.24</v>
      </c>
      <c r="H97" s="59">
        <v>45.34</v>
      </c>
      <c r="I97" s="59">
        <v>1.37</v>
      </c>
      <c r="J97" s="59">
        <v>0.09</v>
      </c>
      <c r="K97" s="59">
        <v>331.92</v>
      </c>
      <c r="L97" s="59">
        <v>25</v>
      </c>
      <c r="M97" s="59">
        <v>48.74</v>
      </c>
      <c r="N97" s="59">
        <v>4.9000000000000004</v>
      </c>
      <c r="O97" s="59">
        <v>0</v>
      </c>
      <c r="P97" s="59">
        <v>2.19</v>
      </c>
      <c r="Q97" s="59">
        <v>38.14</v>
      </c>
      <c r="R97" s="197"/>
      <c r="S97" s="197"/>
      <c r="T97" s="197"/>
      <c r="U97" s="197"/>
    </row>
    <row r="98" spans="1:33" s="12" customFormat="1" x14ac:dyDescent="0.25">
      <c r="A98" s="200" t="s">
        <v>1393</v>
      </c>
      <c r="B98" s="59">
        <v>77.25</v>
      </c>
      <c r="C98" s="59">
        <v>126.85</v>
      </c>
      <c r="D98" s="59">
        <v>130.99</v>
      </c>
      <c r="E98" s="59">
        <v>4.5999999999999996</v>
      </c>
      <c r="F98" s="59">
        <v>2.99</v>
      </c>
      <c r="G98" s="59">
        <v>156.24</v>
      </c>
      <c r="H98" s="59">
        <v>45.34</v>
      </c>
      <c r="I98" s="59">
        <v>1.27</v>
      </c>
      <c r="J98" s="59">
        <v>0.08</v>
      </c>
      <c r="K98" s="59">
        <v>345.43</v>
      </c>
      <c r="L98" s="59">
        <v>24.88</v>
      </c>
      <c r="M98" s="59">
        <v>47.19</v>
      </c>
      <c r="N98" s="59">
        <v>4.5</v>
      </c>
      <c r="O98" s="59">
        <v>0</v>
      </c>
      <c r="P98" s="59">
        <v>2.27</v>
      </c>
      <c r="Q98" s="59">
        <v>38.53</v>
      </c>
      <c r="R98" s="197"/>
      <c r="S98" s="197"/>
      <c r="T98" s="197"/>
      <c r="U98" s="197"/>
    </row>
    <row r="99" spans="1:33" s="12" customFormat="1" x14ac:dyDescent="0.25">
      <c r="A99" s="200" t="s">
        <v>1394</v>
      </c>
      <c r="B99" s="59">
        <v>82.04</v>
      </c>
      <c r="C99" s="59">
        <v>126.93</v>
      </c>
      <c r="D99" s="59">
        <v>134.88</v>
      </c>
      <c r="E99" s="59">
        <v>4.6399999999999997</v>
      </c>
      <c r="F99" s="59">
        <v>2.88</v>
      </c>
      <c r="G99" s="59">
        <v>156.24</v>
      </c>
      <c r="H99" s="59">
        <v>45.34</v>
      </c>
      <c r="I99" s="59">
        <v>1.24</v>
      </c>
      <c r="J99" s="59">
        <v>0.08</v>
      </c>
      <c r="K99" s="59">
        <v>46.14</v>
      </c>
      <c r="L99" s="59">
        <v>24.6</v>
      </c>
      <c r="M99" s="59">
        <v>48.43</v>
      </c>
      <c r="N99" s="59">
        <v>4.5999999999999996</v>
      </c>
      <c r="O99" s="59">
        <v>0</v>
      </c>
      <c r="P99" s="59">
        <v>2.33</v>
      </c>
      <c r="Q99" s="59">
        <v>38.700000000000003</v>
      </c>
      <c r="R99" s="197"/>
      <c r="S99" s="197"/>
      <c r="T99" s="197"/>
      <c r="U99" s="197"/>
    </row>
    <row r="100" spans="1:33" s="12" customFormat="1" x14ac:dyDescent="0.25">
      <c r="A100" s="200" t="s">
        <v>1395</v>
      </c>
      <c r="B100" s="59">
        <v>85.53</v>
      </c>
      <c r="C100" s="59">
        <v>127</v>
      </c>
      <c r="D100" s="59">
        <v>137.71</v>
      </c>
      <c r="E100" s="59">
        <v>4.7</v>
      </c>
      <c r="F100" s="59">
        <v>2.75</v>
      </c>
      <c r="G100" s="59">
        <v>138.32</v>
      </c>
      <c r="H100" s="59">
        <v>45.79</v>
      </c>
      <c r="I100" s="59">
        <v>1.23</v>
      </c>
      <c r="J100" s="59">
        <v>0.08</v>
      </c>
      <c r="K100" s="59">
        <v>92.57</v>
      </c>
      <c r="L100" s="59">
        <v>24.84</v>
      </c>
      <c r="M100" s="59">
        <v>45.22</v>
      </c>
      <c r="N100" s="59">
        <v>4.3</v>
      </c>
      <c r="O100" s="59">
        <v>0</v>
      </c>
      <c r="P100" s="59">
        <v>2.38</v>
      </c>
      <c r="Q100" s="59">
        <v>38.840000000000003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1396</v>
      </c>
      <c r="B101" s="59">
        <v>87.2</v>
      </c>
      <c r="C101" s="59">
        <v>126.56</v>
      </c>
      <c r="D101" s="59">
        <v>138.81</v>
      </c>
      <c r="E101" s="59">
        <v>5.09</v>
      </c>
      <c r="F101" s="59">
        <v>2.65</v>
      </c>
      <c r="G101" s="59">
        <v>137.47999999999999</v>
      </c>
      <c r="H101" s="59">
        <v>45.81</v>
      </c>
      <c r="I101" s="59">
        <v>1.22</v>
      </c>
      <c r="J101" s="59">
        <v>0.02</v>
      </c>
      <c r="K101" s="59">
        <v>244.52</v>
      </c>
      <c r="L101" s="59">
        <v>24.83</v>
      </c>
      <c r="M101" s="59">
        <v>43.09</v>
      </c>
      <c r="N101" s="59">
        <v>4.5</v>
      </c>
      <c r="O101" s="59">
        <v>0</v>
      </c>
      <c r="P101" s="59">
        <v>2.34</v>
      </c>
      <c r="Q101" s="59">
        <v>39.07</v>
      </c>
      <c r="R101" s="197"/>
      <c r="S101" s="197"/>
      <c r="T101" s="197"/>
      <c r="U101" s="197"/>
    </row>
    <row r="102" spans="1:33" s="12" customFormat="1" x14ac:dyDescent="0.25">
      <c r="A102" s="200" t="s">
        <v>1397</v>
      </c>
      <c r="B102" s="59">
        <v>90.01</v>
      </c>
      <c r="C102" s="59">
        <v>126.62</v>
      </c>
      <c r="D102" s="59">
        <v>141.1</v>
      </c>
      <c r="E102" s="59">
        <v>4.8</v>
      </c>
      <c r="F102" s="59">
        <v>2.82</v>
      </c>
      <c r="G102" s="59">
        <v>137.47999999999999</v>
      </c>
      <c r="H102" s="59">
        <v>45.81</v>
      </c>
      <c r="I102" s="59">
        <v>1.22</v>
      </c>
      <c r="J102" s="59">
        <v>0</v>
      </c>
      <c r="K102" s="59">
        <v>270.31</v>
      </c>
      <c r="L102" s="59">
        <v>24.96</v>
      </c>
      <c r="M102" s="59">
        <v>42.7</v>
      </c>
      <c r="N102" s="59">
        <v>4.3</v>
      </c>
      <c r="O102" s="59">
        <v>0</v>
      </c>
      <c r="P102" s="59">
        <v>2.2000000000000002</v>
      </c>
      <c r="Q102" s="59">
        <v>39.04</v>
      </c>
      <c r="R102" s="197"/>
      <c r="S102" s="197"/>
      <c r="T102" s="197"/>
      <c r="U102" s="197"/>
    </row>
    <row r="103" spans="1:33" s="12" customFormat="1" x14ac:dyDescent="0.25">
      <c r="A103" s="200" t="s">
        <v>1398</v>
      </c>
      <c r="B103" s="59">
        <v>93.6</v>
      </c>
      <c r="C103" s="59">
        <v>125.44</v>
      </c>
      <c r="D103" s="59">
        <v>143.32</v>
      </c>
      <c r="E103" s="59">
        <v>4.21</v>
      </c>
      <c r="F103" s="59">
        <v>2.84</v>
      </c>
      <c r="G103" s="59">
        <v>137.47999999999999</v>
      </c>
      <c r="H103" s="59">
        <v>45.81</v>
      </c>
      <c r="I103" s="59">
        <v>1.23</v>
      </c>
      <c r="J103" s="59">
        <v>0.09</v>
      </c>
      <c r="K103" s="59">
        <v>303.48</v>
      </c>
      <c r="L103" s="59">
        <v>24.6</v>
      </c>
      <c r="M103" s="59">
        <v>47.25</v>
      </c>
      <c r="N103" s="59">
        <v>4.8</v>
      </c>
      <c r="O103" s="59">
        <v>0</v>
      </c>
      <c r="P103" s="59">
        <v>1.94</v>
      </c>
      <c r="Q103" s="59">
        <v>38.78</v>
      </c>
      <c r="R103" s="197"/>
      <c r="S103" s="197"/>
      <c r="T103" s="197"/>
      <c r="U103" s="197"/>
    </row>
    <row r="104" spans="1:33" s="12" customFormat="1" x14ac:dyDescent="0.25">
      <c r="A104" s="200" t="s">
        <v>1399</v>
      </c>
      <c r="B104" s="59">
        <v>94.84</v>
      </c>
      <c r="C104" s="59">
        <v>125.45</v>
      </c>
      <c r="D104" s="59">
        <v>144.32</v>
      </c>
      <c r="E104" s="59">
        <v>2.3199999999999998</v>
      </c>
      <c r="F104" s="59">
        <v>2.88</v>
      </c>
      <c r="G104" s="59">
        <v>103.57</v>
      </c>
      <c r="H104" s="59">
        <v>43.46</v>
      </c>
      <c r="I104" s="59">
        <v>1.06</v>
      </c>
      <c r="J104" s="59">
        <v>0.14000000000000001</v>
      </c>
      <c r="K104" s="59">
        <v>345.59</v>
      </c>
      <c r="L104" s="59">
        <v>24.49</v>
      </c>
      <c r="M104" s="59">
        <v>41.91</v>
      </c>
      <c r="N104" s="59">
        <v>4.5</v>
      </c>
      <c r="O104" s="59">
        <v>0</v>
      </c>
      <c r="P104" s="59">
        <v>1.88</v>
      </c>
      <c r="Q104" s="59">
        <v>37.9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2.29</v>
      </c>
      <c r="C106" s="66">
        <f>MIN(C9:C104)</f>
        <v>99.5</v>
      </c>
      <c r="D106" s="66">
        <f t="shared" ref="D106:Q106" si="0">MIN(D9:D104)</f>
        <v>55.78</v>
      </c>
      <c r="E106" s="66">
        <f t="shared" si="0"/>
        <v>2.13</v>
      </c>
      <c r="F106" s="66">
        <f t="shared" si="0"/>
        <v>1.1200000000000001</v>
      </c>
      <c r="G106" s="66">
        <f t="shared" si="0"/>
        <v>30.53</v>
      </c>
      <c r="H106" s="66">
        <f t="shared" si="0"/>
        <v>18.25</v>
      </c>
      <c r="I106" s="66">
        <f t="shared" si="0"/>
        <v>0.49</v>
      </c>
      <c r="J106" s="66">
        <f t="shared" si="0"/>
        <v>0</v>
      </c>
      <c r="K106" s="66">
        <f t="shared" si="0"/>
        <v>0.18</v>
      </c>
      <c r="L106" s="66">
        <f t="shared" si="0"/>
        <v>20.53</v>
      </c>
      <c r="M106" s="66">
        <f t="shared" si="0"/>
        <v>13.37</v>
      </c>
      <c r="N106" s="66">
        <f t="shared" si="0"/>
        <v>2.1</v>
      </c>
      <c r="O106" s="66">
        <f t="shared" si="0"/>
        <v>0</v>
      </c>
      <c r="P106" s="66">
        <f t="shared" si="0"/>
        <v>0.48</v>
      </c>
      <c r="Q106" s="66">
        <f t="shared" si="0"/>
        <v>29.15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142.65</v>
      </c>
      <c r="C107" s="65">
        <f t="shared" ref="C107:Q107" si="1">MAX(C9:C104)</f>
        <v>127.76</v>
      </c>
      <c r="D107" s="65">
        <f t="shared" si="1"/>
        <v>180.46</v>
      </c>
      <c r="E107" s="65">
        <f t="shared" si="1"/>
        <v>5.92</v>
      </c>
      <c r="F107" s="65">
        <f t="shared" si="1"/>
        <v>8.41</v>
      </c>
      <c r="G107" s="65">
        <f t="shared" si="1"/>
        <v>178.85</v>
      </c>
      <c r="H107" s="65">
        <f t="shared" si="1"/>
        <v>51.91</v>
      </c>
      <c r="I107" s="65">
        <f t="shared" si="1"/>
        <v>1.86</v>
      </c>
      <c r="J107" s="65">
        <f t="shared" si="1"/>
        <v>1.6</v>
      </c>
      <c r="K107" s="65">
        <f t="shared" si="1"/>
        <v>359.65</v>
      </c>
      <c r="L107" s="65">
        <f t="shared" si="1"/>
        <v>38.89</v>
      </c>
      <c r="M107" s="65">
        <f t="shared" si="1"/>
        <v>59.98</v>
      </c>
      <c r="N107" s="65">
        <f t="shared" si="1"/>
        <v>890.4</v>
      </c>
      <c r="O107" s="65">
        <f t="shared" si="1"/>
        <v>0</v>
      </c>
      <c r="P107" s="65">
        <f t="shared" si="1"/>
        <v>4.8499999999999996</v>
      </c>
      <c r="Q107" s="65">
        <f t="shared" si="1"/>
        <v>43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46.112291666666685</v>
      </c>
      <c r="C108" s="66">
        <f t="shared" ref="C108:Q108" si="2">AVERAGE(C9:C104)</f>
        <v>114.32322916666668</v>
      </c>
      <c r="D108" s="66">
        <f t="shared" si="2"/>
        <v>99.107604166666647</v>
      </c>
      <c r="E108" s="66">
        <f t="shared" si="2"/>
        <v>4.1027083333333323</v>
      </c>
      <c r="F108" s="66">
        <f t="shared" si="2"/>
        <v>3.5806249999999999</v>
      </c>
      <c r="G108" s="66">
        <f t="shared" si="2"/>
        <v>87.133260869565163</v>
      </c>
      <c r="H108" s="66">
        <f t="shared" si="2"/>
        <v>35.085652173913033</v>
      </c>
      <c r="I108" s="66">
        <f t="shared" si="2"/>
        <v>0.8755208333333333</v>
      </c>
      <c r="J108" s="66">
        <f t="shared" si="2"/>
        <v>0.37656250000000013</v>
      </c>
      <c r="K108" s="66">
        <f t="shared" si="2"/>
        <v>116.40624999999999</v>
      </c>
      <c r="L108" s="66">
        <f t="shared" si="2"/>
        <v>28.397395833333338</v>
      </c>
      <c r="M108" s="66">
        <f t="shared" si="2"/>
        <v>36.124374999999993</v>
      </c>
      <c r="N108" s="66">
        <f t="shared" si="2"/>
        <v>238.4354166666667</v>
      </c>
      <c r="O108" s="66">
        <f t="shared" si="2"/>
        <v>0</v>
      </c>
      <c r="P108" s="66">
        <f t="shared" si="2"/>
        <v>1.5559375</v>
      </c>
      <c r="Q108" s="66">
        <f t="shared" si="2"/>
        <v>35.10677083333335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40.173294703379284</v>
      </c>
      <c r="C109" s="66">
        <f t="shared" ref="C109:Q109" si="3">STDEV(C9:C104)</f>
        <v>8.5748888585452523</v>
      </c>
      <c r="D109" s="66">
        <f t="shared" si="3"/>
        <v>34.1459822941315</v>
      </c>
      <c r="E109" s="66">
        <f t="shared" si="3"/>
        <v>0.79681006013343036</v>
      </c>
      <c r="F109" s="66">
        <f t="shared" si="3"/>
        <v>1.1380128687645317</v>
      </c>
      <c r="G109" s="66">
        <f t="shared" si="3"/>
        <v>43.279026215119565</v>
      </c>
      <c r="H109" s="66">
        <f t="shared" si="3"/>
        <v>10.189571948471261</v>
      </c>
      <c r="I109" s="66">
        <f t="shared" si="3"/>
        <v>0.34173202733834035</v>
      </c>
      <c r="J109" s="66">
        <f t="shared" si="3"/>
        <v>0.29418872612482483</v>
      </c>
      <c r="K109" s="66">
        <f t="shared" si="3"/>
        <v>113.16581976299912</v>
      </c>
      <c r="L109" s="66">
        <f t="shared" si="3"/>
        <v>5.8116471521087627</v>
      </c>
      <c r="M109" s="66">
        <f t="shared" si="3"/>
        <v>15.089268742527292</v>
      </c>
      <c r="N109" s="66">
        <f t="shared" si="3"/>
        <v>321.32455013884282</v>
      </c>
      <c r="O109" s="66">
        <f t="shared" si="3"/>
        <v>0</v>
      </c>
      <c r="P109" s="66">
        <f t="shared" si="3"/>
        <v>0.92162280002521413</v>
      </c>
      <c r="Q109" s="66">
        <f t="shared" si="3"/>
        <v>3.7326478522670556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92</v>
      </c>
      <c r="H110" s="65">
        <f>COUNT(H9:H104)</f>
        <v>92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3" sqref="G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13-03-2023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1400</v>
      </c>
      <c r="B9" s="59">
        <v>94.3</v>
      </c>
      <c r="C9" s="59">
        <v>124.61</v>
      </c>
      <c r="D9" s="59">
        <v>143.43</v>
      </c>
      <c r="E9" s="59">
        <v>3.91</v>
      </c>
      <c r="F9" s="59">
        <v>2.95</v>
      </c>
      <c r="G9" s="59">
        <v>101.99</v>
      </c>
      <c r="H9" s="59">
        <v>43.35</v>
      </c>
      <c r="I9" s="59">
        <v>0.95</v>
      </c>
      <c r="J9" s="59">
        <v>0.76</v>
      </c>
      <c r="K9" s="59">
        <v>170.06</v>
      </c>
      <c r="L9" s="59">
        <v>24.45</v>
      </c>
      <c r="M9" s="59">
        <v>42.39</v>
      </c>
      <c r="N9" s="59">
        <v>3</v>
      </c>
      <c r="O9" s="59">
        <v>0</v>
      </c>
      <c r="P9" s="59">
        <v>2.0099999999999998</v>
      </c>
      <c r="Q9" s="59">
        <v>37.96</v>
      </c>
      <c r="R9" s="197"/>
      <c r="S9" s="197"/>
      <c r="T9" s="197"/>
      <c r="U9" s="197"/>
    </row>
    <row r="10" spans="1:21" s="12" customFormat="1" x14ac:dyDescent="0.25">
      <c r="A10" s="200" t="s">
        <v>1401</v>
      </c>
      <c r="B10" s="59">
        <v>92.34</v>
      </c>
      <c r="C10" s="59">
        <v>123.59</v>
      </c>
      <c r="D10" s="59">
        <v>141.29</v>
      </c>
      <c r="E10" s="59">
        <v>4.2699999999999996</v>
      </c>
      <c r="F10" s="59">
        <v>3.28</v>
      </c>
      <c r="G10" s="59">
        <v>101.99</v>
      </c>
      <c r="H10" s="59">
        <v>43.35</v>
      </c>
      <c r="I10" s="59">
        <v>0.92</v>
      </c>
      <c r="J10" s="59">
        <v>0.11</v>
      </c>
      <c r="K10" s="59">
        <v>32.78</v>
      </c>
      <c r="L10" s="59">
        <v>24.8</v>
      </c>
      <c r="M10" s="59">
        <v>41.8</v>
      </c>
      <c r="N10" s="59">
        <v>5</v>
      </c>
      <c r="O10" s="59">
        <v>0</v>
      </c>
      <c r="P10" s="59">
        <v>1.35</v>
      </c>
      <c r="Q10" s="59">
        <v>38.130000000000003</v>
      </c>
      <c r="R10" s="197"/>
      <c r="S10" s="197"/>
      <c r="T10" s="197"/>
      <c r="U10" s="197"/>
    </row>
    <row r="11" spans="1:21" s="12" customFormat="1" x14ac:dyDescent="0.25">
      <c r="A11" s="200" t="s">
        <v>1402</v>
      </c>
      <c r="B11" s="59">
        <v>89.62</v>
      </c>
      <c r="C11" s="59">
        <v>122.59</v>
      </c>
      <c r="D11" s="59">
        <v>138.56</v>
      </c>
      <c r="E11" s="59">
        <v>4.24</v>
      </c>
      <c r="F11" s="59">
        <v>3.24</v>
      </c>
      <c r="G11" s="59">
        <v>101.99</v>
      </c>
      <c r="H11" s="59">
        <v>43.35</v>
      </c>
      <c r="I11" s="59">
        <v>0.91</v>
      </c>
      <c r="J11" s="59">
        <v>0.16</v>
      </c>
      <c r="K11" s="59">
        <v>20.309999999999999</v>
      </c>
      <c r="L11" s="59">
        <v>23.7</v>
      </c>
      <c r="M11" s="59">
        <v>45.9</v>
      </c>
      <c r="N11" s="59">
        <v>5.0999999999999996</v>
      </c>
      <c r="O11" s="59">
        <v>0</v>
      </c>
      <c r="P11" s="59">
        <v>1.6</v>
      </c>
      <c r="Q11" s="59">
        <v>38.14</v>
      </c>
      <c r="R11" s="197"/>
      <c r="S11" s="197"/>
      <c r="T11" s="197"/>
      <c r="U11" s="197"/>
    </row>
    <row r="12" spans="1:21" s="12" customFormat="1" x14ac:dyDescent="0.25">
      <c r="A12" s="200" t="s">
        <v>1403</v>
      </c>
      <c r="B12" s="59">
        <v>87.51</v>
      </c>
      <c r="C12" s="59">
        <v>121.53</v>
      </c>
      <c r="D12" s="59">
        <v>136.28</v>
      </c>
      <c r="E12" s="59">
        <v>4.57</v>
      </c>
      <c r="F12" s="59">
        <v>3.45</v>
      </c>
      <c r="G12" s="59">
        <v>88.11</v>
      </c>
      <c r="H12" s="59">
        <v>38.49</v>
      </c>
      <c r="I12" s="59">
        <v>0.87</v>
      </c>
      <c r="J12" s="59">
        <v>0.05</v>
      </c>
      <c r="K12" s="59">
        <v>58.75</v>
      </c>
      <c r="L12" s="59">
        <v>23.49</v>
      </c>
      <c r="M12" s="59">
        <v>46.35</v>
      </c>
      <c r="N12" s="59">
        <v>4.9000000000000004</v>
      </c>
      <c r="O12" s="59">
        <v>0</v>
      </c>
      <c r="P12" s="59">
        <v>1.6</v>
      </c>
      <c r="Q12" s="59">
        <v>38.119999999999997</v>
      </c>
      <c r="R12" s="197"/>
      <c r="S12" s="197"/>
      <c r="T12" s="197"/>
      <c r="U12" s="197"/>
    </row>
    <row r="13" spans="1:21" s="12" customFormat="1" x14ac:dyDescent="0.25">
      <c r="A13" s="200" t="s">
        <v>1404</v>
      </c>
      <c r="B13" s="59">
        <v>85.18</v>
      </c>
      <c r="C13" s="59">
        <v>120.01</v>
      </c>
      <c r="D13" s="59">
        <v>133.57</v>
      </c>
      <c r="E13" s="59">
        <v>4.4000000000000004</v>
      </c>
      <c r="F13" s="59">
        <v>3.29</v>
      </c>
      <c r="G13" s="59">
        <v>87.47</v>
      </c>
      <c r="H13" s="59">
        <v>38.270000000000003</v>
      </c>
      <c r="I13" s="59">
        <v>0.83</v>
      </c>
      <c r="J13" s="59">
        <v>0.18</v>
      </c>
      <c r="K13" s="59">
        <v>271.7</v>
      </c>
      <c r="L13" s="59">
        <v>23.59</v>
      </c>
      <c r="M13" s="59">
        <v>46.26</v>
      </c>
      <c r="N13" s="59">
        <v>4.2</v>
      </c>
      <c r="O13" s="59">
        <v>0</v>
      </c>
      <c r="P13" s="59">
        <v>1.48</v>
      </c>
      <c r="Q13" s="59">
        <v>38.51</v>
      </c>
      <c r="R13" s="197"/>
      <c r="S13" s="197"/>
      <c r="T13" s="197"/>
      <c r="U13" s="197"/>
    </row>
    <row r="14" spans="1:21" s="12" customFormat="1" x14ac:dyDescent="0.25">
      <c r="A14" s="200" t="s">
        <v>1405</v>
      </c>
      <c r="B14" s="59">
        <v>82.01</v>
      </c>
      <c r="C14" s="59">
        <v>119.08</v>
      </c>
      <c r="D14" s="59">
        <v>130.52000000000001</v>
      </c>
      <c r="E14" s="59">
        <v>4.3600000000000003</v>
      </c>
      <c r="F14" s="59">
        <v>3.21</v>
      </c>
      <c r="G14" s="59">
        <v>87.47</v>
      </c>
      <c r="H14" s="59">
        <v>38.270000000000003</v>
      </c>
      <c r="I14" s="59">
        <v>0.81</v>
      </c>
      <c r="J14" s="59">
        <v>0.25</v>
      </c>
      <c r="K14" s="59">
        <v>75.41</v>
      </c>
      <c r="L14" s="59">
        <v>23.38</v>
      </c>
      <c r="M14" s="59">
        <v>49.35</v>
      </c>
      <c r="N14" s="59">
        <v>4.8</v>
      </c>
      <c r="O14" s="59">
        <v>0</v>
      </c>
      <c r="P14" s="59">
        <v>1.9</v>
      </c>
      <c r="Q14" s="59">
        <v>38.840000000000003</v>
      </c>
      <c r="R14" s="197"/>
      <c r="S14" s="197"/>
      <c r="T14" s="197"/>
      <c r="U14" s="197"/>
    </row>
    <row r="15" spans="1:21" s="12" customFormat="1" x14ac:dyDescent="0.25">
      <c r="A15" s="200" t="s">
        <v>1406</v>
      </c>
      <c r="B15" s="59">
        <v>77.56</v>
      </c>
      <c r="C15" s="59">
        <v>117.87</v>
      </c>
      <c r="D15" s="59">
        <v>126.28</v>
      </c>
      <c r="E15" s="59">
        <v>4.3899999999999997</v>
      </c>
      <c r="F15" s="59">
        <v>3.17</v>
      </c>
      <c r="G15" s="59">
        <v>87.47</v>
      </c>
      <c r="H15" s="59">
        <v>38.270000000000003</v>
      </c>
      <c r="I15" s="59">
        <v>0.88</v>
      </c>
      <c r="J15" s="59">
        <v>0.08</v>
      </c>
      <c r="K15" s="59">
        <v>94.07</v>
      </c>
      <c r="L15" s="59">
        <v>23.21</v>
      </c>
      <c r="M15" s="59">
        <v>48.87</v>
      </c>
      <c r="N15" s="59">
        <v>4.8</v>
      </c>
      <c r="O15" s="59">
        <v>0</v>
      </c>
      <c r="P15" s="59">
        <v>1.85</v>
      </c>
      <c r="Q15" s="59">
        <v>39.090000000000003</v>
      </c>
      <c r="R15" s="197"/>
      <c r="S15" s="197"/>
      <c r="T15" s="197"/>
      <c r="U15" s="197"/>
    </row>
    <row r="16" spans="1:21" s="12" customFormat="1" x14ac:dyDescent="0.25">
      <c r="A16" s="200" t="s">
        <v>1407</v>
      </c>
      <c r="B16" s="59">
        <v>73.17</v>
      </c>
      <c r="C16" s="59">
        <v>117.3</v>
      </c>
      <c r="D16" s="59">
        <v>122.45</v>
      </c>
      <c r="E16" s="59">
        <v>4.54</v>
      </c>
      <c r="F16" s="59">
        <v>2.84</v>
      </c>
      <c r="G16" s="59">
        <v>77.45</v>
      </c>
      <c r="H16" s="59">
        <v>35.799999999999997</v>
      </c>
      <c r="I16" s="59">
        <v>1.05</v>
      </c>
      <c r="J16" s="59">
        <v>0.09</v>
      </c>
      <c r="K16" s="59">
        <v>0</v>
      </c>
      <c r="L16" s="59">
        <v>23.08</v>
      </c>
      <c r="M16" s="59">
        <v>51.46</v>
      </c>
      <c r="N16" s="59">
        <v>4.7</v>
      </c>
      <c r="O16" s="59">
        <v>0</v>
      </c>
      <c r="P16" s="59">
        <v>1.78</v>
      </c>
      <c r="Q16" s="59">
        <v>38.69</v>
      </c>
      <c r="R16" s="197"/>
      <c r="S16" s="197"/>
      <c r="T16" s="197"/>
      <c r="U16" s="197"/>
    </row>
    <row r="17" spans="1:21" s="12" customFormat="1" x14ac:dyDescent="0.25">
      <c r="A17" s="200" t="s">
        <v>1408</v>
      </c>
      <c r="B17" s="59">
        <v>68.89</v>
      </c>
      <c r="C17" s="59">
        <v>115.96</v>
      </c>
      <c r="D17" s="59">
        <v>118.28</v>
      </c>
      <c r="E17" s="59">
        <v>4.68</v>
      </c>
      <c r="F17" s="59">
        <v>3.01</v>
      </c>
      <c r="G17" s="59">
        <v>76.86</v>
      </c>
      <c r="H17" s="59">
        <v>35.65</v>
      </c>
      <c r="I17" s="59">
        <v>1.1000000000000001</v>
      </c>
      <c r="J17" s="59">
        <v>0.05</v>
      </c>
      <c r="K17" s="59">
        <v>78.83</v>
      </c>
      <c r="L17" s="59">
        <v>23.17</v>
      </c>
      <c r="M17" s="59">
        <v>52.9</v>
      </c>
      <c r="N17" s="59">
        <v>3.8</v>
      </c>
      <c r="O17" s="59">
        <v>0</v>
      </c>
      <c r="P17" s="59">
        <v>1.72</v>
      </c>
      <c r="Q17" s="59">
        <v>38.43</v>
      </c>
      <c r="R17" s="197"/>
      <c r="S17" s="197"/>
      <c r="T17" s="197"/>
      <c r="U17" s="197"/>
    </row>
    <row r="18" spans="1:21" s="12" customFormat="1" x14ac:dyDescent="0.25">
      <c r="A18" s="200" t="s">
        <v>1409</v>
      </c>
      <c r="B18" s="59">
        <v>64.510000000000005</v>
      </c>
      <c r="C18" s="59">
        <v>115.09</v>
      </c>
      <c r="D18" s="59">
        <v>114.29</v>
      </c>
      <c r="E18" s="59">
        <v>4.5</v>
      </c>
      <c r="F18" s="59">
        <v>2.93</v>
      </c>
      <c r="G18" s="59">
        <v>76.86</v>
      </c>
      <c r="H18" s="59">
        <v>35.65</v>
      </c>
      <c r="I18" s="59">
        <v>1.08</v>
      </c>
      <c r="J18" s="59">
        <v>0.72</v>
      </c>
      <c r="K18" s="59">
        <v>32.49</v>
      </c>
      <c r="L18" s="59">
        <v>23.69</v>
      </c>
      <c r="M18" s="59">
        <v>47.59</v>
      </c>
      <c r="N18" s="59">
        <v>3.3</v>
      </c>
      <c r="O18" s="59">
        <v>0</v>
      </c>
      <c r="P18" s="59">
        <v>1.66</v>
      </c>
      <c r="Q18" s="59">
        <v>38.04</v>
      </c>
      <c r="R18" s="197"/>
      <c r="S18" s="197"/>
      <c r="T18" s="197"/>
      <c r="U18" s="197"/>
    </row>
    <row r="19" spans="1:21" s="12" customFormat="1" x14ac:dyDescent="0.25">
      <c r="A19" s="200" t="s">
        <v>1410</v>
      </c>
      <c r="B19" s="59">
        <v>60</v>
      </c>
      <c r="C19" s="59">
        <v>115.37</v>
      </c>
      <c r="D19" s="59">
        <v>110.82</v>
      </c>
      <c r="E19" s="59">
        <v>4.99</v>
      </c>
      <c r="F19" s="59">
        <v>2.99</v>
      </c>
      <c r="G19" s="59">
        <v>76.86</v>
      </c>
      <c r="H19" s="59">
        <v>35.65</v>
      </c>
      <c r="I19" s="59">
        <v>0.98</v>
      </c>
      <c r="J19" s="59">
        <v>0.23</v>
      </c>
      <c r="K19" s="59">
        <v>19.989999999999998</v>
      </c>
      <c r="L19" s="59">
        <v>23.69</v>
      </c>
      <c r="M19" s="59">
        <v>46.71</v>
      </c>
      <c r="N19" s="59">
        <v>5</v>
      </c>
      <c r="O19" s="59">
        <v>0</v>
      </c>
      <c r="P19" s="59">
        <v>1.63</v>
      </c>
      <c r="Q19" s="59">
        <v>37.6</v>
      </c>
      <c r="R19" s="197"/>
      <c r="S19" s="197"/>
      <c r="T19" s="197"/>
      <c r="U19" s="197"/>
    </row>
    <row r="20" spans="1:21" s="12" customFormat="1" x14ac:dyDescent="0.25">
      <c r="A20" s="200" t="s">
        <v>1411</v>
      </c>
      <c r="B20" s="59">
        <v>56.15</v>
      </c>
      <c r="C20" s="59">
        <v>116.08</v>
      </c>
      <c r="D20" s="59">
        <v>108.13</v>
      </c>
      <c r="E20" s="59">
        <v>4.93</v>
      </c>
      <c r="F20" s="59">
        <v>2.92</v>
      </c>
      <c r="G20" s="59">
        <v>91.64</v>
      </c>
      <c r="H20" s="59">
        <v>37.33</v>
      </c>
      <c r="I20" s="59">
        <v>0.99</v>
      </c>
      <c r="J20" s="59">
        <v>0.83</v>
      </c>
      <c r="K20" s="59">
        <v>162.35</v>
      </c>
      <c r="L20" s="59">
        <v>24.09</v>
      </c>
      <c r="M20" s="59">
        <v>43.91</v>
      </c>
      <c r="N20" s="59">
        <v>2.5</v>
      </c>
      <c r="O20" s="59">
        <v>0</v>
      </c>
      <c r="P20" s="59">
        <v>1.62</v>
      </c>
      <c r="Q20" s="59">
        <v>37.04</v>
      </c>
      <c r="R20" s="197"/>
      <c r="S20" s="197"/>
      <c r="T20" s="197"/>
      <c r="U20" s="197"/>
    </row>
    <row r="21" spans="1:21" s="12" customFormat="1" x14ac:dyDescent="0.25">
      <c r="A21" s="200" t="s">
        <v>1412</v>
      </c>
      <c r="B21" s="59">
        <v>53.38</v>
      </c>
      <c r="C21" s="59">
        <v>115.63</v>
      </c>
      <c r="D21" s="59">
        <v>105.66</v>
      </c>
      <c r="E21" s="59">
        <v>4.59</v>
      </c>
      <c r="F21" s="59">
        <v>2.91</v>
      </c>
      <c r="G21" s="59">
        <v>92.33</v>
      </c>
      <c r="H21" s="59">
        <v>37.409999999999997</v>
      </c>
      <c r="I21" s="59">
        <v>1.01</v>
      </c>
      <c r="J21" s="59">
        <v>0.34</v>
      </c>
      <c r="K21" s="59">
        <v>97.07</v>
      </c>
      <c r="L21" s="59">
        <v>24.87</v>
      </c>
      <c r="M21" s="59">
        <v>40.42</v>
      </c>
      <c r="N21" s="59">
        <v>4.5999999999999996</v>
      </c>
      <c r="O21" s="59">
        <v>0</v>
      </c>
      <c r="P21" s="59">
        <v>1.73</v>
      </c>
      <c r="Q21" s="59">
        <v>36.68</v>
      </c>
      <c r="R21" s="197"/>
      <c r="S21" s="197"/>
      <c r="T21" s="197"/>
      <c r="U21" s="197"/>
    </row>
    <row r="22" spans="1:21" s="12" customFormat="1" x14ac:dyDescent="0.25">
      <c r="A22" s="200" t="s">
        <v>1413</v>
      </c>
      <c r="B22" s="59">
        <v>51.82</v>
      </c>
      <c r="C22" s="59">
        <v>115.9</v>
      </c>
      <c r="D22" s="59">
        <v>104.56</v>
      </c>
      <c r="E22" s="59">
        <v>4.17</v>
      </c>
      <c r="F22" s="59">
        <v>2.97</v>
      </c>
      <c r="G22" s="59">
        <v>92.33</v>
      </c>
      <c r="H22" s="59">
        <v>37.409999999999997</v>
      </c>
      <c r="I22" s="59">
        <v>0.98</v>
      </c>
      <c r="J22" s="59">
        <v>0.43</v>
      </c>
      <c r="K22" s="59">
        <v>168.07</v>
      </c>
      <c r="L22" s="59">
        <v>24.06</v>
      </c>
      <c r="M22" s="59">
        <v>44.26</v>
      </c>
      <c r="N22" s="59">
        <v>4.4000000000000004</v>
      </c>
      <c r="O22" s="59">
        <v>0</v>
      </c>
      <c r="P22" s="59">
        <v>1.64</v>
      </c>
      <c r="Q22" s="59">
        <v>36.04</v>
      </c>
      <c r="R22" s="197"/>
      <c r="S22" s="197"/>
      <c r="T22" s="197"/>
      <c r="U22" s="197"/>
    </row>
    <row r="23" spans="1:21" s="12" customFormat="1" x14ac:dyDescent="0.25">
      <c r="A23" s="200" t="s">
        <v>1414</v>
      </c>
      <c r="B23" s="59">
        <v>50.69</v>
      </c>
      <c r="C23" s="59">
        <v>116.57</v>
      </c>
      <c r="D23" s="59">
        <v>104.01</v>
      </c>
      <c r="E23" s="59">
        <v>4.2</v>
      </c>
      <c r="F23" s="59">
        <v>2.81</v>
      </c>
      <c r="G23" s="59">
        <v>92.33</v>
      </c>
      <c r="H23" s="59">
        <v>37.409999999999997</v>
      </c>
      <c r="I23" s="59">
        <v>0.85</v>
      </c>
      <c r="J23" s="59">
        <v>0.13</v>
      </c>
      <c r="K23" s="59">
        <v>242.44</v>
      </c>
      <c r="L23" s="59">
        <v>23.99</v>
      </c>
      <c r="M23" s="59">
        <v>44.63</v>
      </c>
      <c r="N23" s="59">
        <v>5.0999999999999996</v>
      </c>
      <c r="O23" s="59">
        <v>0</v>
      </c>
      <c r="P23" s="59">
        <v>1.62</v>
      </c>
      <c r="Q23" s="59">
        <v>35.880000000000003</v>
      </c>
      <c r="R23" s="197"/>
      <c r="S23" s="197"/>
      <c r="T23" s="197"/>
      <c r="U23" s="197"/>
    </row>
    <row r="24" spans="1:21" s="12" customFormat="1" x14ac:dyDescent="0.25">
      <c r="A24" s="200" t="s">
        <v>1415</v>
      </c>
      <c r="B24" s="59">
        <v>49.91</v>
      </c>
      <c r="C24" s="59">
        <v>117.08</v>
      </c>
      <c r="D24" s="59">
        <v>103.67</v>
      </c>
      <c r="E24" s="59">
        <v>1.95</v>
      </c>
      <c r="F24" s="59">
        <v>2.94</v>
      </c>
      <c r="G24" s="59">
        <v>141.79</v>
      </c>
      <c r="H24" s="59">
        <v>48.36</v>
      </c>
      <c r="I24" s="59">
        <v>0.84</v>
      </c>
      <c r="J24" s="59">
        <v>0.16</v>
      </c>
      <c r="K24" s="59">
        <v>23.06</v>
      </c>
      <c r="L24" s="59">
        <v>22.61</v>
      </c>
      <c r="M24" s="59">
        <v>53.17</v>
      </c>
      <c r="N24" s="59">
        <v>5.6</v>
      </c>
      <c r="O24" s="59">
        <v>0</v>
      </c>
      <c r="P24" s="59">
        <v>1.65</v>
      </c>
      <c r="Q24" s="59">
        <v>35.83</v>
      </c>
      <c r="R24" s="197"/>
      <c r="S24" s="197"/>
      <c r="T24" s="197"/>
      <c r="U24" s="197"/>
    </row>
    <row r="25" spans="1:21" s="12" customFormat="1" x14ac:dyDescent="0.25">
      <c r="A25" s="200" t="s">
        <v>1416</v>
      </c>
      <c r="B25" s="59">
        <v>49.39</v>
      </c>
      <c r="C25" s="59">
        <v>116.31</v>
      </c>
      <c r="D25" s="59">
        <v>102.84</v>
      </c>
      <c r="E25" s="59">
        <v>3.37</v>
      </c>
      <c r="F25" s="59">
        <v>3.07</v>
      </c>
      <c r="G25" s="59">
        <v>144.69999999999999</v>
      </c>
      <c r="H25" s="59">
        <v>48.87</v>
      </c>
      <c r="I25" s="59">
        <v>0.85</v>
      </c>
      <c r="J25" s="59">
        <v>0.18</v>
      </c>
      <c r="K25" s="59">
        <v>251.51</v>
      </c>
      <c r="L25" s="59">
        <v>22.5</v>
      </c>
      <c r="M25" s="59">
        <v>49.28</v>
      </c>
      <c r="N25" s="59">
        <v>4.7</v>
      </c>
      <c r="O25" s="59">
        <v>0</v>
      </c>
      <c r="P25" s="59">
        <v>1.56</v>
      </c>
      <c r="Q25" s="59">
        <v>36.24</v>
      </c>
      <c r="R25" s="197"/>
      <c r="S25" s="197"/>
      <c r="T25" s="197"/>
      <c r="U25" s="197"/>
    </row>
    <row r="26" spans="1:21" s="12" customFormat="1" x14ac:dyDescent="0.25">
      <c r="A26" s="200" t="s">
        <v>1417</v>
      </c>
      <c r="B26" s="59">
        <v>48.74</v>
      </c>
      <c r="C26" s="59">
        <v>115.62</v>
      </c>
      <c r="D26" s="59">
        <v>101.93</v>
      </c>
      <c r="E26" s="59">
        <v>4.3600000000000003</v>
      </c>
      <c r="F26" s="59">
        <v>3.03</v>
      </c>
      <c r="G26" s="59">
        <v>144.69999999999999</v>
      </c>
      <c r="H26" s="59">
        <v>48.87</v>
      </c>
      <c r="I26" s="59">
        <v>0.87</v>
      </c>
      <c r="J26" s="59">
        <v>0.08</v>
      </c>
      <c r="K26" s="59">
        <v>265.7</v>
      </c>
      <c r="L26" s="59">
        <v>22.68</v>
      </c>
      <c r="M26" s="59">
        <v>49.02</v>
      </c>
      <c r="N26" s="59">
        <v>4.4000000000000004</v>
      </c>
      <c r="O26" s="59">
        <v>0</v>
      </c>
      <c r="P26" s="59">
        <v>1.57</v>
      </c>
      <c r="Q26" s="59">
        <v>36.450000000000003</v>
      </c>
      <c r="R26" s="197"/>
      <c r="S26" s="197"/>
      <c r="T26" s="197"/>
      <c r="U26" s="197"/>
    </row>
    <row r="27" spans="1:21" s="12" customFormat="1" x14ac:dyDescent="0.25">
      <c r="A27" s="200" t="s">
        <v>1418</v>
      </c>
      <c r="B27" s="59">
        <v>48.74</v>
      </c>
      <c r="C27" s="59">
        <v>114.68</v>
      </c>
      <c r="D27" s="59">
        <v>101.42</v>
      </c>
      <c r="E27" s="59">
        <v>4.3899999999999997</v>
      </c>
      <c r="F27" s="59">
        <v>2.99</v>
      </c>
      <c r="G27" s="59">
        <v>144.69999999999999</v>
      </c>
      <c r="H27" s="59">
        <v>48.87</v>
      </c>
      <c r="I27" s="59">
        <v>0.91</v>
      </c>
      <c r="J27" s="59">
        <v>0.16</v>
      </c>
      <c r="K27" s="59">
        <v>268.25</v>
      </c>
      <c r="L27" s="59">
        <v>21.95</v>
      </c>
      <c r="M27" s="59">
        <v>53.72</v>
      </c>
      <c r="N27" s="59">
        <v>5</v>
      </c>
      <c r="O27" s="59">
        <v>0</v>
      </c>
      <c r="P27" s="59">
        <v>1.61</v>
      </c>
      <c r="Q27" s="59">
        <v>36.44</v>
      </c>
      <c r="R27" s="197"/>
      <c r="S27" s="197"/>
      <c r="T27" s="197"/>
      <c r="U27" s="197"/>
    </row>
    <row r="28" spans="1:21" s="12" customFormat="1" x14ac:dyDescent="0.25">
      <c r="A28" s="200" t="s">
        <v>1419</v>
      </c>
      <c r="B28" s="59">
        <v>48.67</v>
      </c>
      <c r="C28" s="59">
        <v>114.13</v>
      </c>
      <c r="D28" s="59">
        <v>101.05</v>
      </c>
      <c r="E28" s="59">
        <v>3.92</v>
      </c>
      <c r="F28" s="59">
        <v>3.04</v>
      </c>
      <c r="G28" s="59">
        <v>125.09</v>
      </c>
      <c r="H28" s="59">
        <v>48.58</v>
      </c>
      <c r="I28" s="59">
        <v>0.84</v>
      </c>
      <c r="J28" s="59">
        <v>0.11</v>
      </c>
      <c r="K28" s="59">
        <v>262.82</v>
      </c>
      <c r="L28" s="59">
        <v>22.09</v>
      </c>
      <c r="M28" s="59">
        <v>50.12</v>
      </c>
      <c r="N28" s="59">
        <v>4.5999999999999996</v>
      </c>
      <c r="O28" s="59">
        <v>0</v>
      </c>
      <c r="P28" s="59">
        <v>1.58</v>
      </c>
      <c r="Q28" s="59">
        <v>36.590000000000003</v>
      </c>
      <c r="R28" s="197"/>
      <c r="S28" s="197"/>
      <c r="T28" s="197"/>
      <c r="U28" s="197"/>
    </row>
    <row r="29" spans="1:21" s="12" customFormat="1" x14ac:dyDescent="0.25">
      <c r="A29" s="200" t="s">
        <v>1420</v>
      </c>
      <c r="B29" s="59">
        <v>48.46</v>
      </c>
      <c r="C29" s="59">
        <v>113.38</v>
      </c>
      <c r="D29" s="59">
        <v>100.47</v>
      </c>
      <c r="E29" s="59">
        <v>3.95</v>
      </c>
      <c r="F29" s="59">
        <v>3.28</v>
      </c>
      <c r="G29" s="59">
        <v>124.17</v>
      </c>
      <c r="H29" s="59">
        <v>48.56</v>
      </c>
      <c r="I29" s="59">
        <v>0.84</v>
      </c>
      <c r="J29" s="59">
        <v>0.14000000000000001</v>
      </c>
      <c r="K29" s="59">
        <v>338.37</v>
      </c>
      <c r="L29" s="59">
        <v>21.65</v>
      </c>
      <c r="M29" s="59">
        <v>52.18</v>
      </c>
      <c r="N29" s="59">
        <v>4.8</v>
      </c>
      <c r="O29" s="59">
        <v>0</v>
      </c>
      <c r="P29" s="59">
        <v>1.6</v>
      </c>
      <c r="Q29" s="59">
        <v>37.229999999999997</v>
      </c>
      <c r="R29" s="197"/>
      <c r="S29" s="197"/>
      <c r="T29" s="197"/>
      <c r="U29" s="197"/>
    </row>
    <row r="30" spans="1:21" s="12" customFormat="1" x14ac:dyDescent="0.25">
      <c r="A30" s="200" t="s">
        <v>1421</v>
      </c>
      <c r="B30" s="59">
        <v>50.49</v>
      </c>
      <c r="C30" s="59">
        <v>112.38</v>
      </c>
      <c r="D30" s="59">
        <v>101.54</v>
      </c>
      <c r="E30" s="59">
        <v>4.3499999999999996</v>
      </c>
      <c r="F30" s="59">
        <v>3.15</v>
      </c>
      <c r="G30" s="59">
        <v>124.17</v>
      </c>
      <c r="H30" s="59">
        <v>48.56</v>
      </c>
      <c r="I30" s="59">
        <v>0.89</v>
      </c>
      <c r="J30" s="59">
        <v>0.08</v>
      </c>
      <c r="K30" s="59">
        <v>316.11</v>
      </c>
      <c r="L30" s="59">
        <v>21.35</v>
      </c>
      <c r="M30" s="59">
        <v>54.59</v>
      </c>
      <c r="N30" s="59">
        <v>4.9000000000000004</v>
      </c>
      <c r="O30" s="59">
        <v>0</v>
      </c>
      <c r="P30" s="59">
        <v>1.6</v>
      </c>
      <c r="Q30" s="59">
        <v>37.26</v>
      </c>
      <c r="R30" s="197"/>
      <c r="S30" s="197"/>
      <c r="T30" s="197"/>
      <c r="U30" s="197"/>
    </row>
    <row r="31" spans="1:21" s="12" customFormat="1" x14ac:dyDescent="0.25">
      <c r="A31" s="200" t="s">
        <v>1422</v>
      </c>
      <c r="B31" s="59">
        <v>53.43</v>
      </c>
      <c r="C31" s="59">
        <v>111.82</v>
      </c>
      <c r="D31" s="59">
        <v>103.6</v>
      </c>
      <c r="E31" s="59">
        <v>4.71</v>
      </c>
      <c r="F31" s="59">
        <v>3.04</v>
      </c>
      <c r="G31" s="59">
        <v>124.17</v>
      </c>
      <c r="H31" s="59">
        <v>48.56</v>
      </c>
      <c r="I31" s="59">
        <v>0.89</v>
      </c>
      <c r="J31" s="59">
        <v>0.12</v>
      </c>
      <c r="K31" s="59">
        <v>108.79</v>
      </c>
      <c r="L31" s="59">
        <v>21.81</v>
      </c>
      <c r="M31" s="59">
        <v>53.05</v>
      </c>
      <c r="N31" s="59">
        <v>4.0999999999999996</v>
      </c>
      <c r="O31" s="59">
        <v>0</v>
      </c>
      <c r="P31" s="59">
        <v>1.6</v>
      </c>
      <c r="Q31" s="59">
        <v>37.22</v>
      </c>
      <c r="R31" s="197"/>
      <c r="S31" s="197"/>
      <c r="T31" s="197"/>
      <c r="U31" s="197"/>
    </row>
    <row r="32" spans="1:21" s="12" customFormat="1" x14ac:dyDescent="0.25">
      <c r="A32" s="200" t="s">
        <v>1423</v>
      </c>
      <c r="B32" s="59">
        <v>54.35</v>
      </c>
      <c r="C32" s="59">
        <v>111.38</v>
      </c>
      <c r="D32" s="59">
        <v>104.09</v>
      </c>
      <c r="E32" s="59">
        <v>4.6500000000000004</v>
      </c>
      <c r="F32" s="59">
        <v>3</v>
      </c>
      <c r="G32" s="59">
        <v>129.93</v>
      </c>
      <c r="H32" s="59">
        <v>48.28</v>
      </c>
      <c r="I32" s="59">
        <v>0.87</v>
      </c>
      <c r="J32" s="59">
        <v>0.2</v>
      </c>
      <c r="K32" s="59">
        <v>263.76</v>
      </c>
      <c r="L32" s="59">
        <v>21.89</v>
      </c>
      <c r="M32" s="59">
        <v>52.83</v>
      </c>
      <c r="N32" s="59">
        <v>4.7</v>
      </c>
      <c r="O32" s="59">
        <v>0</v>
      </c>
      <c r="P32" s="59">
        <v>1.59</v>
      </c>
      <c r="Q32" s="59">
        <v>36.99</v>
      </c>
      <c r="R32" s="197"/>
      <c r="S32" s="197"/>
      <c r="T32" s="197"/>
      <c r="U32" s="197"/>
    </row>
    <row r="33" spans="1:21" s="12" customFormat="1" x14ac:dyDescent="0.25">
      <c r="A33" s="200" t="s">
        <v>1424</v>
      </c>
      <c r="B33" s="59">
        <v>54.86</v>
      </c>
      <c r="C33" s="59">
        <v>111.04</v>
      </c>
      <c r="D33" s="59">
        <v>104.32</v>
      </c>
      <c r="E33" s="59">
        <v>4.41</v>
      </c>
      <c r="F33" s="59">
        <v>3.19</v>
      </c>
      <c r="G33" s="59">
        <v>130.27000000000001</v>
      </c>
      <c r="H33" s="59">
        <v>48.27</v>
      </c>
      <c r="I33" s="59">
        <v>0.86</v>
      </c>
      <c r="J33" s="59">
        <v>0.22</v>
      </c>
      <c r="K33" s="59">
        <v>84.69</v>
      </c>
      <c r="L33" s="59">
        <v>21.88</v>
      </c>
      <c r="M33" s="59">
        <v>52.16</v>
      </c>
      <c r="N33" s="59">
        <v>8</v>
      </c>
      <c r="O33" s="59">
        <v>0</v>
      </c>
      <c r="P33" s="59">
        <v>1.59</v>
      </c>
      <c r="Q33" s="59">
        <v>36.9</v>
      </c>
      <c r="R33" s="197"/>
      <c r="S33" s="197"/>
      <c r="T33" s="197"/>
      <c r="U33" s="197"/>
    </row>
    <row r="34" spans="1:21" s="12" customFormat="1" x14ac:dyDescent="0.25">
      <c r="A34" s="200" t="s">
        <v>1425</v>
      </c>
      <c r="B34" s="59">
        <v>56.11</v>
      </c>
      <c r="C34" s="59">
        <v>111.71</v>
      </c>
      <c r="D34" s="59">
        <v>105.68</v>
      </c>
      <c r="E34" s="59">
        <v>4.5999999999999996</v>
      </c>
      <c r="F34" s="59">
        <v>2.92</v>
      </c>
      <c r="G34" s="59">
        <v>130.27000000000001</v>
      </c>
      <c r="H34" s="59">
        <v>48.27</v>
      </c>
      <c r="I34" s="59">
        <v>0.85</v>
      </c>
      <c r="J34" s="59">
        <v>0.22</v>
      </c>
      <c r="K34" s="59">
        <v>52.23</v>
      </c>
      <c r="L34" s="59">
        <v>22.23</v>
      </c>
      <c r="M34" s="59">
        <v>47.25</v>
      </c>
      <c r="N34" s="59">
        <v>19.899999999999999</v>
      </c>
      <c r="O34" s="59">
        <v>0</v>
      </c>
      <c r="P34" s="59">
        <v>1.58</v>
      </c>
      <c r="Q34" s="59">
        <v>36.840000000000003</v>
      </c>
      <c r="R34" s="197"/>
      <c r="S34" s="197"/>
      <c r="T34" s="197"/>
      <c r="U34" s="197"/>
    </row>
    <row r="35" spans="1:21" s="12" customFormat="1" x14ac:dyDescent="0.25">
      <c r="A35" s="200" t="s">
        <v>1426</v>
      </c>
      <c r="B35" s="59">
        <v>57.59</v>
      </c>
      <c r="C35" s="59">
        <v>112.79</v>
      </c>
      <c r="D35" s="59">
        <v>107.46</v>
      </c>
      <c r="E35" s="59">
        <v>4.3899999999999997</v>
      </c>
      <c r="F35" s="59">
        <v>2.92</v>
      </c>
      <c r="G35" s="59">
        <v>130.27000000000001</v>
      </c>
      <c r="H35" s="59">
        <v>48.27</v>
      </c>
      <c r="I35" s="59">
        <v>0.85</v>
      </c>
      <c r="J35" s="59">
        <v>0.39</v>
      </c>
      <c r="K35" s="59">
        <v>28.48</v>
      </c>
      <c r="L35" s="59">
        <v>22.7</v>
      </c>
      <c r="M35" s="59">
        <v>43.78</v>
      </c>
      <c r="N35" s="59">
        <v>40.299999999999997</v>
      </c>
      <c r="O35" s="59">
        <v>0</v>
      </c>
      <c r="P35" s="59">
        <v>1.39</v>
      </c>
      <c r="Q35" s="59">
        <v>36.57</v>
      </c>
      <c r="R35" s="197"/>
      <c r="S35" s="197"/>
      <c r="T35" s="197"/>
      <c r="U35" s="197"/>
    </row>
    <row r="36" spans="1:21" s="12" customFormat="1" x14ac:dyDescent="0.25">
      <c r="A36" s="200" t="s">
        <v>1427</v>
      </c>
      <c r="B36" s="59">
        <v>58.25</v>
      </c>
      <c r="C36" s="59">
        <v>113.51</v>
      </c>
      <c r="D36" s="59">
        <v>108.4</v>
      </c>
      <c r="E36" s="59">
        <v>3.8</v>
      </c>
      <c r="F36" s="59">
        <v>3.01</v>
      </c>
      <c r="G36" s="59">
        <v>112.12</v>
      </c>
      <c r="H36" s="59">
        <v>49.4</v>
      </c>
      <c r="I36" s="59">
        <v>0.83</v>
      </c>
      <c r="J36" s="59">
        <v>0.17</v>
      </c>
      <c r="K36" s="59">
        <v>84.32</v>
      </c>
      <c r="L36" s="59">
        <v>23.72</v>
      </c>
      <c r="M36" s="59">
        <v>40.96</v>
      </c>
      <c r="N36" s="59">
        <v>78.2</v>
      </c>
      <c r="O36" s="59">
        <v>0</v>
      </c>
      <c r="P36" s="59">
        <v>1.52</v>
      </c>
      <c r="Q36" s="59">
        <v>36.14</v>
      </c>
      <c r="R36" s="197"/>
      <c r="S36" s="197"/>
      <c r="T36" s="197"/>
      <c r="U36" s="197"/>
    </row>
    <row r="37" spans="1:21" s="12" customFormat="1" x14ac:dyDescent="0.25">
      <c r="A37" s="200" t="s">
        <v>1428</v>
      </c>
      <c r="B37" s="59">
        <v>58.29</v>
      </c>
      <c r="C37" s="59">
        <v>114.8</v>
      </c>
      <c r="D37" s="59">
        <v>109.14</v>
      </c>
      <c r="E37" s="59">
        <v>4.46</v>
      </c>
      <c r="F37" s="59">
        <v>3.16</v>
      </c>
      <c r="G37" s="59">
        <v>111.27</v>
      </c>
      <c r="H37" s="59">
        <v>49.45</v>
      </c>
      <c r="I37" s="59">
        <v>0.72</v>
      </c>
      <c r="J37" s="59">
        <v>0.26</v>
      </c>
      <c r="K37" s="59">
        <v>27.32</v>
      </c>
      <c r="L37" s="59">
        <v>25.11</v>
      </c>
      <c r="M37" s="59">
        <v>39.619999999999997</v>
      </c>
      <c r="N37" s="59">
        <v>119.3</v>
      </c>
      <c r="O37" s="59">
        <v>0</v>
      </c>
      <c r="P37" s="59">
        <v>1.46</v>
      </c>
      <c r="Q37" s="59">
        <v>35.86</v>
      </c>
      <c r="R37" s="197"/>
      <c r="S37" s="197"/>
      <c r="T37" s="197"/>
      <c r="U37" s="197"/>
    </row>
    <row r="38" spans="1:21" s="12" customFormat="1" x14ac:dyDescent="0.25">
      <c r="A38" s="200" t="s">
        <v>1429</v>
      </c>
      <c r="B38" s="59">
        <v>58.23</v>
      </c>
      <c r="C38" s="59">
        <v>115.55</v>
      </c>
      <c r="D38" s="59">
        <v>109.51</v>
      </c>
      <c r="E38" s="59">
        <v>4.22</v>
      </c>
      <c r="F38" s="59">
        <v>3.13</v>
      </c>
      <c r="G38" s="59">
        <v>111.27</v>
      </c>
      <c r="H38" s="59">
        <v>49.45</v>
      </c>
      <c r="I38" s="59">
        <v>0.71</v>
      </c>
      <c r="J38" s="59">
        <v>0.48</v>
      </c>
      <c r="K38" s="59">
        <v>27.14</v>
      </c>
      <c r="L38" s="59">
        <v>26.51</v>
      </c>
      <c r="M38" s="59">
        <v>36.450000000000003</v>
      </c>
      <c r="N38" s="59">
        <v>165.1</v>
      </c>
      <c r="O38" s="59">
        <v>0</v>
      </c>
      <c r="P38" s="59">
        <v>1.42</v>
      </c>
      <c r="Q38" s="59">
        <v>35.93</v>
      </c>
      <c r="R38" s="197"/>
      <c r="S38" s="197"/>
      <c r="T38" s="197"/>
      <c r="U38" s="197"/>
    </row>
    <row r="39" spans="1:21" s="12" customFormat="1" x14ac:dyDescent="0.25">
      <c r="A39" s="200" t="s">
        <v>1430</v>
      </c>
      <c r="B39" s="59">
        <v>57.85</v>
      </c>
      <c r="C39" s="59">
        <v>115.95</v>
      </c>
      <c r="D39" s="59">
        <v>109.42</v>
      </c>
      <c r="E39" s="59">
        <v>4.26</v>
      </c>
      <c r="F39" s="59">
        <v>3.46</v>
      </c>
      <c r="G39" s="59">
        <v>111.27</v>
      </c>
      <c r="H39" s="59">
        <v>49.45</v>
      </c>
      <c r="I39" s="59">
        <v>0.76</v>
      </c>
      <c r="J39" s="59">
        <v>0.61</v>
      </c>
      <c r="K39" s="59">
        <v>31.5</v>
      </c>
      <c r="L39" s="59">
        <v>27.83</v>
      </c>
      <c r="M39" s="59">
        <v>33.020000000000003</v>
      </c>
      <c r="N39" s="59">
        <v>214.2</v>
      </c>
      <c r="O39" s="59">
        <v>0</v>
      </c>
      <c r="P39" s="59">
        <v>1.43</v>
      </c>
      <c r="Q39" s="59">
        <v>36.03</v>
      </c>
      <c r="R39" s="197"/>
      <c r="S39" s="197"/>
      <c r="T39" s="197"/>
      <c r="U39" s="197"/>
    </row>
    <row r="40" spans="1:21" s="12" customFormat="1" x14ac:dyDescent="0.25">
      <c r="A40" s="200" t="s">
        <v>1431</v>
      </c>
      <c r="B40" s="59">
        <v>56.72</v>
      </c>
      <c r="C40" s="59">
        <v>116.9</v>
      </c>
      <c r="D40" s="59">
        <v>109.04</v>
      </c>
      <c r="E40" s="59">
        <v>2.5099999999999998</v>
      </c>
      <c r="F40" s="59">
        <v>3.15</v>
      </c>
      <c r="G40" s="59">
        <v>104.78</v>
      </c>
      <c r="H40" s="59">
        <v>47.63</v>
      </c>
      <c r="I40" s="59">
        <v>0.72</v>
      </c>
      <c r="J40" s="59">
        <v>0.64</v>
      </c>
      <c r="K40" s="59">
        <v>32.700000000000003</v>
      </c>
      <c r="L40" s="59">
        <v>29.2</v>
      </c>
      <c r="M40" s="59">
        <v>30.6</v>
      </c>
      <c r="N40" s="59">
        <v>261.8</v>
      </c>
      <c r="O40" s="59">
        <v>0</v>
      </c>
      <c r="P40" s="59">
        <v>1.47</v>
      </c>
      <c r="Q40" s="59">
        <v>35.85</v>
      </c>
      <c r="R40" s="197"/>
      <c r="S40" s="197"/>
      <c r="T40" s="197"/>
      <c r="U40" s="197"/>
    </row>
    <row r="41" spans="1:21" s="12" customFormat="1" x14ac:dyDescent="0.25">
      <c r="A41" s="200" t="s">
        <v>1432</v>
      </c>
      <c r="B41" s="59">
        <v>55.22</v>
      </c>
      <c r="C41" s="59">
        <v>117.08</v>
      </c>
      <c r="D41" s="59">
        <v>107.94</v>
      </c>
      <c r="E41" s="59">
        <v>4.07</v>
      </c>
      <c r="F41" s="59">
        <v>3.24</v>
      </c>
      <c r="G41" s="59">
        <v>104.4</v>
      </c>
      <c r="H41" s="59">
        <v>47.55</v>
      </c>
      <c r="I41" s="59">
        <v>0.7</v>
      </c>
      <c r="J41" s="59">
        <v>0.62</v>
      </c>
      <c r="K41" s="59">
        <v>123.15</v>
      </c>
      <c r="L41" s="59">
        <v>28.48</v>
      </c>
      <c r="M41" s="59">
        <v>31.55</v>
      </c>
      <c r="N41" s="59">
        <v>310.8</v>
      </c>
      <c r="O41" s="59">
        <v>0</v>
      </c>
      <c r="P41" s="59">
        <v>1.52</v>
      </c>
      <c r="Q41" s="59">
        <v>35.96</v>
      </c>
      <c r="R41" s="197"/>
      <c r="S41" s="197"/>
      <c r="T41" s="197"/>
      <c r="U41" s="197"/>
    </row>
    <row r="42" spans="1:21" s="12" customFormat="1" x14ac:dyDescent="0.25">
      <c r="A42" s="200" t="s">
        <v>1433</v>
      </c>
      <c r="B42" s="59">
        <v>53.42</v>
      </c>
      <c r="C42" s="59">
        <v>117.16</v>
      </c>
      <c r="D42" s="59">
        <v>106.53</v>
      </c>
      <c r="E42" s="59">
        <v>3.87</v>
      </c>
      <c r="F42" s="59">
        <v>3.19</v>
      </c>
      <c r="G42" s="59">
        <v>104.4</v>
      </c>
      <c r="H42" s="59">
        <v>47.55</v>
      </c>
      <c r="I42" s="59">
        <v>0.72</v>
      </c>
      <c r="J42" s="59">
        <v>0.24</v>
      </c>
      <c r="K42" s="59">
        <v>68.349999999999994</v>
      </c>
      <c r="L42" s="59">
        <v>28.9</v>
      </c>
      <c r="M42" s="59">
        <v>30.94</v>
      </c>
      <c r="N42" s="59">
        <v>362.3</v>
      </c>
      <c r="O42" s="59">
        <v>0</v>
      </c>
      <c r="P42" s="59">
        <v>1.51</v>
      </c>
      <c r="Q42" s="59">
        <v>36.14</v>
      </c>
      <c r="R42" s="197"/>
      <c r="S42" s="197"/>
      <c r="T42" s="197"/>
      <c r="U42" s="197"/>
    </row>
    <row r="43" spans="1:21" s="12" customFormat="1" x14ac:dyDescent="0.25">
      <c r="A43" s="200" t="s">
        <v>1434</v>
      </c>
      <c r="B43" s="59">
        <v>51.56</v>
      </c>
      <c r="C43" s="59">
        <v>119</v>
      </c>
      <c r="D43" s="59">
        <v>106.06</v>
      </c>
      <c r="E43" s="59">
        <v>4.8600000000000003</v>
      </c>
      <c r="F43" s="59">
        <v>3.23</v>
      </c>
      <c r="G43" s="59">
        <v>104.4</v>
      </c>
      <c r="H43" s="59">
        <v>47.55</v>
      </c>
      <c r="I43" s="59">
        <v>0.77</v>
      </c>
      <c r="J43" s="59">
        <v>0.72</v>
      </c>
      <c r="K43" s="59">
        <v>107.63</v>
      </c>
      <c r="L43" s="59">
        <v>30.18</v>
      </c>
      <c r="M43" s="59">
        <v>28.29</v>
      </c>
      <c r="N43" s="59">
        <v>418.2</v>
      </c>
      <c r="O43" s="59">
        <v>0</v>
      </c>
      <c r="P43" s="59">
        <v>1.53</v>
      </c>
      <c r="Q43" s="59">
        <v>36.46</v>
      </c>
      <c r="R43" s="197"/>
      <c r="S43" s="197"/>
      <c r="T43" s="197"/>
      <c r="U43" s="197"/>
    </row>
    <row r="44" spans="1:21" s="12" customFormat="1" x14ac:dyDescent="0.25">
      <c r="A44" s="200" t="s">
        <v>1435</v>
      </c>
      <c r="B44" s="59">
        <v>48.67</v>
      </c>
      <c r="C44" s="59">
        <v>121.19</v>
      </c>
      <c r="D44" s="59">
        <v>104.95</v>
      </c>
      <c r="E44" s="59">
        <v>4.68</v>
      </c>
      <c r="F44" s="59">
        <v>3.35</v>
      </c>
      <c r="G44" s="59">
        <v>109.67</v>
      </c>
      <c r="H44" s="59">
        <v>50.62</v>
      </c>
      <c r="I44" s="59">
        <v>0.79</v>
      </c>
      <c r="J44" s="59">
        <v>0.68</v>
      </c>
      <c r="K44" s="59">
        <v>99.78</v>
      </c>
      <c r="L44" s="59">
        <v>29.52</v>
      </c>
      <c r="M44" s="59">
        <v>28.31</v>
      </c>
      <c r="N44" s="59">
        <v>468.4</v>
      </c>
      <c r="O44" s="59">
        <v>0</v>
      </c>
      <c r="P44" s="59">
        <v>1.51</v>
      </c>
      <c r="Q44" s="59">
        <v>36.54</v>
      </c>
      <c r="R44" s="197"/>
      <c r="S44" s="197"/>
      <c r="T44" s="197"/>
      <c r="U44" s="197"/>
    </row>
    <row r="45" spans="1:21" s="12" customFormat="1" x14ac:dyDescent="0.25">
      <c r="A45" s="200" t="s">
        <v>1436</v>
      </c>
      <c r="B45" s="59">
        <v>45.4</v>
      </c>
      <c r="C45" s="59">
        <v>122.67</v>
      </c>
      <c r="D45" s="59">
        <v>103.15</v>
      </c>
      <c r="E45" s="59">
        <v>5.03</v>
      </c>
      <c r="F45" s="59">
        <v>3.18</v>
      </c>
      <c r="G45" s="59">
        <v>109.98</v>
      </c>
      <c r="H45" s="59">
        <v>50.76</v>
      </c>
      <c r="I45" s="59">
        <v>0.8</v>
      </c>
      <c r="J45" s="59">
        <v>0.74</v>
      </c>
      <c r="K45" s="59">
        <v>68.930000000000007</v>
      </c>
      <c r="L45" s="59">
        <v>29.99</v>
      </c>
      <c r="M45" s="59">
        <v>27.43</v>
      </c>
      <c r="N45" s="59">
        <v>514.79999999999995</v>
      </c>
      <c r="O45" s="59">
        <v>0</v>
      </c>
      <c r="P45" s="59">
        <v>1.47</v>
      </c>
      <c r="Q45" s="59">
        <v>36.619999999999997</v>
      </c>
      <c r="R45" s="197"/>
      <c r="S45" s="197"/>
      <c r="T45" s="197"/>
      <c r="U45" s="197"/>
    </row>
    <row r="46" spans="1:21" s="12" customFormat="1" x14ac:dyDescent="0.25">
      <c r="A46" s="200" t="s">
        <v>1437</v>
      </c>
      <c r="B46" s="59">
        <v>42.73</v>
      </c>
      <c r="C46" s="59">
        <v>124.87</v>
      </c>
      <c r="D46" s="59">
        <v>102.21</v>
      </c>
      <c r="E46" s="59">
        <v>5.43</v>
      </c>
      <c r="F46" s="59">
        <v>3.16</v>
      </c>
      <c r="G46" s="59">
        <v>109.98</v>
      </c>
      <c r="H46" s="59">
        <v>50.76</v>
      </c>
      <c r="I46" s="59">
        <v>0.79</v>
      </c>
      <c r="J46" s="59">
        <v>0.62</v>
      </c>
      <c r="K46" s="59">
        <v>45.48</v>
      </c>
      <c r="L46" s="59">
        <v>32.450000000000003</v>
      </c>
      <c r="M46" s="59">
        <v>23.76</v>
      </c>
      <c r="N46" s="59">
        <v>555</v>
      </c>
      <c r="O46" s="59">
        <v>0</v>
      </c>
      <c r="P46" s="59">
        <v>1.42</v>
      </c>
      <c r="Q46" s="59">
        <v>36.299999999999997</v>
      </c>
      <c r="R46" s="197"/>
      <c r="S46" s="197"/>
      <c r="T46" s="197"/>
      <c r="U46" s="197"/>
    </row>
    <row r="47" spans="1:21" s="12" customFormat="1" x14ac:dyDescent="0.25">
      <c r="A47" s="200" t="s">
        <v>1438</v>
      </c>
      <c r="B47" s="59">
        <v>40.1</v>
      </c>
      <c r="C47" s="59">
        <v>127.13</v>
      </c>
      <c r="D47" s="59">
        <v>101.35</v>
      </c>
      <c r="E47" s="59">
        <v>5.49</v>
      </c>
      <c r="F47" s="59">
        <v>2.78</v>
      </c>
      <c r="G47" s="59">
        <v>109.98</v>
      </c>
      <c r="H47" s="59">
        <v>50.76</v>
      </c>
      <c r="I47" s="59">
        <v>0.75</v>
      </c>
      <c r="J47" s="59">
        <v>0.89</v>
      </c>
      <c r="K47" s="59">
        <v>29.07</v>
      </c>
      <c r="L47" s="59">
        <v>33.51</v>
      </c>
      <c r="M47" s="59">
        <v>22.08</v>
      </c>
      <c r="N47" s="59">
        <v>602.1</v>
      </c>
      <c r="O47" s="59">
        <v>0</v>
      </c>
      <c r="P47" s="59">
        <v>1.4</v>
      </c>
      <c r="Q47" s="59">
        <v>35.76</v>
      </c>
      <c r="R47" s="197"/>
      <c r="S47" s="197"/>
      <c r="T47" s="197"/>
      <c r="U47" s="197"/>
    </row>
    <row r="48" spans="1:21" s="12" customFormat="1" x14ac:dyDescent="0.25">
      <c r="A48" s="200" t="s">
        <v>1439</v>
      </c>
      <c r="B48" s="59">
        <v>36.78</v>
      </c>
      <c r="C48" s="59">
        <v>129.43</v>
      </c>
      <c r="D48" s="59">
        <v>99.96</v>
      </c>
      <c r="E48" s="59">
        <v>5.72</v>
      </c>
      <c r="F48" s="59">
        <v>3.03</v>
      </c>
      <c r="G48" s="59">
        <v>105.82</v>
      </c>
      <c r="H48" s="59">
        <v>46.45</v>
      </c>
      <c r="I48" s="59">
        <v>0.73</v>
      </c>
      <c r="J48" s="59">
        <v>0.8</v>
      </c>
      <c r="K48" s="59">
        <v>95.83</v>
      </c>
      <c r="L48" s="59">
        <v>32.700000000000003</v>
      </c>
      <c r="M48" s="59">
        <v>23.86</v>
      </c>
      <c r="N48" s="59">
        <v>646.29999999999995</v>
      </c>
      <c r="O48" s="59">
        <v>0</v>
      </c>
      <c r="P48" s="59">
        <v>1.39</v>
      </c>
      <c r="Q48" s="59">
        <v>35.380000000000003</v>
      </c>
      <c r="R48" s="197"/>
      <c r="S48" s="197"/>
      <c r="T48" s="197"/>
      <c r="U48" s="197"/>
    </row>
    <row r="49" spans="1:21" s="12" customFormat="1" x14ac:dyDescent="0.25">
      <c r="A49" s="200" t="s">
        <v>1440</v>
      </c>
      <c r="B49" s="59">
        <v>33.090000000000003</v>
      </c>
      <c r="C49" s="59">
        <v>131.05000000000001</v>
      </c>
      <c r="D49" s="59">
        <v>97.89</v>
      </c>
      <c r="E49" s="59">
        <v>5.43</v>
      </c>
      <c r="F49" s="59">
        <v>3.05</v>
      </c>
      <c r="G49" s="59">
        <v>105.62</v>
      </c>
      <c r="H49" s="59">
        <v>46.25</v>
      </c>
      <c r="I49" s="59">
        <v>0.71</v>
      </c>
      <c r="J49" s="59">
        <v>0.83</v>
      </c>
      <c r="K49" s="59">
        <v>35.07</v>
      </c>
      <c r="L49" s="59">
        <v>34.17</v>
      </c>
      <c r="M49" s="59">
        <v>21.29</v>
      </c>
      <c r="N49" s="59">
        <v>681.4</v>
      </c>
      <c r="O49" s="59">
        <v>0</v>
      </c>
      <c r="P49" s="59">
        <v>1.32</v>
      </c>
      <c r="Q49" s="59">
        <v>34.68</v>
      </c>
      <c r="R49" s="197"/>
      <c r="S49" s="197"/>
      <c r="T49" s="197"/>
      <c r="U49" s="197"/>
    </row>
    <row r="50" spans="1:21" s="12" customFormat="1" x14ac:dyDescent="0.25">
      <c r="A50" s="200" t="s">
        <v>1441</v>
      </c>
      <c r="B50" s="59">
        <v>30.79</v>
      </c>
      <c r="C50" s="59">
        <v>131.58000000000001</v>
      </c>
      <c r="D50" s="59">
        <v>96.35</v>
      </c>
      <c r="E50" s="59">
        <v>4.7</v>
      </c>
      <c r="F50" s="59">
        <v>3.62</v>
      </c>
      <c r="G50" s="59">
        <v>105.62</v>
      </c>
      <c r="H50" s="59">
        <v>46.25</v>
      </c>
      <c r="I50" s="59">
        <v>0.7</v>
      </c>
      <c r="J50" s="59">
        <v>0.56999999999999995</v>
      </c>
      <c r="K50" s="59">
        <v>58.19</v>
      </c>
      <c r="L50" s="59">
        <v>35.58</v>
      </c>
      <c r="M50" s="59">
        <v>19.7</v>
      </c>
      <c r="N50" s="59">
        <v>717.1</v>
      </c>
      <c r="O50" s="59">
        <v>0</v>
      </c>
      <c r="P50" s="59">
        <v>1.1100000000000001</v>
      </c>
      <c r="Q50" s="59">
        <v>34.33</v>
      </c>
      <c r="R50" s="197"/>
      <c r="S50" s="197"/>
      <c r="T50" s="197"/>
      <c r="U50" s="197"/>
    </row>
    <row r="51" spans="1:21" s="12" customFormat="1" x14ac:dyDescent="0.25">
      <c r="A51" s="200" t="s">
        <v>1442</v>
      </c>
      <c r="B51" s="59">
        <v>21.03</v>
      </c>
      <c r="C51" s="59">
        <v>129.86000000000001</v>
      </c>
      <c r="D51" s="59">
        <v>87.57</v>
      </c>
      <c r="E51" s="59">
        <v>4.42</v>
      </c>
      <c r="F51" s="59">
        <v>3.83</v>
      </c>
      <c r="G51" s="59">
        <v>105.62</v>
      </c>
      <c r="H51" s="59">
        <v>46.25</v>
      </c>
      <c r="I51" s="59">
        <v>0.64</v>
      </c>
      <c r="J51" s="59">
        <v>0.69</v>
      </c>
      <c r="K51" s="59">
        <v>37.57</v>
      </c>
      <c r="L51" s="59">
        <v>35.74</v>
      </c>
      <c r="M51" s="59">
        <v>19.57</v>
      </c>
      <c r="N51" s="59">
        <v>750.8</v>
      </c>
      <c r="O51" s="59">
        <v>0</v>
      </c>
      <c r="P51" s="59">
        <v>1.05</v>
      </c>
      <c r="Q51" s="59">
        <v>28.52</v>
      </c>
      <c r="R51" s="197"/>
      <c r="S51" s="197"/>
      <c r="T51" s="197"/>
      <c r="U51" s="197"/>
    </row>
    <row r="52" spans="1:21" s="12" customFormat="1" x14ac:dyDescent="0.25">
      <c r="A52" s="200" t="s">
        <v>1443</v>
      </c>
      <c r="B52" s="59">
        <v>5.13</v>
      </c>
      <c r="C52" s="59">
        <v>97.92</v>
      </c>
      <c r="D52" s="59">
        <v>57.19</v>
      </c>
      <c r="E52" s="59">
        <v>0.25</v>
      </c>
      <c r="F52" s="59">
        <v>36.380000000000003</v>
      </c>
      <c r="G52" s="59">
        <v>105.62</v>
      </c>
      <c r="H52" s="59">
        <v>46.25</v>
      </c>
      <c r="I52" s="59">
        <v>0.59</v>
      </c>
      <c r="J52" s="59">
        <v>0.53</v>
      </c>
      <c r="K52" s="59">
        <v>167.85</v>
      </c>
      <c r="L52" s="59">
        <v>34.83</v>
      </c>
      <c r="M52" s="59">
        <v>20.350000000000001</v>
      </c>
      <c r="N52" s="59">
        <v>778.7</v>
      </c>
      <c r="O52" s="59">
        <v>0</v>
      </c>
      <c r="P52" s="59">
        <v>0.79</v>
      </c>
      <c r="Q52" s="59">
        <v>19.47</v>
      </c>
      <c r="R52" s="197"/>
      <c r="S52" s="197"/>
      <c r="T52" s="197"/>
      <c r="U52" s="197"/>
    </row>
    <row r="53" spans="1:21" s="12" customFormat="1" x14ac:dyDescent="0.25">
      <c r="A53" s="200" t="s">
        <v>1444</v>
      </c>
      <c r="B53" s="59">
        <v>3.18</v>
      </c>
      <c r="C53" s="59">
        <v>75.7</v>
      </c>
      <c r="D53" s="59">
        <v>43.36</v>
      </c>
      <c r="E53" s="59">
        <v>10.210000000000001</v>
      </c>
      <c r="F53" s="59">
        <v>40.97</v>
      </c>
      <c r="G53" s="59">
        <v>105.62</v>
      </c>
      <c r="H53" s="59">
        <v>46.25</v>
      </c>
      <c r="I53" s="59">
        <v>0.55000000000000004</v>
      </c>
      <c r="J53" s="59">
        <v>0.55000000000000004</v>
      </c>
      <c r="K53" s="59">
        <v>30.4</v>
      </c>
      <c r="L53" s="59">
        <v>36.130000000000003</v>
      </c>
      <c r="M53" s="59">
        <v>18.850000000000001</v>
      </c>
      <c r="N53" s="59">
        <v>791.8</v>
      </c>
      <c r="O53" s="59">
        <v>0</v>
      </c>
      <c r="P53" s="59">
        <v>0.83</v>
      </c>
      <c r="Q53" s="59">
        <v>13.52</v>
      </c>
      <c r="R53" s="197"/>
      <c r="S53" s="197"/>
      <c r="T53" s="197"/>
      <c r="U53" s="197"/>
    </row>
    <row r="54" spans="1:21" s="12" customFormat="1" x14ac:dyDescent="0.25">
      <c r="A54" s="200" t="s">
        <v>1445</v>
      </c>
      <c r="B54" s="59">
        <v>2.65</v>
      </c>
      <c r="C54" s="59">
        <v>70.28</v>
      </c>
      <c r="D54" s="59">
        <v>39.950000000000003</v>
      </c>
      <c r="E54" s="210" t="s">
        <v>43</v>
      </c>
      <c r="F54" s="59">
        <v>57.77</v>
      </c>
      <c r="G54" s="59">
        <v>105.62</v>
      </c>
      <c r="H54" s="59">
        <v>46.25</v>
      </c>
      <c r="I54" s="59">
        <v>0.5</v>
      </c>
      <c r="J54" s="59">
        <v>0.99</v>
      </c>
      <c r="K54" s="59">
        <v>132.54</v>
      </c>
      <c r="L54" s="59">
        <v>34.83</v>
      </c>
      <c r="M54" s="59">
        <v>20.2</v>
      </c>
      <c r="N54" s="59">
        <v>823.8</v>
      </c>
      <c r="O54" s="59">
        <v>0</v>
      </c>
      <c r="P54" s="59">
        <v>0.65</v>
      </c>
      <c r="Q54" s="59">
        <v>13.66</v>
      </c>
      <c r="R54" s="197"/>
      <c r="S54" s="197"/>
      <c r="T54" s="197"/>
      <c r="U54" s="197"/>
    </row>
    <row r="55" spans="1:21" s="12" customFormat="1" x14ac:dyDescent="0.25">
      <c r="A55" s="200" t="s">
        <v>1446</v>
      </c>
      <c r="B55" s="59">
        <v>1.77</v>
      </c>
      <c r="C55" s="59">
        <v>56.36</v>
      </c>
      <c r="D55" s="59">
        <v>31.57</v>
      </c>
      <c r="E55" s="210" t="s">
        <v>43</v>
      </c>
      <c r="F55" s="59">
        <v>55.92</v>
      </c>
      <c r="G55" s="59">
        <v>37.549999999999997</v>
      </c>
      <c r="H55" s="59">
        <v>16.45</v>
      </c>
      <c r="I55" s="59">
        <v>0.47</v>
      </c>
      <c r="J55" s="59">
        <v>0.38</v>
      </c>
      <c r="K55" s="59">
        <v>70.52</v>
      </c>
      <c r="L55" s="59">
        <v>35.64</v>
      </c>
      <c r="M55" s="59">
        <v>18.98</v>
      </c>
      <c r="N55" s="59">
        <v>828.6</v>
      </c>
      <c r="O55" s="59">
        <v>0</v>
      </c>
      <c r="P55" s="59">
        <v>0.75</v>
      </c>
      <c r="Q55" s="59">
        <v>13.46</v>
      </c>
      <c r="R55" s="197"/>
      <c r="S55" s="197"/>
      <c r="T55" s="197"/>
      <c r="U55" s="197"/>
    </row>
    <row r="56" spans="1:21" s="12" customFormat="1" x14ac:dyDescent="0.25">
      <c r="A56" s="200" t="s">
        <v>1447</v>
      </c>
      <c r="B56" s="59">
        <v>-0.28999999999999998</v>
      </c>
      <c r="C56" s="59">
        <v>8.65</v>
      </c>
      <c r="D56" s="59">
        <v>4.54</v>
      </c>
      <c r="E56" s="210" t="s">
        <v>43</v>
      </c>
      <c r="F56" s="59">
        <v>43.62</v>
      </c>
      <c r="G56" s="213" t="s">
        <v>40</v>
      </c>
      <c r="H56" s="213" t="s">
        <v>40</v>
      </c>
      <c r="I56" s="59">
        <v>0.47</v>
      </c>
      <c r="J56" s="59">
        <v>0.52</v>
      </c>
      <c r="K56" s="59">
        <v>15.62</v>
      </c>
      <c r="L56" s="59">
        <v>37.5</v>
      </c>
      <c r="M56" s="59">
        <v>17.14</v>
      </c>
      <c r="N56" s="59">
        <v>839.5</v>
      </c>
      <c r="O56" s="59">
        <v>0</v>
      </c>
      <c r="P56" s="59">
        <v>0.86</v>
      </c>
      <c r="Q56" s="59">
        <v>14.34</v>
      </c>
      <c r="R56" s="197"/>
      <c r="S56" s="197"/>
      <c r="T56" s="197"/>
      <c r="U56" s="197"/>
    </row>
    <row r="57" spans="1:21" s="12" customFormat="1" x14ac:dyDescent="0.25">
      <c r="A57" s="200" t="s">
        <v>1448</v>
      </c>
      <c r="B57" s="59">
        <v>-0.02</v>
      </c>
      <c r="C57" s="59">
        <v>22.14</v>
      </c>
      <c r="D57" s="59">
        <v>12.2</v>
      </c>
      <c r="E57" s="210" t="s">
        <v>43</v>
      </c>
      <c r="F57" s="59">
        <v>13.12</v>
      </c>
      <c r="G57" s="213" t="s">
        <v>40</v>
      </c>
      <c r="H57" s="213" t="s">
        <v>40</v>
      </c>
      <c r="I57" s="59">
        <v>0.47</v>
      </c>
      <c r="J57" s="59">
        <v>0.36</v>
      </c>
      <c r="K57" s="59">
        <v>131.04</v>
      </c>
      <c r="L57" s="59">
        <v>37.15</v>
      </c>
      <c r="M57" s="59">
        <v>16.95</v>
      </c>
      <c r="N57" s="59">
        <v>830</v>
      </c>
      <c r="O57" s="59">
        <v>0</v>
      </c>
      <c r="P57" s="59">
        <v>0.94</v>
      </c>
      <c r="Q57" s="59">
        <v>14.61</v>
      </c>
      <c r="R57" s="197"/>
      <c r="S57" s="197"/>
      <c r="T57" s="197"/>
      <c r="U57" s="197"/>
    </row>
    <row r="58" spans="1:21" s="12" customFormat="1" x14ac:dyDescent="0.25">
      <c r="A58" s="200" t="s">
        <v>1449</v>
      </c>
      <c r="B58" s="59">
        <v>1.36</v>
      </c>
      <c r="C58" s="59">
        <v>101.96</v>
      </c>
      <c r="D58" s="59">
        <v>57.36</v>
      </c>
      <c r="E58" s="210" t="s">
        <v>43</v>
      </c>
      <c r="F58" s="59">
        <v>33.69</v>
      </c>
      <c r="G58" s="213" t="s">
        <v>40</v>
      </c>
      <c r="H58" s="213" t="s">
        <v>40</v>
      </c>
      <c r="I58" s="59">
        <v>0.49</v>
      </c>
      <c r="J58" s="59">
        <v>0.71</v>
      </c>
      <c r="K58" s="59">
        <v>87.81</v>
      </c>
      <c r="L58" s="59">
        <v>35.979999999999997</v>
      </c>
      <c r="M58" s="59">
        <v>17</v>
      </c>
      <c r="N58" s="59">
        <v>794.2</v>
      </c>
      <c r="O58" s="59">
        <v>0</v>
      </c>
      <c r="P58" s="59">
        <v>-0.01</v>
      </c>
      <c r="Q58" s="59">
        <v>15.83</v>
      </c>
      <c r="R58" s="197"/>
      <c r="S58" s="197"/>
      <c r="T58" s="197"/>
      <c r="U58" s="197"/>
    </row>
    <row r="59" spans="1:21" s="12" customFormat="1" x14ac:dyDescent="0.25">
      <c r="A59" s="200" t="s">
        <v>1450</v>
      </c>
      <c r="B59" s="59">
        <v>0.98</v>
      </c>
      <c r="C59" s="59">
        <v>86.97</v>
      </c>
      <c r="D59" s="59">
        <v>48.79</v>
      </c>
      <c r="E59" s="210" t="s">
        <v>43</v>
      </c>
      <c r="F59" s="59">
        <v>58.32</v>
      </c>
      <c r="G59" s="59">
        <v>37.96</v>
      </c>
      <c r="H59" s="59">
        <v>13.92</v>
      </c>
      <c r="I59" s="59">
        <v>0.51</v>
      </c>
      <c r="J59" s="59">
        <v>1.06</v>
      </c>
      <c r="K59" s="59">
        <v>128.96</v>
      </c>
      <c r="L59" s="59">
        <v>35.42</v>
      </c>
      <c r="M59" s="59">
        <v>17.920000000000002</v>
      </c>
      <c r="N59" s="59">
        <v>773</v>
      </c>
      <c r="O59" s="59">
        <v>0</v>
      </c>
      <c r="P59" s="59">
        <v>0</v>
      </c>
      <c r="Q59" s="59">
        <v>15.99</v>
      </c>
      <c r="R59" s="197"/>
      <c r="S59" s="197"/>
      <c r="T59" s="197"/>
      <c r="U59" s="197"/>
    </row>
    <row r="60" spans="1:21" s="12" customFormat="1" x14ac:dyDescent="0.25">
      <c r="A60" s="200" t="s">
        <v>1451</v>
      </c>
      <c r="B60" s="59">
        <v>1.46</v>
      </c>
      <c r="C60" s="59">
        <v>72.36</v>
      </c>
      <c r="D60" s="59">
        <v>41.11</v>
      </c>
      <c r="E60" s="210" t="s">
        <v>43</v>
      </c>
      <c r="F60" s="59">
        <v>50.16</v>
      </c>
      <c r="G60" s="59">
        <v>56.94</v>
      </c>
      <c r="H60" s="59">
        <v>21.24</v>
      </c>
      <c r="I60" s="59">
        <v>0.5</v>
      </c>
      <c r="J60" s="59">
        <v>0.17</v>
      </c>
      <c r="K60" s="59">
        <v>217.75</v>
      </c>
      <c r="L60" s="59">
        <v>35.54</v>
      </c>
      <c r="M60" s="59">
        <v>16.78</v>
      </c>
      <c r="N60" s="59">
        <v>731.4</v>
      </c>
      <c r="O60" s="59">
        <v>0</v>
      </c>
      <c r="P60" s="59">
        <v>0</v>
      </c>
      <c r="Q60" s="59">
        <v>14.54</v>
      </c>
      <c r="R60" s="197"/>
      <c r="S60" s="197"/>
      <c r="T60" s="197"/>
      <c r="U60" s="197"/>
    </row>
    <row r="61" spans="1:21" s="12" customFormat="1" x14ac:dyDescent="0.25">
      <c r="A61" s="200" t="s">
        <v>1452</v>
      </c>
      <c r="B61" s="59">
        <v>4.16</v>
      </c>
      <c r="C61" s="59">
        <v>130.21</v>
      </c>
      <c r="D61" s="59">
        <v>75.19</v>
      </c>
      <c r="E61" s="210" t="s">
        <v>43</v>
      </c>
      <c r="F61" s="59">
        <v>29.1</v>
      </c>
      <c r="G61" s="59">
        <v>56.94</v>
      </c>
      <c r="H61" s="59">
        <v>21.24</v>
      </c>
      <c r="I61" s="59">
        <v>0.47</v>
      </c>
      <c r="J61" s="59">
        <v>0.25</v>
      </c>
      <c r="K61" s="59">
        <v>14.5</v>
      </c>
      <c r="L61" s="59">
        <v>38.17</v>
      </c>
      <c r="M61" s="59">
        <v>15.62</v>
      </c>
      <c r="N61" s="59">
        <v>699.6</v>
      </c>
      <c r="O61" s="59">
        <v>0</v>
      </c>
      <c r="P61" s="59">
        <v>0.01</v>
      </c>
      <c r="Q61" s="59">
        <v>15.71</v>
      </c>
      <c r="R61" s="197"/>
      <c r="S61" s="197"/>
      <c r="T61" s="197"/>
      <c r="U61" s="197"/>
    </row>
    <row r="62" spans="1:21" s="12" customFormat="1" x14ac:dyDescent="0.25">
      <c r="A62" s="200" t="s">
        <v>1453</v>
      </c>
      <c r="B62" s="59">
        <v>1.87</v>
      </c>
      <c r="C62" s="59">
        <v>116.58</v>
      </c>
      <c r="D62" s="59">
        <v>65.84</v>
      </c>
      <c r="E62" s="59">
        <v>35.22</v>
      </c>
      <c r="F62" s="59">
        <v>23.91</v>
      </c>
      <c r="G62" s="59">
        <v>56.94</v>
      </c>
      <c r="H62" s="59">
        <v>21.24</v>
      </c>
      <c r="I62" s="59">
        <v>0.52</v>
      </c>
      <c r="J62" s="59">
        <v>0.48</v>
      </c>
      <c r="K62" s="59">
        <v>358.73</v>
      </c>
      <c r="L62" s="59">
        <v>38.08</v>
      </c>
      <c r="M62" s="59">
        <v>15.37</v>
      </c>
      <c r="N62" s="59">
        <v>640</v>
      </c>
      <c r="O62" s="59">
        <v>0</v>
      </c>
      <c r="P62" s="59">
        <v>0.46</v>
      </c>
      <c r="Q62" s="59">
        <v>16.11</v>
      </c>
      <c r="R62" s="197"/>
      <c r="S62" s="197"/>
      <c r="T62" s="197"/>
      <c r="U62" s="197"/>
    </row>
    <row r="63" spans="1:21" s="12" customFormat="1" x14ac:dyDescent="0.25">
      <c r="A63" s="200" t="s">
        <v>1454</v>
      </c>
      <c r="B63" s="59">
        <v>1.47</v>
      </c>
      <c r="C63" s="59">
        <v>76.17</v>
      </c>
      <c r="D63" s="59">
        <v>43.22</v>
      </c>
      <c r="E63" s="59">
        <v>57.9</v>
      </c>
      <c r="F63" s="59">
        <v>61.39</v>
      </c>
      <c r="G63" s="59">
        <v>57.04</v>
      </c>
      <c r="H63" s="59">
        <v>21.46</v>
      </c>
      <c r="I63" s="59">
        <v>0.63</v>
      </c>
      <c r="J63" s="59">
        <v>7.0000000000000007E-2</v>
      </c>
      <c r="K63" s="59">
        <v>2.1800000000000002</v>
      </c>
      <c r="L63" s="59">
        <v>36.799999999999997</v>
      </c>
      <c r="M63" s="59">
        <v>15.21</v>
      </c>
      <c r="N63" s="59">
        <v>571.20000000000005</v>
      </c>
      <c r="O63" s="59">
        <v>0</v>
      </c>
      <c r="P63" s="59">
        <v>1.93</v>
      </c>
      <c r="Q63" s="59">
        <v>15.74</v>
      </c>
      <c r="R63" s="197"/>
      <c r="S63" s="197"/>
      <c r="T63" s="197"/>
      <c r="U63" s="197"/>
    </row>
    <row r="64" spans="1:21" s="12" customFormat="1" x14ac:dyDescent="0.25">
      <c r="A64" s="200" t="s">
        <v>1455</v>
      </c>
      <c r="B64" s="59">
        <v>0.69</v>
      </c>
      <c r="C64" s="59">
        <v>67.58</v>
      </c>
      <c r="D64" s="59">
        <v>37.85</v>
      </c>
      <c r="E64" s="59">
        <v>46.91</v>
      </c>
      <c r="F64" s="59">
        <v>62.38</v>
      </c>
      <c r="G64" s="59">
        <v>57.09</v>
      </c>
      <c r="H64" s="59">
        <v>21.58</v>
      </c>
      <c r="I64" s="59">
        <v>0.56999999999999995</v>
      </c>
      <c r="J64" s="59">
        <v>0.25</v>
      </c>
      <c r="K64" s="59">
        <v>256.33999999999997</v>
      </c>
      <c r="L64" s="59">
        <v>35.130000000000003</v>
      </c>
      <c r="M64" s="59">
        <v>16.32</v>
      </c>
      <c r="N64" s="59">
        <v>516</v>
      </c>
      <c r="O64" s="59">
        <v>0</v>
      </c>
      <c r="P64" s="59">
        <v>0.62</v>
      </c>
      <c r="Q64" s="59">
        <v>15.2</v>
      </c>
      <c r="R64" s="197"/>
      <c r="S64" s="197"/>
      <c r="T64" s="197"/>
      <c r="U64" s="197"/>
    </row>
    <row r="65" spans="1:21" s="12" customFormat="1" x14ac:dyDescent="0.25">
      <c r="A65" s="200" t="s">
        <v>1456</v>
      </c>
      <c r="B65" s="59">
        <v>0.57999999999999996</v>
      </c>
      <c r="C65" s="59">
        <v>70.459999999999994</v>
      </c>
      <c r="D65" s="59">
        <v>39.35</v>
      </c>
      <c r="E65" s="59">
        <v>26.86</v>
      </c>
      <c r="F65" s="59">
        <v>30.52</v>
      </c>
      <c r="G65" s="59">
        <v>57.09</v>
      </c>
      <c r="H65" s="59">
        <v>21.58</v>
      </c>
      <c r="I65" s="59">
        <v>0.47</v>
      </c>
      <c r="J65" s="59">
        <v>0.97</v>
      </c>
      <c r="K65" s="59">
        <v>33.700000000000003</v>
      </c>
      <c r="L65" s="59">
        <v>35.79</v>
      </c>
      <c r="M65" s="59">
        <v>16.37</v>
      </c>
      <c r="N65" s="59">
        <v>612.29999999999995</v>
      </c>
      <c r="O65" s="59">
        <v>0</v>
      </c>
      <c r="P65" s="59">
        <v>0.62</v>
      </c>
      <c r="Q65" s="59">
        <v>15.76</v>
      </c>
      <c r="R65" s="197"/>
      <c r="S65" s="197"/>
      <c r="T65" s="197"/>
      <c r="U65" s="197"/>
    </row>
    <row r="66" spans="1:21" s="12" customFormat="1" x14ac:dyDescent="0.25">
      <c r="A66" s="200" t="s">
        <v>1457</v>
      </c>
      <c r="B66" s="59">
        <v>0.79</v>
      </c>
      <c r="C66" s="59">
        <v>77.39</v>
      </c>
      <c r="D66" s="59">
        <v>43.35</v>
      </c>
      <c r="E66" s="59">
        <v>22.23</v>
      </c>
      <c r="F66" s="59">
        <v>32.869999999999997</v>
      </c>
      <c r="G66" s="59">
        <v>57.09</v>
      </c>
      <c r="H66" s="59">
        <v>21.58</v>
      </c>
      <c r="I66" s="59">
        <v>0.46</v>
      </c>
      <c r="J66" s="59">
        <v>1.08</v>
      </c>
      <c r="K66" s="59">
        <v>32.25</v>
      </c>
      <c r="L66" s="59">
        <v>37.26</v>
      </c>
      <c r="M66" s="59">
        <v>15.05</v>
      </c>
      <c r="N66" s="59">
        <v>528.70000000000005</v>
      </c>
      <c r="O66" s="59">
        <v>0</v>
      </c>
      <c r="P66" s="59">
        <v>0.65</v>
      </c>
      <c r="Q66" s="59">
        <v>15.82</v>
      </c>
      <c r="R66" s="197"/>
      <c r="S66" s="197"/>
      <c r="T66" s="197"/>
      <c r="U66" s="197"/>
    </row>
    <row r="67" spans="1:21" s="12" customFormat="1" x14ac:dyDescent="0.25">
      <c r="A67" s="200" t="s">
        <v>1458</v>
      </c>
      <c r="B67" s="59">
        <v>1.05</v>
      </c>
      <c r="C67" s="59">
        <v>86.72</v>
      </c>
      <c r="D67" s="59">
        <v>48.7</v>
      </c>
      <c r="E67" s="59">
        <v>29.07</v>
      </c>
      <c r="F67" s="59">
        <v>43.04</v>
      </c>
      <c r="G67" s="59">
        <v>57.26</v>
      </c>
      <c r="H67" s="59">
        <v>24.56</v>
      </c>
      <c r="I67" s="59">
        <v>0.47</v>
      </c>
      <c r="J67" s="59">
        <v>0.68</v>
      </c>
      <c r="K67" s="59">
        <v>25</v>
      </c>
      <c r="L67" s="59">
        <v>36.869999999999997</v>
      </c>
      <c r="M67" s="59">
        <v>14.93</v>
      </c>
      <c r="N67" s="59">
        <v>362.2</v>
      </c>
      <c r="O67" s="59">
        <v>0</v>
      </c>
      <c r="P67" s="59">
        <v>0.87</v>
      </c>
      <c r="Q67" s="59">
        <v>15.09</v>
      </c>
      <c r="R67" s="197"/>
      <c r="S67" s="197"/>
      <c r="T67" s="197"/>
      <c r="U67" s="197"/>
    </row>
    <row r="68" spans="1:21" s="12" customFormat="1" x14ac:dyDescent="0.25">
      <c r="A68" s="200" t="s">
        <v>1459</v>
      </c>
      <c r="B68" s="59">
        <v>1.01</v>
      </c>
      <c r="C68" s="59">
        <v>93.5</v>
      </c>
      <c r="D68" s="59">
        <v>52.41</v>
      </c>
      <c r="E68" s="59">
        <v>17.84</v>
      </c>
      <c r="F68" s="59">
        <v>24.67</v>
      </c>
      <c r="G68" s="59">
        <v>57.34</v>
      </c>
      <c r="H68" s="59">
        <v>26.05</v>
      </c>
      <c r="I68" s="59">
        <v>0.48</v>
      </c>
      <c r="J68" s="59">
        <v>0.08</v>
      </c>
      <c r="K68" s="59">
        <v>215.56</v>
      </c>
      <c r="L68" s="59">
        <v>35.340000000000003</v>
      </c>
      <c r="M68" s="59">
        <v>15.85</v>
      </c>
      <c r="N68" s="59">
        <v>230.5</v>
      </c>
      <c r="O68" s="59">
        <v>0</v>
      </c>
      <c r="P68" s="59">
        <v>0.88</v>
      </c>
      <c r="Q68" s="59">
        <v>15.19</v>
      </c>
      <c r="R68" s="197"/>
      <c r="S68" s="197"/>
      <c r="T68" s="197"/>
      <c r="U68" s="197"/>
    </row>
    <row r="69" spans="1:21" s="12" customFormat="1" x14ac:dyDescent="0.25">
      <c r="A69" s="200" t="s">
        <v>1460</v>
      </c>
      <c r="B69" s="59">
        <v>1.57</v>
      </c>
      <c r="C69" s="59">
        <v>95.42</v>
      </c>
      <c r="D69" s="59">
        <v>53.92</v>
      </c>
      <c r="E69" s="59">
        <v>32.85</v>
      </c>
      <c r="F69" s="59">
        <v>48.58</v>
      </c>
      <c r="G69" s="59">
        <v>57.34</v>
      </c>
      <c r="H69" s="59">
        <v>26.05</v>
      </c>
      <c r="I69" s="59">
        <v>0.48</v>
      </c>
      <c r="J69" s="59">
        <v>0.5</v>
      </c>
      <c r="K69" s="59">
        <v>22.89</v>
      </c>
      <c r="L69" s="59">
        <v>35.43</v>
      </c>
      <c r="M69" s="59">
        <v>15.73</v>
      </c>
      <c r="N69" s="59">
        <v>436.8</v>
      </c>
      <c r="O69" s="59">
        <v>0</v>
      </c>
      <c r="P69" s="59">
        <v>0.77</v>
      </c>
      <c r="Q69" s="59">
        <v>16.71</v>
      </c>
      <c r="R69" s="197"/>
      <c r="S69" s="197"/>
      <c r="T69" s="197"/>
      <c r="U69" s="197"/>
    </row>
    <row r="70" spans="1:21" s="12" customFormat="1" x14ac:dyDescent="0.25">
      <c r="A70" s="200" t="s">
        <v>1461</v>
      </c>
      <c r="B70" s="59">
        <v>2.39</v>
      </c>
      <c r="C70" s="59">
        <v>95.72</v>
      </c>
      <c r="D70" s="59">
        <v>54.74</v>
      </c>
      <c r="E70" s="59">
        <v>11.12</v>
      </c>
      <c r="F70" s="59">
        <v>14.27</v>
      </c>
      <c r="G70" s="59">
        <v>57.34</v>
      </c>
      <c r="H70" s="59">
        <v>26.05</v>
      </c>
      <c r="I70" s="59">
        <v>0.47</v>
      </c>
      <c r="J70" s="59">
        <v>0.74</v>
      </c>
      <c r="K70" s="59">
        <v>16.510000000000002</v>
      </c>
      <c r="L70" s="59">
        <v>36.72</v>
      </c>
      <c r="M70" s="59">
        <v>14.53</v>
      </c>
      <c r="N70" s="59">
        <v>403.6</v>
      </c>
      <c r="O70" s="59">
        <v>0</v>
      </c>
      <c r="P70" s="59">
        <v>0.88</v>
      </c>
      <c r="Q70" s="59">
        <v>17.829999999999998</v>
      </c>
      <c r="R70" s="197"/>
      <c r="S70" s="197"/>
      <c r="T70" s="197"/>
      <c r="U70" s="197"/>
    </row>
    <row r="71" spans="1:21" s="12" customFormat="1" x14ac:dyDescent="0.25">
      <c r="A71" s="200" t="s">
        <v>1462</v>
      </c>
      <c r="B71" s="59">
        <v>2.46</v>
      </c>
      <c r="C71" s="59">
        <v>94.46</v>
      </c>
      <c r="D71" s="59">
        <v>54.1</v>
      </c>
      <c r="E71" s="59">
        <v>11.72</v>
      </c>
      <c r="F71" s="59">
        <v>32.15</v>
      </c>
      <c r="G71" s="59">
        <v>60.12</v>
      </c>
      <c r="H71" s="59">
        <v>25.41</v>
      </c>
      <c r="I71" s="59">
        <v>0.49</v>
      </c>
      <c r="J71" s="59">
        <v>0.61</v>
      </c>
      <c r="K71" s="59">
        <v>27.59</v>
      </c>
      <c r="L71" s="59">
        <v>35.82</v>
      </c>
      <c r="M71" s="59">
        <v>15.31</v>
      </c>
      <c r="N71" s="59">
        <v>319.89999999999998</v>
      </c>
      <c r="O71" s="59">
        <v>0</v>
      </c>
      <c r="P71" s="59">
        <v>0.83</v>
      </c>
      <c r="Q71" s="59">
        <v>18.940000000000001</v>
      </c>
      <c r="R71" s="197"/>
      <c r="S71" s="197"/>
      <c r="T71" s="197"/>
      <c r="U71" s="197"/>
    </row>
    <row r="72" spans="1:21" s="12" customFormat="1" x14ac:dyDescent="0.25">
      <c r="A72" s="200" t="s">
        <v>1463</v>
      </c>
      <c r="B72" s="59">
        <v>2.15</v>
      </c>
      <c r="C72" s="59">
        <v>76.23</v>
      </c>
      <c r="D72" s="59">
        <v>43.8</v>
      </c>
      <c r="E72" s="59">
        <v>21.78</v>
      </c>
      <c r="F72" s="59">
        <v>66.05</v>
      </c>
      <c r="G72" s="59">
        <v>61.51</v>
      </c>
      <c r="H72" s="59">
        <v>25.09</v>
      </c>
      <c r="I72" s="59">
        <v>0.51</v>
      </c>
      <c r="J72" s="59">
        <v>0.98</v>
      </c>
      <c r="K72" s="59">
        <v>30.15</v>
      </c>
      <c r="L72" s="59">
        <v>35.340000000000003</v>
      </c>
      <c r="M72" s="59">
        <v>15.89</v>
      </c>
      <c r="N72" s="59">
        <v>210.7</v>
      </c>
      <c r="O72" s="59">
        <v>0</v>
      </c>
      <c r="P72" s="59">
        <v>0.77</v>
      </c>
      <c r="Q72" s="59">
        <v>15.85</v>
      </c>
      <c r="R72" s="197"/>
      <c r="S72" s="197"/>
      <c r="T72" s="197"/>
      <c r="U72" s="197"/>
    </row>
    <row r="73" spans="1:21" s="12" customFormat="1" x14ac:dyDescent="0.25">
      <c r="A73" s="200" t="s">
        <v>1464</v>
      </c>
      <c r="B73" s="59">
        <v>3.11</v>
      </c>
      <c r="C73" s="59">
        <v>94.3</v>
      </c>
      <c r="D73" s="59">
        <v>54.53</v>
      </c>
      <c r="E73" s="59">
        <v>32.340000000000003</v>
      </c>
      <c r="F73" s="59">
        <v>66.7</v>
      </c>
      <c r="G73" s="59">
        <v>61.51</v>
      </c>
      <c r="H73" s="59">
        <v>25.09</v>
      </c>
      <c r="I73" s="59">
        <v>0.51</v>
      </c>
      <c r="J73" s="59">
        <v>0.8</v>
      </c>
      <c r="K73" s="59">
        <v>41.31</v>
      </c>
      <c r="L73" s="59">
        <v>34.86</v>
      </c>
      <c r="M73" s="59">
        <v>15.81</v>
      </c>
      <c r="N73" s="59">
        <v>187.3</v>
      </c>
      <c r="O73" s="59">
        <v>0</v>
      </c>
      <c r="P73" s="59">
        <v>0.8</v>
      </c>
      <c r="Q73" s="59">
        <v>14.84</v>
      </c>
      <c r="R73" s="197"/>
      <c r="S73" s="197"/>
      <c r="T73" s="197"/>
      <c r="U73" s="197"/>
    </row>
    <row r="74" spans="1:21" s="12" customFormat="1" x14ac:dyDescent="0.25">
      <c r="A74" s="200" t="s">
        <v>1465</v>
      </c>
      <c r="B74" s="59">
        <v>1.57</v>
      </c>
      <c r="C74" s="59">
        <v>74.760000000000005</v>
      </c>
      <c r="D74" s="59">
        <v>42.51</v>
      </c>
      <c r="E74" s="59">
        <v>31.4</v>
      </c>
      <c r="F74" s="59">
        <v>79.569999999999993</v>
      </c>
      <c r="G74" s="59">
        <v>61.51</v>
      </c>
      <c r="H74" s="59">
        <v>25.09</v>
      </c>
      <c r="I74" s="59">
        <v>0.49</v>
      </c>
      <c r="J74" s="59">
        <v>0.3</v>
      </c>
      <c r="K74" s="59">
        <v>120.52</v>
      </c>
      <c r="L74" s="59">
        <v>33.869999999999997</v>
      </c>
      <c r="M74" s="59">
        <v>15.29</v>
      </c>
      <c r="N74" s="59">
        <v>132.80000000000001</v>
      </c>
      <c r="O74" s="59">
        <v>0</v>
      </c>
      <c r="P74" s="59">
        <v>0.6</v>
      </c>
      <c r="Q74" s="59">
        <v>14.89</v>
      </c>
      <c r="R74" s="197"/>
      <c r="S74" s="197"/>
      <c r="T74" s="197"/>
      <c r="U74" s="197"/>
    </row>
    <row r="75" spans="1:21" s="12" customFormat="1" x14ac:dyDescent="0.25">
      <c r="A75" s="200" t="s">
        <v>1466</v>
      </c>
      <c r="B75" s="59">
        <v>0.35</v>
      </c>
      <c r="C75" s="59">
        <v>37.21</v>
      </c>
      <c r="D75" s="59">
        <v>20.82</v>
      </c>
      <c r="E75" s="59">
        <v>31.33</v>
      </c>
      <c r="F75" s="59">
        <v>84.36</v>
      </c>
      <c r="G75" s="59">
        <v>59.65</v>
      </c>
      <c r="H75" s="59">
        <v>25.82</v>
      </c>
      <c r="I75" s="59">
        <v>0.47</v>
      </c>
      <c r="J75" s="59">
        <v>0.06</v>
      </c>
      <c r="K75" s="59">
        <v>205.18</v>
      </c>
      <c r="L75" s="59">
        <v>33.07</v>
      </c>
      <c r="M75" s="59">
        <v>16.18</v>
      </c>
      <c r="N75" s="59">
        <v>104.7</v>
      </c>
      <c r="O75" s="59">
        <v>0</v>
      </c>
      <c r="P75" s="59">
        <v>0.52</v>
      </c>
      <c r="Q75" s="59">
        <v>11.07</v>
      </c>
      <c r="R75" s="197"/>
      <c r="S75" s="197"/>
      <c r="T75" s="197"/>
      <c r="U75" s="197"/>
    </row>
    <row r="76" spans="1:21" s="12" customFormat="1" x14ac:dyDescent="0.25">
      <c r="A76" s="200" t="s">
        <v>1467</v>
      </c>
      <c r="B76" s="59">
        <v>0.51</v>
      </c>
      <c r="C76" s="59">
        <v>46.49</v>
      </c>
      <c r="D76" s="59">
        <v>26.06</v>
      </c>
      <c r="E76" s="59">
        <v>12.4</v>
      </c>
      <c r="F76" s="59">
        <v>21.74</v>
      </c>
      <c r="G76" s="59">
        <v>58.71</v>
      </c>
      <c r="H76" s="59">
        <v>26.19</v>
      </c>
      <c r="I76" s="59">
        <v>0.45</v>
      </c>
      <c r="J76" s="59">
        <v>0.12</v>
      </c>
      <c r="K76" s="59">
        <v>323.89999999999998</v>
      </c>
      <c r="L76" s="59">
        <v>33.03</v>
      </c>
      <c r="M76" s="59">
        <v>17.13</v>
      </c>
      <c r="N76" s="59">
        <v>109</v>
      </c>
      <c r="O76" s="59">
        <v>0</v>
      </c>
      <c r="P76" s="59">
        <v>0.44</v>
      </c>
      <c r="Q76" s="59">
        <v>13.8</v>
      </c>
      <c r="R76" s="197"/>
      <c r="S76" s="197"/>
      <c r="T76" s="197"/>
      <c r="U76" s="197"/>
    </row>
    <row r="77" spans="1:21" s="12" customFormat="1" x14ac:dyDescent="0.25">
      <c r="A77" s="200" t="s">
        <v>1468</v>
      </c>
      <c r="B77" s="59">
        <v>0.89</v>
      </c>
      <c r="C77" s="59">
        <v>60.73</v>
      </c>
      <c r="D77" s="59">
        <v>34.229999999999997</v>
      </c>
      <c r="E77" s="59">
        <v>8.76</v>
      </c>
      <c r="F77" s="59">
        <v>21.97</v>
      </c>
      <c r="G77" s="59">
        <v>58.71</v>
      </c>
      <c r="H77" s="59">
        <v>26.19</v>
      </c>
      <c r="I77" s="59">
        <v>0.44</v>
      </c>
      <c r="J77" s="59">
        <v>0.14000000000000001</v>
      </c>
      <c r="K77" s="59">
        <v>30.21</v>
      </c>
      <c r="L77" s="59">
        <v>33.26</v>
      </c>
      <c r="M77" s="59">
        <v>16.649999999999999</v>
      </c>
      <c r="N77" s="59">
        <v>94.5</v>
      </c>
      <c r="O77" s="59">
        <v>0</v>
      </c>
      <c r="P77" s="59">
        <v>0.54</v>
      </c>
      <c r="Q77" s="59">
        <v>17.57</v>
      </c>
      <c r="R77" s="197"/>
      <c r="S77" s="197"/>
      <c r="T77" s="197"/>
      <c r="U77" s="197"/>
    </row>
    <row r="78" spans="1:21" s="12" customFormat="1" x14ac:dyDescent="0.25">
      <c r="A78" s="200" t="s">
        <v>1469</v>
      </c>
      <c r="B78" s="59">
        <v>1.18</v>
      </c>
      <c r="C78" s="59">
        <v>73.260000000000005</v>
      </c>
      <c r="D78" s="59">
        <v>41.38</v>
      </c>
      <c r="E78" s="59">
        <v>22.24</v>
      </c>
      <c r="F78" s="59">
        <v>63.59</v>
      </c>
      <c r="G78" s="59">
        <v>58.71</v>
      </c>
      <c r="H78" s="59">
        <v>26.19</v>
      </c>
      <c r="I78" s="59">
        <v>0.46</v>
      </c>
      <c r="J78" s="59">
        <v>0.08</v>
      </c>
      <c r="K78" s="59">
        <v>298.83999999999997</v>
      </c>
      <c r="L78" s="59">
        <v>32.799999999999997</v>
      </c>
      <c r="M78" s="59">
        <v>16.260000000000002</v>
      </c>
      <c r="N78" s="59">
        <v>44.1</v>
      </c>
      <c r="O78" s="59">
        <v>0</v>
      </c>
      <c r="P78" s="59">
        <v>0.83</v>
      </c>
      <c r="Q78" s="59">
        <v>18.670000000000002</v>
      </c>
      <c r="R78" s="197"/>
      <c r="S78" s="197"/>
      <c r="T78" s="197"/>
      <c r="U78" s="197"/>
    </row>
    <row r="79" spans="1:21" s="12" customFormat="1" x14ac:dyDescent="0.25">
      <c r="A79" s="200" t="s">
        <v>1470</v>
      </c>
      <c r="B79" s="59">
        <v>0.81</v>
      </c>
      <c r="C79" s="59">
        <v>89.89</v>
      </c>
      <c r="D79" s="59">
        <v>50.25</v>
      </c>
      <c r="E79" s="59">
        <v>24.86</v>
      </c>
      <c r="F79" s="59">
        <v>73.209999999999994</v>
      </c>
      <c r="G79" s="59">
        <v>56.7</v>
      </c>
      <c r="H79" s="59">
        <v>26.83</v>
      </c>
      <c r="I79" s="59">
        <v>0.47</v>
      </c>
      <c r="J79" s="59">
        <v>0.18</v>
      </c>
      <c r="K79" s="59">
        <v>289.73</v>
      </c>
      <c r="L79" s="59">
        <v>32.21</v>
      </c>
      <c r="M79" s="59">
        <v>17</v>
      </c>
      <c r="N79" s="59">
        <v>25.1</v>
      </c>
      <c r="O79" s="59">
        <v>0</v>
      </c>
      <c r="P79" s="59">
        <v>0.87</v>
      </c>
      <c r="Q79" s="59">
        <v>16.04</v>
      </c>
      <c r="R79" s="197"/>
      <c r="S79" s="197"/>
      <c r="T79" s="197"/>
      <c r="U79" s="197"/>
    </row>
    <row r="80" spans="1:21" s="12" customFormat="1" x14ac:dyDescent="0.25">
      <c r="A80" s="200" t="s">
        <v>1471</v>
      </c>
      <c r="B80" s="59">
        <v>0.75</v>
      </c>
      <c r="C80" s="59">
        <v>95.07</v>
      </c>
      <c r="D80" s="59">
        <v>53.07</v>
      </c>
      <c r="E80" s="59">
        <v>22.14</v>
      </c>
      <c r="F80" s="59">
        <v>49.14</v>
      </c>
      <c r="G80" s="59">
        <v>55.69</v>
      </c>
      <c r="H80" s="59">
        <v>27.15</v>
      </c>
      <c r="I80" s="59">
        <v>0.53</v>
      </c>
      <c r="J80" s="59">
        <v>0.08</v>
      </c>
      <c r="K80" s="59">
        <v>302.42</v>
      </c>
      <c r="L80" s="59">
        <v>31.38</v>
      </c>
      <c r="M80" s="59">
        <v>18.95</v>
      </c>
      <c r="N80" s="59">
        <v>14.4</v>
      </c>
      <c r="O80" s="59">
        <v>0</v>
      </c>
      <c r="P80" s="59">
        <v>1.4</v>
      </c>
      <c r="Q80" s="59">
        <v>14.09</v>
      </c>
      <c r="R80" s="197"/>
      <c r="S80" s="197"/>
      <c r="T80" s="197"/>
      <c r="U80" s="197"/>
    </row>
    <row r="81" spans="1:26" s="12" customFormat="1" x14ac:dyDescent="0.25">
      <c r="A81" s="200" t="s">
        <v>1472</v>
      </c>
      <c r="B81" s="59">
        <v>1.1200000000000001</v>
      </c>
      <c r="C81" s="59">
        <v>102.9</v>
      </c>
      <c r="D81" s="59">
        <v>57.68</v>
      </c>
      <c r="E81" s="59">
        <v>19.829999999999998</v>
      </c>
      <c r="F81" s="59">
        <v>29.31</v>
      </c>
      <c r="G81" s="59">
        <v>55.69</v>
      </c>
      <c r="H81" s="59">
        <v>27.15</v>
      </c>
      <c r="I81" s="59">
        <v>0.59</v>
      </c>
      <c r="J81" s="59">
        <v>0.14000000000000001</v>
      </c>
      <c r="K81" s="59">
        <v>136.22</v>
      </c>
      <c r="L81" s="59">
        <v>30.14</v>
      </c>
      <c r="M81" s="59">
        <v>22.85</v>
      </c>
      <c r="N81" s="59">
        <v>7.4</v>
      </c>
      <c r="O81" s="59">
        <v>0</v>
      </c>
      <c r="P81" s="59">
        <v>1.1000000000000001</v>
      </c>
      <c r="Q81" s="59">
        <v>13.84</v>
      </c>
      <c r="R81" s="197"/>
      <c r="S81" s="197"/>
      <c r="T81" s="197"/>
      <c r="U81" s="197"/>
    </row>
    <row r="82" spans="1:26" s="12" customFormat="1" x14ac:dyDescent="0.25">
      <c r="A82" s="200" t="s">
        <v>1473</v>
      </c>
      <c r="B82" s="59">
        <v>1.88</v>
      </c>
      <c r="C82" s="59">
        <v>111.53</v>
      </c>
      <c r="D82" s="59">
        <v>63.06</v>
      </c>
      <c r="E82" s="59">
        <v>17.34</v>
      </c>
      <c r="F82" s="59">
        <v>6.12</v>
      </c>
      <c r="G82" s="59">
        <v>55.69</v>
      </c>
      <c r="H82" s="59">
        <v>27.15</v>
      </c>
      <c r="I82" s="59">
        <v>0.61</v>
      </c>
      <c r="J82" s="59">
        <v>0.17</v>
      </c>
      <c r="K82" s="59">
        <v>118.59</v>
      </c>
      <c r="L82" s="59">
        <v>29.04</v>
      </c>
      <c r="M82" s="59">
        <v>26.51</v>
      </c>
      <c r="N82" s="59">
        <v>5.2</v>
      </c>
      <c r="O82" s="59">
        <v>0</v>
      </c>
      <c r="P82" s="59">
        <v>1.51</v>
      </c>
      <c r="Q82" s="59">
        <v>14.92</v>
      </c>
      <c r="R82" s="197"/>
      <c r="S82" s="197"/>
      <c r="T82" s="197"/>
      <c r="U82" s="197"/>
    </row>
    <row r="83" spans="1:26" s="12" customFormat="1" x14ac:dyDescent="0.25">
      <c r="A83" s="200" t="s">
        <v>1474</v>
      </c>
      <c r="B83" s="59">
        <v>3.87</v>
      </c>
      <c r="C83" s="59">
        <v>119.75</v>
      </c>
      <c r="D83" s="59">
        <v>69.19</v>
      </c>
      <c r="E83" s="59">
        <v>16.07</v>
      </c>
      <c r="F83" s="59">
        <v>5.5</v>
      </c>
      <c r="G83" s="59">
        <v>65.8</v>
      </c>
      <c r="H83" s="59">
        <v>28.01</v>
      </c>
      <c r="I83" s="59">
        <v>0.71</v>
      </c>
      <c r="J83" s="59">
        <v>0.16</v>
      </c>
      <c r="K83" s="59">
        <v>116.16</v>
      </c>
      <c r="L83" s="59">
        <v>28.26</v>
      </c>
      <c r="M83" s="59">
        <v>30.63</v>
      </c>
      <c r="N83" s="59">
        <v>4.8</v>
      </c>
      <c r="O83" s="59">
        <v>0</v>
      </c>
      <c r="P83" s="59">
        <v>2.2200000000000002</v>
      </c>
      <c r="Q83" s="59">
        <v>15</v>
      </c>
      <c r="R83" s="197"/>
      <c r="S83" s="197"/>
      <c r="T83" s="197"/>
      <c r="U83" s="197"/>
    </row>
    <row r="84" spans="1:26" s="12" customFormat="1" x14ac:dyDescent="0.25">
      <c r="A84" s="200" t="s">
        <v>1475</v>
      </c>
      <c r="B84" s="59">
        <v>6.72</v>
      </c>
      <c r="C84" s="59">
        <v>126.6</v>
      </c>
      <c r="D84" s="59">
        <v>75.260000000000005</v>
      </c>
      <c r="E84" s="59">
        <v>16.170000000000002</v>
      </c>
      <c r="F84" s="59">
        <v>4.09</v>
      </c>
      <c r="G84" s="59">
        <v>70.849999999999994</v>
      </c>
      <c r="H84" s="59">
        <v>28.45</v>
      </c>
      <c r="I84" s="59">
        <v>0.88</v>
      </c>
      <c r="J84" s="59">
        <v>0.16</v>
      </c>
      <c r="K84" s="59">
        <v>134.46</v>
      </c>
      <c r="L84" s="59">
        <v>27.69</v>
      </c>
      <c r="M84" s="59">
        <v>32.229999999999997</v>
      </c>
      <c r="N84" s="59">
        <v>4.5999999999999996</v>
      </c>
      <c r="O84" s="59">
        <v>0</v>
      </c>
      <c r="P84" s="59">
        <v>1.87</v>
      </c>
      <c r="Q84" s="59">
        <v>16.13</v>
      </c>
      <c r="R84" s="197"/>
      <c r="S84" s="197"/>
      <c r="T84" s="197"/>
      <c r="U84" s="197"/>
    </row>
    <row r="85" spans="1:26" s="12" customFormat="1" x14ac:dyDescent="0.25">
      <c r="A85" s="200" t="s">
        <v>1476</v>
      </c>
      <c r="B85" s="59">
        <v>10.14</v>
      </c>
      <c r="C85" s="59">
        <v>133.06</v>
      </c>
      <c r="D85" s="59">
        <v>81.569999999999993</v>
      </c>
      <c r="E85" s="59">
        <v>17.170000000000002</v>
      </c>
      <c r="F85" s="59">
        <v>3.65</v>
      </c>
      <c r="G85" s="59">
        <v>70.849999999999994</v>
      </c>
      <c r="H85" s="59">
        <v>28.45</v>
      </c>
      <c r="I85" s="59">
        <v>0.99</v>
      </c>
      <c r="J85" s="59">
        <v>7.0000000000000007E-2</v>
      </c>
      <c r="K85" s="59">
        <v>156.9</v>
      </c>
      <c r="L85" s="59">
        <v>27.34</v>
      </c>
      <c r="M85" s="59">
        <v>32.96</v>
      </c>
      <c r="N85" s="59">
        <v>4.8</v>
      </c>
      <c r="O85" s="59">
        <v>0</v>
      </c>
      <c r="P85" s="59">
        <v>1.8</v>
      </c>
      <c r="Q85" s="59">
        <v>17.059999999999999</v>
      </c>
      <c r="R85" s="197"/>
      <c r="S85" s="197"/>
      <c r="T85" s="197"/>
      <c r="U85" s="197"/>
    </row>
    <row r="86" spans="1:26" s="12" customFormat="1" x14ac:dyDescent="0.25">
      <c r="A86" s="200" t="s">
        <v>1477</v>
      </c>
      <c r="B86" s="59">
        <v>16.399999999999999</v>
      </c>
      <c r="C86" s="59">
        <v>142.69</v>
      </c>
      <c r="D86" s="59">
        <v>91.89</v>
      </c>
      <c r="E86" s="59">
        <v>12.64</v>
      </c>
      <c r="F86" s="59">
        <v>3.84</v>
      </c>
      <c r="G86" s="59">
        <v>70.849999999999994</v>
      </c>
      <c r="H86" s="59">
        <v>28.45</v>
      </c>
      <c r="I86" s="59">
        <v>1.07</v>
      </c>
      <c r="J86" s="59">
        <v>7.0000000000000007E-2</v>
      </c>
      <c r="K86" s="59">
        <v>26.35</v>
      </c>
      <c r="L86" s="59">
        <v>26.66</v>
      </c>
      <c r="M86" s="59">
        <v>36.200000000000003</v>
      </c>
      <c r="N86" s="59">
        <v>5.2</v>
      </c>
      <c r="O86" s="59">
        <v>0</v>
      </c>
      <c r="P86" s="59">
        <v>2.4700000000000002</v>
      </c>
      <c r="Q86" s="59">
        <v>19.13</v>
      </c>
      <c r="R86" s="197"/>
      <c r="S86" s="197"/>
      <c r="T86" s="197"/>
      <c r="U86" s="197"/>
    </row>
    <row r="87" spans="1:26" s="12" customFormat="1" x14ac:dyDescent="0.25">
      <c r="A87" s="200" t="s">
        <v>1478</v>
      </c>
      <c r="B87" s="59">
        <v>28.31</v>
      </c>
      <c r="C87" s="59">
        <v>157.15</v>
      </c>
      <c r="D87" s="59">
        <v>109.43</v>
      </c>
      <c r="E87" s="59">
        <v>13.67</v>
      </c>
      <c r="F87" s="59">
        <v>3.89</v>
      </c>
      <c r="G87" s="59">
        <v>133.66</v>
      </c>
      <c r="H87" s="59">
        <v>33.29</v>
      </c>
      <c r="I87" s="59">
        <v>1.05</v>
      </c>
      <c r="J87" s="59">
        <v>0.08</v>
      </c>
      <c r="K87" s="59">
        <v>29.29</v>
      </c>
      <c r="L87" s="59">
        <v>26.29</v>
      </c>
      <c r="M87" s="59">
        <v>37.32</v>
      </c>
      <c r="N87" s="59">
        <v>4.8</v>
      </c>
      <c r="O87" s="59">
        <v>0</v>
      </c>
      <c r="P87" s="59">
        <v>3.08</v>
      </c>
      <c r="Q87" s="59">
        <v>19.89</v>
      </c>
      <c r="R87" s="197"/>
      <c r="S87" s="197"/>
      <c r="T87" s="197"/>
      <c r="U87" s="197"/>
    </row>
    <row r="88" spans="1:26" s="12" customFormat="1" x14ac:dyDescent="0.25">
      <c r="A88" s="200" t="s">
        <v>1479</v>
      </c>
      <c r="B88" s="59">
        <v>42.24</v>
      </c>
      <c r="C88" s="59">
        <v>169.51</v>
      </c>
      <c r="D88" s="59">
        <v>127.42</v>
      </c>
      <c r="E88" s="59">
        <v>8.39</v>
      </c>
      <c r="F88" s="59">
        <v>3.81</v>
      </c>
      <c r="G88" s="59">
        <v>165.06</v>
      </c>
      <c r="H88" s="59">
        <v>35.71</v>
      </c>
      <c r="I88" s="59">
        <v>1.24</v>
      </c>
      <c r="J88" s="59">
        <v>0.1</v>
      </c>
      <c r="K88" s="59">
        <v>31.25</v>
      </c>
      <c r="L88" s="59">
        <v>25.88</v>
      </c>
      <c r="M88" s="59">
        <v>38.880000000000003</v>
      </c>
      <c r="N88" s="59">
        <v>4.8</v>
      </c>
      <c r="O88" s="59">
        <v>0</v>
      </c>
      <c r="P88" s="59">
        <v>2.96</v>
      </c>
      <c r="Q88" s="59">
        <v>23.24</v>
      </c>
      <c r="R88" s="197"/>
      <c r="S88" s="197"/>
      <c r="T88" s="197"/>
      <c r="U88" s="197"/>
    </row>
    <row r="89" spans="1:26" s="12" customFormat="1" x14ac:dyDescent="0.25">
      <c r="A89" s="200" t="s">
        <v>1480</v>
      </c>
      <c r="B89" s="59">
        <v>55.74</v>
      </c>
      <c r="C89" s="59">
        <v>181.47</v>
      </c>
      <c r="D89" s="59">
        <v>144.85</v>
      </c>
      <c r="E89" s="59">
        <v>9.77</v>
      </c>
      <c r="F89" s="59">
        <v>3.91</v>
      </c>
      <c r="G89" s="59">
        <v>165.06</v>
      </c>
      <c r="H89" s="59">
        <v>35.71</v>
      </c>
      <c r="I89" s="59">
        <v>1.43</v>
      </c>
      <c r="J89" s="59">
        <v>0.27</v>
      </c>
      <c r="K89" s="59">
        <v>26.58</v>
      </c>
      <c r="L89" s="59">
        <v>25.5</v>
      </c>
      <c r="M89" s="59">
        <v>44.23</v>
      </c>
      <c r="N89" s="59">
        <v>4.7</v>
      </c>
      <c r="O89" s="59">
        <v>0</v>
      </c>
      <c r="P89" s="59">
        <v>5.07</v>
      </c>
      <c r="Q89" s="59">
        <v>23.58</v>
      </c>
      <c r="R89" s="197"/>
      <c r="S89" s="197"/>
      <c r="T89" s="197"/>
      <c r="U89" s="197"/>
    </row>
    <row r="90" spans="1:26" s="12" customFormat="1" x14ac:dyDescent="0.25">
      <c r="A90" s="200" t="s">
        <v>1481</v>
      </c>
      <c r="B90" s="59">
        <v>73.260000000000005</v>
      </c>
      <c r="C90" s="59">
        <v>193.96</v>
      </c>
      <c r="D90" s="59">
        <v>165.79</v>
      </c>
      <c r="E90" s="59">
        <v>10.85</v>
      </c>
      <c r="F90" s="59">
        <v>3.57</v>
      </c>
      <c r="G90" s="59">
        <v>165.06</v>
      </c>
      <c r="H90" s="59">
        <v>35.71</v>
      </c>
      <c r="I90" s="59">
        <v>1.53</v>
      </c>
      <c r="J90" s="59">
        <v>0.16</v>
      </c>
      <c r="K90" s="59">
        <v>86.04</v>
      </c>
      <c r="L90" s="59">
        <v>25.51</v>
      </c>
      <c r="M90" s="59">
        <v>42.59</v>
      </c>
      <c r="N90" s="59">
        <v>4.4000000000000004</v>
      </c>
      <c r="O90" s="59">
        <v>0</v>
      </c>
      <c r="P90" s="59">
        <v>4.53</v>
      </c>
      <c r="Q90" s="59">
        <v>24.52</v>
      </c>
      <c r="R90" s="197"/>
      <c r="S90" s="197"/>
      <c r="T90" s="197"/>
      <c r="U90" s="197"/>
    </row>
    <row r="91" spans="1:26" s="12" customFormat="1" x14ac:dyDescent="0.25">
      <c r="A91" s="200" t="s">
        <v>1482</v>
      </c>
      <c r="B91" s="59">
        <v>92.03</v>
      </c>
      <c r="C91" s="59">
        <v>206.49</v>
      </c>
      <c r="D91" s="59">
        <v>187.76</v>
      </c>
      <c r="E91" s="59">
        <v>10.72</v>
      </c>
      <c r="F91" s="59">
        <v>3.53</v>
      </c>
      <c r="G91" s="59">
        <v>207.38</v>
      </c>
      <c r="H91" s="59">
        <v>48.41</v>
      </c>
      <c r="I91" s="59">
        <v>1.76</v>
      </c>
      <c r="J91" s="59">
        <v>0.1</v>
      </c>
      <c r="K91" s="59">
        <v>92.6</v>
      </c>
      <c r="L91" s="59">
        <v>25.13</v>
      </c>
      <c r="M91" s="59">
        <v>42.75</v>
      </c>
      <c r="N91" s="59">
        <v>4.8</v>
      </c>
      <c r="O91" s="59">
        <v>0</v>
      </c>
      <c r="P91" s="59">
        <v>3.45</v>
      </c>
      <c r="Q91" s="59">
        <v>25.3</v>
      </c>
      <c r="R91" s="197"/>
      <c r="S91" s="197"/>
      <c r="T91" s="197"/>
      <c r="U91" s="197"/>
    </row>
    <row r="92" spans="1:26" s="12" customFormat="1" x14ac:dyDescent="0.25">
      <c r="A92" s="200" t="s">
        <v>1483</v>
      </c>
      <c r="B92" s="59">
        <v>112.74</v>
      </c>
      <c r="C92" s="59">
        <v>219.33</v>
      </c>
      <c r="D92" s="59">
        <v>211.45</v>
      </c>
      <c r="E92" s="59">
        <v>9.56</v>
      </c>
      <c r="F92" s="59">
        <v>3.67</v>
      </c>
      <c r="G92" s="59">
        <v>228.54</v>
      </c>
      <c r="H92" s="59">
        <v>54.77</v>
      </c>
      <c r="I92" s="59">
        <v>1.95</v>
      </c>
      <c r="J92" s="59">
        <v>0.1</v>
      </c>
      <c r="K92" s="59">
        <v>54.77</v>
      </c>
      <c r="L92" s="59">
        <v>24.69</v>
      </c>
      <c r="M92" s="59">
        <v>47.09</v>
      </c>
      <c r="N92" s="59">
        <v>4.8</v>
      </c>
      <c r="O92" s="59">
        <v>0</v>
      </c>
      <c r="P92" s="59">
        <v>4.93</v>
      </c>
      <c r="Q92" s="59">
        <v>26.58</v>
      </c>
      <c r="R92" s="197"/>
      <c r="S92" s="197"/>
      <c r="T92" s="197"/>
      <c r="U92" s="197"/>
    </row>
    <row r="93" spans="1:26" s="12" customFormat="1" x14ac:dyDescent="0.25">
      <c r="A93" s="200" t="s">
        <v>1484</v>
      </c>
      <c r="B93" s="59">
        <v>124.62</v>
      </c>
      <c r="C93" s="59">
        <v>224.48</v>
      </c>
      <c r="D93" s="59">
        <v>223.82</v>
      </c>
      <c r="E93" s="59">
        <v>11.2</v>
      </c>
      <c r="F93" s="59">
        <v>3.4</v>
      </c>
      <c r="G93" s="59">
        <v>228.54</v>
      </c>
      <c r="H93" s="59">
        <v>54.77</v>
      </c>
      <c r="I93" s="59">
        <v>1.72</v>
      </c>
      <c r="J93" s="59">
        <v>0.06</v>
      </c>
      <c r="K93" s="59">
        <v>137.24</v>
      </c>
      <c r="L93" s="59">
        <v>24.63</v>
      </c>
      <c r="M93" s="59">
        <v>48.03</v>
      </c>
      <c r="N93" s="59">
        <v>4.5999999999999996</v>
      </c>
      <c r="O93" s="59">
        <v>0</v>
      </c>
      <c r="P93" s="59">
        <v>6.09</v>
      </c>
      <c r="Q93" s="59">
        <v>26.36</v>
      </c>
      <c r="R93" s="197"/>
      <c r="S93" s="197"/>
      <c r="T93" s="197"/>
      <c r="U93" s="197"/>
    </row>
    <row r="94" spans="1:26" s="12" customFormat="1" x14ac:dyDescent="0.25">
      <c r="A94" s="200" t="s">
        <v>1485</v>
      </c>
      <c r="B94" s="59">
        <v>134.24</v>
      </c>
      <c r="C94" s="59">
        <v>229.11</v>
      </c>
      <c r="D94" s="59">
        <v>234.09</v>
      </c>
      <c r="E94" s="59">
        <v>12.11</v>
      </c>
      <c r="F94" s="59">
        <v>3.21</v>
      </c>
      <c r="G94" s="59">
        <v>228.54</v>
      </c>
      <c r="H94" s="59">
        <v>54.77</v>
      </c>
      <c r="I94" s="59">
        <v>2.06</v>
      </c>
      <c r="J94" s="59">
        <v>0.12</v>
      </c>
      <c r="K94" s="59">
        <v>121.34</v>
      </c>
      <c r="L94" s="59">
        <v>24.64</v>
      </c>
      <c r="M94" s="59">
        <v>46.74</v>
      </c>
      <c r="N94" s="59">
        <v>4.4000000000000004</v>
      </c>
      <c r="O94" s="59">
        <v>0</v>
      </c>
      <c r="P94" s="59">
        <v>4.55</v>
      </c>
      <c r="Q94" s="59">
        <v>26.19</v>
      </c>
      <c r="R94" s="197"/>
      <c r="S94" s="197"/>
      <c r="T94" s="197"/>
      <c r="U94" s="197"/>
    </row>
    <row r="95" spans="1:26" s="12" customFormat="1" x14ac:dyDescent="0.25">
      <c r="A95" s="200" t="s">
        <v>1486</v>
      </c>
      <c r="B95" s="59">
        <v>144.06</v>
      </c>
      <c r="C95" s="59">
        <v>233.32</v>
      </c>
      <c r="D95" s="59">
        <v>244.29</v>
      </c>
      <c r="E95" s="59">
        <v>11.48</v>
      </c>
      <c r="F95" s="59">
        <v>3.46</v>
      </c>
      <c r="G95" s="59">
        <v>236.99</v>
      </c>
      <c r="H95" s="59">
        <v>62.93</v>
      </c>
      <c r="I95" s="59">
        <v>2.2400000000000002</v>
      </c>
      <c r="J95" s="59">
        <v>0.17</v>
      </c>
      <c r="K95" s="59">
        <v>11.48</v>
      </c>
      <c r="L95" s="59">
        <v>24.63</v>
      </c>
      <c r="M95" s="59">
        <v>48.9</v>
      </c>
      <c r="N95" s="59">
        <v>4.5999999999999996</v>
      </c>
      <c r="O95" s="59">
        <v>0</v>
      </c>
      <c r="P95" s="59">
        <v>5.36</v>
      </c>
      <c r="Q95" s="59">
        <v>26.92</v>
      </c>
      <c r="R95" s="197"/>
      <c r="S95" s="197"/>
      <c r="T95" s="197"/>
      <c r="U95" s="197"/>
    </row>
    <row r="96" spans="1:26" s="12" customFormat="1" x14ac:dyDescent="0.25">
      <c r="A96" s="200" t="s">
        <v>1487</v>
      </c>
      <c r="B96" s="59">
        <v>152.1</v>
      </c>
      <c r="C96" s="59">
        <v>236.03</v>
      </c>
      <c r="D96" s="59">
        <v>252.23</v>
      </c>
      <c r="E96" s="59">
        <v>10.4</v>
      </c>
      <c r="F96" s="59">
        <v>3.34</v>
      </c>
      <c r="G96" s="59">
        <v>241.21</v>
      </c>
      <c r="H96" s="59">
        <v>67.010000000000005</v>
      </c>
      <c r="I96" s="59">
        <v>2.12</v>
      </c>
      <c r="J96" s="59">
        <v>0.18</v>
      </c>
      <c r="K96" s="59">
        <v>5.82</v>
      </c>
      <c r="L96" s="59">
        <v>24.49</v>
      </c>
      <c r="M96" s="59">
        <v>47.51</v>
      </c>
      <c r="N96" s="59">
        <v>4.4000000000000004</v>
      </c>
      <c r="O96" s="59">
        <v>0</v>
      </c>
      <c r="P96" s="59">
        <v>4.74</v>
      </c>
      <c r="Q96" s="59">
        <v>30.3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1488</v>
      </c>
      <c r="B97" s="59">
        <v>154.26</v>
      </c>
      <c r="C97" s="59">
        <v>235.48</v>
      </c>
      <c r="D97" s="59">
        <v>253.66</v>
      </c>
      <c r="E97" s="59">
        <v>12.37</v>
      </c>
      <c r="F97" s="59">
        <v>15.23</v>
      </c>
      <c r="G97" s="59">
        <v>241.21</v>
      </c>
      <c r="H97" s="59">
        <v>67.010000000000005</v>
      </c>
      <c r="I97" s="59">
        <v>2.16</v>
      </c>
      <c r="J97" s="59">
        <v>0.03</v>
      </c>
      <c r="K97" s="59">
        <v>308.01</v>
      </c>
      <c r="L97" s="59">
        <v>24.69</v>
      </c>
      <c r="M97" s="59">
        <v>38.71</v>
      </c>
      <c r="N97" s="59">
        <v>4.8</v>
      </c>
      <c r="O97" s="59">
        <v>0</v>
      </c>
      <c r="P97" s="59">
        <v>1.83</v>
      </c>
      <c r="Q97" s="59">
        <v>36.47</v>
      </c>
      <c r="R97" s="197"/>
      <c r="S97" s="197"/>
      <c r="T97" s="197"/>
      <c r="U97" s="197"/>
    </row>
    <row r="98" spans="1:33" s="12" customFormat="1" x14ac:dyDescent="0.25">
      <c r="A98" s="200" t="s">
        <v>1489</v>
      </c>
      <c r="B98" s="59">
        <v>151.38</v>
      </c>
      <c r="C98" s="59">
        <v>231.69</v>
      </c>
      <c r="D98" s="59">
        <v>249.26</v>
      </c>
      <c r="E98" s="59">
        <v>14.06</v>
      </c>
      <c r="F98" s="59">
        <v>7.31</v>
      </c>
      <c r="G98" s="59">
        <v>241.21</v>
      </c>
      <c r="H98" s="59">
        <v>67.010000000000005</v>
      </c>
      <c r="I98" s="59">
        <v>1.73</v>
      </c>
      <c r="J98" s="59">
        <v>7.0000000000000007E-2</v>
      </c>
      <c r="K98" s="59">
        <v>109.64</v>
      </c>
      <c r="L98" s="59">
        <v>24.8</v>
      </c>
      <c r="M98" s="59">
        <v>39.11</v>
      </c>
      <c r="N98" s="59">
        <v>4.5999999999999996</v>
      </c>
      <c r="O98" s="59">
        <v>0</v>
      </c>
      <c r="P98" s="59">
        <v>2.85</v>
      </c>
      <c r="Q98" s="59">
        <v>37.15</v>
      </c>
      <c r="R98" s="197"/>
      <c r="S98" s="197"/>
      <c r="T98" s="197"/>
      <c r="U98" s="197"/>
    </row>
    <row r="99" spans="1:33" s="12" customFormat="1" x14ac:dyDescent="0.25">
      <c r="A99" s="200" t="s">
        <v>1490</v>
      </c>
      <c r="B99" s="59">
        <v>149.24</v>
      </c>
      <c r="C99" s="59">
        <v>229.55</v>
      </c>
      <c r="D99" s="59">
        <v>246.37</v>
      </c>
      <c r="E99" s="59">
        <v>12.15</v>
      </c>
      <c r="F99" s="59">
        <v>3.35</v>
      </c>
      <c r="G99" s="59">
        <v>187.93</v>
      </c>
      <c r="H99" s="59">
        <v>63.47</v>
      </c>
      <c r="I99" s="59">
        <v>1.04</v>
      </c>
      <c r="J99" s="59">
        <v>0.09</v>
      </c>
      <c r="K99" s="59">
        <v>48.88</v>
      </c>
      <c r="L99" s="59">
        <v>24.42</v>
      </c>
      <c r="M99" s="59">
        <v>42.85</v>
      </c>
      <c r="N99" s="59">
        <v>4.9000000000000004</v>
      </c>
      <c r="O99" s="59">
        <v>0</v>
      </c>
      <c r="P99" s="59">
        <v>2.78</v>
      </c>
      <c r="Q99" s="59">
        <v>35.22</v>
      </c>
      <c r="R99" s="197"/>
      <c r="S99" s="197"/>
      <c r="T99" s="197"/>
      <c r="U99" s="197"/>
    </row>
    <row r="100" spans="1:33" s="12" customFormat="1" x14ac:dyDescent="0.25">
      <c r="A100" s="200" t="s">
        <v>1491</v>
      </c>
      <c r="B100" s="59">
        <v>149.25</v>
      </c>
      <c r="C100" s="59">
        <v>229.05</v>
      </c>
      <c r="D100" s="59">
        <v>246.09</v>
      </c>
      <c r="E100" s="59">
        <v>8.59</v>
      </c>
      <c r="F100" s="59">
        <v>3.44</v>
      </c>
      <c r="G100" s="59">
        <v>161.29</v>
      </c>
      <c r="H100" s="59">
        <v>61.7</v>
      </c>
      <c r="I100" s="59">
        <v>1.08</v>
      </c>
      <c r="J100" s="59">
        <v>0.13</v>
      </c>
      <c r="K100" s="59">
        <v>37.299999999999997</v>
      </c>
      <c r="L100" s="59">
        <v>23.94</v>
      </c>
      <c r="M100" s="59">
        <v>45.78</v>
      </c>
      <c r="N100" s="59">
        <v>4.8</v>
      </c>
      <c r="O100" s="59">
        <v>0</v>
      </c>
      <c r="P100" s="59">
        <v>2.94</v>
      </c>
      <c r="Q100" s="59">
        <v>36.28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1492</v>
      </c>
      <c r="B101" s="59">
        <v>149.12</v>
      </c>
      <c r="C101" s="59">
        <v>228.73</v>
      </c>
      <c r="D101" s="59">
        <v>245.82</v>
      </c>
      <c r="E101" s="59">
        <v>6.31</v>
      </c>
      <c r="F101" s="59">
        <v>3.46</v>
      </c>
      <c r="G101" s="59">
        <v>161.29</v>
      </c>
      <c r="H101" s="59">
        <v>61.7</v>
      </c>
      <c r="I101" s="59">
        <v>1.29</v>
      </c>
      <c r="J101" s="59">
        <v>7.0000000000000007E-2</v>
      </c>
      <c r="K101" s="59">
        <v>128.46</v>
      </c>
      <c r="L101" s="59">
        <v>24.11</v>
      </c>
      <c r="M101" s="59">
        <v>44.12</v>
      </c>
      <c r="N101" s="59">
        <v>4.5999999999999996</v>
      </c>
      <c r="O101" s="59">
        <v>0</v>
      </c>
      <c r="P101" s="59">
        <v>2.89</v>
      </c>
      <c r="Q101" s="59">
        <v>38.32</v>
      </c>
      <c r="R101" s="197"/>
      <c r="S101" s="197"/>
      <c r="T101" s="197"/>
      <c r="U101" s="197"/>
    </row>
    <row r="102" spans="1:33" s="12" customFormat="1" x14ac:dyDescent="0.25">
      <c r="A102" s="200" t="s">
        <v>1493</v>
      </c>
      <c r="B102" s="59">
        <v>147.85</v>
      </c>
      <c r="C102" s="59">
        <v>227.98</v>
      </c>
      <c r="D102" s="59">
        <v>244.38</v>
      </c>
      <c r="E102" s="59">
        <v>5.1100000000000003</v>
      </c>
      <c r="F102" s="59">
        <v>3.44</v>
      </c>
      <c r="G102" s="59">
        <v>161.29</v>
      </c>
      <c r="H102" s="59">
        <v>61.7</v>
      </c>
      <c r="I102" s="59">
        <v>1.39</v>
      </c>
      <c r="J102" s="59">
        <v>0.17</v>
      </c>
      <c r="K102" s="59">
        <v>41.37</v>
      </c>
      <c r="L102" s="59">
        <v>23.82</v>
      </c>
      <c r="M102" s="59">
        <v>48.3</v>
      </c>
      <c r="N102" s="59">
        <v>4.7</v>
      </c>
      <c r="O102" s="59">
        <v>0</v>
      </c>
      <c r="P102" s="59">
        <v>2.92</v>
      </c>
      <c r="Q102" s="59">
        <v>38.71</v>
      </c>
      <c r="R102" s="197"/>
      <c r="S102" s="197"/>
      <c r="T102" s="197"/>
      <c r="U102" s="197"/>
    </row>
    <row r="103" spans="1:33" s="12" customFormat="1" x14ac:dyDescent="0.25">
      <c r="A103" s="200" t="s">
        <v>1494</v>
      </c>
      <c r="B103" s="59">
        <v>147.13999999999999</v>
      </c>
      <c r="C103" s="59">
        <v>228.15</v>
      </c>
      <c r="D103" s="59">
        <v>243.9</v>
      </c>
      <c r="E103" s="59">
        <v>5.23</v>
      </c>
      <c r="F103" s="59">
        <v>3.78</v>
      </c>
      <c r="G103" s="59">
        <v>153.03</v>
      </c>
      <c r="H103" s="59">
        <v>60.4</v>
      </c>
      <c r="I103" s="59">
        <v>1.43</v>
      </c>
      <c r="J103" s="59">
        <v>0.14000000000000001</v>
      </c>
      <c r="K103" s="59">
        <v>51.23</v>
      </c>
      <c r="L103" s="59">
        <v>23.42</v>
      </c>
      <c r="M103" s="59">
        <v>48.21</v>
      </c>
      <c r="N103" s="59">
        <v>4.8</v>
      </c>
      <c r="O103" s="59">
        <v>0</v>
      </c>
      <c r="P103" s="59">
        <v>2.78</v>
      </c>
      <c r="Q103" s="59">
        <v>38.369999999999997</v>
      </c>
      <c r="R103" s="197"/>
      <c r="S103" s="197"/>
      <c r="T103" s="197"/>
      <c r="U103" s="197"/>
    </row>
    <row r="104" spans="1:33" s="12" customFormat="1" x14ac:dyDescent="0.25">
      <c r="A104" s="200" t="s">
        <v>1495</v>
      </c>
      <c r="B104" s="59">
        <v>141.88999999999999</v>
      </c>
      <c r="C104" s="59">
        <v>224.94</v>
      </c>
      <c r="D104" s="59">
        <v>237.92</v>
      </c>
      <c r="E104" s="59">
        <v>3.45</v>
      </c>
      <c r="F104" s="59">
        <v>4.0199999999999996</v>
      </c>
      <c r="G104" s="59">
        <v>148.9</v>
      </c>
      <c r="H104" s="59">
        <v>59.76</v>
      </c>
      <c r="I104" s="59">
        <v>1.43</v>
      </c>
      <c r="J104" s="59">
        <v>0.15</v>
      </c>
      <c r="K104" s="59">
        <v>276.55</v>
      </c>
      <c r="L104" s="59">
        <v>23.91</v>
      </c>
      <c r="M104" s="59">
        <v>45.49</v>
      </c>
      <c r="N104" s="59">
        <v>4.3</v>
      </c>
      <c r="O104" s="59">
        <v>0</v>
      </c>
      <c r="P104" s="59">
        <v>2.84</v>
      </c>
      <c r="Q104" s="59">
        <v>38.659999999999997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-0.28999999999999998</v>
      </c>
      <c r="C106" s="66">
        <f>MIN(C9:C104)</f>
        <v>8.65</v>
      </c>
      <c r="D106" s="66">
        <f t="shared" ref="D106:Q106" si="0">MIN(D9:D104)</f>
        <v>4.54</v>
      </c>
      <c r="E106" s="66">
        <f t="shared" si="0"/>
        <v>0.25</v>
      </c>
      <c r="F106" s="66">
        <f t="shared" si="0"/>
        <v>2.78</v>
      </c>
      <c r="G106" s="66">
        <f t="shared" si="0"/>
        <v>37.549999999999997</v>
      </c>
      <c r="H106" s="66">
        <f t="shared" si="0"/>
        <v>13.92</v>
      </c>
      <c r="I106" s="66">
        <f t="shared" si="0"/>
        <v>0.44</v>
      </c>
      <c r="J106" s="66">
        <f t="shared" si="0"/>
        <v>0.03</v>
      </c>
      <c r="K106" s="66">
        <f t="shared" si="0"/>
        <v>0</v>
      </c>
      <c r="L106" s="66">
        <f t="shared" si="0"/>
        <v>21.35</v>
      </c>
      <c r="M106" s="66">
        <f t="shared" si="0"/>
        <v>14.53</v>
      </c>
      <c r="N106" s="66">
        <f t="shared" si="0"/>
        <v>2.5</v>
      </c>
      <c r="O106" s="66">
        <f t="shared" si="0"/>
        <v>0</v>
      </c>
      <c r="P106" s="66">
        <f t="shared" si="0"/>
        <v>-0.01</v>
      </c>
      <c r="Q106" s="66">
        <f t="shared" si="0"/>
        <v>11.07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154.26</v>
      </c>
      <c r="C107" s="65">
        <f t="shared" ref="C107:Q107" si="1">MAX(C9:C104)</f>
        <v>236.03</v>
      </c>
      <c r="D107" s="65">
        <f t="shared" si="1"/>
        <v>253.66</v>
      </c>
      <c r="E107" s="65">
        <f t="shared" si="1"/>
        <v>57.9</v>
      </c>
      <c r="F107" s="65">
        <f t="shared" si="1"/>
        <v>84.36</v>
      </c>
      <c r="G107" s="65">
        <f t="shared" si="1"/>
        <v>241.21</v>
      </c>
      <c r="H107" s="65">
        <f t="shared" si="1"/>
        <v>67.010000000000005</v>
      </c>
      <c r="I107" s="65">
        <f t="shared" si="1"/>
        <v>2.2400000000000002</v>
      </c>
      <c r="J107" s="65">
        <f t="shared" si="1"/>
        <v>1.08</v>
      </c>
      <c r="K107" s="65">
        <f t="shared" si="1"/>
        <v>358.73</v>
      </c>
      <c r="L107" s="65">
        <f t="shared" si="1"/>
        <v>38.17</v>
      </c>
      <c r="M107" s="65">
        <f t="shared" si="1"/>
        <v>54.59</v>
      </c>
      <c r="N107" s="65">
        <f t="shared" si="1"/>
        <v>839.5</v>
      </c>
      <c r="O107" s="65">
        <f t="shared" si="1"/>
        <v>0</v>
      </c>
      <c r="P107" s="65">
        <f t="shared" si="1"/>
        <v>6.09</v>
      </c>
      <c r="Q107" s="65">
        <f t="shared" si="1"/>
        <v>39.090000000000003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48.866458333333348</v>
      </c>
      <c r="C108" s="66">
        <f t="shared" ref="C108:Q108" si="2">AVERAGE(C9:C104)</f>
        <v>124.52781249999997</v>
      </c>
      <c r="D108" s="66">
        <f t="shared" si="2"/>
        <v>107.44</v>
      </c>
      <c r="E108" s="66">
        <f t="shared" si="2"/>
        <v>11.054659090909091</v>
      </c>
      <c r="F108" s="66">
        <f t="shared" si="2"/>
        <v>16.516666666666662</v>
      </c>
      <c r="G108" s="66">
        <f t="shared" si="2"/>
        <v>108.74301075268818</v>
      </c>
      <c r="H108" s="66">
        <f t="shared" si="2"/>
        <v>40.520430107526877</v>
      </c>
      <c r="I108" s="66">
        <f t="shared" si="2"/>
        <v>0.87812500000000027</v>
      </c>
      <c r="J108" s="66">
        <f t="shared" si="2"/>
        <v>0.34072916666666675</v>
      </c>
      <c r="K108" s="66">
        <f t="shared" si="2"/>
        <v>111.21510416666665</v>
      </c>
      <c r="L108" s="66">
        <f t="shared" si="2"/>
        <v>28.584062500000012</v>
      </c>
      <c r="M108" s="66">
        <f t="shared" si="2"/>
        <v>33.572812500000005</v>
      </c>
      <c r="N108" s="66">
        <f t="shared" si="2"/>
        <v>214.5020833333333</v>
      </c>
      <c r="O108" s="66">
        <f t="shared" si="2"/>
        <v>0</v>
      </c>
      <c r="P108" s="66">
        <f t="shared" si="2"/>
        <v>1.7114583333333335</v>
      </c>
      <c r="Q108" s="66">
        <f t="shared" si="2"/>
        <v>27.840937499999995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46.970219075028155</v>
      </c>
      <c r="C109" s="66">
        <f t="shared" ref="C109:Q109" si="3">STDEV(C9:C104)</f>
        <v>51.032406942279138</v>
      </c>
      <c r="D109" s="66">
        <f t="shared" si="3"/>
        <v>63.576380254901181</v>
      </c>
      <c r="E109" s="66">
        <f t="shared" si="3"/>
        <v>10.485685803942287</v>
      </c>
      <c r="F109" s="66">
        <f t="shared" si="3"/>
        <v>22.116771948082953</v>
      </c>
      <c r="G109" s="66">
        <f t="shared" si="3"/>
        <v>51.162361989211355</v>
      </c>
      <c r="H109" s="66">
        <f t="shared" si="3"/>
        <v>13.173687948362211</v>
      </c>
      <c r="I109" s="66">
        <f t="shared" si="3"/>
        <v>0.42108209600854202</v>
      </c>
      <c r="J109" s="66">
        <f t="shared" si="3"/>
        <v>0.29115105427167642</v>
      </c>
      <c r="K109" s="66">
        <f t="shared" si="3"/>
        <v>96.839487987459151</v>
      </c>
      <c r="L109" s="66">
        <f t="shared" si="3"/>
        <v>5.404509341013692</v>
      </c>
      <c r="M109" s="66">
        <f t="shared" si="3"/>
        <v>13.832115468082524</v>
      </c>
      <c r="N109" s="66">
        <f t="shared" si="3"/>
        <v>289.0858298987439</v>
      </c>
      <c r="O109" s="66">
        <f t="shared" si="3"/>
        <v>0</v>
      </c>
      <c r="P109" s="66">
        <f t="shared" si="3"/>
        <v>1.1841585768332383</v>
      </c>
      <c r="Q109" s="66">
        <f t="shared" si="3"/>
        <v>10.075213888613783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88</v>
      </c>
      <c r="F110" s="65">
        <f t="shared" si="4"/>
        <v>96</v>
      </c>
      <c r="G110" s="65">
        <f>COUNT(G9:G104)+3</f>
        <v>96</v>
      </c>
      <c r="H110" s="65">
        <f>COUNT(H9:H104)+3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7" sqref="A6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14-03-2023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1496</v>
      </c>
      <c r="B9" s="59">
        <v>134.82</v>
      </c>
      <c r="C9" s="59">
        <v>221.19</v>
      </c>
      <c r="D9" s="59">
        <v>230.18</v>
      </c>
      <c r="E9" s="59">
        <v>4.97</v>
      </c>
      <c r="F9" s="59">
        <v>3.29</v>
      </c>
      <c r="G9" s="59">
        <v>148.9</v>
      </c>
      <c r="H9" s="59">
        <v>59.76</v>
      </c>
      <c r="I9" s="59">
        <v>1.36</v>
      </c>
      <c r="J9" s="59">
        <v>0.14000000000000001</v>
      </c>
      <c r="K9" s="59">
        <v>65.540000000000006</v>
      </c>
      <c r="L9" s="59">
        <v>23.59</v>
      </c>
      <c r="M9" s="59">
        <v>47.66</v>
      </c>
      <c r="N9" s="59">
        <v>5</v>
      </c>
      <c r="O9" s="59">
        <v>0</v>
      </c>
      <c r="P9" s="59">
        <v>2.79</v>
      </c>
      <c r="Q9" s="59">
        <v>38.1</v>
      </c>
      <c r="R9" s="197"/>
      <c r="S9" s="197"/>
      <c r="T9" s="197"/>
      <c r="U9" s="197"/>
    </row>
    <row r="10" spans="1:21" s="12" customFormat="1" x14ac:dyDescent="0.25">
      <c r="A10" s="200" t="s">
        <v>1497</v>
      </c>
      <c r="B10" s="59">
        <v>127.71</v>
      </c>
      <c r="C10" s="59">
        <v>217.11</v>
      </c>
      <c r="D10" s="59">
        <v>222.23</v>
      </c>
      <c r="E10" s="59">
        <v>5.56</v>
      </c>
      <c r="F10" s="59">
        <v>3.13</v>
      </c>
      <c r="G10" s="59">
        <v>148.9</v>
      </c>
      <c r="H10" s="59">
        <v>59.76</v>
      </c>
      <c r="I10" s="59">
        <v>1.38</v>
      </c>
      <c r="J10" s="59">
        <v>0.05</v>
      </c>
      <c r="K10" s="59">
        <v>272.77</v>
      </c>
      <c r="L10" s="59">
        <v>23.75</v>
      </c>
      <c r="M10" s="59">
        <v>42.05</v>
      </c>
      <c r="N10" s="59">
        <v>4.5</v>
      </c>
      <c r="O10" s="59">
        <v>0</v>
      </c>
      <c r="P10" s="59">
        <v>2.69</v>
      </c>
      <c r="Q10" s="59">
        <v>37.369999999999997</v>
      </c>
      <c r="R10" s="197"/>
      <c r="S10" s="197"/>
      <c r="T10" s="197"/>
      <c r="U10" s="197"/>
    </row>
    <row r="11" spans="1:21" s="12" customFormat="1" x14ac:dyDescent="0.25">
      <c r="A11" s="200" t="s">
        <v>1498</v>
      </c>
      <c r="B11" s="59">
        <v>121.12</v>
      </c>
      <c r="C11" s="59">
        <v>213.53</v>
      </c>
      <c r="D11" s="59">
        <v>214.97</v>
      </c>
      <c r="E11" s="59">
        <v>10.28</v>
      </c>
      <c r="F11" s="59">
        <v>9.36</v>
      </c>
      <c r="G11" s="59">
        <v>127.67</v>
      </c>
      <c r="H11" s="59">
        <v>56.4</v>
      </c>
      <c r="I11" s="59">
        <v>1.39</v>
      </c>
      <c r="J11" s="59">
        <v>0.13</v>
      </c>
      <c r="K11" s="59">
        <v>36.799999999999997</v>
      </c>
      <c r="L11" s="59">
        <v>24.03</v>
      </c>
      <c r="M11" s="59">
        <v>38.51</v>
      </c>
      <c r="N11" s="59">
        <v>4.5</v>
      </c>
      <c r="O11" s="59">
        <v>0</v>
      </c>
      <c r="P11" s="59">
        <v>1.64</v>
      </c>
      <c r="Q11" s="59">
        <v>37.83</v>
      </c>
      <c r="R11" s="197"/>
      <c r="S11" s="197"/>
      <c r="T11" s="197"/>
      <c r="U11" s="197"/>
    </row>
    <row r="12" spans="1:21" s="12" customFormat="1" x14ac:dyDescent="0.25">
      <c r="A12" s="200" t="s">
        <v>1499</v>
      </c>
      <c r="B12" s="59">
        <v>117.05</v>
      </c>
      <c r="C12" s="59">
        <v>210.85</v>
      </c>
      <c r="D12" s="59">
        <v>210.23</v>
      </c>
      <c r="E12" s="59">
        <v>9.59</v>
      </c>
      <c r="F12" s="59">
        <v>11.58</v>
      </c>
      <c r="G12" s="59">
        <v>117.05</v>
      </c>
      <c r="H12" s="59">
        <v>54.72</v>
      </c>
      <c r="I12" s="59">
        <v>1.24</v>
      </c>
      <c r="J12" s="59">
        <v>0.04</v>
      </c>
      <c r="K12" s="59">
        <v>239.03</v>
      </c>
      <c r="L12" s="59">
        <v>23.59</v>
      </c>
      <c r="M12" s="59">
        <v>39.770000000000003</v>
      </c>
      <c r="N12" s="59">
        <v>4.9000000000000004</v>
      </c>
      <c r="O12" s="59">
        <v>0</v>
      </c>
      <c r="P12" s="59">
        <v>1.73</v>
      </c>
      <c r="Q12" s="59">
        <v>37.54</v>
      </c>
      <c r="R12" s="197"/>
      <c r="S12" s="197"/>
      <c r="T12" s="197"/>
      <c r="U12" s="197"/>
    </row>
    <row r="13" spans="1:21" s="12" customFormat="1" x14ac:dyDescent="0.25">
      <c r="A13" s="200" t="s">
        <v>1500</v>
      </c>
      <c r="B13" s="59">
        <v>113.12</v>
      </c>
      <c r="C13" s="59">
        <v>208.52</v>
      </c>
      <c r="D13" s="59">
        <v>205.79</v>
      </c>
      <c r="E13" s="59">
        <v>9.09</v>
      </c>
      <c r="F13" s="59">
        <v>7.18</v>
      </c>
      <c r="G13" s="59">
        <v>117.05</v>
      </c>
      <c r="H13" s="59">
        <v>54.72</v>
      </c>
      <c r="I13" s="59">
        <v>0.94</v>
      </c>
      <c r="J13" s="59">
        <v>0.05</v>
      </c>
      <c r="K13" s="59">
        <v>42.38</v>
      </c>
      <c r="L13" s="59">
        <v>23.52</v>
      </c>
      <c r="M13" s="59">
        <v>40.74</v>
      </c>
      <c r="N13" s="59">
        <v>4.9000000000000004</v>
      </c>
      <c r="O13" s="59">
        <v>0</v>
      </c>
      <c r="P13" s="59">
        <v>1.61</v>
      </c>
      <c r="Q13" s="59">
        <v>37.58</v>
      </c>
      <c r="R13" s="197"/>
      <c r="S13" s="197"/>
      <c r="T13" s="197"/>
      <c r="U13" s="197"/>
    </row>
    <row r="14" spans="1:21" s="12" customFormat="1" x14ac:dyDescent="0.25">
      <c r="A14" s="200" t="s">
        <v>1501</v>
      </c>
      <c r="B14" s="59">
        <v>109.66</v>
      </c>
      <c r="C14" s="59">
        <v>205.69</v>
      </c>
      <c r="D14" s="59">
        <v>201.46</v>
      </c>
      <c r="E14" s="59">
        <v>9.33</v>
      </c>
      <c r="F14" s="59">
        <v>16.510000000000002</v>
      </c>
      <c r="G14" s="59">
        <v>117.05</v>
      </c>
      <c r="H14" s="59">
        <v>54.72</v>
      </c>
      <c r="I14" s="59">
        <v>0.89</v>
      </c>
      <c r="J14" s="59">
        <v>0.17</v>
      </c>
      <c r="K14" s="59">
        <v>349.73</v>
      </c>
      <c r="L14" s="59">
        <v>23.28</v>
      </c>
      <c r="M14" s="59">
        <v>39.799999999999997</v>
      </c>
      <c r="N14" s="59">
        <v>4.5</v>
      </c>
      <c r="O14" s="59">
        <v>0</v>
      </c>
      <c r="P14" s="59">
        <v>1.35</v>
      </c>
      <c r="Q14" s="59">
        <v>37.93</v>
      </c>
      <c r="R14" s="197"/>
      <c r="S14" s="197"/>
      <c r="T14" s="197"/>
      <c r="U14" s="197"/>
    </row>
    <row r="15" spans="1:21" s="12" customFormat="1" x14ac:dyDescent="0.25">
      <c r="A15" s="200" t="s">
        <v>1502</v>
      </c>
      <c r="B15" s="59">
        <v>106.08</v>
      </c>
      <c r="C15" s="59">
        <v>201.75</v>
      </c>
      <c r="D15" s="59">
        <v>196.41</v>
      </c>
      <c r="E15" s="59">
        <v>23.58</v>
      </c>
      <c r="F15" s="59">
        <v>16.75</v>
      </c>
      <c r="G15" s="59">
        <v>102.91</v>
      </c>
      <c r="H15" s="59">
        <v>52.76</v>
      </c>
      <c r="I15" s="59">
        <v>0.95</v>
      </c>
      <c r="J15" s="59">
        <v>0.28999999999999998</v>
      </c>
      <c r="K15" s="59">
        <v>353.32</v>
      </c>
      <c r="L15" s="59">
        <v>23.5</v>
      </c>
      <c r="M15" s="59">
        <v>38.25</v>
      </c>
      <c r="N15" s="59">
        <v>4.0999999999999996</v>
      </c>
      <c r="O15" s="59">
        <v>0</v>
      </c>
      <c r="P15" s="59">
        <v>1.64</v>
      </c>
      <c r="Q15" s="59">
        <v>38.700000000000003</v>
      </c>
      <c r="R15" s="197"/>
      <c r="S15" s="197"/>
      <c r="T15" s="197"/>
      <c r="U15" s="197"/>
    </row>
    <row r="16" spans="1:21" s="12" customFormat="1" x14ac:dyDescent="0.25">
      <c r="A16" s="200" t="s">
        <v>1503</v>
      </c>
      <c r="B16" s="59">
        <v>101.97</v>
      </c>
      <c r="C16" s="59">
        <v>198.03</v>
      </c>
      <c r="D16" s="59">
        <v>191.06</v>
      </c>
      <c r="E16" s="59">
        <v>25.16</v>
      </c>
      <c r="F16" s="59">
        <v>18.22</v>
      </c>
      <c r="G16" s="59">
        <v>95.84</v>
      </c>
      <c r="H16" s="59">
        <v>51.79</v>
      </c>
      <c r="I16" s="59">
        <v>0.87</v>
      </c>
      <c r="J16" s="59">
        <v>0.46</v>
      </c>
      <c r="K16" s="59">
        <v>17.73</v>
      </c>
      <c r="L16" s="59">
        <v>24.09</v>
      </c>
      <c r="M16" s="59">
        <v>34.33</v>
      </c>
      <c r="N16" s="59">
        <v>3.8</v>
      </c>
      <c r="O16" s="59">
        <v>0</v>
      </c>
      <c r="P16" s="59">
        <v>1.5</v>
      </c>
      <c r="Q16" s="59">
        <v>38.590000000000003</v>
      </c>
      <c r="R16" s="197"/>
      <c r="S16" s="197"/>
      <c r="T16" s="197"/>
      <c r="U16" s="197"/>
    </row>
    <row r="17" spans="1:21" s="12" customFormat="1" x14ac:dyDescent="0.25">
      <c r="A17" s="200" t="s">
        <v>1504</v>
      </c>
      <c r="B17" s="59">
        <v>96.78</v>
      </c>
      <c r="C17" s="59">
        <v>193.3</v>
      </c>
      <c r="D17" s="59">
        <v>184.29</v>
      </c>
      <c r="E17" s="59">
        <v>19.09</v>
      </c>
      <c r="F17" s="59">
        <v>12.71</v>
      </c>
      <c r="G17" s="59">
        <v>95.84</v>
      </c>
      <c r="H17" s="59">
        <v>51.79</v>
      </c>
      <c r="I17" s="59">
        <v>0.8</v>
      </c>
      <c r="J17" s="59">
        <v>0.97</v>
      </c>
      <c r="K17" s="59">
        <v>17.21</v>
      </c>
      <c r="L17" s="59">
        <v>24.12</v>
      </c>
      <c r="M17" s="59">
        <v>35.26</v>
      </c>
      <c r="N17" s="59">
        <v>4.3</v>
      </c>
      <c r="O17" s="59">
        <v>0</v>
      </c>
      <c r="P17" s="59">
        <v>1.73</v>
      </c>
      <c r="Q17" s="59">
        <v>38.06</v>
      </c>
      <c r="R17" s="197"/>
      <c r="S17" s="197"/>
      <c r="T17" s="197"/>
      <c r="U17" s="197"/>
    </row>
    <row r="18" spans="1:21" s="12" customFormat="1" x14ac:dyDescent="0.25">
      <c r="A18" s="200" t="s">
        <v>1505</v>
      </c>
      <c r="B18" s="59">
        <v>90.55</v>
      </c>
      <c r="C18" s="59">
        <v>188.19</v>
      </c>
      <c r="D18" s="59">
        <v>176.47</v>
      </c>
      <c r="E18" s="59">
        <v>10.8</v>
      </c>
      <c r="F18" s="59">
        <v>5.58</v>
      </c>
      <c r="G18" s="59">
        <v>95.84</v>
      </c>
      <c r="H18" s="59">
        <v>51.79</v>
      </c>
      <c r="I18" s="59">
        <v>0.85</v>
      </c>
      <c r="J18" s="59">
        <v>0.47</v>
      </c>
      <c r="K18" s="59">
        <v>23.17</v>
      </c>
      <c r="L18" s="59">
        <v>23.71</v>
      </c>
      <c r="M18" s="59">
        <v>36.07</v>
      </c>
      <c r="N18" s="59">
        <v>5.2</v>
      </c>
      <c r="O18" s="59">
        <v>0</v>
      </c>
      <c r="P18" s="59">
        <v>2.0499999999999998</v>
      </c>
      <c r="Q18" s="59">
        <v>37.33</v>
      </c>
      <c r="R18" s="197"/>
      <c r="S18" s="197"/>
      <c r="T18" s="197"/>
      <c r="U18" s="197"/>
    </row>
    <row r="19" spans="1:21" s="12" customFormat="1" x14ac:dyDescent="0.25">
      <c r="A19" s="200" t="s">
        <v>1506</v>
      </c>
      <c r="B19" s="59">
        <v>84.75</v>
      </c>
      <c r="C19" s="59">
        <v>186.03</v>
      </c>
      <c r="D19" s="59">
        <v>170.63</v>
      </c>
      <c r="E19" s="59">
        <v>6.35</v>
      </c>
      <c r="F19" s="59">
        <v>3.61</v>
      </c>
      <c r="G19" s="59">
        <v>97.81</v>
      </c>
      <c r="H19" s="59">
        <v>47.1</v>
      </c>
      <c r="I19" s="59">
        <v>0.99</v>
      </c>
      <c r="J19" s="59">
        <v>0.23</v>
      </c>
      <c r="K19" s="59">
        <v>62.68</v>
      </c>
      <c r="L19" s="59">
        <v>23.32</v>
      </c>
      <c r="M19" s="59">
        <v>37.049999999999997</v>
      </c>
      <c r="N19" s="59">
        <v>5</v>
      </c>
      <c r="O19" s="59">
        <v>0</v>
      </c>
      <c r="P19" s="59">
        <v>2.04</v>
      </c>
      <c r="Q19" s="59">
        <v>37.46</v>
      </c>
      <c r="R19" s="197"/>
      <c r="S19" s="197"/>
      <c r="T19" s="197"/>
      <c r="U19" s="197"/>
    </row>
    <row r="20" spans="1:21" s="12" customFormat="1" x14ac:dyDescent="0.25">
      <c r="A20" s="200" t="s">
        <v>1507</v>
      </c>
      <c r="B20" s="59">
        <v>78.61</v>
      </c>
      <c r="C20" s="59">
        <v>182.79</v>
      </c>
      <c r="D20" s="59">
        <v>163.92</v>
      </c>
      <c r="E20" s="59">
        <v>5.73</v>
      </c>
      <c r="F20" s="59">
        <v>3.42</v>
      </c>
      <c r="G20" s="59">
        <v>98.85</v>
      </c>
      <c r="H20" s="59">
        <v>44.76</v>
      </c>
      <c r="I20" s="59">
        <v>1.1299999999999999</v>
      </c>
      <c r="J20" s="59">
        <v>0.08</v>
      </c>
      <c r="K20" s="59">
        <v>359.69</v>
      </c>
      <c r="L20" s="59">
        <v>22.93</v>
      </c>
      <c r="M20" s="59">
        <v>39.32</v>
      </c>
      <c r="N20" s="59">
        <v>5.2</v>
      </c>
      <c r="O20" s="59">
        <v>0</v>
      </c>
      <c r="P20" s="59">
        <v>1.96</v>
      </c>
      <c r="Q20" s="59">
        <v>37.51</v>
      </c>
      <c r="R20" s="197"/>
      <c r="S20" s="197"/>
      <c r="T20" s="197"/>
      <c r="U20" s="197"/>
    </row>
    <row r="21" spans="1:21" s="12" customFormat="1" x14ac:dyDescent="0.25">
      <c r="A21" s="200" t="s">
        <v>1508</v>
      </c>
      <c r="B21" s="59">
        <v>72.41</v>
      </c>
      <c r="C21" s="59">
        <v>179.01</v>
      </c>
      <c r="D21" s="59">
        <v>156.86000000000001</v>
      </c>
      <c r="E21" s="59">
        <v>5.18</v>
      </c>
      <c r="F21" s="59">
        <v>3.24</v>
      </c>
      <c r="G21" s="59">
        <v>98.85</v>
      </c>
      <c r="H21" s="59">
        <v>44.76</v>
      </c>
      <c r="I21" s="59">
        <v>1.1599999999999999</v>
      </c>
      <c r="J21" s="59">
        <v>0.13</v>
      </c>
      <c r="K21" s="59">
        <v>243.07</v>
      </c>
      <c r="L21" s="59">
        <v>22.32</v>
      </c>
      <c r="M21" s="59">
        <v>41.38</v>
      </c>
      <c r="N21" s="59">
        <v>5</v>
      </c>
      <c r="O21" s="59">
        <v>0</v>
      </c>
      <c r="P21" s="59">
        <v>1.89</v>
      </c>
      <c r="Q21" s="59">
        <v>37.08</v>
      </c>
      <c r="R21" s="197"/>
      <c r="S21" s="197"/>
      <c r="T21" s="197"/>
      <c r="U21" s="197"/>
    </row>
    <row r="22" spans="1:21" s="12" customFormat="1" x14ac:dyDescent="0.25">
      <c r="A22" s="200" t="s">
        <v>1509</v>
      </c>
      <c r="B22" s="59">
        <v>66.849999999999994</v>
      </c>
      <c r="C22" s="59">
        <v>175.1</v>
      </c>
      <c r="D22" s="59">
        <v>150.25</v>
      </c>
      <c r="E22" s="59">
        <v>4.96</v>
      </c>
      <c r="F22" s="59">
        <v>3.17</v>
      </c>
      <c r="G22" s="59">
        <v>98.85</v>
      </c>
      <c r="H22" s="59">
        <v>44.76</v>
      </c>
      <c r="I22" s="59">
        <v>1.1100000000000001</v>
      </c>
      <c r="J22" s="59">
        <v>0.28000000000000003</v>
      </c>
      <c r="K22" s="59">
        <v>104.9</v>
      </c>
      <c r="L22" s="59">
        <v>22.22</v>
      </c>
      <c r="M22" s="59">
        <v>43.75</v>
      </c>
      <c r="N22" s="59">
        <v>4.3</v>
      </c>
      <c r="O22" s="59">
        <v>0</v>
      </c>
      <c r="P22" s="59">
        <v>1.81</v>
      </c>
      <c r="Q22" s="59">
        <v>36.51</v>
      </c>
      <c r="R22" s="197"/>
      <c r="S22" s="197"/>
      <c r="T22" s="197"/>
      <c r="U22" s="197"/>
    </row>
    <row r="23" spans="1:21" s="12" customFormat="1" x14ac:dyDescent="0.25">
      <c r="A23" s="200" t="s">
        <v>1510</v>
      </c>
      <c r="B23" s="59">
        <v>62.23</v>
      </c>
      <c r="C23" s="59">
        <v>172.8</v>
      </c>
      <c r="D23" s="59">
        <v>145.27000000000001</v>
      </c>
      <c r="E23" s="59">
        <v>5.0599999999999996</v>
      </c>
      <c r="F23" s="59">
        <v>3.12</v>
      </c>
      <c r="G23" s="59">
        <v>96.97</v>
      </c>
      <c r="H23" s="59">
        <v>45.65</v>
      </c>
      <c r="I23" s="59">
        <v>1.07</v>
      </c>
      <c r="J23" s="59">
        <v>0.13</v>
      </c>
      <c r="K23" s="59">
        <v>337.93</v>
      </c>
      <c r="L23" s="59">
        <v>22.19</v>
      </c>
      <c r="M23" s="59">
        <v>48.62</v>
      </c>
      <c r="N23" s="59">
        <v>5.0999999999999996</v>
      </c>
      <c r="O23" s="59">
        <v>0</v>
      </c>
      <c r="P23" s="59">
        <v>1.75</v>
      </c>
      <c r="Q23" s="59">
        <v>35.9</v>
      </c>
      <c r="R23" s="197"/>
      <c r="S23" s="197"/>
      <c r="T23" s="197"/>
      <c r="U23" s="197"/>
    </row>
    <row r="24" spans="1:21" s="12" customFormat="1" x14ac:dyDescent="0.25">
      <c r="A24" s="200" t="s">
        <v>1511</v>
      </c>
      <c r="B24" s="59">
        <v>58.74</v>
      </c>
      <c r="C24" s="59">
        <v>169.92</v>
      </c>
      <c r="D24" s="59">
        <v>140.88</v>
      </c>
      <c r="E24" s="59">
        <v>2.61</v>
      </c>
      <c r="F24" s="59">
        <v>3.13</v>
      </c>
      <c r="G24" s="59">
        <v>96.03</v>
      </c>
      <c r="H24" s="59">
        <v>46.12</v>
      </c>
      <c r="I24" s="59">
        <v>1.03</v>
      </c>
      <c r="J24" s="59">
        <v>0.1</v>
      </c>
      <c r="K24" s="59">
        <v>279.01</v>
      </c>
      <c r="L24" s="59">
        <v>21.3</v>
      </c>
      <c r="M24" s="59">
        <v>53.34</v>
      </c>
      <c r="N24" s="59">
        <v>5.2</v>
      </c>
      <c r="O24" s="59">
        <v>0</v>
      </c>
      <c r="P24" s="59">
        <v>1.7</v>
      </c>
      <c r="Q24" s="59">
        <v>35.64</v>
      </c>
      <c r="R24" s="197"/>
      <c r="S24" s="197"/>
      <c r="T24" s="197"/>
      <c r="U24" s="197"/>
    </row>
    <row r="25" spans="1:21" s="12" customFormat="1" x14ac:dyDescent="0.25">
      <c r="A25" s="200" t="s">
        <v>1512</v>
      </c>
      <c r="B25" s="59">
        <v>55.75</v>
      </c>
      <c r="C25" s="59">
        <v>167.23</v>
      </c>
      <c r="D25" s="59">
        <v>137</v>
      </c>
      <c r="E25" s="59">
        <v>5.54</v>
      </c>
      <c r="F25" s="59">
        <v>4.17</v>
      </c>
      <c r="G25" s="59">
        <v>96.03</v>
      </c>
      <c r="H25" s="59">
        <v>46.12</v>
      </c>
      <c r="I25" s="59">
        <v>1.02</v>
      </c>
      <c r="J25" s="59">
        <v>0.01</v>
      </c>
      <c r="K25" s="59">
        <v>247.44</v>
      </c>
      <c r="L25" s="59">
        <v>21.62</v>
      </c>
      <c r="M25" s="59">
        <v>49.51</v>
      </c>
      <c r="N25" s="59">
        <v>4.7</v>
      </c>
      <c r="O25" s="59">
        <v>0</v>
      </c>
      <c r="P25" s="59">
        <v>1.46</v>
      </c>
      <c r="Q25" s="59">
        <v>35.43</v>
      </c>
      <c r="R25" s="197"/>
      <c r="S25" s="197"/>
      <c r="T25" s="197"/>
      <c r="U25" s="197"/>
    </row>
    <row r="26" spans="1:21" s="12" customFormat="1" x14ac:dyDescent="0.25">
      <c r="A26" s="200" t="s">
        <v>1513</v>
      </c>
      <c r="B26" s="59">
        <v>55.08</v>
      </c>
      <c r="C26" s="59">
        <v>166.45</v>
      </c>
      <c r="D26" s="59">
        <v>136.03</v>
      </c>
      <c r="E26" s="59">
        <v>4.93</v>
      </c>
      <c r="F26" s="59">
        <v>3.69</v>
      </c>
      <c r="G26" s="59">
        <v>96.03</v>
      </c>
      <c r="H26" s="59">
        <v>46.12</v>
      </c>
      <c r="I26" s="59">
        <v>0.93</v>
      </c>
      <c r="J26" s="59">
        <v>0.11</v>
      </c>
      <c r="K26" s="59">
        <v>345.31</v>
      </c>
      <c r="L26" s="59">
        <v>21.12</v>
      </c>
      <c r="M26" s="59">
        <v>54.57</v>
      </c>
      <c r="N26" s="59">
        <v>4.9000000000000004</v>
      </c>
      <c r="O26" s="59">
        <v>0</v>
      </c>
      <c r="P26" s="59">
        <v>1.62</v>
      </c>
      <c r="Q26" s="59">
        <v>34.65</v>
      </c>
      <c r="R26" s="197"/>
      <c r="S26" s="197"/>
      <c r="T26" s="197"/>
      <c r="U26" s="197"/>
    </row>
    <row r="27" spans="1:21" s="12" customFormat="1" x14ac:dyDescent="0.25">
      <c r="A27" s="200" t="s">
        <v>1514</v>
      </c>
      <c r="B27" s="59">
        <v>55.93</v>
      </c>
      <c r="C27" s="59">
        <v>167.59</v>
      </c>
      <c r="D27" s="59">
        <v>137.34</v>
      </c>
      <c r="E27" s="59">
        <v>4.68</v>
      </c>
      <c r="F27" s="59">
        <v>3.14</v>
      </c>
      <c r="G27" s="59">
        <v>109.77</v>
      </c>
      <c r="H27" s="59">
        <v>46.65</v>
      </c>
      <c r="I27" s="59">
        <v>0.84</v>
      </c>
      <c r="J27" s="59">
        <v>0.09</v>
      </c>
      <c r="K27" s="59">
        <v>61.31</v>
      </c>
      <c r="L27" s="59">
        <v>20.9</v>
      </c>
      <c r="M27" s="59">
        <v>53.92</v>
      </c>
      <c r="N27" s="59">
        <v>4.4000000000000004</v>
      </c>
      <c r="O27" s="59">
        <v>0</v>
      </c>
      <c r="P27" s="59">
        <v>1.58</v>
      </c>
      <c r="Q27" s="59">
        <v>34.299999999999997</v>
      </c>
      <c r="R27" s="197"/>
      <c r="S27" s="197"/>
      <c r="T27" s="197"/>
      <c r="U27" s="197"/>
    </row>
    <row r="28" spans="1:21" s="12" customFormat="1" x14ac:dyDescent="0.25">
      <c r="A28" s="200" t="s">
        <v>1515</v>
      </c>
      <c r="B28" s="59">
        <v>56.65</v>
      </c>
      <c r="C28" s="59">
        <v>167.97</v>
      </c>
      <c r="D28" s="59">
        <v>138.13</v>
      </c>
      <c r="E28" s="59">
        <v>5.34</v>
      </c>
      <c r="F28" s="59">
        <v>5.38</v>
      </c>
      <c r="G28" s="59">
        <v>116.64</v>
      </c>
      <c r="H28" s="59">
        <v>46.92</v>
      </c>
      <c r="I28" s="59">
        <v>0.87</v>
      </c>
      <c r="J28" s="59">
        <v>0.22</v>
      </c>
      <c r="K28" s="59">
        <v>39.590000000000003</v>
      </c>
      <c r="L28" s="59">
        <v>21.72</v>
      </c>
      <c r="M28" s="59">
        <v>49.8</v>
      </c>
      <c r="N28" s="59">
        <v>4.0999999999999996</v>
      </c>
      <c r="O28" s="59">
        <v>0</v>
      </c>
      <c r="P28" s="59">
        <v>1.43</v>
      </c>
      <c r="Q28" s="59">
        <v>34.71</v>
      </c>
      <c r="R28" s="197"/>
      <c r="S28" s="197"/>
      <c r="T28" s="197"/>
      <c r="U28" s="197"/>
    </row>
    <row r="29" spans="1:21" s="12" customFormat="1" x14ac:dyDescent="0.25">
      <c r="A29" s="200" t="s">
        <v>1516</v>
      </c>
      <c r="B29" s="59">
        <v>56.76</v>
      </c>
      <c r="C29" s="59">
        <v>168.11</v>
      </c>
      <c r="D29" s="59">
        <v>138.30000000000001</v>
      </c>
      <c r="E29" s="59">
        <v>6.01</v>
      </c>
      <c r="F29" s="59">
        <v>7.13</v>
      </c>
      <c r="G29" s="59">
        <v>116.64</v>
      </c>
      <c r="H29" s="59">
        <v>46.92</v>
      </c>
      <c r="I29" s="59">
        <v>0.87</v>
      </c>
      <c r="J29" s="59">
        <v>0.19</v>
      </c>
      <c r="K29" s="59">
        <v>43.31</v>
      </c>
      <c r="L29" s="59">
        <v>22.29</v>
      </c>
      <c r="M29" s="59">
        <v>42.86</v>
      </c>
      <c r="N29" s="59">
        <v>4.3</v>
      </c>
      <c r="O29" s="59">
        <v>0</v>
      </c>
      <c r="P29" s="59">
        <v>1.36</v>
      </c>
      <c r="Q29" s="59">
        <v>35.159999999999997</v>
      </c>
      <c r="R29" s="197"/>
      <c r="S29" s="197"/>
      <c r="T29" s="197"/>
      <c r="U29" s="197"/>
    </row>
    <row r="30" spans="1:21" s="12" customFormat="1" x14ac:dyDescent="0.25">
      <c r="A30" s="200" t="s">
        <v>1517</v>
      </c>
      <c r="B30" s="59">
        <v>56</v>
      </c>
      <c r="C30" s="59">
        <v>167.48</v>
      </c>
      <c r="D30" s="59">
        <v>137.33000000000001</v>
      </c>
      <c r="E30" s="59">
        <v>7.09</v>
      </c>
      <c r="F30" s="59">
        <v>10.26</v>
      </c>
      <c r="G30" s="59">
        <v>116.64</v>
      </c>
      <c r="H30" s="59">
        <v>46.92</v>
      </c>
      <c r="I30" s="59">
        <v>0.82</v>
      </c>
      <c r="J30" s="59">
        <v>0.2</v>
      </c>
      <c r="K30" s="59">
        <v>68.239999999999995</v>
      </c>
      <c r="L30" s="59">
        <v>22.58</v>
      </c>
      <c r="M30" s="59">
        <v>40.36</v>
      </c>
      <c r="N30" s="59">
        <v>4.5</v>
      </c>
      <c r="O30" s="59">
        <v>0</v>
      </c>
      <c r="P30" s="59">
        <v>1.25</v>
      </c>
      <c r="Q30" s="59">
        <v>35.71</v>
      </c>
      <c r="R30" s="197"/>
      <c r="S30" s="197"/>
      <c r="T30" s="197"/>
      <c r="U30" s="197"/>
    </row>
    <row r="31" spans="1:21" s="12" customFormat="1" x14ac:dyDescent="0.25">
      <c r="A31" s="200" t="s">
        <v>1518</v>
      </c>
      <c r="B31" s="59">
        <v>54.97</v>
      </c>
      <c r="C31" s="59">
        <v>166.72</v>
      </c>
      <c r="D31" s="59">
        <v>136.09</v>
      </c>
      <c r="E31" s="59">
        <v>6.49</v>
      </c>
      <c r="F31" s="59">
        <v>3.9</v>
      </c>
      <c r="G31" s="59">
        <v>105.34</v>
      </c>
      <c r="H31" s="59">
        <v>46.43</v>
      </c>
      <c r="I31" s="59">
        <v>0.76</v>
      </c>
      <c r="J31" s="59">
        <v>0.1</v>
      </c>
      <c r="K31" s="59">
        <v>45.35</v>
      </c>
      <c r="L31" s="59">
        <v>22.22</v>
      </c>
      <c r="M31" s="59">
        <v>42.71</v>
      </c>
      <c r="N31" s="59">
        <v>5</v>
      </c>
      <c r="O31" s="59">
        <v>0</v>
      </c>
      <c r="P31" s="59">
        <v>1.45</v>
      </c>
      <c r="Q31" s="59">
        <v>35.68</v>
      </c>
      <c r="R31" s="197"/>
      <c r="S31" s="197"/>
      <c r="T31" s="197"/>
      <c r="U31" s="197"/>
    </row>
    <row r="32" spans="1:21" s="12" customFormat="1" x14ac:dyDescent="0.25">
      <c r="A32" s="200" t="s">
        <v>1519</v>
      </c>
      <c r="B32" s="59">
        <v>55.22</v>
      </c>
      <c r="C32" s="59">
        <v>166.73</v>
      </c>
      <c r="D32" s="59">
        <v>136.29</v>
      </c>
      <c r="E32" s="59">
        <v>5.36</v>
      </c>
      <c r="F32" s="59">
        <v>3.91</v>
      </c>
      <c r="G32" s="59">
        <v>99.69</v>
      </c>
      <c r="H32" s="59">
        <v>46.17</v>
      </c>
      <c r="I32" s="59">
        <v>0.75</v>
      </c>
      <c r="J32" s="59">
        <v>0.14000000000000001</v>
      </c>
      <c r="K32" s="59">
        <v>15.71</v>
      </c>
      <c r="L32" s="59">
        <v>21.64</v>
      </c>
      <c r="M32" s="59">
        <v>48.3</v>
      </c>
      <c r="N32" s="59">
        <v>5.2</v>
      </c>
      <c r="O32" s="59">
        <v>0</v>
      </c>
      <c r="P32" s="59">
        <v>1.53</v>
      </c>
      <c r="Q32" s="59">
        <v>34.729999999999997</v>
      </c>
      <c r="R32" s="197"/>
      <c r="S32" s="197"/>
      <c r="T32" s="197"/>
      <c r="U32" s="197"/>
    </row>
    <row r="33" spans="1:21" s="12" customFormat="1" x14ac:dyDescent="0.25">
      <c r="A33" s="200" t="s">
        <v>1520</v>
      </c>
      <c r="B33" s="59">
        <v>55.48</v>
      </c>
      <c r="C33" s="59">
        <v>167.11</v>
      </c>
      <c r="D33" s="59">
        <v>136.72</v>
      </c>
      <c r="E33" s="59">
        <v>4.7</v>
      </c>
      <c r="F33" s="59">
        <v>3.51</v>
      </c>
      <c r="G33" s="59">
        <v>99.69</v>
      </c>
      <c r="H33" s="59">
        <v>46.17</v>
      </c>
      <c r="I33" s="59">
        <v>0.79</v>
      </c>
      <c r="J33" s="59">
        <v>7.0000000000000007E-2</v>
      </c>
      <c r="K33" s="59">
        <v>52.97</v>
      </c>
      <c r="L33" s="59">
        <v>21.43</v>
      </c>
      <c r="M33" s="59">
        <v>46.24</v>
      </c>
      <c r="N33" s="59">
        <v>8.1</v>
      </c>
      <c r="O33" s="59">
        <v>0</v>
      </c>
      <c r="P33" s="59">
        <v>1.54</v>
      </c>
      <c r="Q33" s="59">
        <v>36.51</v>
      </c>
      <c r="R33" s="197"/>
      <c r="S33" s="197"/>
      <c r="T33" s="197"/>
      <c r="U33" s="197"/>
    </row>
    <row r="34" spans="1:21" s="12" customFormat="1" x14ac:dyDescent="0.25">
      <c r="A34" s="200" t="s">
        <v>1521</v>
      </c>
      <c r="B34" s="59">
        <v>57.54</v>
      </c>
      <c r="C34" s="59">
        <v>168.35</v>
      </c>
      <c r="D34" s="59">
        <v>139.05000000000001</v>
      </c>
      <c r="E34" s="59">
        <v>4.37</v>
      </c>
      <c r="F34" s="59">
        <v>3.12</v>
      </c>
      <c r="G34" s="59">
        <v>99.69</v>
      </c>
      <c r="H34" s="59">
        <v>46.17</v>
      </c>
      <c r="I34" s="59">
        <v>0.81</v>
      </c>
      <c r="J34" s="59">
        <v>0.13</v>
      </c>
      <c r="K34" s="59">
        <v>249.65</v>
      </c>
      <c r="L34" s="59">
        <v>21.51</v>
      </c>
      <c r="M34" s="59">
        <v>47.25</v>
      </c>
      <c r="N34" s="59">
        <v>19</v>
      </c>
      <c r="O34" s="59">
        <v>0</v>
      </c>
      <c r="P34" s="59">
        <v>1.53</v>
      </c>
      <c r="Q34" s="59">
        <v>36.99</v>
      </c>
      <c r="R34" s="197"/>
      <c r="S34" s="197"/>
      <c r="T34" s="197"/>
      <c r="U34" s="197"/>
    </row>
    <row r="35" spans="1:21" s="12" customFormat="1" x14ac:dyDescent="0.25">
      <c r="A35" s="200" t="s">
        <v>1522</v>
      </c>
      <c r="B35" s="59">
        <v>59.88</v>
      </c>
      <c r="C35" s="59">
        <v>170.34</v>
      </c>
      <c r="D35" s="59">
        <v>142.03</v>
      </c>
      <c r="E35" s="59">
        <v>4.34</v>
      </c>
      <c r="F35" s="59">
        <v>3.11</v>
      </c>
      <c r="G35" s="59">
        <v>105.53</v>
      </c>
      <c r="H35" s="59">
        <v>46.31</v>
      </c>
      <c r="I35" s="59">
        <v>0.85</v>
      </c>
      <c r="J35" s="59">
        <v>0.17</v>
      </c>
      <c r="K35" s="59">
        <v>299.35000000000002</v>
      </c>
      <c r="L35" s="59">
        <v>21.67</v>
      </c>
      <c r="M35" s="59">
        <v>52.17</v>
      </c>
      <c r="N35" s="59">
        <v>51.6</v>
      </c>
      <c r="O35" s="59">
        <v>0</v>
      </c>
      <c r="P35" s="59">
        <v>1.53</v>
      </c>
      <c r="Q35" s="59">
        <v>37.18</v>
      </c>
      <c r="R35" s="197"/>
      <c r="S35" s="197"/>
      <c r="T35" s="197"/>
      <c r="U35" s="197"/>
    </row>
    <row r="36" spans="1:21" s="12" customFormat="1" x14ac:dyDescent="0.25">
      <c r="A36" s="200" t="s">
        <v>1523</v>
      </c>
      <c r="B36" s="59">
        <v>61.57</v>
      </c>
      <c r="C36" s="59">
        <v>171.03</v>
      </c>
      <c r="D36" s="59">
        <v>143.76</v>
      </c>
      <c r="E36" s="59">
        <v>4.07</v>
      </c>
      <c r="F36" s="59">
        <v>3.18</v>
      </c>
      <c r="G36" s="59">
        <v>108.45</v>
      </c>
      <c r="H36" s="59">
        <v>46.39</v>
      </c>
      <c r="I36" s="59">
        <v>0.86</v>
      </c>
      <c r="J36" s="59">
        <v>0.03</v>
      </c>
      <c r="K36" s="59">
        <v>300.58999999999997</v>
      </c>
      <c r="L36" s="59">
        <v>22.33</v>
      </c>
      <c r="M36" s="59">
        <v>47.36</v>
      </c>
      <c r="N36" s="59">
        <v>61.9</v>
      </c>
      <c r="O36" s="59">
        <v>0</v>
      </c>
      <c r="P36" s="59">
        <v>1.56</v>
      </c>
      <c r="Q36" s="59">
        <v>37.53</v>
      </c>
      <c r="R36" s="197"/>
      <c r="S36" s="197"/>
      <c r="T36" s="197"/>
      <c r="U36" s="197"/>
    </row>
    <row r="37" spans="1:21" s="12" customFormat="1" x14ac:dyDescent="0.25">
      <c r="A37" s="200" t="s">
        <v>1524</v>
      </c>
      <c r="B37" s="59">
        <v>63.82</v>
      </c>
      <c r="C37" s="59">
        <v>172.75</v>
      </c>
      <c r="D37" s="59">
        <v>146.51</v>
      </c>
      <c r="E37" s="59">
        <v>4.3</v>
      </c>
      <c r="F37" s="59">
        <v>3.13</v>
      </c>
      <c r="G37" s="59">
        <v>108.45</v>
      </c>
      <c r="H37" s="59">
        <v>46.39</v>
      </c>
      <c r="I37" s="59">
        <v>0.86</v>
      </c>
      <c r="J37" s="59">
        <v>0.11</v>
      </c>
      <c r="K37" s="59">
        <v>66.11</v>
      </c>
      <c r="L37" s="59">
        <v>23.05</v>
      </c>
      <c r="M37" s="59">
        <v>48.01</v>
      </c>
      <c r="N37" s="59">
        <v>62.3</v>
      </c>
      <c r="O37" s="59">
        <v>0</v>
      </c>
      <c r="P37" s="59">
        <v>1.56</v>
      </c>
      <c r="Q37" s="59">
        <v>37.770000000000003</v>
      </c>
      <c r="R37" s="197"/>
      <c r="S37" s="197"/>
      <c r="T37" s="197"/>
      <c r="U37" s="197"/>
    </row>
    <row r="38" spans="1:21" s="12" customFormat="1" x14ac:dyDescent="0.25">
      <c r="A38" s="200" t="s">
        <v>1525</v>
      </c>
      <c r="B38" s="59">
        <v>65.83</v>
      </c>
      <c r="C38" s="59">
        <v>174.85</v>
      </c>
      <c r="D38" s="59">
        <v>149.28</v>
      </c>
      <c r="E38" s="59">
        <v>4.28</v>
      </c>
      <c r="F38" s="59">
        <v>3.25</v>
      </c>
      <c r="G38" s="59">
        <v>108.45</v>
      </c>
      <c r="H38" s="59">
        <v>46.39</v>
      </c>
      <c r="I38" s="59">
        <v>0.86</v>
      </c>
      <c r="J38" s="59">
        <v>0.05</v>
      </c>
      <c r="K38" s="59">
        <v>81.150000000000006</v>
      </c>
      <c r="L38" s="59">
        <v>23.94</v>
      </c>
      <c r="M38" s="59">
        <v>45.14</v>
      </c>
      <c r="N38" s="59">
        <v>89.2</v>
      </c>
      <c r="O38" s="59">
        <v>0</v>
      </c>
      <c r="P38" s="59">
        <v>1.63</v>
      </c>
      <c r="Q38" s="59">
        <v>37.9</v>
      </c>
      <c r="R38" s="197"/>
      <c r="S38" s="197"/>
      <c r="T38" s="197"/>
      <c r="U38" s="197"/>
    </row>
    <row r="39" spans="1:21" s="12" customFormat="1" x14ac:dyDescent="0.25">
      <c r="A39" s="200" t="s">
        <v>1526</v>
      </c>
      <c r="B39" s="59">
        <v>66.61</v>
      </c>
      <c r="C39" s="59">
        <v>177.41</v>
      </c>
      <c r="D39" s="59">
        <v>151.33000000000001</v>
      </c>
      <c r="E39" s="59">
        <v>4.2699999999999996</v>
      </c>
      <c r="F39" s="59">
        <v>3.12</v>
      </c>
      <c r="G39" s="59">
        <v>131.46</v>
      </c>
      <c r="H39" s="59">
        <v>51.5</v>
      </c>
      <c r="I39" s="59">
        <v>0.86</v>
      </c>
      <c r="J39" s="59">
        <v>0.28999999999999998</v>
      </c>
      <c r="K39" s="59">
        <v>198.65</v>
      </c>
      <c r="L39" s="59">
        <v>24.11</v>
      </c>
      <c r="M39" s="59">
        <v>46.49</v>
      </c>
      <c r="N39" s="59">
        <v>147.4</v>
      </c>
      <c r="O39" s="59">
        <v>0</v>
      </c>
      <c r="P39" s="59">
        <v>1.63</v>
      </c>
      <c r="Q39" s="59">
        <v>37.28</v>
      </c>
      <c r="R39" s="197"/>
      <c r="S39" s="197"/>
      <c r="T39" s="197"/>
      <c r="U39" s="197"/>
    </row>
    <row r="40" spans="1:21" s="12" customFormat="1" x14ac:dyDescent="0.25">
      <c r="A40" s="200" t="s">
        <v>1527</v>
      </c>
      <c r="B40" s="59">
        <v>65.790000000000006</v>
      </c>
      <c r="C40" s="59">
        <v>177.38</v>
      </c>
      <c r="D40" s="59">
        <v>150.65</v>
      </c>
      <c r="E40" s="59">
        <v>2.4500000000000002</v>
      </c>
      <c r="F40" s="59">
        <v>3.39</v>
      </c>
      <c r="G40" s="59">
        <v>142.97</v>
      </c>
      <c r="H40" s="59">
        <v>54.19</v>
      </c>
      <c r="I40" s="59">
        <v>0.86</v>
      </c>
      <c r="J40" s="59">
        <v>0.33</v>
      </c>
      <c r="K40" s="59">
        <v>209.82</v>
      </c>
      <c r="L40" s="59">
        <v>25.06</v>
      </c>
      <c r="M40" s="59">
        <v>46.78</v>
      </c>
      <c r="N40" s="59">
        <v>276.8</v>
      </c>
      <c r="O40" s="59">
        <v>0</v>
      </c>
      <c r="P40" s="59">
        <v>1.64</v>
      </c>
      <c r="Q40" s="59">
        <v>36.299999999999997</v>
      </c>
      <c r="R40" s="197"/>
      <c r="S40" s="197"/>
      <c r="T40" s="197"/>
      <c r="U40" s="197"/>
    </row>
    <row r="41" spans="1:21" s="12" customFormat="1" x14ac:dyDescent="0.25">
      <c r="A41" s="200" t="s">
        <v>1528</v>
      </c>
      <c r="B41" s="59">
        <v>64.45</v>
      </c>
      <c r="C41" s="59">
        <v>178.07</v>
      </c>
      <c r="D41" s="59">
        <v>149.96</v>
      </c>
      <c r="E41" s="59">
        <v>5.33</v>
      </c>
      <c r="F41" s="59">
        <v>3.45</v>
      </c>
      <c r="G41" s="59">
        <v>142.97</v>
      </c>
      <c r="H41" s="59">
        <v>54.19</v>
      </c>
      <c r="I41" s="59">
        <v>0.86</v>
      </c>
      <c r="J41" s="59">
        <v>0.55000000000000004</v>
      </c>
      <c r="K41" s="59">
        <v>173.53</v>
      </c>
      <c r="L41" s="59">
        <v>25.72</v>
      </c>
      <c r="M41" s="59">
        <v>45.34</v>
      </c>
      <c r="N41" s="59">
        <v>248.5</v>
      </c>
      <c r="O41" s="59">
        <v>0</v>
      </c>
      <c r="P41" s="59">
        <v>1.61</v>
      </c>
      <c r="Q41" s="59">
        <v>36.090000000000003</v>
      </c>
      <c r="R41" s="197"/>
      <c r="S41" s="197"/>
      <c r="T41" s="197"/>
      <c r="U41" s="197"/>
    </row>
    <row r="42" spans="1:21" s="12" customFormat="1" x14ac:dyDescent="0.25">
      <c r="A42" s="200" t="s">
        <v>1529</v>
      </c>
      <c r="B42" s="59">
        <v>62.7</v>
      </c>
      <c r="C42" s="59">
        <v>178.54</v>
      </c>
      <c r="D42" s="59">
        <v>148.81</v>
      </c>
      <c r="E42" s="59">
        <v>5.72</v>
      </c>
      <c r="F42" s="59">
        <v>3.62</v>
      </c>
      <c r="G42" s="59">
        <v>142.97</v>
      </c>
      <c r="H42" s="59">
        <v>54.19</v>
      </c>
      <c r="I42" s="59">
        <v>0.86</v>
      </c>
      <c r="J42" s="59">
        <v>0.41</v>
      </c>
      <c r="K42" s="59">
        <v>193.81</v>
      </c>
      <c r="L42" s="59">
        <v>26.62</v>
      </c>
      <c r="M42" s="59">
        <v>41.12</v>
      </c>
      <c r="N42" s="59">
        <v>316.5</v>
      </c>
      <c r="O42" s="59">
        <v>0</v>
      </c>
      <c r="P42" s="59">
        <v>1.62</v>
      </c>
      <c r="Q42" s="59">
        <v>35.9</v>
      </c>
      <c r="R42" s="197"/>
      <c r="S42" s="197"/>
      <c r="T42" s="197"/>
      <c r="U42" s="197"/>
    </row>
    <row r="43" spans="1:21" s="12" customFormat="1" x14ac:dyDescent="0.25">
      <c r="A43" s="200" t="s">
        <v>1530</v>
      </c>
      <c r="B43" s="59">
        <v>60.22</v>
      </c>
      <c r="C43" s="59">
        <v>179.06</v>
      </c>
      <c r="D43" s="59">
        <v>147.11000000000001</v>
      </c>
      <c r="E43" s="59">
        <v>5.77</v>
      </c>
      <c r="F43" s="59">
        <v>5.51</v>
      </c>
      <c r="G43" s="59">
        <v>141.69</v>
      </c>
      <c r="H43" s="59">
        <v>52.69</v>
      </c>
      <c r="I43" s="59">
        <v>0.86</v>
      </c>
      <c r="J43" s="59">
        <v>0.22</v>
      </c>
      <c r="K43" s="59">
        <v>140.01</v>
      </c>
      <c r="L43" s="59">
        <v>27.09</v>
      </c>
      <c r="M43" s="59">
        <v>36.25</v>
      </c>
      <c r="N43" s="59">
        <v>260.5</v>
      </c>
      <c r="O43" s="59">
        <v>0</v>
      </c>
      <c r="P43" s="59">
        <v>1.56</v>
      </c>
      <c r="Q43" s="59">
        <v>35.94</v>
      </c>
      <c r="R43" s="197"/>
      <c r="S43" s="197"/>
      <c r="T43" s="197"/>
      <c r="U43" s="197"/>
    </row>
    <row r="44" spans="1:21" s="12" customFormat="1" x14ac:dyDescent="0.25">
      <c r="A44" s="200" t="s">
        <v>1531</v>
      </c>
      <c r="B44" s="59">
        <v>57.99</v>
      </c>
      <c r="C44" s="59">
        <v>178.73</v>
      </c>
      <c r="D44" s="59">
        <v>145.13999999999999</v>
      </c>
      <c r="E44" s="59">
        <v>7.51</v>
      </c>
      <c r="F44" s="59">
        <v>4.8099999999999996</v>
      </c>
      <c r="G44" s="59">
        <v>141.04</v>
      </c>
      <c r="H44" s="59">
        <v>51.94</v>
      </c>
      <c r="I44" s="59">
        <v>0.85</v>
      </c>
      <c r="J44" s="59">
        <v>0.74</v>
      </c>
      <c r="K44" s="59">
        <v>116.24</v>
      </c>
      <c r="L44" s="59">
        <v>27.81</v>
      </c>
      <c r="M44" s="59">
        <v>30.2</v>
      </c>
      <c r="N44" s="59">
        <v>387.5</v>
      </c>
      <c r="O44" s="59">
        <v>0</v>
      </c>
      <c r="P44" s="59">
        <v>1.56</v>
      </c>
      <c r="Q44" s="59">
        <v>35.94</v>
      </c>
      <c r="R44" s="197"/>
      <c r="S44" s="197"/>
      <c r="T44" s="197"/>
      <c r="U44" s="197"/>
    </row>
    <row r="45" spans="1:21" s="12" customFormat="1" x14ac:dyDescent="0.25">
      <c r="A45" s="200" t="s">
        <v>1532</v>
      </c>
      <c r="B45" s="59">
        <v>55.68</v>
      </c>
      <c r="C45" s="59">
        <v>177.42</v>
      </c>
      <c r="D45" s="59">
        <v>142.57</v>
      </c>
      <c r="E45" s="59">
        <v>12.75</v>
      </c>
      <c r="F45" s="59">
        <v>5.82</v>
      </c>
      <c r="G45" s="59">
        <v>141.04</v>
      </c>
      <c r="H45" s="59">
        <v>51.94</v>
      </c>
      <c r="I45" s="59">
        <v>0.83</v>
      </c>
      <c r="J45" s="59">
        <v>0.65</v>
      </c>
      <c r="K45" s="59">
        <v>77.45</v>
      </c>
      <c r="L45" s="59">
        <v>28.94</v>
      </c>
      <c r="M45" s="59">
        <v>28.09</v>
      </c>
      <c r="N45" s="59">
        <v>490.6</v>
      </c>
      <c r="O45" s="59">
        <v>0</v>
      </c>
      <c r="P45" s="59">
        <v>1.53</v>
      </c>
      <c r="Q45" s="59">
        <v>36.1</v>
      </c>
      <c r="R45" s="197"/>
      <c r="S45" s="197"/>
      <c r="T45" s="197"/>
      <c r="U45" s="197"/>
    </row>
    <row r="46" spans="1:21" s="12" customFormat="1" x14ac:dyDescent="0.25">
      <c r="A46" s="200" t="s">
        <v>1533</v>
      </c>
      <c r="B46" s="59">
        <v>52.98</v>
      </c>
      <c r="C46" s="59">
        <v>176.41</v>
      </c>
      <c r="D46" s="59">
        <v>139.84</v>
      </c>
      <c r="E46" s="59">
        <v>8.84</v>
      </c>
      <c r="F46" s="59">
        <v>6.08</v>
      </c>
      <c r="G46" s="59">
        <v>141.04</v>
      </c>
      <c r="H46" s="59">
        <v>51.94</v>
      </c>
      <c r="I46" s="59">
        <v>0.84</v>
      </c>
      <c r="J46" s="59">
        <v>0.94</v>
      </c>
      <c r="K46" s="59">
        <v>102.33</v>
      </c>
      <c r="L46" s="59">
        <v>29.31</v>
      </c>
      <c r="M46" s="59">
        <v>28.25</v>
      </c>
      <c r="N46" s="59">
        <v>517.70000000000005</v>
      </c>
      <c r="O46" s="59">
        <v>0</v>
      </c>
      <c r="P46" s="59">
        <v>1.5</v>
      </c>
      <c r="Q46" s="59">
        <v>36.08</v>
      </c>
      <c r="R46" s="197"/>
      <c r="S46" s="197"/>
      <c r="T46" s="197"/>
      <c r="U46" s="197"/>
    </row>
    <row r="47" spans="1:21" s="12" customFormat="1" x14ac:dyDescent="0.25">
      <c r="A47" s="200" t="s">
        <v>1534</v>
      </c>
      <c r="B47" s="59">
        <v>50.57</v>
      </c>
      <c r="C47" s="59">
        <v>176.52</v>
      </c>
      <c r="D47" s="59">
        <v>137.97</v>
      </c>
      <c r="E47" s="59">
        <v>6.62</v>
      </c>
      <c r="F47" s="59">
        <v>5.8</v>
      </c>
      <c r="G47" s="59">
        <v>125.6</v>
      </c>
      <c r="H47" s="59">
        <v>50.79</v>
      </c>
      <c r="I47" s="59">
        <v>0.84</v>
      </c>
      <c r="J47" s="59">
        <v>0.62</v>
      </c>
      <c r="K47" s="59">
        <v>125.45</v>
      </c>
      <c r="L47" s="59">
        <v>29.75</v>
      </c>
      <c r="M47" s="59">
        <v>28.66</v>
      </c>
      <c r="N47" s="59">
        <v>598.9</v>
      </c>
      <c r="O47" s="59">
        <v>0</v>
      </c>
      <c r="P47" s="59">
        <v>1.46</v>
      </c>
      <c r="Q47" s="9" t="s">
        <v>36</v>
      </c>
      <c r="R47" s="197"/>
      <c r="S47" s="197"/>
      <c r="T47" s="197"/>
      <c r="U47" s="197"/>
    </row>
    <row r="48" spans="1:21" s="12" customFormat="1" x14ac:dyDescent="0.25">
      <c r="A48" s="200" t="s">
        <v>1535</v>
      </c>
      <c r="B48" s="211" t="s">
        <v>32</v>
      </c>
      <c r="C48" s="211" t="s">
        <v>32</v>
      </c>
      <c r="D48" s="211" t="s">
        <v>32</v>
      </c>
      <c r="E48" s="211" t="s">
        <v>32</v>
      </c>
      <c r="F48" s="211" t="s">
        <v>32</v>
      </c>
      <c r="G48" s="211" t="s">
        <v>32</v>
      </c>
      <c r="H48" s="211" t="s">
        <v>32</v>
      </c>
      <c r="I48" s="211" t="s">
        <v>32</v>
      </c>
      <c r="J48" s="211" t="s">
        <v>32</v>
      </c>
      <c r="K48" s="211" t="s">
        <v>32</v>
      </c>
      <c r="L48" s="211" t="s">
        <v>32</v>
      </c>
      <c r="M48" s="211" t="s">
        <v>32</v>
      </c>
      <c r="N48" s="211" t="s">
        <v>32</v>
      </c>
      <c r="O48" s="211" t="s">
        <v>32</v>
      </c>
      <c r="P48" s="211" t="s">
        <v>32</v>
      </c>
      <c r="Q48" s="211" t="s">
        <v>32</v>
      </c>
      <c r="R48" s="197"/>
      <c r="S48" s="197"/>
      <c r="T48" s="197"/>
      <c r="U48" s="197"/>
    </row>
    <row r="49" spans="1:21" s="12" customFormat="1" x14ac:dyDescent="0.25">
      <c r="A49" s="200" t="s">
        <v>1536</v>
      </c>
      <c r="B49" s="211" t="s">
        <v>32</v>
      </c>
      <c r="C49" s="211" t="s">
        <v>32</v>
      </c>
      <c r="D49" s="211" t="s">
        <v>32</v>
      </c>
      <c r="E49" s="211" t="s">
        <v>32</v>
      </c>
      <c r="F49" s="211" t="s">
        <v>32</v>
      </c>
      <c r="G49" s="211" t="s">
        <v>32</v>
      </c>
      <c r="H49" s="211" t="s">
        <v>32</v>
      </c>
      <c r="I49" s="211" t="s">
        <v>32</v>
      </c>
      <c r="J49" s="211" t="s">
        <v>32</v>
      </c>
      <c r="K49" s="211" t="s">
        <v>32</v>
      </c>
      <c r="L49" s="211" t="s">
        <v>32</v>
      </c>
      <c r="M49" s="211" t="s">
        <v>32</v>
      </c>
      <c r="N49" s="211" t="s">
        <v>32</v>
      </c>
      <c r="O49" s="211" t="s">
        <v>32</v>
      </c>
      <c r="P49" s="211" t="s">
        <v>32</v>
      </c>
      <c r="Q49" s="211" t="s">
        <v>32</v>
      </c>
      <c r="R49" s="197"/>
      <c r="S49" s="197"/>
      <c r="T49" s="197"/>
      <c r="U49" s="197"/>
    </row>
    <row r="50" spans="1:21" s="12" customFormat="1" x14ac:dyDescent="0.25">
      <c r="A50" s="200" t="s">
        <v>1537</v>
      </c>
      <c r="B50" s="59">
        <v>27.42</v>
      </c>
      <c r="C50" s="59">
        <v>177.62</v>
      </c>
      <c r="D50" s="59">
        <v>120.02</v>
      </c>
      <c r="E50" s="59">
        <v>5.47</v>
      </c>
      <c r="F50" s="59">
        <v>3.8</v>
      </c>
      <c r="G50" s="59">
        <v>96.64</v>
      </c>
      <c r="H50" s="59">
        <v>48.64</v>
      </c>
      <c r="I50" s="59">
        <v>0.81</v>
      </c>
      <c r="J50" s="59">
        <v>0.09</v>
      </c>
      <c r="K50" s="59">
        <v>76.05</v>
      </c>
      <c r="L50" s="59">
        <v>32.96</v>
      </c>
      <c r="M50" s="59">
        <v>22.59</v>
      </c>
      <c r="N50" s="59">
        <v>687.6</v>
      </c>
      <c r="O50" s="59">
        <v>0</v>
      </c>
      <c r="P50" s="59">
        <v>1.38</v>
      </c>
      <c r="Q50" s="7" t="s">
        <v>49</v>
      </c>
      <c r="R50" s="197"/>
      <c r="S50" s="197"/>
      <c r="T50" s="197"/>
      <c r="U50" s="197"/>
    </row>
    <row r="51" spans="1:21" s="12" customFormat="1" x14ac:dyDescent="0.25">
      <c r="A51" s="200" t="s">
        <v>1538</v>
      </c>
      <c r="B51" s="59">
        <v>7.53</v>
      </c>
      <c r="C51" s="59">
        <v>160.38</v>
      </c>
      <c r="D51" s="59">
        <v>94.54</v>
      </c>
      <c r="E51" s="59">
        <v>17.3</v>
      </c>
      <c r="F51" s="59">
        <v>28.03</v>
      </c>
      <c r="G51" s="59">
        <v>88.96</v>
      </c>
      <c r="H51" s="59">
        <v>46.87</v>
      </c>
      <c r="I51" s="59">
        <v>0.8</v>
      </c>
      <c r="J51" s="59">
        <v>0.33</v>
      </c>
      <c r="K51" s="59">
        <v>78.459999999999994</v>
      </c>
      <c r="L51" s="59">
        <v>34.020000000000003</v>
      </c>
      <c r="M51" s="59">
        <v>21.8</v>
      </c>
      <c r="N51" s="59">
        <v>706.2</v>
      </c>
      <c r="O51" s="59">
        <v>0</v>
      </c>
      <c r="P51" s="59">
        <v>1.26</v>
      </c>
      <c r="Q51" s="59">
        <v>27.94</v>
      </c>
      <c r="R51" s="197"/>
      <c r="S51" s="197"/>
      <c r="T51" s="197"/>
      <c r="U51" s="197"/>
    </row>
    <row r="52" spans="1:21" s="12" customFormat="1" x14ac:dyDescent="0.25">
      <c r="A52" s="200" t="s">
        <v>1539</v>
      </c>
      <c r="B52" s="59">
        <v>1.1399999999999999</v>
      </c>
      <c r="C52" s="59">
        <v>111.84</v>
      </c>
      <c r="D52" s="59">
        <v>62.64</v>
      </c>
      <c r="E52" s="59">
        <v>23.33</v>
      </c>
      <c r="F52" s="59">
        <v>36.92</v>
      </c>
      <c r="G52" s="59">
        <v>85.11</v>
      </c>
      <c r="H52" s="59">
        <v>45.94</v>
      </c>
      <c r="I52" s="59">
        <v>0.77</v>
      </c>
      <c r="J52" s="59">
        <v>0.33</v>
      </c>
      <c r="K52" s="59">
        <v>22.01</v>
      </c>
      <c r="L52" s="59">
        <v>34.08</v>
      </c>
      <c r="M52" s="59">
        <v>19.559999999999999</v>
      </c>
      <c r="N52" s="59">
        <v>743.6</v>
      </c>
      <c r="O52" s="59">
        <v>0</v>
      </c>
      <c r="P52" s="59">
        <v>0.92</v>
      </c>
      <c r="Q52" s="59">
        <v>20.07</v>
      </c>
      <c r="R52" s="197"/>
      <c r="S52" s="197"/>
      <c r="T52" s="197"/>
      <c r="U52" s="197"/>
    </row>
    <row r="53" spans="1:21" s="12" customFormat="1" x14ac:dyDescent="0.25">
      <c r="A53" s="200" t="s">
        <v>1540</v>
      </c>
      <c r="B53" s="59">
        <v>1.02</v>
      </c>
      <c r="C53" s="59">
        <v>109.38</v>
      </c>
      <c r="D53" s="59">
        <v>61.18</v>
      </c>
      <c r="E53" s="59">
        <v>18.27</v>
      </c>
      <c r="F53" s="59">
        <v>22.27</v>
      </c>
      <c r="G53" s="59">
        <v>85.11</v>
      </c>
      <c r="H53" s="59">
        <v>45.94</v>
      </c>
      <c r="I53" s="59">
        <v>0.61</v>
      </c>
      <c r="J53" s="59">
        <v>0.73</v>
      </c>
      <c r="K53" s="59">
        <v>98.9</v>
      </c>
      <c r="L53" s="59">
        <v>30.86</v>
      </c>
      <c r="M53" s="59">
        <v>19.64</v>
      </c>
      <c r="N53" s="59">
        <v>703.6</v>
      </c>
      <c r="O53" s="59">
        <v>0</v>
      </c>
      <c r="P53" s="59">
        <v>0.9</v>
      </c>
      <c r="Q53" s="59">
        <v>18.989999999999998</v>
      </c>
      <c r="R53" s="197"/>
      <c r="S53" s="197"/>
      <c r="T53" s="197"/>
      <c r="U53" s="197"/>
    </row>
    <row r="54" spans="1:21" s="12" customFormat="1" x14ac:dyDescent="0.25">
      <c r="A54" s="200" t="s">
        <v>1541</v>
      </c>
      <c r="B54" s="59">
        <v>0.95</v>
      </c>
      <c r="C54" s="59">
        <v>94.62</v>
      </c>
      <c r="D54" s="59">
        <v>52.97</v>
      </c>
      <c r="E54" s="59">
        <v>33.6</v>
      </c>
      <c r="F54" s="59">
        <v>44.3</v>
      </c>
      <c r="G54" s="59">
        <v>85.11</v>
      </c>
      <c r="H54" s="59">
        <v>45.94</v>
      </c>
      <c r="I54" s="59">
        <v>0.53</v>
      </c>
      <c r="J54" s="59">
        <v>1.24</v>
      </c>
      <c r="K54" s="59">
        <v>112.49</v>
      </c>
      <c r="L54" s="59">
        <v>29.94</v>
      </c>
      <c r="M54" s="59">
        <v>20.41</v>
      </c>
      <c r="N54" s="59">
        <v>746.4</v>
      </c>
      <c r="O54" s="59">
        <v>0</v>
      </c>
      <c r="P54" s="59">
        <v>0.69</v>
      </c>
      <c r="Q54" s="59">
        <v>19.7</v>
      </c>
      <c r="R54" s="197"/>
      <c r="S54" s="197"/>
      <c r="T54" s="197"/>
      <c r="U54" s="197"/>
    </row>
    <row r="55" spans="1:21" s="12" customFormat="1" x14ac:dyDescent="0.25">
      <c r="A55" s="200" t="s">
        <v>1542</v>
      </c>
      <c r="B55" s="59">
        <v>0.87</v>
      </c>
      <c r="C55" s="59">
        <v>67</v>
      </c>
      <c r="D55" s="59">
        <v>37.67</v>
      </c>
      <c r="E55" s="59">
        <v>50.79</v>
      </c>
      <c r="F55" s="59">
        <v>63.15</v>
      </c>
      <c r="G55" s="59">
        <v>72.87</v>
      </c>
      <c r="H55" s="59">
        <v>43.66</v>
      </c>
      <c r="I55" s="59">
        <v>0.51</v>
      </c>
      <c r="J55" s="59">
        <v>1.62</v>
      </c>
      <c r="K55" s="59">
        <v>129.47999999999999</v>
      </c>
      <c r="L55" s="59">
        <v>32.94</v>
      </c>
      <c r="M55" s="59">
        <v>19.91</v>
      </c>
      <c r="N55" s="59">
        <v>791.9</v>
      </c>
      <c r="O55" s="59">
        <v>0</v>
      </c>
      <c r="P55" s="59">
        <v>0.52</v>
      </c>
      <c r="Q55" s="59">
        <v>17.36</v>
      </c>
      <c r="R55" s="197"/>
      <c r="S55" s="197"/>
      <c r="T55" s="197"/>
      <c r="U55" s="197"/>
    </row>
    <row r="56" spans="1:21" s="12" customFormat="1" x14ac:dyDescent="0.25">
      <c r="A56" s="200" t="s">
        <v>1543</v>
      </c>
      <c r="B56" s="59">
        <v>0.81</v>
      </c>
      <c r="C56" s="59">
        <v>63.86</v>
      </c>
      <c r="D56" s="59">
        <v>35.89</v>
      </c>
      <c r="E56" s="59">
        <v>40.97</v>
      </c>
      <c r="F56" s="59">
        <v>57.2</v>
      </c>
      <c r="G56" s="59">
        <v>66.75</v>
      </c>
      <c r="H56" s="59">
        <v>42.53</v>
      </c>
      <c r="I56" s="59">
        <v>0.47</v>
      </c>
      <c r="J56" s="59">
        <v>0.89</v>
      </c>
      <c r="K56" s="59">
        <v>103.36</v>
      </c>
      <c r="L56" s="59">
        <v>34.729999999999997</v>
      </c>
      <c r="M56" s="59">
        <v>18.22</v>
      </c>
      <c r="N56" s="59">
        <v>786</v>
      </c>
      <c r="O56" s="59">
        <v>0</v>
      </c>
      <c r="P56" s="59">
        <v>0.56000000000000005</v>
      </c>
      <c r="Q56" s="59">
        <v>16.059999999999999</v>
      </c>
      <c r="R56" s="197"/>
      <c r="S56" s="197"/>
      <c r="T56" s="197"/>
      <c r="U56" s="197"/>
    </row>
    <row r="57" spans="1:21" s="12" customFormat="1" x14ac:dyDescent="0.25">
      <c r="A57" s="200" t="s">
        <v>1544</v>
      </c>
      <c r="B57" s="59">
        <v>0.92</v>
      </c>
      <c r="C57" s="59">
        <v>74.67</v>
      </c>
      <c r="D57" s="59">
        <v>41.95</v>
      </c>
      <c r="E57" s="59">
        <v>45.72</v>
      </c>
      <c r="F57" s="59">
        <v>75.88</v>
      </c>
      <c r="G57" s="59">
        <v>66.75</v>
      </c>
      <c r="H57" s="59">
        <v>42.53</v>
      </c>
      <c r="I57" s="59">
        <v>0.46</v>
      </c>
      <c r="J57" s="59">
        <v>0.6</v>
      </c>
      <c r="K57" s="59">
        <v>53.34</v>
      </c>
      <c r="L57" s="59">
        <v>35.6</v>
      </c>
      <c r="M57" s="59">
        <v>16.71</v>
      </c>
      <c r="N57" s="59">
        <v>702.8</v>
      </c>
      <c r="O57" s="59">
        <v>0</v>
      </c>
      <c r="P57" s="59">
        <v>0.59</v>
      </c>
      <c r="Q57" s="59">
        <v>16.98</v>
      </c>
      <c r="R57" s="197"/>
      <c r="S57" s="197"/>
      <c r="T57" s="197"/>
      <c r="U57" s="197"/>
    </row>
    <row r="58" spans="1:21" s="12" customFormat="1" x14ac:dyDescent="0.25">
      <c r="A58" s="200" t="s">
        <v>1545</v>
      </c>
      <c r="B58" s="59">
        <v>1.02</v>
      </c>
      <c r="C58" s="59">
        <v>81.12</v>
      </c>
      <c r="D58" s="59">
        <v>45.59</v>
      </c>
      <c r="E58" s="59">
        <v>37.18</v>
      </c>
      <c r="F58" s="59">
        <v>59.92</v>
      </c>
      <c r="G58" s="59">
        <v>66.75</v>
      </c>
      <c r="H58" s="59">
        <v>42.53</v>
      </c>
      <c r="I58" s="59">
        <v>0.45</v>
      </c>
      <c r="J58" s="59">
        <v>1.38</v>
      </c>
      <c r="K58" s="59">
        <v>128.82</v>
      </c>
      <c r="L58" s="59">
        <v>34.5</v>
      </c>
      <c r="M58" s="59">
        <v>17.66</v>
      </c>
      <c r="N58" s="59">
        <v>622.5</v>
      </c>
      <c r="O58" s="59">
        <v>0</v>
      </c>
      <c r="P58" s="59">
        <v>0.44</v>
      </c>
      <c r="Q58" s="59">
        <v>17.45</v>
      </c>
      <c r="R58" s="197"/>
      <c r="S58" s="197"/>
      <c r="T58" s="197"/>
      <c r="U58" s="197"/>
    </row>
    <row r="59" spans="1:21" s="12" customFormat="1" x14ac:dyDescent="0.25">
      <c r="A59" s="200" t="s">
        <v>1546</v>
      </c>
      <c r="B59" s="59">
        <v>0.99</v>
      </c>
      <c r="C59" s="59">
        <v>80.11</v>
      </c>
      <c r="D59" s="59">
        <v>45</v>
      </c>
      <c r="E59" s="59">
        <v>34.520000000000003</v>
      </c>
      <c r="F59" s="59">
        <v>61.53</v>
      </c>
      <c r="G59" s="59">
        <v>62.13</v>
      </c>
      <c r="H59" s="59">
        <v>36.44</v>
      </c>
      <c r="I59" s="59">
        <v>0.45</v>
      </c>
      <c r="J59" s="59">
        <v>0.23</v>
      </c>
      <c r="K59" s="59">
        <v>89.92</v>
      </c>
      <c r="L59" s="59">
        <v>35.159999999999997</v>
      </c>
      <c r="M59" s="59">
        <v>16.350000000000001</v>
      </c>
      <c r="N59" s="59">
        <v>590</v>
      </c>
      <c r="O59" s="59">
        <v>0</v>
      </c>
      <c r="P59" s="59">
        <v>0.49</v>
      </c>
      <c r="Q59" s="59">
        <v>17.59</v>
      </c>
      <c r="R59" s="197"/>
      <c r="S59" s="197"/>
      <c r="T59" s="197"/>
      <c r="U59" s="197"/>
    </row>
    <row r="60" spans="1:21" s="12" customFormat="1" x14ac:dyDescent="0.25">
      <c r="A60" s="200" t="s">
        <v>1547</v>
      </c>
      <c r="B60" s="59">
        <v>1.0900000000000001</v>
      </c>
      <c r="C60" s="59">
        <v>78.319999999999993</v>
      </c>
      <c r="D60" s="59">
        <v>44.1</v>
      </c>
      <c r="E60" s="59">
        <v>41.49</v>
      </c>
      <c r="F60" s="59">
        <v>77.09</v>
      </c>
      <c r="G60" s="59">
        <v>59.82</v>
      </c>
      <c r="H60" s="59">
        <v>33.24</v>
      </c>
      <c r="I60" s="59">
        <v>0.46</v>
      </c>
      <c r="J60" s="59">
        <v>0.33</v>
      </c>
      <c r="K60" s="59">
        <v>79.77</v>
      </c>
      <c r="L60" s="59">
        <v>36.31</v>
      </c>
      <c r="M60" s="59">
        <v>15.5</v>
      </c>
      <c r="N60" s="59">
        <v>578.20000000000005</v>
      </c>
      <c r="O60" s="59">
        <v>0</v>
      </c>
      <c r="P60" s="59">
        <v>0.56000000000000005</v>
      </c>
      <c r="Q60" s="59">
        <v>17.34</v>
      </c>
      <c r="R60" s="197"/>
      <c r="S60" s="197"/>
      <c r="T60" s="197"/>
      <c r="U60" s="197"/>
    </row>
    <row r="61" spans="1:21" s="12" customFormat="1" x14ac:dyDescent="0.25">
      <c r="A61" s="200" t="s">
        <v>1548</v>
      </c>
      <c r="B61" s="59">
        <v>1.29</v>
      </c>
      <c r="C61" s="59">
        <v>78.05</v>
      </c>
      <c r="D61" s="59">
        <v>44.11</v>
      </c>
      <c r="E61" s="59">
        <v>29.68</v>
      </c>
      <c r="F61" s="59">
        <v>56.68</v>
      </c>
      <c r="G61" s="59">
        <v>59.82</v>
      </c>
      <c r="H61" s="59">
        <v>33.24</v>
      </c>
      <c r="I61" s="59">
        <v>0.48</v>
      </c>
      <c r="J61" s="59">
        <v>0.42</v>
      </c>
      <c r="K61" s="59">
        <v>5.24</v>
      </c>
      <c r="L61" s="59">
        <v>36.71</v>
      </c>
      <c r="M61" s="59">
        <v>15.47</v>
      </c>
      <c r="N61" s="59">
        <v>561.5</v>
      </c>
      <c r="O61" s="59">
        <v>0</v>
      </c>
      <c r="P61" s="59">
        <v>0.68</v>
      </c>
      <c r="Q61" s="59">
        <v>17.68</v>
      </c>
      <c r="R61" s="197"/>
      <c r="S61" s="197"/>
      <c r="T61" s="197"/>
      <c r="U61" s="197"/>
    </row>
    <row r="62" spans="1:21" s="12" customFormat="1" x14ac:dyDescent="0.25">
      <c r="A62" s="200" t="s">
        <v>1549</v>
      </c>
      <c r="B62" s="59">
        <v>2.21</v>
      </c>
      <c r="C62" s="59">
        <v>97.1</v>
      </c>
      <c r="D62" s="59">
        <v>55.36</v>
      </c>
      <c r="E62" s="59">
        <v>26.05</v>
      </c>
      <c r="F62" s="59">
        <v>52.84</v>
      </c>
      <c r="G62" s="59">
        <v>59.82</v>
      </c>
      <c r="H62" s="59">
        <v>33.24</v>
      </c>
      <c r="I62" s="59">
        <v>0.46</v>
      </c>
      <c r="J62" s="59">
        <v>0.42</v>
      </c>
      <c r="K62" s="59">
        <v>14.74</v>
      </c>
      <c r="L62" s="59">
        <v>37.58</v>
      </c>
      <c r="M62" s="59">
        <v>15.74</v>
      </c>
      <c r="N62" s="59">
        <v>697.1</v>
      </c>
      <c r="O62" s="59">
        <v>0</v>
      </c>
      <c r="P62" s="59">
        <v>0.8</v>
      </c>
      <c r="Q62" s="59">
        <v>17.45</v>
      </c>
      <c r="R62" s="197"/>
      <c r="S62" s="197"/>
      <c r="T62" s="197"/>
      <c r="U62" s="197"/>
    </row>
    <row r="63" spans="1:21" s="12" customFormat="1" x14ac:dyDescent="0.25">
      <c r="A63" s="200" t="s">
        <v>1550</v>
      </c>
      <c r="B63" s="59">
        <v>7.45</v>
      </c>
      <c r="C63" s="59">
        <v>116.37</v>
      </c>
      <c r="D63" s="59">
        <v>70.2</v>
      </c>
      <c r="E63" s="59">
        <v>28.25</v>
      </c>
      <c r="F63" s="59">
        <v>53.61</v>
      </c>
      <c r="G63" s="59">
        <v>96.64</v>
      </c>
      <c r="H63" s="59">
        <v>33.24</v>
      </c>
      <c r="I63" s="59">
        <v>0.45</v>
      </c>
      <c r="J63" s="59">
        <v>0.33</v>
      </c>
      <c r="K63" s="59">
        <v>56.84</v>
      </c>
      <c r="L63" s="59">
        <v>38.15</v>
      </c>
      <c r="M63" s="59">
        <v>14.98</v>
      </c>
      <c r="N63" s="59">
        <v>699.4</v>
      </c>
      <c r="O63" s="59">
        <v>0</v>
      </c>
      <c r="P63" s="59">
        <v>0.89</v>
      </c>
      <c r="Q63" s="9" t="s">
        <v>36</v>
      </c>
      <c r="R63" s="197"/>
      <c r="S63" s="197"/>
      <c r="T63" s="197"/>
      <c r="U63" s="197"/>
    </row>
    <row r="64" spans="1:21" s="12" customFormat="1" x14ac:dyDescent="0.25">
      <c r="A64" s="200" t="s">
        <v>1551</v>
      </c>
      <c r="B64" s="211" t="s">
        <v>32</v>
      </c>
      <c r="C64" s="211" t="s">
        <v>32</v>
      </c>
      <c r="D64" s="211" t="s">
        <v>32</v>
      </c>
      <c r="E64" s="211" t="s">
        <v>32</v>
      </c>
      <c r="F64" s="211" t="s">
        <v>32</v>
      </c>
      <c r="G64" s="211" t="s">
        <v>32</v>
      </c>
      <c r="H64" s="211" t="s">
        <v>32</v>
      </c>
      <c r="I64" s="211" t="s">
        <v>32</v>
      </c>
      <c r="J64" s="211" t="s">
        <v>32</v>
      </c>
      <c r="K64" s="211" t="s">
        <v>32</v>
      </c>
      <c r="L64" s="211" t="s">
        <v>32</v>
      </c>
      <c r="M64" s="211" t="s">
        <v>32</v>
      </c>
      <c r="N64" s="211" t="s">
        <v>32</v>
      </c>
      <c r="O64" s="211" t="s">
        <v>32</v>
      </c>
      <c r="P64" s="211" t="s">
        <v>32</v>
      </c>
      <c r="Q64" s="211" t="s">
        <v>32</v>
      </c>
      <c r="R64" s="197"/>
      <c r="S64" s="197"/>
      <c r="T64" s="197"/>
      <c r="U64" s="197"/>
    </row>
    <row r="65" spans="1:21" s="12" customFormat="1" x14ac:dyDescent="0.25">
      <c r="A65" s="200" t="s">
        <v>1552</v>
      </c>
      <c r="B65" s="211" t="s">
        <v>32</v>
      </c>
      <c r="C65" s="211" t="s">
        <v>32</v>
      </c>
      <c r="D65" s="211" t="s">
        <v>32</v>
      </c>
      <c r="E65" s="211" t="s">
        <v>32</v>
      </c>
      <c r="F65" s="211" t="s">
        <v>32</v>
      </c>
      <c r="G65" s="211" t="s">
        <v>32</v>
      </c>
      <c r="H65" s="211" t="s">
        <v>32</v>
      </c>
      <c r="I65" s="211" t="s">
        <v>32</v>
      </c>
      <c r="J65" s="211" t="s">
        <v>32</v>
      </c>
      <c r="K65" s="211" t="s">
        <v>32</v>
      </c>
      <c r="L65" s="211" t="s">
        <v>32</v>
      </c>
      <c r="M65" s="211" t="s">
        <v>32</v>
      </c>
      <c r="N65" s="211" t="s">
        <v>32</v>
      </c>
      <c r="O65" s="211" t="s">
        <v>32</v>
      </c>
      <c r="P65" s="211" t="s">
        <v>32</v>
      </c>
      <c r="Q65" s="211" t="s">
        <v>32</v>
      </c>
      <c r="R65" s="197"/>
      <c r="S65" s="197"/>
      <c r="T65" s="197"/>
      <c r="U65" s="197"/>
    </row>
    <row r="66" spans="1:21" s="12" customFormat="1" x14ac:dyDescent="0.25">
      <c r="A66" s="200" t="s">
        <v>1553</v>
      </c>
      <c r="B66" s="211" t="s">
        <v>32</v>
      </c>
      <c r="C66" s="211" t="s">
        <v>32</v>
      </c>
      <c r="D66" s="211" t="s">
        <v>32</v>
      </c>
      <c r="E66" s="211" t="s">
        <v>32</v>
      </c>
      <c r="F66" s="211" t="s">
        <v>32</v>
      </c>
      <c r="G66" s="211" t="s">
        <v>32</v>
      </c>
      <c r="H66" s="211" t="s">
        <v>32</v>
      </c>
      <c r="I66" s="211" t="s">
        <v>32</v>
      </c>
      <c r="J66" s="211" t="s">
        <v>32</v>
      </c>
      <c r="K66" s="211" t="s">
        <v>32</v>
      </c>
      <c r="L66" s="211" t="s">
        <v>32</v>
      </c>
      <c r="M66" s="211" t="s">
        <v>32</v>
      </c>
      <c r="N66" s="211" t="s">
        <v>32</v>
      </c>
      <c r="O66" s="211" t="s">
        <v>32</v>
      </c>
      <c r="P66" s="211" t="s">
        <v>32</v>
      </c>
      <c r="Q66" s="211" t="s">
        <v>32</v>
      </c>
      <c r="R66" s="197"/>
      <c r="S66" s="197"/>
      <c r="T66" s="197"/>
      <c r="U66" s="197"/>
    </row>
    <row r="67" spans="1:21" s="12" customFormat="1" x14ac:dyDescent="0.25">
      <c r="A67" s="200" t="s">
        <v>1554</v>
      </c>
      <c r="B67" s="211" t="s">
        <v>32</v>
      </c>
      <c r="C67" s="211" t="s">
        <v>32</v>
      </c>
      <c r="D67" s="211" t="s">
        <v>32</v>
      </c>
      <c r="E67" s="211" t="s">
        <v>32</v>
      </c>
      <c r="F67" s="211" t="s">
        <v>32</v>
      </c>
      <c r="G67" s="211" t="s">
        <v>32</v>
      </c>
      <c r="H67" s="211" t="s">
        <v>32</v>
      </c>
      <c r="I67" s="211" t="s">
        <v>32</v>
      </c>
      <c r="J67" s="211" t="s">
        <v>32</v>
      </c>
      <c r="K67" s="211" t="s">
        <v>32</v>
      </c>
      <c r="L67" s="211" t="s">
        <v>32</v>
      </c>
      <c r="M67" s="211" t="s">
        <v>32</v>
      </c>
      <c r="N67" s="211" t="s">
        <v>32</v>
      </c>
      <c r="O67" s="211" t="s">
        <v>32</v>
      </c>
      <c r="P67" s="211" t="s">
        <v>32</v>
      </c>
      <c r="Q67" s="211" t="s">
        <v>32</v>
      </c>
      <c r="R67" s="197"/>
      <c r="S67" s="197"/>
      <c r="T67" s="197"/>
      <c r="U67" s="197"/>
    </row>
    <row r="68" spans="1:21" s="12" customFormat="1" x14ac:dyDescent="0.25">
      <c r="A68" s="200" t="s">
        <v>1555</v>
      </c>
      <c r="B68" s="211" t="s">
        <v>32</v>
      </c>
      <c r="C68" s="211" t="s">
        <v>32</v>
      </c>
      <c r="D68" s="211" t="s">
        <v>32</v>
      </c>
      <c r="E68" s="211" t="s">
        <v>32</v>
      </c>
      <c r="F68" s="211" t="s">
        <v>32</v>
      </c>
      <c r="G68" s="211" t="s">
        <v>32</v>
      </c>
      <c r="H68" s="211" t="s">
        <v>32</v>
      </c>
      <c r="I68" s="211" t="s">
        <v>32</v>
      </c>
      <c r="J68" s="211" t="s">
        <v>32</v>
      </c>
      <c r="K68" s="211" t="s">
        <v>32</v>
      </c>
      <c r="L68" s="211" t="s">
        <v>32</v>
      </c>
      <c r="M68" s="211" t="s">
        <v>32</v>
      </c>
      <c r="N68" s="211" t="s">
        <v>32</v>
      </c>
      <c r="O68" s="211" t="s">
        <v>32</v>
      </c>
      <c r="P68" s="211" t="s">
        <v>32</v>
      </c>
      <c r="Q68" s="211" t="s">
        <v>32</v>
      </c>
      <c r="R68" s="197"/>
      <c r="S68" s="197"/>
      <c r="T68" s="197"/>
      <c r="U68" s="197"/>
    </row>
    <row r="69" spans="1:21" s="12" customFormat="1" x14ac:dyDescent="0.25">
      <c r="A69" s="200" t="s">
        <v>1556</v>
      </c>
      <c r="B69" s="212" t="s">
        <v>49</v>
      </c>
      <c r="C69" s="212" t="s">
        <v>49</v>
      </c>
      <c r="D69" s="212" t="s">
        <v>49</v>
      </c>
      <c r="E69" s="212" t="s">
        <v>49</v>
      </c>
      <c r="F69" s="59">
        <v>22.13</v>
      </c>
      <c r="G69" s="59">
        <v>47.3</v>
      </c>
      <c r="H69" s="59">
        <v>32.85</v>
      </c>
      <c r="I69" s="212" t="s">
        <v>49</v>
      </c>
      <c r="J69" s="59">
        <v>1.3</v>
      </c>
      <c r="K69" s="59">
        <v>13.16</v>
      </c>
      <c r="L69" s="59">
        <v>37.69</v>
      </c>
      <c r="M69" s="59">
        <v>13.86</v>
      </c>
      <c r="N69" s="59">
        <v>405</v>
      </c>
      <c r="O69" s="59">
        <v>0</v>
      </c>
      <c r="P69" s="212" t="s">
        <v>49</v>
      </c>
      <c r="Q69" s="212" t="s">
        <v>49</v>
      </c>
      <c r="R69" s="197"/>
      <c r="S69" s="197"/>
      <c r="T69" s="197"/>
      <c r="U69" s="197"/>
    </row>
    <row r="70" spans="1:21" s="12" customFormat="1" x14ac:dyDescent="0.25">
      <c r="A70" s="200" t="s">
        <v>1557</v>
      </c>
      <c r="B70" s="212" t="s">
        <v>49</v>
      </c>
      <c r="C70" s="212" t="s">
        <v>49</v>
      </c>
      <c r="D70" s="212" t="s">
        <v>49</v>
      </c>
      <c r="E70" s="59">
        <v>1.78</v>
      </c>
      <c r="F70" s="59">
        <v>10.58</v>
      </c>
      <c r="G70" s="59">
        <v>47.3</v>
      </c>
      <c r="H70" s="59">
        <v>24.75</v>
      </c>
      <c r="I70" s="212" t="s">
        <v>49</v>
      </c>
      <c r="J70" s="59">
        <v>1.1499999999999999</v>
      </c>
      <c r="K70" s="59">
        <v>347.87</v>
      </c>
      <c r="L70" s="59">
        <v>37.799999999999997</v>
      </c>
      <c r="M70" s="59">
        <v>13.09</v>
      </c>
      <c r="N70" s="59">
        <v>305.89999999999998</v>
      </c>
      <c r="O70" s="59">
        <v>0</v>
      </c>
      <c r="P70" s="59">
        <v>0.64</v>
      </c>
      <c r="Q70" s="209" t="s">
        <v>36</v>
      </c>
      <c r="R70" s="197"/>
      <c r="S70" s="197"/>
      <c r="T70" s="197"/>
      <c r="U70" s="197"/>
    </row>
    <row r="71" spans="1:21" s="12" customFormat="1" x14ac:dyDescent="0.25">
      <c r="A71" s="200" t="s">
        <v>1558</v>
      </c>
      <c r="B71" s="59">
        <v>2.52</v>
      </c>
      <c r="C71" s="59">
        <v>85.7</v>
      </c>
      <c r="D71" s="59">
        <v>49.32</v>
      </c>
      <c r="E71" s="59">
        <v>7.13</v>
      </c>
      <c r="F71" s="59">
        <v>33.770000000000003</v>
      </c>
      <c r="G71" s="209" t="s">
        <v>36</v>
      </c>
      <c r="H71" s="209" t="s">
        <v>36</v>
      </c>
      <c r="I71" s="209" t="s">
        <v>36</v>
      </c>
      <c r="J71" s="59">
        <v>1.03</v>
      </c>
      <c r="K71" s="59">
        <v>0.93</v>
      </c>
      <c r="L71" s="59">
        <v>37.049999999999997</v>
      </c>
      <c r="M71" s="59">
        <v>13.46</v>
      </c>
      <c r="N71" s="59">
        <v>314.7</v>
      </c>
      <c r="O71" s="59">
        <v>0</v>
      </c>
      <c r="P71" s="59">
        <v>0.51</v>
      </c>
      <c r="Q71" s="209" t="s">
        <v>36</v>
      </c>
      <c r="R71" s="197"/>
      <c r="S71" s="197"/>
      <c r="T71" s="197"/>
      <c r="U71" s="197"/>
    </row>
    <row r="72" spans="1:21" s="12" customFormat="1" x14ac:dyDescent="0.25">
      <c r="A72" s="200" t="s">
        <v>1559</v>
      </c>
      <c r="B72" s="59">
        <v>1.27</v>
      </c>
      <c r="C72" s="59">
        <v>72.05</v>
      </c>
      <c r="D72" s="59">
        <v>40.78</v>
      </c>
      <c r="E72" s="59">
        <v>17.59</v>
      </c>
      <c r="F72" s="59">
        <v>44.94</v>
      </c>
      <c r="G72" s="209" t="s">
        <v>36</v>
      </c>
      <c r="H72" s="209" t="s">
        <v>36</v>
      </c>
      <c r="I72" s="209" t="s">
        <v>36</v>
      </c>
      <c r="J72" s="59">
        <v>0.45</v>
      </c>
      <c r="K72" s="59">
        <v>12.4</v>
      </c>
      <c r="L72" s="59">
        <v>36.46</v>
      </c>
      <c r="M72" s="59">
        <v>13.91</v>
      </c>
      <c r="N72" s="59">
        <v>222.1</v>
      </c>
      <c r="O72" s="59">
        <v>0</v>
      </c>
      <c r="P72" s="59">
        <v>0.54</v>
      </c>
      <c r="Q72" s="209" t="s">
        <v>36</v>
      </c>
      <c r="R72" s="197"/>
      <c r="S72" s="197"/>
      <c r="T72" s="197"/>
      <c r="U72" s="197"/>
    </row>
    <row r="73" spans="1:21" s="12" customFormat="1" x14ac:dyDescent="0.25">
      <c r="A73" s="200" t="s">
        <v>1560</v>
      </c>
      <c r="B73" s="59">
        <v>1.04</v>
      </c>
      <c r="C73" s="59">
        <v>87.81</v>
      </c>
      <c r="D73" s="59">
        <v>49.3</v>
      </c>
      <c r="E73" s="59">
        <v>16.02</v>
      </c>
      <c r="F73" s="59">
        <v>48.07</v>
      </c>
      <c r="G73" s="209" t="s">
        <v>36</v>
      </c>
      <c r="H73" s="209" t="s">
        <v>36</v>
      </c>
      <c r="I73" s="59">
        <v>0.5</v>
      </c>
      <c r="J73" s="59">
        <v>0.8</v>
      </c>
      <c r="K73" s="59">
        <v>13.93</v>
      </c>
      <c r="L73" s="59">
        <v>36.35</v>
      </c>
      <c r="M73" s="59">
        <v>14.61</v>
      </c>
      <c r="N73" s="59">
        <v>227.7</v>
      </c>
      <c r="O73" s="59">
        <v>0</v>
      </c>
      <c r="P73" s="59">
        <v>0.53</v>
      </c>
      <c r="Q73" s="209" t="s">
        <v>36</v>
      </c>
      <c r="R73" s="197"/>
      <c r="S73" s="197"/>
      <c r="T73" s="197"/>
      <c r="U73" s="197"/>
    </row>
    <row r="74" spans="1:21" s="12" customFormat="1" x14ac:dyDescent="0.25">
      <c r="A74" s="200" t="s">
        <v>1561</v>
      </c>
      <c r="B74" s="59">
        <v>1.1499999999999999</v>
      </c>
      <c r="C74" s="59">
        <v>102.28</v>
      </c>
      <c r="D74" s="59">
        <v>57.37</v>
      </c>
      <c r="E74" s="59">
        <v>17.28</v>
      </c>
      <c r="F74" s="59">
        <v>64.010000000000005</v>
      </c>
      <c r="G74" s="59">
        <v>47.73</v>
      </c>
      <c r="H74" s="59">
        <v>17.920000000000002</v>
      </c>
      <c r="I74" s="59">
        <v>0.5</v>
      </c>
      <c r="J74" s="59">
        <v>0.44</v>
      </c>
      <c r="K74" s="59">
        <v>21.4</v>
      </c>
      <c r="L74" s="59">
        <v>36</v>
      </c>
      <c r="M74" s="59">
        <v>13.76</v>
      </c>
      <c r="N74" s="59">
        <v>140</v>
      </c>
      <c r="O74" s="59">
        <v>0</v>
      </c>
      <c r="P74" s="59">
        <v>0.39</v>
      </c>
      <c r="Q74" s="209" t="s">
        <v>36</v>
      </c>
      <c r="R74" s="197"/>
      <c r="S74" s="197"/>
      <c r="T74" s="197"/>
      <c r="U74" s="197"/>
    </row>
    <row r="75" spans="1:21" s="12" customFormat="1" x14ac:dyDescent="0.25">
      <c r="A75" s="200" t="s">
        <v>1562</v>
      </c>
      <c r="B75" s="59">
        <v>1.26</v>
      </c>
      <c r="C75" s="59">
        <v>104.26</v>
      </c>
      <c r="D75" s="59">
        <v>58.55</v>
      </c>
      <c r="E75" s="59">
        <v>18.55</v>
      </c>
      <c r="F75" s="59">
        <v>49.42</v>
      </c>
      <c r="G75" s="59">
        <v>47.73</v>
      </c>
      <c r="H75" s="59">
        <v>17.920000000000002</v>
      </c>
      <c r="I75" s="59">
        <v>0.49</v>
      </c>
      <c r="J75" s="59">
        <v>0.86</v>
      </c>
      <c r="K75" s="59">
        <v>17.79</v>
      </c>
      <c r="L75" s="59">
        <v>35.119999999999997</v>
      </c>
      <c r="M75" s="59">
        <v>16.07</v>
      </c>
      <c r="N75" s="59">
        <v>107.8</v>
      </c>
      <c r="O75" s="59">
        <v>0</v>
      </c>
      <c r="P75" s="59">
        <v>0.5</v>
      </c>
      <c r="Q75" s="209" t="s">
        <v>36</v>
      </c>
      <c r="R75" s="197"/>
      <c r="S75" s="197"/>
      <c r="T75" s="197"/>
      <c r="U75" s="197"/>
    </row>
    <row r="76" spans="1:21" s="12" customFormat="1" x14ac:dyDescent="0.25">
      <c r="A76" s="200" t="s">
        <v>1563</v>
      </c>
      <c r="B76" s="59">
        <v>1.24</v>
      </c>
      <c r="C76" s="59">
        <v>107.43</v>
      </c>
      <c r="D76" s="59">
        <v>60.28</v>
      </c>
      <c r="E76" s="59">
        <v>19.43</v>
      </c>
      <c r="F76" s="59">
        <v>50.06</v>
      </c>
      <c r="G76" s="59">
        <v>47.73</v>
      </c>
      <c r="H76" s="59">
        <v>17.920000000000002</v>
      </c>
      <c r="I76" s="59">
        <v>0.47</v>
      </c>
      <c r="J76" s="59">
        <v>0.89</v>
      </c>
      <c r="K76" s="59">
        <v>6.09</v>
      </c>
      <c r="L76" s="59">
        <v>34.5</v>
      </c>
      <c r="M76" s="59">
        <v>16.670000000000002</v>
      </c>
      <c r="N76" s="59">
        <v>82.1</v>
      </c>
      <c r="O76" s="59">
        <v>0</v>
      </c>
      <c r="P76" s="59">
        <v>0.61</v>
      </c>
      <c r="Q76" s="209" t="s">
        <v>36</v>
      </c>
      <c r="R76" s="197"/>
      <c r="S76" s="197"/>
      <c r="T76" s="197"/>
      <c r="U76" s="197"/>
    </row>
    <row r="77" spans="1:21" s="12" customFormat="1" x14ac:dyDescent="0.25">
      <c r="A77" s="200" t="s">
        <v>1564</v>
      </c>
      <c r="B77" s="59">
        <v>0.85</v>
      </c>
      <c r="C77" s="59">
        <v>104.03</v>
      </c>
      <c r="D77" s="59">
        <v>58.09</v>
      </c>
      <c r="E77" s="59">
        <v>13.86</v>
      </c>
      <c r="F77" s="59">
        <v>51.02</v>
      </c>
      <c r="G77" s="59">
        <v>47.73</v>
      </c>
      <c r="H77" s="59">
        <v>17.920000000000002</v>
      </c>
      <c r="I77" s="59">
        <v>0.49</v>
      </c>
      <c r="J77" s="59">
        <v>0.9</v>
      </c>
      <c r="K77" s="59">
        <v>10.19</v>
      </c>
      <c r="L77" s="59">
        <v>34.020000000000003</v>
      </c>
      <c r="M77" s="59">
        <v>17.47</v>
      </c>
      <c r="N77" s="59">
        <v>62.3</v>
      </c>
      <c r="O77" s="59">
        <v>0</v>
      </c>
      <c r="P77" s="59">
        <v>0.63</v>
      </c>
      <c r="Q77" s="59">
        <v>1.57</v>
      </c>
      <c r="R77" s="197"/>
      <c r="S77" s="197"/>
      <c r="T77" s="197"/>
      <c r="U77" s="197"/>
    </row>
    <row r="78" spans="1:21" s="12" customFormat="1" x14ac:dyDescent="0.25">
      <c r="A78" s="200" t="s">
        <v>1565</v>
      </c>
      <c r="B78" s="59">
        <v>1.72</v>
      </c>
      <c r="C78" s="59">
        <v>112.47</v>
      </c>
      <c r="D78" s="59">
        <v>63.45</v>
      </c>
      <c r="E78" s="59">
        <v>13.39</v>
      </c>
      <c r="F78" s="59">
        <v>50.65</v>
      </c>
      <c r="G78" s="59">
        <v>45.63</v>
      </c>
      <c r="H78" s="59">
        <v>18.87</v>
      </c>
      <c r="I78" s="59">
        <v>0.5</v>
      </c>
      <c r="J78" s="59">
        <v>0.72</v>
      </c>
      <c r="K78" s="59">
        <v>7.37</v>
      </c>
      <c r="L78" s="59">
        <v>33.36</v>
      </c>
      <c r="M78" s="59">
        <v>18.37</v>
      </c>
      <c r="N78" s="59">
        <v>44.8</v>
      </c>
      <c r="O78" s="59">
        <v>0</v>
      </c>
      <c r="P78" s="59">
        <v>0.68</v>
      </c>
      <c r="Q78" s="59">
        <v>28.3</v>
      </c>
      <c r="R78" s="197"/>
      <c r="S78" s="197"/>
      <c r="T78" s="197"/>
      <c r="U78" s="197"/>
    </row>
    <row r="79" spans="1:21" s="12" customFormat="1" x14ac:dyDescent="0.25">
      <c r="A79" s="200" t="s">
        <v>1566</v>
      </c>
      <c r="B79" s="59">
        <v>4.34</v>
      </c>
      <c r="C79" s="59">
        <v>134.71</v>
      </c>
      <c r="D79" s="59">
        <v>77.819999999999993</v>
      </c>
      <c r="E79" s="59">
        <v>15.65</v>
      </c>
      <c r="F79" s="59">
        <v>-0.62</v>
      </c>
      <c r="G79" s="59">
        <v>45.28</v>
      </c>
      <c r="H79" s="59">
        <v>19.03</v>
      </c>
      <c r="I79" s="59">
        <v>0.5</v>
      </c>
      <c r="J79" s="59">
        <v>0.79</v>
      </c>
      <c r="K79" s="59">
        <v>17.47</v>
      </c>
      <c r="L79" s="59">
        <v>32.69</v>
      </c>
      <c r="M79" s="59">
        <v>19.71</v>
      </c>
      <c r="N79" s="59">
        <v>29</v>
      </c>
      <c r="O79" s="59">
        <v>0</v>
      </c>
      <c r="P79" s="59">
        <v>0.94</v>
      </c>
      <c r="Q79" s="59">
        <v>28.26</v>
      </c>
      <c r="R79" s="197"/>
      <c r="S79" s="197"/>
      <c r="T79" s="197"/>
      <c r="U79" s="197"/>
    </row>
    <row r="80" spans="1:21" s="12" customFormat="1" x14ac:dyDescent="0.25">
      <c r="A80" s="200" t="s">
        <v>1567</v>
      </c>
      <c r="B80" s="59">
        <v>3.85</v>
      </c>
      <c r="C80" s="59">
        <v>142.84</v>
      </c>
      <c r="D80" s="59">
        <v>81.92</v>
      </c>
      <c r="E80" s="59">
        <v>17.57</v>
      </c>
      <c r="F80" s="59">
        <v>190.25</v>
      </c>
      <c r="G80" s="59">
        <v>45.28</v>
      </c>
      <c r="H80" s="59">
        <v>19.03</v>
      </c>
      <c r="I80" s="59">
        <v>0.51</v>
      </c>
      <c r="J80" s="59">
        <v>0.68</v>
      </c>
      <c r="K80" s="59">
        <v>14.23</v>
      </c>
      <c r="L80" s="59">
        <v>31.93</v>
      </c>
      <c r="M80" s="59">
        <v>20.61</v>
      </c>
      <c r="N80" s="59">
        <v>13.5</v>
      </c>
      <c r="O80" s="59">
        <v>0</v>
      </c>
      <c r="P80" s="59">
        <v>1.0900000000000001</v>
      </c>
      <c r="Q80" s="59">
        <v>30.63</v>
      </c>
      <c r="R80" s="197"/>
      <c r="S80" s="197"/>
      <c r="T80" s="197"/>
      <c r="U80" s="197"/>
    </row>
    <row r="81" spans="1:26" s="12" customFormat="1" x14ac:dyDescent="0.25">
      <c r="A81" s="200" t="s">
        <v>1568</v>
      </c>
      <c r="B81" s="59">
        <v>15</v>
      </c>
      <c r="C81" s="59">
        <v>176.71</v>
      </c>
      <c r="D81" s="59">
        <v>109.55</v>
      </c>
      <c r="E81" s="59">
        <v>19.920000000000002</v>
      </c>
      <c r="F81" s="59">
        <v>26.78</v>
      </c>
      <c r="G81" s="59">
        <v>45.28</v>
      </c>
      <c r="H81" s="59">
        <v>19.03</v>
      </c>
      <c r="I81" s="59">
        <v>0.55000000000000004</v>
      </c>
      <c r="J81" s="59">
        <v>0.49</v>
      </c>
      <c r="K81" s="59">
        <v>15.15</v>
      </c>
      <c r="L81" s="59">
        <v>31.15</v>
      </c>
      <c r="M81" s="59">
        <v>21.6</v>
      </c>
      <c r="N81" s="59">
        <v>6.6</v>
      </c>
      <c r="O81" s="59">
        <v>0</v>
      </c>
      <c r="P81" s="59">
        <v>1.91</v>
      </c>
      <c r="Q81" s="59">
        <v>27.7</v>
      </c>
      <c r="R81" s="197"/>
      <c r="S81" s="197"/>
      <c r="T81" s="197"/>
      <c r="U81" s="197"/>
    </row>
    <row r="82" spans="1:26" s="12" customFormat="1" x14ac:dyDescent="0.25">
      <c r="A82" s="200" t="s">
        <v>1569</v>
      </c>
      <c r="B82" s="59">
        <v>19.079999999999998</v>
      </c>
      <c r="C82" s="59">
        <v>190.74</v>
      </c>
      <c r="D82" s="59">
        <v>120.56</v>
      </c>
      <c r="E82" s="59">
        <v>17.420000000000002</v>
      </c>
      <c r="F82" s="59">
        <v>18.75</v>
      </c>
      <c r="G82" s="59">
        <v>52.94</v>
      </c>
      <c r="H82" s="59">
        <v>22.77</v>
      </c>
      <c r="I82" s="59">
        <v>0.63</v>
      </c>
      <c r="J82" s="59">
        <v>0.21</v>
      </c>
      <c r="K82" s="59">
        <v>12.98</v>
      </c>
      <c r="L82" s="59">
        <v>30.75</v>
      </c>
      <c r="M82" s="59">
        <v>21.87</v>
      </c>
      <c r="N82" s="59">
        <v>5.0999999999999996</v>
      </c>
      <c r="O82" s="59">
        <v>0</v>
      </c>
      <c r="P82" s="59">
        <v>2.0699999999999998</v>
      </c>
      <c r="Q82" s="59">
        <v>30.63</v>
      </c>
      <c r="R82" s="197"/>
      <c r="S82" s="197"/>
      <c r="T82" s="197"/>
      <c r="U82" s="197"/>
    </row>
    <row r="83" spans="1:26" s="12" customFormat="1" x14ac:dyDescent="0.25">
      <c r="A83" s="200" t="s">
        <v>1570</v>
      </c>
      <c r="B83" s="59">
        <v>20.74</v>
      </c>
      <c r="C83" s="59">
        <v>191.86</v>
      </c>
      <c r="D83" s="59">
        <v>122.51</v>
      </c>
      <c r="E83" s="59">
        <v>16.29</v>
      </c>
      <c r="F83" s="59">
        <v>6.37</v>
      </c>
      <c r="G83" s="59">
        <v>54.24</v>
      </c>
      <c r="H83" s="59">
        <v>23.4</v>
      </c>
      <c r="I83" s="59">
        <v>0.7</v>
      </c>
      <c r="J83" s="59">
        <v>0.13</v>
      </c>
      <c r="K83" s="59">
        <v>29.57</v>
      </c>
      <c r="L83" s="59">
        <v>30.37</v>
      </c>
      <c r="M83" s="59">
        <v>25.39</v>
      </c>
      <c r="N83" s="59">
        <v>4.8</v>
      </c>
      <c r="O83" s="59">
        <v>0</v>
      </c>
      <c r="P83" s="59">
        <v>3.3</v>
      </c>
      <c r="Q83" s="59">
        <v>30.86</v>
      </c>
      <c r="R83" s="197"/>
      <c r="S83" s="197"/>
      <c r="T83" s="197"/>
      <c r="U83" s="197"/>
    </row>
    <row r="84" spans="1:26" s="12" customFormat="1" x14ac:dyDescent="0.25">
      <c r="A84" s="200" t="s">
        <v>1571</v>
      </c>
      <c r="B84" s="59">
        <v>24.27</v>
      </c>
      <c r="C84" s="59">
        <v>193.13</v>
      </c>
      <c r="D84" s="59">
        <v>126.05</v>
      </c>
      <c r="E84" s="59">
        <v>13.13</v>
      </c>
      <c r="F84" s="59">
        <v>3.56</v>
      </c>
      <c r="G84" s="59">
        <v>54.24</v>
      </c>
      <c r="H84" s="59">
        <v>23.4</v>
      </c>
      <c r="I84" s="59">
        <v>0.75</v>
      </c>
      <c r="J84" s="59">
        <v>0.09</v>
      </c>
      <c r="K84" s="59">
        <v>48.03</v>
      </c>
      <c r="L84" s="59">
        <v>29.63</v>
      </c>
      <c r="M84" s="59">
        <v>28.51</v>
      </c>
      <c r="N84" s="59">
        <v>5.0999999999999996</v>
      </c>
      <c r="O84" s="59">
        <v>0</v>
      </c>
      <c r="P84" s="59">
        <v>3.81</v>
      </c>
      <c r="Q84" s="59">
        <v>32.6</v>
      </c>
      <c r="R84" s="197"/>
      <c r="S84" s="197"/>
      <c r="T84" s="197"/>
      <c r="U84" s="197"/>
    </row>
    <row r="85" spans="1:26" s="12" customFormat="1" x14ac:dyDescent="0.25">
      <c r="A85" s="200" t="s">
        <v>1572</v>
      </c>
      <c r="B85" s="59">
        <v>31.98</v>
      </c>
      <c r="C85" s="59">
        <v>194.67</v>
      </c>
      <c r="D85" s="59">
        <v>133.08000000000001</v>
      </c>
      <c r="E85" s="59">
        <v>17.62</v>
      </c>
      <c r="F85" s="59">
        <v>2.99</v>
      </c>
      <c r="G85" s="59">
        <v>54.24</v>
      </c>
      <c r="H85" s="59">
        <v>23.4</v>
      </c>
      <c r="I85" s="59">
        <v>1</v>
      </c>
      <c r="J85" s="59">
        <v>0.12</v>
      </c>
      <c r="K85" s="59">
        <v>34.549999999999997</v>
      </c>
      <c r="L85" s="59">
        <v>29.04</v>
      </c>
      <c r="M85" s="59">
        <v>29.14</v>
      </c>
      <c r="N85" s="59">
        <v>4.9000000000000004</v>
      </c>
      <c r="O85" s="59">
        <v>0</v>
      </c>
      <c r="P85" s="59">
        <v>4.3499999999999996</v>
      </c>
      <c r="Q85" s="59">
        <v>31.84</v>
      </c>
      <c r="R85" s="197"/>
      <c r="S85" s="197"/>
      <c r="T85" s="197"/>
      <c r="U85" s="197"/>
    </row>
    <row r="86" spans="1:26" s="12" customFormat="1" x14ac:dyDescent="0.25">
      <c r="A86" s="200" t="s">
        <v>1573</v>
      </c>
      <c r="B86" s="59">
        <v>43.86</v>
      </c>
      <c r="C86" s="59">
        <v>197.65</v>
      </c>
      <c r="D86" s="59">
        <v>144.25</v>
      </c>
      <c r="E86" s="59">
        <v>15.79</v>
      </c>
      <c r="F86" s="59">
        <v>2.64</v>
      </c>
      <c r="G86" s="59">
        <v>139.79</v>
      </c>
      <c r="H86" s="59">
        <v>30.27</v>
      </c>
      <c r="I86" s="59">
        <v>1.25</v>
      </c>
      <c r="J86" s="59">
        <v>7.0000000000000007E-2</v>
      </c>
      <c r="K86" s="59">
        <v>42.61</v>
      </c>
      <c r="L86" s="59">
        <v>28.47</v>
      </c>
      <c r="M86" s="59">
        <v>31.18</v>
      </c>
      <c r="N86" s="59">
        <v>5.0999999999999996</v>
      </c>
      <c r="O86" s="59">
        <v>0</v>
      </c>
      <c r="P86" s="59">
        <v>4.5599999999999996</v>
      </c>
      <c r="Q86" s="59">
        <v>33.450000000000003</v>
      </c>
      <c r="R86" s="197"/>
      <c r="S86" s="197"/>
      <c r="T86" s="197"/>
      <c r="U86" s="197"/>
    </row>
    <row r="87" spans="1:26" s="12" customFormat="1" x14ac:dyDescent="0.25">
      <c r="A87" s="200" t="s">
        <v>1574</v>
      </c>
      <c r="B87" s="59">
        <v>54.63</v>
      </c>
      <c r="C87" s="59">
        <v>200.22</v>
      </c>
      <c r="D87" s="59">
        <v>154.30000000000001</v>
      </c>
      <c r="E87" s="59">
        <v>18.22</v>
      </c>
      <c r="F87" s="59">
        <v>2.69</v>
      </c>
      <c r="G87" s="59">
        <v>154.22999999999999</v>
      </c>
      <c r="H87" s="59">
        <v>31.43</v>
      </c>
      <c r="I87" s="59">
        <v>1.23</v>
      </c>
      <c r="J87" s="59">
        <v>0.1</v>
      </c>
      <c r="K87" s="59">
        <v>54.03</v>
      </c>
      <c r="L87" s="59">
        <v>28.42</v>
      </c>
      <c r="M87" s="59">
        <v>31.06</v>
      </c>
      <c r="N87" s="59">
        <v>4.5999999999999996</v>
      </c>
      <c r="O87" s="59">
        <v>0</v>
      </c>
      <c r="P87" s="59">
        <v>4.99</v>
      </c>
      <c r="Q87" s="59">
        <v>38.58</v>
      </c>
      <c r="R87" s="197"/>
      <c r="S87" s="197"/>
      <c r="T87" s="197"/>
      <c r="U87" s="197"/>
    </row>
    <row r="88" spans="1:26" s="12" customFormat="1" x14ac:dyDescent="0.25">
      <c r="A88" s="200" t="s">
        <v>1575</v>
      </c>
      <c r="B88" s="59">
        <v>63.55</v>
      </c>
      <c r="C88" s="59">
        <v>202.83</v>
      </c>
      <c r="D88" s="59">
        <v>162.9</v>
      </c>
      <c r="E88" s="59">
        <v>27.83</v>
      </c>
      <c r="F88" s="59">
        <v>2.91</v>
      </c>
      <c r="G88" s="59">
        <v>154.22999999999999</v>
      </c>
      <c r="H88" s="59">
        <v>31.43</v>
      </c>
      <c r="I88" s="59">
        <v>1.44</v>
      </c>
      <c r="J88" s="59">
        <v>0.16</v>
      </c>
      <c r="K88" s="59">
        <v>40.17</v>
      </c>
      <c r="L88" s="59">
        <v>28.47</v>
      </c>
      <c r="M88" s="59">
        <v>31.2</v>
      </c>
      <c r="N88" s="59">
        <v>4.4000000000000004</v>
      </c>
      <c r="O88" s="59">
        <v>0</v>
      </c>
      <c r="P88" s="59">
        <v>4.5</v>
      </c>
      <c r="Q88" s="59">
        <v>40.93</v>
      </c>
      <c r="R88" s="197"/>
      <c r="S88" s="197"/>
      <c r="T88" s="197"/>
      <c r="U88" s="197"/>
    </row>
    <row r="89" spans="1:26" s="12" customFormat="1" x14ac:dyDescent="0.25">
      <c r="A89" s="200" t="s">
        <v>1576</v>
      </c>
      <c r="B89" s="59">
        <v>68.25</v>
      </c>
      <c r="C89" s="59">
        <v>204.24</v>
      </c>
      <c r="D89" s="59">
        <v>167.45</v>
      </c>
      <c r="E89" s="59">
        <v>42.19</v>
      </c>
      <c r="F89" s="59">
        <v>5.64</v>
      </c>
      <c r="G89" s="59">
        <v>154.22999999999999</v>
      </c>
      <c r="H89" s="59">
        <v>31.43</v>
      </c>
      <c r="I89" s="59">
        <v>1.45</v>
      </c>
      <c r="J89" s="59">
        <v>0.03</v>
      </c>
      <c r="K89" s="59">
        <v>266.26</v>
      </c>
      <c r="L89" s="59">
        <v>28.63</v>
      </c>
      <c r="M89" s="59">
        <v>27.79</v>
      </c>
      <c r="N89" s="59">
        <v>4.2</v>
      </c>
      <c r="O89" s="59">
        <v>0</v>
      </c>
      <c r="P89" s="59">
        <v>3.54</v>
      </c>
      <c r="Q89" s="59">
        <v>43.03</v>
      </c>
      <c r="R89" s="197"/>
      <c r="S89" s="197"/>
      <c r="T89" s="197"/>
      <c r="U89" s="197"/>
    </row>
    <row r="90" spans="1:26" s="12" customFormat="1" x14ac:dyDescent="0.25">
      <c r="A90" s="200" t="s">
        <v>1577</v>
      </c>
      <c r="B90" s="59">
        <v>70.760000000000005</v>
      </c>
      <c r="C90" s="59">
        <v>205.37</v>
      </c>
      <c r="D90" s="59">
        <v>170.08</v>
      </c>
      <c r="E90" s="59">
        <v>32.42</v>
      </c>
      <c r="F90" s="59">
        <v>3.57</v>
      </c>
      <c r="G90" s="59">
        <v>175.9</v>
      </c>
      <c r="H90" s="59">
        <v>39.53</v>
      </c>
      <c r="I90" s="59">
        <v>1.32</v>
      </c>
      <c r="J90" s="59">
        <v>0.1</v>
      </c>
      <c r="K90" s="59">
        <v>349.18</v>
      </c>
      <c r="L90" s="59">
        <v>27.97</v>
      </c>
      <c r="M90" s="59">
        <v>33.67</v>
      </c>
      <c r="N90" s="59">
        <v>4.9000000000000004</v>
      </c>
      <c r="O90" s="59">
        <v>0</v>
      </c>
      <c r="P90" s="59">
        <v>5.33</v>
      </c>
      <c r="Q90" s="59">
        <v>39.71</v>
      </c>
      <c r="R90" s="197"/>
      <c r="S90" s="197"/>
      <c r="T90" s="197"/>
      <c r="U90" s="197"/>
    </row>
    <row r="91" spans="1:26" s="12" customFormat="1" x14ac:dyDescent="0.25">
      <c r="A91" s="200" t="s">
        <v>1578</v>
      </c>
      <c r="B91" s="59">
        <v>77.92</v>
      </c>
      <c r="C91" s="59">
        <v>207.26</v>
      </c>
      <c r="D91" s="59">
        <v>176.86</v>
      </c>
      <c r="E91" s="59">
        <v>31.83</v>
      </c>
      <c r="F91" s="59">
        <v>2.81</v>
      </c>
      <c r="G91" s="59">
        <v>179.56</v>
      </c>
      <c r="H91" s="59">
        <v>40.9</v>
      </c>
      <c r="I91" s="59">
        <v>1.1599999999999999</v>
      </c>
      <c r="J91" s="59">
        <v>0.38</v>
      </c>
      <c r="K91" s="59">
        <v>11.26</v>
      </c>
      <c r="L91" s="59">
        <v>27.28</v>
      </c>
      <c r="M91" s="59">
        <v>36.6</v>
      </c>
      <c r="N91" s="59">
        <v>4.5999999999999996</v>
      </c>
      <c r="O91" s="59">
        <v>0</v>
      </c>
      <c r="P91" s="59">
        <v>5.65</v>
      </c>
      <c r="Q91" s="59">
        <v>38.520000000000003</v>
      </c>
      <c r="R91" s="197"/>
      <c r="S91" s="197"/>
      <c r="T91" s="197"/>
      <c r="U91" s="197"/>
    </row>
    <row r="92" spans="1:26" s="12" customFormat="1" x14ac:dyDescent="0.25">
      <c r="A92" s="200" t="s">
        <v>1579</v>
      </c>
      <c r="B92" s="59">
        <v>81.96</v>
      </c>
      <c r="C92" s="59">
        <v>208.74</v>
      </c>
      <c r="D92" s="59">
        <v>180.92</v>
      </c>
      <c r="E92" s="59">
        <v>22.17</v>
      </c>
      <c r="F92" s="59">
        <v>6.81</v>
      </c>
      <c r="G92" s="59">
        <v>179.56</v>
      </c>
      <c r="H92" s="59">
        <v>40.9</v>
      </c>
      <c r="I92" s="59">
        <v>1.5</v>
      </c>
      <c r="J92" s="59">
        <v>1.66</v>
      </c>
      <c r="K92" s="59">
        <v>11.07</v>
      </c>
      <c r="L92" s="59">
        <v>28.04</v>
      </c>
      <c r="M92" s="59">
        <v>29.86</v>
      </c>
      <c r="N92" s="59">
        <v>1.4</v>
      </c>
      <c r="O92" s="59">
        <v>0</v>
      </c>
      <c r="P92" s="59">
        <v>2.9</v>
      </c>
      <c r="Q92" s="59">
        <v>45.11</v>
      </c>
      <c r="R92" s="197"/>
      <c r="S92" s="197"/>
      <c r="T92" s="197"/>
      <c r="U92" s="197"/>
    </row>
    <row r="93" spans="1:26" s="12" customFormat="1" x14ac:dyDescent="0.25">
      <c r="A93" s="200" t="s">
        <v>1580</v>
      </c>
      <c r="B93" s="59">
        <v>77.48</v>
      </c>
      <c r="C93" s="59">
        <v>205.13</v>
      </c>
      <c r="D93" s="59">
        <v>175.34</v>
      </c>
      <c r="E93" s="59">
        <v>9.3699999999999992</v>
      </c>
      <c r="F93" s="59">
        <v>7.05</v>
      </c>
      <c r="G93" s="59">
        <v>179.56</v>
      </c>
      <c r="H93" s="59">
        <v>40.9</v>
      </c>
      <c r="I93" s="59">
        <v>1.59</v>
      </c>
      <c r="J93" s="59">
        <v>2.09</v>
      </c>
      <c r="K93" s="59">
        <v>9.25</v>
      </c>
      <c r="L93" s="59">
        <v>29.13</v>
      </c>
      <c r="M93" s="59">
        <v>25.92</v>
      </c>
      <c r="N93" s="59">
        <v>3.8</v>
      </c>
      <c r="O93" s="59">
        <v>0</v>
      </c>
      <c r="P93" s="59">
        <v>2.73</v>
      </c>
      <c r="Q93" s="59">
        <v>46.31</v>
      </c>
      <c r="R93" s="197"/>
      <c r="S93" s="197"/>
      <c r="T93" s="197"/>
      <c r="U93" s="197"/>
    </row>
    <row r="94" spans="1:26" s="12" customFormat="1" x14ac:dyDescent="0.25">
      <c r="A94" s="200" t="s">
        <v>1581</v>
      </c>
      <c r="B94" s="59">
        <v>68.790000000000006</v>
      </c>
      <c r="C94" s="59">
        <v>199.03</v>
      </c>
      <c r="D94" s="59">
        <v>165</v>
      </c>
      <c r="E94" s="59">
        <v>7.54</v>
      </c>
      <c r="F94" s="59">
        <v>5.21</v>
      </c>
      <c r="G94" s="59">
        <v>175.51</v>
      </c>
      <c r="H94" s="59">
        <v>50.1</v>
      </c>
      <c r="I94" s="59">
        <v>1.06</v>
      </c>
      <c r="J94" s="59">
        <v>1.49</v>
      </c>
      <c r="K94" s="59">
        <v>7.4</v>
      </c>
      <c r="L94" s="59">
        <v>28.78</v>
      </c>
      <c r="M94" s="59">
        <v>27.65</v>
      </c>
      <c r="N94" s="59">
        <v>5.4</v>
      </c>
      <c r="O94" s="59">
        <v>0</v>
      </c>
      <c r="P94" s="59">
        <v>2.67</v>
      </c>
      <c r="Q94" s="59">
        <v>45.18</v>
      </c>
      <c r="R94" s="197"/>
      <c r="S94" s="197"/>
      <c r="T94" s="197"/>
      <c r="U94" s="197"/>
    </row>
    <row r="95" spans="1:26" s="12" customFormat="1" x14ac:dyDescent="0.25">
      <c r="A95" s="200" t="s">
        <v>1582</v>
      </c>
      <c r="B95" s="59">
        <v>62.01</v>
      </c>
      <c r="C95" s="59">
        <v>193.65</v>
      </c>
      <c r="D95" s="59">
        <v>156.6</v>
      </c>
      <c r="E95" s="59">
        <v>6.79</v>
      </c>
      <c r="F95" s="59">
        <v>5.23</v>
      </c>
      <c r="G95" s="59">
        <v>174.82</v>
      </c>
      <c r="H95" s="59">
        <v>51.66</v>
      </c>
      <c r="I95" s="59">
        <v>1.0900000000000001</v>
      </c>
      <c r="J95" s="59">
        <v>1.42</v>
      </c>
      <c r="K95" s="59">
        <v>2.59</v>
      </c>
      <c r="L95" s="59">
        <v>28.41</v>
      </c>
      <c r="M95" s="59">
        <v>28.44</v>
      </c>
      <c r="N95" s="59">
        <v>4.9000000000000004</v>
      </c>
      <c r="O95" s="59">
        <v>0</v>
      </c>
      <c r="P95" s="59">
        <v>2.5099999999999998</v>
      </c>
      <c r="Q95" s="59">
        <v>45.55</v>
      </c>
      <c r="R95" s="197"/>
      <c r="S95" s="197"/>
      <c r="T95" s="197"/>
      <c r="U95" s="197"/>
    </row>
    <row r="96" spans="1:26" s="12" customFormat="1" x14ac:dyDescent="0.25">
      <c r="A96" s="200" t="s">
        <v>1583</v>
      </c>
      <c r="B96" s="59">
        <v>56.31</v>
      </c>
      <c r="C96" s="59">
        <v>189.63</v>
      </c>
      <c r="D96" s="59">
        <v>149.81</v>
      </c>
      <c r="E96" s="59">
        <v>7.75</v>
      </c>
      <c r="F96" s="59">
        <v>9.15</v>
      </c>
      <c r="G96" s="59">
        <v>174.82</v>
      </c>
      <c r="H96" s="59">
        <v>51.66</v>
      </c>
      <c r="I96" s="59">
        <v>1.0900000000000001</v>
      </c>
      <c r="J96" s="59">
        <v>1.3</v>
      </c>
      <c r="K96" s="59">
        <v>4.92</v>
      </c>
      <c r="L96" s="59">
        <v>28.46</v>
      </c>
      <c r="M96" s="59">
        <v>28.08</v>
      </c>
      <c r="N96" s="59">
        <v>4.5</v>
      </c>
      <c r="O96" s="59">
        <v>0</v>
      </c>
      <c r="P96" s="59">
        <v>2.23</v>
      </c>
      <c r="Q96" s="59">
        <v>46.07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1584</v>
      </c>
      <c r="B97" s="59">
        <v>51.38</v>
      </c>
      <c r="C97" s="59">
        <v>186.58</v>
      </c>
      <c r="D97" s="59">
        <v>144.16999999999999</v>
      </c>
      <c r="E97" s="59">
        <v>14.07</v>
      </c>
      <c r="F97" s="59">
        <v>27.53</v>
      </c>
      <c r="G97" s="59">
        <v>174.82</v>
      </c>
      <c r="H97" s="59">
        <v>51.66</v>
      </c>
      <c r="I97" s="59">
        <v>1.05</v>
      </c>
      <c r="J97" s="59">
        <v>0.84</v>
      </c>
      <c r="K97" s="59">
        <v>12.98</v>
      </c>
      <c r="L97" s="59">
        <v>28.39</v>
      </c>
      <c r="M97" s="59">
        <v>27.84</v>
      </c>
      <c r="N97" s="59">
        <v>4.7</v>
      </c>
      <c r="O97" s="59">
        <v>0</v>
      </c>
      <c r="P97" s="59">
        <v>1.43</v>
      </c>
      <c r="Q97" s="59">
        <v>46.46</v>
      </c>
      <c r="R97" s="197"/>
      <c r="S97" s="197"/>
      <c r="T97" s="197"/>
      <c r="U97" s="197"/>
    </row>
    <row r="98" spans="1:33" s="12" customFormat="1" x14ac:dyDescent="0.25">
      <c r="A98" s="200" t="s">
        <v>1585</v>
      </c>
      <c r="B98" s="59">
        <v>48.13</v>
      </c>
      <c r="C98" s="59">
        <v>184.94</v>
      </c>
      <c r="D98" s="59">
        <v>140.66</v>
      </c>
      <c r="E98" s="59">
        <v>14.76</v>
      </c>
      <c r="F98" s="59">
        <v>22.03</v>
      </c>
      <c r="G98" s="59">
        <v>88.46</v>
      </c>
      <c r="H98" s="59">
        <v>46.68</v>
      </c>
      <c r="I98" s="59">
        <v>0.93</v>
      </c>
      <c r="J98" s="59">
        <v>0.68</v>
      </c>
      <c r="K98" s="59">
        <v>17.14</v>
      </c>
      <c r="L98" s="59">
        <v>28.71</v>
      </c>
      <c r="M98" s="59">
        <v>26.12</v>
      </c>
      <c r="N98" s="59">
        <v>4.3</v>
      </c>
      <c r="O98" s="59">
        <v>0</v>
      </c>
      <c r="P98" s="59">
        <v>1.53</v>
      </c>
      <c r="Q98" s="59">
        <v>46.58</v>
      </c>
      <c r="R98" s="197"/>
      <c r="S98" s="197"/>
      <c r="T98" s="197"/>
      <c r="U98" s="197"/>
    </row>
    <row r="99" spans="1:33" s="12" customFormat="1" x14ac:dyDescent="0.25">
      <c r="A99" s="200" t="s">
        <v>1586</v>
      </c>
      <c r="B99" s="59">
        <v>45.17</v>
      </c>
      <c r="C99" s="59">
        <v>183.56</v>
      </c>
      <c r="D99" s="59">
        <v>137.52000000000001</v>
      </c>
      <c r="E99" s="59">
        <v>22.81</v>
      </c>
      <c r="F99" s="59">
        <v>25.5</v>
      </c>
      <c r="G99" s="59">
        <v>73.88</v>
      </c>
      <c r="H99" s="59">
        <v>45.84</v>
      </c>
      <c r="I99" s="59">
        <v>0.69</v>
      </c>
      <c r="J99" s="59">
        <v>0.43</v>
      </c>
      <c r="K99" s="59">
        <v>36.799999999999997</v>
      </c>
      <c r="L99" s="59">
        <v>28.77</v>
      </c>
      <c r="M99" s="59">
        <v>25.87</v>
      </c>
      <c r="N99" s="59">
        <v>4.5999999999999996</v>
      </c>
      <c r="O99" s="59">
        <v>0</v>
      </c>
      <c r="P99" s="59">
        <v>1.36</v>
      </c>
      <c r="Q99" s="59">
        <v>47.82</v>
      </c>
      <c r="R99" s="197"/>
      <c r="S99" s="197"/>
      <c r="T99" s="197"/>
      <c r="U99" s="197"/>
    </row>
    <row r="100" spans="1:33" s="12" customFormat="1" x14ac:dyDescent="0.25">
      <c r="A100" s="200" t="s">
        <v>1587</v>
      </c>
      <c r="B100" s="59">
        <v>42.61</v>
      </c>
      <c r="C100" s="59">
        <v>182.29</v>
      </c>
      <c r="D100" s="59">
        <v>134.77000000000001</v>
      </c>
      <c r="E100" s="59">
        <v>13.82</v>
      </c>
      <c r="F100" s="59">
        <v>7.54</v>
      </c>
      <c r="G100" s="59">
        <v>73.88</v>
      </c>
      <c r="H100" s="59">
        <v>45.84</v>
      </c>
      <c r="I100" s="59">
        <v>0.71</v>
      </c>
      <c r="J100" s="59">
        <v>0.36</v>
      </c>
      <c r="K100" s="59">
        <v>259.23</v>
      </c>
      <c r="L100" s="59">
        <v>28.57</v>
      </c>
      <c r="M100" s="59">
        <v>26.49</v>
      </c>
      <c r="N100" s="59">
        <v>4.5999999999999996</v>
      </c>
      <c r="O100" s="59">
        <v>0</v>
      </c>
      <c r="P100" s="59">
        <v>1.88</v>
      </c>
      <c r="Q100" s="59">
        <v>47.24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1588</v>
      </c>
      <c r="B101" s="59">
        <v>37.44</v>
      </c>
      <c r="C101" s="59">
        <v>178.48</v>
      </c>
      <c r="D101" s="59">
        <v>128.52000000000001</v>
      </c>
      <c r="E101" s="59">
        <v>5.76</v>
      </c>
      <c r="F101" s="59">
        <v>4.1100000000000003</v>
      </c>
      <c r="G101" s="59">
        <v>73.88</v>
      </c>
      <c r="H101" s="59">
        <v>45.84</v>
      </c>
      <c r="I101" s="59">
        <v>0.69</v>
      </c>
      <c r="J101" s="59">
        <v>0.6</v>
      </c>
      <c r="K101" s="59">
        <v>217.05</v>
      </c>
      <c r="L101" s="59">
        <v>27.54</v>
      </c>
      <c r="M101" s="59">
        <v>31.21</v>
      </c>
      <c r="N101" s="59">
        <v>5.6</v>
      </c>
      <c r="O101" s="59">
        <v>0</v>
      </c>
      <c r="P101" s="59">
        <v>1.9</v>
      </c>
      <c r="Q101" s="59">
        <v>45.9</v>
      </c>
      <c r="R101" s="197"/>
      <c r="S101" s="197"/>
      <c r="T101" s="197"/>
      <c r="U101" s="197"/>
    </row>
    <row r="102" spans="1:33" s="12" customFormat="1" x14ac:dyDescent="0.25">
      <c r="A102" s="200" t="s">
        <v>1589</v>
      </c>
      <c r="B102" s="59">
        <v>30.63</v>
      </c>
      <c r="C102" s="59">
        <v>173.89</v>
      </c>
      <c r="D102" s="59">
        <v>120.53</v>
      </c>
      <c r="E102" s="59">
        <v>4.8</v>
      </c>
      <c r="F102" s="59">
        <v>3.82</v>
      </c>
      <c r="G102" s="59">
        <v>94.96</v>
      </c>
      <c r="H102" s="59">
        <v>39.090000000000003</v>
      </c>
      <c r="I102" s="59">
        <v>0.82</v>
      </c>
      <c r="J102" s="59">
        <v>0.43</v>
      </c>
      <c r="K102" s="59">
        <v>236.46</v>
      </c>
      <c r="L102" s="59">
        <v>26.88</v>
      </c>
      <c r="M102" s="59">
        <v>33.49</v>
      </c>
      <c r="N102" s="59">
        <v>5.6</v>
      </c>
      <c r="O102" s="59">
        <v>0</v>
      </c>
      <c r="P102" s="59">
        <v>1.75</v>
      </c>
      <c r="Q102" s="59">
        <v>44.09</v>
      </c>
      <c r="R102" s="197"/>
      <c r="S102" s="197"/>
      <c r="T102" s="197"/>
      <c r="U102" s="197"/>
    </row>
    <row r="103" spans="1:33" s="12" customFormat="1" x14ac:dyDescent="0.25">
      <c r="A103" s="200" t="s">
        <v>1590</v>
      </c>
      <c r="B103" s="59">
        <v>25.36</v>
      </c>
      <c r="C103" s="59">
        <v>169.04</v>
      </c>
      <c r="D103" s="59">
        <v>113.62</v>
      </c>
      <c r="E103" s="59">
        <v>4.3899999999999997</v>
      </c>
      <c r="F103" s="59">
        <v>3.48</v>
      </c>
      <c r="G103" s="59">
        <v>98.52</v>
      </c>
      <c r="H103" s="59">
        <v>37.950000000000003</v>
      </c>
      <c r="I103" s="59">
        <v>0.89</v>
      </c>
      <c r="J103" s="59">
        <v>0.28000000000000003</v>
      </c>
      <c r="K103" s="59">
        <v>244.38</v>
      </c>
      <c r="L103" s="59">
        <v>26.67</v>
      </c>
      <c r="M103" s="59">
        <v>33.57</v>
      </c>
      <c r="N103" s="59">
        <v>5</v>
      </c>
      <c r="O103" s="59">
        <v>0</v>
      </c>
      <c r="P103" s="59">
        <v>1.66</v>
      </c>
      <c r="Q103" s="59">
        <v>43.79</v>
      </c>
      <c r="R103" s="197"/>
      <c r="S103" s="197"/>
      <c r="T103" s="197"/>
      <c r="U103" s="197"/>
    </row>
    <row r="104" spans="1:33" s="12" customFormat="1" x14ac:dyDescent="0.25">
      <c r="A104" s="200" t="s">
        <v>1591</v>
      </c>
      <c r="B104" s="59">
        <v>21.23</v>
      </c>
      <c r="C104" s="59">
        <v>164.55</v>
      </c>
      <c r="D104" s="59">
        <v>107.84</v>
      </c>
      <c r="E104" s="59">
        <v>2.4</v>
      </c>
      <c r="F104" s="59">
        <v>3.14</v>
      </c>
      <c r="G104" s="59">
        <v>98.52</v>
      </c>
      <c r="H104" s="59">
        <v>37.950000000000003</v>
      </c>
      <c r="I104" s="59">
        <v>0.85</v>
      </c>
      <c r="J104" s="59">
        <v>0.15</v>
      </c>
      <c r="K104" s="59">
        <v>35.549999999999997</v>
      </c>
      <c r="L104" s="59">
        <v>26.7</v>
      </c>
      <c r="M104" s="59">
        <v>33.17</v>
      </c>
      <c r="N104" s="59">
        <v>4.7</v>
      </c>
      <c r="O104" s="59">
        <v>0</v>
      </c>
      <c r="P104" s="59">
        <v>1.54</v>
      </c>
      <c r="Q104" s="59">
        <v>43.76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0.81</v>
      </c>
      <c r="C106" s="66">
        <f>MIN(C9:C104)</f>
        <v>63.86</v>
      </c>
      <c r="D106" s="66">
        <f t="shared" ref="D106:Q106" si="0">MIN(D9:D104)</f>
        <v>35.89</v>
      </c>
      <c r="E106" s="66">
        <f t="shared" si="0"/>
        <v>1.78</v>
      </c>
      <c r="F106" s="66">
        <f t="shared" si="0"/>
        <v>-0.62</v>
      </c>
      <c r="G106" s="66">
        <f t="shared" si="0"/>
        <v>45.28</v>
      </c>
      <c r="H106" s="66">
        <f t="shared" si="0"/>
        <v>17.920000000000002</v>
      </c>
      <c r="I106" s="66">
        <f t="shared" si="0"/>
        <v>0.45</v>
      </c>
      <c r="J106" s="66">
        <f t="shared" si="0"/>
        <v>0.01</v>
      </c>
      <c r="K106" s="66">
        <f t="shared" si="0"/>
        <v>0.93</v>
      </c>
      <c r="L106" s="66">
        <f t="shared" si="0"/>
        <v>20.9</v>
      </c>
      <c r="M106" s="66">
        <f t="shared" si="0"/>
        <v>13.09</v>
      </c>
      <c r="N106" s="66">
        <f t="shared" si="0"/>
        <v>1.4</v>
      </c>
      <c r="O106" s="66">
        <f t="shared" si="0"/>
        <v>0</v>
      </c>
      <c r="P106" s="66">
        <f t="shared" si="0"/>
        <v>0.39</v>
      </c>
      <c r="Q106" s="66">
        <f t="shared" si="0"/>
        <v>1.57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134.82</v>
      </c>
      <c r="C107" s="65">
        <f t="shared" ref="C107:Q107" si="1">MAX(C9:C104)</f>
        <v>221.19</v>
      </c>
      <c r="D107" s="65">
        <f t="shared" si="1"/>
        <v>230.18</v>
      </c>
      <c r="E107" s="65">
        <f t="shared" si="1"/>
        <v>50.79</v>
      </c>
      <c r="F107" s="65">
        <f t="shared" si="1"/>
        <v>190.25</v>
      </c>
      <c r="G107" s="65">
        <f t="shared" si="1"/>
        <v>179.56</v>
      </c>
      <c r="H107" s="65">
        <f t="shared" si="1"/>
        <v>59.76</v>
      </c>
      <c r="I107" s="65">
        <f t="shared" si="1"/>
        <v>1.59</v>
      </c>
      <c r="J107" s="65">
        <f t="shared" si="1"/>
        <v>2.09</v>
      </c>
      <c r="K107" s="65">
        <f t="shared" si="1"/>
        <v>359.69</v>
      </c>
      <c r="L107" s="65">
        <f t="shared" si="1"/>
        <v>38.15</v>
      </c>
      <c r="M107" s="65">
        <f t="shared" si="1"/>
        <v>54.57</v>
      </c>
      <c r="N107" s="65">
        <f t="shared" si="1"/>
        <v>791.9</v>
      </c>
      <c r="O107" s="65">
        <f t="shared" si="1"/>
        <v>0</v>
      </c>
      <c r="P107" s="65">
        <f t="shared" si="1"/>
        <v>5.65</v>
      </c>
      <c r="Q107" s="65">
        <f t="shared" si="1"/>
        <v>47.82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47.154137931034484</v>
      </c>
      <c r="C108" s="66">
        <f t="shared" ref="C108:Q108" si="2">AVERAGE(C9:C104)</f>
        <v>162.2329885057471</v>
      </c>
      <c r="D108" s="66">
        <f t="shared" si="2"/>
        <v>127.34632183908053</v>
      </c>
      <c r="E108" s="66">
        <f t="shared" si="2"/>
        <v>14.409772727272722</v>
      </c>
      <c r="F108" s="66">
        <f t="shared" si="2"/>
        <v>19.587528089887641</v>
      </c>
      <c r="G108" s="66">
        <f t="shared" si="2"/>
        <v>102.8638372093022</v>
      </c>
      <c r="H108" s="66">
        <f t="shared" si="2"/>
        <v>41.954069767441872</v>
      </c>
      <c r="I108" s="66">
        <f t="shared" si="2"/>
        <v>0.85670588235294132</v>
      </c>
      <c r="J108" s="66">
        <f t="shared" si="2"/>
        <v>0.47921348314606749</v>
      </c>
      <c r="K108" s="66">
        <f t="shared" si="2"/>
        <v>107.74370786516842</v>
      </c>
      <c r="L108" s="66">
        <f t="shared" si="2"/>
        <v>28.265505617977528</v>
      </c>
      <c r="M108" s="66">
        <f t="shared" si="2"/>
        <v>31.428426966292133</v>
      </c>
      <c r="N108" s="66">
        <f t="shared" si="2"/>
        <v>172.29438202247192</v>
      </c>
      <c r="O108" s="66">
        <f t="shared" si="2"/>
        <v>0</v>
      </c>
      <c r="P108" s="66">
        <f t="shared" si="2"/>
        <v>1.7370454545454543</v>
      </c>
      <c r="Q108" s="66">
        <f t="shared" si="2"/>
        <v>34.462692307692308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35.468581168694755</v>
      </c>
      <c r="C109" s="66">
        <f t="shared" ref="C109:Q109" si="3">STDEV(C9:C104)</f>
        <v>42.413848416249934</v>
      </c>
      <c r="D109" s="66">
        <f t="shared" si="3"/>
        <v>49.491351561025837</v>
      </c>
      <c r="E109" s="66">
        <f t="shared" si="3"/>
        <v>11.404482883182871</v>
      </c>
      <c r="F109" s="66">
        <f t="shared" si="3"/>
        <v>27.711119948862123</v>
      </c>
      <c r="G109" s="66">
        <f t="shared" si="3"/>
        <v>38.947256496857818</v>
      </c>
      <c r="H109" s="66">
        <f t="shared" si="3"/>
        <v>11.232176823007622</v>
      </c>
      <c r="I109" s="66">
        <f t="shared" si="3"/>
        <v>0.28226713215242988</v>
      </c>
      <c r="J109" s="66">
        <f t="shared" si="3"/>
        <v>0.44997531427013021</v>
      </c>
      <c r="K109" s="66">
        <f t="shared" si="3"/>
        <v>110.61684175754482</v>
      </c>
      <c r="L109" s="66">
        <f t="shared" si="3"/>
        <v>5.1117133783008732</v>
      </c>
      <c r="M109" s="66">
        <f t="shared" si="3"/>
        <v>11.94344712868228</v>
      </c>
      <c r="N109" s="66">
        <f t="shared" si="3"/>
        <v>258.97444607157604</v>
      </c>
      <c r="O109" s="66">
        <f t="shared" si="3"/>
        <v>0</v>
      </c>
      <c r="P109" s="66">
        <f t="shared" si="3"/>
        <v>1.1113977521244935</v>
      </c>
      <c r="Q109" s="66">
        <f t="shared" si="3"/>
        <v>9.1207565010172846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COUNT(B9:B104)+9</f>
        <v>96</v>
      </c>
      <c r="C110" s="65">
        <f>COUNT(C9:C104)+9</f>
        <v>96</v>
      </c>
      <c r="D110" s="65">
        <f>COUNT(D9:D104)+9</f>
        <v>96</v>
      </c>
      <c r="E110" s="65">
        <f>COUNT(E9:E104)+8</f>
        <v>96</v>
      </c>
      <c r="F110" s="65">
        <f>COUNT(F9:F104)+7</f>
        <v>96</v>
      </c>
      <c r="G110" s="65">
        <f>COUNT(G9:G104)+10</f>
        <v>96</v>
      </c>
      <c r="H110" s="65">
        <f>COUNT(H9:H104)+10</f>
        <v>96</v>
      </c>
      <c r="I110" s="65">
        <f>COUNT(I9:I104)+11</f>
        <v>96</v>
      </c>
      <c r="J110" s="65">
        <f t="shared" ref="J110:O110" si="4">COUNT(J9:J104)+7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>COUNT(P9:P104)+8</f>
        <v>96</v>
      </c>
      <c r="Q110" s="65">
        <f>COUNT(Q9:Q104)+18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5" sqref="G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15-03-2023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1592</v>
      </c>
      <c r="B9" s="59">
        <v>17.489999999999998</v>
      </c>
      <c r="C9" s="59">
        <v>160</v>
      </c>
      <c r="D9" s="59">
        <v>102.33</v>
      </c>
      <c r="E9" s="59">
        <v>3.95</v>
      </c>
      <c r="F9" s="59">
        <v>3.5</v>
      </c>
      <c r="G9" s="59">
        <v>98.52</v>
      </c>
      <c r="H9" s="59">
        <v>37.950000000000003</v>
      </c>
      <c r="I9" s="59">
        <v>0.81</v>
      </c>
      <c r="J9" s="59">
        <v>0.28000000000000003</v>
      </c>
      <c r="K9" s="59">
        <v>25.51</v>
      </c>
      <c r="L9" s="59">
        <v>26.56</v>
      </c>
      <c r="M9" s="59">
        <v>32.93</v>
      </c>
      <c r="N9" s="59">
        <v>4.7</v>
      </c>
      <c r="O9" s="59">
        <v>0</v>
      </c>
      <c r="P9" s="59">
        <v>1.4</v>
      </c>
      <c r="Q9" s="59">
        <v>42.75</v>
      </c>
      <c r="R9" s="197"/>
      <c r="S9" s="197"/>
      <c r="T9" s="197"/>
      <c r="U9" s="197"/>
    </row>
    <row r="10" spans="1:21" s="12" customFormat="1" x14ac:dyDescent="0.25">
      <c r="A10" s="200" t="s">
        <v>1593</v>
      </c>
      <c r="B10" s="59">
        <v>14.09</v>
      </c>
      <c r="C10" s="59">
        <v>156.4</v>
      </c>
      <c r="D10" s="59">
        <v>97.61</v>
      </c>
      <c r="E10" s="59">
        <v>4.45</v>
      </c>
      <c r="F10" s="59">
        <v>4.34</v>
      </c>
      <c r="G10" s="59">
        <v>47.53</v>
      </c>
      <c r="H10" s="59">
        <v>30.15</v>
      </c>
      <c r="I10" s="59">
        <v>0.8</v>
      </c>
      <c r="J10" s="59">
        <v>0.17</v>
      </c>
      <c r="K10" s="59">
        <v>34.65</v>
      </c>
      <c r="L10" s="59">
        <v>26.72</v>
      </c>
      <c r="M10" s="59">
        <v>31.57</v>
      </c>
      <c r="N10" s="59">
        <v>4.3</v>
      </c>
      <c r="O10" s="59">
        <v>0</v>
      </c>
      <c r="P10" s="59">
        <v>1.31</v>
      </c>
      <c r="Q10" s="59">
        <v>41.89</v>
      </c>
      <c r="R10" s="197"/>
      <c r="S10" s="197"/>
      <c r="T10" s="197"/>
      <c r="U10" s="197"/>
    </row>
    <row r="11" spans="1:21" s="12" customFormat="1" x14ac:dyDescent="0.25">
      <c r="A11" s="200" t="s">
        <v>1594</v>
      </c>
      <c r="B11" s="59">
        <v>11.13</v>
      </c>
      <c r="C11" s="59">
        <v>153.58000000000001</v>
      </c>
      <c r="D11" s="59">
        <v>93.68</v>
      </c>
      <c r="E11" s="59">
        <v>4.59</v>
      </c>
      <c r="F11" s="59">
        <v>8.2799999999999994</v>
      </c>
      <c r="G11" s="59">
        <v>38.92</v>
      </c>
      <c r="H11" s="59">
        <v>28.83</v>
      </c>
      <c r="I11" s="59">
        <v>0.75</v>
      </c>
      <c r="J11" s="59">
        <v>0.13</v>
      </c>
      <c r="K11" s="59">
        <v>44.71</v>
      </c>
      <c r="L11" s="59">
        <v>26.73</v>
      </c>
      <c r="M11" s="59">
        <v>31.53</v>
      </c>
      <c r="N11" s="59">
        <v>4.7</v>
      </c>
      <c r="O11" s="59">
        <v>0</v>
      </c>
      <c r="P11" s="59">
        <v>1.1000000000000001</v>
      </c>
      <c r="Q11" s="59">
        <v>42.12</v>
      </c>
      <c r="R11" s="197"/>
      <c r="S11" s="197"/>
      <c r="T11" s="197"/>
      <c r="U11" s="197"/>
    </row>
    <row r="12" spans="1:21" s="12" customFormat="1" x14ac:dyDescent="0.25">
      <c r="A12" s="200" t="s">
        <v>1595</v>
      </c>
      <c r="B12" s="59">
        <v>9.27</v>
      </c>
      <c r="C12" s="59">
        <v>151.84</v>
      </c>
      <c r="D12" s="59">
        <v>91.23</v>
      </c>
      <c r="E12" s="59">
        <v>4.5</v>
      </c>
      <c r="F12" s="59">
        <v>4.01</v>
      </c>
      <c r="G12" s="59">
        <v>38.92</v>
      </c>
      <c r="H12" s="59">
        <v>28.83</v>
      </c>
      <c r="I12" s="59">
        <v>0.71</v>
      </c>
      <c r="J12" s="59">
        <v>0.16</v>
      </c>
      <c r="K12" s="59">
        <v>29.59</v>
      </c>
      <c r="L12" s="59">
        <v>26.61</v>
      </c>
      <c r="M12" s="59">
        <v>31.27</v>
      </c>
      <c r="N12" s="59">
        <v>4.5999999999999996</v>
      </c>
      <c r="O12" s="59">
        <v>0</v>
      </c>
      <c r="P12" s="59">
        <v>1.1599999999999999</v>
      </c>
      <c r="Q12" s="59">
        <v>42.24</v>
      </c>
      <c r="R12" s="197"/>
      <c r="S12" s="197"/>
      <c r="T12" s="197"/>
      <c r="U12" s="197"/>
    </row>
    <row r="13" spans="1:21" s="12" customFormat="1" x14ac:dyDescent="0.25">
      <c r="A13" s="200" t="s">
        <v>1596</v>
      </c>
      <c r="B13" s="59">
        <v>7.8</v>
      </c>
      <c r="C13" s="59">
        <v>150.41999999999999</v>
      </c>
      <c r="D13" s="59">
        <v>89.27</v>
      </c>
      <c r="E13" s="59">
        <v>4.24</v>
      </c>
      <c r="F13" s="59">
        <v>3.15</v>
      </c>
      <c r="G13" s="59">
        <v>38.92</v>
      </c>
      <c r="H13" s="59">
        <v>28.83</v>
      </c>
      <c r="I13" s="59">
        <v>0.65</v>
      </c>
      <c r="J13" s="59">
        <v>0.32</v>
      </c>
      <c r="K13" s="59">
        <v>0</v>
      </c>
      <c r="L13" s="59">
        <v>26.28</v>
      </c>
      <c r="M13" s="59">
        <v>32.369999999999997</v>
      </c>
      <c r="N13" s="59">
        <v>4.7</v>
      </c>
      <c r="O13" s="59">
        <v>0</v>
      </c>
      <c r="P13" s="59">
        <v>1.1399999999999999</v>
      </c>
      <c r="Q13" s="59">
        <v>42.39</v>
      </c>
      <c r="R13" s="197"/>
      <c r="S13" s="197"/>
      <c r="T13" s="197"/>
      <c r="U13" s="197"/>
    </row>
    <row r="14" spans="1:21" s="12" customFormat="1" x14ac:dyDescent="0.25">
      <c r="A14" s="200" t="s">
        <v>1597</v>
      </c>
      <c r="B14" s="59">
        <v>6.79</v>
      </c>
      <c r="C14" s="59">
        <v>149.47</v>
      </c>
      <c r="D14" s="59">
        <v>87.93</v>
      </c>
      <c r="E14" s="59">
        <v>3.82</v>
      </c>
      <c r="F14" s="59">
        <v>3.08</v>
      </c>
      <c r="G14" s="59">
        <v>42.82</v>
      </c>
      <c r="H14" s="59">
        <v>21.29</v>
      </c>
      <c r="I14" s="59">
        <v>0.63</v>
      </c>
      <c r="J14" s="59">
        <v>0.22</v>
      </c>
      <c r="K14" s="59">
        <v>10.78</v>
      </c>
      <c r="L14" s="59">
        <v>25.98</v>
      </c>
      <c r="M14" s="59">
        <v>33.130000000000003</v>
      </c>
      <c r="N14" s="59">
        <v>4.8</v>
      </c>
      <c r="O14" s="59">
        <v>0</v>
      </c>
      <c r="P14" s="59">
        <v>1.1399999999999999</v>
      </c>
      <c r="Q14" s="59">
        <v>42.35</v>
      </c>
      <c r="R14" s="197"/>
      <c r="S14" s="197"/>
      <c r="T14" s="197"/>
      <c r="U14" s="197"/>
    </row>
    <row r="15" spans="1:21" s="12" customFormat="1" x14ac:dyDescent="0.25">
      <c r="A15" s="200" t="s">
        <v>1598</v>
      </c>
      <c r="B15" s="59">
        <v>6.09</v>
      </c>
      <c r="C15" s="59">
        <v>148.44</v>
      </c>
      <c r="D15" s="59">
        <v>86.8</v>
      </c>
      <c r="E15" s="59">
        <v>4.6900000000000004</v>
      </c>
      <c r="F15" s="59">
        <v>8.18</v>
      </c>
      <c r="G15" s="59">
        <v>43.47</v>
      </c>
      <c r="H15" s="59">
        <v>20.02</v>
      </c>
      <c r="I15" s="59">
        <v>0.63</v>
      </c>
      <c r="J15" s="59">
        <v>0.2</v>
      </c>
      <c r="K15" s="59">
        <v>359.87</v>
      </c>
      <c r="L15" s="59">
        <v>25.61</v>
      </c>
      <c r="M15" s="59">
        <v>34.99</v>
      </c>
      <c r="N15" s="59">
        <v>4.7</v>
      </c>
      <c r="O15" s="59">
        <v>0</v>
      </c>
      <c r="P15" s="59">
        <v>1.04</v>
      </c>
      <c r="Q15" s="59">
        <v>42.85</v>
      </c>
      <c r="R15" s="197"/>
      <c r="S15" s="197"/>
      <c r="T15" s="197"/>
      <c r="U15" s="197"/>
    </row>
    <row r="16" spans="1:21" s="12" customFormat="1" x14ac:dyDescent="0.25">
      <c r="A16" s="200" t="s">
        <v>1599</v>
      </c>
      <c r="B16" s="59">
        <v>6.05</v>
      </c>
      <c r="C16" s="59">
        <v>148.5</v>
      </c>
      <c r="D16" s="59">
        <v>86.8</v>
      </c>
      <c r="E16" s="59">
        <v>7.47</v>
      </c>
      <c r="F16" s="59">
        <v>15.52</v>
      </c>
      <c r="G16" s="59">
        <v>43.47</v>
      </c>
      <c r="H16" s="59">
        <v>20.02</v>
      </c>
      <c r="I16" s="59">
        <v>0.62</v>
      </c>
      <c r="J16" s="59">
        <v>7.0000000000000007E-2</v>
      </c>
      <c r="K16" s="59">
        <v>353.7</v>
      </c>
      <c r="L16" s="59">
        <v>25.54</v>
      </c>
      <c r="M16" s="59">
        <v>34.82</v>
      </c>
      <c r="N16" s="59">
        <v>4.7</v>
      </c>
      <c r="O16" s="59">
        <v>0</v>
      </c>
      <c r="P16" s="59">
        <v>0.93</v>
      </c>
      <c r="Q16" s="59">
        <v>44.35</v>
      </c>
      <c r="R16" s="197"/>
      <c r="S16" s="197"/>
      <c r="T16" s="197"/>
      <c r="U16" s="197"/>
    </row>
    <row r="17" spans="1:21" s="12" customFormat="1" x14ac:dyDescent="0.25">
      <c r="A17" s="200" t="s">
        <v>1600</v>
      </c>
      <c r="B17" s="59">
        <v>6.31</v>
      </c>
      <c r="C17" s="59">
        <v>148.79</v>
      </c>
      <c r="D17" s="59">
        <v>87.17</v>
      </c>
      <c r="E17" s="59">
        <v>5.81</v>
      </c>
      <c r="F17" s="59">
        <v>7.17</v>
      </c>
      <c r="G17" s="59">
        <v>43.47</v>
      </c>
      <c r="H17" s="59">
        <v>20.02</v>
      </c>
      <c r="I17" s="59">
        <v>0.59</v>
      </c>
      <c r="J17" s="59">
        <v>0.34</v>
      </c>
      <c r="K17" s="59">
        <v>331.13</v>
      </c>
      <c r="L17" s="59">
        <v>25.33</v>
      </c>
      <c r="M17" s="59">
        <v>37.049999999999997</v>
      </c>
      <c r="N17" s="59">
        <v>4.5999999999999996</v>
      </c>
      <c r="O17" s="59">
        <v>0</v>
      </c>
      <c r="P17" s="59">
        <v>1.03</v>
      </c>
      <c r="Q17" s="59">
        <v>46.55</v>
      </c>
      <c r="R17" s="197"/>
      <c r="S17" s="197"/>
      <c r="T17" s="197"/>
      <c r="U17" s="197"/>
    </row>
    <row r="18" spans="1:21" s="12" customFormat="1" x14ac:dyDescent="0.25">
      <c r="A18" s="200" t="s">
        <v>1601</v>
      </c>
      <c r="B18" s="59">
        <v>6.39</v>
      </c>
      <c r="C18" s="59">
        <v>147.47</v>
      </c>
      <c r="D18" s="59">
        <v>86.51</v>
      </c>
      <c r="E18" s="59">
        <v>4.1399999999999997</v>
      </c>
      <c r="F18" s="59">
        <v>2.96</v>
      </c>
      <c r="G18" s="59">
        <v>40.75</v>
      </c>
      <c r="H18" s="59">
        <v>20.3</v>
      </c>
      <c r="I18" s="59">
        <v>0.54</v>
      </c>
      <c r="J18" s="59">
        <v>0.28999999999999998</v>
      </c>
      <c r="K18" s="59">
        <v>340.38</v>
      </c>
      <c r="L18" s="59">
        <v>25.26</v>
      </c>
      <c r="M18" s="59">
        <v>36.06</v>
      </c>
      <c r="N18" s="59">
        <v>4.4000000000000004</v>
      </c>
      <c r="O18" s="59">
        <v>0</v>
      </c>
      <c r="P18" s="59">
        <v>1.06</v>
      </c>
      <c r="Q18" s="59">
        <v>45.97</v>
      </c>
      <c r="R18" s="197"/>
      <c r="S18" s="197"/>
      <c r="T18" s="197"/>
      <c r="U18" s="197"/>
    </row>
    <row r="19" spans="1:21" s="12" customFormat="1" x14ac:dyDescent="0.25">
      <c r="A19" s="200" t="s">
        <v>1602</v>
      </c>
      <c r="B19" s="59">
        <v>6.25</v>
      </c>
      <c r="C19" s="59">
        <v>146.65</v>
      </c>
      <c r="D19" s="59">
        <v>85.95</v>
      </c>
      <c r="E19" s="59">
        <v>4.37</v>
      </c>
      <c r="F19" s="59">
        <v>2.93</v>
      </c>
      <c r="G19" s="59">
        <v>40.299999999999997</v>
      </c>
      <c r="H19" s="59">
        <v>20.34</v>
      </c>
      <c r="I19" s="59">
        <v>0.59</v>
      </c>
      <c r="J19" s="59">
        <v>0.23</v>
      </c>
      <c r="K19" s="59">
        <v>338.62</v>
      </c>
      <c r="L19" s="59">
        <v>25.25</v>
      </c>
      <c r="M19" s="59">
        <v>35.78</v>
      </c>
      <c r="N19" s="59">
        <v>4.7</v>
      </c>
      <c r="O19" s="59">
        <v>0</v>
      </c>
      <c r="P19" s="59">
        <v>1.06</v>
      </c>
      <c r="Q19" s="59">
        <v>45.91</v>
      </c>
      <c r="R19" s="197"/>
      <c r="S19" s="197"/>
      <c r="T19" s="197"/>
      <c r="U19" s="197"/>
    </row>
    <row r="20" spans="1:21" s="12" customFormat="1" x14ac:dyDescent="0.25">
      <c r="A20" s="200" t="s">
        <v>1603</v>
      </c>
      <c r="B20" s="59">
        <v>5.83</v>
      </c>
      <c r="C20" s="59">
        <v>146.09</v>
      </c>
      <c r="D20" s="59">
        <v>85.3</v>
      </c>
      <c r="E20" s="59">
        <v>4.1500000000000004</v>
      </c>
      <c r="F20" s="59">
        <v>3.81</v>
      </c>
      <c r="G20" s="59">
        <v>40.299999999999997</v>
      </c>
      <c r="H20" s="59">
        <v>20.34</v>
      </c>
      <c r="I20" s="59">
        <v>0.65</v>
      </c>
      <c r="J20" s="59">
        <v>0.18</v>
      </c>
      <c r="K20" s="59">
        <v>352.54</v>
      </c>
      <c r="L20" s="59">
        <v>25.24</v>
      </c>
      <c r="M20" s="59">
        <v>35.69</v>
      </c>
      <c r="N20" s="59">
        <v>4.5999999999999996</v>
      </c>
      <c r="O20" s="59">
        <v>0</v>
      </c>
      <c r="P20" s="59">
        <v>1.04</v>
      </c>
      <c r="Q20" s="59">
        <v>46.3</v>
      </c>
      <c r="R20" s="197"/>
      <c r="S20" s="197"/>
      <c r="T20" s="197"/>
      <c r="U20" s="197"/>
    </row>
    <row r="21" spans="1:21" s="12" customFormat="1" x14ac:dyDescent="0.25">
      <c r="A21" s="200" t="s">
        <v>1604</v>
      </c>
      <c r="B21" s="59">
        <v>5.26</v>
      </c>
      <c r="C21" s="59">
        <v>144.69999999999999</v>
      </c>
      <c r="D21" s="59">
        <v>84.07</v>
      </c>
      <c r="E21" s="59">
        <v>3.78</v>
      </c>
      <c r="F21" s="59">
        <v>2.72</v>
      </c>
      <c r="G21" s="59">
        <v>40.299999999999997</v>
      </c>
      <c r="H21" s="59">
        <v>20.34</v>
      </c>
      <c r="I21" s="59">
        <v>0.6</v>
      </c>
      <c r="J21" s="59">
        <v>0.16</v>
      </c>
      <c r="K21" s="59">
        <v>14.61</v>
      </c>
      <c r="L21" s="59">
        <v>25.12</v>
      </c>
      <c r="M21" s="59">
        <v>36.36</v>
      </c>
      <c r="N21" s="59">
        <v>4.5999999999999996</v>
      </c>
      <c r="O21" s="59">
        <v>0</v>
      </c>
      <c r="P21" s="59">
        <v>1.03</v>
      </c>
      <c r="Q21" s="59">
        <v>46.25</v>
      </c>
      <c r="R21" s="197"/>
      <c r="S21" s="197"/>
      <c r="T21" s="197"/>
      <c r="U21" s="197"/>
    </row>
    <row r="22" spans="1:21" s="12" customFormat="1" x14ac:dyDescent="0.25">
      <c r="A22" s="200" t="s">
        <v>1605</v>
      </c>
      <c r="B22" s="59">
        <v>4.79</v>
      </c>
      <c r="C22" s="59">
        <v>144.58000000000001</v>
      </c>
      <c r="D22" s="59">
        <v>83.63</v>
      </c>
      <c r="E22" s="59">
        <v>3.79</v>
      </c>
      <c r="F22" s="59">
        <v>3.55</v>
      </c>
      <c r="G22" s="59">
        <v>43.57</v>
      </c>
      <c r="H22" s="59">
        <v>19.260000000000002</v>
      </c>
      <c r="I22" s="59">
        <v>0.62</v>
      </c>
      <c r="J22" s="59">
        <v>0.27</v>
      </c>
      <c r="K22" s="59">
        <v>339.34</v>
      </c>
      <c r="L22" s="59">
        <v>25.08</v>
      </c>
      <c r="M22" s="59">
        <v>37.369999999999997</v>
      </c>
      <c r="N22" s="59">
        <v>4.5</v>
      </c>
      <c r="O22" s="59">
        <v>0</v>
      </c>
      <c r="P22" s="59">
        <v>1.01</v>
      </c>
      <c r="Q22" s="59">
        <v>45.29</v>
      </c>
      <c r="R22" s="197"/>
      <c r="S22" s="197"/>
      <c r="T22" s="197"/>
      <c r="U22" s="197"/>
    </row>
    <row r="23" spans="1:21" s="12" customFormat="1" x14ac:dyDescent="0.25">
      <c r="A23" s="200" t="s">
        <v>1606</v>
      </c>
      <c r="B23" s="59">
        <v>4.49</v>
      </c>
      <c r="C23" s="59">
        <v>144.28</v>
      </c>
      <c r="D23" s="59">
        <v>83.22</v>
      </c>
      <c r="E23" s="59">
        <v>4.33</v>
      </c>
      <c r="F23" s="59">
        <v>10.09</v>
      </c>
      <c r="G23" s="59">
        <v>44.12</v>
      </c>
      <c r="H23" s="59">
        <v>19.079999999999998</v>
      </c>
      <c r="I23" s="59">
        <v>0.59</v>
      </c>
      <c r="J23" s="59">
        <v>7.0000000000000007E-2</v>
      </c>
      <c r="K23" s="59">
        <v>313.44</v>
      </c>
      <c r="L23" s="59">
        <v>24.99</v>
      </c>
      <c r="M23" s="59">
        <v>37.770000000000003</v>
      </c>
      <c r="N23" s="59">
        <v>5</v>
      </c>
      <c r="O23" s="59">
        <v>0</v>
      </c>
      <c r="P23" s="59">
        <v>1.02</v>
      </c>
      <c r="Q23" s="59">
        <v>45.64</v>
      </c>
      <c r="R23" s="197"/>
      <c r="S23" s="197"/>
      <c r="T23" s="197"/>
      <c r="U23" s="197"/>
    </row>
    <row r="24" spans="1:21" s="12" customFormat="1" x14ac:dyDescent="0.25">
      <c r="A24" s="200" t="s">
        <v>1607</v>
      </c>
      <c r="B24" s="59">
        <v>4.58</v>
      </c>
      <c r="C24" s="59">
        <v>144.53</v>
      </c>
      <c r="D24" s="59">
        <v>83.44</v>
      </c>
      <c r="E24" s="59">
        <v>3.59</v>
      </c>
      <c r="F24" s="59">
        <v>7.87</v>
      </c>
      <c r="G24" s="59">
        <v>44.12</v>
      </c>
      <c r="H24" s="59">
        <v>19.079999999999998</v>
      </c>
      <c r="I24" s="59">
        <v>0.57999999999999996</v>
      </c>
      <c r="J24" s="59">
        <v>0.45</v>
      </c>
      <c r="K24" s="59">
        <v>334.9</v>
      </c>
      <c r="L24" s="59">
        <v>24.89</v>
      </c>
      <c r="M24" s="59">
        <v>39.6</v>
      </c>
      <c r="N24" s="59">
        <v>4.7</v>
      </c>
      <c r="O24" s="59">
        <v>0</v>
      </c>
      <c r="P24" s="59">
        <v>1.03</v>
      </c>
      <c r="Q24" s="59">
        <v>46.47</v>
      </c>
      <c r="R24" s="197"/>
      <c r="S24" s="197"/>
      <c r="T24" s="197"/>
      <c r="U24" s="197"/>
    </row>
    <row r="25" spans="1:21" s="12" customFormat="1" x14ac:dyDescent="0.25">
      <c r="A25" s="200" t="s">
        <v>1608</v>
      </c>
      <c r="B25" s="59">
        <v>4.95</v>
      </c>
      <c r="C25" s="59">
        <v>145.01</v>
      </c>
      <c r="D25" s="59">
        <v>84</v>
      </c>
      <c r="E25" s="59">
        <v>6.04</v>
      </c>
      <c r="F25" s="59">
        <v>7.53</v>
      </c>
      <c r="G25" s="59">
        <v>44.12</v>
      </c>
      <c r="H25" s="59">
        <v>19.079999999999998</v>
      </c>
      <c r="I25" s="59">
        <v>0.56000000000000005</v>
      </c>
      <c r="J25" s="59">
        <v>0.73</v>
      </c>
      <c r="K25" s="59">
        <v>337.42</v>
      </c>
      <c r="L25" s="59">
        <v>24.81</v>
      </c>
      <c r="M25" s="59">
        <v>39.869999999999997</v>
      </c>
      <c r="N25" s="59">
        <v>4.4000000000000004</v>
      </c>
      <c r="O25" s="59">
        <v>0</v>
      </c>
      <c r="P25" s="59">
        <v>0.97</v>
      </c>
      <c r="Q25" s="59">
        <v>47.47</v>
      </c>
      <c r="R25" s="197"/>
      <c r="S25" s="197"/>
      <c r="T25" s="197"/>
      <c r="U25" s="197"/>
    </row>
    <row r="26" spans="1:21" s="12" customFormat="1" x14ac:dyDescent="0.25">
      <c r="A26" s="200" t="s">
        <v>1609</v>
      </c>
      <c r="B26" s="59">
        <v>5.33</v>
      </c>
      <c r="C26" s="59">
        <v>145.33000000000001</v>
      </c>
      <c r="D26" s="59">
        <v>84.48</v>
      </c>
      <c r="E26" s="59">
        <v>15.32</v>
      </c>
      <c r="F26" s="59">
        <v>9.9</v>
      </c>
      <c r="G26" s="59">
        <v>45.56</v>
      </c>
      <c r="H26" s="59">
        <v>17.38</v>
      </c>
      <c r="I26" s="59">
        <v>0.54</v>
      </c>
      <c r="J26" s="59">
        <v>0.66</v>
      </c>
      <c r="K26" s="59">
        <v>6.3</v>
      </c>
      <c r="L26" s="59">
        <v>24.87</v>
      </c>
      <c r="M26" s="59">
        <v>38.89</v>
      </c>
      <c r="N26" s="59">
        <v>4.9000000000000004</v>
      </c>
      <c r="O26" s="59">
        <v>0</v>
      </c>
      <c r="P26" s="59">
        <v>0.9</v>
      </c>
      <c r="Q26" s="59">
        <v>47.81</v>
      </c>
      <c r="R26" s="197"/>
      <c r="S26" s="197"/>
      <c r="T26" s="197"/>
      <c r="U26" s="197"/>
    </row>
    <row r="27" spans="1:21" s="12" customFormat="1" x14ac:dyDescent="0.25">
      <c r="A27" s="200" t="s">
        <v>1610</v>
      </c>
      <c r="B27" s="59">
        <v>5.78</v>
      </c>
      <c r="C27" s="59">
        <v>146.11000000000001</v>
      </c>
      <c r="D27" s="59">
        <v>85.27</v>
      </c>
      <c r="E27" s="59">
        <v>12.69</v>
      </c>
      <c r="F27" s="59">
        <v>6.45</v>
      </c>
      <c r="G27" s="59">
        <v>45.8</v>
      </c>
      <c r="H27" s="59">
        <v>17.100000000000001</v>
      </c>
      <c r="I27" s="59">
        <v>0.56999999999999995</v>
      </c>
      <c r="J27" s="59">
        <v>0.22</v>
      </c>
      <c r="K27" s="59">
        <v>182.29</v>
      </c>
      <c r="L27" s="59">
        <v>25.03</v>
      </c>
      <c r="M27" s="59">
        <v>38.450000000000003</v>
      </c>
      <c r="N27" s="59">
        <v>4.8</v>
      </c>
      <c r="O27" s="59">
        <v>0</v>
      </c>
      <c r="P27" s="59">
        <v>0.93</v>
      </c>
      <c r="Q27" s="59">
        <v>47.97</v>
      </c>
      <c r="R27" s="197"/>
      <c r="S27" s="197"/>
      <c r="T27" s="197"/>
      <c r="U27" s="197"/>
    </row>
    <row r="28" spans="1:21" s="12" customFormat="1" x14ac:dyDescent="0.25">
      <c r="A28" s="200" t="s">
        <v>1611</v>
      </c>
      <c r="B28" s="59">
        <v>6.36</v>
      </c>
      <c r="C28" s="59">
        <v>147.5</v>
      </c>
      <c r="D28" s="59">
        <v>86.5</v>
      </c>
      <c r="E28" s="59">
        <v>13.3</v>
      </c>
      <c r="F28" s="59">
        <v>9.09</v>
      </c>
      <c r="G28" s="59">
        <v>45.8</v>
      </c>
      <c r="H28" s="59">
        <v>17.100000000000001</v>
      </c>
      <c r="I28" s="59">
        <v>0.55000000000000004</v>
      </c>
      <c r="J28" s="59">
        <v>0.28000000000000003</v>
      </c>
      <c r="K28" s="59">
        <v>129.87</v>
      </c>
      <c r="L28" s="59">
        <v>25.12</v>
      </c>
      <c r="M28" s="59">
        <v>38.9</v>
      </c>
      <c r="N28" s="59">
        <v>5</v>
      </c>
      <c r="O28" s="59">
        <v>0</v>
      </c>
      <c r="P28" s="59">
        <v>0.97</v>
      </c>
      <c r="Q28" s="59">
        <v>48.08</v>
      </c>
      <c r="R28" s="197"/>
      <c r="S28" s="197"/>
      <c r="T28" s="197"/>
      <c r="U28" s="197"/>
    </row>
    <row r="29" spans="1:21" s="12" customFormat="1" x14ac:dyDescent="0.25">
      <c r="A29" s="200" t="s">
        <v>1612</v>
      </c>
      <c r="B29" s="59">
        <v>7.02</v>
      </c>
      <c r="C29" s="59">
        <v>148.49</v>
      </c>
      <c r="D29" s="59">
        <v>87.58</v>
      </c>
      <c r="E29" s="59">
        <v>14.96</v>
      </c>
      <c r="F29" s="59">
        <v>6.43</v>
      </c>
      <c r="G29" s="59">
        <v>45.8</v>
      </c>
      <c r="H29" s="59">
        <v>17.100000000000001</v>
      </c>
      <c r="I29" s="59">
        <v>0.56999999999999995</v>
      </c>
      <c r="J29" s="59">
        <v>0.22</v>
      </c>
      <c r="K29" s="59">
        <v>18.62</v>
      </c>
      <c r="L29" s="59">
        <v>24.92</v>
      </c>
      <c r="M29" s="59">
        <v>42.96</v>
      </c>
      <c r="N29" s="59">
        <v>5.3</v>
      </c>
      <c r="O29" s="59">
        <v>0</v>
      </c>
      <c r="P29" s="59">
        <v>0.97</v>
      </c>
      <c r="Q29" s="59">
        <v>48.72</v>
      </c>
      <c r="R29" s="197"/>
      <c r="S29" s="197"/>
      <c r="T29" s="197"/>
      <c r="U29" s="197"/>
    </row>
    <row r="30" spans="1:21" s="12" customFormat="1" x14ac:dyDescent="0.25">
      <c r="A30" s="200" t="s">
        <v>1613</v>
      </c>
      <c r="B30" s="59">
        <v>8.02</v>
      </c>
      <c r="C30" s="59">
        <v>149.87</v>
      </c>
      <c r="D30" s="59">
        <v>89.14</v>
      </c>
      <c r="E30" s="59">
        <v>11.74</v>
      </c>
      <c r="F30" s="59">
        <v>6.56</v>
      </c>
      <c r="G30" s="59">
        <v>65.08</v>
      </c>
      <c r="H30" s="59">
        <v>23.42</v>
      </c>
      <c r="I30" s="59">
        <v>0.54</v>
      </c>
      <c r="J30" s="59">
        <v>0.34</v>
      </c>
      <c r="K30" s="59">
        <v>95.33</v>
      </c>
      <c r="L30" s="59">
        <v>24.66</v>
      </c>
      <c r="M30" s="59">
        <v>43.69</v>
      </c>
      <c r="N30" s="59">
        <v>4.7</v>
      </c>
      <c r="O30" s="59">
        <v>0</v>
      </c>
      <c r="P30" s="59">
        <v>0.94</v>
      </c>
      <c r="Q30" s="59">
        <v>48.86</v>
      </c>
      <c r="R30" s="197"/>
      <c r="S30" s="197"/>
      <c r="T30" s="197"/>
      <c r="U30" s="197"/>
    </row>
    <row r="31" spans="1:21" s="12" customFormat="1" x14ac:dyDescent="0.25">
      <c r="A31" s="200" t="s">
        <v>1614</v>
      </c>
      <c r="B31" s="59">
        <v>8.98</v>
      </c>
      <c r="C31" s="59">
        <v>150.65</v>
      </c>
      <c r="D31" s="59">
        <v>90.34</v>
      </c>
      <c r="E31" s="59">
        <v>13.53</v>
      </c>
      <c r="F31" s="59">
        <v>5.65</v>
      </c>
      <c r="G31" s="59">
        <v>68.33</v>
      </c>
      <c r="H31" s="59">
        <v>24.48</v>
      </c>
      <c r="I31" s="59">
        <v>0.54</v>
      </c>
      <c r="J31" s="59">
        <v>0.21</v>
      </c>
      <c r="K31" s="59">
        <v>106.03</v>
      </c>
      <c r="L31" s="59">
        <v>25.08</v>
      </c>
      <c r="M31" s="59">
        <v>40.659999999999997</v>
      </c>
      <c r="N31" s="59">
        <v>4.7</v>
      </c>
      <c r="O31" s="59">
        <v>0</v>
      </c>
      <c r="P31" s="59">
        <v>0.97</v>
      </c>
      <c r="Q31" s="59">
        <v>50.52</v>
      </c>
      <c r="R31" s="197"/>
      <c r="S31" s="197"/>
      <c r="T31" s="197"/>
      <c r="U31" s="197"/>
    </row>
    <row r="32" spans="1:21" s="12" customFormat="1" x14ac:dyDescent="0.25">
      <c r="A32" s="200" t="s">
        <v>1615</v>
      </c>
      <c r="B32" s="59">
        <v>10.220000000000001</v>
      </c>
      <c r="C32" s="59">
        <v>151.47999999999999</v>
      </c>
      <c r="D32" s="59">
        <v>91.79</v>
      </c>
      <c r="E32" s="59">
        <v>7.58</v>
      </c>
      <c r="F32" s="59">
        <v>2.54</v>
      </c>
      <c r="G32" s="59">
        <v>68.33</v>
      </c>
      <c r="H32" s="59">
        <v>24.48</v>
      </c>
      <c r="I32" s="59">
        <v>0.56000000000000005</v>
      </c>
      <c r="J32" s="59">
        <v>0.72</v>
      </c>
      <c r="K32" s="59">
        <v>195.05</v>
      </c>
      <c r="L32" s="59">
        <v>25.01</v>
      </c>
      <c r="M32" s="59">
        <v>40.83</v>
      </c>
      <c r="N32" s="59">
        <v>4.8</v>
      </c>
      <c r="O32" s="59">
        <v>0</v>
      </c>
      <c r="P32" s="59">
        <v>0.98</v>
      </c>
      <c r="Q32" s="59">
        <v>51.45</v>
      </c>
      <c r="R32" s="197"/>
      <c r="S32" s="197"/>
      <c r="T32" s="197"/>
      <c r="U32" s="197"/>
    </row>
    <row r="33" spans="1:21" s="12" customFormat="1" x14ac:dyDescent="0.25">
      <c r="A33" s="200" t="s">
        <v>1616</v>
      </c>
      <c r="B33" s="59">
        <v>10.84</v>
      </c>
      <c r="C33" s="59">
        <v>151.03</v>
      </c>
      <c r="D33" s="59">
        <v>92.04</v>
      </c>
      <c r="E33" s="59">
        <v>5.83</v>
      </c>
      <c r="F33" s="59">
        <v>1.93</v>
      </c>
      <c r="G33" s="59">
        <v>68.33</v>
      </c>
      <c r="H33" s="59">
        <v>24.48</v>
      </c>
      <c r="I33" s="59">
        <v>0.56999999999999995</v>
      </c>
      <c r="J33" s="59">
        <v>0.54</v>
      </c>
      <c r="K33" s="59">
        <v>191.74</v>
      </c>
      <c r="L33" s="59">
        <v>23.99</v>
      </c>
      <c r="M33" s="59">
        <v>44.77</v>
      </c>
      <c r="N33" s="59">
        <v>8.9</v>
      </c>
      <c r="O33" s="59">
        <v>0</v>
      </c>
      <c r="P33" s="59">
        <v>0.98</v>
      </c>
      <c r="Q33" s="59">
        <v>51.51</v>
      </c>
      <c r="R33" s="197"/>
      <c r="S33" s="197"/>
      <c r="T33" s="197"/>
      <c r="U33" s="197"/>
    </row>
    <row r="34" spans="1:21" s="12" customFormat="1" x14ac:dyDescent="0.25">
      <c r="A34" s="200" t="s">
        <v>1617</v>
      </c>
      <c r="B34" s="59">
        <v>10.82</v>
      </c>
      <c r="C34" s="59">
        <v>150.79</v>
      </c>
      <c r="D34" s="59">
        <v>91.89</v>
      </c>
      <c r="E34" s="59">
        <v>5.39</v>
      </c>
      <c r="F34" s="59">
        <v>3.04</v>
      </c>
      <c r="G34" s="59">
        <v>76.56</v>
      </c>
      <c r="H34" s="59">
        <v>25.23</v>
      </c>
      <c r="I34" s="59">
        <v>0.6</v>
      </c>
      <c r="J34" s="59">
        <v>0.47</v>
      </c>
      <c r="K34" s="59">
        <v>123.72</v>
      </c>
      <c r="L34" s="59">
        <v>23.82</v>
      </c>
      <c r="M34" s="59">
        <v>45.27</v>
      </c>
      <c r="N34" s="59">
        <v>19.100000000000001</v>
      </c>
      <c r="O34" s="59">
        <v>0</v>
      </c>
      <c r="P34" s="59">
        <v>0.98</v>
      </c>
      <c r="Q34" s="59">
        <v>50.67</v>
      </c>
      <c r="R34" s="197"/>
      <c r="S34" s="197"/>
      <c r="T34" s="197"/>
      <c r="U34" s="197"/>
    </row>
    <row r="35" spans="1:21" s="12" customFormat="1" x14ac:dyDescent="0.25">
      <c r="A35" s="200" t="s">
        <v>1618</v>
      </c>
      <c r="B35" s="59">
        <v>10.98</v>
      </c>
      <c r="C35" s="59">
        <v>151.28</v>
      </c>
      <c r="D35" s="59">
        <v>92.29</v>
      </c>
      <c r="E35" s="59">
        <v>5.04</v>
      </c>
      <c r="F35" s="59">
        <v>2.58</v>
      </c>
      <c r="G35" s="59">
        <v>77.95</v>
      </c>
      <c r="H35" s="59">
        <v>25.36</v>
      </c>
      <c r="I35" s="59">
        <v>0.59</v>
      </c>
      <c r="J35" s="59">
        <v>0.08</v>
      </c>
      <c r="K35" s="59">
        <v>144.24</v>
      </c>
      <c r="L35" s="59">
        <v>24.05</v>
      </c>
      <c r="M35" s="59">
        <v>43.91</v>
      </c>
      <c r="N35" s="59">
        <v>43.4</v>
      </c>
      <c r="O35" s="59">
        <v>0</v>
      </c>
      <c r="P35" s="59">
        <v>0.97</v>
      </c>
      <c r="Q35" s="59">
        <v>50.5</v>
      </c>
      <c r="R35" s="197"/>
      <c r="S35" s="197"/>
      <c r="T35" s="197"/>
      <c r="U35" s="197"/>
    </row>
    <row r="36" spans="1:21" s="12" customFormat="1" x14ac:dyDescent="0.25">
      <c r="A36" s="200" t="s">
        <v>1619</v>
      </c>
      <c r="B36" s="59">
        <v>11.68</v>
      </c>
      <c r="C36" s="59">
        <v>153.09</v>
      </c>
      <c r="D36" s="59">
        <v>93.85</v>
      </c>
      <c r="E36" s="59">
        <v>4.8</v>
      </c>
      <c r="F36" s="59">
        <v>2.99</v>
      </c>
      <c r="G36" s="59">
        <v>77.95</v>
      </c>
      <c r="H36" s="59">
        <v>25.36</v>
      </c>
      <c r="I36" s="59">
        <v>0.57999999999999996</v>
      </c>
      <c r="J36" s="59">
        <v>0.12</v>
      </c>
      <c r="K36" s="59">
        <v>188.12</v>
      </c>
      <c r="L36" s="59">
        <v>24.2</v>
      </c>
      <c r="M36" s="59">
        <v>45.42</v>
      </c>
      <c r="N36" s="59">
        <v>65.099999999999994</v>
      </c>
      <c r="O36" s="59">
        <v>0</v>
      </c>
      <c r="P36" s="59">
        <v>1.01</v>
      </c>
      <c r="Q36" s="59">
        <v>50.43</v>
      </c>
      <c r="R36" s="197"/>
      <c r="S36" s="197"/>
      <c r="T36" s="197"/>
      <c r="U36" s="197"/>
    </row>
    <row r="37" spans="1:21" s="12" customFormat="1" x14ac:dyDescent="0.25">
      <c r="A37" s="200" t="s">
        <v>1620</v>
      </c>
      <c r="B37" s="59">
        <v>13.79</v>
      </c>
      <c r="C37" s="59">
        <v>155.91</v>
      </c>
      <c r="D37" s="59">
        <v>97.1</v>
      </c>
      <c r="E37" s="59">
        <v>4.8499999999999996</v>
      </c>
      <c r="F37" s="59">
        <v>2.2799999999999998</v>
      </c>
      <c r="G37" s="59">
        <v>77.95</v>
      </c>
      <c r="H37" s="59">
        <v>25.36</v>
      </c>
      <c r="I37" s="59">
        <v>0.57999999999999996</v>
      </c>
      <c r="J37" s="59">
        <v>0.28000000000000003</v>
      </c>
      <c r="K37" s="59">
        <v>162.66</v>
      </c>
      <c r="L37" s="59">
        <v>24.99</v>
      </c>
      <c r="M37" s="59">
        <v>42.18</v>
      </c>
      <c r="N37" s="59">
        <v>89.8</v>
      </c>
      <c r="O37" s="59">
        <v>0</v>
      </c>
      <c r="P37" s="59">
        <v>0.99</v>
      </c>
      <c r="Q37" s="59">
        <v>50.68</v>
      </c>
      <c r="R37" s="197"/>
      <c r="S37" s="197"/>
      <c r="T37" s="197"/>
      <c r="U37" s="197"/>
    </row>
    <row r="38" spans="1:21" s="12" customFormat="1" x14ac:dyDescent="0.25">
      <c r="A38" s="200" t="s">
        <v>1621</v>
      </c>
      <c r="B38" s="59">
        <v>14.75</v>
      </c>
      <c r="C38" s="59">
        <v>157.88</v>
      </c>
      <c r="D38" s="59">
        <v>98.96</v>
      </c>
      <c r="E38" s="59">
        <v>5.0599999999999996</v>
      </c>
      <c r="F38" s="59">
        <v>8.35</v>
      </c>
      <c r="G38" s="59">
        <v>79.849999999999994</v>
      </c>
      <c r="H38" s="59">
        <v>25.77</v>
      </c>
      <c r="I38" s="59">
        <v>0.56999999999999995</v>
      </c>
      <c r="J38" s="59">
        <v>0.17</v>
      </c>
      <c r="K38" s="59">
        <v>61.17</v>
      </c>
      <c r="L38" s="59">
        <v>25.73</v>
      </c>
      <c r="M38" s="59">
        <v>40.28</v>
      </c>
      <c r="N38" s="59">
        <v>124.4</v>
      </c>
      <c r="O38" s="59">
        <v>0</v>
      </c>
      <c r="P38" s="59">
        <v>1</v>
      </c>
      <c r="Q38" s="59">
        <v>50.02</v>
      </c>
      <c r="R38" s="197"/>
      <c r="S38" s="197"/>
      <c r="T38" s="197"/>
      <c r="U38" s="197"/>
    </row>
    <row r="39" spans="1:21" s="12" customFormat="1" x14ac:dyDescent="0.25">
      <c r="A39" s="200" t="s">
        <v>1622</v>
      </c>
      <c r="B39" s="59">
        <v>15.25</v>
      </c>
      <c r="C39" s="59">
        <v>159.46</v>
      </c>
      <c r="D39" s="59">
        <v>100.23</v>
      </c>
      <c r="E39" s="59">
        <v>5.4</v>
      </c>
      <c r="F39" s="59">
        <v>5.25</v>
      </c>
      <c r="G39" s="59">
        <v>80.17</v>
      </c>
      <c r="H39" s="59">
        <v>25.84</v>
      </c>
      <c r="I39" s="59">
        <v>0.57999999999999996</v>
      </c>
      <c r="J39" s="59">
        <v>0.33</v>
      </c>
      <c r="K39" s="59">
        <v>43.75</v>
      </c>
      <c r="L39" s="59">
        <v>26.6</v>
      </c>
      <c r="M39" s="59">
        <v>40.130000000000003</v>
      </c>
      <c r="N39" s="59">
        <v>187</v>
      </c>
      <c r="O39" s="59">
        <v>0</v>
      </c>
      <c r="P39" s="59">
        <v>1.0900000000000001</v>
      </c>
      <c r="Q39" s="59">
        <v>49.97</v>
      </c>
      <c r="R39" s="197"/>
      <c r="S39" s="197"/>
      <c r="T39" s="197"/>
      <c r="U39" s="197"/>
    </row>
    <row r="40" spans="1:21" s="12" customFormat="1" x14ac:dyDescent="0.25">
      <c r="A40" s="200" t="s">
        <v>1623</v>
      </c>
      <c r="B40" s="59">
        <v>16.079999999999998</v>
      </c>
      <c r="C40" s="59">
        <v>161.25</v>
      </c>
      <c r="D40" s="59">
        <v>101.89</v>
      </c>
      <c r="E40" s="59">
        <v>2.54</v>
      </c>
      <c r="F40" s="59">
        <v>5.16</v>
      </c>
      <c r="G40" s="59">
        <v>80.17</v>
      </c>
      <c r="H40" s="59">
        <v>25.84</v>
      </c>
      <c r="I40" s="59">
        <v>0.56000000000000005</v>
      </c>
      <c r="J40" s="59">
        <v>0.61</v>
      </c>
      <c r="K40" s="59">
        <v>104.39</v>
      </c>
      <c r="L40" s="59">
        <v>27.58</v>
      </c>
      <c r="M40" s="59">
        <v>37</v>
      </c>
      <c r="N40" s="59">
        <v>253.5</v>
      </c>
      <c r="O40" s="59">
        <v>0</v>
      </c>
      <c r="P40" s="59">
        <v>1.05</v>
      </c>
      <c r="Q40" s="59">
        <v>50.53</v>
      </c>
      <c r="R40" s="197"/>
      <c r="S40" s="197"/>
      <c r="T40" s="197"/>
      <c r="U40" s="197"/>
    </row>
    <row r="41" spans="1:21" s="12" customFormat="1" x14ac:dyDescent="0.25">
      <c r="A41" s="200" t="s">
        <v>1624</v>
      </c>
      <c r="B41" s="59">
        <v>16.23</v>
      </c>
      <c r="C41" s="59">
        <v>161.96</v>
      </c>
      <c r="D41" s="59">
        <v>102.4</v>
      </c>
      <c r="E41" s="59">
        <v>4.8099999999999996</v>
      </c>
      <c r="F41" s="59">
        <v>6.68</v>
      </c>
      <c r="G41" s="59">
        <v>80.17</v>
      </c>
      <c r="H41" s="59">
        <v>25.84</v>
      </c>
      <c r="I41" s="59">
        <v>0.57999999999999996</v>
      </c>
      <c r="J41" s="59">
        <v>0.3</v>
      </c>
      <c r="K41" s="59">
        <v>181.26</v>
      </c>
      <c r="L41" s="59">
        <v>28.19</v>
      </c>
      <c r="M41" s="59">
        <v>35.22</v>
      </c>
      <c r="N41" s="59">
        <v>307.7</v>
      </c>
      <c r="O41" s="59">
        <v>0</v>
      </c>
      <c r="P41" s="59">
        <v>1.03</v>
      </c>
      <c r="Q41" s="59">
        <v>51.02</v>
      </c>
      <c r="R41" s="197"/>
      <c r="S41" s="197"/>
      <c r="T41" s="197"/>
      <c r="U41" s="197"/>
    </row>
    <row r="42" spans="1:21" s="12" customFormat="1" x14ac:dyDescent="0.25">
      <c r="A42" s="200" t="s">
        <v>1625</v>
      </c>
      <c r="B42" s="59">
        <v>15.73</v>
      </c>
      <c r="C42" s="59">
        <v>162.81</v>
      </c>
      <c r="D42" s="59">
        <v>102.46</v>
      </c>
      <c r="E42" s="59">
        <v>5.27</v>
      </c>
      <c r="F42" s="59">
        <v>4.9400000000000004</v>
      </c>
      <c r="G42" s="59">
        <v>74.239999999999995</v>
      </c>
      <c r="H42" s="59">
        <v>25.69</v>
      </c>
      <c r="I42" s="59">
        <v>0.6</v>
      </c>
      <c r="J42" s="59">
        <v>0.73</v>
      </c>
      <c r="K42" s="59">
        <v>100.96</v>
      </c>
      <c r="L42" s="59">
        <v>28</v>
      </c>
      <c r="M42" s="59">
        <v>34.79</v>
      </c>
      <c r="N42" s="59">
        <v>205.6</v>
      </c>
      <c r="O42" s="59">
        <v>0</v>
      </c>
      <c r="P42" s="59">
        <v>1.01</v>
      </c>
      <c r="Q42" s="59">
        <v>51.29</v>
      </c>
      <c r="R42" s="197"/>
      <c r="S42" s="197"/>
      <c r="T42" s="197"/>
      <c r="U42" s="197"/>
    </row>
    <row r="43" spans="1:21" s="12" customFormat="1" x14ac:dyDescent="0.25">
      <c r="A43" s="200" t="s">
        <v>1626</v>
      </c>
      <c r="B43" s="59">
        <v>14.99</v>
      </c>
      <c r="C43" s="59">
        <v>162.26</v>
      </c>
      <c r="D43" s="59">
        <v>101.57</v>
      </c>
      <c r="E43" s="59">
        <v>5.13</v>
      </c>
      <c r="F43" s="59">
        <v>6.82</v>
      </c>
      <c r="G43" s="59">
        <v>73.239999999999995</v>
      </c>
      <c r="H43" s="59">
        <v>25.67</v>
      </c>
      <c r="I43" s="59">
        <v>0.6</v>
      </c>
      <c r="J43" s="59">
        <v>0.54</v>
      </c>
      <c r="K43" s="59">
        <v>129.44999999999999</v>
      </c>
      <c r="L43" s="59">
        <v>27.73</v>
      </c>
      <c r="M43" s="59">
        <v>36.32</v>
      </c>
      <c r="N43" s="59">
        <v>286</v>
      </c>
      <c r="O43" s="59">
        <v>0</v>
      </c>
      <c r="P43" s="59">
        <v>0.99</v>
      </c>
      <c r="Q43" s="59">
        <v>51.42</v>
      </c>
      <c r="R43" s="197"/>
      <c r="S43" s="197"/>
      <c r="T43" s="197"/>
      <c r="U43" s="197"/>
    </row>
    <row r="44" spans="1:21" s="12" customFormat="1" x14ac:dyDescent="0.25">
      <c r="A44" s="200" t="s">
        <v>1627</v>
      </c>
      <c r="B44" s="59">
        <v>14.48</v>
      </c>
      <c r="C44" s="59">
        <v>162.04</v>
      </c>
      <c r="D44" s="59">
        <v>101.04</v>
      </c>
      <c r="E44" s="59">
        <v>5.09</v>
      </c>
      <c r="F44" s="59">
        <v>6.74</v>
      </c>
      <c r="G44" s="59">
        <v>73.239999999999995</v>
      </c>
      <c r="H44" s="59">
        <v>25.67</v>
      </c>
      <c r="I44" s="59">
        <v>0.6</v>
      </c>
      <c r="J44" s="59">
        <v>0.37</v>
      </c>
      <c r="K44" s="59">
        <v>36.85</v>
      </c>
      <c r="L44" s="59">
        <v>29.43</v>
      </c>
      <c r="M44" s="59">
        <v>33.57</v>
      </c>
      <c r="N44" s="59">
        <v>466.6</v>
      </c>
      <c r="O44" s="59">
        <v>0</v>
      </c>
      <c r="P44" s="59">
        <v>1.02</v>
      </c>
      <c r="Q44" s="59">
        <v>51.56</v>
      </c>
      <c r="R44" s="197"/>
      <c r="S44" s="197"/>
      <c r="T44" s="197"/>
      <c r="U44" s="197"/>
    </row>
    <row r="45" spans="1:21" s="12" customFormat="1" x14ac:dyDescent="0.25">
      <c r="A45" s="200" t="s">
        <v>1628</v>
      </c>
      <c r="B45" s="59">
        <v>14.11</v>
      </c>
      <c r="C45" s="59">
        <v>163.38</v>
      </c>
      <c r="D45" s="59">
        <v>101.48</v>
      </c>
      <c r="E45" s="59">
        <v>4.93</v>
      </c>
      <c r="F45" s="59">
        <v>5.92</v>
      </c>
      <c r="G45" s="59">
        <v>73.239999999999995</v>
      </c>
      <c r="H45" s="59">
        <v>25.67</v>
      </c>
      <c r="I45" s="59">
        <v>0.59</v>
      </c>
      <c r="J45" s="59">
        <v>1.08</v>
      </c>
      <c r="K45" s="59">
        <v>8.2100000000000009</v>
      </c>
      <c r="L45" s="59">
        <v>32.770000000000003</v>
      </c>
      <c r="M45" s="59">
        <v>27.41</v>
      </c>
      <c r="N45" s="59">
        <v>524.5</v>
      </c>
      <c r="O45" s="59">
        <v>0</v>
      </c>
      <c r="P45" s="59">
        <v>1.03</v>
      </c>
      <c r="Q45" s="59">
        <v>51.75</v>
      </c>
      <c r="R45" s="197"/>
      <c r="S45" s="197"/>
      <c r="T45" s="197"/>
      <c r="U45" s="197"/>
    </row>
    <row r="46" spans="1:21" s="12" customFormat="1" x14ac:dyDescent="0.25">
      <c r="A46" s="200" t="s">
        <v>1629</v>
      </c>
      <c r="B46" s="59">
        <v>13.12</v>
      </c>
      <c r="C46" s="59">
        <v>166.08</v>
      </c>
      <c r="D46" s="59">
        <v>102.18</v>
      </c>
      <c r="E46" s="59">
        <v>3.89</v>
      </c>
      <c r="F46" s="59">
        <v>5.74</v>
      </c>
      <c r="G46" s="59">
        <v>60.6</v>
      </c>
      <c r="H46" s="59">
        <v>27.53</v>
      </c>
      <c r="I46" s="59">
        <v>0.61</v>
      </c>
      <c r="J46" s="59">
        <v>0.96</v>
      </c>
      <c r="K46" s="59">
        <v>3.93</v>
      </c>
      <c r="L46" s="59">
        <v>34.590000000000003</v>
      </c>
      <c r="M46" s="59">
        <v>24.6</v>
      </c>
      <c r="N46" s="59">
        <v>560</v>
      </c>
      <c r="O46" s="59">
        <v>0</v>
      </c>
      <c r="P46" s="59">
        <v>1.04</v>
      </c>
      <c r="Q46" s="59">
        <v>52.1</v>
      </c>
      <c r="R46" s="197"/>
      <c r="S46" s="197"/>
      <c r="T46" s="197"/>
      <c r="U46" s="197"/>
    </row>
    <row r="47" spans="1:21" s="12" customFormat="1" x14ac:dyDescent="0.25">
      <c r="A47" s="200" t="s">
        <v>1630</v>
      </c>
      <c r="B47" s="59">
        <v>11.49</v>
      </c>
      <c r="C47" s="59">
        <v>167.12</v>
      </c>
      <c r="D47" s="59">
        <v>101.44</v>
      </c>
      <c r="E47" s="59">
        <v>3.59</v>
      </c>
      <c r="F47" s="59">
        <v>3.57</v>
      </c>
      <c r="G47" s="59">
        <v>58.46</v>
      </c>
      <c r="H47" s="59">
        <v>27.84</v>
      </c>
      <c r="I47" s="59">
        <v>0.65</v>
      </c>
      <c r="J47" s="59">
        <v>0.59</v>
      </c>
      <c r="K47" s="59">
        <v>358.25</v>
      </c>
      <c r="L47" s="59">
        <v>35.729999999999997</v>
      </c>
      <c r="M47" s="59">
        <v>21.2</v>
      </c>
      <c r="N47" s="59">
        <v>613.5</v>
      </c>
      <c r="O47" s="59">
        <v>0</v>
      </c>
      <c r="P47" s="59">
        <v>1.05</v>
      </c>
      <c r="Q47" s="59">
        <v>51.69</v>
      </c>
      <c r="R47" s="197"/>
      <c r="S47" s="197"/>
      <c r="T47" s="197"/>
      <c r="U47" s="197"/>
    </row>
    <row r="48" spans="1:21" s="12" customFormat="1" x14ac:dyDescent="0.25">
      <c r="A48" s="200" t="s">
        <v>1631</v>
      </c>
      <c r="B48" s="59">
        <v>9.84</v>
      </c>
      <c r="C48" s="59">
        <v>167.5</v>
      </c>
      <c r="D48" s="59">
        <v>100.33</v>
      </c>
      <c r="E48" s="59">
        <v>4</v>
      </c>
      <c r="F48" s="59">
        <v>3.98</v>
      </c>
      <c r="G48" s="59">
        <v>58.46</v>
      </c>
      <c r="H48" s="59">
        <v>27.84</v>
      </c>
      <c r="I48" s="59">
        <v>0.62</v>
      </c>
      <c r="J48" s="59">
        <v>0.56999999999999995</v>
      </c>
      <c r="K48" s="59">
        <v>0.48</v>
      </c>
      <c r="L48" s="59">
        <v>36.82</v>
      </c>
      <c r="M48" s="59">
        <v>19.600000000000001</v>
      </c>
      <c r="N48" s="59">
        <v>646.9</v>
      </c>
      <c r="O48" s="59">
        <v>0</v>
      </c>
      <c r="P48" s="59">
        <v>1.04</v>
      </c>
      <c r="Q48" s="59">
        <v>51.28</v>
      </c>
      <c r="R48" s="197"/>
      <c r="S48" s="197"/>
      <c r="T48" s="197"/>
      <c r="U48" s="197"/>
    </row>
    <row r="49" spans="1:21" s="12" customFormat="1" x14ac:dyDescent="0.25">
      <c r="A49" s="200" t="s">
        <v>1632</v>
      </c>
      <c r="B49" s="59">
        <v>4.84</v>
      </c>
      <c r="C49" s="59">
        <v>138.55000000000001</v>
      </c>
      <c r="D49" s="59">
        <v>80.34</v>
      </c>
      <c r="E49" s="59">
        <v>5.7</v>
      </c>
      <c r="F49" s="59">
        <v>26.35</v>
      </c>
      <c r="G49" s="59">
        <v>58.46</v>
      </c>
      <c r="H49" s="59">
        <v>27.84</v>
      </c>
      <c r="I49" s="59">
        <v>0.62</v>
      </c>
      <c r="J49" s="59">
        <v>0.35</v>
      </c>
      <c r="K49" s="59">
        <v>6.56</v>
      </c>
      <c r="L49" s="59">
        <v>35.200000000000003</v>
      </c>
      <c r="M49" s="59">
        <v>19.05</v>
      </c>
      <c r="N49" s="59">
        <v>685.1</v>
      </c>
      <c r="O49" s="59">
        <v>0</v>
      </c>
      <c r="P49" s="59">
        <v>1.17</v>
      </c>
      <c r="Q49" s="59">
        <v>41.79</v>
      </c>
      <c r="R49" s="197"/>
      <c r="S49" s="197"/>
      <c r="T49" s="197"/>
      <c r="U49" s="197"/>
    </row>
    <row r="50" spans="1:21" s="12" customFormat="1" x14ac:dyDescent="0.25">
      <c r="A50" s="200" t="s">
        <v>1633</v>
      </c>
      <c r="B50" s="59">
        <v>0.73</v>
      </c>
      <c r="C50" s="59">
        <v>92.95</v>
      </c>
      <c r="D50" s="59">
        <v>51.88</v>
      </c>
      <c r="E50" s="59">
        <v>9.36</v>
      </c>
      <c r="F50" s="59">
        <v>48.13</v>
      </c>
      <c r="G50" s="59">
        <v>41.28</v>
      </c>
      <c r="H50" s="59">
        <v>27.48</v>
      </c>
      <c r="I50" s="59">
        <v>0.61</v>
      </c>
      <c r="J50" s="59">
        <v>0.06</v>
      </c>
      <c r="K50" s="59">
        <v>106.02</v>
      </c>
      <c r="L50" s="59">
        <v>32.409999999999997</v>
      </c>
      <c r="M50" s="59">
        <v>21.77</v>
      </c>
      <c r="N50" s="59">
        <v>713</v>
      </c>
      <c r="O50" s="59">
        <v>0</v>
      </c>
      <c r="P50" s="59">
        <v>1.17</v>
      </c>
      <c r="Q50" s="59">
        <v>22.37</v>
      </c>
      <c r="R50" s="197"/>
      <c r="S50" s="197"/>
      <c r="T50" s="197"/>
      <c r="U50" s="197"/>
    </row>
    <row r="51" spans="1:21" s="12" customFormat="1" x14ac:dyDescent="0.25">
      <c r="A51" s="200" t="s">
        <v>1634</v>
      </c>
      <c r="B51" s="59">
        <v>1.31</v>
      </c>
      <c r="C51" s="59">
        <v>98.06</v>
      </c>
      <c r="D51" s="59">
        <v>55.17</v>
      </c>
      <c r="E51" s="59">
        <v>16.100000000000001</v>
      </c>
      <c r="F51" s="59">
        <v>70.36</v>
      </c>
      <c r="G51" s="59">
        <v>38.380000000000003</v>
      </c>
      <c r="H51" s="59">
        <v>27.41</v>
      </c>
      <c r="I51" s="59">
        <v>0.56000000000000005</v>
      </c>
      <c r="J51" s="59">
        <v>0.51</v>
      </c>
      <c r="K51" s="59">
        <v>0.85</v>
      </c>
      <c r="L51" s="59">
        <v>33.869999999999997</v>
      </c>
      <c r="M51" s="59">
        <v>18.55</v>
      </c>
      <c r="N51" s="59">
        <v>728.2</v>
      </c>
      <c r="O51" s="59">
        <v>0</v>
      </c>
      <c r="P51" s="59">
        <v>1.29</v>
      </c>
      <c r="Q51" s="59">
        <v>15.72</v>
      </c>
      <c r="R51" s="197"/>
      <c r="S51" s="197"/>
      <c r="T51" s="197"/>
      <c r="U51" s="197"/>
    </row>
    <row r="52" spans="1:21" s="12" customFormat="1" x14ac:dyDescent="0.25">
      <c r="A52" s="200" t="s">
        <v>1635</v>
      </c>
      <c r="B52" s="59">
        <v>0.91</v>
      </c>
      <c r="C52" s="59">
        <v>91.03</v>
      </c>
      <c r="D52" s="59">
        <v>50.97</v>
      </c>
      <c r="E52" s="59">
        <v>22.07</v>
      </c>
      <c r="F52" s="59">
        <v>85.09</v>
      </c>
      <c r="G52" s="59">
        <v>38.380000000000003</v>
      </c>
      <c r="H52" s="59">
        <v>27.41</v>
      </c>
      <c r="I52" s="59">
        <v>0.49</v>
      </c>
      <c r="J52" s="59">
        <v>0.62</v>
      </c>
      <c r="K52" s="59">
        <v>16.010000000000002</v>
      </c>
      <c r="L52" s="59">
        <v>34.44</v>
      </c>
      <c r="M52" s="59">
        <v>17.309999999999999</v>
      </c>
      <c r="N52" s="59">
        <v>752.5</v>
      </c>
      <c r="O52" s="59">
        <v>0</v>
      </c>
      <c r="P52" s="59">
        <v>1.08</v>
      </c>
      <c r="Q52" s="59">
        <v>12.91</v>
      </c>
      <c r="R52" s="197"/>
      <c r="S52" s="197"/>
      <c r="T52" s="197"/>
      <c r="U52" s="197"/>
    </row>
    <row r="53" spans="1:21" s="12" customFormat="1" x14ac:dyDescent="0.25">
      <c r="A53" s="200" t="s">
        <v>1636</v>
      </c>
      <c r="B53" s="59">
        <v>0.46</v>
      </c>
      <c r="C53" s="59">
        <v>88.86</v>
      </c>
      <c r="D53" s="59">
        <v>49.41</v>
      </c>
      <c r="E53" s="59">
        <v>21.02</v>
      </c>
      <c r="F53" s="59">
        <v>84.84</v>
      </c>
      <c r="G53" s="59">
        <v>38.380000000000003</v>
      </c>
      <c r="H53" s="59">
        <v>27.41</v>
      </c>
      <c r="I53" s="59">
        <v>0.5</v>
      </c>
      <c r="J53" s="59">
        <v>0.56000000000000005</v>
      </c>
      <c r="K53" s="59">
        <v>101.03</v>
      </c>
      <c r="L53" s="59">
        <v>32.61</v>
      </c>
      <c r="M53" s="59">
        <v>18.73</v>
      </c>
      <c r="N53" s="59">
        <v>792.6</v>
      </c>
      <c r="O53" s="59">
        <v>0</v>
      </c>
      <c r="P53" s="59">
        <v>0.96</v>
      </c>
      <c r="Q53" s="59">
        <v>15.29</v>
      </c>
      <c r="R53" s="197"/>
      <c r="S53" s="197"/>
      <c r="T53" s="197"/>
      <c r="U53" s="197"/>
    </row>
    <row r="54" spans="1:21" s="12" customFormat="1" x14ac:dyDescent="0.25">
      <c r="A54" s="200" t="s">
        <v>1637</v>
      </c>
      <c r="B54" s="59">
        <v>0.39</v>
      </c>
      <c r="C54" s="59">
        <v>79.760000000000005</v>
      </c>
      <c r="D54" s="59">
        <v>46.78</v>
      </c>
      <c r="E54" s="59">
        <v>14.89</v>
      </c>
      <c r="F54" s="59">
        <v>49.13</v>
      </c>
      <c r="G54" s="59">
        <v>60.29</v>
      </c>
      <c r="H54" s="59">
        <v>26.76</v>
      </c>
      <c r="I54" s="59">
        <v>0.47</v>
      </c>
      <c r="J54" s="59">
        <v>0.4</v>
      </c>
      <c r="K54" s="59">
        <v>353.7</v>
      </c>
      <c r="L54" s="59">
        <v>34.340000000000003</v>
      </c>
      <c r="M54" s="59">
        <v>15.9</v>
      </c>
      <c r="N54" s="59">
        <v>805.6</v>
      </c>
      <c r="O54" s="59">
        <v>0</v>
      </c>
      <c r="P54" s="59">
        <v>0.81</v>
      </c>
      <c r="Q54" s="59">
        <v>13.75</v>
      </c>
      <c r="R54" s="197"/>
      <c r="S54" s="197"/>
      <c r="T54" s="197"/>
      <c r="U54" s="197"/>
    </row>
    <row r="55" spans="1:21" s="12" customFormat="1" x14ac:dyDescent="0.25">
      <c r="A55" s="200" t="s">
        <v>1638</v>
      </c>
      <c r="B55" s="59">
        <v>588</v>
      </c>
      <c r="C55" s="59">
        <v>124.85</v>
      </c>
      <c r="D55" s="59">
        <v>712.09</v>
      </c>
      <c r="E55" s="59">
        <v>9.77</v>
      </c>
      <c r="F55" s="59">
        <v>19.510000000000002</v>
      </c>
      <c r="G55" s="59">
        <v>63.98</v>
      </c>
      <c r="H55" s="59">
        <v>26.64</v>
      </c>
      <c r="I55" s="59">
        <v>0.48</v>
      </c>
      <c r="J55" s="59">
        <v>0.26</v>
      </c>
      <c r="K55" s="59">
        <v>337.97</v>
      </c>
      <c r="L55" s="59">
        <v>35.299999999999997</v>
      </c>
      <c r="M55" s="59">
        <v>15.53</v>
      </c>
      <c r="N55" s="59">
        <v>804.5</v>
      </c>
      <c r="O55" s="59">
        <v>0</v>
      </c>
      <c r="P55" s="59">
        <v>0.88</v>
      </c>
      <c r="Q55" s="59">
        <v>18.36</v>
      </c>
      <c r="R55" s="197"/>
      <c r="S55" s="197"/>
      <c r="T55" s="197"/>
      <c r="U55" s="197"/>
    </row>
    <row r="56" spans="1:21" s="12" customFormat="1" x14ac:dyDescent="0.25">
      <c r="A56" s="200" t="s">
        <v>1639</v>
      </c>
      <c r="B56" s="59">
        <v>3.29</v>
      </c>
      <c r="C56" s="59">
        <v>74.430000000000007</v>
      </c>
      <c r="D56" s="59">
        <v>77.72</v>
      </c>
      <c r="E56" s="59">
        <v>3.35</v>
      </c>
      <c r="F56" s="59">
        <v>8.5500000000000007</v>
      </c>
      <c r="G56" s="59">
        <v>63.98</v>
      </c>
      <c r="H56" s="59">
        <v>26.64</v>
      </c>
      <c r="I56" s="59">
        <v>0.48</v>
      </c>
      <c r="J56" s="59">
        <v>0.31</v>
      </c>
      <c r="K56" s="59">
        <v>346.03</v>
      </c>
      <c r="L56" s="59">
        <v>35.47</v>
      </c>
      <c r="M56" s="59">
        <v>13.68</v>
      </c>
      <c r="N56" s="59">
        <v>797</v>
      </c>
      <c r="O56" s="59">
        <v>0</v>
      </c>
      <c r="P56" s="59">
        <v>0.88</v>
      </c>
      <c r="Q56" s="59">
        <v>22.28</v>
      </c>
      <c r="R56" s="197"/>
      <c r="S56" s="197"/>
      <c r="T56" s="197"/>
      <c r="U56" s="197"/>
    </row>
    <row r="57" spans="1:21" s="12" customFormat="1" x14ac:dyDescent="0.25">
      <c r="A57" s="200" t="s">
        <v>1640</v>
      </c>
      <c r="B57" s="59">
        <v>3.75</v>
      </c>
      <c r="C57" s="59">
        <v>75.540000000000006</v>
      </c>
      <c r="D57" s="59">
        <v>79.290000000000006</v>
      </c>
      <c r="E57" s="59">
        <v>4.29</v>
      </c>
      <c r="F57" s="59">
        <v>7.78</v>
      </c>
      <c r="G57" s="59">
        <v>63.98</v>
      </c>
      <c r="H57" s="59">
        <v>26.64</v>
      </c>
      <c r="I57" s="209" t="s">
        <v>36</v>
      </c>
      <c r="J57" s="59">
        <v>0.57999999999999996</v>
      </c>
      <c r="K57" s="59">
        <v>14.63</v>
      </c>
      <c r="L57" s="59">
        <v>36.07</v>
      </c>
      <c r="M57" s="59">
        <v>13.28</v>
      </c>
      <c r="N57" s="59">
        <v>775.3</v>
      </c>
      <c r="O57" s="59">
        <v>0</v>
      </c>
      <c r="P57" s="59">
        <v>0.82</v>
      </c>
      <c r="Q57" s="59">
        <v>24.4</v>
      </c>
      <c r="R57" s="197"/>
      <c r="S57" s="197"/>
      <c r="T57" s="197"/>
      <c r="U57" s="197"/>
    </row>
    <row r="58" spans="1:21" s="12" customFormat="1" x14ac:dyDescent="0.25">
      <c r="A58" s="200" t="s">
        <v>1641</v>
      </c>
      <c r="B58" s="59">
        <v>5.65</v>
      </c>
      <c r="C58" s="59">
        <v>66.540000000000006</v>
      </c>
      <c r="D58" s="59">
        <v>72.19</v>
      </c>
      <c r="E58" s="59">
        <v>5.87</v>
      </c>
      <c r="F58" s="59">
        <v>22.34</v>
      </c>
      <c r="G58" s="59">
        <v>55.74</v>
      </c>
      <c r="H58" s="59">
        <v>25.23</v>
      </c>
      <c r="I58" s="209" t="s">
        <v>36</v>
      </c>
      <c r="J58" s="59">
        <v>0.44</v>
      </c>
      <c r="K58" s="59">
        <v>45.04</v>
      </c>
      <c r="L58" s="59">
        <v>34.729999999999997</v>
      </c>
      <c r="M58" s="59">
        <v>13.62</v>
      </c>
      <c r="N58" s="59">
        <v>720.1</v>
      </c>
      <c r="O58" s="59">
        <v>0</v>
      </c>
      <c r="P58" s="59">
        <v>0.65</v>
      </c>
      <c r="Q58" s="59">
        <v>20.11</v>
      </c>
      <c r="R58" s="197"/>
      <c r="S58" s="197"/>
      <c r="T58" s="197"/>
      <c r="U58" s="197"/>
    </row>
    <row r="59" spans="1:21" s="12" customFormat="1" x14ac:dyDescent="0.25">
      <c r="A59" s="200" t="s">
        <v>1642</v>
      </c>
      <c r="B59" s="59">
        <v>4.26</v>
      </c>
      <c r="C59" s="59">
        <v>89.47</v>
      </c>
      <c r="D59" s="59">
        <v>93.73</v>
      </c>
      <c r="E59" s="59">
        <v>5.76</v>
      </c>
      <c r="F59" s="59">
        <v>14.37</v>
      </c>
      <c r="G59" s="59">
        <v>54.34</v>
      </c>
      <c r="H59" s="59">
        <v>24.99</v>
      </c>
      <c r="I59" s="59">
        <v>0.4</v>
      </c>
      <c r="J59" s="59">
        <v>0.36</v>
      </c>
      <c r="K59" s="59">
        <v>1.53</v>
      </c>
      <c r="L59" s="59">
        <v>36.11</v>
      </c>
      <c r="M59" s="59">
        <v>12.41</v>
      </c>
      <c r="N59" s="59">
        <v>676.5</v>
      </c>
      <c r="O59" s="59">
        <v>0</v>
      </c>
      <c r="P59" s="59">
        <v>0.81</v>
      </c>
      <c r="Q59" s="59">
        <v>19.440000000000001</v>
      </c>
      <c r="R59" s="197"/>
      <c r="S59" s="197"/>
      <c r="T59" s="197"/>
      <c r="U59" s="197"/>
    </row>
    <row r="60" spans="1:21" s="12" customFormat="1" x14ac:dyDescent="0.25">
      <c r="A60" s="200" t="s">
        <v>1643</v>
      </c>
      <c r="B60" s="59">
        <v>11.67</v>
      </c>
      <c r="C60" s="59">
        <v>72.819999999999993</v>
      </c>
      <c r="D60" s="59">
        <v>84.49</v>
      </c>
      <c r="E60" s="59">
        <v>3.99</v>
      </c>
      <c r="F60" s="59">
        <v>13.32</v>
      </c>
      <c r="G60" s="59">
        <v>54.34</v>
      </c>
      <c r="H60" s="59">
        <v>24.99</v>
      </c>
      <c r="I60" s="59">
        <v>0.5</v>
      </c>
      <c r="J60" s="59">
        <v>0.34</v>
      </c>
      <c r="K60" s="59">
        <v>33.72</v>
      </c>
      <c r="L60" s="59">
        <v>34.799999999999997</v>
      </c>
      <c r="M60" s="59">
        <v>14.16</v>
      </c>
      <c r="N60" s="59">
        <v>644.5</v>
      </c>
      <c r="O60" s="59">
        <v>0</v>
      </c>
      <c r="P60" s="59">
        <v>0.74</v>
      </c>
      <c r="Q60" s="59">
        <v>21.01</v>
      </c>
      <c r="R60" s="197"/>
      <c r="S60" s="197"/>
      <c r="T60" s="197"/>
      <c r="U60" s="197"/>
    </row>
    <row r="61" spans="1:21" s="12" customFormat="1" x14ac:dyDescent="0.25">
      <c r="A61" s="200" t="s">
        <v>1644</v>
      </c>
      <c r="B61" s="59">
        <v>3.29</v>
      </c>
      <c r="C61" s="59">
        <v>73.11</v>
      </c>
      <c r="D61" s="59">
        <v>76.400000000000006</v>
      </c>
      <c r="E61" s="59">
        <v>3.49</v>
      </c>
      <c r="F61" s="59">
        <v>14.19</v>
      </c>
      <c r="G61" s="59">
        <v>54.34</v>
      </c>
      <c r="H61" s="59">
        <v>24.99</v>
      </c>
      <c r="I61" s="59">
        <v>0.52</v>
      </c>
      <c r="J61" s="59">
        <v>0.38</v>
      </c>
      <c r="K61" s="59">
        <v>7.41</v>
      </c>
      <c r="L61" s="59">
        <v>35</v>
      </c>
      <c r="M61" s="59">
        <v>14.56</v>
      </c>
      <c r="N61" s="59">
        <v>637</v>
      </c>
      <c r="O61" s="59">
        <v>0</v>
      </c>
      <c r="P61" s="59">
        <v>0.74</v>
      </c>
      <c r="Q61" s="59">
        <v>22.77</v>
      </c>
      <c r="R61" s="197"/>
      <c r="S61" s="197"/>
      <c r="T61" s="197"/>
      <c r="U61" s="197"/>
    </row>
    <row r="62" spans="1:21" s="12" customFormat="1" x14ac:dyDescent="0.25">
      <c r="A62" s="200" t="s">
        <v>1645</v>
      </c>
      <c r="B62" s="59">
        <v>3.07</v>
      </c>
      <c r="C62" s="59">
        <v>64.44</v>
      </c>
      <c r="D62" s="59">
        <v>67.510000000000005</v>
      </c>
      <c r="E62" s="59">
        <v>3.71</v>
      </c>
      <c r="F62" s="59">
        <v>22.4</v>
      </c>
      <c r="G62" s="59">
        <v>46.94</v>
      </c>
      <c r="H62" s="59">
        <v>23.76</v>
      </c>
      <c r="I62" s="59">
        <v>0.52</v>
      </c>
      <c r="J62" s="59">
        <v>0.09</v>
      </c>
      <c r="K62" s="59">
        <v>285.12</v>
      </c>
      <c r="L62" s="59">
        <v>35.46</v>
      </c>
      <c r="M62" s="59">
        <v>13.58</v>
      </c>
      <c r="N62" s="59">
        <v>644.4</v>
      </c>
      <c r="O62" s="59">
        <v>0</v>
      </c>
      <c r="P62" s="59">
        <v>0.79</v>
      </c>
      <c r="Q62" s="59">
        <v>22.85</v>
      </c>
      <c r="R62" s="197"/>
      <c r="S62" s="197"/>
      <c r="T62" s="197"/>
      <c r="U62" s="197"/>
    </row>
    <row r="63" spans="1:21" s="12" customFormat="1" x14ac:dyDescent="0.25">
      <c r="A63" s="200" t="s">
        <v>1646</v>
      </c>
      <c r="B63" s="59">
        <v>2.76</v>
      </c>
      <c r="C63" s="59">
        <v>57.86</v>
      </c>
      <c r="D63" s="59">
        <v>60.61</v>
      </c>
      <c r="E63" s="59">
        <v>4.93</v>
      </c>
      <c r="F63" s="59">
        <v>15.51</v>
      </c>
      <c r="G63" s="59">
        <v>45.8</v>
      </c>
      <c r="H63" s="59">
        <v>23.56</v>
      </c>
      <c r="I63" s="59">
        <v>0.53</v>
      </c>
      <c r="J63" s="59">
        <v>0.45</v>
      </c>
      <c r="K63" s="59">
        <v>213.46</v>
      </c>
      <c r="L63" s="59">
        <v>33.01</v>
      </c>
      <c r="M63" s="59">
        <v>15.5</v>
      </c>
      <c r="N63" s="59">
        <v>606.4</v>
      </c>
      <c r="O63" s="59">
        <v>0</v>
      </c>
      <c r="P63" s="59">
        <v>0.75</v>
      </c>
      <c r="Q63" s="59">
        <v>22.72</v>
      </c>
      <c r="R63" s="197"/>
      <c r="S63" s="197"/>
      <c r="T63" s="197"/>
      <c r="U63" s="197"/>
    </row>
    <row r="64" spans="1:21" s="12" customFormat="1" x14ac:dyDescent="0.25">
      <c r="A64" s="200" t="s">
        <v>1647</v>
      </c>
      <c r="B64" s="59">
        <v>2.31</v>
      </c>
      <c r="C64" s="59">
        <v>47.43</v>
      </c>
      <c r="D64" s="59">
        <v>33.81</v>
      </c>
      <c r="E64" s="59">
        <v>4.59</v>
      </c>
      <c r="F64" s="59">
        <v>16.670000000000002</v>
      </c>
      <c r="G64" s="59">
        <v>45.8</v>
      </c>
      <c r="H64" s="59">
        <v>23.56</v>
      </c>
      <c r="I64" s="59">
        <v>0.55000000000000004</v>
      </c>
      <c r="J64" s="59">
        <v>0.19</v>
      </c>
      <c r="K64" s="59">
        <v>14.49</v>
      </c>
      <c r="L64" s="59">
        <v>32.700000000000003</v>
      </c>
      <c r="M64" s="59">
        <v>15.94</v>
      </c>
      <c r="N64" s="59">
        <v>483.6</v>
      </c>
      <c r="O64" s="59">
        <v>0</v>
      </c>
      <c r="P64" s="59">
        <v>0.71</v>
      </c>
      <c r="Q64" s="59">
        <v>23</v>
      </c>
      <c r="R64" s="197"/>
      <c r="S64" s="197"/>
      <c r="T64" s="197"/>
      <c r="U64" s="197"/>
    </row>
    <row r="65" spans="1:21" s="12" customFormat="1" x14ac:dyDescent="0.25">
      <c r="A65" s="200" t="s">
        <v>1648</v>
      </c>
      <c r="B65" s="59">
        <v>2.71</v>
      </c>
      <c r="C65" s="59">
        <v>50.5</v>
      </c>
      <c r="D65" s="59">
        <v>31.79</v>
      </c>
      <c r="E65" s="59">
        <v>6.77</v>
      </c>
      <c r="F65" s="59">
        <v>42.56</v>
      </c>
      <c r="G65" s="59">
        <v>45.8</v>
      </c>
      <c r="H65" s="59">
        <v>23.56</v>
      </c>
      <c r="I65" s="59">
        <v>0.53</v>
      </c>
      <c r="J65" s="59">
        <v>0.86</v>
      </c>
      <c r="K65" s="59">
        <v>177.36</v>
      </c>
      <c r="L65" s="59">
        <v>32.450000000000003</v>
      </c>
      <c r="M65" s="59">
        <v>16.21</v>
      </c>
      <c r="N65" s="59">
        <v>326.2</v>
      </c>
      <c r="O65" s="59">
        <v>0</v>
      </c>
      <c r="P65" s="59">
        <v>0.68</v>
      </c>
      <c r="Q65" s="59">
        <v>22.22</v>
      </c>
      <c r="R65" s="197"/>
      <c r="S65" s="197"/>
      <c r="T65" s="197"/>
      <c r="U65" s="197"/>
    </row>
    <row r="66" spans="1:21" s="12" customFormat="1" x14ac:dyDescent="0.25">
      <c r="A66" s="200" t="s">
        <v>1649</v>
      </c>
      <c r="B66" s="59">
        <v>2.04</v>
      </c>
      <c r="C66" s="59">
        <v>45.18</v>
      </c>
      <c r="D66" s="59">
        <v>28.31</v>
      </c>
      <c r="E66" s="59">
        <v>6.49</v>
      </c>
      <c r="F66" s="59">
        <v>34.35</v>
      </c>
      <c r="G66" s="59">
        <v>48.72</v>
      </c>
      <c r="H66" s="59">
        <v>23.91</v>
      </c>
      <c r="I66" s="59">
        <v>0.5</v>
      </c>
      <c r="J66" s="59">
        <v>0.28000000000000003</v>
      </c>
      <c r="K66" s="59">
        <v>204.63</v>
      </c>
      <c r="L66" s="59">
        <v>31.54</v>
      </c>
      <c r="M66" s="59">
        <v>16.809999999999999</v>
      </c>
      <c r="N66" s="59">
        <v>472.2</v>
      </c>
      <c r="O66" s="59">
        <v>0</v>
      </c>
      <c r="P66" s="59">
        <v>0.59</v>
      </c>
      <c r="Q66" s="59">
        <v>20</v>
      </c>
      <c r="R66" s="197"/>
      <c r="S66" s="197"/>
      <c r="T66" s="197"/>
      <c r="U66" s="197"/>
    </row>
    <row r="67" spans="1:21" s="12" customFormat="1" x14ac:dyDescent="0.25">
      <c r="A67" s="200" t="s">
        <v>1650</v>
      </c>
      <c r="B67" s="59">
        <v>2.0699999999999998</v>
      </c>
      <c r="C67" s="59">
        <v>40.82</v>
      </c>
      <c r="D67" s="59">
        <v>25.93</v>
      </c>
      <c r="E67" s="59">
        <v>8.1</v>
      </c>
      <c r="F67" s="59">
        <v>35.86</v>
      </c>
      <c r="G67" s="59">
        <v>49.21</v>
      </c>
      <c r="H67" s="59">
        <v>23.96</v>
      </c>
      <c r="I67" s="59">
        <v>0.48</v>
      </c>
      <c r="J67" s="59">
        <v>0.91</v>
      </c>
      <c r="K67" s="59">
        <v>174.08</v>
      </c>
      <c r="L67" s="59">
        <v>32.1</v>
      </c>
      <c r="M67" s="59">
        <v>16.149999999999999</v>
      </c>
      <c r="N67" s="59">
        <v>542.6</v>
      </c>
      <c r="O67" s="59">
        <v>0</v>
      </c>
      <c r="P67" s="59">
        <v>0.56000000000000005</v>
      </c>
      <c r="Q67" s="59">
        <v>21.3</v>
      </c>
      <c r="R67" s="197"/>
      <c r="S67" s="197"/>
      <c r="T67" s="197"/>
      <c r="U67" s="197"/>
    </row>
    <row r="68" spans="1:21" s="12" customFormat="1" x14ac:dyDescent="0.25">
      <c r="A68" s="200" t="s">
        <v>1651</v>
      </c>
      <c r="B68" s="59">
        <v>2.96</v>
      </c>
      <c r="C68" s="59">
        <v>45.79</v>
      </c>
      <c r="D68" s="59">
        <v>29.38</v>
      </c>
      <c r="E68" s="59">
        <v>7.56</v>
      </c>
      <c r="F68" s="59">
        <v>22.69</v>
      </c>
      <c r="G68" s="59">
        <v>49.21</v>
      </c>
      <c r="H68" s="59">
        <v>23.96</v>
      </c>
      <c r="I68" s="59">
        <v>0.46</v>
      </c>
      <c r="J68" s="59">
        <v>0.11</v>
      </c>
      <c r="K68" s="59">
        <v>230.37</v>
      </c>
      <c r="L68" s="59">
        <v>32.75</v>
      </c>
      <c r="M68" s="59">
        <v>15.72</v>
      </c>
      <c r="N68" s="59">
        <v>450.6</v>
      </c>
      <c r="O68" s="59">
        <v>0</v>
      </c>
      <c r="P68" s="59">
        <v>0.56999999999999995</v>
      </c>
      <c r="Q68" s="59">
        <v>22.28</v>
      </c>
      <c r="R68" s="197"/>
      <c r="S68" s="197"/>
      <c r="T68" s="197"/>
      <c r="U68" s="197"/>
    </row>
    <row r="69" spans="1:21" s="12" customFormat="1" x14ac:dyDescent="0.25">
      <c r="A69" s="200" t="s">
        <v>1652</v>
      </c>
      <c r="B69" s="59">
        <v>4.0199999999999996</v>
      </c>
      <c r="C69" s="59">
        <v>49.01</v>
      </c>
      <c r="D69" s="59">
        <v>32.01</v>
      </c>
      <c r="E69" s="59">
        <v>7.92</v>
      </c>
      <c r="F69" s="59">
        <v>28.07</v>
      </c>
      <c r="G69" s="59">
        <v>49.21</v>
      </c>
      <c r="H69" s="59">
        <v>23.96</v>
      </c>
      <c r="I69" s="59">
        <v>0.48</v>
      </c>
      <c r="J69" s="59">
        <v>0.19</v>
      </c>
      <c r="K69" s="59">
        <v>189.7</v>
      </c>
      <c r="L69" s="59">
        <v>33.729999999999997</v>
      </c>
      <c r="M69" s="59">
        <v>15.56</v>
      </c>
      <c r="N69" s="59">
        <v>400.9</v>
      </c>
      <c r="O69" s="59">
        <v>0</v>
      </c>
      <c r="P69" s="59">
        <v>0.61</v>
      </c>
      <c r="Q69" s="59">
        <v>22.33</v>
      </c>
      <c r="R69" s="197"/>
      <c r="S69" s="197"/>
      <c r="T69" s="197"/>
      <c r="U69" s="197"/>
    </row>
    <row r="70" spans="1:21" s="12" customFormat="1" x14ac:dyDescent="0.25">
      <c r="A70" s="200" t="s">
        <v>1653</v>
      </c>
      <c r="B70" s="59">
        <v>2.4700000000000002</v>
      </c>
      <c r="C70" s="59">
        <v>44.05</v>
      </c>
      <c r="D70" s="59">
        <v>28.03</v>
      </c>
      <c r="E70" s="59">
        <v>6.75</v>
      </c>
      <c r="F70" s="59">
        <v>27.13</v>
      </c>
      <c r="G70" s="59">
        <v>40.229999999999997</v>
      </c>
      <c r="H70" s="59">
        <v>21.45</v>
      </c>
      <c r="I70" s="59">
        <v>0.51</v>
      </c>
      <c r="J70" s="59">
        <v>0.82</v>
      </c>
      <c r="K70" s="59">
        <v>200.7</v>
      </c>
      <c r="L70" s="59">
        <v>32.1</v>
      </c>
      <c r="M70" s="59">
        <v>15.93</v>
      </c>
      <c r="N70" s="59">
        <v>273.8</v>
      </c>
      <c r="O70" s="59">
        <v>0</v>
      </c>
      <c r="P70" s="59">
        <v>0.56999999999999995</v>
      </c>
      <c r="Q70" s="59">
        <v>22.2</v>
      </c>
      <c r="R70" s="197"/>
      <c r="S70" s="197"/>
      <c r="T70" s="197"/>
      <c r="U70" s="197"/>
    </row>
    <row r="71" spans="1:21" s="12" customFormat="1" x14ac:dyDescent="0.25">
      <c r="A71" s="200" t="s">
        <v>1654</v>
      </c>
      <c r="B71" s="59">
        <v>2.34</v>
      </c>
      <c r="C71" s="59">
        <v>43.07</v>
      </c>
      <c r="D71" s="59">
        <v>27.38</v>
      </c>
      <c r="E71" s="59">
        <v>7.36</v>
      </c>
      <c r="F71" s="59">
        <v>30.65</v>
      </c>
      <c r="G71" s="59">
        <v>38.71</v>
      </c>
      <c r="H71" s="59">
        <v>21.03</v>
      </c>
      <c r="I71" s="59">
        <v>0.52</v>
      </c>
      <c r="J71" s="59">
        <v>0.68</v>
      </c>
      <c r="K71" s="59">
        <v>191.51</v>
      </c>
      <c r="L71" s="59">
        <v>31.48</v>
      </c>
      <c r="M71" s="59">
        <v>16.46</v>
      </c>
      <c r="N71" s="59">
        <v>230.5</v>
      </c>
      <c r="O71" s="59">
        <v>0</v>
      </c>
      <c r="P71" s="59">
        <v>0.56000000000000005</v>
      </c>
      <c r="Q71" s="59">
        <v>22.24</v>
      </c>
      <c r="R71" s="197"/>
      <c r="S71" s="197"/>
      <c r="T71" s="197"/>
      <c r="U71" s="197"/>
    </row>
    <row r="72" spans="1:21" s="12" customFormat="1" x14ac:dyDescent="0.25">
      <c r="A72" s="200" t="s">
        <v>1655</v>
      </c>
      <c r="B72" s="59">
        <v>2.62</v>
      </c>
      <c r="C72" s="59">
        <v>42.62</v>
      </c>
      <c r="D72" s="59">
        <v>27.36</v>
      </c>
      <c r="E72" s="59">
        <v>3.98</v>
      </c>
      <c r="F72" s="59">
        <v>44.81</v>
      </c>
      <c r="G72" s="59">
        <v>38.71</v>
      </c>
      <c r="H72" s="59">
        <v>21.03</v>
      </c>
      <c r="I72" s="59">
        <v>0.53</v>
      </c>
      <c r="J72" s="59">
        <v>0.14000000000000001</v>
      </c>
      <c r="K72" s="59">
        <v>276.12</v>
      </c>
      <c r="L72" s="59">
        <v>31.74</v>
      </c>
      <c r="M72" s="59">
        <v>16.34</v>
      </c>
      <c r="N72" s="59">
        <v>214.2</v>
      </c>
      <c r="O72" s="59">
        <v>0</v>
      </c>
      <c r="P72" s="59">
        <v>0.55000000000000004</v>
      </c>
      <c r="Q72" s="59">
        <v>22.76</v>
      </c>
      <c r="R72" s="197"/>
      <c r="S72" s="197"/>
      <c r="T72" s="197"/>
      <c r="U72" s="197"/>
    </row>
    <row r="73" spans="1:21" s="12" customFormat="1" x14ac:dyDescent="0.25">
      <c r="A73" s="200" t="s">
        <v>1656</v>
      </c>
      <c r="B73" s="59">
        <v>2.75</v>
      </c>
      <c r="C73" s="59">
        <v>42.99</v>
      </c>
      <c r="D73" s="59">
        <v>27.68</v>
      </c>
      <c r="E73" s="59">
        <v>9.3000000000000007</v>
      </c>
      <c r="F73" s="59">
        <v>49.2</v>
      </c>
      <c r="G73" s="59">
        <v>38.71</v>
      </c>
      <c r="H73" s="59">
        <v>21.03</v>
      </c>
      <c r="I73" s="59">
        <v>0.53</v>
      </c>
      <c r="J73" s="59">
        <v>0.76</v>
      </c>
      <c r="K73" s="59">
        <v>176.69</v>
      </c>
      <c r="L73" s="59">
        <v>31.54</v>
      </c>
      <c r="M73" s="59">
        <v>16.78</v>
      </c>
      <c r="N73" s="59">
        <v>200</v>
      </c>
      <c r="O73" s="59">
        <v>0</v>
      </c>
      <c r="P73" s="59">
        <v>0.55000000000000004</v>
      </c>
      <c r="Q73" s="59">
        <v>23.56</v>
      </c>
      <c r="R73" s="197"/>
      <c r="S73" s="197"/>
      <c r="T73" s="197"/>
      <c r="U73" s="197"/>
    </row>
    <row r="74" spans="1:21" s="12" customFormat="1" x14ac:dyDescent="0.25">
      <c r="A74" s="200" t="s">
        <v>1657</v>
      </c>
      <c r="B74" s="59">
        <v>3.12</v>
      </c>
      <c r="C74" s="59">
        <v>47.72</v>
      </c>
      <c r="D74" s="59">
        <v>30.58</v>
      </c>
      <c r="E74" s="59">
        <v>9.34</v>
      </c>
      <c r="F74" s="59">
        <v>36.25</v>
      </c>
      <c r="G74" s="59">
        <v>42.69</v>
      </c>
      <c r="H74" s="59">
        <v>19.46</v>
      </c>
      <c r="I74" s="59">
        <v>0.52</v>
      </c>
      <c r="J74" s="59">
        <v>0.24</v>
      </c>
      <c r="K74" s="59">
        <v>8.0399999999999991</v>
      </c>
      <c r="L74" s="59">
        <v>31.7</v>
      </c>
      <c r="M74" s="59">
        <v>17.399999999999999</v>
      </c>
      <c r="N74" s="59">
        <v>136.4</v>
      </c>
      <c r="O74" s="59">
        <v>0</v>
      </c>
      <c r="P74" s="59">
        <v>0.72</v>
      </c>
      <c r="Q74" s="59">
        <v>24.86</v>
      </c>
      <c r="R74" s="197"/>
      <c r="S74" s="197"/>
      <c r="T74" s="197"/>
      <c r="U74" s="197"/>
    </row>
    <row r="75" spans="1:21" s="12" customFormat="1" x14ac:dyDescent="0.25">
      <c r="A75" s="200" t="s">
        <v>1658</v>
      </c>
      <c r="B75" s="59">
        <v>3.23</v>
      </c>
      <c r="C75" s="59">
        <v>63.36</v>
      </c>
      <c r="D75" s="59">
        <v>39.29</v>
      </c>
      <c r="E75" s="59">
        <v>6.8</v>
      </c>
      <c r="F75" s="59">
        <v>24.7</v>
      </c>
      <c r="G75" s="59">
        <v>43.36</v>
      </c>
      <c r="H75" s="59">
        <v>19.2</v>
      </c>
      <c r="I75" s="59">
        <v>0.53</v>
      </c>
      <c r="J75" s="59">
        <v>0.15</v>
      </c>
      <c r="K75" s="59">
        <v>291.48</v>
      </c>
      <c r="L75" s="59">
        <v>31.27</v>
      </c>
      <c r="M75" s="59">
        <v>18.47</v>
      </c>
      <c r="N75" s="59">
        <v>87.8</v>
      </c>
      <c r="O75" s="59">
        <v>0</v>
      </c>
      <c r="P75" s="59">
        <v>0.82</v>
      </c>
      <c r="Q75" s="59">
        <v>24.43</v>
      </c>
      <c r="R75" s="197"/>
      <c r="S75" s="197"/>
      <c r="T75" s="197"/>
      <c r="U75" s="197"/>
    </row>
    <row r="76" spans="1:21" s="12" customFormat="1" x14ac:dyDescent="0.25">
      <c r="A76" s="200" t="s">
        <v>1659</v>
      </c>
      <c r="B76" s="59">
        <v>2.25</v>
      </c>
      <c r="C76" s="59">
        <v>62.62</v>
      </c>
      <c r="D76" s="59">
        <v>38.11</v>
      </c>
      <c r="E76" s="59">
        <v>9.1999999999999993</v>
      </c>
      <c r="F76" s="59">
        <v>29.18</v>
      </c>
      <c r="G76" s="59">
        <v>43.36</v>
      </c>
      <c r="H76" s="59">
        <v>19.2</v>
      </c>
      <c r="I76" s="59">
        <v>0.53</v>
      </c>
      <c r="J76" s="59">
        <v>0.1</v>
      </c>
      <c r="K76" s="59">
        <v>246.21</v>
      </c>
      <c r="L76" s="59">
        <v>30.17</v>
      </c>
      <c r="M76" s="59">
        <v>20.83</v>
      </c>
      <c r="N76" s="59">
        <v>60.7</v>
      </c>
      <c r="O76" s="59">
        <v>0</v>
      </c>
      <c r="P76" s="59">
        <v>0.88</v>
      </c>
      <c r="Q76" s="59">
        <v>23.49</v>
      </c>
      <c r="R76" s="197"/>
      <c r="S76" s="197"/>
      <c r="T76" s="197"/>
      <c r="U76" s="197"/>
    </row>
    <row r="77" spans="1:21" s="12" customFormat="1" x14ac:dyDescent="0.25">
      <c r="A77" s="200" t="s">
        <v>1660</v>
      </c>
      <c r="B77" s="59">
        <v>2.0299999999999998</v>
      </c>
      <c r="C77" s="59">
        <v>62.21</v>
      </c>
      <c r="D77" s="59">
        <v>37.700000000000003</v>
      </c>
      <c r="E77" s="59">
        <v>10.67</v>
      </c>
      <c r="F77" s="59">
        <v>28.47</v>
      </c>
      <c r="G77" s="59">
        <v>43.36</v>
      </c>
      <c r="H77" s="59">
        <v>19.2</v>
      </c>
      <c r="I77" s="59">
        <v>0.51</v>
      </c>
      <c r="J77" s="59">
        <v>0.25</v>
      </c>
      <c r="K77" s="59">
        <v>250.09</v>
      </c>
      <c r="L77" s="59">
        <v>29.65</v>
      </c>
      <c r="M77" s="59">
        <v>22.46</v>
      </c>
      <c r="N77" s="59">
        <v>50.3</v>
      </c>
      <c r="O77" s="59">
        <v>0</v>
      </c>
      <c r="P77" s="59">
        <v>0.93</v>
      </c>
      <c r="Q77" s="59">
        <v>23.7</v>
      </c>
      <c r="R77" s="197"/>
      <c r="S77" s="197"/>
      <c r="T77" s="197"/>
      <c r="U77" s="197"/>
    </row>
    <row r="78" spans="1:21" s="12" customFormat="1" x14ac:dyDescent="0.25">
      <c r="A78" s="200" t="s">
        <v>1661</v>
      </c>
      <c r="B78" s="59">
        <v>2.94</v>
      </c>
      <c r="C78" s="59">
        <v>67.260000000000005</v>
      </c>
      <c r="D78" s="59">
        <v>41.22</v>
      </c>
      <c r="E78" s="59">
        <v>8.4</v>
      </c>
      <c r="F78" s="59">
        <v>26.14</v>
      </c>
      <c r="G78" s="59">
        <v>58.1</v>
      </c>
      <c r="H78" s="59">
        <v>20.8</v>
      </c>
      <c r="I78" s="59">
        <v>0.51</v>
      </c>
      <c r="J78" s="59">
        <v>0.25</v>
      </c>
      <c r="K78" s="59">
        <v>241.05</v>
      </c>
      <c r="L78" s="59">
        <v>29.29</v>
      </c>
      <c r="M78" s="59">
        <v>23.72</v>
      </c>
      <c r="N78" s="59">
        <v>39.9</v>
      </c>
      <c r="O78" s="59">
        <v>0</v>
      </c>
      <c r="P78" s="59">
        <v>0.93</v>
      </c>
      <c r="Q78" s="59">
        <v>23.85</v>
      </c>
      <c r="R78" s="197"/>
      <c r="S78" s="197"/>
      <c r="T78" s="197"/>
      <c r="U78" s="197"/>
    </row>
    <row r="79" spans="1:21" s="12" customFormat="1" x14ac:dyDescent="0.25">
      <c r="A79" s="200" t="s">
        <v>1662</v>
      </c>
      <c r="B79" s="59">
        <v>2.37</v>
      </c>
      <c r="C79" s="59">
        <v>63.99</v>
      </c>
      <c r="D79" s="59">
        <v>38.96</v>
      </c>
      <c r="E79" s="59">
        <v>9.35</v>
      </c>
      <c r="F79" s="59">
        <v>25.24</v>
      </c>
      <c r="G79" s="59">
        <v>60.6</v>
      </c>
      <c r="H79" s="59">
        <v>21.07</v>
      </c>
      <c r="I79" s="59">
        <v>0.51</v>
      </c>
      <c r="J79" s="59">
        <v>0.35</v>
      </c>
      <c r="K79" s="59">
        <v>224.3</v>
      </c>
      <c r="L79" s="59">
        <v>29.09</v>
      </c>
      <c r="M79" s="59">
        <v>23.96</v>
      </c>
      <c r="N79" s="59">
        <v>27.1</v>
      </c>
      <c r="O79" s="59">
        <v>0</v>
      </c>
      <c r="P79" s="59">
        <v>0.93</v>
      </c>
      <c r="Q79" s="59">
        <v>24.4</v>
      </c>
      <c r="R79" s="197"/>
      <c r="S79" s="197"/>
      <c r="T79" s="197"/>
      <c r="U79" s="197"/>
    </row>
    <row r="80" spans="1:21" s="12" customFormat="1" x14ac:dyDescent="0.25">
      <c r="A80" s="200" t="s">
        <v>1663</v>
      </c>
      <c r="B80" s="59">
        <v>2.62</v>
      </c>
      <c r="C80" s="59">
        <v>63.24</v>
      </c>
      <c r="D80" s="59">
        <v>38.74</v>
      </c>
      <c r="E80" s="59">
        <v>8.7799999999999994</v>
      </c>
      <c r="F80" s="59">
        <v>25.3</v>
      </c>
      <c r="G80" s="59">
        <v>60.6</v>
      </c>
      <c r="H80" s="59">
        <v>21.07</v>
      </c>
      <c r="I80" s="59">
        <v>0.51</v>
      </c>
      <c r="J80" s="59">
        <v>0.1</v>
      </c>
      <c r="K80" s="59">
        <v>243.48</v>
      </c>
      <c r="L80" s="59">
        <v>28.74</v>
      </c>
      <c r="M80" s="59">
        <v>25.54</v>
      </c>
      <c r="N80" s="59">
        <v>15.6</v>
      </c>
      <c r="O80" s="59">
        <v>0</v>
      </c>
      <c r="P80" s="59">
        <v>0.94</v>
      </c>
      <c r="Q80" s="59">
        <v>24.95</v>
      </c>
      <c r="R80" s="197"/>
      <c r="S80" s="197"/>
      <c r="T80" s="197"/>
      <c r="U80" s="197"/>
    </row>
    <row r="81" spans="1:26" s="12" customFormat="1" x14ac:dyDescent="0.25">
      <c r="A81" s="200" t="s">
        <v>1664</v>
      </c>
      <c r="B81" s="59">
        <v>22.51</v>
      </c>
      <c r="C81" s="59">
        <v>106.18</v>
      </c>
      <c r="D81" s="59">
        <v>78.39</v>
      </c>
      <c r="E81" s="59">
        <v>10.67</v>
      </c>
      <c r="F81" s="59">
        <v>16.82</v>
      </c>
      <c r="G81" s="59">
        <v>60.6</v>
      </c>
      <c r="H81" s="59">
        <v>21.07</v>
      </c>
      <c r="I81" s="59">
        <v>0.53</v>
      </c>
      <c r="J81" s="59">
        <v>0.15</v>
      </c>
      <c r="K81" s="59">
        <v>7.84</v>
      </c>
      <c r="L81" s="59">
        <v>28.16</v>
      </c>
      <c r="M81" s="59">
        <v>28.1</v>
      </c>
      <c r="N81" s="59">
        <v>6.5</v>
      </c>
      <c r="O81" s="59">
        <v>0</v>
      </c>
      <c r="P81" s="59">
        <v>1.88</v>
      </c>
      <c r="Q81" s="59">
        <v>23.03</v>
      </c>
      <c r="R81" s="197"/>
      <c r="S81" s="197"/>
      <c r="T81" s="197"/>
      <c r="U81" s="197"/>
    </row>
    <row r="82" spans="1:26" s="12" customFormat="1" x14ac:dyDescent="0.25">
      <c r="A82" s="200" t="s">
        <v>1665</v>
      </c>
      <c r="B82" s="59">
        <v>11.31</v>
      </c>
      <c r="C82" s="59">
        <v>95.76</v>
      </c>
      <c r="D82" s="59">
        <v>63.66</v>
      </c>
      <c r="E82" s="59">
        <v>10.39</v>
      </c>
      <c r="F82" s="59">
        <v>11.83</v>
      </c>
      <c r="G82" s="59">
        <v>67.38</v>
      </c>
      <c r="H82" s="59">
        <v>27.89</v>
      </c>
      <c r="I82" s="59">
        <v>0.56999999999999995</v>
      </c>
      <c r="J82" s="59">
        <v>0.38</v>
      </c>
      <c r="K82" s="59">
        <v>23.11</v>
      </c>
      <c r="L82" s="59">
        <v>27.7</v>
      </c>
      <c r="M82" s="59">
        <v>30.51</v>
      </c>
      <c r="N82" s="59">
        <v>5.2</v>
      </c>
      <c r="O82" s="59">
        <v>0</v>
      </c>
      <c r="P82" s="59">
        <v>1.53</v>
      </c>
      <c r="Q82" s="59">
        <v>22.86</v>
      </c>
      <c r="R82" s="197"/>
      <c r="S82" s="197"/>
      <c r="T82" s="197"/>
      <c r="U82" s="197"/>
    </row>
    <row r="83" spans="1:26" s="12" customFormat="1" x14ac:dyDescent="0.25">
      <c r="A83" s="200" t="s">
        <v>1666</v>
      </c>
      <c r="B83" s="59">
        <v>13.32</v>
      </c>
      <c r="C83" s="59">
        <v>94.97</v>
      </c>
      <c r="D83" s="59">
        <v>64.83</v>
      </c>
      <c r="E83" s="59">
        <v>10.43</v>
      </c>
      <c r="F83" s="59">
        <v>19.899999999999999</v>
      </c>
      <c r="G83" s="59">
        <v>68.430000000000007</v>
      </c>
      <c r="H83" s="59">
        <v>29.04</v>
      </c>
      <c r="I83" s="59">
        <v>0.67</v>
      </c>
      <c r="J83" s="59">
        <v>0.41</v>
      </c>
      <c r="K83" s="59">
        <v>101.46</v>
      </c>
      <c r="L83" s="59">
        <v>27.34</v>
      </c>
      <c r="M83" s="59">
        <v>29.88</v>
      </c>
      <c r="N83" s="59">
        <v>4.5</v>
      </c>
      <c r="O83" s="59">
        <v>0</v>
      </c>
      <c r="P83" s="59">
        <v>1.47</v>
      </c>
      <c r="Q83" s="59">
        <v>22.72</v>
      </c>
      <c r="R83" s="197"/>
      <c r="S83" s="197"/>
      <c r="T83" s="197"/>
      <c r="U83" s="197"/>
    </row>
    <row r="84" spans="1:26" s="12" customFormat="1" x14ac:dyDescent="0.25">
      <c r="A84" s="200" t="s">
        <v>1667</v>
      </c>
      <c r="B84" s="59">
        <v>10.81</v>
      </c>
      <c r="C84" s="59">
        <v>89.94</v>
      </c>
      <c r="D84" s="59">
        <v>60.05</v>
      </c>
      <c r="E84" s="59">
        <v>11.35</v>
      </c>
      <c r="F84" s="59">
        <v>17.21</v>
      </c>
      <c r="G84" s="59">
        <v>68.430000000000007</v>
      </c>
      <c r="H84" s="59">
        <v>29.04</v>
      </c>
      <c r="I84" s="59">
        <v>0.67</v>
      </c>
      <c r="J84" s="59">
        <v>0.23</v>
      </c>
      <c r="K84" s="59">
        <v>71.569999999999993</v>
      </c>
      <c r="L84" s="59">
        <v>27.43</v>
      </c>
      <c r="M84" s="59">
        <v>30.71</v>
      </c>
      <c r="N84" s="59">
        <v>4.5</v>
      </c>
      <c r="O84" s="59">
        <v>0</v>
      </c>
      <c r="P84" s="59">
        <v>1.55</v>
      </c>
      <c r="Q84" s="59">
        <v>25.31</v>
      </c>
      <c r="R84" s="197"/>
      <c r="S84" s="197"/>
      <c r="T84" s="197"/>
      <c r="U84" s="197"/>
    </row>
    <row r="85" spans="1:26" s="12" customFormat="1" x14ac:dyDescent="0.25">
      <c r="A85" s="200" t="s">
        <v>1668</v>
      </c>
      <c r="B85" s="59">
        <v>29.64</v>
      </c>
      <c r="C85" s="59">
        <v>108.91</v>
      </c>
      <c r="D85" s="59">
        <v>85.62</v>
      </c>
      <c r="E85" s="59">
        <v>11.05</v>
      </c>
      <c r="F85" s="59">
        <v>9.18</v>
      </c>
      <c r="G85" s="59">
        <v>68.430000000000007</v>
      </c>
      <c r="H85" s="59">
        <v>29.04</v>
      </c>
      <c r="I85" s="59">
        <v>0.63</v>
      </c>
      <c r="J85" s="59">
        <v>0.06</v>
      </c>
      <c r="K85" s="59">
        <v>1.81</v>
      </c>
      <c r="L85" s="59">
        <v>26.55</v>
      </c>
      <c r="M85" s="59">
        <v>32.4</v>
      </c>
      <c r="N85" s="59">
        <v>5.0999999999999996</v>
      </c>
      <c r="O85" s="59">
        <v>0</v>
      </c>
      <c r="P85" s="59">
        <v>1.93</v>
      </c>
      <c r="Q85" s="59">
        <v>24.72</v>
      </c>
      <c r="R85" s="197"/>
      <c r="S85" s="197"/>
      <c r="T85" s="197"/>
      <c r="U85" s="197"/>
    </row>
    <row r="86" spans="1:26" s="12" customFormat="1" x14ac:dyDescent="0.25">
      <c r="A86" s="200" t="s">
        <v>1669</v>
      </c>
      <c r="B86" s="59">
        <v>11.43</v>
      </c>
      <c r="C86" s="59">
        <v>105.37</v>
      </c>
      <c r="D86" s="59">
        <v>69.06</v>
      </c>
      <c r="E86" s="59">
        <v>11.18</v>
      </c>
      <c r="F86" s="59">
        <v>8.06</v>
      </c>
      <c r="G86" s="59">
        <v>81.69</v>
      </c>
      <c r="H86" s="59">
        <v>30.18</v>
      </c>
      <c r="I86" s="59">
        <v>0.71</v>
      </c>
      <c r="J86" s="59">
        <v>0.19</v>
      </c>
      <c r="K86" s="59">
        <v>111.34</v>
      </c>
      <c r="L86" s="59">
        <v>26.53</v>
      </c>
      <c r="M86" s="59">
        <v>31.02</v>
      </c>
      <c r="N86" s="59">
        <v>4.5</v>
      </c>
      <c r="O86" s="59">
        <v>0</v>
      </c>
      <c r="P86" s="59">
        <v>1.84</v>
      </c>
      <c r="Q86" s="59">
        <v>25.4</v>
      </c>
      <c r="R86" s="197"/>
      <c r="S86" s="197"/>
      <c r="T86" s="197"/>
      <c r="U86" s="197"/>
    </row>
    <row r="87" spans="1:26" s="12" customFormat="1" x14ac:dyDescent="0.25">
      <c r="A87" s="200" t="s">
        <v>1670</v>
      </c>
      <c r="B87" s="59">
        <v>28.86</v>
      </c>
      <c r="C87" s="59">
        <v>110.63</v>
      </c>
      <c r="D87" s="59">
        <v>85.93</v>
      </c>
      <c r="E87" s="59">
        <v>10.210000000000001</v>
      </c>
      <c r="F87" s="59">
        <v>5</v>
      </c>
      <c r="G87" s="59">
        <v>83.93</v>
      </c>
      <c r="H87" s="59">
        <v>30.36</v>
      </c>
      <c r="I87" s="59">
        <v>0.8</v>
      </c>
      <c r="J87" s="59">
        <v>0.13</v>
      </c>
      <c r="K87" s="59">
        <v>264.72000000000003</v>
      </c>
      <c r="L87" s="59">
        <v>26.17</v>
      </c>
      <c r="M87" s="59">
        <v>32.85</v>
      </c>
      <c r="N87" s="59">
        <v>4.7</v>
      </c>
      <c r="O87" s="59">
        <v>0</v>
      </c>
      <c r="P87" s="59">
        <v>1.87</v>
      </c>
      <c r="Q87" s="59">
        <v>26.16</v>
      </c>
      <c r="R87" s="197"/>
      <c r="S87" s="197"/>
      <c r="T87" s="197"/>
      <c r="U87" s="197"/>
    </row>
    <row r="88" spans="1:26" s="12" customFormat="1" x14ac:dyDescent="0.25">
      <c r="A88" s="200" t="s">
        <v>1671</v>
      </c>
      <c r="B88" s="59">
        <v>43.97</v>
      </c>
      <c r="C88" s="59">
        <v>105.28</v>
      </c>
      <c r="D88" s="59">
        <v>95.1</v>
      </c>
      <c r="E88" s="59">
        <v>3.19</v>
      </c>
      <c r="F88" s="59">
        <v>3.02</v>
      </c>
      <c r="G88" s="59">
        <v>83.93</v>
      </c>
      <c r="H88" s="59">
        <v>30.36</v>
      </c>
      <c r="I88" s="59">
        <v>0.88</v>
      </c>
      <c r="J88" s="59">
        <v>0.08</v>
      </c>
      <c r="K88" s="59">
        <v>309.89999999999998</v>
      </c>
      <c r="L88" s="59">
        <v>25.95</v>
      </c>
      <c r="M88" s="59">
        <v>33.54</v>
      </c>
      <c r="N88" s="59">
        <v>4.5999999999999996</v>
      </c>
      <c r="O88" s="59">
        <v>0</v>
      </c>
      <c r="P88" s="59">
        <v>1.71</v>
      </c>
      <c r="Q88" s="59">
        <v>24.81</v>
      </c>
      <c r="R88" s="197"/>
      <c r="S88" s="197"/>
      <c r="T88" s="197"/>
      <c r="U88" s="197"/>
    </row>
    <row r="89" spans="1:26" s="12" customFormat="1" x14ac:dyDescent="0.25">
      <c r="A89" s="200" t="s">
        <v>1672</v>
      </c>
      <c r="B89" s="59">
        <v>26.43</v>
      </c>
      <c r="C89" s="59">
        <v>96.18</v>
      </c>
      <c r="D89" s="59">
        <v>76.010000000000005</v>
      </c>
      <c r="E89" s="59">
        <v>6.01</v>
      </c>
      <c r="F89" s="59">
        <v>2.1</v>
      </c>
      <c r="G89" s="59">
        <v>83.93</v>
      </c>
      <c r="H89" s="59">
        <v>30.36</v>
      </c>
      <c r="I89" s="59">
        <v>0.87</v>
      </c>
      <c r="J89" s="59">
        <v>0.12</v>
      </c>
      <c r="K89" s="59">
        <v>264.07</v>
      </c>
      <c r="L89" s="59">
        <v>25.75</v>
      </c>
      <c r="M89" s="59">
        <v>33.14</v>
      </c>
      <c r="N89" s="59">
        <v>4.4000000000000004</v>
      </c>
      <c r="O89" s="59">
        <v>0</v>
      </c>
      <c r="P89" s="59">
        <v>1.59</v>
      </c>
      <c r="Q89" s="59">
        <v>28.6</v>
      </c>
      <c r="R89" s="197"/>
      <c r="S89" s="197"/>
      <c r="T89" s="197"/>
      <c r="U89" s="197"/>
    </row>
    <row r="90" spans="1:26" s="12" customFormat="1" x14ac:dyDescent="0.25">
      <c r="A90" s="200" t="s">
        <v>1673</v>
      </c>
      <c r="B90" s="59">
        <v>45.97</v>
      </c>
      <c r="C90" s="59">
        <v>100.76</v>
      </c>
      <c r="D90" s="59">
        <v>94.21</v>
      </c>
      <c r="E90" s="59">
        <v>5.72</v>
      </c>
      <c r="F90" s="59">
        <v>2.4300000000000002</v>
      </c>
      <c r="G90" s="59">
        <v>156.51</v>
      </c>
      <c r="H90" s="59">
        <v>37.49</v>
      </c>
      <c r="I90" s="59">
        <v>0.8</v>
      </c>
      <c r="J90" s="59">
        <v>0.24</v>
      </c>
      <c r="K90" s="59">
        <v>58.32</v>
      </c>
      <c r="L90" s="59">
        <v>25.43</v>
      </c>
      <c r="M90" s="59">
        <v>36.97</v>
      </c>
      <c r="N90" s="59">
        <v>4.8</v>
      </c>
      <c r="O90" s="59">
        <v>0</v>
      </c>
      <c r="P90" s="59">
        <v>2.11</v>
      </c>
      <c r="Q90" s="59">
        <v>29.02</v>
      </c>
      <c r="R90" s="197"/>
      <c r="S90" s="197"/>
      <c r="T90" s="197"/>
      <c r="U90" s="197"/>
    </row>
    <row r="91" spans="1:26" s="12" customFormat="1" x14ac:dyDescent="0.25">
      <c r="A91" s="200" t="s">
        <v>1674</v>
      </c>
      <c r="B91" s="59">
        <v>38.83</v>
      </c>
      <c r="C91" s="59">
        <v>100.03</v>
      </c>
      <c r="D91" s="59">
        <v>88.08</v>
      </c>
      <c r="E91" s="59">
        <v>5.92</v>
      </c>
      <c r="F91" s="59">
        <v>1.92</v>
      </c>
      <c r="G91" s="59">
        <v>168.77</v>
      </c>
      <c r="H91" s="59">
        <v>38.69</v>
      </c>
      <c r="I91" s="59">
        <v>0.79</v>
      </c>
      <c r="J91" s="59">
        <v>0.12</v>
      </c>
      <c r="K91" s="59">
        <v>225.43</v>
      </c>
      <c r="L91" s="59">
        <v>25.08</v>
      </c>
      <c r="M91" s="59">
        <v>35.520000000000003</v>
      </c>
      <c r="N91" s="59">
        <v>4.4000000000000004</v>
      </c>
      <c r="O91" s="59">
        <v>0</v>
      </c>
      <c r="P91" s="59">
        <v>1.86</v>
      </c>
      <c r="Q91" s="59">
        <v>28.88</v>
      </c>
      <c r="R91" s="197"/>
      <c r="S91" s="197"/>
      <c r="T91" s="197"/>
      <c r="U91" s="197"/>
    </row>
    <row r="92" spans="1:26" s="12" customFormat="1" x14ac:dyDescent="0.25">
      <c r="A92" s="200" t="s">
        <v>1675</v>
      </c>
      <c r="B92" s="59">
        <v>53.92</v>
      </c>
      <c r="C92" s="59">
        <v>99.91</v>
      </c>
      <c r="D92" s="59">
        <v>100.12</v>
      </c>
      <c r="E92" s="59">
        <v>4.96</v>
      </c>
      <c r="F92" s="59">
        <v>1.9</v>
      </c>
      <c r="G92" s="59">
        <v>168.77</v>
      </c>
      <c r="H92" s="59">
        <v>38.69</v>
      </c>
      <c r="I92" s="59">
        <v>0.85</v>
      </c>
      <c r="J92" s="59">
        <v>0.28999999999999998</v>
      </c>
      <c r="K92" s="59">
        <v>19.8</v>
      </c>
      <c r="L92" s="59">
        <v>25.03</v>
      </c>
      <c r="M92" s="59">
        <v>39.21</v>
      </c>
      <c r="N92" s="59">
        <v>4.9000000000000004</v>
      </c>
      <c r="O92" s="59">
        <v>0</v>
      </c>
      <c r="P92" s="59">
        <v>2.21</v>
      </c>
      <c r="Q92" s="59">
        <v>30.59</v>
      </c>
      <c r="R92" s="197"/>
      <c r="S92" s="197"/>
      <c r="T92" s="197"/>
      <c r="U92" s="197"/>
    </row>
    <row r="93" spans="1:26" s="12" customFormat="1" x14ac:dyDescent="0.25">
      <c r="A93" s="200" t="s">
        <v>1676</v>
      </c>
      <c r="B93" s="59">
        <v>61.63</v>
      </c>
      <c r="C93" s="59">
        <v>102.37</v>
      </c>
      <c r="D93" s="59">
        <v>107.66</v>
      </c>
      <c r="E93" s="59">
        <v>4.5999999999999996</v>
      </c>
      <c r="F93" s="59">
        <v>1.55</v>
      </c>
      <c r="G93" s="59">
        <v>168.77</v>
      </c>
      <c r="H93" s="59">
        <v>38.69</v>
      </c>
      <c r="I93" s="59">
        <v>0.88</v>
      </c>
      <c r="J93" s="59">
        <v>0.08</v>
      </c>
      <c r="K93" s="59">
        <v>57.12</v>
      </c>
      <c r="L93" s="59">
        <v>24.24</v>
      </c>
      <c r="M93" s="59">
        <v>40.39</v>
      </c>
      <c r="N93" s="59">
        <v>5</v>
      </c>
      <c r="O93" s="59">
        <v>0</v>
      </c>
      <c r="P93" s="59">
        <v>2.36</v>
      </c>
      <c r="Q93" s="59">
        <v>29</v>
      </c>
      <c r="R93" s="197"/>
      <c r="S93" s="197"/>
      <c r="T93" s="197"/>
      <c r="U93" s="197"/>
    </row>
    <row r="94" spans="1:26" s="12" customFormat="1" x14ac:dyDescent="0.25">
      <c r="A94" s="200" t="s">
        <v>1677</v>
      </c>
      <c r="B94" s="59">
        <v>79.7</v>
      </c>
      <c r="C94" s="59">
        <v>111.4</v>
      </c>
      <c r="D94" s="59">
        <v>127.13</v>
      </c>
      <c r="E94" s="59">
        <v>5.53</v>
      </c>
      <c r="F94" s="59">
        <v>1.18</v>
      </c>
      <c r="G94" s="59">
        <v>164.57</v>
      </c>
      <c r="H94" s="59">
        <v>46.44</v>
      </c>
      <c r="I94" s="59">
        <v>0.9</v>
      </c>
      <c r="J94" s="59">
        <v>0.1</v>
      </c>
      <c r="K94" s="59">
        <v>74.5</v>
      </c>
      <c r="L94" s="59">
        <v>24.18</v>
      </c>
      <c r="M94" s="59">
        <v>40.549999999999997</v>
      </c>
      <c r="N94" s="59">
        <v>4.5999999999999996</v>
      </c>
      <c r="O94" s="59">
        <v>0</v>
      </c>
      <c r="P94" s="59">
        <v>2.44</v>
      </c>
      <c r="Q94" s="59">
        <v>30.09</v>
      </c>
      <c r="R94" s="197"/>
      <c r="S94" s="197"/>
      <c r="T94" s="197"/>
      <c r="U94" s="197"/>
    </row>
    <row r="95" spans="1:26" s="12" customFormat="1" x14ac:dyDescent="0.25">
      <c r="A95" s="200" t="s">
        <v>1678</v>
      </c>
      <c r="B95" s="59">
        <v>117.1</v>
      </c>
      <c r="C95" s="59">
        <v>119.25</v>
      </c>
      <c r="D95" s="59">
        <v>161.46</v>
      </c>
      <c r="E95" s="59">
        <v>5.73</v>
      </c>
      <c r="F95" s="59">
        <v>1.17</v>
      </c>
      <c r="G95" s="59">
        <v>163.86</v>
      </c>
      <c r="H95" s="59">
        <v>47.75</v>
      </c>
      <c r="I95" s="59">
        <v>0.95</v>
      </c>
      <c r="J95" s="59">
        <v>0.15</v>
      </c>
      <c r="K95" s="59">
        <v>10.78</v>
      </c>
      <c r="L95" s="59">
        <v>24.06</v>
      </c>
      <c r="M95" s="59">
        <v>45.43</v>
      </c>
      <c r="N95" s="59">
        <v>4.9000000000000004</v>
      </c>
      <c r="O95" s="59">
        <v>0</v>
      </c>
      <c r="P95" s="59">
        <v>3.1</v>
      </c>
      <c r="Q95" s="59">
        <v>28.6</v>
      </c>
      <c r="R95" s="197"/>
      <c r="S95" s="197"/>
      <c r="T95" s="197"/>
      <c r="U95" s="197"/>
    </row>
    <row r="96" spans="1:26" s="12" customFormat="1" x14ac:dyDescent="0.25">
      <c r="A96" s="200" t="s">
        <v>1679</v>
      </c>
      <c r="B96" s="59">
        <v>71.97</v>
      </c>
      <c r="C96" s="59">
        <v>113.4</v>
      </c>
      <c r="D96" s="59">
        <v>122.04</v>
      </c>
      <c r="E96" s="59">
        <v>5.95</v>
      </c>
      <c r="F96" s="59">
        <v>2.11</v>
      </c>
      <c r="G96" s="59">
        <v>163.86</v>
      </c>
      <c r="H96" s="59">
        <v>47.75</v>
      </c>
      <c r="I96" s="59">
        <v>1.01</v>
      </c>
      <c r="J96" s="59">
        <v>0.16</v>
      </c>
      <c r="K96" s="59">
        <v>255.83</v>
      </c>
      <c r="L96" s="59">
        <v>24.61</v>
      </c>
      <c r="M96" s="59">
        <v>37.21</v>
      </c>
      <c r="N96" s="59">
        <v>4</v>
      </c>
      <c r="O96" s="59">
        <v>0</v>
      </c>
      <c r="P96" s="59">
        <v>2.42</v>
      </c>
      <c r="Q96" s="59">
        <v>29.47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1680</v>
      </c>
      <c r="B97" s="59">
        <v>42.65</v>
      </c>
      <c r="C97" s="59">
        <v>90.72</v>
      </c>
      <c r="D97" s="59">
        <v>86.01</v>
      </c>
      <c r="E97" s="59">
        <v>5.58</v>
      </c>
      <c r="F97" s="59">
        <v>11.27</v>
      </c>
      <c r="G97" s="59">
        <v>163.86</v>
      </c>
      <c r="H97" s="59">
        <v>47.75</v>
      </c>
      <c r="I97" s="59">
        <v>1.1499999999999999</v>
      </c>
      <c r="J97" s="59">
        <v>0.21</v>
      </c>
      <c r="K97" s="59">
        <v>250.58</v>
      </c>
      <c r="L97" s="59">
        <v>25.19</v>
      </c>
      <c r="M97" s="59">
        <v>34.51</v>
      </c>
      <c r="N97" s="59">
        <v>4.2</v>
      </c>
      <c r="O97" s="59">
        <v>0</v>
      </c>
      <c r="P97" s="59">
        <v>1.85</v>
      </c>
      <c r="Q97" s="59">
        <v>33.450000000000003</v>
      </c>
      <c r="R97" s="197"/>
      <c r="S97" s="197"/>
      <c r="T97" s="197"/>
      <c r="U97" s="197"/>
    </row>
    <row r="98" spans="1:33" s="12" customFormat="1" x14ac:dyDescent="0.25">
      <c r="A98" s="200" t="s">
        <v>1681</v>
      </c>
      <c r="B98" s="59">
        <v>44.67</v>
      </c>
      <c r="C98" s="59">
        <v>82.06</v>
      </c>
      <c r="D98" s="59">
        <v>82.85</v>
      </c>
      <c r="E98" s="59">
        <v>4.91</v>
      </c>
      <c r="F98" s="59">
        <v>12.76</v>
      </c>
      <c r="G98" s="59">
        <v>148.44</v>
      </c>
      <c r="H98" s="59">
        <v>48.21</v>
      </c>
      <c r="I98" s="59">
        <v>1.0900000000000001</v>
      </c>
      <c r="J98" s="59">
        <v>0.45</v>
      </c>
      <c r="K98" s="59">
        <v>204.53</v>
      </c>
      <c r="L98" s="59">
        <v>24.81</v>
      </c>
      <c r="M98" s="59">
        <v>36.619999999999997</v>
      </c>
      <c r="N98" s="59">
        <v>4.4000000000000004</v>
      </c>
      <c r="O98" s="59">
        <v>0</v>
      </c>
      <c r="P98" s="59">
        <v>1.89</v>
      </c>
      <c r="Q98" s="59">
        <v>34.17</v>
      </c>
      <c r="R98" s="197"/>
      <c r="S98" s="197"/>
      <c r="T98" s="197"/>
      <c r="U98" s="197"/>
    </row>
    <row r="99" spans="1:33" s="12" customFormat="1" x14ac:dyDescent="0.25">
      <c r="A99" s="200" t="s">
        <v>1682</v>
      </c>
      <c r="B99" s="59">
        <v>47.24</v>
      </c>
      <c r="C99" s="59">
        <v>76.69</v>
      </c>
      <c r="D99" s="59">
        <v>81.94</v>
      </c>
      <c r="E99" s="59">
        <v>4.22</v>
      </c>
      <c r="F99" s="59">
        <v>11.11</v>
      </c>
      <c r="G99" s="59">
        <v>146.07</v>
      </c>
      <c r="H99" s="59">
        <v>48.29</v>
      </c>
      <c r="I99" s="59">
        <v>0.83</v>
      </c>
      <c r="J99" s="59">
        <v>0.46</v>
      </c>
      <c r="K99" s="59">
        <v>185.72</v>
      </c>
      <c r="L99" s="59">
        <v>24.37</v>
      </c>
      <c r="M99" s="59">
        <v>37.96</v>
      </c>
      <c r="N99" s="59">
        <v>4.7</v>
      </c>
      <c r="O99" s="59">
        <v>0</v>
      </c>
      <c r="P99" s="59">
        <v>1.88</v>
      </c>
      <c r="Q99" s="59">
        <v>33.659999999999997</v>
      </c>
      <c r="R99" s="197"/>
      <c r="S99" s="197"/>
      <c r="T99" s="197"/>
      <c r="U99" s="197"/>
    </row>
    <row r="100" spans="1:33" s="12" customFormat="1" x14ac:dyDescent="0.25">
      <c r="A100" s="200" t="s">
        <v>1683</v>
      </c>
      <c r="B100" s="59">
        <v>44.56</v>
      </c>
      <c r="C100" s="59">
        <v>76.34</v>
      </c>
      <c r="D100" s="59">
        <v>79.61</v>
      </c>
      <c r="E100" s="59">
        <v>5.13</v>
      </c>
      <c r="F100" s="59">
        <v>11.81</v>
      </c>
      <c r="G100" s="59">
        <v>146.07</v>
      </c>
      <c r="H100" s="59">
        <v>48.29</v>
      </c>
      <c r="I100" s="59">
        <v>0.83</v>
      </c>
      <c r="J100" s="59">
        <v>0.09</v>
      </c>
      <c r="K100" s="59">
        <v>347.61</v>
      </c>
      <c r="L100" s="59">
        <v>23.96</v>
      </c>
      <c r="M100" s="59">
        <v>39.11</v>
      </c>
      <c r="N100" s="59">
        <v>5.4</v>
      </c>
      <c r="O100" s="59">
        <v>0</v>
      </c>
      <c r="P100" s="59">
        <v>1.76</v>
      </c>
      <c r="Q100" s="59">
        <v>33.78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1684</v>
      </c>
      <c r="B101" s="59">
        <v>42.98</v>
      </c>
      <c r="C101" s="59">
        <v>78.739999999999995</v>
      </c>
      <c r="D101" s="59">
        <v>79.66</v>
      </c>
      <c r="E101" s="59">
        <v>4.59</v>
      </c>
      <c r="F101" s="59">
        <v>9.6999999999999993</v>
      </c>
      <c r="G101" s="59">
        <v>146.07</v>
      </c>
      <c r="H101" s="59">
        <v>48.29</v>
      </c>
      <c r="I101" s="59">
        <v>0.83</v>
      </c>
      <c r="J101" s="59">
        <v>0.06</v>
      </c>
      <c r="K101" s="59">
        <v>37.24</v>
      </c>
      <c r="L101" s="59">
        <v>23.01</v>
      </c>
      <c r="M101" s="59">
        <v>43.19</v>
      </c>
      <c r="N101" s="59">
        <v>5.3</v>
      </c>
      <c r="O101" s="59">
        <v>0</v>
      </c>
      <c r="P101" s="59">
        <v>1.79</v>
      </c>
      <c r="Q101" s="59">
        <v>33.25</v>
      </c>
      <c r="R101" s="197"/>
      <c r="S101" s="197"/>
      <c r="T101" s="197"/>
      <c r="U101" s="197"/>
    </row>
    <row r="102" spans="1:33" s="12" customFormat="1" x14ac:dyDescent="0.25">
      <c r="A102" s="200" t="s">
        <v>1685</v>
      </c>
      <c r="B102" s="59">
        <v>52.21</v>
      </c>
      <c r="C102" s="59">
        <v>81.069999999999993</v>
      </c>
      <c r="D102" s="59">
        <v>88.35</v>
      </c>
      <c r="E102" s="59">
        <v>4.5199999999999996</v>
      </c>
      <c r="F102" s="59">
        <v>8.0299999999999994</v>
      </c>
      <c r="G102" s="59">
        <v>70.569999999999993</v>
      </c>
      <c r="H102" s="59">
        <v>42.27</v>
      </c>
      <c r="I102" s="59">
        <v>0.8</v>
      </c>
      <c r="J102" s="59">
        <v>0.03</v>
      </c>
      <c r="K102" s="59">
        <v>152.72</v>
      </c>
      <c r="L102" s="59">
        <v>22.97</v>
      </c>
      <c r="M102" s="59">
        <v>42.29</v>
      </c>
      <c r="N102" s="59">
        <v>4.8</v>
      </c>
      <c r="O102" s="59">
        <v>0</v>
      </c>
      <c r="P102" s="59">
        <v>1.86</v>
      </c>
      <c r="Q102" s="59">
        <v>33.380000000000003</v>
      </c>
      <c r="R102" s="197"/>
      <c r="S102" s="197"/>
      <c r="T102" s="197"/>
      <c r="U102" s="197"/>
    </row>
    <row r="103" spans="1:33" s="12" customFormat="1" x14ac:dyDescent="0.25">
      <c r="A103" s="200" t="s">
        <v>1686</v>
      </c>
      <c r="B103" s="59">
        <v>69.14</v>
      </c>
      <c r="C103" s="59">
        <v>80.95</v>
      </c>
      <c r="D103" s="59">
        <v>101.87</v>
      </c>
      <c r="E103" s="59">
        <v>3.85</v>
      </c>
      <c r="F103" s="59">
        <v>2.4900000000000002</v>
      </c>
      <c r="G103" s="59">
        <v>58.95</v>
      </c>
      <c r="H103" s="59">
        <v>41.35</v>
      </c>
      <c r="I103" s="59">
        <v>0.8</v>
      </c>
      <c r="J103" s="59">
        <v>0.4</v>
      </c>
      <c r="K103" s="59">
        <v>216.44</v>
      </c>
      <c r="L103" s="59">
        <v>23.48</v>
      </c>
      <c r="M103" s="59">
        <v>41.83</v>
      </c>
      <c r="N103" s="59">
        <v>3.5</v>
      </c>
      <c r="O103" s="59">
        <v>0</v>
      </c>
      <c r="P103" s="59">
        <v>2</v>
      </c>
      <c r="Q103" s="59">
        <v>30.75</v>
      </c>
      <c r="R103" s="197"/>
      <c r="S103" s="197"/>
      <c r="T103" s="197"/>
      <c r="U103" s="197"/>
    </row>
    <row r="104" spans="1:33" s="12" customFormat="1" x14ac:dyDescent="0.25">
      <c r="A104" s="200" t="s">
        <v>1687</v>
      </c>
      <c r="B104" s="59">
        <v>60.54</v>
      </c>
      <c r="C104" s="59">
        <v>78.97</v>
      </c>
      <c r="D104" s="59">
        <v>93.87</v>
      </c>
      <c r="E104" s="59">
        <v>2.04</v>
      </c>
      <c r="F104" s="59">
        <v>2.09</v>
      </c>
      <c r="G104" s="59">
        <v>58.95</v>
      </c>
      <c r="H104" s="59">
        <v>41.35</v>
      </c>
      <c r="I104" s="59">
        <v>0.75</v>
      </c>
      <c r="J104" s="59">
        <v>0.28000000000000003</v>
      </c>
      <c r="K104" s="59">
        <v>254.83</v>
      </c>
      <c r="L104" s="59">
        <v>23.69</v>
      </c>
      <c r="M104" s="59">
        <v>39.020000000000003</v>
      </c>
      <c r="N104" s="59">
        <v>4.4000000000000004</v>
      </c>
      <c r="O104" s="59">
        <v>0</v>
      </c>
      <c r="P104" s="59">
        <v>1.96</v>
      </c>
      <c r="Q104" s="59">
        <v>34.04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0.39</v>
      </c>
      <c r="C106" s="66">
        <f>MIN(C9:C104)</f>
        <v>40.82</v>
      </c>
      <c r="D106" s="66">
        <f t="shared" ref="D106:Q106" si="0">MIN(D9:D104)</f>
        <v>25.93</v>
      </c>
      <c r="E106" s="66">
        <f t="shared" si="0"/>
        <v>2.04</v>
      </c>
      <c r="F106" s="66">
        <f t="shared" si="0"/>
        <v>1.17</v>
      </c>
      <c r="G106" s="66">
        <f t="shared" si="0"/>
        <v>38.380000000000003</v>
      </c>
      <c r="H106" s="66">
        <f t="shared" si="0"/>
        <v>17.100000000000001</v>
      </c>
      <c r="I106" s="66">
        <f t="shared" si="0"/>
        <v>0.4</v>
      </c>
      <c r="J106" s="66">
        <f t="shared" si="0"/>
        <v>0.03</v>
      </c>
      <c r="K106" s="66">
        <f t="shared" si="0"/>
        <v>0</v>
      </c>
      <c r="L106" s="66">
        <f t="shared" si="0"/>
        <v>22.97</v>
      </c>
      <c r="M106" s="66">
        <f t="shared" si="0"/>
        <v>12.41</v>
      </c>
      <c r="N106" s="66">
        <f t="shared" si="0"/>
        <v>3.5</v>
      </c>
      <c r="O106" s="66">
        <f t="shared" si="0"/>
        <v>0</v>
      </c>
      <c r="P106" s="66">
        <f t="shared" si="0"/>
        <v>0.55000000000000004</v>
      </c>
      <c r="Q106" s="66">
        <f t="shared" si="0"/>
        <v>12.91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588</v>
      </c>
      <c r="C107" s="65">
        <f t="shared" ref="C107:Q107" si="1">MAX(C9:C104)</f>
        <v>167.5</v>
      </c>
      <c r="D107" s="65">
        <f t="shared" si="1"/>
        <v>712.09</v>
      </c>
      <c r="E107" s="65">
        <f t="shared" si="1"/>
        <v>22.07</v>
      </c>
      <c r="F107" s="65">
        <f t="shared" si="1"/>
        <v>85.09</v>
      </c>
      <c r="G107" s="65">
        <f t="shared" si="1"/>
        <v>168.77</v>
      </c>
      <c r="H107" s="65">
        <f t="shared" si="1"/>
        <v>48.29</v>
      </c>
      <c r="I107" s="65">
        <f t="shared" si="1"/>
        <v>1.1499999999999999</v>
      </c>
      <c r="J107" s="65">
        <f t="shared" si="1"/>
        <v>1.08</v>
      </c>
      <c r="K107" s="65">
        <f t="shared" si="1"/>
        <v>359.87</v>
      </c>
      <c r="L107" s="65">
        <f t="shared" si="1"/>
        <v>36.82</v>
      </c>
      <c r="M107" s="65">
        <f t="shared" si="1"/>
        <v>45.43</v>
      </c>
      <c r="N107" s="65">
        <f t="shared" si="1"/>
        <v>805.6</v>
      </c>
      <c r="O107" s="65">
        <f t="shared" si="1"/>
        <v>0</v>
      </c>
      <c r="P107" s="65">
        <f t="shared" si="1"/>
        <v>3.1</v>
      </c>
      <c r="Q107" s="65">
        <f t="shared" si="1"/>
        <v>52.1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22.334062499999998</v>
      </c>
      <c r="C108" s="66">
        <f t="shared" ref="C108:Q108" si="2">AVERAGE(C9:C104)</f>
        <v>110.41697916666669</v>
      </c>
      <c r="D108" s="66">
        <f t="shared" si="2"/>
        <v>84.203749999999999</v>
      </c>
      <c r="E108" s="66">
        <f t="shared" si="2"/>
        <v>6.9358333333333348</v>
      </c>
      <c r="F108" s="66">
        <f t="shared" si="2"/>
        <v>14.844375000000005</v>
      </c>
      <c r="G108" s="66">
        <f t="shared" si="2"/>
        <v>69.424270833333338</v>
      </c>
      <c r="H108" s="66">
        <f t="shared" si="2"/>
        <v>27.371354166666666</v>
      </c>
      <c r="I108" s="66">
        <f t="shared" si="2"/>
        <v>0.63031914893617003</v>
      </c>
      <c r="J108" s="66">
        <f t="shared" si="2"/>
        <v>0.32937499999999992</v>
      </c>
      <c r="K108" s="66">
        <f t="shared" si="2"/>
        <v>154.6928125</v>
      </c>
      <c r="L108" s="66">
        <f t="shared" si="2"/>
        <v>28.348541666666662</v>
      </c>
      <c r="M108" s="66">
        <f t="shared" si="2"/>
        <v>29.98</v>
      </c>
      <c r="N108" s="66">
        <f t="shared" si="2"/>
        <v>202.3260416666667</v>
      </c>
      <c r="O108" s="66">
        <f t="shared" si="2"/>
        <v>0</v>
      </c>
      <c r="P108" s="66">
        <f t="shared" si="2"/>
        <v>1.1865625000000002</v>
      </c>
      <c r="Q108" s="66">
        <f t="shared" si="2"/>
        <v>34.580208333333324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61.965357394326233</v>
      </c>
      <c r="C109" s="66">
        <f t="shared" ref="C109:Q109" si="3">STDEV(C9:C104)</f>
        <v>40.92999158048422</v>
      </c>
      <c r="D109" s="66">
        <f t="shared" si="3"/>
        <v>69.852150451017479</v>
      </c>
      <c r="E109" s="66">
        <f t="shared" si="3"/>
        <v>3.8072691322802537</v>
      </c>
      <c r="F109" s="66">
        <f t="shared" si="3"/>
        <v>16.884415786380298</v>
      </c>
      <c r="G109" s="66">
        <f t="shared" si="3"/>
        <v>36.925458932252369</v>
      </c>
      <c r="H109" s="66">
        <f t="shared" si="3"/>
        <v>8.2706422610392192</v>
      </c>
      <c r="I109" s="66">
        <f t="shared" si="3"/>
        <v>0.1454799408089047</v>
      </c>
      <c r="J109" s="66">
        <f t="shared" si="3"/>
        <v>0.22988698596438545</v>
      </c>
      <c r="K109" s="66">
        <f t="shared" si="3"/>
        <v>120.08710261352735</v>
      </c>
      <c r="L109" s="66">
        <f t="shared" si="3"/>
        <v>4.0551978286915729</v>
      </c>
      <c r="M109" s="66">
        <f t="shared" si="3"/>
        <v>10.270381020964578</v>
      </c>
      <c r="N109" s="66">
        <f t="shared" si="3"/>
        <v>277.32561073100425</v>
      </c>
      <c r="O109" s="66">
        <f t="shared" si="3"/>
        <v>0</v>
      </c>
      <c r="P109" s="66">
        <f t="shared" si="3"/>
        <v>0.50478307613010198</v>
      </c>
      <c r="Q109" s="66">
        <f t="shared" si="3"/>
        <v>12.283048479760264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COUNT(I9:I104)+2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16-03-2023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1689</v>
      </c>
      <c r="B9" s="59">
        <v>55.7</v>
      </c>
      <c r="C9" s="59">
        <v>77.03</v>
      </c>
      <c r="D9" s="59">
        <v>88.92</v>
      </c>
      <c r="E9" s="59">
        <v>3.47</v>
      </c>
      <c r="F9" s="59">
        <v>2.35</v>
      </c>
      <c r="G9" s="59">
        <v>58.95</v>
      </c>
      <c r="H9" s="59">
        <v>41.35</v>
      </c>
      <c r="I9" s="209" t="s">
        <v>36</v>
      </c>
      <c r="J9" s="59">
        <v>0.11</v>
      </c>
      <c r="K9" s="59">
        <v>326.32</v>
      </c>
      <c r="L9" s="59">
        <v>23.16</v>
      </c>
      <c r="M9" s="59">
        <v>40.21</v>
      </c>
      <c r="N9" s="59">
        <v>4.8</v>
      </c>
      <c r="O9" s="59">
        <v>0</v>
      </c>
      <c r="P9" s="59">
        <v>1.86</v>
      </c>
      <c r="Q9" s="59">
        <v>34.51</v>
      </c>
      <c r="R9" s="197"/>
      <c r="S9" s="197"/>
      <c r="T9" s="197"/>
      <c r="U9" s="197"/>
    </row>
    <row r="10" spans="1:21" s="12" customFormat="1" x14ac:dyDescent="0.25">
      <c r="A10" s="200" t="s">
        <v>1690</v>
      </c>
      <c r="B10" s="59">
        <v>50.18</v>
      </c>
      <c r="C10" s="59">
        <v>77.86</v>
      </c>
      <c r="D10" s="59">
        <v>84.95</v>
      </c>
      <c r="E10" s="59">
        <v>3.52</v>
      </c>
      <c r="F10" s="59">
        <v>1.48</v>
      </c>
      <c r="G10" s="59">
        <v>51.62</v>
      </c>
      <c r="H10" s="59">
        <v>33.4</v>
      </c>
      <c r="I10" s="209" t="s">
        <v>36</v>
      </c>
      <c r="J10" s="59">
        <v>0.11</v>
      </c>
      <c r="K10" s="59">
        <v>51.23</v>
      </c>
      <c r="L10" s="59">
        <v>22.91</v>
      </c>
      <c r="M10" s="59">
        <v>40.17</v>
      </c>
      <c r="N10" s="59">
        <v>4.5999999999999996</v>
      </c>
      <c r="O10" s="59">
        <v>0</v>
      </c>
      <c r="P10" s="59">
        <v>1.76</v>
      </c>
      <c r="Q10" s="59">
        <v>33.61</v>
      </c>
      <c r="R10" s="197"/>
      <c r="S10" s="197"/>
      <c r="T10" s="197"/>
      <c r="U10" s="197"/>
    </row>
    <row r="11" spans="1:21" s="12" customFormat="1" x14ac:dyDescent="0.25">
      <c r="A11" s="200" t="s">
        <v>1691</v>
      </c>
      <c r="B11" s="59">
        <v>43.69</v>
      </c>
      <c r="C11" s="59">
        <v>78.150000000000006</v>
      </c>
      <c r="D11" s="59">
        <v>79.91</v>
      </c>
      <c r="E11" s="59">
        <v>3.5</v>
      </c>
      <c r="F11" s="59">
        <v>1.43</v>
      </c>
      <c r="G11" s="59">
        <v>50.49</v>
      </c>
      <c r="H11" s="59">
        <v>32.18</v>
      </c>
      <c r="I11" s="209" t="s">
        <v>36</v>
      </c>
      <c r="J11" s="59">
        <v>0.23</v>
      </c>
      <c r="K11" s="59">
        <v>19.64</v>
      </c>
      <c r="L11" s="59">
        <v>22.74</v>
      </c>
      <c r="M11" s="59">
        <v>39.659999999999997</v>
      </c>
      <c r="N11" s="59">
        <v>4.5999999999999996</v>
      </c>
      <c r="O11" s="59">
        <v>0</v>
      </c>
      <c r="P11" s="59">
        <v>1.68</v>
      </c>
      <c r="Q11" s="59">
        <v>32.76</v>
      </c>
      <c r="R11" s="197"/>
      <c r="S11" s="197"/>
      <c r="T11" s="197"/>
      <c r="U11" s="197"/>
    </row>
    <row r="12" spans="1:21" s="12" customFormat="1" x14ac:dyDescent="0.25">
      <c r="A12" s="200" t="s">
        <v>1692</v>
      </c>
      <c r="B12" s="59">
        <v>37.18</v>
      </c>
      <c r="C12" s="59">
        <v>78</v>
      </c>
      <c r="D12" s="59">
        <v>74.61</v>
      </c>
      <c r="E12" s="59">
        <v>3.2</v>
      </c>
      <c r="F12" s="59">
        <v>1.49</v>
      </c>
      <c r="G12" s="59">
        <v>50.49</v>
      </c>
      <c r="H12" s="59">
        <v>32.18</v>
      </c>
      <c r="I12" s="209" t="s">
        <v>36</v>
      </c>
      <c r="J12" s="59">
        <v>0.25</v>
      </c>
      <c r="K12" s="59">
        <v>21.89</v>
      </c>
      <c r="L12" s="59">
        <v>22.53</v>
      </c>
      <c r="M12" s="59">
        <v>39.39</v>
      </c>
      <c r="N12" s="59">
        <v>4.4000000000000004</v>
      </c>
      <c r="O12" s="59">
        <v>0</v>
      </c>
      <c r="P12" s="59">
        <v>1.59</v>
      </c>
      <c r="Q12" s="59">
        <v>31.91</v>
      </c>
      <c r="R12" s="197"/>
      <c r="S12" s="197"/>
      <c r="T12" s="197"/>
      <c r="U12" s="197"/>
    </row>
    <row r="13" spans="1:21" s="12" customFormat="1" x14ac:dyDescent="0.25">
      <c r="A13" s="200" t="s">
        <v>1693</v>
      </c>
      <c r="B13" s="59">
        <v>30.71</v>
      </c>
      <c r="C13" s="59">
        <v>77.349999999999994</v>
      </c>
      <c r="D13" s="59">
        <v>69.06</v>
      </c>
      <c r="E13" s="59">
        <v>3.49</v>
      </c>
      <c r="F13" s="59">
        <v>1.65</v>
      </c>
      <c r="G13" s="59">
        <v>50.49</v>
      </c>
      <c r="H13" s="59">
        <v>32.18</v>
      </c>
      <c r="I13" s="209" t="s">
        <v>36</v>
      </c>
      <c r="J13" s="59">
        <v>0.31</v>
      </c>
      <c r="K13" s="59">
        <v>20.89</v>
      </c>
      <c r="L13" s="59">
        <v>22.75</v>
      </c>
      <c r="M13" s="59">
        <v>38.94</v>
      </c>
      <c r="N13" s="59">
        <v>4</v>
      </c>
      <c r="O13" s="59">
        <v>0</v>
      </c>
      <c r="P13" s="59">
        <v>1.43</v>
      </c>
      <c r="Q13" s="59">
        <v>30.87</v>
      </c>
      <c r="R13" s="197"/>
      <c r="S13" s="197"/>
      <c r="T13" s="197"/>
      <c r="U13" s="197"/>
    </row>
    <row r="14" spans="1:21" s="12" customFormat="1" x14ac:dyDescent="0.25">
      <c r="A14" s="200" t="s">
        <v>1694</v>
      </c>
      <c r="B14" s="59">
        <v>25.52</v>
      </c>
      <c r="C14" s="59">
        <v>75.34</v>
      </c>
      <c r="D14" s="59">
        <v>63.78</v>
      </c>
      <c r="E14" s="59">
        <v>3.14</v>
      </c>
      <c r="F14" s="59">
        <v>1.93</v>
      </c>
      <c r="G14" s="59">
        <v>54.66</v>
      </c>
      <c r="H14" s="59">
        <v>32.020000000000003</v>
      </c>
      <c r="I14" s="209" t="s">
        <v>36</v>
      </c>
      <c r="J14" s="59">
        <v>0.25</v>
      </c>
      <c r="K14" s="59">
        <v>18.510000000000002</v>
      </c>
      <c r="L14" s="59">
        <v>22.5</v>
      </c>
      <c r="M14" s="59">
        <v>40.479999999999997</v>
      </c>
      <c r="N14" s="59">
        <v>4.5999999999999996</v>
      </c>
      <c r="O14" s="59">
        <v>0</v>
      </c>
      <c r="P14" s="59">
        <v>1.44</v>
      </c>
      <c r="Q14" s="59">
        <v>29.59</v>
      </c>
      <c r="R14" s="197"/>
      <c r="S14" s="197"/>
      <c r="T14" s="197"/>
      <c r="U14" s="197"/>
    </row>
    <row r="15" spans="1:21" s="12" customFormat="1" x14ac:dyDescent="0.25">
      <c r="A15" s="200" t="s">
        <v>1695</v>
      </c>
      <c r="B15" s="59">
        <v>22.97</v>
      </c>
      <c r="C15" s="59">
        <v>75.33</v>
      </c>
      <c r="D15" s="59">
        <v>61.74</v>
      </c>
      <c r="E15" s="59">
        <v>3.64</v>
      </c>
      <c r="F15" s="59">
        <v>2.68</v>
      </c>
      <c r="G15" s="59">
        <v>55.37</v>
      </c>
      <c r="H15" s="59">
        <v>31.99</v>
      </c>
      <c r="I15" s="209" t="s">
        <v>36</v>
      </c>
      <c r="J15" s="59">
        <v>0.22</v>
      </c>
      <c r="K15" s="59">
        <v>27.81</v>
      </c>
      <c r="L15" s="59">
        <v>22.38</v>
      </c>
      <c r="M15" s="59">
        <v>41.13</v>
      </c>
      <c r="N15" s="59">
        <v>4.3</v>
      </c>
      <c r="O15" s="59">
        <v>0</v>
      </c>
      <c r="P15" s="59">
        <v>1.43</v>
      </c>
      <c r="Q15" s="59">
        <v>27.82</v>
      </c>
      <c r="R15" s="197"/>
      <c r="S15" s="197"/>
      <c r="T15" s="197"/>
      <c r="U15" s="197"/>
    </row>
    <row r="16" spans="1:21" s="12" customFormat="1" x14ac:dyDescent="0.25">
      <c r="A16" s="200" t="s">
        <v>1696</v>
      </c>
      <c r="B16" s="59">
        <v>20.88</v>
      </c>
      <c r="C16" s="59">
        <v>74.44</v>
      </c>
      <c r="D16" s="59">
        <v>59.57</v>
      </c>
      <c r="E16" s="59">
        <v>3.26</v>
      </c>
      <c r="F16" s="59">
        <v>2.4500000000000002</v>
      </c>
      <c r="G16" s="59">
        <v>55.37</v>
      </c>
      <c r="H16" s="59">
        <v>31.99</v>
      </c>
      <c r="I16" s="209" t="s">
        <v>36</v>
      </c>
      <c r="J16" s="59">
        <v>0.25</v>
      </c>
      <c r="K16" s="59">
        <v>37.22</v>
      </c>
      <c r="L16" s="59">
        <v>22.53</v>
      </c>
      <c r="M16" s="59">
        <v>40.950000000000003</v>
      </c>
      <c r="N16" s="59">
        <v>4.2</v>
      </c>
      <c r="O16" s="59">
        <v>0</v>
      </c>
      <c r="P16" s="59">
        <v>1.41</v>
      </c>
      <c r="Q16" s="59">
        <v>26.72</v>
      </c>
      <c r="R16" s="197"/>
      <c r="S16" s="197"/>
      <c r="T16" s="197"/>
      <c r="U16" s="197"/>
    </row>
    <row r="17" spans="1:21" s="12" customFormat="1" x14ac:dyDescent="0.25">
      <c r="A17" s="200" t="s">
        <v>1697</v>
      </c>
      <c r="B17" s="59">
        <v>18.34</v>
      </c>
      <c r="C17" s="59">
        <v>73.75</v>
      </c>
      <c r="D17" s="59">
        <v>57.15</v>
      </c>
      <c r="E17" s="59">
        <v>3.34</v>
      </c>
      <c r="F17" s="59">
        <v>2.1</v>
      </c>
      <c r="G17" s="59">
        <v>55.37</v>
      </c>
      <c r="H17" s="59">
        <v>31.99</v>
      </c>
      <c r="I17" s="209" t="s">
        <v>36</v>
      </c>
      <c r="J17" s="59">
        <v>0.31</v>
      </c>
      <c r="K17" s="59">
        <v>26.95</v>
      </c>
      <c r="L17" s="59">
        <v>22.4</v>
      </c>
      <c r="M17" s="59">
        <v>41.47</v>
      </c>
      <c r="N17" s="59">
        <v>4.3</v>
      </c>
      <c r="O17" s="59">
        <v>0</v>
      </c>
      <c r="P17" s="59">
        <v>1.38</v>
      </c>
      <c r="Q17" s="59">
        <v>25.97</v>
      </c>
      <c r="R17" s="197"/>
      <c r="S17" s="197"/>
      <c r="T17" s="197"/>
      <c r="U17" s="197"/>
    </row>
    <row r="18" spans="1:21" s="12" customFormat="1" x14ac:dyDescent="0.25">
      <c r="A18" s="200" t="s">
        <v>1698</v>
      </c>
      <c r="B18" s="59">
        <v>15.53</v>
      </c>
      <c r="C18" s="59">
        <v>72.599999999999994</v>
      </c>
      <c r="D18" s="59">
        <v>54.27</v>
      </c>
      <c r="E18" s="59">
        <v>3.36</v>
      </c>
      <c r="F18" s="59">
        <v>2.19</v>
      </c>
      <c r="G18" s="59">
        <v>70.17</v>
      </c>
      <c r="H18" s="59">
        <v>32.49</v>
      </c>
      <c r="I18" s="209" t="s">
        <v>36</v>
      </c>
      <c r="J18" s="59">
        <v>0.4</v>
      </c>
      <c r="K18" s="59">
        <v>7.21</v>
      </c>
      <c r="L18" s="59">
        <v>22.18</v>
      </c>
      <c r="M18" s="59">
        <v>42.05</v>
      </c>
      <c r="N18" s="59">
        <v>4.3</v>
      </c>
      <c r="O18" s="59">
        <v>0</v>
      </c>
      <c r="P18" s="59">
        <v>1.33</v>
      </c>
      <c r="Q18" s="59">
        <v>25.58</v>
      </c>
      <c r="R18" s="197"/>
      <c r="S18" s="197"/>
      <c r="T18" s="197"/>
      <c r="U18" s="197"/>
    </row>
    <row r="19" spans="1:21" s="12" customFormat="1" x14ac:dyDescent="0.25">
      <c r="A19" s="200" t="s">
        <v>1699</v>
      </c>
      <c r="B19" s="59">
        <v>12.94</v>
      </c>
      <c r="C19" s="59">
        <v>70.72</v>
      </c>
      <c r="D19" s="59">
        <v>51.14</v>
      </c>
      <c r="E19" s="59">
        <v>3.98</v>
      </c>
      <c r="F19" s="59">
        <v>2.71</v>
      </c>
      <c r="G19" s="59">
        <v>72.67</v>
      </c>
      <c r="H19" s="59">
        <v>32.57</v>
      </c>
      <c r="I19" s="209" t="s">
        <v>36</v>
      </c>
      <c r="J19" s="59">
        <v>0.7</v>
      </c>
      <c r="K19" s="59">
        <v>351.87</v>
      </c>
      <c r="L19" s="59">
        <v>22.08</v>
      </c>
      <c r="M19" s="59">
        <v>41.92</v>
      </c>
      <c r="N19" s="59">
        <v>3.8</v>
      </c>
      <c r="O19" s="59">
        <v>0</v>
      </c>
      <c r="P19" s="59">
        <v>1.29</v>
      </c>
      <c r="Q19" s="59">
        <v>25.48</v>
      </c>
      <c r="R19" s="197"/>
      <c r="S19" s="197"/>
      <c r="T19" s="197"/>
      <c r="U19" s="197"/>
    </row>
    <row r="20" spans="1:21" s="12" customFormat="1" x14ac:dyDescent="0.25">
      <c r="A20" s="200" t="s">
        <v>1700</v>
      </c>
      <c r="B20" s="59">
        <v>10.68</v>
      </c>
      <c r="C20" s="59">
        <v>70.650000000000006</v>
      </c>
      <c r="D20" s="59">
        <v>49.3</v>
      </c>
      <c r="E20" s="59">
        <v>3</v>
      </c>
      <c r="F20" s="59">
        <v>2.61</v>
      </c>
      <c r="G20" s="59">
        <v>72.67</v>
      </c>
      <c r="H20" s="59">
        <v>32.57</v>
      </c>
      <c r="I20" s="209" t="s">
        <v>36</v>
      </c>
      <c r="J20" s="59">
        <v>0.76</v>
      </c>
      <c r="K20" s="59">
        <v>348.35</v>
      </c>
      <c r="L20" s="59">
        <v>21.96</v>
      </c>
      <c r="M20" s="59">
        <v>42.09</v>
      </c>
      <c r="N20" s="59">
        <v>4.2</v>
      </c>
      <c r="O20" s="59">
        <v>0</v>
      </c>
      <c r="P20" s="59">
        <v>1.24</v>
      </c>
      <c r="Q20" s="59">
        <v>25.07</v>
      </c>
      <c r="R20" s="197"/>
      <c r="S20" s="197"/>
      <c r="T20" s="197"/>
      <c r="U20" s="197"/>
    </row>
    <row r="21" spans="1:21" s="12" customFormat="1" x14ac:dyDescent="0.25">
      <c r="A21" s="200" t="s">
        <v>1701</v>
      </c>
      <c r="B21" s="59">
        <v>8.61</v>
      </c>
      <c r="C21" s="59">
        <v>69.83</v>
      </c>
      <c r="D21" s="59">
        <v>47.19</v>
      </c>
      <c r="E21" s="59">
        <v>3.72</v>
      </c>
      <c r="F21" s="59">
        <v>2.79</v>
      </c>
      <c r="G21" s="59">
        <v>72.67</v>
      </c>
      <c r="H21" s="59">
        <v>32.57</v>
      </c>
      <c r="I21" s="209" t="s">
        <v>36</v>
      </c>
      <c r="J21" s="59">
        <v>0.53</v>
      </c>
      <c r="K21" s="59">
        <v>350.99</v>
      </c>
      <c r="L21" s="59">
        <v>21.86</v>
      </c>
      <c r="M21" s="59">
        <v>42.46</v>
      </c>
      <c r="N21" s="59">
        <v>4.5999999999999996</v>
      </c>
      <c r="O21" s="59">
        <v>0</v>
      </c>
      <c r="P21" s="59">
        <v>1.17</v>
      </c>
      <c r="Q21" s="59">
        <v>25.47</v>
      </c>
      <c r="R21" s="197"/>
      <c r="S21" s="197"/>
      <c r="T21" s="197"/>
      <c r="U21" s="197"/>
    </row>
    <row r="22" spans="1:21" s="12" customFormat="1" x14ac:dyDescent="0.25">
      <c r="A22" s="200" t="s">
        <v>1702</v>
      </c>
      <c r="B22" s="59">
        <v>6.57</v>
      </c>
      <c r="C22" s="59">
        <v>68.78</v>
      </c>
      <c r="D22" s="59">
        <v>44.96</v>
      </c>
      <c r="E22" s="59">
        <v>3.29</v>
      </c>
      <c r="F22" s="59">
        <v>2.72</v>
      </c>
      <c r="G22" s="210" t="s">
        <v>43</v>
      </c>
      <c r="H22" s="210" t="s">
        <v>43</v>
      </c>
      <c r="I22" s="209" t="s">
        <v>36</v>
      </c>
      <c r="J22" s="59">
        <v>1.1100000000000001</v>
      </c>
      <c r="K22" s="59">
        <v>353.02</v>
      </c>
      <c r="L22" s="59">
        <v>21.73</v>
      </c>
      <c r="M22" s="59">
        <v>43.36</v>
      </c>
      <c r="N22" s="59">
        <v>4.3</v>
      </c>
      <c r="O22" s="59">
        <v>0</v>
      </c>
      <c r="P22" s="59">
        <v>1.1100000000000001</v>
      </c>
      <c r="Q22" s="59">
        <v>26.24</v>
      </c>
      <c r="R22" s="197"/>
      <c r="S22" s="197"/>
      <c r="T22" s="197"/>
      <c r="U22" s="197"/>
    </row>
    <row r="23" spans="1:21" s="12" customFormat="1" x14ac:dyDescent="0.25">
      <c r="A23" s="200" t="s">
        <v>1703</v>
      </c>
      <c r="B23" s="59">
        <v>4.99</v>
      </c>
      <c r="C23" s="59">
        <v>66.81</v>
      </c>
      <c r="D23" s="59">
        <v>42.61</v>
      </c>
      <c r="E23" s="59">
        <v>3.11</v>
      </c>
      <c r="F23" s="59">
        <v>3.52</v>
      </c>
      <c r="G23" s="210" t="s">
        <v>43</v>
      </c>
      <c r="H23" s="210" t="s">
        <v>43</v>
      </c>
      <c r="I23" s="209" t="s">
        <v>36</v>
      </c>
      <c r="J23" s="59">
        <v>0.97</v>
      </c>
      <c r="K23" s="59">
        <v>352.64</v>
      </c>
      <c r="L23" s="59">
        <v>21.61</v>
      </c>
      <c r="M23" s="59">
        <v>43.51</v>
      </c>
      <c r="N23" s="59">
        <v>4.5999999999999996</v>
      </c>
      <c r="O23" s="59">
        <v>0</v>
      </c>
      <c r="P23" s="59">
        <v>1.05</v>
      </c>
      <c r="Q23" s="59">
        <v>26.6</v>
      </c>
      <c r="R23" s="197"/>
      <c r="S23" s="197"/>
      <c r="T23" s="197"/>
      <c r="U23" s="197"/>
    </row>
    <row r="24" spans="1:21" s="12" customFormat="1" x14ac:dyDescent="0.25">
      <c r="A24" s="200" t="s">
        <v>1704</v>
      </c>
      <c r="B24" s="59">
        <v>3.93</v>
      </c>
      <c r="C24" s="59">
        <v>64.83</v>
      </c>
      <c r="D24" s="59">
        <v>40.67</v>
      </c>
      <c r="E24" s="59">
        <v>1.46</v>
      </c>
      <c r="F24" s="59">
        <v>3.39</v>
      </c>
      <c r="G24" s="210" t="s">
        <v>43</v>
      </c>
      <c r="H24" s="210" t="s">
        <v>43</v>
      </c>
      <c r="I24" s="209" t="s">
        <v>36</v>
      </c>
      <c r="J24" s="59">
        <v>0.81</v>
      </c>
      <c r="K24" s="59">
        <v>6.53</v>
      </c>
      <c r="L24" s="59">
        <v>21.37</v>
      </c>
      <c r="M24" s="59">
        <v>44.33</v>
      </c>
      <c r="N24" s="59">
        <v>4.7</v>
      </c>
      <c r="O24" s="59">
        <v>0</v>
      </c>
      <c r="P24" s="59">
        <v>1</v>
      </c>
      <c r="Q24" s="59">
        <v>26.44</v>
      </c>
      <c r="R24" s="197"/>
      <c r="S24" s="197"/>
      <c r="T24" s="197"/>
      <c r="U24" s="197"/>
    </row>
    <row r="25" spans="1:21" s="12" customFormat="1" x14ac:dyDescent="0.25">
      <c r="A25" s="200" t="s">
        <v>1705</v>
      </c>
      <c r="B25" s="59">
        <v>3.56</v>
      </c>
      <c r="C25" s="59">
        <v>63.38</v>
      </c>
      <c r="D25" s="59">
        <v>39.57</v>
      </c>
      <c r="E25" s="59">
        <v>3.06</v>
      </c>
      <c r="F25" s="59">
        <v>3.33</v>
      </c>
      <c r="G25" s="210" t="s">
        <v>43</v>
      </c>
      <c r="H25" s="210" t="s">
        <v>43</v>
      </c>
      <c r="I25" s="209" t="s">
        <v>36</v>
      </c>
      <c r="J25" s="59">
        <v>0.63</v>
      </c>
      <c r="K25" s="59">
        <v>355.52</v>
      </c>
      <c r="L25" s="59">
        <v>21.26</v>
      </c>
      <c r="M25" s="59">
        <v>44.5</v>
      </c>
      <c r="N25" s="59">
        <v>4.5999999999999996</v>
      </c>
      <c r="O25" s="59">
        <v>0</v>
      </c>
      <c r="P25" s="59">
        <v>0.96</v>
      </c>
      <c r="Q25" s="59">
        <v>26.33</v>
      </c>
      <c r="R25" s="197"/>
      <c r="S25" s="197"/>
      <c r="T25" s="197"/>
      <c r="U25" s="197"/>
    </row>
    <row r="26" spans="1:21" s="12" customFormat="1" x14ac:dyDescent="0.25">
      <c r="A26" s="200" t="s">
        <v>1706</v>
      </c>
      <c r="B26" s="59">
        <v>3.6</v>
      </c>
      <c r="C26" s="59">
        <v>62.33</v>
      </c>
      <c r="D26" s="59">
        <v>39.020000000000003</v>
      </c>
      <c r="E26" s="59">
        <v>2.93</v>
      </c>
      <c r="F26" s="59">
        <v>3.09</v>
      </c>
      <c r="G26" s="59">
        <v>96.49</v>
      </c>
      <c r="H26" s="59">
        <v>26.13</v>
      </c>
      <c r="I26" s="209" t="s">
        <v>36</v>
      </c>
      <c r="J26" s="59">
        <v>0.62</v>
      </c>
      <c r="K26" s="59">
        <v>4.6399999999999997</v>
      </c>
      <c r="L26" s="59">
        <v>21.23</v>
      </c>
      <c r="M26" s="59">
        <v>44.4</v>
      </c>
      <c r="N26" s="59">
        <v>4.4000000000000004</v>
      </c>
      <c r="O26" s="59">
        <v>0</v>
      </c>
      <c r="P26" s="59">
        <v>0.94</v>
      </c>
      <c r="Q26" s="59">
        <v>26.36</v>
      </c>
      <c r="R26" s="197"/>
      <c r="S26" s="197"/>
      <c r="T26" s="197"/>
      <c r="U26" s="197"/>
    </row>
    <row r="27" spans="1:21" s="12" customFormat="1" x14ac:dyDescent="0.25">
      <c r="A27" s="200" t="s">
        <v>1707</v>
      </c>
      <c r="B27" s="59">
        <v>3.74</v>
      </c>
      <c r="C27" s="59">
        <v>61.42</v>
      </c>
      <c r="D27" s="59">
        <v>38.64</v>
      </c>
      <c r="E27" s="59">
        <v>3.12</v>
      </c>
      <c r="F27" s="59">
        <v>3.09</v>
      </c>
      <c r="G27" s="59">
        <v>111.8</v>
      </c>
      <c r="H27" s="59">
        <v>25.55</v>
      </c>
      <c r="I27" s="209" t="s">
        <v>36</v>
      </c>
      <c r="J27" s="59">
        <v>0.83</v>
      </c>
      <c r="K27" s="59">
        <v>4.4000000000000004</v>
      </c>
      <c r="L27" s="59">
        <v>21.36</v>
      </c>
      <c r="M27" s="59">
        <v>44.08</v>
      </c>
      <c r="N27" s="59">
        <v>4.5</v>
      </c>
      <c r="O27" s="59">
        <v>0</v>
      </c>
      <c r="P27" s="59">
        <v>0.89</v>
      </c>
      <c r="Q27" s="59">
        <v>26.41</v>
      </c>
      <c r="R27" s="197"/>
      <c r="S27" s="197"/>
      <c r="T27" s="197"/>
      <c r="U27" s="197"/>
    </row>
    <row r="28" spans="1:21" s="12" customFormat="1" x14ac:dyDescent="0.25">
      <c r="A28" s="200" t="s">
        <v>1708</v>
      </c>
      <c r="B28" s="59">
        <v>5.32</v>
      </c>
      <c r="C28" s="59">
        <v>60.03</v>
      </c>
      <c r="D28" s="59">
        <v>39.130000000000003</v>
      </c>
      <c r="E28" s="59">
        <v>3.74</v>
      </c>
      <c r="F28" s="59">
        <v>5.34</v>
      </c>
      <c r="G28" s="59">
        <v>111.8</v>
      </c>
      <c r="H28" s="59">
        <v>25.55</v>
      </c>
      <c r="I28" s="209" t="s">
        <v>36</v>
      </c>
      <c r="J28" s="59">
        <v>0.67</v>
      </c>
      <c r="K28" s="59">
        <v>10.29</v>
      </c>
      <c r="L28" s="59">
        <v>21.34</v>
      </c>
      <c r="M28" s="59">
        <v>43.82</v>
      </c>
      <c r="N28" s="59">
        <v>4.8</v>
      </c>
      <c r="O28" s="59">
        <v>0</v>
      </c>
      <c r="P28" s="59">
        <v>0.86</v>
      </c>
      <c r="Q28" s="59">
        <v>25.58</v>
      </c>
      <c r="R28" s="197"/>
      <c r="S28" s="197"/>
      <c r="T28" s="197"/>
      <c r="U28" s="197"/>
    </row>
    <row r="29" spans="1:21" s="12" customFormat="1" x14ac:dyDescent="0.25">
      <c r="A29" s="200" t="s">
        <v>1709</v>
      </c>
      <c r="B29" s="59">
        <v>5.63</v>
      </c>
      <c r="C29" s="59">
        <v>59.27</v>
      </c>
      <c r="D29" s="59">
        <v>38.97</v>
      </c>
      <c r="E29" s="59">
        <v>4.66</v>
      </c>
      <c r="F29" s="59">
        <v>6.91</v>
      </c>
      <c r="G29" s="59">
        <v>111.8</v>
      </c>
      <c r="H29" s="59">
        <v>25.55</v>
      </c>
      <c r="I29" s="209" t="s">
        <v>36</v>
      </c>
      <c r="J29" s="59">
        <v>0.4</v>
      </c>
      <c r="K29" s="59">
        <v>10.84</v>
      </c>
      <c r="L29" s="59">
        <v>21.21</v>
      </c>
      <c r="M29" s="59">
        <v>44.31</v>
      </c>
      <c r="N29" s="59">
        <v>4.9000000000000004</v>
      </c>
      <c r="O29" s="59">
        <v>0</v>
      </c>
      <c r="P29" s="59">
        <v>0.87</v>
      </c>
      <c r="Q29" s="59">
        <v>24.61</v>
      </c>
      <c r="R29" s="197"/>
      <c r="S29" s="197"/>
      <c r="T29" s="197"/>
      <c r="U29" s="197"/>
    </row>
    <row r="30" spans="1:21" s="12" customFormat="1" x14ac:dyDescent="0.25">
      <c r="A30" s="200" t="s">
        <v>1710</v>
      </c>
      <c r="B30" s="59">
        <v>8.65</v>
      </c>
      <c r="C30" s="59">
        <v>61.88</v>
      </c>
      <c r="D30" s="59">
        <v>42.83</v>
      </c>
      <c r="E30" s="59">
        <v>8.9</v>
      </c>
      <c r="F30" s="59">
        <v>6.64</v>
      </c>
      <c r="G30" s="59">
        <v>47.09</v>
      </c>
      <c r="H30" s="59">
        <v>26.17</v>
      </c>
      <c r="I30" s="209" t="s">
        <v>36</v>
      </c>
      <c r="J30" s="59">
        <v>0.16</v>
      </c>
      <c r="K30" s="59">
        <v>352.22</v>
      </c>
      <c r="L30" s="59">
        <v>21.19</v>
      </c>
      <c r="M30" s="59">
        <v>44.57</v>
      </c>
      <c r="N30" s="59">
        <v>5.0999999999999996</v>
      </c>
      <c r="O30" s="59">
        <v>0</v>
      </c>
      <c r="P30" s="59">
        <v>0.89</v>
      </c>
      <c r="Q30" s="59">
        <v>23.95</v>
      </c>
      <c r="R30" s="197"/>
      <c r="S30" s="197"/>
      <c r="T30" s="197"/>
      <c r="U30" s="197"/>
    </row>
    <row r="31" spans="1:21" s="12" customFormat="1" x14ac:dyDescent="0.25">
      <c r="A31" s="200" t="s">
        <v>1711</v>
      </c>
      <c r="B31" s="59">
        <v>8.2799999999999994</v>
      </c>
      <c r="C31" s="59">
        <v>62.56</v>
      </c>
      <c r="D31" s="59">
        <v>42.91</v>
      </c>
      <c r="E31" s="59">
        <v>10.63</v>
      </c>
      <c r="F31" s="59">
        <v>5.55</v>
      </c>
      <c r="G31" s="59">
        <v>36.17</v>
      </c>
      <c r="H31" s="59">
        <v>26.28</v>
      </c>
      <c r="I31" s="209" t="s">
        <v>36</v>
      </c>
      <c r="J31" s="59">
        <v>0.06</v>
      </c>
      <c r="K31" s="59">
        <v>250.53</v>
      </c>
      <c r="L31" s="59">
        <v>21.11</v>
      </c>
      <c r="M31" s="59">
        <v>45.3</v>
      </c>
      <c r="N31" s="59">
        <v>5.2</v>
      </c>
      <c r="O31" s="59">
        <v>0</v>
      </c>
      <c r="P31" s="59">
        <v>0.92</v>
      </c>
      <c r="Q31" s="59">
        <v>24.04</v>
      </c>
      <c r="R31" s="197"/>
      <c r="S31" s="197"/>
      <c r="T31" s="197"/>
      <c r="U31" s="197"/>
    </row>
    <row r="32" spans="1:21" s="12" customFormat="1" x14ac:dyDescent="0.25">
      <c r="A32" s="200" t="s">
        <v>1712</v>
      </c>
      <c r="B32" s="59">
        <v>6.55</v>
      </c>
      <c r="C32" s="59">
        <v>61.93</v>
      </c>
      <c r="D32" s="59">
        <v>41.17</v>
      </c>
      <c r="E32" s="59">
        <v>12.96</v>
      </c>
      <c r="F32" s="59">
        <v>5.99</v>
      </c>
      <c r="G32" s="59">
        <v>36.17</v>
      </c>
      <c r="H32" s="59">
        <v>26.28</v>
      </c>
      <c r="I32" s="209" t="s">
        <v>36</v>
      </c>
      <c r="J32" s="59">
        <v>0.17</v>
      </c>
      <c r="K32" s="59">
        <v>151</v>
      </c>
      <c r="L32" s="59">
        <v>21.31</v>
      </c>
      <c r="M32" s="59">
        <v>44.28</v>
      </c>
      <c r="N32" s="59">
        <v>5</v>
      </c>
      <c r="O32" s="59">
        <v>0</v>
      </c>
      <c r="P32" s="59">
        <v>0.92</v>
      </c>
      <c r="Q32" s="59">
        <v>24.7</v>
      </c>
      <c r="R32" s="197"/>
      <c r="S32" s="197"/>
      <c r="T32" s="197"/>
      <c r="U32" s="197"/>
    </row>
    <row r="33" spans="1:21" s="12" customFormat="1" x14ac:dyDescent="0.25">
      <c r="A33" s="200" t="s">
        <v>1713</v>
      </c>
      <c r="B33" s="59">
        <v>13.94</v>
      </c>
      <c r="C33" s="59">
        <v>67.83</v>
      </c>
      <c r="D33" s="59">
        <v>50.35</v>
      </c>
      <c r="E33" s="59">
        <v>12.07</v>
      </c>
      <c r="F33" s="59">
        <v>3.4</v>
      </c>
      <c r="G33" s="59">
        <v>36.17</v>
      </c>
      <c r="H33" s="59">
        <v>26.28</v>
      </c>
      <c r="I33" s="209" t="s">
        <v>36</v>
      </c>
      <c r="J33" s="59">
        <v>0.2</v>
      </c>
      <c r="K33" s="59">
        <v>246.9</v>
      </c>
      <c r="L33" s="59">
        <v>21.42</v>
      </c>
      <c r="M33" s="59">
        <v>45.21</v>
      </c>
      <c r="N33" s="59">
        <v>8.3000000000000007</v>
      </c>
      <c r="O33" s="59">
        <v>0</v>
      </c>
      <c r="P33" s="59">
        <v>0.93</v>
      </c>
      <c r="Q33" s="59">
        <v>24.94</v>
      </c>
      <c r="R33" s="197"/>
      <c r="S33" s="197"/>
      <c r="T33" s="197"/>
      <c r="U33" s="197"/>
    </row>
    <row r="34" spans="1:21" s="12" customFormat="1" x14ac:dyDescent="0.25">
      <c r="A34" s="200" t="s">
        <v>1714</v>
      </c>
      <c r="B34" s="59">
        <v>10.61</v>
      </c>
      <c r="C34" s="59">
        <v>67.069999999999993</v>
      </c>
      <c r="D34" s="59">
        <v>47.26</v>
      </c>
      <c r="E34" s="59">
        <v>7.51</v>
      </c>
      <c r="F34" s="59">
        <v>2.71</v>
      </c>
      <c r="G34" s="59">
        <v>81.96</v>
      </c>
      <c r="H34" s="59">
        <v>27.73</v>
      </c>
      <c r="I34" s="209" t="s">
        <v>36</v>
      </c>
      <c r="J34" s="59">
        <v>0.72</v>
      </c>
      <c r="K34" s="59">
        <v>187.17</v>
      </c>
      <c r="L34" s="59">
        <v>21.48</v>
      </c>
      <c r="M34" s="59">
        <v>47.42</v>
      </c>
      <c r="N34" s="59">
        <v>13.5</v>
      </c>
      <c r="O34" s="59">
        <v>0</v>
      </c>
      <c r="P34" s="59">
        <v>0.92</v>
      </c>
      <c r="Q34" s="59">
        <v>25.63</v>
      </c>
      <c r="R34" s="197"/>
      <c r="S34" s="197"/>
      <c r="T34" s="197"/>
      <c r="U34" s="197"/>
    </row>
    <row r="35" spans="1:21" s="12" customFormat="1" x14ac:dyDescent="0.25">
      <c r="A35" s="200" t="s">
        <v>1715</v>
      </c>
      <c r="B35" s="59">
        <v>10.58</v>
      </c>
      <c r="C35" s="59">
        <v>63.46</v>
      </c>
      <c r="D35" s="59">
        <v>45.25</v>
      </c>
      <c r="E35" s="59">
        <v>3.71</v>
      </c>
      <c r="F35" s="59">
        <v>2.21</v>
      </c>
      <c r="G35" s="59">
        <v>89.69</v>
      </c>
      <c r="H35" s="59">
        <v>27.97</v>
      </c>
      <c r="I35" s="209" t="s">
        <v>36</v>
      </c>
      <c r="J35" s="59">
        <v>0.95</v>
      </c>
      <c r="K35" s="59">
        <v>196.53</v>
      </c>
      <c r="L35" s="59">
        <v>21.32</v>
      </c>
      <c r="M35" s="59">
        <v>48.03</v>
      </c>
      <c r="N35" s="59">
        <v>20</v>
      </c>
      <c r="O35" s="59">
        <v>0</v>
      </c>
      <c r="P35" s="59">
        <v>0.91</v>
      </c>
      <c r="Q35" s="59">
        <v>26.58</v>
      </c>
      <c r="R35" s="197"/>
      <c r="S35" s="197"/>
      <c r="T35" s="197"/>
      <c r="U35" s="197"/>
    </row>
    <row r="36" spans="1:21" s="12" customFormat="1" x14ac:dyDescent="0.25">
      <c r="A36" s="200" t="s">
        <v>1716</v>
      </c>
      <c r="B36" s="59">
        <v>10.23</v>
      </c>
      <c r="C36" s="59">
        <v>62.51</v>
      </c>
      <c r="D36" s="59">
        <v>44.44</v>
      </c>
      <c r="E36" s="59">
        <v>3.42</v>
      </c>
      <c r="F36" s="59">
        <v>1.99</v>
      </c>
      <c r="G36" s="59">
        <v>89.69</v>
      </c>
      <c r="H36" s="59">
        <v>27.97</v>
      </c>
      <c r="I36" s="209" t="s">
        <v>36</v>
      </c>
      <c r="J36" s="59">
        <v>0.6</v>
      </c>
      <c r="K36" s="59">
        <v>194.35</v>
      </c>
      <c r="L36" s="59">
        <v>21.06</v>
      </c>
      <c r="M36" s="59">
        <v>49.6</v>
      </c>
      <c r="N36" s="59">
        <v>33.700000000000003</v>
      </c>
      <c r="O36" s="59">
        <v>0</v>
      </c>
      <c r="P36" s="59">
        <v>0.91</v>
      </c>
      <c r="Q36" s="59">
        <v>27.98</v>
      </c>
      <c r="R36" s="197"/>
      <c r="S36" s="197"/>
      <c r="T36" s="197"/>
      <c r="U36" s="197"/>
    </row>
    <row r="37" spans="1:21" s="12" customFormat="1" x14ac:dyDescent="0.25">
      <c r="A37" s="200" t="s">
        <v>1717</v>
      </c>
      <c r="B37" s="59">
        <v>10.26</v>
      </c>
      <c r="C37" s="59">
        <v>63.26</v>
      </c>
      <c r="D37" s="59">
        <v>44.88</v>
      </c>
      <c r="E37" s="59">
        <v>3.19</v>
      </c>
      <c r="F37" s="59">
        <v>1.63</v>
      </c>
      <c r="G37" s="59">
        <v>89.69</v>
      </c>
      <c r="H37" s="59">
        <v>27.97</v>
      </c>
      <c r="I37" s="209" t="s">
        <v>36</v>
      </c>
      <c r="J37" s="59">
        <v>0.33</v>
      </c>
      <c r="K37" s="59">
        <v>226.9</v>
      </c>
      <c r="L37" s="59">
        <v>21.05</v>
      </c>
      <c r="M37" s="59">
        <v>49.53</v>
      </c>
      <c r="N37" s="59">
        <v>42</v>
      </c>
      <c r="O37" s="59">
        <v>0</v>
      </c>
      <c r="P37" s="59">
        <v>0.86</v>
      </c>
      <c r="Q37" s="59">
        <v>28.37</v>
      </c>
      <c r="R37" s="197"/>
      <c r="S37" s="197"/>
      <c r="T37" s="197"/>
      <c r="U37" s="197"/>
    </row>
    <row r="38" spans="1:21" s="12" customFormat="1" x14ac:dyDescent="0.25">
      <c r="A38" s="200" t="s">
        <v>1718</v>
      </c>
      <c r="B38" s="59">
        <v>9.86</v>
      </c>
      <c r="C38" s="59">
        <v>63.93</v>
      </c>
      <c r="D38" s="59">
        <v>44.93</v>
      </c>
      <c r="E38" s="59">
        <v>2.79</v>
      </c>
      <c r="F38" s="59">
        <v>1.61</v>
      </c>
      <c r="G38" s="59">
        <v>67.650000000000006</v>
      </c>
      <c r="H38" s="59">
        <v>29.46</v>
      </c>
      <c r="I38" s="209" t="s">
        <v>36</v>
      </c>
      <c r="J38" s="59">
        <v>0.31</v>
      </c>
      <c r="K38" s="59">
        <v>208.2</v>
      </c>
      <c r="L38" s="59">
        <v>21.11</v>
      </c>
      <c r="M38" s="59">
        <v>50.58</v>
      </c>
      <c r="N38" s="59">
        <v>59.5</v>
      </c>
      <c r="O38" s="59">
        <v>0</v>
      </c>
      <c r="P38" s="59">
        <v>0.91</v>
      </c>
      <c r="Q38" s="59">
        <v>28.31</v>
      </c>
      <c r="R38" s="197"/>
      <c r="S38" s="197"/>
      <c r="T38" s="197"/>
      <c r="U38" s="197"/>
    </row>
    <row r="39" spans="1:21" s="12" customFormat="1" x14ac:dyDescent="0.25">
      <c r="A39" s="200" t="s">
        <v>1719</v>
      </c>
      <c r="B39" s="59">
        <v>9.39</v>
      </c>
      <c r="C39" s="59">
        <v>63.99</v>
      </c>
      <c r="D39" s="59">
        <v>44.58</v>
      </c>
      <c r="E39" s="59">
        <v>2.64</v>
      </c>
      <c r="F39" s="59">
        <v>1.73</v>
      </c>
      <c r="G39" s="59">
        <v>63.93</v>
      </c>
      <c r="H39" s="59">
        <v>29.71</v>
      </c>
      <c r="I39" s="209" t="s">
        <v>36</v>
      </c>
      <c r="J39" s="59">
        <v>0.25</v>
      </c>
      <c r="K39" s="59">
        <v>240.22</v>
      </c>
      <c r="L39" s="59">
        <v>21.01</v>
      </c>
      <c r="M39" s="59">
        <v>51.22</v>
      </c>
      <c r="N39" s="59">
        <v>79.8</v>
      </c>
      <c r="O39" s="59">
        <v>0</v>
      </c>
      <c r="P39" s="59">
        <v>0.93</v>
      </c>
      <c r="Q39" s="59">
        <v>28.39</v>
      </c>
      <c r="R39" s="197"/>
      <c r="S39" s="197"/>
      <c r="T39" s="197"/>
      <c r="U39" s="197"/>
    </row>
    <row r="40" spans="1:21" s="12" customFormat="1" x14ac:dyDescent="0.25">
      <c r="A40" s="200" t="s">
        <v>1720</v>
      </c>
      <c r="B40" s="59">
        <v>8.81</v>
      </c>
      <c r="C40" s="59">
        <v>63.74</v>
      </c>
      <c r="D40" s="59">
        <v>43.98</v>
      </c>
      <c r="E40" s="59">
        <v>2.31</v>
      </c>
      <c r="F40" s="59">
        <v>1.79</v>
      </c>
      <c r="G40" s="59">
        <v>63.93</v>
      </c>
      <c r="H40" s="59">
        <v>29.71</v>
      </c>
      <c r="I40" s="209" t="s">
        <v>36</v>
      </c>
      <c r="J40" s="59">
        <v>0.12</v>
      </c>
      <c r="K40" s="59">
        <v>39.119999999999997</v>
      </c>
      <c r="L40" s="59">
        <v>21.13</v>
      </c>
      <c r="M40" s="59">
        <v>52.65</v>
      </c>
      <c r="N40" s="59">
        <v>114.3</v>
      </c>
      <c r="O40" s="59">
        <v>0</v>
      </c>
      <c r="P40" s="59">
        <v>0.93</v>
      </c>
      <c r="Q40" s="59">
        <v>28.26</v>
      </c>
      <c r="R40" s="197"/>
      <c r="S40" s="197"/>
      <c r="T40" s="197"/>
      <c r="U40" s="197"/>
    </row>
    <row r="41" spans="1:21" s="12" customFormat="1" x14ac:dyDescent="0.25">
      <c r="A41" s="200" t="s">
        <v>1721</v>
      </c>
      <c r="B41" s="59">
        <v>9.74</v>
      </c>
      <c r="C41" s="59">
        <v>64.47</v>
      </c>
      <c r="D41" s="59">
        <v>45.13</v>
      </c>
      <c r="E41" s="59">
        <v>3.42</v>
      </c>
      <c r="F41" s="59">
        <v>1.67</v>
      </c>
      <c r="G41" s="59">
        <v>63.93</v>
      </c>
      <c r="H41" s="59">
        <v>29.71</v>
      </c>
      <c r="I41" s="209" t="s">
        <v>36</v>
      </c>
      <c r="J41" s="59">
        <v>0.19</v>
      </c>
      <c r="K41" s="59">
        <v>72.599999999999994</v>
      </c>
      <c r="L41" s="59">
        <v>21.87</v>
      </c>
      <c r="M41" s="59">
        <v>51.13</v>
      </c>
      <c r="N41" s="59">
        <v>96.7</v>
      </c>
      <c r="O41" s="59">
        <v>0</v>
      </c>
      <c r="P41" s="59">
        <v>0.97</v>
      </c>
      <c r="Q41" s="59">
        <v>28.27</v>
      </c>
      <c r="R41" s="197"/>
      <c r="S41" s="197"/>
      <c r="T41" s="197"/>
      <c r="U41" s="197"/>
    </row>
    <row r="42" spans="1:21" s="12" customFormat="1" x14ac:dyDescent="0.25">
      <c r="A42" s="200" t="s">
        <v>1722</v>
      </c>
      <c r="B42" s="59">
        <v>13.38</v>
      </c>
      <c r="C42" s="59">
        <v>66.849999999999994</v>
      </c>
      <c r="D42" s="59">
        <v>49.36</v>
      </c>
      <c r="E42" s="59">
        <v>4.25</v>
      </c>
      <c r="F42" s="59">
        <v>3</v>
      </c>
      <c r="G42" s="59">
        <v>165</v>
      </c>
      <c r="H42" s="59">
        <v>30.63</v>
      </c>
      <c r="I42" s="209" t="s">
        <v>36</v>
      </c>
      <c r="J42" s="59">
        <v>0.09</v>
      </c>
      <c r="K42" s="59">
        <v>327.66000000000003</v>
      </c>
      <c r="L42" s="59">
        <v>22.29</v>
      </c>
      <c r="M42" s="59">
        <v>49.79</v>
      </c>
      <c r="N42" s="59">
        <v>79.3</v>
      </c>
      <c r="O42" s="59">
        <v>0</v>
      </c>
      <c r="P42" s="59">
        <v>1.04</v>
      </c>
      <c r="Q42" s="59">
        <v>27.77</v>
      </c>
      <c r="R42" s="197"/>
      <c r="S42" s="197"/>
      <c r="T42" s="197"/>
      <c r="U42" s="197"/>
    </row>
    <row r="43" spans="1:21" s="12" customFormat="1" x14ac:dyDescent="0.25">
      <c r="A43" s="200" t="s">
        <v>1723</v>
      </c>
      <c r="B43" s="59">
        <v>13.37</v>
      </c>
      <c r="C43" s="59">
        <v>66.5</v>
      </c>
      <c r="D43" s="59">
        <v>49.16</v>
      </c>
      <c r="E43" s="59">
        <v>4.09</v>
      </c>
      <c r="F43" s="59">
        <v>3.24</v>
      </c>
      <c r="G43" s="59">
        <v>182.06</v>
      </c>
      <c r="H43" s="59">
        <v>30.78</v>
      </c>
      <c r="I43" s="209" t="s">
        <v>36</v>
      </c>
      <c r="J43" s="59">
        <v>0.08</v>
      </c>
      <c r="K43" s="59">
        <v>22.42</v>
      </c>
      <c r="L43" s="59">
        <v>22.32</v>
      </c>
      <c r="M43" s="59">
        <v>50.15</v>
      </c>
      <c r="N43" s="59">
        <v>57</v>
      </c>
      <c r="O43" s="59">
        <v>0</v>
      </c>
      <c r="P43" s="59">
        <v>1.05</v>
      </c>
      <c r="Q43" s="59">
        <v>27.13</v>
      </c>
      <c r="R43" s="197"/>
      <c r="S43" s="197"/>
      <c r="T43" s="197"/>
      <c r="U43" s="197"/>
    </row>
    <row r="44" spans="1:21" s="12" customFormat="1" x14ac:dyDescent="0.25">
      <c r="A44" s="200" t="s">
        <v>1724</v>
      </c>
      <c r="B44" s="59">
        <v>13.05</v>
      </c>
      <c r="C44" s="59">
        <v>65.44</v>
      </c>
      <c r="D44" s="59">
        <v>48.32</v>
      </c>
      <c r="E44" s="59">
        <v>3.5</v>
      </c>
      <c r="F44" s="59">
        <v>2.4700000000000002</v>
      </c>
      <c r="G44" s="59">
        <v>182.06</v>
      </c>
      <c r="H44" s="59">
        <v>30.78</v>
      </c>
      <c r="I44" s="209" t="s">
        <v>36</v>
      </c>
      <c r="J44" s="59">
        <v>7.0000000000000007E-2</v>
      </c>
      <c r="K44" s="59">
        <v>323.57</v>
      </c>
      <c r="L44" s="59">
        <v>22.11</v>
      </c>
      <c r="M44" s="59">
        <v>50.29</v>
      </c>
      <c r="N44" s="59">
        <v>82.2</v>
      </c>
      <c r="O44" s="59">
        <v>0</v>
      </c>
      <c r="P44" s="59">
        <v>1.04</v>
      </c>
      <c r="Q44" s="59">
        <v>26.14</v>
      </c>
      <c r="R44" s="197"/>
      <c r="S44" s="197"/>
      <c r="T44" s="197"/>
      <c r="U44" s="197"/>
    </row>
    <row r="45" spans="1:21" s="12" customFormat="1" x14ac:dyDescent="0.25">
      <c r="A45" s="200" t="s">
        <v>1725</v>
      </c>
      <c r="B45" s="59">
        <v>13.14</v>
      </c>
      <c r="C45" s="59">
        <v>64.86</v>
      </c>
      <c r="D45" s="59">
        <v>48.08</v>
      </c>
      <c r="E45" s="59">
        <v>3.52</v>
      </c>
      <c r="F45" s="59">
        <v>2.41</v>
      </c>
      <c r="G45" s="59">
        <v>182.06</v>
      </c>
      <c r="H45" s="59">
        <v>30.78</v>
      </c>
      <c r="I45" s="209" t="s">
        <v>36</v>
      </c>
      <c r="J45" s="59">
        <v>0.26</v>
      </c>
      <c r="K45" s="59">
        <v>5.39</v>
      </c>
      <c r="L45" s="59">
        <v>22.58</v>
      </c>
      <c r="M45" s="59">
        <v>50.21</v>
      </c>
      <c r="N45" s="59">
        <v>98.8</v>
      </c>
      <c r="O45" s="59">
        <v>0</v>
      </c>
      <c r="P45" s="59">
        <v>1.06</v>
      </c>
      <c r="Q45" s="59">
        <v>25.84</v>
      </c>
      <c r="R45" s="197"/>
      <c r="S45" s="197"/>
      <c r="T45" s="197"/>
      <c r="U45" s="197"/>
    </row>
    <row r="46" spans="1:21" s="12" customFormat="1" x14ac:dyDescent="0.25">
      <c r="A46" s="200" t="s">
        <v>1726</v>
      </c>
      <c r="B46" s="59">
        <v>14.73</v>
      </c>
      <c r="C46" s="59">
        <v>64.81</v>
      </c>
      <c r="D46" s="59">
        <v>49.32</v>
      </c>
      <c r="E46" s="59">
        <v>4.6500000000000004</v>
      </c>
      <c r="F46" s="59">
        <v>3.66</v>
      </c>
      <c r="G46" s="59">
        <v>63.68</v>
      </c>
      <c r="H46" s="59">
        <v>33.35</v>
      </c>
      <c r="I46" s="209" t="s">
        <v>36</v>
      </c>
      <c r="J46" s="59">
        <v>0.4</v>
      </c>
      <c r="K46" s="59">
        <v>9.77</v>
      </c>
      <c r="L46" s="59">
        <v>22.95</v>
      </c>
      <c r="M46" s="59">
        <v>46.95</v>
      </c>
      <c r="N46" s="59">
        <v>89.6</v>
      </c>
      <c r="O46" s="59">
        <v>0</v>
      </c>
      <c r="P46" s="59">
        <v>1.0900000000000001</v>
      </c>
      <c r="Q46" s="59">
        <v>25.9</v>
      </c>
      <c r="R46" s="197"/>
      <c r="S46" s="197"/>
      <c r="T46" s="197"/>
      <c r="U46" s="197"/>
    </row>
    <row r="47" spans="1:21" s="12" customFormat="1" x14ac:dyDescent="0.25">
      <c r="A47" s="200" t="s">
        <v>1727</v>
      </c>
      <c r="B47" s="59">
        <v>20</v>
      </c>
      <c r="C47" s="59">
        <v>68.91</v>
      </c>
      <c r="D47" s="59">
        <v>55.81</v>
      </c>
      <c r="E47" s="59">
        <v>5.73</v>
      </c>
      <c r="F47" s="59">
        <v>4.3</v>
      </c>
      <c r="G47" s="59">
        <v>43.69</v>
      </c>
      <c r="H47" s="59">
        <v>33.79</v>
      </c>
      <c r="I47" s="209" t="s">
        <v>36</v>
      </c>
      <c r="J47" s="59">
        <v>0.57999999999999996</v>
      </c>
      <c r="K47" s="59">
        <v>20.239999999999998</v>
      </c>
      <c r="L47" s="59">
        <v>23.31</v>
      </c>
      <c r="M47" s="59">
        <v>44.23</v>
      </c>
      <c r="N47" s="59">
        <v>96.1</v>
      </c>
      <c r="O47" s="59">
        <v>0</v>
      </c>
      <c r="P47" s="59">
        <v>1.1599999999999999</v>
      </c>
      <c r="Q47" s="59">
        <v>26.07</v>
      </c>
      <c r="R47" s="197"/>
      <c r="S47" s="197"/>
      <c r="T47" s="197"/>
      <c r="U47" s="197"/>
    </row>
    <row r="48" spans="1:21" s="12" customFormat="1" x14ac:dyDescent="0.25">
      <c r="A48" s="200" t="s">
        <v>1728</v>
      </c>
      <c r="B48" s="59">
        <v>19.61</v>
      </c>
      <c r="C48" s="59">
        <v>67.150000000000006</v>
      </c>
      <c r="D48" s="59">
        <v>54.52</v>
      </c>
      <c r="E48" s="59">
        <v>5.42</v>
      </c>
      <c r="F48" s="59">
        <v>3.9</v>
      </c>
      <c r="G48" s="59">
        <v>43.69</v>
      </c>
      <c r="H48" s="59">
        <v>33.79</v>
      </c>
      <c r="I48" s="209" t="s">
        <v>36</v>
      </c>
      <c r="J48" s="59">
        <v>0.37</v>
      </c>
      <c r="K48" s="59">
        <v>2.6</v>
      </c>
      <c r="L48" s="59">
        <v>23.64</v>
      </c>
      <c r="M48" s="59">
        <v>44.5</v>
      </c>
      <c r="N48" s="59">
        <v>91.1</v>
      </c>
      <c r="O48" s="59">
        <v>0</v>
      </c>
      <c r="P48" s="59">
        <v>1.1499999999999999</v>
      </c>
      <c r="Q48" s="59">
        <v>26.53</v>
      </c>
      <c r="R48" s="197"/>
      <c r="S48" s="197"/>
      <c r="T48" s="197"/>
      <c r="U48" s="197"/>
    </row>
    <row r="49" spans="1:21" s="12" customFormat="1" x14ac:dyDescent="0.25">
      <c r="A49" s="200" t="s">
        <v>1729</v>
      </c>
      <c r="B49" s="59">
        <v>20.32</v>
      </c>
      <c r="C49" s="59">
        <v>70.44</v>
      </c>
      <c r="D49" s="59">
        <v>56.91</v>
      </c>
      <c r="E49" s="59">
        <v>5.37</v>
      </c>
      <c r="F49" s="59">
        <v>2.97</v>
      </c>
      <c r="G49" s="59">
        <v>43.69</v>
      </c>
      <c r="H49" s="59">
        <v>33.79</v>
      </c>
      <c r="I49" s="209" t="s">
        <v>36</v>
      </c>
      <c r="J49" s="59">
        <v>0.4</v>
      </c>
      <c r="K49" s="59">
        <v>2.69</v>
      </c>
      <c r="L49" s="59">
        <v>23.72</v>
      </c>
      <c r="M49" s="59">
        <v>43.34</v>
      </c>
      <c r="N49" s="59">
        <v>79.5</v>
      </c>
      <c r="O49" s="59">
        <v>0</v>
      </c>
      <c r="P49" s="59">
        <v>1.18</v>
      </c>
      <c r="Q49" s="59">
        <v>27.03</v>
      </c>
      <c r="R49" s="197"/>
      <c r="S49" s="197"/>
      <c r="T49" s="197"/>
      <c r="U49" s="197"/>
    </row>
    <row r="50" spans="1:21" s="12" customFormat="1" x14ac:dyDescent="0.25">
      <c r="A50" s="200" t="s">
        <v>1730</v>
      </c>
      <c r="B50" s="59">
        <v>18.71</v>
      </c>
      <c r="C50" s="59">
        <v>70.23</v>
      </c>
      <c r="D50" s="59">
        <v>55.51</v>
      </c>
      <c r="E50" s="59">
        <v>4.05</v>
      </c>
      <c r="F50" s="59">
        <v>2.09</v>
      </c>
      <c r="G50" s="59">
        <v>139.51</v>
      </c>
      <c r="H50" s="59">
        <v>34.99</v>
      </c>
      <c r="I50" s="209" t="s">
        <v>36</v>
      </c>
      <c r="J50" s="59">
        <v>0.45</v>
      </c>
      <c r="K50" s="59">
        <v>8.67</v>
      </c>
      <c r="L50" s="59">
        <v>23.27</v>
      </c>
      <c r="M50" s="59">
        <v>44.52</v>
      </c>
      <c r="N50" s="59">
        <v>70.5</v>
      </c>
      <c r="O50" s="59">
        <v>0</v>
      </c>
      <c r="P50" s="59">
        <v>1.2</v>
      </c>
      <c r="Q50" s="59">
        <v>28.67</v>
      </c>
      <c r="R50" s="197"/>
      <c r="S50" s="197"/>
      <c r="T50" s="197"/>
      <c r="U50" s="197"/>
    </row>
    <row r="51" spans="1:21" s="12" customFormat="1" x14ac:dyDescent="0.25">
      <c r="A51" s="200" t="s">
        <v>1731</v>
      </c>
      <c r="B51" s="59">
        <v>17.28</v>
      </c>
      <c r="C51" s="59">
        <v>72.67</v>
      </c>
      <c r="D51" s="59">
        <v>55.71</v>
      </c>
      <c r="E51" s="59">
        <v>4.01</v>
      </c>
      <c r="F51" s="59">
        <v>1.84</v>
      </c>
      <c r="G51" s="59">
        <v>155.69</v>
      </c>
      <c r="H51" s="59">
        <v>35.19</v>
      </c>
      <c r="I51" s="209" t="s">
        <v>36</v>
      </c>
      <c r="J51" s="59">
        <v>1.1100000000000001</v>
      </c>
      <c r="K51" s="59">
        <v>2.98</v>
      </c>
      <c r="L51" s="59">
        <v>23.12</v>
      </c>
      <c r="M51" s="59">
        <v>45.51</v>
      </c>
      <c r="N51" s="59">
        <v>111.7</v>
      </c>
      <c r="O51" s="59">
        <v>0</v>
      </c>
      <c r="P51" s="59">
        <v>1.2</v>
      </c>
      <c r="Q51" s="59">
        <v>29.46</v>
      </c>
      <c r="R51" s="197"/>
      <c r="S51" s="197"/>
      <c r="T51" s="197"/>
      <c r="U51" s="197"/>
    </row>
    <row r="52" spans="1:21" s="12" customFormat="1" x14ac:dyDescent="0.25">
      <c r="A52" s="200" t="s">
        <v>1732</v>
      </c>
      <c r="B52" s="59">
        <v>15.15</v>
      </c>
      <c r="C52" s="59">
        <v>77</v>
      </c>
      <c r="D52" s="59">
        <v>56.38</v>
      </c>
      <c r="E52" s="59">
        <v>4.41</v>
      </c>
      <c r="F52" s="59">
        <v>5.78</v>
      </c>
      <c r="G52" s="59">
        <v>155.69</v>
      </c>
      <c r="H52" s="59">
        <v>35.19</v>
      </c>
      <c r="I52" s="209" t="s">
        <v>36</v>
      </c>
      <c r="J52" s="59">
        <v>1.05</v>
      </c>
      <c r="K52" s="59">
        <v>17.95</v>
      </c>
      <c r="L52" s="59">
        <v>24.23</v>
      </c>
      <c r="M52" s="59">
        <v>40.770000000000003</v>
      </c>
      <c r="N52" s="59">
        <v>243.8</v>
      </c>
      <c r="O52" s="59">
        <v>0</v>
      </c>
      <c r="P52" s="59">
        <v>1.2</v>
      </c>
      <c r="Q52" s="59">
        <v>29.54</v>
      </c>
      <c r="R52" s="197"/>
      <c r="S52" s="197"/>
      <c r="T52" s="197"/>
      <c r="U52" s="197"/>
    </row>
    <row r="53" spans="1:21" s="12" customFormat="1" x14ac:dyDescent="0.25">
      <c r="A53" s="200" t="s">
        <v>1733</v>
      </c>
      <c r="B53" s="59">
        <v>9.5500000000000007</v>
      </c>
      <c r="C53" s="59">
        <v>89.52</v>
      </c>
      <c r="D53" s="59">
        <v>58.8</v>
      </c>
      <c r="E53" s="59">
        <v>4.93</v>
      </c>
      <c r="F53" s="59">
        <v>9.2100000000000009</v>
      </c>
      <c r="G53" s="59">
        <v>155.69</v>
      </c>
      <c r="H53" s="59">
        <v>35.19</v>
      </c>
      <c r="I53" s="209" t="s">
        <v>36</v>
      </c>
      <c r="J53" s="59">
        <v>1.07</v>
      </c>
      <c r="K53" s="59">
        <v>12.65</v>
      </c>
      <c r="L53" s="59">
        <v>24.9</v>
      </c>
      <c r="M53" s="59">
        <v>36.72</v>
      </c>
      <c r="N53" s="59">
        <v>133.4</v>
      </c>
      <c r="O53" s="59">
        <v>0</v>
      </c>
      <c r="P53" s="59">
        <v>1.1200000000000001</v>
      </c>
      <c r="Q53" s="59">
        <v>28.04</v>
      </c>
      <c r="R53" s="197"/>
      <c r="S53" s="197"/>
      <c r="T53" s="197"/>
      <c r="U53" s="197"/>
    </row>
    <row r="54" spans="1:21" s="12" customFormat="1" x14ac:dyDescent="0.25">
      <c r="A54" s="200" t="s">
        <v>1734</v>
      </c>
      <c r="B54" s="59">
        <v>6.2</v>
      </c>
      <c r="C54" s="59">
        <v>86</v>
      </c>
      <c r="D54" s="59">
        <v>54.17</v>
      </c>
      <c r="E54" s="59">
        <v>7.53</v>
      </c>
      <c r="F54" s="59">
        <v>25.52</v>
      </c>
      <c r="G54" s="59">
        <v>92.77</v>
      </c>
      <c r="H54" s="59">
        <v>31.94</v>
      </c>
      <c r="I54" s="59">
        <v>0.56000000000000005</v>
      </c>
      <c r="J54" s="59">
        <v>0.84</v>
      </c>
      <c r="K54" s="59">
        <v>352.63</v>
      </c>
      <c r="L54" s="59">
        <v>24.76</v>
      </c>
      <c r="M54" s="59">
        <v>37.340000000000003</v>
      </c>
      <c r="N54" s="59">
        <v>130.30000000000001</v>
      </c>
      <c r="O54" s="59">
        <v>0</v>
      </c>
      <c r="P54" s="59">
        <v>1.01</v>
      </c>
      <c r="Q54" s="59">
        <v>24.81</v>
      </c>
      <c r="R54" s="197"/>
      <c r="S54" s="197"/>
      <c r="T54" s="197"/>
      <c r="U54" s="197"/>
    </row>
    <row r="55" spans="1:21" s="12" customFormat="1" x14ac:dyDescent="0.25">
      <c r="A55" s="200" t="s">
        <v>1735</v>
      </c>
      <c r="B55" s="59">
        <v>4.47</v>
      </c>
      <c r="C55" s="59">
        <v>71.33</v>
      </c>
      <c r="D55" s="59">
        <v>44.69</v>
      </c>
      <c r="E55" s="59">
        <v>15.63</v>
      </c>
      <c r="F55" s="59">
        <v>39.450000000000003</v>
      </c>
      <c r="G55" s="59">
        <v>82.15</v>
      </c>
      <c r="H55" s="59">
        <v>31.39</v>
      </c>
      <c r="I55" s="59">
        <v>0.55000000000000004</v>
      </c>
      <c r="J55" s="59">
        <v>0.19</v>
      </c>
      <c r="K55" s="59">
        <v>274.58</v>
      </c>
      <c r="L55" s="59">
        <v>24.17</v>
      </c>
      <c r="M55" s="59">
        <v>39.26</v>
      </c>
      <c r="N55" s="59">
        <v>210.7</v>
      </c>
      <c r="O55" s="59">
        <v>0</v>
      </c>
      <c r="P55" s="59">
        <v>1.01</v>
      </c>
      <c r="Q55" s="59">
        <v>17.59</v>
      </c>
      <c r="R55" s="197"/>
      <c r="S55" s="197"/>
      <c r="T55" s="197"/>
      <c r="U55" s="197"/>
    </row>
    <row r="56" spans="1:21" s="12" customFormat="1" x14ac:dyDescent="0.25">
      <c r="A56" s="200" t="s">
        <v>1736</v>
      </c>
      <c r="B56" s="59">
        <v>3.65</v>
      </c>
      <c r="C56" s="59">
        <v>78.75</v>
      </c>
      <c r="D56" s="59">
        <v>48.13</v>
      </c>
      <c r="E56" s="59">
        <v>4.3600000000000003</v>
      </c>
      <c r="F56" s="59">
        <v>18.75</v>
      </c>
      <c r="G56" s="59">
        <v>82.15</v>
      </c>
      <c r="H56" s="59">
        <v>31.39</v>
      </c>
      <c r="I56" s="59">
        <v>0.52</v>
      </c>
      <c r="J56" s="59">
        <v>0.68</v>
      </c>
      <c r="K56" s="59">
        <v>346.21</v>
      </c>
      <c r="L56" s="59">
        <v>25.02</v>
      </c>
      <c r="M56" s="59">
        <v>39.58</v>
      </c>
      <c r="N56" s="59">
        <v>269.89999999999998</v>
      </c>
      <c r="O56" s="59">
        <v>0</v>
      </c>
      <c r="P56" s="59">
        <v>0.99</v>
      </c>
      <c r="Q56" s="59">
        <v>17.79</v>
      </c>
      <c r="R56" s="197"/>
      <c r="S56" s="197"/>
      <c r="T56" s="197"/>
      <c r="U56" s="197"/>
    </row>
    <row r="57" spans="1:21" s="12" customFormat="1" x14ac:dyDescent="0.25">
      <c r="A57" s="200" t="s">
        <v>1737</v>
      </c>
      <c r="B57" s="59">
        <v>3.53</v>
      </c>
      <c r="C57" s="59">
        <v>80.02</v>
      </c>
      <c r="D57" s="59">
        <v>48.74</v>
      </c>
      <c r="E57" s="59">
        <v>4.75</v>
      </c>
      <c r="F57" s="59">
        <v>8.48</v>
      </c>
      <c r="G57" s="59">
        <v>82.15</v>
      </c>
      <c r="H57" s="59">
        <v>31.39</v>
      </c>
      <c r="I57" s="209" t="s">
        <v>36</v>
      </c>
      <c r="J57" s="59">
        <v>1.5</v>
      </c>
      <c r="K57" s="59">
        <v>340.72</v>
      </c>
      <c r="L57" s="59">
        <v>26.18</v>
      </c>
      <c r="M57" s="59">
        <v>37.61</v>
      </c>
      <c r="N57" s="59">
        <v>289.7</v>
      </c>
      <c r="O57" s="59">
        <v>0</v>
      </c>
      <c r="P57" s="59">
        <v>0.98</v>
      </c>
      <c r="Q57" s="59">
        <v>19.03</v>
      </c>
      <c r="R57" s="197"/>
      <c r="S57" s="197"/>
      <c r="T57" s="197"/>
      <c r="U57" s="197"/>
    </row>
    <row r="58" spans="1:21" s="12" customFormat="1" x14ac:dyDescent="0.25">
      <c r="A58" s="200" t="s">
        <v>1738</v>
      </c>
      <c r="B58" s="59">
        <v>3.59</v>
      </c>
      <c r="C58" s="59">
        <v>75.62</v>
      </c>
      <c r="D58" s="59">
        <v>46.35</v>
      </c>
      <c r="E58" s="59">
        <v>4.12</v>
      </c>
      <c r="F58" s="59">
        <v>7.34</v>
      </c>
      <c r="G58" s="59">
        <v>80.23</v>
      </c>
      <c r="H58" s="59">
        <v>30.02</v>
      </c>
      <c r="I58" s="209" t="s">
        <v>36</v>
      </c>
      <c r="J58" s="59">
        <v>1.73</v>
      </c>
      <c r="K58" s="59">
        <v>356.94</v>
      </c>
      <c r="L58" s="59">
        <v>26.24</v>
      </c>
      <c r="M58" s="59">
        <v>36.549999999999997</v>
      </c>
      <c r="N58" s="59">
        <v>228.9</v>
      </c>
      <c r="O58" s="59">
        <v>0</v>
      </c>
      <c r="P58" s="59">
        <v>0.94</v>
      </c>
      <c r="Q58" s="59">
        <v>19.489999999999998</v>
      </c>
      <c r="R58" s="197"/>
      <c r="S58" s="197"/>
      <c r="T58" s="197"/>
      <c r="U58" s="197"/>
    </row>
    <row r="59" spans="1:21" s="12" customFormat="1" x14ac:dyDescent="0.25">
      <c r="A59" s="200" t="s">
        <v>1739</v>
      </c>
      <c r="B59" s="59">
        <v>3.61</v>
      </c>
      <c r="C59" s="59">
        <v>71.67</v>
      </c>
      <c r="D59" s="59">
        <v>44.19</v>
      </c>
      <c r="E59" s="59">
        <v>3.77</v>
      </c>
      <c r="F59" s="59">
        <v>6.01</v>
      </c>
      <c r="G59" s="59">
        <v>79.91</v>
      </c>
      <c r="H59" s="59">
        <v>29.79</v>
      </c>
      <c r="I59" s="59">
        <v>0.27</v>
      </c>
      <c r="J59" s="59">
        <v>2.12</v>
      </c>
      <c r="K59" s="59">
        <v>354.94</v>
      </c>
      <c r="L59" s="59">
        <v>26.7</v>
      </c>
      <c r="M59" s="59">
        <v>34.08</v>
      </c>
      <c r="N59" s="59">
        <v>322.2</v>
      </c>
      <c r="O59" s="59">
        <v>0</v>
      </c>
      <c r="P59" s="59">
        <v>0.91</v>
      </c>
      <c r="Q59" s="59">
        <v>19.399999999999999</v>
      </c>
      <c r="R59" s="197"/>
      <c r="S59" s="197"/>
      <c r="T59" s="197"/>
      <c r="U59" s="197"/>
    </row>
    <row r="60" spans="1:21" s="12" customFormat="1" x14ac:dyDescent="0.25">
      <c r="A60" s="200" t="s">
        <v>1740</v>
      </c>
      <c r="B60" s="59">
        <v>3.72</v>
      </c>
      <c r="C60" s="59">
        <v>67.81</v>
      </c>
      <c r="D60" s="59">
        <v>42.15</v>
      </c>
      <c r="E60" s="59">
        <v>3.42</v>
      </c>
      <c r="F60" s="59">
        <v>5.24</v>
      </c>
      <c r="G60" s="59">
        <v>79.91</v>
      </c>
      <c r="H60" s="59">
        <v>29.79</v>
      </c>
      <c r="I60" s="59">
        <v>0.48</v>
      </c>
      <c r="J60" s="59">
        <v>1.79</v>
      </c>
      <c r="K60" s="59">
        <v>4.3099999999999996</v>
      </c>
      <c r="L60" s="59">
        <v>27.13</v>
      </c>
      <c r="M60" s="59">
        <v>32.56</v>
      </c>
      <c r="N60" s="59">
        <v>258.3</v>
      </c>
      <c r="O60" s="59">
        <v>0</v>
      </c>
      <c r="P60" s="59">
        <v>0.88</v>
      </c>
      <c r="Q60" s="59">
        <v>19.47</v>
      </c>
      <c r="R60" s="197"/>
      <c r="S60" s="197"/>
      <c r="T60" s="197"/>
      <c r="U60" s="197"/>
    </row>
    <row r="61" spans="1:21" s="12" customFormat="1" x14ac:dyDescent="0.25">
      <c r="A61" s="200" t="s">
        <v>1741</v>
      </c>
      <c r="B61" s="59">
        <v>4.04</v>
      </c>
      <c r="C61" s="59">
        <v>65.61</v>
      </c>
      <c r="D61" s="59">
        <v>41.19</v>
      </c>
      <c r="E61" s="59">
        <v>3.31</v>
      </c>
      <c r="F61" s="59">
        <v>4.5999999999999996</v>
      </c>
      <c r="G61" s="59">
        <v>79.91</v>
      </c>
      <c r="H61" s="59">
        <v>29.79</v>
      </c>
      <c r="I61" s="59">
        <v>0.48</v>
      </c>
      <c r="J61" s="59">
        <v>1.24</v>
      </c>
      <c r="K61" s="59">
        <v>8.64</v>
      </c>
      <c r="L61" s="59">
        <v>27.18</v>
      </c>
      <c r="M61" s="59">
        <v>33.1</v>
      </c>
      <c r="N61" s="59">
        <v>288.2</v>
      </c>
      <c r="O61" s="59">
        <v>0</v>
      </c>
      <c r="P61" s="59">
        <v>0.83</v>
      </c>
      <c r="Q61" s="59">
        <v>19.73</v>
      </c>
      <c r="R61" s="197"/>
      <c r="S61" s="197"/>
      <c r="T61" s="197"/>
      <c r="U61" s="197"/>
    </row>
    <row r="62" spans="1:21" s="12" customFormat="1" x14ac:dyDescent="0.25">
      <c r="A62" s="200" t="s">
        <v>1742</v>
      </c>
      <c r="B62" s="59">
        <v>4.3099999999999996</v>
      </c>
      <c r="C62" s="59">
        <v>63.82</v>
      </c>
      <c r="D62" s="59">
        <v>40.42</v>
      </c>
      <c r="E62" s="59">
        <v>2.63</v>
      </c>
      <c r="F62" s="59">
        <v>3.77</v>
      </c>
      <c r="G62" s="59">
        <v>51.45</v>
      </c>
      <c r="H62" s="59">
        <v>27.94</v>
      </c>
      <c r="I62" s="59">
        <v>0.49</v>
      </c>
      <c r="J62" s="59">
        <v>0.86</v>
      </c>
      <c r="K62" s="59">
        <v>4.2</v>
      </c>
      <c r="L62" s="59">
        <v>27.94</v>
      </c>
      <c r="M62" s="59">
        <v>31.92</v>
      </c>
      <c r="N62" s="59">
        <v>388.2</v>
      </c>
      <c r="O62" s="59">
        <v>0</v>
      </c>
      <c r="P62" s="59">
        <v>0.84</v>
      </c>
      <c r="Q62" s="59">
        <v>19.75</v>
      </c>
      <c r="R62" s="197"/>
      <c r="S62" s="197"/>
      <c r="T62" s="197"/>
      <c r="U62" s="197"/>
    </row>
    <row r="63" spans="1:21" s="12" customFormat="1" x14ac:dyDescent="0.25">
      <c r="A63" s="200" t="s">
        <v>1743</v>
      </c>
      <c r="B63" s="59">
        <v>4.46</v>
      </c>
      <c r="C63" s="59">
        <v>61.48</v>
      </c>
      <c r="D63" s="59">
        <v>39.25</v>
      </c>
      <c r="E63" s="59">
        <v>3.07</v>
      </c>
      <c r="F63" s="59">
        <v>5.84</v>
      </c>
      <c r="G63" s="59">
        <v>46.64</v>
      </c>
      <c r="H63" s="59">
        <v>27.63</v>
      </c>
      <c r="I63" s="59">
        <v>0.49</v>
      </c>
      <c r="J63" s="59">
        <v>0.4</v>
      </c>
      <c r="K63" s="59">
        <v>355.8</v>
      </c>
      <c r="L63" s="59">
        <v>27.61</v>
      </c>
      <c r="M63" s="59">
        <v>32.08</v>
      </c>
      <c r="N63" s="59">
        <v>230.4</v>
      </c>
      <c r="O63" s="59">
        <v>0</v>
      </c>
      <c r="P63" s="59">
        <v>0.81</v>
      </c>
      <c r="Q63" s="59">
        <v>19.920000000000002</v>
      </c>
      <c r="R63" s="197"/>
      <c r="S63" s="197"/>
      <c r="T63" s="197"/>
      <c r="U63" s="197"/>
    </row>
    <row r="64" spans="1:21" s="12" customFormat="1" x14ac:dyDescent="0.25">
      <c r="A64" s="200" t="s">
        <v>1744</v>
      </c>
      <c r="B64" s="59">
        <v>4.3099999999999996</v>
      </c>
      <c r="C64" s="59">
        <v>60.86</v>
      </c>
      <c r="D64" s="59">
        <v>38.78</v>
      </c>
      <c r="E64" s="59">
        <v>3.1</v>
      </c>
      <c r="F64" s="59">
        <v>5.22</v>
      </c>
      <c r="G64" s="59">
        <v>46.64</v>
      </c>
      <c r="H64" s="59">
        <v>27.63</v>
      </c>
      <c r="I64" s="59">
        <v>0.49</v>
      </c>
      <c r="J64" s="59">
        <v>0.12</v>
      </c>
      <c r="K64" s="59">
        <v>35.67</v>
      </c>
      <c r="L64" s="59">
        <v>26.65</v>
      </c>
      <c r="M64" s="59">
        <v>33.78</v>
      </c>
      <c r="N64" s="59">
        <v>223.3</v>
      </c>
      <c r="O64" s="59">
        <v>0</v>
      </c>
      <c r="P64" s="59">
        <v>0.81</v>
      </c>
      <c r="Q64" s="59">
        <v>20.54</v>
      </c>
      <c r="R64" s="197"/>
      <c r="S64" s="197"/>
      <c r="T64" s="197"/>
      <c r="U64" s="197"/>
    </row>
    <row r="65" spans="1:21" s="12" customFormat="1" x14ac:dyDescent="0.25">
      <c r="A65" s="200" t="s">
        <v>1745</v>
      </c>
      <c r="B65" s="59">
        <v>4.29</v>
      </c>
      <c r="C65" s="59">
        <v>60.88</v>
      </c>
      <c r="D65" s="59">
        <v>38.78</v>
      </c>
      <c r="E65" s="59">
        <v>2.93</v>
      </c>
      <c r="F65" s="59">
        <v>6.11</v>
      </c>
      <c r="G65" s="59">
        <v>46.64</v>
      </c>
      <c r="H65" s="59">
        <v>27.63</v>
      </c>
      <c r="I65" s="59">
        <v>0.5</v>
      </c>
      <c r="J65" s="59">
        <v>0.11</v>
      </c>
      <c r="K65" s="59">
        <v>357.89</v>
      </c>
      <c r="L65" s="59">
        <v>26.37</v>
      </c>
      <c r="M65" s="59">
        <v>34.89</v>
      </c>
      <c r="N65" s="59">
        <v>132.19999999999999</v>
      </c>
      <c r="O65" s="59">
        <v>0</v>
      </c>
      <c r="P65" s="59">
        <v>0.82</v>
      </c>
      <c r="Q65" s="59">
        <v>21.38</v>
      </c>
      <c r="R65" s="197"/>
      <c r="S65" s="197"/>
      <c r="T65" s="197"/>
      <c r="U65" s="197"/>
    </row>
    <row r="66" spans="1:21" s="12" customFormat="1" x14ac:dyDescent="0.25">
      <c r="A66" s="200" t="s">
        <v>1746</v>
      </c>
      <c r="B66" s="59">
        <v>4.7</v>
      </c>
      <c r="C66" s="59">
        <v>60.65</v>
      </c>
      <c r="D66" s="59">
        <v>38.979999999999997</v>
      </c>
      <c r="E66" s="59">
        <v>2.93</v>
      </c>
      <c r="F66" s="59">
        <v>3.55</v>
      </c>
      <c r="G66" s="59">
        <v>59.93</v>
      </c>
      <c r="H66" s="59">
        <v>26.48</v>
      </c>
      <c r="I66" s="59">
        <v>0.5</v>
      </c>
      <c r="J66" s="59">
        <v>0.15</v>
      </c>
      <c r="K66" s="59">
        <v>6.07</v>
      </c>
      <c r="L66" s="59">
        <v>26.42</v>
      </c>
      <c r="M66" s="59">
        <v>34.82</v>
      </c>
      <c r="N66" s="59">
        <v>152.19999999999999</v>
      </c>
      <c r="O66" s="59">
        <v>0</v>
      </c>
      <c r="P66" s="59">
        <v>0.83</v>
      </c>
      <c r="Q66" s="59">
        <v>21.01</v>
      </c>
      <c r="R66" s="197"/>
      <c r="S66" s="197"/>
      <c r="T66" s="197"/>
      <c r="U66" s="197"/>
    </row>
    <row r="67" spans="1:21" s="12" customFormat="1" x14ac:dyDescent="0.25">
      <c r="A67" s="200" t="s">
        <v>1747</v>
      </c>
      <c r="B67" s="59">
        <v>4.71</v>
      </c>
      <c r="C67" s="59">
        <v>60.19</v>
      </c>
      <c r="D67" s="59">
        <v>38.74</v>
      </c>
      <c r="E67" s="59">
        <v>2.63</v>
      </c>
      <c r="F67" s="59">
        <v>4.4400000000000004</v>
      </c>
      <c r="G67" s="59">
        <v>62.18</v>
      </c>
      <c r="H67" s="59">
        <v>26.29</v>
      </c>
      <c r="I67" s="59">
        <v>0.5</v>
      </c>
      <c r="J67" s="59">
        <v>0.48</v>
      </c>
      <c r="K67" s="59">
        <v>233.11</v>
      </c>
      <c r="L67" s="59">
        <v>25.65</v>
      </c>
      <c r="M67" s="59">
        <v>35.96</v>
      </c>
      <c r="N67" s="59">
        <v>217.6</v>
      </c>
      <c r="O67" s="59">
        <v>0</v>
      </c>
      <c r="P67" s="59">
        <v>0.84</v>
      </c>
      <c r="Q67" s="59">
        <v>22.06</v>
      </c>
      <c r="R67" s="197"/>
      <c r="S67" s="197"/>
      <c r="T67" s="197"/>
      <c r="U67" s="197"/>
    </row>
    <row r="68" spans="1:21" s="12" customFormat="1" x14ac:dyDescent="0.25">
      <c r="A68" s="200" t="s">
        <v>1748</v>
      </c>
      <c r="B68" s="59">
        <v>4.34</v>
      </c>
      <c r="C68" s="59">
        <v>58.76</v>
      </c>
      <c r="D68" s="59">
        <v>37.64</v>
      </c>
      <c r="E68" s="59">
        <v>2.54</v>
      </c>
      <c r="F68" s="59">
        <v>4.55</v>
      </c>
      <c r="G68" s="59">
        <v>62.18</v>
      </c>
      <c r="H68" s="59">
        <v>26.29</v>
      </c>
      <c r="I68" s="59">
        <v>0.51</v>
      </c>
      <c r="J68" s="59">
        <v>0.63</v>
      </c>
      <c r="K68" s="59">
        <v>234.1</v>
      </c>
      <c r="L68" s="59">
        <v>25.79</v>
      </c>
      <c r="M68" s="59">
        <v>36.450000000000003</v>
      </c>
      <c r="N68" s="59">
        <v>302.5</v>
      </c>
      <c r="O68" s="59">
        <v>0</v>
      </c>
      <c r="P68" s="59">
        <v>0.82</v>
      </c>
      <c r="Q68" s="59">
        <v>21.97</v>
      </c>
      <c r="R68" s="197"/>
      <c r="S68" s="197"/>
      <c r="T68" s="197"/>
      <c r="U68" s="197"/>
    </row>
    <row r="69" spans="1:21" s="12" customFormat="1" x14ac:dyDescent="0.25">
      <c r="A69" s="200" t="s">
        <v>1749</v>
      </c>
      <c r="B69" s="59">
        <v>3.85</v>
      </c>
      <c r="C69" s="59">
        <v>57.4</v>
      </c>
      <c r="D69" s="59">
        <v>36.5</v>
      </c>
      <c r="E69" s="59">
        <v>2.4300000000000002</v>
      </c>
      <c r="F69" s="59">
        <v>4.68</v>
      </c>
      <c r="G69" s="59">
        <v>62.18</v>
      </c>
      <c r="H69" s="59">
        <v>26.29</v>
      </c>
      <c r="I69" s="59">
        <v>0.51</v>
      </c>
      <c r="J69" s="59">
        <v>0.34</v>
      </c>
      <c r="K69" s="59">
        <v>265.47000000000003</v>
      </c>
      <c r="L69" s="59">
        <v>25.68</v>
      </c>
      <c r="M69" s="59">
        <v>36.869999999999997</v>
      </c>
      <c r="N69" s="59">
        <v>327.10000000000002</v>
      </c>
      <c r="O69" s="59">
        <v>0</v>
      </c>
      <c r="P69" s="59">
        <v>0.82</v>
      </c>
      <c r="Q69" s="59">
        <v>21.69</v>
      </c>
      <c r="R69" s="197"/>
      <c r="S69" s="197"/>
      <c r="T69" s="197"/>
      <c r="U69" s="197"/>
    </row>
    <row r="70" spans="1:21" s="12" customFormat="1" x14ac:dyDescent="0.25">
      <c r="A70" s="200" t="s">
        <v>1750</v>
      </c>
      <c r="B70" s="59">
        <v>3.43</v>
      </c>
      <c r="C70" s="59">
        <v>56.49</v>
      </c>
      <c r="D70" s="59">
        <v>35.67</v>
      </c>
      <c r="E70" s="59">
        <v>2.99</v>
      </c>
      <c r="F70" s="59">
        <v>6.62</v>
      </c>
      <c r="G70" s="59">
        <v>45.74</v>
      </c>
      <c r="H70" s="59">
        <v>23.5</v>
      </c>
      <c r="I70" s="59">
        <v>0.53</v>
      </c>
      <c r="J70" s="59">
        <v>0.37</v>
      </c>
      <c r="K70" s="59">
        <v>248.12</v>
      </c>
      <c r="L70" s="59">
        <v>26.29</v>
      </c>
      <c r="M70" s="59">
        <v>35.69</v>
      </c>
      <c r="N70" s="59">
        <v>270.8</v>
      </c>
      <c r="O70" s="59">
        <v>0</v>
      </c>
      <c r="P70" s="59">
        <v>0.85</v>
      </c>
      <c r="Q70" s="59">
        <v>21.1</v>
      </c>
      <c r="R70" s="197"/>
      <c r="S70" s="197"/>
      <c r="T70" s="197"/>
      <c r="U70" s="197"/>
    </row>
    <row r="71" spans="1:21" s="12" customFormat="1" x14ac:dyDescent="0.25">
      <c r="A71" s="200" t="s">
        <v>1751</v>
      </c>
      <c r="B71" s="59">
        <v>3.38</v>
      </c>
      <c r="C71" s="59">
        <v>55.93</v>
      </c>
      <c r="D71" s="59">
        <v>35.32</v>
      </c>
      <c r="E71" s="59">
        <v>6.35</v>
      </c>
      <c r="F71" s="59">
        <v>11.37</v>
      </c>
      <c r="G71" s="59">
        <v>42.97</v>
      </c>
      <c r="H71" s="59">
        <v>23.07</v>
      </c>
      <c r="I71" s="59">
        <v>0.5</v>
      </c>
      <c r="J71" s="59">
        <v>0.1</v>
      </c>
      <c r="K71" s="59">
        <v>314.43</v>
      </c>
      <c r="L71" s="59">
        <v>27.06</v>
      </c>
      <c r="M71" s="59">
        <v>34.5</v>
      </c>
      <c r="N71" s="59">
        <v>309.2</v>
      </c>
      <c r="O71" s="59">
        <v>0</v>
      </c>
      <c r="P71" s="59">
        <v>0.86</v>
      </c>
      <c r="Q71" s="59">
        <v>20.81</v>
      </c>
      <c r="R71" s="197"/>
      <c r="S71" s="197"/>
      <c r="T71" s="197"/>
      <c r="U71" s="197"/>
    </row>
    <row r="72" spans="1:21" s="12" customFormat="1" x14ac:dyDescent="0.25">
      <c r="A72" s="200" t="s">
        <v>1752</v>
      </c>
      <c r="B72" s="59">
        <v>3.52</v>
      </c>
      <c r="C72" s="59">
        <v>56.26</v>
      </c>
      <c r="D72" s="59">
        <v>35.61</v>
      </c>
      <c r="E72" s="59">
        <v>3.04</v>
      </c>
      <c r="F72" s="59">
        <v>6.17</v>
      </c>
      <c r="G72" s="59">
        <v>42.97</v>
      </c>
      <c r="H72" s="59">
        <v>23.07</v>
      </c>
      <c r="I72" s="59">
        <v>0.5</v>
      </c>
      <c r="J72" s="59">
        <v>0.79</v>
      </c>
      <c r="K72" s="59">
        <v>204.71</v>
      </c>
      <c r="L72" s="59">
        <v>26.4</v>
      </c>
      <c r="M72" s="59">
        <v>36.44</v>
      </c>
      <c r="N72" s="59">
        <v>225.5</v>
      </c>
      <c r="O72" s="59">
        <v>0</v>
      </c>
      <c r="P72" s="59">
        <v>0.87</v>
      </c>
      <c r="Q72" s="59">
        <v>21.22</v>
      </c>
      <c r="R72" s="197"/>
      <c r="S72" s="197"/>
      <c r="T72" s="197"/>
      <c r="U72" s="197"/>
    </row>
    <row r="73" spans="1:21" s="12" customFormat="1" x14ac:dyDescent="0.25">
      <c r="A73" s="200" t="s">
        <v>1753</v>
      </c>
      <c r="B73" s="59">
        <v>3.47</v>
      </c>
      <c r="C73" s="59">
        <v>55.5</v>
      </c>
      <c r="D73" s="59">
        <v>35.15</v>
      </c>
      <c r="E73" s="59">
        <v>3.97</v>
      </c>
      <c r="F73" s="59">
        <v>4.87</v>
      </c>
      <c r="G73" s="59">
        <v>42.97</v>
      </c>
      <c r="H73" s="59">
        <v>23.07</v>
      </c>
      <c r="I73" s="59">
        <v>0.51</v>
      </c>
      <c r="J73" s="59">
        <v>1.08</v>
      </c>
      <c r="K73" s="59">
        <v>195.04</v>
      </c>
      <c r="L73" s="59">
        <v>25.8</v>
      </c>
      <c r="M73" s="59">
        <v>39.42</v>
      </c>
      <c r="N73" s="59">
        <v>172.5</v>
      </c>
      <c r="O73" s="59">
        <v>0</v>
      </c>
      <c r="P73" s="59">
        <v>0.85</v>
      </c>
      <c r="Q73" s="59">
        <v>21.36</v>
      </c>
      <c r="R73" s="197"/>
      <c r="S73" s="197"/>
      <c r="T73" s="197"/>
      <c r="U73" s="197"/>
    </row>
    <row r="74" spans="1:21" s="12" customFormat="1" x14ac:dyDescent="0.25">
      <c r="A74" s="200" t="s">
        <v>1754</v>
      </c>
      <c r="B74" s="59">
        <v>3.56</v>
      </c>
      <c r="C74" s="59">
        <v>54.1</v>
      </c>
      <c r="D74" s="59">
        <v>34.450000000000003</v>
      </c>
      <c r="E74" s="59">
        <v>4.76</v>
      </c>
      <c r="F74" s="59">
        <v>10.82</v>
      </c>
      <c r="G74" s="59">
        <v>46.38</v>
      </c>
      <c r="H74" s="59">
        <v>23.71</v>
      </c>
      <c r="I74" s="59">
        <v>0.53</v>
      </c>
      <c r="J74" s="59">
        <v>1.2</v>
      </c>
      <c r="K74" s="59">
        <v>175.58</v>
      </c>
      <c r="L74" s="59">
        <v>25.68</v>
      </c>
      <c r="M74" s="59">
        <v>39.880000000000003</v>
      </c>
      <c r="N74" s="59">
        <v>124.8</v>
      </c>
      <c r="O74" s="59">
        <v>0</v>
      </c>
      <c r="P74" s="59">
        <v>0.83</v>
      </c>
      <c r="Q74" s="59">
        <v>21.18</v>
      </c>
      <c r="R74" s="197"/>
      <c r="S74" s="197"/>
      <c r="T74" s="197"/>
      <c r="U74" s="197"/>
    </row>
    <row r="75" spans="1:21" s="12" customFormat="1" x14ac:dyDescent="0.25">
      <c r="A75" s="200" t="s">
        <v>1755</v>
      </c>
      <c r="B75" s="59">
        <v>3.68</v>
      </c>
      <c r="C75" s="59">
        <v>56.9</v>
      </c>
      <c r="D75" s="59">
        <v>36.1</v>
      </c>
      <c r="E75" s="59">
        <v>4.99</v>
      </c>
      <c r="F75" s="59">
        <v>8.0500000000000007</v>
      </c>
      <c r="G75" s="59">
        <v>46.96</v>
      </c>
      <c r="H75" s="59">
        <v>23.81</v>
      </c>
      <c r="I75" s="59">
        <v>0.53</v>
      </c>
      <c r="J75" s="59">
        <v>0.04</v>
      </c>
      <c r="K75" s="59">
        <v>18.82</v>
      </c>
      <c r="L75" s="59">
        <v>26.11</v>
      </c>
      <c r="M75" s="59">
        <v>37.1</v>
      </c>
      <c r="N75" s="59">
        <v>110</v>
      </c>
      <c r="O75" s="59">
        <v>0</v>
      </c>
      <c r="P75" s="59">
        <v>0.84</v>
      </c>
      <c r="Q75" s="59">
        <v>22.17</v>
      </c>
      <c r="R75" s="197"/>
      <c r="S75" s="197"/>
      <c r="T75" s="197"/>
      <c r="U75" s="197"/>
    </row>
    <row r="76" spans="1:21" s="12" customFormat="1" x14ac:dyDescent="0.25">
      <c r="A76" s="200" t="s">
        <v>1756</v>
      </c>
      <c r="B76" s="59">
        <v>3.66</v>
      </c>
      <c r="C76" s="59">
        <v>56.56</v>
      </c>
      <c r="D76" s="59">
        <v>35.89</v>
      </c>
      <c r="E76" s="59">
        <v>4.3499999999999996</v>
      </c>
      <c r="F76" s="59">
        <v>8.65</v>
      </c>
      <c r="G76" s="59">
        <v>46.96</v>
      </c>
      <c r="H76" s="59">
        <v>23.81</v>
      </c>
      <c r="I76" s="59">
        <v>0.52</v>
      </c>
      <c r="J76" s="59">
        <v>0.28000000000000003</v>
      </c>
      <c r="K76" s="59">
        <v>10.23</v>
      </c>
      <c r="L76" s="59">
        <v>26.35</v>
      </c>
      <c r="M76" s="59">
        <v>34.58</v>
      </c>
      <c r="N76" s="59">
        <v>78.900000000000006</v>
      </c>
      <c r="O76" s="59">
        <v>0</v>
      </c>
      <c r="P76" s="59">
        <v>0.82</v>
      </c>
      <c r="Q76" s="59">
        <v>22.24</v>
      </c>
      <c r="R76" s="197"/>
      <c r="S76" s="197"/>
      <c r="T76" s="197"/>
      <c r="U76" s="197"/>
    </row>
    <row r="77" spans="1:21" s="12" customFormat="1" x14ac:dyDescent="0.25">
      <c r="A77" s="200" t="s">
        <v>1757</v>
      </c>
      <c r="B77" s="59">
        <v>4.88</v>
      </c>
      <c r="C77" s="59">
        <v>57.77</v>
      </c>
      <c r="D77" s="59">
        <v>37.54</v>
      </c>
      <c r="E77" s="59">
        <v>3.84</v>
      </c>
      <c r="F77" s="59">
        <v>5.48</v>
      </c>
      <c r="G77" s="59">
        <v>46.96</v>
      </c>
      <c r="H77" s="59">
        <v>23.81</v>
      </c>
      <c r="I77" s="59">
        <v>0.52</v>
      </c>
      <c r="J77" s="59">
        <v>0.47</v>
      </c>
      <c r="K77" s="59">
        <v>359.35</v>
      </c>
      <c r="L77" s="59">
        <v>26.14</v>
      </c>
      <c r="M77" s="59">
        <v>34.869999999999997</v>
      </c>
      <c r="N77" s="59">
        <v>61.7</v>
      </c>
      <c r="O77" s="59">
        <v>0</v>
      </c>
      <c r="P77" s="59">
        <v>0.83</v>
      </c>
      <c r="Q77" s="59">
        <v>21.74</v>
      </c>
      <c r="R77" s="197"/>
      <c r="S77" s="197"/>
      <c r="T77" s="197"/>
      <c r="U77" s="197"/>
    </row>
    <row r="78" spans="1:21" s="12" customFormat="1" x14ac:dyDescent="0.25">
      <c r="A78" s="200" t="s">
        <v>1758</v>
      </c>
      <c r="B78" s="59">
        <v>4.93</v>
      </c>
      <c r="C78" s="59">
        <v>58.69</v>
      </c>
      <c r="D78" s="59">
        <v>38.08</v>
      </c>
      <c r="E78" s="59">
        <v>3.72</v>
      </c>
      <c r="F78" s="59">
        <v>8.1</v>
      </c>
      <c r="G78" s="59">
        <v>44.94</v>
      </c>
      <c r="H78" s="59">
        <v>23.22</v>
      </c>
      <c r="I78" s="59">
        <v>0.53</v>
      </c>
      <c r="J78" s="59">
        <v>0.28999999999999998</v>
      </c>
      <c r="K78" s="59">
        <v>1.83</v>
      </c>
      <c r="L78" s="59">
        <v>25.77</v>
      </c>
      <c r="M78" s="59">
        <v>34.61</v>
      </c>
      <c r="N78" s="59">
        <v>45.3</v>
      </c>
      <c r="O78" s="59">
        <v>0</v>
      </c>
      <c r="P78" s="59">
        <v>0.83</v>
      </c>
      <c r="Q78" s="59">
        <v>22.75</v>
      </c>
      <c r="R78" s="197"/>
      <c r="S78" s="197"/>
      <c r="T78" s="197"/>
      <c r="U78" s="197"/>
    </row>
    <row r="79" spans="1:21" s="12" customFormat="1" x14ac:dyDescent="0.25">
      <c r="A79" s="200" t="s">
        <v>1759</v>
      </c>
      <c r="B79" s="59">
        <v>5.8</v>
      </c>
      <c r="C79" s="59">
        <v>73.11</v>
      </c>
      <c r="D79" s="59">
        <v>46.74</v>
      </c>
      <c r="E79" s="59">
        <v>4.75</v>
      </c>
      <c r="F79" s="59">
        <v>15.69</v>
      </c>
      <c r="G79" s="59">
        <v>44.59</v>
      </c>
      <c r="H79" s="59">
        <v>23.12</v>
      </c>
      <c r="I79" s="59">
        <v>0.53</v>
      </c>
      <c r="J79" s="59">
        <v>0.13</v>
      </c>
      <c r="K79" s="59">
        <v>358.25</v>
      </c>
      <c r="L79" s="59">
        <v>25.44</v>
      </c>
      <c r="M79" s="59">
        <v>34.67</v>
      </c>
      <c r="N79" s="59">
        <v>30.5</v>
      </c>
      <c r="O79" s="59">
        <v>0</v>
      </c>
      <c r="P79" s="59">
        <v>0.93</v>
      </c>
      <c r="Q79" s="59">
        <v>25.15</v>
      </c>
      <c r="R79" s="197"/>
      <c r="S79" s="197"/>
      <c r="T79" s="197"/>
      <c r="U79" s="197"/>
    </row>
    <row r="80" spans="1:21" s="12" customFormat="1" x14ac:dyDescent="0.25">
      <c r="A80" s="200" t="s">
        <v>1760</v>
      </c>
      <c r="B80" s="59">
        <v>7.05</v>
      </c>
      <c r="C80" s="59">
        <v>83.41</v>
      </c>
      <c r="D80" s="59">
        <v>53.43</v>
      </c>
      <c r="E80" s="59">
        <v>3.94</v>
      </c>
      <c r="F80" s="59">
        <v>7.77</v>
      </c>
      <c r="G80" s="59">
        <v>44.59</v>
      </c>
      <c r="H80" s="59">
        <v>23.12</v>
      </c>
      <c r="I80" s="59">
        <v>0.51</v>
      </c>
      <c r="J80" s="59">
        <v>0.17</v>
      </c>
      <c r="K80" s="59">
        <v>272.51</v>
      </c>
      <c r="L80" s="59">
        <v>25.31</v>
      </c>
      <c r="M80" s="59">
        <v>33.83</v>
      </c>
      <c r="N80" s="59">
        <v>17.2</v>
      </c>
      <c r="O80" s="59">
        <v>0</v>
      </c>
      <c r="P80" s="59">
        <v>0.94</v>
      </c>
      <c r="Q80" s="59">
        <v>24.16</v>
      </c>
      <c r="R80" s="197"/>
      <c r="S80" s="197"/>
      <c r="T80" s="197"/>
      <c r="U80" s="197"/>
    </row>
    <row r="81" spans="1:26" s="12" customFormat="1" x14ac:dyDescent="0.25">
      <c r="A81" s="200" t="s">
        <v>1761</v>
      </c>
      <c r="B81" s="59">
        <v>4.01</v>
      </c>
      <c r="C81" s="59">
        <v>80.87</v>
      </c>
      <c r="D81" s="59">
        <v>49.59</v>
      </c>
      <c r="E81" s="59">
        <v>3.85</v>
      </c>
      <c r="F81" s="59">
        <v>7.84</v>
      </c>
      <c r="G81" s="59">
        <v>44.59</v>
      </c>
      <c r="H81" s="59">
        <v>23.12</v>
      </c>
      <c r="I81" s="59">
        <v>0.51</v>
      </c>
      <c r="J81" s="59">
        <v>0.19</v>
      </c>
      <c r="K81" s="59">
        <v>247.15</v>
      </c>
      <c r="L81" s="59">
        <v>25.03</v>
      </c>
      <c r="M81" s="59">
        <v>34.880000000000003</v>
      </c>
      <c r="N81" s="59">
        <v>6.8</v>
      </c>
      <c r="O81" s="59">
        <v>0</v>
      </c>
      <c r="P81" s="59">
        <v>0.92</v>
      </c>
      <c r="Q81" s="59">
        <v>23.74</v>
      </c>
      <c r="R81" s="197"/>
      <c r="S81" s="197"/>
      <c r="T81" s="197"/>
      <c r="U81" s="197"/>
    </row>
    <row r="82" spans="1:26" s="12" customFormat="1" x14ac:dyDescent="0.25">
      <c r="A82" s="200" t="s">
        <v>1762</v>
      </c>
      <c r="B82" s="59">
        <v>6.62</v>
      </c>
      <c r="C82" s="59">
        <v>84.66</v>
      </c>
      <c r="D82" s="59">
        <v>53.77</v>
      </c>
      <c r="E82" s="59">
        <v>4.08</v>
      </c>
      <c r="F82" s="59">
        <v>5.76</v>
      </c>
      <c r="G82" s="59">
        <v>52.39</v>
      </c>
      <c r="H82" s="59">
        <v>22.69</v>
      </c>
      <c r="I82" s="59">
        <v>0.52</v>
      </c>
      <c r="J82" s="59">
        <v>0.59</v>
      </c>
      <c r="K82" s="59">
        <v>180.34</v>
      </c>
      <c r="L82" s="59">
        <v>24.48</v>
      </c>
      <c r="M82" s="59">
        <v>37.840000000000003</v>
      </c>
      <c r="N82" s="59">
        <v>4.8</v>
      </c>
      <c r="O82" s="59">
        <v>0</v>
      </c>
      <c r="P82" s="59">
        <v>0.92</v>
      </c>
      <c r="Q82" s="59">
        <v>22.97</v>
      </c>
      <c r="R82" s="197"/>
      <c r="S82" s="197"/>
      <c r="T82" s="197"/>
      <c r="U82" s="197"/>
    </row>
    <row r="83" spans="1:26" s="12" customFormat="1" x14ac:dyDescent="0.25">
      <c r="A83" s="200" t="s">
        <v>1763</v>
      </c>
      <c r="B83" s="59">
        <v>6.4</v>
      </c>
      <c r="C83" s="59">
        <v>81.010000000000005</v>
      </c>
      <c r="D83" s="59">
        <v>51.58</v>
      </c>
      <c r="E83" s="59">
        <v>3.17</v>
      </c>
      <c r="F83" s="59">
        <v>3.16</v>
      </c>
      <c r="G83" s="59">
        <v>53.7</v>
      </c>
      <c r="H83" s="59">
        <v>22.62</v>
      </c>
      <c r="I83" s="59">
        <v>0.52</v>
      </c>
      <c r="J83" s="59">
        <v>0.64</v>
      </c>
      <c r="K83" s="59">
        <v>182.15</v>
      </c>
      <c r="L83" s="59">
        <v>24.13</v>
      </c>
      <c r="M83" s="59">
        <v>40.57</v>
      </c>
      <c r="N83" s="59">
        <v>4.5999999999999996</v>
      </c>
      <c r="O83" s="59">
        <v>0</v>
      </c>
      <c r="P83" s="59">
        <v>0.92</v>
      </c>
      <c r="Q83" s="59">
        <v>22.98</v>
      </c>
      <c r="R83" s="197"/>
      <c r="S83" s="197"/>
      <c r="T83" s="197"/>
      <c r="U83" s="197"/>
    </row>
    <row r="84" spans="1:26" s="12" customFormat="1" x14ac:dyDescent="0.25">
      <c r="A84" s="200" t="s">
        <v>1764</v>
      </c>
      <c r="B84" s="59">
        <v>5.96</v>
      </c>
      <c r="C84" s="59">
        <v>79.17</v>
      </c>
      <c r="D84" s="59">
        <v>50.22</v>
      </c>
      <c r="E84" s="59">
        <v>3.54</v>
      </c>
      <c r="F84" s="59">
        <v>4.78</v>
      </c>
      <c r="G84" s="59">
        <v>53.7</v>
      </c>
      <c r="H84" s="59">
        <v>22.62</v>
      </c>
      <c r="I84" s="59">
        <v>0.55000000000000004</v>
      </c>
      <c r="J84" s="59">
        <v>0.44</v>
      </c>
      <c r="K84" s="59">
        <v>185.2</v>
      </c>
      <c r="L84" s="59">
        <v>23.84</v>
      </c>
      <c r="M84" s="59">
        <v>40.29</v>
      </c>
      <c r="N84" s="59">
        <v>4.7</v>
      </c>
      <c r="O84" s="59">
        <v>0</v>
      </c>
      <c r="P84" s="59">
        <v>0.91</v>
      </c>
      <c r="Q84" s="59">
        <v>23.68</v>
      </c>
      <c r="R84" s="197"/>
      <c r="S84" s="197"/>
      <c r="T84" s="197"/>
      <c r="U84" s="197"/>
    </row>
    <row r="85" spans="1:26" s="12" customFormat="1" x14ac:dyDescent="0.25">
      <c r="A85" s="200" t="s">
        <v>1765</v>
      </c>
      <c r="B85" s="59">
        <v>6.01</v>
      </c>
      <c r="C85" s="59">
        <v>79.11</v>
      </c>
      <c r="D85" s="59">
        <v>50.22</v>
      </c>
      <c r="E85" s="59">
        <v>3.76</v>
      </c>
      <c r="F85" s="59">
        <v>6.07</v>
      </c>
      <c r="G85" s="59">
        <v>53.7</v>
      </c>
      <c r="H85" s="59">
        <v>22.62</v>
      </c>
      <c r="I85" s="59">
        <v>0.56000000000000005</v>
      </c>
      <c r="J85" s="59">
        <v>0.12</v>
      </c>
      <c r="K85" s="59">
        <v>285.23</v>
      </c>
      <c r="L85" s="59">
        <v>23.38</v>
      </c>
      <c r="M85" s="59">
        <v>42.17</v>
      </c>
      <c r="N85" s="59">
        <v>5.3</v>
      </c>
      <c r="O85" s="59">
        <v>0</v>
      </c>
      <c r="P85" s="59">
        <v>0.97</v>
      </c>
      <c r="Q85" s="59">
        <v>23.36</v>
      </c>
      <c r="R85" s="197"/>
      <c r="S85" s="197"/>
      <c r="T85" s="197"/>
      <c r="U85" s="197"/>
    </row>
    <row r="86" spans="1:26" s="12" customFormat="1" x14ac:dyDescent="0.25">
      <c r="A86" s="200" t="s">
        <v>1766</v>
      </c>
      <c r="B86" s="59">
        <v>6.89</v>
      </c>
      <c r="C86" s="59">
        <v>80.010000000000005</v>
      </c>
      <c r="D86" s="59">
        <v>51.42</v>
      </c>
      <c r="E86" s="59">
        <v>4.17</v>
      </c>
      <c r="F86" s="59">
        <v>3.99</v>
      </c>
      <c r="G86" s="59">
        <v>61.93</v>
      </c>
      <c r="H86" s="59">
        <v>24.47</v>
      </c>
      <c r="I86" s="59">
        <v>0.54</v>
      </c>
      <c r="J86" s="59">
        <v>0.78</v>
      </c>
      <c r="K86" s="59">
        <v>188.75</v>
      </c>
      <c r="L86" s="59">
        <v>23.28</v>
      </c>
      <c r="M86" s="59">
        <v>44.51</v>
      </c>
      <c r="N86" s="59">
        <v>3.8</v>
      </c>
      <c r="O86" s="59">
        <v>0</v>
      </c>
      <c r="P86" s="59">
        <v>1.05</v>
      </c>
      <c r="Q86" s="59">
        <v>22.47</v>
      </c>
      <c r="R86" s="197"/>
      <c r="S86" s="197"/>
      <c r="T86" s="197"/>
      <c r="U86" s="197"/>
    </row>
    <row r="87" spans="1:26" s="12" customFormat="1" x14ac:dyDescent="0.25">
      <c r="A87" s="200" t="s">
        <v>1767</v>
      </c>
      <c r="B87" s="59">
        <v>6.97</v>
      </c>
      <c r="C87" s="59">
        <v>75.94</v>
      </c>
      <c r="D87" s="59">
        <v>49.24</v>
      </c>
      <c r="E87" s="59">
        <v>3.76</v>
      </c>
      <c r="F87" s="59">
        <v>3.47</v>
      </c>
      <c r="G87" s="59">
        <v>63.31</v>
      </c>
      <c r="H87" s="59">
        <v>24.76</v>
      </c>
      <c r="I87" s="59">
        <v>0.54</v>
      </c>
      <c r="J87" s="59">
        <v>0.92</v>
      </c>
      <c r="K87" s="59">
        <v>186.69</v>
      </c>
      <c r="L87" s="59">
        <v>23.21</v>
      </c>
      <c r="M87" s="59">
        <v>46.11</v>
      </c>
      <c r="N87" s="59">
        <v>4.2</v>
      </c>
      <c r="O87" s="59">
        <v>0</v>
      </c>
      <c r="P87" s="59">
        <v>1.03</v>
      </c>
      <c r="Q87" s="59">
        <v>22.59</v>
      </c>
      <c r="R87" s="197"/>
      <c r="S87" s="197"/>
      <c r="T87" s="197"/>
      <c r="U87" s="197"/>
    </row>
    <row r="88" spans="1:26" s="12" customFormat="1" x14ac:dyDescent="0.25">
      <c r="A88" s="200" t="s">
        <v>1768</v>
      </c>
      <c r="B88" s="59">
        <v>7.08</v>
      </c>
      <c r="C88" s="59">
        <v>74.58</v>
      </c>
      <c r="D88" s="59">
        <v>48.58</v>
      </c>
      <c r="E88" s="59">
        <v>1.71</v>
      </c>
      <c r="F88" s="59">
        <v>4.07</v>
      </c>
      <c r="G88" s="59">
        <v>63.31</v>
      </c>
      <c r="H88" s="59">
        <v>24.76</v>
      </c>
      <c r="I88" s="59">
        <v>0.56000000000000005</v>
      </c>
      <c r="J88" s="59">
        <v>0.76</v>
      </c>
      <c r="K88" s="59">
        <v>191.98</v>
      </c>
      <c r="L88" s="59">
        <v>22.99</v>
      </c>
      <c r="M88" s="59">
        <v>47.08</v>
      </c>
      <c r="N88" s="59">
        <v>4.5999999999999996</v>
      </c>
      <c r="O88" s="59">
        <v>0</v>
      </c>
      <c r="P88" s="59">
        <v>1.04</v>
      </c>
      <c r="Q88" s="59">
        <v>22.81</v>
      </c>
      <c r="R88" s="197"/>
      <c r="S88" s="197"/>
      <c r="T88" s="197"/>
      <c r="U88" s="197"/>
    </row>
    <row r="89" spans="1:26" s="12" customFormat="1" x14ac:dyDescent="0.25">
      <c r="A89" s="200" t="s">
        <v>1769</v>
      </c>
      <c r="B89" s="59">
        <v>7.55</v>
      </c>
      <c r="C89" s="59">
        <v>74.88</v>
      </c>
      <c r="D89" s="59">
        <v>49.12</v>
      </c>
      <c r="E89" s="59">
        <v>2.79</v>
      </c>
      <c r="F89" s="59">
        <v>3.07</v>
      </c>
      <c r="G89" s="59">
        <v>63.31</v>
      </c>
      <c r="H89" s="59">
        <v>24.76</v>
      </c>
      <c r="I89" s="59">
        <v>0.6</v>
      </c>
      <c r="J89" s="59">
        <v>0.97</v>
      </c>
      <c r="K89" s="59">
        <v>184.25</v>
      </c>
      <c r="L89" s="59">
        <v>22.9</v>
      </c>
      <c r="M89" s="59">
        <v>46.86</v>
      </c>
      <c r="N89" s="59">
        <v>4.4000000000000004</v>
      </c>
      <c r="O89" s="59">
        <v>0</v>
      </c>
      <c r="P89" s="59">
        <v>1.04</v>
      </c>
      <c r="Q89" s="59">
        <v>22.93</v>
      </c>
      <c r="R89" s="197"/>
      <c r="S89" s="197"/>
      <c r="T89" s="197"/>
      <c r="U89" s="197"/>
    </row>
    <row r="90" spans="1:26" s="12" customFormat="1" x14ac:dyDescent="0.25">
      <c r="A90" s="200" t="s">
        <v>1770</v>
      </c>
      <c r="B90" s="59">
        <v>7.35</v>
      </c>
      <c r="C90" s="59">
        <v>72.72</v>
      </c>
      <c r="D90" s="59">
        <v>47.77</v>
      </c>
      <c r="E90" s="59">
        <v>2.84</v>
      </c>
      <c r="F90" s="59">
        <v>3.75</v>
      </c>
      <c r="G90" s="59">
        <v>75.89</v>
      </c>
      <c r="H90" s="59">
        <v>26.26</v>
      </c>
      <c r="I90" s="59">
        <v>0.6</v>
      </c>
      <c r="J90" s="59">
        <v>0.71</v>
      </c>
      <c r="K90" s="59">
        <v>198.05</v>
      </c>
      <c r="L90" s="59">
        <v>22.77</v>
      </c>
      <c r="M90" s="59">
        <v>46.95</v>
      </c>
      <c r="N90" s="59">
        <v>4.8</v>
      </c>
      <c r="O90" s="59">
        <v>0</v>
      </c>
      <c r="P90" s="59">
        <v>1.04</v>
      </c>
      <c r="Q90" s="59">
        <v>23.12</v>
      </c>
      <c r="R90" s="197"/>
      <c r="S90" s="197"/>
      <c r="T90" s="197"/>
      <c r="U90" s="197"/>
    </row>
    <row r="91" spans="1:26" s="12" customFormat="1" x14ac:dyDescent="0.25">
      <c r="A91" s="200" t="s">
        <v>1771</v>
      </c>
      <c r="B91" s="59">
        <v>7.08</v>
      </c>
      <c r="C91" s="59">
        <v>70.97</v>
      </c>
      <c r="D91" s="59">
        <v>46.58</v>
      </c>
      <c r="E91" s="59">
        <v>3.37</v>
      </c>
      <c r="F91" s="59">
        <v>4.7300000000000004</v>
      </c>
      <c r="G91" s="59">
        <v>78.02</v>
      </c>
      <c r="H91" s="59">
        <v>26.5</v>
      </c>
      <c r="I91" s="59">
        <v>0.6</v>
      </c>
      <c r="J91" s="59">
        <v>0.68</v>
      </c>
      <c r="K91" s="59">
        <v>198.72</v>
      </c>
      <c r="L91" s="59">
        <v>22.47</v>
      </c>
      <c r="M91" s="59">
        <v>48.12</v>
      </c>
      <c r="N91" s="59">
        <v>5</v>
      </c>
      <c r="O91" s="59">
        <v>0</v>
      </c>
      <c r="P91" s="59">
        <v>1.03</v>
      </c>
      <c r="Q91" s="59">
        <v>23.25</v>
      </c>
      <c r="R91" s="197"/>
      <c r="S91" s="197"/>
      <c r="T91" s="197"/>
      <c r="U91" s="197"/>
    </row>
    <row r="92" spans="1:26" s="12" customFormat="1" x14ac:dyDescent="0.25">
      <c r="A92" s="200" t="s">
        <v>1772</v>
      </c>
      <c r="B92" s="59">
        <v>6.86</v>
      </c>
      <c r="C92" s="59">
        <v>69.3</v>
      </c>
      <c r="D92" s="59">
        <v>45.49</v>
      </c>
      <c r="E92" s="59">
        <v>2.41</v>
      </c>
      <c r="F92" s="59">
        <v>3.61</v>
      </c>
      <c r="G92" s="59">
        <v>78.02</v>
      </c>
      <c r="H92" s="59">
        <v>26.5</v>
      </c>
      <c r="I92" s="59">
        <v>0.57999999999999996</v>
      </c>
      <c r="J92" s="59">
        <v>0.35</v>
      </c>
      <c r="K92" s="59">
        <v>222.23</v>
      </c>
      <c r="L92" s="59">
        <v>22.22</v>
      </c>
      <c r="M92" s="59">
        <v>48.65</v>
      </c>
      <c r="N92" s="59">
        <v>4.9000000000000004</v>
      </c>
      <c r="O92" s="59">
        <v>0</v>
      </c>
      <c r="P92" s="59">
        <v>1.02</v>
      </c>
      <c r="Q92" s="59">
        <v>23.71</v>
      </c>
      <c r="R92" s="197"/>
      <c r="S92" s="197"/>
      <c r="T92" s="197"/>
      <c r="U92" s="197"/>
    </row>
    <row r="93" spans="1:26" s="12" customFormat="1" x14ac:dyDescent="0.25">
      <c r="A93" s="200" t="s">
        <v>1773</v>
      </c>
      <c r="B93" s="59">
        <v>6.59</v>
      </c>
      <c r="C93" s="59">
        <v>67.569999999999993</v>
      </c>
      <c r="D93" s="59">
        <v>44.31</v>
      </c>
      <c r="E93" s="59">
        <v>2.1800000000000002</v>
      </c>
      <c r="F93" s="59">
        <v>3.16</v>
      </c>
      <c r="G93" s="59">
        <v>78.02</v>
      </c>
      <c r="H93" s="59">
        <v>26.5</v>
      </c>
      <c r="I93" s="59">
        <v>0.6</v>
      </c>
      <c r="J93" s="59">
        <v>0.25</v>
      </c>
      <c r="K93" s="59">
        <v>231.79</v>
      </c>
      <c r="L93" s="59">
        <v>21.96</v>
      </c>
      <c r="M93" s="59">
        <v>49.43</v>
      </c>
      <c r="N93" s="59">
        <v>4.8</v>
      </c>
      <c r="O93" s="59">
        <v>0</v>
      </c>
      <c r="P93" s="59">
        <v>1.02</v>
      </c>
      <c r="Q93" s="59">
        <v>25.3</v>
      </c>
      <c r="R93" s="197"/>
      <c r="S93" s="197"/>
      <c r="T93" s="197"/>
      <c r="U93" s="197"/>
    </row>
    <row r="94" spans="1:26" s="12" customFormat="1" x14ac:dyDescent="0.25">
      <c r="A94" s="200" t="s">
        <v>1774</v>
      </c>
      <c r="B94" s="59">
        <v>6.36</v>
      </c>
      <c r="C94" s="59">
        <v>66.37</v>
      </c>
      <c r="D94" s="59">
        <v>43.47</v>
      </c>
      <c r="E94" s="59">
        <v>2.0499999999999998</v>
      </c>
      <c r="F94" s="59">
        <v>2.85</v>
      </c>
      <c r="G94" s="59">
        <v>56.02</v>
      </c>
      <c r="H94" s="59">
        <v>23.95</v>
      </c>
      <c r="I94" s="59">
        <v>0.57999999999999996</v>
      </c>
      <c r="J94" s="59">
        <v>1.06</v>
      </c>
      <c r="K94" s="59">
        <v>184.44</v>
      </c>
      <c r="L94" s="59">
        <v>21.83</v>
      </c>
      <c r="M94" s="59">
        <v>50.52</v>
      </c>
      <c r="N94" s="59">
        <v>4.2</v>
      </c>
      <c r="O94" s="59">
        <v>0</v>
      </c>
      <c r="P94" s="59">
        <v>1.03</v>
      </c>
      <c r="Q94" s="59">
        <v>25.13</v>
      </c>
      <c r="R94" s="197"/>
      <c r="S94" s="197"/>
      <c r="T94" s="197"/>
      <c r="U94" s="197"/>
    </row>
    <row r="95" spans="1:26" s="12" customFormat="1" x14ac:dyDescent="0.25">
      <c r="A95" s="200" t="s">
        <v>1775</v>
      </c>
      <c r="B95" s="59">
        <v>6.06</v>
      </c>
      <c r="C95" s="59">
        <v>65.260000000000005</v>
      </c>
      <c r="D95" s="59">
        <v>42.62</v>
      </c>
      <c r="E95" s="59">
        <v>1.71</v>
      </c>
      <c r="F95" s="59">
        <v>2.25</v>
      </c>
      <c r="G95" s="59">
        <v>52.64</v>
      </c>
      <c r="H95" s="59">
        <v>23.56</v>
      </c>
      <c r="I95" s="59">
        <v>0.61</v>
      </c>
      <c r="J95" s="59">
        <v>1.19</v>
      </c>
      <c r="K95" s="59">
        <v>183.86</v>
      </c>
      <c r="L95" s="59">
        <v>21.61</v>
      </c>
      <c r="M95" s="59">
        <v>51.09</v>
      </c>
      <c r="N95" s="59">
        <v>4.5999999999999996</v>
      </c>
      <c r="O95" s="59">
        <v>0</v>
      </c>
      <c r="P95" s="59">
        <v>1.01</v>
      </c>
      <c r="Q95" s="59">
        <v>25.13</v>
      </c>
      <c r="R95" s="197"/>
      <c r="S95" s="197"/>
      <c r="T95" s="197"/>
      <c r="U95" s="197"/>
    </row>
    <row r="96" spans="1:26" s="12" customFormat="1" x14ac:dyDescent="0.25">
      <c r="A96" s="200" t="s">
        <v>1776</v>
      </c>
      <c r="B96" s="59">
        <v>5.64</v>
      </c>
      <c r="C96" s="59">
        <v>63.75</v>
      </c>
      <c r="D96" s="59">
        <v>41.45</v>
      </c>
      <c r="E96" s="59">
        <v>1.68</v>
      </c>
      <c r="F96" s="59">
        <v>2.5099999999999998</v>
      </c>
      <c r="G96" s="59">
        <v>52.64</v>
      </c>
      <c r="H96" s="59">
        <v>23.56</v>
      </c>
      <c r="I96" s="59">
        <v>0.61</v>
      </c>
      <c r="J96" s="59">
        <v>1.17</v>
      </c>
      <c r="K96" s="59">
        <v>189.92</v>
      </c>
      <c r="L96" s="59">
        <v>21.38</v>
      </c>
      <c r="M96" s="59">
        <v>52.08</v>
      </c>
      <c r="N96" s="59">
        <v>4.5999999999999996</v>
      </c>
      <c r="O96" s="59">
        <v>0</v>
      </c>
      <c r="P96" s="59">
        <v>0.99</v>
      </c>
      <c r="Q96" s="59">
        <v>24.98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1777</v>
      </c>
      <c r="B97" s="59">
        <v>5.19</v>
      </c>
      <c r="C97" s="59">
        <v>62.55</v>
      </c>
      <c r="D97" s="59">
        <v>40.42</v>
      </c>
      <c r="E97" s="59">
        <v>1.58</v>
      </c>
      <c r="F97" s="59">
        <v>2.42</v>
      </c>
      <c r="G97" s="59">
        <v>52.64</v>
      </c>
      <c r="H97" s="59">
        <v>23.56</v>
      </c>
      <c r="I97" s="59">
        <v>0.62</v>
      </c>
      <c r="J97" s="59">
        <v>0.63</v>
      </c>
      <c r="K97" s="59">
        <v>203.41</v>
      </c>
      <c r="L97" s="59">
        <v>21.27</v>
      </c>
      <c r="M97" s="59">
        <v>52.65</v>
      </c>
      <c r="N97" s="59">
        <v>4.7</v>
      </c>
      <c r="O97" s="59">
        <v>0</v>
      </c>
      <c r="P97" s="59">
        <v>0.98</v>
      </c>
      <c r="Q97" s="59">
        <v>24.71</v>
      </c>
      <c r="R97" s="197"/>
      <c r="S97" s="197"/>
      <c r="T97" s="197"/>
      <c r="U97" s="197"/>
    </row>
    <row r="98" spans="1:33" s="12" customFormat="1" x14ac:dyDescent="0.25">
      <c r="A98" s="200" t="s">
        <v>1778</v>
      </c>
      <c r="B98" s="59">
        <v>4.8899999999999997</v>
      </c>
      <c r="C98" s="59">
        <v>61.38</v>
      </c>
      <c r="D98" s="59">
        <v>39.54</v>
      </c>
      <c r="E98" s="59">
        <v>2.13</v>
      </c>
      <c r="F98" s="59">
        <v>2.4300000000000002</v>
      </c>
      <c r="G98" s="59">
        <v>61.45</v>
      </c>
      <c r="H98" s="59">
        <v>25.21</v>
      </c>
      <c r="I98" s="59">
        <v>0.57999999999999996</v>
      </c>
      <c r="J98" s="59">
        <v>0.53</v>
      </c>
      <c r="K98" s="59">
        <v>206.79</v>
      </c>
      <c r="L98" s="59">
        <v>21.21</v>
      </c>
      <c r="M98" s="59">
        <v>53.03</v>
      </c>
      <c r="N98" s="59">
        <v>4.9000000000000004</v>
      </c>
      <c r="O98" s="59">
        <v>0</v>
      </c>
      <c r="P98" s="59">
        <v>0.96</v>
      </c>
      <c r="Q98" s="59">
        <v>24.53</v>
      </c>
      <c r="R98" s="197"/>
      <c r="S98" s="197"/>
      <c r="T98" s="197"/>
      <c r="U98" s="197"/>
    </row>
    <row r="99" spans="1:33" s="12" customFormat="1" x14ac:dyDescent="0.25">
      <c r="A99" s="200" t="s">
        <v>1779</v>
      </c>
      <c r="B99" s="59">
        <v>4.7699999999999996</v>
      </c>
      <c r="C99" s="59">
        <v>60.31</v>
      </c>
      <c r="D99" s="59">
        <v>38.85</v>
      </c>
      <c r="E99" s="59">
        <v>2.27</v>
      </c>
      <c r="F99" s="59">
        <v>3.01</v>
      </c>
      <c r="G99" s="59">
        <v>62.93</v>
      </c>
      <c r="H99" s="59">
        <v>25.46</v>
      </c>
      <c r="I99" s="59">
        <v>0.61</v>
      </c>
      <c r="J99" s="59">
        <v>0.45</v>
      </c>
      <c r="K99" s="59">
        <v>211.46</v>
      </c>
      <c r="L99" s="59">
        <v>21.22</v>
      </c>
      <c r="M99" s="59">
        <v>53.24</v>
      </c>
      <c r="N99" s="59">
        <v>4.8</v>
      </c>
      <c r="O99" s="59">
        <v>0</v>
      </c>
      <c r="P99" s="59">
        <v>0.96</v>
      </c>
      <c r="Q99" s="59">
        <v>24.11</v>
      </c>
      <c r="R99" s="197"/>
      <c r="S99" s="197"/>
      <c r="T99" s="197"/>
      <c r="U99" s="197"/>
    </row>
    <row r="100" spans="1:33" s="12" customFormat="1" x14ac:dyDescent="0.25">
      <c r="A100" s="200" t="s">
        <v>1780</v>
      </c>
      <c r="B100" s="59">
        <v>4.8099999999999996</v>
      </c>
      <c r="C100" s="59">
        <v>59.46</v>
      </c>
      <c r="D100" s="59">
        <v>38.409999999999997</v>
      </c>
      <c r="E100" s="59">
        <v>1.91</v>
      </c>
      <c r="F100" s="59">
        <v>3.34</v>
      </c>
      <c r="G100" s="59">
        <v>62.93</v>
      </c>
      <c r="H100" s="59">
        <v>25.46</v>
      </c>
      <c r="I100" s="59">
        <v>0.59</v>
      </c>
      <c r="J100" s="59">
        <v>0.95</v>
      </c>
      <c r="K100" s="59">
        <v>182.42</v>
      </c>
      <c r="L100" s="59">
        <v>21.26</v>
      </c>
      <c r="M100" s="59">
        <v>53.52</v>
      </c>
      <c r="N100" s="59">
        <v>4.8</v>
      </c>
      <c r="O100" s="59">
        <v>0</v>
      </c>
      <c r="P100" s="59">
        <v>0.95</v>
      </c>
      <c r="Q100" s="59">
        <v>23.27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1781</v>
      </c>
      <c r="B101" s="59">
        <v>5.03</v>
      </c>
      <c r="C101" s="59">
        <v>59.23</v>
      </c>
      <c r="D101" s="59">
        <v>38.47</v>
      </c>
      <c r="E101" s="59">
        <v>1.78</v>
      </c>
      <c r="F101" s="59">
        <v>3.53</v>
      </c>
      <c r="G101" s="59">
        <v>62.93</v>
      </c>
      <c r="H101" s="59">
        <v>25.46</v>
      </c>
      <c r="I101" s="59">
        <v>0.56000000000000005</v>
      </c>
      <c r="J101" s="59">
        <v>0.51</v>
      </c>
      <c r="K101" s="59">
        <v>200.71</v>
      </c>
      <c r="L101" s="59">
        <v>21.25</v>
      </c>
      <c r="M101" s="59">
        <v>53.45</v>
      </c>
      <c r="N101" s="59">
        <v>4.9000000000000004</v>
      </c>
      <c r="O101" s="59">
        <v>0</v>
      </c>
      <c r="P101" s="59">
        <v>0.93</v>
      </c>
      <c r="Q101" s="59">
        <v>23.07</v>
      </c>
      <c r="R101" s="197"/>
      <c r="S101" s="197"/>
      <c r="T101" s="197"/>
      <c r="U101" s="197"/>
    </row>
    <row r="102" spans="1:33" s="12" customFormat="1" x14ac:dyDescent="0.25">
      <c r="A102" s="200" t="s">
        <v>1782</v>
      </c>
      <c r="B102" s="59">
        <v>5.28</v>
      </c>
      <c r="C102" s="59">
        <v>59.21</v>
      </c>
      <c r="D102" s="59">
        <v>38.65</v>
      </c>
      <c r="E102" s="59">
        <v>2.34</v>
      </c>
      <c r="F102" s="59">
        <v>3.15</v>
      </c>
      <c r="G102" s="59">
        <v>46.1</v>
      </c>
      <c r="H102" s="59">
        <v>24.82</v>
      </c>
      <c r="I102" s="59">
        <v>0.56000000000000005</v>
      </c>
      <c r="J102" s="59">
        <v>0.85</v>
      </c>
      <c r="K102" s="59">
        <v>186.44</v>
      </c>
      <c r="L102" s="59">
        <v>21.32</v>
      </c>
      <c r="M102" s="59">
        <v>52.81</v>
      </c>
      <c r="N102" s="59">
        <v>4.5999999999999996</v>
      </c>
      <c r="O102" s="59">
        <v>0</v>
      </c>
      <c r="P102" s="59">
        <v>0.92</v>
      </c>
      <c r="Q102" s="59">
        <v>23.01</v>
      </c>
      <c r="R102" s="197"/>
      <c r="S102" s="197"/>
      <c r="T102" s="197"/>
      <c r="U102" s="197"/>
    </row>
    <row r="103" spans="1:33" s="12" customFormat="1" x14ac:dyDescent="0.25">
      <c r="A103" s="200" t="s">
        <v>1783</v>
      </c>
      <c r="B103" s="59">
        <v>5.42</v>
      </c>
      <c r="C103" s="59">
        <v>58.73</v>
      </c>
      <c r="D103" s="59">
        <v>38.5</v>
      </c>
      <c r="E103" s="59">
        <v>2.36</v>
      </c>
      <c r="F103" s="59">
        <v>2.54</v>
      </c>
      <c r="G103" s="59">
        <v>43.25</v>
      </c>
      <c r="H103" s="59">
        <v>24.71</v>
      </c>
      <c r="I103" s="59">
        <v>0.56999999999999995</v>
      </c>
      <c r="J103" s="59">
        <v>0.76</v>
      </c>
      <c r="K103" s="59">
        <v>185.31</v>
      </c>
      <c r="L103" s="59">
        <v>21.33</v>
      </c>
      <c r="M103" s="59">
        <v>51.9</v>
      </c>
      <c r="N103" s="59">
        <v>4.7</v>
      </c>
      <c r="O103" s="59">
        <v>0</v>
      </c>
      <c r="P103" s="59">
        <v>0.91</v>
      </c>
      <c r="Q103" s="59">
        <v>23.34</v>
      </c>
      <c r="R103" s="197"/>
      <c r="S103" s="197"/>
      <c r="T103" s="197"/>
      <c r="U103" s="197"/>
    </row>
    <row r="104" spans="1:33" s="12" customFormat="1" x14ac:dyDescent="0.25">
      <c r="A104" s="200" t="s">
        <v>1784</v>
      </c>
      <c r="B104" s="59">
        <v>5.39</v>
      </c>
      <c r="C104" s="59">
        <v>57.97</v>
      </c>
      <c r="D104" s="59">
        <v>38.06</v>
      </c>
      <c r="E104" s="59">
        <v>1.1599999999999999</v>
      </c>
      <c r="F104" s="59">
        <v>2.98</v>
      </c>
      <c r="G104" s="59">
        <v>43.25</v>
      </c>
      <c r="H104" s="59">
        <v>24.71</v>
      </c>
      <c r="I104" s="59">
        <v>0.59</v>
      </c>
      <c r="J104" s="59">
        <v>0.56999999999999995</v>
      </c>
      <c r="K104" s="59">
        <v>203.31</v>
      </c>
      <c r="L104" s="59">
        <v>21.3</v>
      </c>
      <c r="M104" s="59">
        <v>52.01</v>
      </c>
      <c r="N104" s="59">
        <v>5</v>
      </c>
      <c r="O104" s="59">
        <v>0</v>
      </c>
      <c r="P104" s="59">
        <v>0.89</v>
      </c>
      <c r="Q104" s="59">
        <v>23.6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3.38</v>
      </c>
      <c r="C106" s="66">
        <f>MIN(C9:C104)</f>
        <v>54.1</v>
      </c>
      <c r="D106" s="66">
        <f t="shared" ref="D106:Q106" si="0">MIN(D9:D104)</f>
        <v>34.450000000000003</v>
      </c>
      <c r="E106" s="66">
        <f t="shared" si="0"/>
        <v>1.1599999999999999</v>
      </c>
      <c r="F106" s="66">
        <f t="shared" si="0"/>
        <v>1.43</v>
      </c>
      <c r="G106" s="66">
        <f t="shared" si="0"/>
        <v>36.17</v>
      </c>
      <c r="H106" s="66">
        <f t="shared" si="0"/>
        <v>22.62</v>
      </c>
      <c r="I106" s="66">
        <f t="shared" si="0"/>
        <v>0.27</v>
      </c>
      <c r="J106" s="66">
        <f t="shared" si="0"/>
        <v>0.04</v>
      </c>
      <c r="K106" s="66">
        <f t="shared" si="0"/>
        <v>1.83</v>
      </c>
      <c r="L106" s="66">
        <f t="shared" si="0"/>
        <v>21.01</v>
      </c>
      <c r="M106" s="66">
        <f t="shared" si="0"/>
        <v>31.92</v>
      </c>
      <c r="N106" s="66">
        <f t="shared" si="0"/>
        <v>3.8</v>
      </c>
      <c r="O106" s="66">
        <f t="shared" si="0"/>
        <v>0</v>
      </c>
      <c r="P106" s="66">
        <f t="shared" si="0"/>
        <v>0.81</v>
      </c>
      <c r="Q106" s="66">
        <f t="shared" si="0"/>
        <v>17.59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55.7</v>
      </c>
      <c r="C107" s="65">
        <f t="shared" ref="C107:Q107" si="1">MAX(C9:C104)</f>
        <v>89.52</v>
      </c>
      <c r="D107" s="65">
        <f t="shared" si="1"/>
        <v>88.92</v>
      </c>
      <c r="E107" s="65">
        <f t="shared" si="1"/>
        <v>15.63</v>
      </c>
      <c r="F107" s="65">
        <f t="shared" si="1"/>
        <v>39.450000000000003</v>
      </c>
      <c r="G107" s="65">
        <f t="shared" si="1"/>
        <v>182.06</v>
      </c>
      <c r="H107" s="65">
        <f t="shared" si="1"/>
        <v>41.35</v>
      </c>
      <c r="I107" s="65">
        <f t="shared" si="1"/>
        <v>0.62</v>
      </c>
      <c r="J107" s="65">
        <f t="shared" si="1"/>
        <v>2.12</v>
      </c>
      <c r="K107" s="65">
        <f t="shared" si="1"/>
        <v>359.35</v>
      </c>
      <c r="L107" s="65">
        <f t="shared" si="1"/>
        <v>27.94</v>
      </c>
      <c r="M107" s="65">
        <f t="shared" si="1"/>
        <v>53.52</v>
      </c>
      <c r="N107" s="65">
        <f t="shared" si="1"/>
        <v>388.2</v>
      </c>
      <c r="O107" s="65">
        <f t="shared" si="1"/>
        <v>0</v>
      </c>
      <c r="P107" s="65">
        <f t="shared" si="1"/>
        <v>1.86</v>
      </c>
      <c r="Q107" s="65">
        <f t="shared" si="1"/>
        <v>34.51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9.9459374999999977</v>
      </c>
      <c r="C108" s="66">
        <f t="shared" ref="C108:Q108" si="2">AVERAGE(C9:C104)</f>
        <v>67.703020833333326</v>
      </c>
      <c r="D108" s="66">
        <f t="shared" si="2"/>
        <v>47.080833333333338</v>
      </c>
      <c r="E108" s="66">
        <f t="shared" si="2"/>
        <v>3.9158333333333339</v>
      </c>
      <c r="F108" s="66">
        <f t="shared" si="2"/>
        <v>4.9651041666666673</v>
      </c>
      <c r="G108" s="66">
        <f t="shared" si="2"/>
        <v>70.556304347826185</v>
      </c>
      <c r="H108" s="66">
        <f t="shared" si="2"/>
        <v>27.971521739130441</v>
      </c>
      <c r="I108" s="66">
        <f t="shared" si="2"/>
        <v>0.53714285714285692</v>
      </c>
      <c r="J108" s="66">
        <f t="shared" si="2"/>
        <v>0.56906250000000014</v>
      </c>
      <c r="K108" s="66">
        <f t="shared" si="2"/>
        <v>170.20666666666665</v>
      </c>
      <c r="L108" s="66">
        <f t="shared" si="2"/>
        <v>23.334062500000012</v>
      </c>
      <c r="M108" s="66">
        <f t="shared" si="2"/>
        <v>42.936770833333348</v>
      </c>
      <c r="N108" s="66">
        <f t="shared" si="2"/>
        <v>76.481250000000003</v>
      </c>
      <c r="O108" s="66">
        <f t="shared" si="2"/>
        <v>0</v>
      </c>
      <c r="P108" s="66">
        <f t="shared" si="2"/>
        <v>1.0230208333333333</v>
      </c>
      <c r="Q108" s="66">
        <f t="shared" si="2"/>
        <v>24.674687500000015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9.5954846374548204</v>
      </c>
      <c r="C109" s="66">
        <f t="shared" ref="C109:Q109" si="3">STDEV(C9:C104)</f>
        <v>8.0574058930822154</v>
      </c>
      <c r="D109" s="66">
        <f t="shared" si="3"/>
        <v>10.289747750646253</v>
      </c>
      <c r="E109" s="66">
        <f t="shared" si="3"/>
        <v>2.280154503844753</v>
      </c>
      <c r="F109" s="66">
        <f t="shared" si="3"/>
        <v>5.0451546311478905</v>
      </c>
      <c r="G109" s="66">
        <f t="shared" si="3"/>
        <v>34.041293241190395</v>
      </c>
      <c r="H109" s="66">
        <f t="shared" si="3"/>
        <v>3.9935876995262487</v>
      </c>
      <c r="I109" s="66">
        <f t="shared" si="3"/>
        <v>5.6013391256020999E-2</v>
      </c>
      <c r="J109" s="66">
        <f t="shared" si="3"/>
        <v>0.41649180980132</v>
      </c>
      <c r="K109" s="66">
        <f t="shared" si="3"/>
        <v>127.40713420218687</v>
      </c>
      <c r="L109" s="66">
        <f t="shared" si="3"/>
        <v>2.0174400548715195</v>
      </c>
      <c r="M109" s="66">
        <f t="shared" si="3"/>
        <v>6.1782647018298222</v>
      </c>
      <c r="N109" s="66">
        <f t="shared" si="3"/>
        <v>101.71169297009121</v>
      </c>
      <c r="O109" s="66">
        <f t="shared" si="3"/>
        <v>0</v>
      </c>
      <c r="P109" s="66">
        <f t="shared" si="3"/>
        <v>0.2112724347061565</v>
      </c>
      <c r="Q109" s="66">
        <f t="shared" si="3"/>
        <v>3.3383150345250598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92</v>
      </c>
      <c r="H110" s="65">
        <f>COUNT(H9:H104)</f>
        <v>92</v>
      </c>
      <c r="I110" s="65">
        <f>COUNT(I9:I104)+47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5" sqref="F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17-03-2023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1785</v>
      </c>
      <c r="B9" s="59">
        <v>5.34</v>
      </c>
      <c r="C9" s="59">
        <v>56.22</v>
      </c>
      <c r="D9" s="59">
        <v>37.049999999999997</v>
      </c>
      <c r="E9" s="59">
        <v>2.11</v>
      </c>
      <c r="F9" s="59">
        <v>3.56</v>
      </c>
      <c r="G9" s="59">
        <v>43.25</v>
      </c>
      <c r="H9" s="59">
        <v>24.71</v>
      </c>
      <c r="I9" s="59">
        <v>0.56999999999999995</v>
      </c>
      <c r="J9" s="59">
        <v>0.26</v>
      </c>
      <c r="K9" s="59">
        <v>209.56</v>
      </c>
      <c r="L9" s="59">
        <v>20.86</v>
      </c>
      <c r="M9" s="59">
        <v>53.7</v>
      </c>
      <c r="N9" s="59">
        <v>5.2</v>
      </c>
      <c r="O9" s="59">
        <v>0</v>
      </c>
      <c r="P9" s="59">
        <v>0.89</v>
      </c>
      <c r="Q9" s="59">
        <v>23.65</v>
      </c>
      <c r="R9" s="197"/>
      <c r="S9" s="197"/>
      <c r="T9" s="197"/>
      <c r="U9" s="197"/>
    </row>
    <row r="10" spans="1:21" s="12" customFormat="1" x14ac:dyDescent="0.25">
      <c r="A10" s="200" t="s">
        <v>1786</v>
      </c>
      <c r="B10" s="59">
        <v>5.4</v>
      </c>
      <c r="C10" s="59">
        <v>54.87</v>
      </c>
      <c r="D10" s="59">
        <v>36.35</v>
      </c>
      <c r="E10" s="59">
        <v>2.74</v>
      </c>
      <c r="F10" s="59">
        <v>4.0199999999999996</v>
      </c>
      <c r="G10" s="59">
        <v>35.700000000000003</v>
      </c>
      <c r="H10" s="59">
        <v>22.16</v>
      </c>
      <c r="I10" s="59">
        <v>0.56999999999999995</v>
      </c>
      <c r="J10" s="59">
        <v>0.18</v>
      </c>
      <c r="K10" s="59">
        <v>246.49</v>
      </c>
      <c r="L10" s="59">
        <v>20.53</v>
      </c>
      <c r="M10" s="59">
        <v>54.78</v>
      </c>
      <c r="N10" s="59">
        <v>4.8</v>
      </c>
      <c r="O10" s="59">
        <v>0</v>
      </c>
      <c r="P10" s="59">
        <v>0.87</v>
      </c>
      <c r="Q10" s="59">
        <v>23.59</v>
      </c>
      <c r="R10" s="197"/>
      <c r="S10" s="197"/>
      <c r="T10" s="197"/>
      <c r="U10" s="197"/>
    </row>
    <row r="11" spans="1:21" s="12" customFormat="1" x14ac:dyDescent="0.25">
      <c r="A11" s="200" t="s">
        <v>1787</v>
      </c>
      <c r="B11" s="59">
        <v>5.64</v>
      </c>
      <c r="C11" s="59">
        <v>54.09</v>
      </c>
      <c r="D11" s="59">
        <v>36.11</v>
      </c>
      <c r="E11" s="59">
        <v>2.2000000000000002</v>
      </c>
      <c r="F11" s="59">
        <v>3.09</v>
      </c>
      <c r="G11" s="59">
        <v>34.54</v>
      </c>
      <c r="H11" s="59">
        <v>21.77</v>
      </c>
      <c r="I11" s="59">
        <v>0.56999999999999995</v>
      </c>
      <c r="J11" s="59">
        <v>0.37</v>
      </c>
      <c r="K11" s="59">
        <v>234.75</v>
      </c>
      <c r="L11" s="59">
        <v>20.47</v>
      </c>
      <c r="M11" s="59">
        <v>54.84</v>
      </c>
      <c r="N11" s="59">
        <v>4.4000000000000004</v>
      </c>
      <c r="O11" s="59">
        <v>0</v>
      </c>
      <c r="P11" s="59">
        <v>0.86</v>
      </c>
      <c r="Q11" s="59">
        <v>24.86</v>
      </c>
      <c r="R11" s="197"/>
      <c r="S11" s="197"/>
      <c r="T11" s="197"/>
      <c r="U11" s="197"/>
    </row>
    <row r="12" spans="1:21" s="12" customFormat="1" x14ac:dyDescent="0.25">
      <c r="A12" s="200" t="s">
        <v>1788</v>
      </c>
      <c r="B12" s="59">
        <v>5.61</v>
      </c>
      <c r="C12" s="59">
        <v>53.54</v>
      </c>
      <c r="D12" s="59">
        <v>35.79</v>
      </c>
      <c r="E12" s="59">
        <v>1.67</v>
      </c>
      <c r="F12" s="59">
        <v>2.3199999999999998</v>
      </c>
      <c r="G12" s="59">
        <v>34.54</v>
      </c>
      <c r="H12" s="59">
        <v>21.77</v>
      </c>
      <c r="I12" s="59">
        <v>0.56999999999999995</v>
      </c>
      <c r="J12" s="59">
        <v>0.33</v>
      </c>
      <c r="K12" s="59">
        <v>227.38</v>
      </c>
      <c r="L12" s="59">
        <v>20.350000000000001</v>
      </c>
      <c r="M12" s="59">
        <v>55.23</v>
      </c>
      <c r="N12" s="59">
        <v>4.7</v>
      </c>
      <c r="O12" s="59">
        <v>0</v>
      </c>
      <c r="P12" s="59">
        <v>0.85</v>
      </c>
      <c r="Q12" s="59">
        <v>25.07</v>
      </c>
      <c r="R12" s="197"/>
      <c r="S12" s="197"/>
      <c r="T12" s="197"/>
      <c r="U12" s="197"/>
    </row>
    <row r="13" spans="1:21" s="12" customFormat="1" x14ac:dyDescent="0.25">
      <c r="A13" s="200" t="s">
        <v>1789</v>
      </c>
      <c r="B13" s="59">
        <v>5.41</v>
      </c>
      <c r="C13" s="59">
        <v>53.21</v>
      </c>
      <c r="D13" s="59">
        <v>35.44</v>
      </c>
      <c r="E13" s="59">
        <v>1.74</v>
      </c>
      <c r="F13" s="59">
        <v>2.27</v>
      </c>
      <c r="G13" s="59">
        <v>34.54</v>
      </c>
      <c r="H13" s="59">
        <v>21.77</v>
      </c>
      <c r="I13" s="59">
        <v>0.57999999999999996</v>
      </c>
      <c r="J13" s="59">
        <v>0.37</v>
      </c>
      <c r="K13" s="59">
        <v>179.63</v>
      </c>
      <c r="L13" s="59">
        <v>20</v>
      </c>
      <c r="M13" s="59">
        <v>57.22</v>
      </c>
      <c r="N13" s="59">
        <v>4.5999999999999996</v>
      </c>
      <c r="O13" s="59">
        <v>0</v>
      </c>
      <c r="P13" s="59">
        <v>0.8</v>
      </c>
      <c r="Q13" s="59">
        <v>24.95</v>
      </c>
      <c r="R13" s="197"/>
      <c r="S13" s="197"/>
      <c r="T13" s="197"/>
      <c r="U13" s="197"/>
    </row>
    <row r="14" spans="1:21" s="12" customFormat="1" x14ac:dyDescent="0.25">
      <c r="A14" s="200" t="s">
        <v>1790</v>
      </c>
      <c r="B14" s="59">
        <v>5.21</v>
      </c>
      <c r="C14" s="59">
        <v>52.49</v>
      </c>
      <c r="D14" s="59">
        <v>34.89</v>
      </c>
      <c r="E14" s="59">
        <v>1.77</v>
      </c>
      <c r="F14" s="59">
        <v>2.2200000000000002</v>
      </c>
      <c r="G14" s="59">
        <v>29.79</v>
      </c>
      <c r="H14" s="59">
        <v>22.55</v>
      </c>
      <c r="I14" s="59">
        <v>0.56999999999999995</v>
      </c>
      <c r="J14" s="59">
        <v>0.14000000000000001</v>
      </c>
      <c r="K14" s="59">
        <v>241.35</v>
      </c>
      <c r="L14" s="59">
        <v>19.829999999999998</v>
      </c>
      <c r="M14" s="59">
        <v>58.12</v>
      </c>
      <c r="N14" s="59">
        <v>4.8</v>
      </c>
      <c r="O14" s="59">
        <v>0</v>
      </c>
      <c r="P14" s="59">
        <v>0.82</v>
      </c>
      <c r="Q14" s="59">
        <v>24.5</v>
      </c>
      <c r="R14" s="197"/>
      <c r="S14" s="197"/>
      <c r="T14" s="197"/>
      <c r="U14" s="197"/>
    </row>
    <row r="15" spans="1:21" s="12" customFormat="1" x14ac:dyDescent="0.25">
      <c r="A15" s="200" t="s">
        <v>1791</v>
      </c>
      <c r="B15" s="59">
        <v>5.17</v>
      </c>
      <c r="C15" s="59">
        <v>52.3</v>
      </c>
      <c r="D15" s="59">
        <v>34.75</v>
      </c>
      <c r="E15" s="59">
        <v>2.11</v>
      </c>
      <c r="F15" s="59">
        <v>2.19</v>
      </c>
      <c r="G15" s="59">
        <v>28.98</v>
      </c>
      <c r="H15" s="59">
        <v>22.68</v>
      </c>
      <c r="I15" s="59">
        <v>0.56999999999999995</v>
      </c>
      <c r="J15" s="59">
        <v>0.11</v>
      </c>
      <c r="K15" s="59">
        <v>232.82</v>
      </c>
      <c r="L15" s="59">
        <v>19.77</v>
      </c>
      <c r="M15" s="59">
        <v>58.38</v>
      </c>
      <c r="N15" s="59">
        <v>4.5</v>
      </c>
      <c r="O15" s="59">
        <v>0</v>
      </c>
      <c r="P15" s="59">
        <v>0.82</v>
      </c>
      <c r="Q15" s="59">
        <v>24.6</v>
      </c>
      <c r="R15" s="197"/>
      <c r="S15" s="197"/>
      <c r="T15" s="197"/>
      <c r="U15" s="197"/>
    </row>
    <row r="16" spans="1:21" s="12" customFormat="1" x14ac:dyDescent="0.25">
      <c r="A16" s="200" t="s">
        <v>1792</v>
      </c>
      <c r="B16" s="59">
        <v>5.26</v>
      </c>
      <c r="C16" s="59">
        <v>51.99</v>
      </c>
      <c r="D16" s="59">
        <v>34.65</v>
      </c>
      <c r="E16" s="59">
        <v>1.78</v>
      </c>
      <c r="F16" s="59">
        <v>1.96</v>
      </c>
      <c r="G16" s="59">
        <v>28.98</v>
      </c>
      <c r="H16" s="59">
        <v>22.68</v>
      </c>
      <c r="I16" s="59">
        <v>0.59</v>
      </c>
      <c r="J16" s="59">
        <v>0.11</v>
      </c>
      <c r="K16" s="59">
        <v>313.7</v>
      </c>
      <c r="L16" s="59">
        <v>19.690000000000001</v>
      </c>
      <c r="M16" s="59">
        <v>58.64</v>
      </c>
      <c r="N16" s="59">
        <v>4.7</v>
      </c>
      <c r="O16" s="59">
        <v>0</v>
      </c>
      <c r="P16" s="59">
        <v>0.81</v>
      </c>
      <c r="Q16" s="59">
        <v>24.48</v>
      </c>
      <c r="R16" s="197"/>
      <c r="S16" s="197"/>
      <c r="T16" s="197"/>
      <c r="U16" s="197"/>
    </row>
    <row r="17" spans="1:21" s="12" customFormat="1" x14ac:dyDescent="0.25">
      <c r="A17" s="200" t="s">
        <v>1793</v>
      </c>
      <c r="B17" s="59">
        <v>5.17</v>
      </c>
      <c r="C17" s="59">
        <v>51.52</v>
      </c>
      <c r="D17" s="59">
        <v>34.32</v>
      </c>
      <c r="E17" s="59">
        <v>1.86</v>
      </c>
      <c r="F17" s="59">
        <v>2.2400000000000002</v>
      </c>
      <c r="G17" s="59">
        <v>28.98</v>
      </c>
      <c r="H17" s="59">
        <v>22.68</v>
      </c>
      <c r="I17" s="59">
        <v>0.56000000000000005</v>
      </c>
      <c r="J17" s="59">
        <v>0.25</v>
      </c>
      <c r="K17" s="59">
        <v>185.16</v>
      </c>
      <c r="L17" s="59">
        <v>19.559999999999999</v>
      </c>
      <c r="M17" s="59">
        <v>59.5</v>
      </c>
      <c r="N17" s="59">
        <v>4.3</v>
      </c>
      <c r="O17" s="59">
        <v>0</v>
      </c>
      <c r="P17" s="59">
        <v>0.81</v>
      </c>
      <c r="Q17" s="59">
        <v>24.28</v>
      </c>
      <c r="R17" s="197"/>
      <c r="S17" s="197"/>
      <c r="T17" s="197"/>
      <c r="U17" s="197"/>
    </row>
    <row r="18" spans="1:21" s="12" customFormat="1" x14ac:dyDescent="0.25">
      <c r="A18" s="200" t="s">
        <v>1794</v>
      </c>
      <c r="B18" s="59">
        <v>5.08</v>
      </c>
      <c r="C18" s="59">
        <v>50.65</v>
      </c>
      <c r="D18" s="59">
        <v>33.76</v>
      </c>
      <c r="E18" s="59">
        <v>2.09</v>
      </c>
      <c r="F18" s="59">
        <v>4.99</v>
      </c>
      <c r="G18" s="59">
        <v>40.9</v>
      </c>
      <c r="H18" s="59">
        <v>20.92</v>
      </c>
      <c r="I18" s="59">
        <v>0.56000000000000005</v>
      </c>
      <c r="J18" s="59">
        <v>0.1</v>
      </c>
      <c r="K18" s="59">
        <v>220.79</v>
      </c>
      <c r="L18" s="59">
        <v>19.55</v>
      </c>
      <c r="M18" s="59">
        <v>60.05</v>
      </c>
      <c r="N18" s="59">
        <v>4.7</v>
      </c>
      <c r="O18" s="59">
        <v>0</v>
      </c>
      <c r="P18" s="59">
        <v>0.8</v>
      </c>
      <c r="Q18" s="59">
        <v>23.58</v>
      </c>
      <c r="R18" s="197"/>
      <c r="S18" s="197"/>
      <c r="T18" s="197"/>
      <c r="U18" s="197"/>
    </row>
    <row r="19" spans="1:21" s="12" customFormat="1" x14ac:dyDescent="0.25">
      <c r="A19" s="200" t="s">
        <v>1795</v>
      </c>
      <c r="B19" s="59">
        <v>5.29</v>
      </c>
      <c r="C19" s="59">
        <v>50.8</v>
      </c>
      <c r="D19" s="59">
        <v>34.020000000000003</v>
      </c>
      <c r="E19" s="59">
        <v>2.5</v>
      </c>
      <c r="F19" s="59">
        <v>3.91</v>
      </c>
      <c r="G19" s="59">
        <v>42.91</v>
      </c>
      <c r="H19" s="59">
        <v>20.62</v>
      </c>
      <c r="I19" s="59">
        <v>0.55000000000000004</v>
      </c>
      <c r="J19" s="59">
        <v>0.06</v>
      </c>
      <c r="K19" s="59">
        <v>312.51</v>
      </c>
      <c r="L19" s="59">
        <v>19.53</v>
      </c>
      <c r="M19" s="59">
        <v>60.09</v>
      </c>
      <c r="N19" s="59">
        <v>4.8</v>
      </c>
      <c r="O19" s="59">
        <v>0</v>
      </c>
      <c r="P19" s="59">
        <v>0.78</v>
      </c>
      <c r="Q19" s="59">
        <v>23.37</v>
      </c>
      <c r="R19" s="197"/>
      <c r="S19" s="197"/>
      <c r="T19" s="197"/>
      <c r="U19" s="197"/>
    </row>
    <row r="20" spans="1:21" s="12" customFormat="1" x14ac:dyDescent="0.25">
      <c r="A20" s="200" t="s">
        <v>1796</v>
      </c>
      <c r="B20" s="59">
        <v>5.7</v>
      </c>
      <c r="C20" s="59">
        <v>51.53</v>
      </c>
      <c r="D20" s="59">
        <v>34.75</v>
      </c>
      <c r="E20" s="59">
        <v>2.2200000000000002</v>
      </c>
      <c r="F20" s="59">
        <v>2.52</v>
      </c>
      <c r="G20" s="59">
        <v>42.91</v>
      </c>
      <c r="H20" s="59">
        <v>20.62</v>
      </c>
      <c r="I20" s="59">
        <v>0.55000000000000004</v>
      </c>
      <c r="J20" s="59">
        <v>0.18</v>
      </c>
      <c r="K20" s="59">
        <v>342.18</v>
      </c>
      <c r="L20" s="59">
        <v>18.98</v>
      </c>
      <c r="M20" s="59">
        <v>64.709999999999994</v>
      </c>
      <c r="N20" s="59">
        <v>5.0999999999999996</v>
      </c>
      <c r="O20" s="59">
        <v>0</v>
      </c>
      <c r="P20" s="59">
        <v>0.79</v>
      </c>
      <c r="Q20" s="59">
        <v>23.44</v>
      </c>
      <c r="R20" s="197"/>
      <c r="S20" s="197"/>
      <c r="T20" s="197"/>
      <c r="U20" s="197"/>
    </row>
    <row r="21" spans="1:21" s="12" customFormat="1" x14ac:dyDescent="0.25">
      <c r="A21" s="200" t="s">
        <v>1797</v>
      </c>
      <c r="B21" s="59">
        <v>6.17</v>
      </c>
      <c r="C21" s="59">
        <v>51.86</v>
      </c>
      <c r="D21" s="59">
        <v>35.31</v>
      </c>
      <c r="E21" s="59">
        <v>2.59</v>
      </c>
      <c r="F21" s="59">
        <v>1.99</v>
      </c>
      <c r="G21" s="59">
        <v>42.91</v>
      </c>
      <c r="H21" s="59">
        <v>20.62</v>
      </c>
      <c r="I21" s="59">
        <v>0.55000000000000004</v>
      </c>
      <c r="J21" s="59">
        <v>0.18</v>
      </c>
      <c r="K21" s="59">
        <v>13.21</v>
      </c>
      <c r="L21" s="59">
        <v>18.95</v>
      </c>
      <c r="M21" s="59">
        <v>63.45</v>
      </c>
      <c r="N21" s="59">
        <v>4.7</v>
      </c>
      <c r="O21" s="59">
        <v>0</v>
      </c>
      <c r="P21" s="59">
        <v>0.8</v>
      </c>
      <c r="Q21" s="59">
        <v>23.65</v>
      </c>
      <c r="R21" s="197"/>
      <c r="S21" s="197"/>
      <c r="T21" s="197"/>
      <c r="U21" s="197"/>
    </row>
    <row r="22" spans="1:21" s="12" customFormat="1" x14ac:dyDescent="0.25">
      <c r="A22" s="200" t="s">
        <v>1798</v>
      </c>
      <c r="B22" s="59">
        <v>6.29</v>
      </c>
      <c r="C22" s="59">
        <v>51.86</v>
      </c>
      <c r="D22" s="59">
        <v>35.409999999999997</v>
      </c>
      <c r="E22" s="59">
        <v>2.33</v>
      </c>
      <c r="F22" s="59">
        <v>2.17</v>
      </c>
      <c r="G22" s="59">
        <v>45.54</v>
      </c>
      <c r="H22" s="59">
        <v>22.49</v>
      </c>
      <c r="I22" s="59">
        <v>0.56000000000000005</v>
      </c>
      <c r="J22" s="59">
        <v>0.18</v>
      </c>
      <c r="K22" s="59">
        <v>6.46</v>
      </c>
      <c r="L22" s="59">
        <v>19.23</v>
      </c>
      <c r="M22" s="59">
        <v>62.59</v>
      </c>
      <c r="N22" s="59">
        <v>4.7</v>
      </c>
      <c r="O22" s="59">
        <v>0</v>
      </c>
      <c r="P22" s="59">
        <v>0.79</v>
      </c>
      <c r="Q22" s="59">
        <v>23.9</v>
      </c>
      <c r="R22" s="197"/>
      <c r="S22" s="197"/>
      <c r="T22" s="197"/>
      <c r="U22" s="197"/>
    </row>
    <row r="23" spans="1:21" s="12" customFormat="1" x14ac:dyDescent="0.25">
      <c r="A23" s="200" t="s">
        <v>1799</v>
      </c>
      <c r="B23" s="59">
        <v>6.32</v>
      </c>
      <c r="C23" s="59">
        <v>51.4</v>
      </c>
      <c r="D23" s="59">
        <v>35.18</v>
      </c>
      <c r="E23" s="59">
        <v>2.0499999999999998</v>
      </c>
      <c r="F23" s="59">
        <v>2.73</v>
      </c>
      <c r="G23" s="59">
        <v>45.98</v>
      </c>
      <c r="H23" s="59">
        <v>22.81</v>
      </c>
      <c r="I23" s="59">
        <v>0.56000000000000005</v>
      </c>
      <c r="J23" s="59">
        <v>0.04</v>
      </c>
      <c r="K23" s="59">
        <v>168.17</v>
      </c>
      <c r="L23" s="59">
        <v>19.3</v>
      </c>
      <c r="M23" s="59">
        <v>61.58</v>
      </c>
      <c r="N23" s="59">
        <v>4.7</v>
      </c>
      <c r="O23" s="59">
        <v>0</v>
      </c>
      <c r="P23" s="59">
        <v>0.78</v>
      </c>
      <c r="Q23" s="59">
        <v>24.14</v>
      </c>
      <c r="R23" s="197"/>
      <c r="S23" s="197"/>
      <c r="T23" s="197"/>
      <c r="U23" s="197"/>
    </row>
    <row r="24" spans="1:21" s="12" customFormat="1" x14ac:dyDescent="0.25">
      <c r="A24" s="200" t="s">
        <v>1800</v>
      </c>
      <c r="B24" s="59">
        <v>6.51</v>
      </c>
      <c r="C24" s="59">
        <v>50.85</v>
      </c>
      <c r="D24" s="59">
        <v>35.020000000000003</v>
      </c>
      <c r="E24" s="59">
        <v>1.51</v>
      </c>
      <c r="F24" s="59">
        <v>3.9</v>
      </c>
      <c r="G24" s="59">
        <v>45.98</v>
      </c>
      <c r="H24" s="59">
        <v>22.81</v>
      </c>
      <c r="I24" s="59">
        <v>0.56000000000000005</v>
      </c>
      <c r="J24" s="59">
        <v>0.08</v>
      </c>
      <c r="K24" s="59">
        <v>311.56</v>
      </c>
      <c r="L24" s="59">
        <v>19.43</v>
      </c>
      <c r="M24" s="59">
        <v>60.31</v>
      </c>
      <c r="N24" s="59">
        <v>4.9000000000000004</v>
      </c>
      <c r="O24" s="59">
        <v>0</v>
      </c>
      <c r="P24" s="59">
        <v>0.77</v>
      </c>
      <c r="Q24" s="59">
        <v>24.4</v>
      </c>
      <c r="R24" s="197"/>
      <c r="S24" s="197"/>
      <c r="T24" s="197"/>
      <c r="U24" s="197"/>
    </row>
    <row r="25" spans="1:21" s="12" customFormat="1" x14ac:dyDescent="0.25">
      <c r="A25" s="200" t="s">
        <v>1801</v>
      </c>
      <c r="B25" s="59">
        <v>6.62</v>
      </c>
      <c r="C25" s="59">
        <v>51.2</v>
      </c>
      <c r="D25" s="59">
        <v>35.31</v>
      </c>
      <c r="E25" s="59">
        <v>2.66</v>
      </c>
      <c r="F25" s="59">
        <v>3.74</v>
      </c>
      <c r="G25" s="59">
        <v>45.98</v>
      </c>
      <c r="H25" s="59">
        <v>22.81</v>
      </c>
      <c r="I25" s="59">
        <v>0.56000000000000005</v>
      </c>
      <c r="J25" s="59">
        <v>0.21</v>
      </c>
      <c r="K25" s="59">
        <v>235.87</v>
      </c>
      <c r="L25" s="59">
        <v>19.559999999999999</v>
      </c>
      <c r="M25" s="59">
        <v>59.41</v>
      </c>
      <c r="N25" s="59">
        <v>4.3</v>
      </c>
      <c r="O25" s="59">
        <v>0</v>
      </c>
      <c r="P25" s="59">
        <v>0.77</v>
      </c>
      <c r="Q25" s="59">
        <v>24.96</v>
      </c>
      <c r="R25" s="197"/>
      <c r="S25" s="197"/>
      <c r="T25" s="197"/>
      <c r="U25" s="197"/>
    </row>
    <row r="26" spans="1:21" s="12" customFormat="1" x14ac:dyDescent="0.25">
      <c r="A26" s="200" t="s">
        <v>1802</v>
      </c>
      <c r="B26" s="59">
        <v>6.63</v>
      </c>
      <c r="C26" s="59">
        <v>51.7</v>
      </c>
      <c r="D26" s="59">
        <v>35.6</v>
      </c>
      <c r="E26" s="59">
        <v>2.4900000000000002</v>
      </c>
      <c r="F26" s="59">
        <v>2.37</v>
      </c>
      <c r="G26" s="210" t="s">
        <v>43</v>
      </c>
      <c r="H26" s="210" t="s">
        <v>43</v>
      </c>
      <c r="I26" s="59">
        <v>0.56999999999999995</v>
      </c>
      <c r="J26" s="59">
        <v>7.0000000000000007E-2</v>
      </c>
      <c r="K26" s="59">
        <v>257.89</v>
      </c>
      <c r="L26" s="59">
        <v>19.78</v>
      </c>
      <c r="M26" s="59">
        <v>58.86</v>
      </c>
      <c r="N26" s="59">
        <v>4.5999999999999996</v>
      </c>
      <c r="O26" s="59">
        <v>0</v>
      </c>
      <c r="P26" s="59">
        <v>0.77</v>
      </c>
      <c r="Q26" s="59">
        <v>26.15</v>
      </c>
      <c r="R26" s="197"/>
      <c r="S26" s="197"/>
      <c r="T26" s="197"/>
      <c r="U26" s="197"/>
    </row>
    <row r="27" spans="1:21" s="12" customFormat="1" x14ac:dyDescent="0.25">
      <c r="A27" s="200" t="s">
        <v>1803</v>
      </c>
      <c r="B27" s="59">
        <v>6.34</v>
      </c>
      <c r="C27" s="59">
        <v>51.65</v>
      </c>
      <c r="D27" s="59">
        <v>35.33</v>
      </c>
      <c r="E27" s="59">
        <v>2.15</v>
      </c>
      <c r="F27" s="59">
        <v>2.0499999999999998</v>
      </c>
      <c r="G27" s="210" t="s">
        <v>43</v>
      </c>
      <c r="H27" s="210" t="s">
        <v>43</v>
      </c>
      <c r="I27" s="59">
        <v>0.56999999999999995</v>
      </c>
      <c r="J27" s="59">
        <v>0.2</v>
      </c>
      <c r="K27" s="59">
        <v>208.92</v>
      </c>
      <c r="L27" s="59">
        <v>19.809999999999999</v>
      </c>
      <c r="M27" s="59">
        <v>58.43</v>
      </c>
      <c r="N27" s="59">
        <v>4.5999999999999996</v>
      </c>
      <c r="O27" s="59">
        <v>0</v>
      </c>
      <c r="P27" s="59">
        <v>0.76</v>
      </c>
      <c r="Q27" s="59">
        <v>26.55</v>
      </c>
      <c r="R27" s="197"/>
      <c r="S27" s="197"/>
      <c r="T27" s="197"/>
      <c r="U27" s="197"/>
    </row>
    <row r="28" spans="1:21" s="12" customFormat="1" x14ac:dyDescent="0.25">
      <c r="A28" s="200" t="s">
        <v>1804</v>
      </c>
      <c r="B28" s="59">
        <v>5.99</v>
      </c>
      <c r="C28" s="59">
        <v>51.58</v>
      </c>
      <c r="D28" s="59">
        <v>35.01</v>
      </c>
      <c r="E28" s="59">
        <v>2.79</v>
      </c>
      <c r="F28" s="59">
        <v>2.13</v>
      </c>
      <c r="G28" s="210" t="s">
        <v>43</v>
      </c>
      <c r="H28" s="210" t="s">
        <v>43</v>
      </c>
      <c r="I28" s="59">
        <v>0.56999999999999995</v>
      </c>
      <c r="J28" s="59">
        <v>0.48</v>
      </c>
      <c r="K28" s="59">
        <v>185.08</v>
      </c>
      <c r="L28" s="59">
        <v>19.760000000000002</v>
      </c>
      <c r="M28" s="59">
        <v>58.88</v>
      </c>
      <c r="N28" s="59">
        <v>4.7</v>
      </c>
      <c r="O28" s="59">
        <v>0</v>
      </c>
      <c r="P28" s="59">
        <v>0.75</v>
      </c>
      <c r="Q28" s="59">
        <v>26.34</v>
      </c>
      <c r="R28" s="197"/>
      <c r="S28" s="197"/>
      <c r="T28" s="197"/>
      <c r="U28" s="197"/>
    </row>
    <row r="29" spans="1:21" s="12" customFormat="1" x14ac:dyDescent="0.25">
      <c r="A29" s="200" t="s">
        <v>1805</v>
      </c>
      <c r="B29" s="59">
        <v>5.81</v>
      </c>
      <c r="C29" s="59">
        <v>51.82</v>
      </c>
      <c r="D29" s="59">
        <v>34.99</v>
      </c>
      <c r="E29" s="59">
        <v>2.36</v>
      </c>
      <c r="F29" s="59">
        <v>1.92</v>
      </c>
      <c r="G29" s="210" t="s">
        <v>43</v>
      </c>
      <c r="H29" s="210" t="s">
        <v>43</v>
      </c>
      <c r="I29" s="59">
        <v>0.56999999999999995</v>
      </c>
      <c r="J29" s="59">
        <v>0.93</v>
      </c>
      <c r="K29" s="59">
        <v>178.82</v>
      </c>
      <c r="L29" s="59">
        <v>19.760000000000002</v>
      </c>
      <c r="M29" s="59">
        <v>59.34</v>
      </c>
      <c r="N29" s="59">
        <v>4.5999999999999996</v>
      </c>
      <c r="O29" s="59">
        <v>0</v>
      </c>
      <c r="P29" s="59">
        <v>0.74</v>
      </c>
      <c r="Q29" s="59">
        <v>26.13</v>
      </c>
      <c r="R29" s="197"/>
      <c r="S29" s="197"/>
      <c r="T29" s="197"/>
      <c r="U29" s="197"/>
    </row>
    <row r="30" spans="1:21" s="12" customFormat="1" x14ac:dyDescent="0.25">
      <c r="A30" s="200" t="s">
        <v>1806</v>
      </c>
      <c r="B30" s="59">
        <v>5.58</v>
      </c>
      <c r="C30" s="59">
        <v>51.9</v>
      </c>
      <c r="D30" s="59">
        <v>34.86</v>
      </c>
      <c r="E30" s="59">
        <v>2.12</v>
      </c>
      <c r="F30" s="59">
        <v>1.84</v>
      </c>
      <c r="G30" s="59">
        <v>52.62</v>
      </c>
      <c r="H30" s="59">
        <v>20.440000000000001</v>
      </c>
      <c r="I30" s="59">
        <v>0.56999999999999995</v>
      </c>
      <c r="J30" s="59">
        <v>0.26</v>
      </c>
      <c r="K30" s="59">
        <v>230.43</v>
      </c>
      <c r="L30" s="59">
        <v>19.739999999999998</v>
      </c>
      <c r="M30" s="59">
        <v>59.55</v>
      </c>
      <c r="N30" s="59">
        <v>4.9000000000000004</v>
      </c>
      <c r="O30" s="59">
        <v>0</v>
      </c>
      <c r="P30" s="59">
        <v>0.73</v>
      </c>
      <c r="Q30" s="59">
        <v>25.57</v>
      </c>
      <c r="R30" s="197"/>
      <c r="S30" s="197"/>
      <c r="T30" s="197"/>
      <c r="U30" s="197"/>
    </row>
    <row r="31" spans="1:21" s="12" customFormat="1" x14ac:dyDescent="0.25">
      <c r="A31" s="200" t="s">
        <v>1807</v>
      </c>
      <c r="B31" s="59">
        <v>5.35</v>
      </c>
      <c r="C31" s="59">
        <v>52.17</v>
      </c>
      <c r="D31" s="59">
        <v>34.83</v>
      </c>
      <c r="E31" s="59">
        <v>2.52</v>
      </c>
      <c r="F31" s="59">
        <v>1.73</v>
      </c>
      <c r="G31" s="59">
        <v>58.62</v>
      </c>
      <c r="H31" s="59">
        <v>20.239999999999998</v>
      </c>
      <c r="I31" s="59">
        <v>0.56000000000000005</v>
      </c>
      <c r="J31" s="59">
        <v>0.27</v>
      </c>
      <c r="K31" s="59">
        <v>224.43</v>
      </c>
      <c r="L31" s="59">
        <v>19.68</v>
      </c>
      <c r="M31" s="59">
        <v>59.5</v>
      </c>
      <c r="N31" s="59">
        <v>5</v>
      </c>
      <c r="O31" s="59">
        <v>0</v>
      </c>
      <c r="P31" s="59">
        <v>0.73</v>
      </c>
      <c r="Q31" s="59">
        <v>25.17</v>
      </c>
      <c r="R31" s="197"/>
      <c r="S31" s="197"/>
      <c r="T31" s="197"/>
      <c r="U31" s="197"/>
    </row>
    <row r="32" spans="1:21" s="12" customFormat="1" x14ac:dyDescent="0.25">
      <c r="A32" s="200" t="s">
        <v>1808</v>
      </c>
      <c r="B32" s="59">
        <v>5.17</v>
      </c>
      <c r="C32" s="59">
        <v>51.81</v>
      </c>
      <c r="D32" s="59">
        <v>34.479999999999997</v>
      </c>
      <c r="E32" s="59">
        <v>2.5099999999999998</v>
      </c>
      <c r="F32" s="59">
        <v>1.98</v>
      </c>
      <c r="G32" s="59">
        <v>58.62</v>
      </c>
      <c r="H32" s="59">
        <v>20.239999999999998</v>
      </c>
      <c r="I32" s="59">
        <v>0.56000000000000005</v>
      </c>
      <c r="J32" s="59">
        <v>0.44</v>
      </c>
      <c r="K32" s="59">
        <v>204.19</v>
      </c>
      <c r="L32" s="59">
        <v>19.54</v>
      </c>
      <c r="M32" s="59">
        <v>60.49</v>
      </c>
      <c r="N32" s="59">
        <v>5.0999999999999996</v>
      </c>
      <c r="O32" s="59">
        <v>0</v>
      </c>
      <c r="P32" s="59">
        <v>0.73</v>
      </c>
      <c r="Q32" s="59">
        <v>24.65</v>
      </c>
      <c r="R32" s="197"/>
      <c r="S32" s="197"/>
      <c r="T32" s="197"/>
      <c r="U32" s="197"/>
    </row>
    <row r="33" spans="1:21" s="12" customFormat="1" x14ac:dyDescent="0.25">
      <c r="A33" s="200" t="s">
        <v>1809</v>
      </c>
      <c r="B33" s="59">
        <v>5.26</v>
      </c>
      <c r="C33" s="59">
        <v>52.34</v>
      </c>
      <c r="D33" s="59">
        <v>34.840000000000003</v>
      </c>
      <c r="E33" s="59">
        <v>2.4700000000000002</v>
      </c>
      <c r="F33" s="59">
        <v>2.63</v>
      </c>
      <c r="G33" s="59">
        <v>58.62</v>
      </c>
      <c r="H33" s="59">
        <v>20.239999999999998</v>
      </c>
      <c r="I33" s="59">
        <v>0.56000000000000005</v>
      </c>
      <c r="J33" s="59">
        <v>0.22</v>
      </c>
      <c r="K33" s="59">
        <v>250.36</v>
      </c>
      <c r="L33" s="59">
        <v>19.39</v>
      </c>
      <c r="M33" s="59">
        <v>61.42</v>
      </c>
      <c r="N33" s="59">
        <v>7.1</v>
      </c>
      <c r="O33" s="59">
        <v>0</v>
      </c>
      <c r="P33" s="59">
        <v>0.72</v>
      </c>
      <c r="Q33" s="59">
        <v>23.95</v>
      </c>
      <c r="R33" s="197"/>
      <c r="S33" s="197"/>
      <c r="T33" s="197"/>
      <c r="U33" s="197"/>
    </row>
    <row r="34" spans="1:21" s="12" customFormat="1" x14ac:dyDescent="0.25">
      <c r="A34" s="200" t="s">
        <v>1810</v>
      </c>
      <c r="B34" s="59">
        <v>5.38</v>
      </c>
      <c r="C34" s="59">
        <v>52.41</v>
      </c>
      <c r="D34" s="59">
        <v>34.97</v>
      </c>
      <c r="E34" s="59">
        <v>2.61</v>
      </c>
      <c r="F34" s="59">
        <v>3.89</v>
      </c>
      <c r="G34" s="59">
        <v>36.03</v>
      </c>
      <c r="H34" s="59">
        <v>19.3</v>
      </c>
      <c r="I34" s="59">
        <v>0.56000000000000005</v>
      </c>
      <c r="J34" s="59">
        <v>0.09</v>
      </c>
      <c r="K34" s="59">
        <v>223.83</v>
      </c>
      <c r="L34" s="59">
        <v>19.36</v>
      </c>
      <c r="M34" s="59">
        <v>62.08</v>
      </c>
      <c r="N34" s="59">
        <v>11.9</v>
      </c>
      <c r="O34" s="59">
        <v>0</v>
      </c>
      <c r="P34" s="59">
        <v>0.72</v>
      </c>
      <c r="Q34" s="59">
        <v>23.81</v>
      </c>
      <c r="R34" s="197"/>
      <c r="S34" s="197"/>
      <c r="T34" s="197"/>
      <c r="U34" s="197"/>
    </row>
    <row r="35" spans="1:21" s="12" customFormat="1" x14ac:dyDescent="0.25">
      <c r="A35" s="200" t="s">
        <v>1811</v>
      </c>
      <c r="B35" s="59">
        <v>5.8</v>
      </c>
      <c r="C35" s="59">
        <v>52.92</v>
      </c>
      <c r="D35" s="59">
        <v>35.6</v>
      </c>
      <c r="E35" s="59">
        <v>2.67</v>
      </c>
      <c r="F35" s="59">
        <v>3.67</v>
      </c>
      <c r="G35" s="59">
        <v>32.21</v>
      </c>
      <c r="H35" s="59">
        <v>19.14</v>
      </c>
      <c r="I35" s="59">
        <v>0.55000000000000004</v>
      </c>
      <c r="J35" s="59">
        <v>0.05</v>
      </c>
      <c r="K35" s="59">
        <v>28.33</v>
      </c>
      <c r="L35" s="59">
        <v>19.32</v>
      </c>
      <c r="M35" s="59">
        <v>62.83</v>
      </c>
      <c r="N35" s="59">
        <v>27.1</v>
      </c>
      <c r="O35" s="59">
        <v>0</v>
      </c>
      <c r="P35" s="59">
        <v>0.74</v>
      </c>
      <c r="Q35" s="59">
        <v>24.09</v>
      </c>
      <c r="R35" s="197"/>
      <c r="S35" s="197"/>
      <c r="T35" s="197"/>
      <c r="U35" s="197"/>
    </row>
    <row r="36" spans="1:21" s="12" customFormat="1" x14ac:dyDescent="0.25">
      <c r="A36" s="200" t="s">
        <v>1812</v>
      </c>
      <c r="B36" s="59">
        <v>8.75</v>
      </c>
      <c r="C36" s="59">
        <v>55.92</v>
      </c>
      <c r="D36" s="59">
        <v>39.619999999999997</v>
      </c>
      <c r="E36" s="59">
        <v>2.78</v>
      </c>
      <c r="F36" s="59">
        <v>2.0099999999999998</v>
      </c>
      <c r="G36" s="59">
        <v>32.21</v>
      </c>
      <c r="H36" s="59">
        <v>19.14</v>
      </c>
      <c r="I36" s="59">
        <v>0.56000000000000005</v>
      </c>
      <c r="J36" s="59">
        <v>7.0000000000000007E-2</v>
      </c>
      <c r="K36" s="59">
        <v>55.46</v>
      </c>
      <c r="L36" s="59">
        <v>19.39</v>
      </c>
      <c r="M36" s="59">
        <v>63.47</v>
      </c>
      <c r="N36" s="59">
        <v>25.9</v>
      </c>
      <c r="O36" s="59">
        <v>0</v>
      </c>
      <c r="P36" s="59">
        <v>0.75</v>
      </c>
      <c r="Q36" s="59">
        <v>24.27</v>
      </c>
      <c r="R36" s="197"/>
      <c r="S36" s="197"/>
      <c r="T36" s="197"/>
      <c r="U36" s="197"/>
    </row>
    <row r="37" spans="1:21" s="12" customFormat="1" x14ac:dyDescent="0.25">
      <c r="A37" s="200" t="s">
        <v>1813</v>
      </c>
      <c r="B37" s="59">
        <v>9.5399999999999991</v>
      </c>
      <c r="C37" s="59">
        <v>57.08</v>
      </c>
      <c r="D37" s="59">
        <v>40.89</v>
      </c>
      <c r="E37" s="59">
        <v>2.4700000000000002</v>
      </c>
      <c r="F37" s="59">
        <v>1.65</v>
      </c>
      <c r="G37" s="59">
        <v>32.21</v>
      </c>
      <c r="H37" s="59">
        <v>19.14</v>
      </c>
      <c r="I37" s="59">
        <v>0.56000000000000005</v>
      </c>
      <c r="J37" s="59">
        <v>0.1</v>
      </c>
      <c r="K37" s="59">
        <v>264.29000000000002</v>
      </c>
      <c r="L37" s="59">
        <v>19.62</v>
      </c>
      <c r="M37" s="59">
        <v>61.95</v>
      </c>
      <c r="N37" s="59">
        <v>34.6</v>
      </c>
      <c r="O37" s="59">
        <v>0</v>
      </c>
      <c r="P37" s="59">
        <v>0.77</v>
      </c>
      <c r="Q37" s="59">
        <v>24.71</v>
      </c>
      <c r="R37" s="197"/>
      <c r="S37" s="197"/>
      <c r="T37" s="197"/>
      <c r="U37" s="197"/>
    </row>
    <row r="38" spans="1:21" s="12" customFormat="1" x14ac:dyDescent="0.25">
      <c r="A38" s="200" t="s">
        <v>1814</v>
      </c>
      <c r="B38" s="59">
        <v>9.76</v>
      </c>
      <c r="C38" s="59">
        <v>57.48</v>
      </c>
      <c r="D38" s="59">
        <v>41.29</v>
      </c>
      <c r="E38" s="59">
        <v>2.79</v>
      </c>
      <c r="F38" s="59">
        <v>1.61</v>
      </c>
      <c r="G38" s="59">
        <v>57.77</v>
      </c>
      <c r="H38" s="59">
        <v>21.84</v>
      </c>
      <c r="I38" s="59">
        <v>0.56000000000000005</v>
      </c>
      <c r="J38" s="59">
        <v>0.65</v>
      </c>
      <c r="K38" s="59">
        <v>221.67</v>
      </c>
      <c r="L38" s="59">
        <v>19.93</v>
      </c>
      <c r="M38" s="59">
        <v>60.67</v>
      </c>
      <c r="N38" s="59">
        <v>39.799999999999997</v>
      </c>
      <c r="O38" s="59">
        <v>0</v>
      </c>
      <c r="P38" s="59">
        <v>0.79</v>
      </c>
      <c r="Q38" s="59">
        <v>24.77</v>
      </c>
      <c r="R38" s="197"/>
      <c r="S38" s="197"/>
      <c r="T38" s="197"/>
      <c r="U38" s="197"/>
    </row>
    <row r="39" spans="1:21" s="12" customFormat="1" x14ac:dyDescent="0.25">
      <c r="A39" s="200" t="s">
        <v>1815</v>
      </c>
      <c r="B39" s="59">
        <v>9.49</v>
      </c>
      <c r="C39" s="59">
        <v>57.43</v>
      </c>
      <c r="D39" s="59">
        <v>41.05</v>
      </c>
      <c r="E39" s="59">
        <v>3.2</v>
      </c>
      <c r="F39" s="59">
        <v>1.75</v>
      </c>
      <c r="G39" s="59">
        <v>62.09</v>
      </c>
      <c r="H39" s="59">
        <v>22.3</v>
      </c>
      <c r="I39" s="59">
        <v>0.56999999999999995</v>
      </c>
      <c r="J39" s="59">
        <v>0.54</v>
      </c>
      <c r="K39" s="59">
        <v>194.68</v>
      </c>
      <c r="L39" s="59">
        <v>19.45</v>
      </c>
      <c r="M39" s="59">
        <v>64.88</v>
      </c>
      <c r="N39" s="59">
        <v>45.8</v>
      </c>
      <c r="O39" s="59">
        <v>0</v>
      </c>
      <c r="P39" s="59">
        <v>0.79</v>
      </c>
      <c r="Q39" s="59">
        <v>25.17</v>
      </c>
      <c r="R39" s="197"/>
      <c r="S39" s="197"/>
      <c r="T39" s="197"/>
      <c r="U39" s="197"/>
    </row>
    <row r="40" spans="1:21" s="12" customFormat="1" x14ac:dyDescent="0.25">
      <c r="A40" s="200" t="s">
        <v>1816</v>
      </c>
      <c r="B40" s="59">
        <v>9.25</v>
      </c>
      <c r="C40" s="59">
        <v>56.38</v>
      </c>
      <c r="D40" s="59">
        <v>40.270000000000003</v>
      </c>
      <c r="E40" s="59">
        <v>0.86</v>
      </c>
      <c r="F40" s="59">
        <v>1.52</v>
      </c>
      <c r="G40" s="59">
        <v>62.09</v>
      </c>
      <c r="H40" s="59">
        <v>22.3</v>
      </c>
      <c r="I40" s="59">
        <v>0.56999999999999995</v>
      </c>
      <c r="J40" s="59">
        <v>0.39</v>
      </c>
      <c r="K40" s="59">
        <v>174.58</v>
      </c>
      <c r="L40" s="59">
        <v>19.47</v>
      </c>
      <c r="M40" s="59">
        <v>64.52</v>
      </c>
      <c r="N40" s="59">
        <v>65.2</v>
      </c>
      <c r="O40" s="59">
        <v>0</v>
      </c>
      <c r="P40" s="59">
        <v>0.8</v>
      </c>
      <c r="Q40" s="59">
        <v>26.88</v>
      </c>
      <c r="R40" s="197"/>
      <c r="S40" s="197"/>
      <c r="T40" s="197"/>
      <c r="U40" s="197"/>
    </row>
    <row r="41" spans="1:21" s="12" customFormat="1" x14ac:dyDescent="0.25">
      <c r="A41" s="200" t="s">
        <v>1817</v>
      </c>
      <c r="B41" s="59">
        <v>9.6</v>
      </c>
      <c r="C41" s="59">
        <v>57.01</v>
      </c>
      <c r="D41" s="59">
        <v>40.9</v>
      </c>
      <c r="E41" s="59">
        <v>2.29</v>
      </c>
      <c r="F41" s="59">
        <v>1.42</v>
      </c>
      <c r="G41" s="59">
        <v>62.09</v>
      </c>
      <c r="H41" s="59">
        <v>22.3</v>
      </c>
      <c r="I41" s="59">
        <v>0.57999999999999996</v>
      </c>
      <c r="J41" s="59">
        <v>0.09</v>
      </c>
      <c r="K41" s="59">
        <v>29.68</v>
      </c>
      <c r="L41" s="59">
        <v>20.16</v>
      </c>
      <c r="M41" s="59">
        <v>62.42</v>
      </c>
      <c r="N41" s="59">
        <v>119.9</v>
      </c>
      <c r="O41" s="59">
        <v>0</v>
      </c>
      <c r="P41" s="59">
        <v>0.82</v>
      </c>
      <c r="Q41" s="59">
        <v>26.94</v>
      </c>
      <c r="R41" s="197"/>
      <c r="S41" s="197"/>
      <c r="T41" s="197"/>
      <c r="U41" s="197"/>
    </row>
    <row r="42" spans="1:21" s="12" customFormat="1" x14ac:dyDescent="0.25">
      <c r="A42" s="200" t="s">
        <v>1818</v>
      </c>
      <c r="B42" s="59">
        <v>10.58</v>
      </c>
      <c r="C42" s="59">
        <v>58.35</v>
      </c>
      <c r="D42" s="59">
        <v>42.43</v>
      </c>
      <c r="E42" s="59">
        <v>2.38</v>
      </c>
      <c r="F42" s="59">
        <v>1.42</v>
      </c>
      <c r="G42" s="59">
        <v>57.75</v>
      </c>
      <c r="H42" s="59">
        <v>24.6</v>
      </c>
      <c r="I42" s="59">
        <v>0.56999999999999995</v>
      </c>
      <c r="J42" s="59">
        <v>0.03</v>
      </c>
      <c r="K42" s="59">
        <v>305.52999999999997</v>
      </c>
      <c r="L42" s="59">
        <v>21.31</v>
      </c>
      <c r="M42" s="59">
        <v>57.13</v>
      </c>
      <c r="N42" s="59">
        <v>142.6</v>
      </c>
      <c r="O42" s="59">
        <v>0</v>
      </c>
      <c r="P42" s="59">
        <v>0.85</v>
      </c>
      <c r="Q42" s="59">
        <v>26.57</v>
      </c>
      <c r="R42" s="197"/>
      <c r="S42" s="197"/>
      <c r="T42" s="197"/>
      <c r="U42" s="197"/>
    </row>
    <row r="43" spans="1:21" s="12" customFormat="1" x14ac:dyDescent="0.25">
      <c r="A43" s="200" t="s">
        <v>1819</v>
      </c>
      <c r="B43" s="59">
        <v>11.05</v>
      </c>
      <c r="C43" s="59">
        <v>59.25</v>
      </c>
      <c r="D43" s="59">
        <v>43.3</v>
      </c>
      <c r="E43" s="59">
        <v>1.94</v>
      </c>
      <c r="F43" s="59">
        <v>1.52</v>
      </c>
      <c r="G43" s="59">
        <v>57.01</v>
      </c>
      <c r="H43" s="59">
        <v>24.99</v>
      </c>
      <c r="I43" s="59">
        <v>0.56999999999999995</v>
      </c>
      <c r="J43" s="59">
        <v>0.15</v>
      </c>
      <c r="K43" s="59">
        <v>258.02999999999997</v>
      </c>
      <c r="L43" s="59">
        <v>21.45</v>
      </c>
      <c r="M43" s="59">
        <v>54.59</v>
      </c>
      <c r="N43" s="59">
        <v>92.6</v>
      </c>
      <c r="O43" s="59">
        <v>0</v>
      </c>
      <c r="P43" s="59">
        <v>0.88</v>
      </c>
      <c r="Q43" s="59">
        <v>26.66</v>
      </c>
      <c r="R43" s="197"/>
      <c r="S43" s="197"/>
      <c r="T43" s="197"/>
      <c r="U43" s="197"/>
    </row>
    <row r="44" spans="1:21" s="12" customFormat="1" x14ac:dyDescent="0.25">
      <c r="A44" s="200" t="s">
        <v>1820</v>
      </c>
      <c r="B44" s="59">
        <v>10.44</v>
      </c>
      <c r="C44" s="59">
        <v>60.35</v>
      </c>
      <c r="D44" s="59">
        <v>43.42</v>
      </c>
      <c r="E44" s="59">
        <v>2.34</v>
      </c>
      <c r="F44" s="59">
        <v>1.76</v>
      </c>
      <c r="G44" s="59">
        <v>57.01</v>
      </c>
      <c r="H44" s="59">
        <v>24.99</v>
      </c>
      <c r="I44" s="59">
        <v>0.56999999999999995</v>
      </c>
      <c r="J44" s="59">
        <v>0.51</v>
      </c>
      <c r="K44" s="59">
        <v>218.89</v>
      </c>
      <c r="L44" s="59">
        <v>20.97</v>
      </c>
      <c r="M44" s="59">
        <v>56.59</v>
      </c>
      <c r="N44" s="59">
        <v>98.8</v>
      </c>
      <c r="O44" s="59">
        <v>0</v>
      </c>
      <c r="P44" s="59">
        <v>0.88</v>
      </c>
      <c r="Q44" s="59">
        <v>26.25</v>
      </c>
      <c r="R44" s="197"/>
      <c r="S44" s="197"/>
      <c r="T44" s="197"/>
      <c r="U44" s="197"/>
    </row>
    <row r="45" spans="1:21" s="12" customFormat="1" x14ac:dyDescent="0.25">
      <c r="A45" s="200" t="s">
        <v>1821</v>
      </c>
      <c r="B45" s="59">
        <v>9.67</v>
      </c>
      <c r="C45" s="59">
        <v>60.62</v>
      </c>
      <c r="D45" s="59">
        <v>42.95</v>
      </c>
      <c r="E45" s="59">
        <v>1.87</v>
      </c>
      <c r="F45" s="59">
        <v>1.66</v>
      </c>
      <c r="G45" s="59">
        <v>57.01</v>
      </c>
      <c r="H45" s="59">
        <v>24.99</v>
      </c>
      <c r="I45" s="59">
        <v>0.57999999999999996</v>
      </c>
      <c r="J45" s="59">
        <v>0.64</v>
      </c>
      <c r="K45" s="59">
        <v>177.76</v>
      </c>
      <c r="L45" s="59">
        <v>20.96</v>
      </c>
      <c r="M45" s="59">
        <v>57.97</v>
      </c>
      <c r="N45" s="59">
        <v>129.80000000000001</v>
      </c>
      <c r="O45" s="59">
        <v>0</v>
      </c>
      <c r="P45" s="59">
        <v>0.88</v>
      </c>
      <c r="Q45" s="59">
        <v>26.08</v>
      </c>
      <c r="R45" s="197"/>
      <c r="S45" s="197"/>
      <c r="T45" s="197"/>
      <c r="U45" s="197"/>
    </row>
    <row r="46" spans="1:21" s="12" customFormat="1" x14ac:dyDescent="0.25">
      <c r="A46" s="200" t="s">
        <v>1822</v>
      </c>
      <c r="B46" s="59">
        <v>9.09</v>
      </c>
      <c r="C46" s="59">
        <v>60.69</v>
      </c>
      <c r="D46" s="59">
        <v>42.52</v>
      </c>
      <c r="E46" s="59">
        <v>2.23</v>
      </c>
      <c r="F46" s="59">
        <v>1.61</v>
      </c>
      <c r="G46" s="59">
        <v>61</v>
      </c>
      <c r="H46" s="59">
        <v>25.2</v>
      </c>
      <c r="I46" s="59">
        <v>0.56999999999999995</v>
      </c>
      <c r="J46" s="59">
        <v>0.09</v>
      </c>
      <c r="K46" s="59">
        <v>287.77999999999997</v>
      </c>
      <c r="L46" s="59">
        <v>21.58</v>
      </c>
      <c r="M46" s="59">
        <v>56.56</v>
      </c>
      <c r="N46" s="59">
        <v>250.2</v>
      </c>
      <c r="O46" s="59">
        <v>0</v>
      </c>
      <c r="P46" s="59">
        <v>0.89</v>
      </c>
      <c r="Q46" s="59">
        <v>24.98</v>
      </c>
      <c r="R46" s="197"/>
      <c r="S46" s="197"/>
      <c r="T46" s="197"/>
      <c r="U46" s="197"/>
    </row>
    <row r="47" spans="1:21" s="12" customFormat="1" x14ac:dyDescent="0.25">
      <c r="A47" s="200" t="s">
        <v>1823</v>
      </c>
      <c r="B47" s="59">
        <v>9.07</v>
      </c>
      <c r="C47" s="59">
        <v>61.48</v>
      </c>
      <c r="D47" s="59">
        <v>42.94</v>
      </c>
      <c r="E47" s="59">
        <v>2.23</v>
      </c>
      <c r="F47" s="59">
        <v>1.73</v>
      </c>
      <c r="G47" s="59">
        <v>61.67</v>
      </c>
      <c r="H47" s="59">
        <v>25.24</v>
      </c>
      <c r="I47" s="59">
        <v>0.56999999999999995</v>
      </c>
      <c r="J47" s="59">
        <v>0</v>
      </c>
      <c r="K47" s="59">
        <v>266.48</v>
      </c>
      <c r="L47" s="59">
        <v>23.5</v>
      </c>
      <c r="M47" s="59">
        <v>50.75</v>
      </c>
      <c r="N47" s="59">
        <v>461.7</v>
      </c>
      <c r="O47" s="59">
        <v>0</v>
      </c>
      <c r="P47" s="59">
        <v>0.91</v>
      </c>
      <c r="Q47" s="59">
        <v>24.11</v>
      </c>
      <c r="R47" s="197"/>
      <c r="S47" s="197"/>
      <c r="T47" s="197"/>
      <c r="U47" s="197"/>
    </row>
    <row r="48" spans="1:21" s="12" customFormat="1" x14ac:dyDescent="0.25">
      <c r="A48" s="200" t="s">
        <v>1824</v>
      </c>
      <c r="B48" s="59">
        <v>8.58</v>
      </c>
      <c r="C48" s="59">
        <v>62.05</v>
      </c>
      <c r="D48" s="59">
        <v>42.87</v>
      </c>
      <c r="E48" s="59">
        <v>2.86</v>
      </c>
      <c r="F48" s="59">
        <v>2.5</v>
      </c>
      <c r="G48" s="59">
        <v>61.67</v>
      </c>
      <c r="H48" s="59">
        <v>25.24</v>
      </c>
      <c r="I48" s="59">
        <v>0.56999999999999995</v>
      </c>
      <c r="J48" s="59">
        <v>0.31</v>
      </c>
      <c r="K48" s="59">
        <v>251.11</v>
      </c>
      <c r="L48" s="59">
        <v>24.62</v>
      </c>
      <c r="M48" s="59">
        <v>46.19</v>
      </c>
      <c r="N48" s="59">
        <v>658.4</v>
      </c>
      <c r="O48" s="59">
        <v>0</v>
      </c>
      <c r="P48" s="59">
        <v>0.92</v>
      </c>
      <c r="Q48" s="59">
        <v>24.21</v>
      </c>
      <c r="R48" s="197"/>
      <c r="S48" s="197"/>
      <c r="T48" s="197"/>
      <c r="U48" s="197"/>
    </row>
    <row r="49" spans="1:21" s="12" customFormat="1" x14ac:dyDescent="0.25">
      <c r="A49" s="200" t="s">
        <v>1825</v>
      </c>
      <c r="B49" s="59">
        <v>7.28</v>
      </c>
      <c r="C49" s="59">
        <v>63.41</v>
      </c>
      <c r="D49" s="59">
        <v>42.58</v>
      </c>
      <c r="E49" s="59">
        <v>2.78</v>
      </c>
      <c r="F49" s="59">
        <v>2.56</v>
      </c>
      <c r="G49" s="59">
        <v>61.67</v>
      </c>
      <c r="H49" s="59">
        <v>25.24</v>
      </c>
      <c r="I49" s="59">
        <v>0.56999999999999995</v>
      </c>
      <c r="J49" s="59">
        <v>0.28999999999999998</v>
      </c>
      <c r="K49" s="59">
        <v>1.78</v>
      </c>
      <c r="L49" s="59">
        <v>26.41</v>
      </c>
      <c r="M49" s="59">
        <v>40.92</v>
      </c>
      <c r="N49" s="59">
        <v>646.5</v>
      </c>
      <c r="O49" s="59">
        <v>0</v>
      </c>
      <c r="P49" s="59">
        <v>0.93</v>
      </c>
      <c r="Q49" s="59">
        <v>24.06</v>
      </c>
      <c r="R49" s="197"/>
      <c r="S49" s="197"/>
      <c r="T49" s="197"/>
      <c r="U49" s="197"/>
    </row>
    <row r="50" spans="1:21" s="12" customFormat="1" x14ac:dyDescent="0.25">
      <c r="A50" s="200" t="s">
        <v>1826</v>
      </c>
      <c r="B50" s="59">
        <v>6.22</v>
      </c>
      <c r="C50" s="59">
        <v>65.27</v>
      </c>
      <c r="D50" s="59">
        <v>42.75</v>
      </c>
      <c r="E50" s="59">
        <v>2.97</v>
      </c>
      <c r="F50" s="59">
        <v>2.78</v>
      </c>
      <c r="G50" s="59">
        <v>63.58</v>
      </c>
      <c r="H50" s="59">
        <v>26.42</v>
      </c>
      <c r="I50" s="59">
        <v>0.56000000000000005</v>
      </c>
      <c r="J50" s="59">
        <v>0.36</v>
      </c>
      <c r="K50" s="59">
        <v>222.8</v>
      </c>
      <c r="L50" s="59">
        <v>26.54</v>
      </c>
      <c r="M50" s="59">
        <v>39.78</v>
      </c>
      <c r="N50" s="59">
        <v>719.1</v>
      </c>
      <c r="O50" s="59">
        <v>0</v>
      </c>
      <c r="P50" s="59">
        <v>1.01</v>
      </c>
      <c r="Q50" s="59">
        <v>23.95</v>
      </c>
      <c r="R50" s="197"/>
      <c r="S50" s="197"/>
      <c r="T50" s="197"/>
      <c r="U50" s="197"/>
    </row>
    <row r="51" spans="1:21" s="12" customFormat="1" x14ac:dyDescent="0.25">
      <c r="A51" s="200" t="s">
        <v>1827</v>
      </c>
      <c r="B51" s="59">
        <v>5.49</v>
      </c>
      <c r="C51" s="59">
        <v>66.849999999999994</v>
      </c>
      <c r="D51" s="59">
        <v>43.04</v>
      </c>
      <c r="E51" s="59">
        <v>3.21</v>
      </c>
      <c r="F51" s="59">
        <v>3.2</v>
      </c>
      <c r="G51" s="59">
        <v>63.9</v>
      </c>
      <c r="H51" s="59">
        <v>26.62</v>
      </c>
      <c r="I51" s="59">
        <v>0.56000000000000005</v>
      </c>
      <c r="J51" s="59">
        <v>0.14000000000000001</v>
      </c>
      <c r="K51" s="59">
        <v>286.73</v>
      </c>
      <c r="L51" s="59">
        <v>26.74</v>
      </c>
      <c r="M51" s="59">
        <v>38.979999999999997</v>
      </c>
      <c r="N51" s="59">
        <v>735.2</v>
      </c>
      <c r="O51" s="59">
        <v>0</v>
      </c>
      <c r="P51" s="59">
        <v>1.1000000000000001</v>
      </c>
      <c r="Q51" s="59">
        <v>23.84</v>
      </c>
      <c r="R51" s="197"/>
      <c r="S51" s="197"/>
      <c r="T51" s="197"/>
      <c r="U51" s="197"/>
    </row>
    <row r="52" spans="1:21" s="12" customFormat="1" x14ac:dyDescent="0.25">
      <c r="A52" s="200" t="s">
        <v>1828</v>
      </c>
      <c r="B52" s="59">
        <v>5.12</v>
      </c>
      <c r="C52" s="59">
        <v>68.45</v>
      </c>
      <c r="D52" s="59">
        <v>43.62</v>
      </c>
      <c r="E52" s="59">
        <v>3.66</v>
      </c>
      <c r="F52" s="59">
        <v>3.33</v>
      </c>
      <c r="G52" s="59">
        <v>63.9</v>
      </c>
      <c r="H52" s="59">
        <v>26.62</v>
      </c>
      <c r="I52" s="59">
        <v>0.55000000000000004</v>
      </c>
      <c r="J52" s="59">
        <v>0.17</v>
      </c>
      <c r="K52" s="59">
        <v>246.5</v>
      </c>
      <c r="L52" s="59">
        <v>27.88</v>
      </c>
      <c r="M52" s="59">
        <v>36.61</v>
      </c>
      <c r="N52" s="59">
        <v>762.8</v>
      </c>
      <c r="O52" s="59">
        <v>0</v>
      </c>
      <c r="P52" s="59">
        <v>1.1499999999999999</v>
      </c>
      <c r="Q52" s="59">
        <v>23.69</v>
      </c>
      <c r="R52" s="197"/>
      <c r="S52" s="197"/>
      <c r="T52" s="197"/>
      <c r="U52" s="197"/>
    </row>
    <row r="53" spans="1:21" s="12" customFormat="1" x14ac:dyDescent="0.25">
      <c r="A53" s="200" t="s">
        <v>1829</v>
      </c>
      <c r="B53" s="59">
        <v>4.7</v>
      </c>
      <c r="C53" s="59">
        <v>68.95</v>
      </c>
      <c r="D53" s="59">
        <v>43.56</v>
      </c>
      <c r="E53" s="59">
        <v>3.62</v>
      </c>
      <c r="F53" s="59">
        <v>3.92</v>
      </c>
      <c r="G53" s="59">
        <v>63.9</v>
      </c>
      <c r="H53" s="59">
        <v>26.62</v>
      </c>
      <c r="I53" s="59">
        <v>0.55000000000000004</v>
      </c>
      <c r="J53" s="59">
        <v>0.39</v>
      </c>
      <c r="K53" s="59">
        <v>249.23</v>
      </c>
      <c r="L53" s="59">
        <v>27.68</v>
      </c>
      <c r="M53" s="59">
        <v>35.03</v>
      </c>
      <c r="N53" s="59">
        <v>806.5</v>
      </c>
      <c r="O53" s="59">
        <v>0</v>
      </c>
      <c r="P53" s="59">
        <v>1.1299999999999999</v>
      </c>
      <c r="Q53" s="59">
        <v>23.77</v>
      </c>
      <c r="R53" s="197"/>
      <c r="S53" s="197"/>
      <c r="T53" s="197"/>
      <c r="U53" s="197"/>
    </row>
    <row r="54" spans="1:21" s="12" customFormat="1" x14ac:dyDescent="0.25">
      <c r="A54" s="200" t="s">
        <v>1830</v>
      </c>
      <c r="B54" s="59">
        <v>3.98</v>
      </c>
      <c r="C54" s="59">
        <v>67.11</v>
      </c>
      <c r="D54" s="59">
        <v>41.97</v>
      </c>
      <c r="E54" s="59">
        <v>3.17</v>
      </c>
      <c r="F54" s="59">
        <v>4.8499999999999996</v>
      </c>
      <c r="G54" s="59">
        <v>59.31</v>
      </c>
      <c r="H54" s="59">
        <v>26.14</v>
      </c>
      <c r="I54" s="59">
        <v>0.55000000000000004</v>
      </c>
      <c r="J54" s="59">
        <v>0.32</v>
      </c>
      <c r="K54" s="59">
        <v>235.76</v>
      </c>
      <c r="L54" s="59">
        <v>28</v>
      </c>
      <c r="M54" s="59">
        <v>34.57</v>
      </c>
      <c r="N54" s="59">
        <v>790.6</v>
      </c>
      <c r="O54" s="59">
        <v>0</v>
      </c>
      <c r="P54" s="59">
        <v>1.08</v>
      </c>
      <c r="Q54" s="59">
        <v>24.01</v>
      </c>
      <c r="R54" s="197"/>
      <c r="S54" s="197"/>
      <c r="T54" s="197"/>
      <c r="U54" s="197"/>
    </row>
    <row r="55" spans="1:21" s="12" customFormat="1" x14ac:dyDescent="0.25">
      <c r="A55" s="200" t="s">
        <v>1831</v>
      </c>
      <c r="B55" s="59">
        <v>3.44</v>
      </c>
      <c r="C55" s="59">
        <v>64.06</v>
      </c>
      <c r="D55" s="59">
        <v>39.85</v>
      </c>
      <c r="E55" s="59">
        <v>2.4500000000000002</v>
      </c>
      <c r="F55" s="59">
        <v>5.87</v>
      </c>
      <c r="G55" s="59">
        <v>58.53</v>
      </c>
      <c r="H55" s="59">
        <v>26.07</v>
      </c>
      <c r="I55" s="59">
        <v>0.55000000000000004</v>
      </c>
      <c r="J55" s="59">
        <v>0.83</v>
      </c>
      <c r="K55" s="59">
        <v>186.54</v>
      </c>
      <c r="L55" s="59">
        <v>28.57</v>
      </c>
      <c r="M55" s="59">
        <v>33.590000000000003</v>
      </c>
      <c r="N55" s="59">
        <v>738</v>
      </c>
      <c r="O55" s="59">
        <v>0</v>
      </c>
      <c r="P55" s="59">
        <v>1.04</v>
      </c>
      <c r="Q55" s="59">
        <v>24.68</v>
      </c>
      <c r="R55" s="197"/>
      <c r="S55" s="197"/>
      <c r="T55" s="197"/>
      <c r="U55" s="197"/>
    </row>
    <row r="56" spans="1:21" s="12" customFormat="1" x14ac:dyDescent="0.25">
      <c r="A56" s="200" t="s">
        <v>1832</v>
      </c>
      <c r="B56" s="59">
        <v>3.34</v>
      </c>
      <c r="C56" s="59">
        <v>61.49</v>
      </c>
      <c r="D56" s="59">
        <v>38.36</v>
      </c>
      <c r="E56" s="59">
        <v>1.53</v>
      </c>
      <c r="F56" s="59">
        <v>6.45</v>
      </c>
      <c r="G56" s="59">
        <v>58.53</v>
      </c>
      <c r="H56" s="59">
        <v>26.07</v>
      </c>
      <c r="I56" s="59">
        <v>0.56000000000000005</v>
      </c>
      <c r="J56" s="59">
        <v>0.13</v>
      </c>
      <c r="K56" s="59">
        <v>311.02</v>
      </c>
      <c r="L56" s="59">
        <v>28.65</v>
      </c>
      <c r="M56" s="59">
        <v>33.729999999999997</v>
      </c>
      <c r="N56" s="59">
        <v>758.9</v>
      </c>
      <c r="O56" s="59">
        <v>0</v>
      </c>
      <c r="P56" s="59">
        <v>0.99</v>
      </c>
      <c r="Q56" s="59">
        <v>23.73</v>
      </c>
      <c r="R56" s="197"/>
      <c r="S56" s="197"/>
      <c r="T56" s="197"/>
      <c r="U56" s="197"/>
    </row>
    <row r="57" spans="1:21" s="12" customFormat="1" x14ac:dyDescent="0.25">
      <c r="A57" s="200" t="s">
        <v>1833</v>
      </c>
      <c r="B57" s="59">
        <v>3.36</v>
      </c>
      <c r="C57" s="59">
        <v>60.29</v>
      </c>
      <c r="D57" s="59">
        <v>37.700000000000003</v>
      </c>
      <c r="E57" s="59">
        <v>2.87</v>
      </c>
      <c r="F57" s="59">
        <v>6.02</v>
      </c>
      <c r="G57" s="59">
        <v>58.53</v>
      </c>
      <c r="H57" s="59">
        <v>26.07</v>
      </c>
      <c r="I57" s="59">
        <v>0.53</v>
      </c>
      <c r="J57" s="59">
        <v>0.55000000000000004</v>
      </c>
      <c r="K57" s="59">
        <v>218.66</v>
      </c>
      <c r="L57" s="59">
        <v>28.64</v>
      </c>
      <c r="M57" s="59">
        <v>33.159999999999997</v>
      </c>
      <c r="N57" s="59">
        <v>669.9</v>
      </c>
      <c r="O57" s="59">
        <v>0</v>
      </c>
      <c r="P57" s="59">
        <v>0.96</v>
      </c>
      <c r="Q57" s="59">
        <v>23.26</v>
      </c>
      <c r="R57" s="197"/>
      <c r="S57" s="197"/>
      <c r="T57" s="197"/>
      <c r="U57" s="197"/>
    </row>
    <row r="58" spans="1:21" s="12" customFormat="1" x14ac:dyDescent="0.25">
      <c r="A58" s="200" t="s">
        <v>1834</v>
      </c>
      <c r="B58" s="59">
        <v>3.16</v>
      </c>
      <c r="C58" s="59">
        <v>58.26</v>
      </c>
      <c r="D58" s="59">
        <v>36.43</v>
      </c>
      <c r="E58" s="59">
        <v>2.61</v>
      </c>
      <c r="F58" s="59">
        <v>7.92</v>
      </c>
      <c r="G58" s="59">
        <v>47.07</v>
      </c>
      <c r="H58" s="59">
        <v>20.14</v>
      </c>
      <c r="I58" s="59">
        <v>0.53</v>
      </c>
      <c r="J58" s="59">
        <v>1.29</v>
      </c>
      <c r="K58" s="59">
        <v>179.99</v>
      </c>
      <c r="L58" s="59">
        <v>27.82</v>
      </c>
      <c r="M58" s="59">
        <v>34.46</v>
      </c>
      <c r="N58" s="59">
        <v>804</v>
      </c>
      <c r="O58" s="59">
        <v>0</v>
      </c>
      <c r="P58" s="59">
        <v>0.92</v>
      </c>
      <c r="Q58" s="59">
        <v>22.77</v>
      </c>
      <c r="R58" s="197"/>
      <c r="S58" s="197"/>
      <c r="T58" s="197"/>
      <c r="U58" s="197"/>
    </row>
    <row r="59" spans="1:21" s="12" customFormat="1" x14ac:dyDescent="0.25">
      <c r="A59" s="200" t="s">
        <v>1835</v>
      </c>
      <c r="B59" s="59">
        <v>3.05</v>
      </c>
      <c r="C59" s="59">
        <v>53.26</v>
      </c>
      <c r="D59" s="59">
        <v>33.58</v>
      </c>
      <c r="E59" s="59">
        <v>2.68</v>
      </c>
      <c r="F59" s="59">
        <v>7.36</v>
      </c>
      <c r="G59" s="59">
        <v>45.13</v>
      </c>
      <c r="H59" s="59">
        <v>19.14</v>
      </c>
      <c r="I59" s="59">
        <v>0.53</v>
      </c>
      <c r="J59" s="59">
        <v>0.9</v>
      </c>
      <c r="K59" s="59">
        <v>174.18</v>
      </c>
      <c r="L59" s="59">
        <v>28.38</v>
      </c>
      <c r="M59" s="59">
        <v>33.89</v>
      </c>
      <c r="N59" s="59">
        <v>789.7</v>
      </c>
      <c r="O59" s="59">
        <v>0</v>
      </c>
      <c r="P59" s="59">
        <v>0.89</v>
      </c>
      <c r="Q59" s="59">
        <v>22.92</v>
      </c>
      <c r="R59" s="197"/>
      <c r="S59" s="197"/>
      <c r="T59" s="197"/>
      <c r="U59" s="197"/>
    </row>
    <row r="60" spans="1:21" s="12" customFormat="1" x14ac:dyDescent="0.25">
      <c r="A60" s="200" t="s">
        <v>1836</v>
      </c>
      <c r="B60" s="59">
        <v>3.11</v>
      </c>
      <c r="C60" s="59">
        <v>53.55</v>
      </c>
      <c r="D60" s="59">
        <v>33.79</v>
      </c>
      <c r="E60" s="59">
        <v>2.4300000000000002</v>
      </c>
      <c r="F60" s="59">
        <v>7.78</v>
      </c>
      <c r="G60" s="59">
        <v>45.13</v>
      </c>
      <c r="H60" s="59">
        <v>19.14</v>
      </c>
      <c r="I60" s="59">
        <v>0.53</v>
      </c>
      <c r="J60" s="59">
        <v>0.74</v>
      </c>
      <c r="K60" s="59">
        <v>172.96</v>
      </c>
      <c r="L60" s="59">
        <v>28.63</v>
      </c>
      <c r="M60" s="59">
        <v>33.67</v>
      </c>
      <c r="N60" s="59">
        <v>744.5</v>
      </c>
      <c r="O60" s="59">
        <v>0</v>
      </c>
      <c r="P60" s="59">
        <v>0.86</v>
      </c>
      <c r="Q60" s="59">
        <v>22.54</v>
      </c>
      <c r="R60" s="197"/>
      <c r="S60" s="197"/>
      <c r="T60" s="197"/>
      <c r="U60" s="197"/>
    </row>
    <row r="61" spans="1:21" s="12" customFormat="1" x14ac:dyDescent="0.25">
      <c r="A61" s="200" t="s">
        <v>1837</v>
      </c>
      <c r="B61" s="59">
        <v>3.37</v>
      </c>
      <c r="C61" s="59">
        <v>53.66</v>
      </c>
      <c r="D61" s="59">
        <v>34.06</v>
      </c>
      <c r="E61" s="59">
        <v>3.01</v>
      </c>
      <c r="F61" s="59">
        <v>9.01</v>
      </c>
      <c r="G61" s="59">
        <v>45.13</v>
      </c>
      <c r="H61" s="59">
        <v>19.14</v>
      </c>
      <c r="I61" s="59">
        <v>0.53</v>
      </c>
      <c r="J61" s="59">
        <v>0.97</v>
      </c>
      <c r="K61" s="59">
        <v>184.88</v>
      </c>
      <c r="L61" s="59">
        <v>28.39</v>
      </c>
      <c r="M61" s="59">
        <v>33.76</v>
      </c>
      <c r="N61" s="59">
        <v>630.5</v>
      </c>
      <c r="O61" s="59">
        <v>0</v>
      </c>
      <c r="P61" s="59">
        <v>0.81</v>
      </c>
      <c r="Q61" s="59">
        <v>22.15</v>
      </c>
      <c r="R61" s="197"/>
      <c r="S61" s="197"/>
      <c r="T61" s="197"/>
      <c r="U61" s="197"/>
    </row>
    <row r="62" spans="1:21" s="12" customFormat="1" x14ac:dyDescent="0.25">
      <c r="A62" s="200" t="s">
        <v>1838</v>
      </c>
      <c r="B62" s="59">
        <v>3.55</v>
      </c>
      <c r="C62" s="59">
        <v>52.49</v>
      </c>
      <c r="D62" s="59">
        <v>33.56</v>
      </c>
      <c r="E62" s="59">
        <v>3.45</v>
      </c>
      <c r="F62" s="59">
        <v>10.14</v>
      </c>
      <c r="G62" s="59">
        <v>44.19</v>
      </c>
      <c r="H62" s="59">
        <v>19.399999999999999</v>
      </c>
      <c r="I62" s="59">
        <v>0.52</v>
      </c>
      <c r="J62" s="59">
        <v>1.26</v>
      </c>
      <c r="K62" s="59">
        <v>177.88</v>
      </c>
      <c r="L62" s="59">
        <v>28.79</v>
      </c>
      <c r="M62" s="59">
        <v>33.11</v>
      </c>
      <c r="N62" s="59">
        <v>663.2</v>
      </c>
      <c r="O62" s="59">
        <v>0</v>
      </c>
      <c r="P62" s="59">
        <v>0.81</v>
      </c>
      <c r="Q62" s="59">
        <v>22.35</v>
      </c>
      <c r="R62" s="197"/>
      <c r="S62" s="197"/>
      <c r="T62" s="197"/>
      <c r="U62" s="197"/>
    </row>
    <row r="63" spans="1:21" s="12" customFormat="1" x14ac:dyDescent="0.25">
      <c r="A63" s="200" t="s">
        <v>1839</v>
      </c>
      <c r="B63" s="59">
        <v>3.36</v>
      </c>
      <c r="C63" s="59">
        <v>50.85</v>
      </c>
      <c r="D63" s="59">
        <v>32.5</v>
      </c>
      <c r="E63" s="59">
        <v>3.19</v>
      </c>
      <c r="F63" s="59">
        <v>13.15</v>
      </c>
      <c r="G63" s="59">
        <v>44.03</v>
      </c>
      <c r="H63" s="59">
        <v>19.440000000000001</v>
      </c>
      <c r="I63" s="59">
        <v>0.54</v>
      </c>
      <c r="J63" s="59">
        <v>1.31</v>
      </c>
      <c r="K63" s="59">
        <v>164.74</v>
      </c>
      <c r="L63" s="59">
        <v>28.13</v>
      </c>
      <c r="M63" s="59">
        <v>33.92</v>
      </c>
      <c r="N63" s="59">
        <v>420.1</v>
      </c>
      <c r="O63" s="59">
        <v>0</v>
      </c>
      <c r="P63" s="59">
        <v>0.78</v>
      </c>
      <c r="Q63" s="59">
        <v>22.71</v>
      </c>
      <c r="R63" s="197"/>
      <c r="S63" s="197"/>
      <c r="T63" s="197"/>
      <c r="U63" s="197"/>
    </row>
    <row r="64" spans="1:21" s="12" customFormat="1" x14ac:dyDescent="0.25">
      <c r="A64" s="200" t="s">
        <v>1840</v>
      </c>
      <c r="B64" s="59">
        <v>3.4</v>
      </c>
      <c r="C64" s="59">
        <v>51.51</v>
      </c>
      <c r="D64" s="59">
        <v>32.89</v>
      </c>
      <c r="E64" s="59">
        <v>2.91</v>
      </c>
      <c r="F64" s="59">
        <v>7.62</v>
      </c>
      <c r="G64" s="59">
        <v>44.03</v>
      </c>
      <c r="H64" s="59">
        <v>19.440000000000001</v>
      </c>
      <c r="I64" s="59">
        <v>0.51</v>
      </c>
      <c r="J64" s="59">
        <v>0.9</v>
      </c>
      <c r="K64" s="59">
        <v>191.96</v>
      </c>
      <c r="L64" s="59">
        <v>28.63</v>
      </c>
      <c r="M64" s="59">
        <v>32.76</v>
      </c>
      <c r="N64" s="59">
        <v>651</v>
      </c>
      <c r="O64" s="59">
        <v>0</v>
      </c>
      <c r="P64" s="59">
        <v>0.79</v>
      </c>
      <c r="Q64" s="59">
        <v>23.22</v>
      </c>
      <c r="R64" s="197"/>
      <c r="S64" s="197"/>
      <c r="T64" s="197"/>
      <c r="U64" s="197"/>
    </row>
    <row r="65" spans="1:21" s="12" customFormat="1" x14ac:dyDescent="0.25">
      <c r="A65" s="200" t="s">
        <v>1841</v>
      </c>
      <c r="B65" s="59">
        <v>3.38</v>
      </c>
      <c r="C65" s="59">
        <v>52.22</v>
      </c>
      <c r="D65" s="59">
        <v>33.270000000000003</v>
      </c>
      <c r="E65" s="59">
        <v>2.99</v>
      </c>
      <c r="F65" s="59">
        <v>7.97</v>
      </c>
      <c r="G65" s="59">
        <v>44.03</v>
      </c>
      <c r="H65" s="59">
        <v>19.440000000000001</v>
      </c>
      <c r="I65" s="59">
        <v>0.52</v>
      </c>
      <c r="J65" s="59">
        <v>1.61</v>
      </c>
      <c r="K65" s="59">
        <v>174.99</v>
      </c>
      <c r="L65" s="59">
        <v>28.42</v>
      </c>
      <c r="M65" s="59">
        <v>33.17</v>
      </c>
      <c r="N65" s="59">
        <v>573</v>
      </c>
      <c r="O65" s="59">
        <v>0</v>
      </c>
      <c r="P65" s="59">
        <v>0.77</v>
      </c>
      <c r="Q65" s="59">
        <v>23.29</v>
      </c>
      <c r="R65" s="197"/>
      <c r="S65" s="197"/>
      <c r="T65" s="197"/>
      <c r="U65" s="197"/>
    </row>
    <row r="66" spans="1:21" s="12" customFormat="1" x14ac:dyDescent="0.25">
      <c r="A66" s="200" t="s">
        <v>1842</v>
      </c>
      <c r="B66" s="59">
        <v>3.26</v>
      </c>
      <c r="C66" s="59">
        <v>48.46</v>
      </c>
      <c r="D66" s="59">
        <v>31.1</v>
      </c>
      <c r="E66" s="59">
        <v>3.18</v>
      </c>
      <c r="F66" s="59">
        <v>9.09</v>
      </c>
      <c r="G66" s="59">
        <v>38.31</v>
      </c>
      <c r="H66" s="59">
        <v>19.43</v>
      </c>
      <c r="I66" s="59">
        <v>0.52</v>
      </c>
      <c r="J66" s="59">
        <v>1.45</v>
      </c>
      <c r="K66" s="59">
        <v>185.23</v>
      </c>
      <c r="L66" s="59">
        <v>28.13</v>
      </c>
      <c r="M66" s="59">
        <v>33.19</v>
      </c>
      <c r="N66" s="59">
        <v>436.4</v>
      </c>
      <c r="O66" s="59">
        <v>0</v>
      </c>
      <c r="P66" s="59">
        <v>0.74</v>
      </c>
      <c r="Q66" s="59">
        <v>23.45</v>
      </c>
      <c r="R66" s="197"/>
      <c r="S66" s="197"/>
      <c r="T66" s="197"/>
      <c r="U66" s="197"/>
    </row>
    <row r="67" spans="1:21" s="12" customFormat="1" x14ac:dyDescent="0.25">
      <c r="A67" s="200" t="s">
        <v>1843</v>
      </c>
      <c r="B67" s="59">
        <v>3.23</v>
      </c>
      <c r="C67" s="59">
        <v>51.23</v>
      </c>
      <c r="D67" s="59">
        <v>32.61</v>
      </c>
      <c r="E67" s="59">
        <v>2.87</v>
      </c>
      <c r="F67" s="59">
        <v>6.77</v>
      </c>
      <c r="G67" s="59">
        <v>37.35</v>
      </c>
      <c r="H67" s="59">
        <v>19.43</v>
      </c>
      <c r="I67" s="59">
        <v>0.52</v>
      </c>
      <c r="J67" s="59">
        <v>1.47</v>
      </c>
      <c r="K67" s="59">
        <v>180.45</v>
      </c>
      <c r="L67" s="59">
        <v>28.18</v>
      </c>
      <c r="M67" s="59">
        <v>33.24</v>
      </c>
      <c r="N67" s="59">
        <v>355.4</v>
      </c>
      <c r="O67" s="59">
        <v>0</v>
      </c>
      <c r="P67" s="59">
        <v>0.73</v>
      </c>
      <c r="Q67" s="59">
        <v>23.57</v>
      </c>
      <c r="R67" s="197"/>
      <c r="S67" s="197"/>
      <c r="T67" s="197"/>
      <c r="U67" s="197"/>
    </row>
    <row r="68" spans="1:21" s="12" customFormat="1" x14ac:dyDescent="0.25">
      <c r="A68" s="200" t="s">
        <v>1844</v>
      </c>
      <c r="B68" s="59">
        <v>3.23</v>
      </c>
      <c r="C68" s="59">
        <v>52.06</v>
      </c>
      <c r="D68" s="59">
        <v>33.06</v>
      </c>
      <c r="E68" s="59">
        <v>2.93</v>
      </c>
      <c r="F68" s="59">
        <v>6.37</v>
      </c>
      <c r="G68" s="59">
        <v>37.35</v>
      </c>
      <c r="H68" s="59">
        <v>19.43</v>
      </c>
      <c r="I68" s="59">
        <v>0.55000000000000004</v>
      </c>
      <c r="J68" s="59">
        <v>1.27</v>
      </c>
      <c r="K68" s="59">
        <v>198.01</v>
      </c>
      <c r="L68" s="59">
        <v>27.96</v>
      </c>
      <c r="M68" s="59">
        <v>33.200000000000003</v>
      </c>
      <c r="N68" s="59">
        <v>231.5</v>
      </c>
      <c r="O68" s="59">
        <v>0</v>
      </c>
      <c r="P68" s="59">
        <v>0.72</v>
      </c>
      <c r="Q68" s="59">
        <v>23.76</v>
      </c>
      <c r="R68" s="197"/>
      <c r="S68" s="197"/>
      <c r="T68" s="197"/>
      <c r="U68" s="197"/>
    </row>
    <row r="69" spans="1:21" s="12" customFormat="1" x14ac:dyDescent="0.25">
      <c r="A69" s="200" t="s">
        <v>1845</v>
      </c>
      <c r="B69" s="59">
        <v>3.07</v>
      </c>
      <c r="C69" s="59">
        <v>51.74</v>
      </c>
      <c r="D69" s="59">
        <v>32.76</v>
      </c>
      <c r="E69" s="59">
        <v>2.61</v>
      </c>
      <c r="F69" s="59">
        <v>8.41</v>
      </c>
      <c r="G69" s="59">
        <v>37.35</v>
      </c>
      <c r="H69" s="59">
        <v>19.43</v>
      </c>
      <c r="I69" s="59">
        <v>0.53</v>
      </c>
      <c r="J69" s="59">
        <v>1.35</v>
      </c>
      <c r="K69" s="59">
        <v>180.48</v>
      </c>
      <c r="L69" s="59">
        <v>27.53</v>
      </c>
      <c r="M69" s="59">
        <v>33.71</v>
      </c>
      <c r="N69" s="59">
        <v>139.9</v>
      </c>
      <c r="O69" s="59">
        <v>0</v>
      </c>
      <c r="P69" s="59">
        <v>0.71</v>
      </c>
      <c r="Q69" s="59">
        <v>24.24</v>
      </c>
      <c r="R69" s="197"/>
      <c r="S69" s="197"/>
      <c r="T69" s="197"/>
      <c r="U69" s="197"/>
    </row>
    <row r="70" spans="1:21" s="12" customFormat="1" x14ac:dyDescent="0.25">
      <c r="A70" s="200" t="s">
        <v>1846</v>
      </c>
      <c r="B70" s="59">
        <v>3.08</v>
      </c>
      <c r="C70" s="59">
        <v>50.63</v>
      </c>
      <c r="D70" s="59">
        <v>32.15</v>
      </c>
      <c r="E70" s="59">
        <v>2.5</v>
      </c>
      <c r="F70" s="59">
        <v>10.92</v>
      </c>
      <c r="G70" s="59">
        <v>35.4</v>
      </c>
      <c r="H70" s="59">
        <v>18.57</v>
      </c>
      <c r="I70" s="59">
        <v>0.53</v>
      </c>
      <c r="J70" s="59">
        <v>0.97</v>
      </c>
      <c r="K70" s="59">
        <v>197.79</v>
      </c>
      <c r="L70" s="59">
        <v>27.46</v>
      </c>
      <c r="M70" s="59">
        <v>34.119999999999997</v>
      </c>
      <c r="N70" s="59">
        <v>213.8</v>
      </c>
      <c r="O70" s="59">
        <v>0</v>
      </c>
      <c r="P70" s="59">
        <v>0.69</v>
      </c>
      <c r="Q70" s="59">
        <v>23.35</v>
      </c>
      <c r="R70" s="197"/>
      <c r="S70" s="197"/>
      <c r="T70" s="197"/>
      <c r="U70" s="197"/>
    </row>
    <row r="71" spans="1:21" s="12" customFormat="1" x14ac:dyDescent="0.25">
      <c r="A71" s="200" t="s">
        <v>1847</v>
      </c>
      <c r="B71" s="59">
        <v>3.05</v>
      </c>
      <c r="C71" s="59">
        <v>51.23</v>
      </c>
      <c r="D71" s="59">
        <v>32.46</v>
      </c>
      <c r="E71" s="59">
        <v>2.86</v>
      </c>
      <c r="F71" s="59">
        <v>7.24</v>
      </c>
      <c r="G71" s="59">
        <v>35.11</v>
      </c>
      <c r="H71" s="59">
        <v>18.420000000000002</v>
      </c>
      <c r="I71" s="59">
        <v>0.54</v>
      </c>
      <c r="J71" s="59">
        <v>1</v>
      </c>
      <c r="K71" s="59">
        <v>208.27</v>
      </c>
      <c r="L71" s="59">
        <v>27.5</v>
      </c>
      <c r="M71" s="59">
        <v>33.979999999999997</v>
      </c>
      <c r="N71" s="59">
        <v>143.6</v>
      </c>
      <c r="O71" s="59">
        <v>0</v>
      </c>
      <c r="P71" s="59">
        <v>0.69</v>
      </c>
      <c r="Q71" s="59">
        <v>22.95</v>
      </c>
      <c r="R71" s="197"/>
      <c r="S71" s="197"/>
      <c r="T71" s="197"/>
      <c r="U71" s="197"/>
    </row>
    <row r="72" spans="1:21" s="12" customFormat="1" x14ac:dyDescent="0.25">
      <c r="A72" s="200" t="s">
        <v>1848</v>
      </c>
      <c r="B72" s="59">
        <v>2.97</v>
      </c>
      <c r="C72" s="59">
        <v>51.31</v>
      </c>
      <c r="D72" s="59">
        <v>32.44</v>
      </c>
      <c r="E72" s="59">
        <v>1.42</v>
      </c>
      <c r="F72" s="59">
        <v>6.82</v>
      </c>
      <c r="G72" s="59">
        <v>35.11</v>
      </c>
      <c r="H72" s="59">
        <v>18.420000000000002</v>
      </c>
      <c r="I72" s="59">
        <v>0.53</v>
      </c>
      <c r="J72" s="59">
        <v>0.82</v>
      </c>
      <c r="K72" s="59">
        <v>223.17</v>
      </c>
      <c r="L72" s="59">
        <v>27.31</v>
      </c>
      <c r="M72" s="59">
        <v>36.549999999999997</v>
      </c>
      <c r="N72" s="59">
        <v>157.6</v>
      </c>
      <c r="O72" s="59">
        <v>0</v>
      </c>
      <c r="P72" s="59">
        <v>0.68</v>
      </c>
      <c r="Q72" s="59">
        <v>22.8</v>
      </c>
      <c r="R72" s="197"/>
      <c r="S72" s="197"/>
      <c r="T72" s="197"/>
      <c r="U72" s="197"/>
    </row>
    <row r="73" spans="1:21" s="12" customFormat="1" x14ac:dyDescent="0.25">
      <c r="A73" s="200" t="s">
        <v>1849</v>
      </c>
      <c r="B73" s="59">
        <v>2.86</v>
      </c>
      <c r="C73" s="59">
        <v>51.04</v>
      </c>
      <c r="D73" s="59">
        <v>32.21</v>
      </c>
      <c r="E73" s="59">
        <v>2.02</v>
      </c>
      <c r="F73" s="59">
        <v>8.67</v>
      </c>
      <c r="G73" s="59">
        <v>35.11</v>
      </c>
      <c r="H73" s="59">
        <v>18.420000000000002</v>
      </c>
      <c r="I73" s="59">
        <v>0.55000000000000004</v>
      </c>
      <c r="J73" s="59">
        <v>1.04</v>
      </c>
      <c r="K73" s="59">
        <v>235.34</v>
      </c>
      <c r="L73" s="59">
        <v>26.81</v>
      </c>
      <c r="M73" s="59">
        <v>38.020000000000003</v>
      </c>
      <c r="N73" s="59">
        <v>122.3</v>
      </c>
      <c r="O73" s="59">
        <v>0</v>
      </c>
      <c r="P73" s="59">
        <v>0.66</v>
      </c>
      <c r="Q73" s="59">
        <v>22.78</v>
      </c>
      <c r="R73" s="197"/>
      <c r="S73" s="197"/>
      <c r="T73" s="197"/>
      <c r="U73" s="197"/>
    </row>
    <row r="74" spans="1:21" s="12" customFormat="1" x14ac:dyDescent="0.25">
      <c r="A74" s="200" t="s">
        <v>1850</v>
      </c>
      <c r="B74" s="59">
        <v>2.81</v>
      </c>
      <c r="C74" s="59">
        <v>50.06</v>
      </c>
      <c r="D74" s="59">
        <v>31.62</v>
      </c>
      <c r="E74" s="59">
        <v>1.99</v>
      </c>
      <c r="F74" s="59">
        <v>9.57</v>
      </c>
      <c r="G74" s="59">
        <v>35.47</v>
      </c>
      <c r="H74" s="59">
        <v>19.27</v>
      </c>
      <c r="I74" s="59">
        <v>0.51</v>
      </c>
      <c r="J74" s="59">
        <v>1.2</v>
      </c>
      <c r="K74" s="59">
        <v>237.55</v>
      </c>
      <c r="L74" s="59">
        <v>26.78</v>
      </c>
      <c r="M74" s="59">
        <v>36.590000000000003</v>
      </c>
      <c r="N74" s="59">
        <v>142.1</v>
      </c>
      <c r="O74" s="59">
        <v>0</v>
      </c>
      <c r="P74" s="59">
        <v>0.65</v>
      </c>
      <c r="Q74" s="59">
        <v>22.28</v>
      </c>
      <c r="R74" s="197"/>
      <c r="S74" s="197"/>
      <c r="T74" s="197"/>
      <c r="U74" s="197"/>
    </row>
    <row r="75" spans="1:21" s="12" customFormat="1" x14ac:dyDescent="0.25">
      <c r="A75" s="200" t="s">
        <v>1851</v>
      </c>
      <c r="B75" s="59">
        <v>2.76</v>
      </c>
      <c r="C75" s="59">
        <v>49.05</v>
      </c>
      <c r="D75" s="59">
        <v>31.03</v>
      </c>
      <c r="E75" s="59">
        <v>2.13</v>
      </c>
      <c r="F75" s="59">
        <v>8.98</v>
      </c>
      <c r="G75" s="59">
        <v>35.53</v>
      </c>
      <c r="H75" s="59">
        <v>19.399999999999999</v>
      </c>
      <c r="I75" s="59">
        <v>0.52</v>
      </c>
      <c r="J75" s="59">
        <v>1.18</v>
      </c>
      <c r="K75" s="59">
        <v>220.18</v>
      </c>
      <c r="L75" s="59">
        <v>26.61</v>
      </c>
      <c r="M75" s="59">
        <v>37.119999999999997</v>
      </c>
      <c r="N75" s="59">
        <v>117.7</v>
      </c>
      <c r="O75" s="59">
        <v>0</v>
      </c>
      <c r="P75" s="59">
        <v>0.64</v>
      </c>
      <c r="Q75" s="59">
        <v>21.36</v>
      </c>
      <c r="R75" s="197"/>
      <c r="S75" s="197"/>
      <c r="T75" s="197"/>
      <c r="U75" s="197"/>
    </row>
    <row r="76" spans="1:21" s="12" customFormat="1" x14ac:dyDescent="0.25">
      <c r="A76" s="200" t="s">
        <v>1852</v>
      </c>
      <c r="B76" s="59">
        <v>2.83</v>
      </c>
      <c r="C76" s="59">
        <v>48.68</v>
      </c>
      <c r="D76" s="59">
        <v>30.88</v>
      </c>
      <c r="E76" s="59">
        <v>2.76</v>
      </c>
      <c r="F76" s="59">
        <v>8.93</v>
      </c>
      <c r="G76" s="59">
        <v>35.53</v>
      </c>
      <c r="H76" s="59">
        <v>19.399999999999999</v>
      </c>
      <c r="I76" s="59">
        <v>0.51</v>
      </c>
      <c r="J76" s="59">
        <v>1.2</v>
      </c>
      <c r="K76" s="59">
        <v>212.56</v>
      </c>
      <c r="L76" s="59">
        <v>26.43</v>
      </c>
      <c r="M76" s="59">
        <v>38.659999999999997</v>
      </c>
      <c r="N76" s="59">
        <v>81.7</v>
      </c>
      <c r="O76" s="59">
        <v>0</v>
      </c>
      <c r="P76" s="59">
        <v>0.64</v>
      </c>
      <c r="Q76" s="59">
        <v>20.49</v>
      </c>
      <c r="R76" s="197"/>
      <c r="S76" s="197"/>
      <c r="T76" s="197"/>
      <c r="U76" s="197"/>
    </row>
    <row r="77" spans="1:21" s="12" customFormat="1" x14ac:dyDescent="0.25">
      <c r="A77" s="200" t="s">
        <v>1853</v>
      </c>
      <c r="B77" s="59">
        <v>2.94</v>
      </c>
      <c r="C77" s="59">
        <v>48.96</v>
      </c>
      <c r="D77" s="59">
        <v>31.12</v>
      </c>
      <c r="E77" s="59">
        <v>2.4300000000000002</v>
      </c>
      <c r="F77" s="59">
        <v>7.97</v>
      </c>
      <c r="G77" s="59">
        <v>35.53</v>
      </c>
      <c r="H77" s="59">
        <v>19.399999999999999</v>
      </c>
      <c r="I77" s="59">
        <v>0.52</v>
      </c>
      <c r="J77" s="59">
        <v>1.04</v>
      </c>
      <c r="K77" s="59">
        <v>231.29</v>
      </c>
      <c r="L77" s="59">
        <v>26.06</v>
      </c>
      <c r="M77" s="59">
        <v>39.61</v>
      </c>
      <c r="N77" s="59">
        <v>63.8</v>
      </c>
      <c r="O77" s="59">
        <v>0</v>
      </c>
      <c r="P77" s="59">
        <v>0.64</v>
      </c>
      <c r="Q77" s="59">
        <v>20.3</v>
      </c>
      <c r="R77" s="197"/>
      <c r="S77" s="197"/>
      <c r="T77" s="197"/>
      <c r="U77" s="197"/>
    </row>
    <row r="78" spans="1:21" s="12" customFormat="1" x14ac:dyDescent="0.25">
      <c r="A78" s="200" t="s">
        <v>1854</v>
      </c>
      <c r="B78" s="59">
        <v>2.94</v>
      </c>
      <c r="C78" s="59">
        <v>48.93</v>
      </c>
      <c r="D78" s="59">
        <v>31.1</v>
      </c>
      <c r="E78" s="59">
        <v>2.4300000000000002</v>
      </c>
      <c r="F78" s="59">
        <v>8.27</v>
      </c>
      <c r="G78" s="59">
        <v>42.07</v>
      </c>
      <c r="H78" s="59">
        <v>20.62</v>
      </c>
      <c r="I78" s="59">
        <v>0.51</v>
      </c>
      <c r="J78" s="59">
        <v>0.87</v>
      </c>
      <c r="K78" s="59">
        <v>241.96</v>
      </c>
      <c r="L78" s="59">
        <v>25.7</v>
      </c>
      <c r="M78" s="59">
        <v>40.06</v>
      </c>
      <c r="N78" s="59">
        <v>45.3</v>
      </c>
      <c r="O78" s="59">
        <v>0</v>
      </c>
      <c r="P78" s="59">
        <v>0.64</v>
      </c>
      <c r="Q78" s="59">
        <v>20.11</v>
      </c>
      <c r="R78" s="197"/>
      <c r="S78" s="197"/>
      <c r="T78" s="197"/>
      <c r="U78" s="197"/>
    </row>
    <row r="79" spans="1:21" s="12" customFormat="1" x14ac:dyDescent="0.25">
      <c r="A79" s="200" t="s">
        <v>1855</v>
      </c>
      <c r="B79" s="59">
        <v>3</v>
      </c>
      <c r="C79" s="59">
        <v>48.65</v>
      </c>
      <c r="D79" s="59">
        <v>30.99</v>
      </c>
      <c r="E79" s="59">
        <v>2.14</v>
      </c>
      <c r="F79" s="59">
        <v>7.93</v>
      </c>
      <c r="G79" s="59">
        <v>43.08</v>
      </c>
      <c r="H79" s="59">
        <v>20.83</v>
      </c>
      <c r="I79" s="59">
        <v>0.52</v>
      </c>
      <c r="J79" s="59">
        <v>0.7</v>
      </c>
      <c r="K79" s="59">
        <v>236.47</v>
      </c>
      <c r="L79" s="59">
        <v>25.27</v>
      </c>
      <c r="M79" s="59">
        <v>40.94</v>
      </c>
      <c r="N79" s="59">
        <v>17.8</v>
      </c>
      <c r="O79" s="59">
        <v>0</v>
      </c>
      <c r="P79" s="59">
        <v>0.64</v>
      </c>
      <c r="Q79" s="59">
        <v>20.05</v>
      </c>
      <c r="R79" s="197"/>
      <c r="S79" s="197"/>
      <c r="T79" s="197"/>
      <c r="U79" s="197"/>
    </row>
    <row r="80" spans="1:21" s="12" customFormat="1" x14ac:dyDescent="0.25">
      <c r="A80" s="200" t="s">
        <v>1856</v>
      </c>
      <c r="B80" s="59">
        <v>3.09</v>
      </c>
      <c r="C80" s="59">
        <v>48.84</v>
      </c>
      <c r="D80" s="59">
        <v>31.17</v>
      </c>
      <c r="E80" s="59">
        <v>2.48</v>
      </c>
      <c r="F80" s="59">
        <v>7.78</v>
      </c>
      <c r="G80" s="59">
        <v>43.08</v>
      </c>
      <c r="H80" s="59">
        <v>20.83</v>
      </c>
      <c r="I80" s="59">
        <v>0.5</v>
      </c>
      <c r="J80" s="59">
        <v>0.71</v>
      </c>
      <c r="K80" s="59">
        <v>226.97</v>
      </c>
      <c r="L80" s="59">
        <v>24.86</v>
      </c>
      <c r="M80" s="59">
        <v>42.83</v>
      </c>
      <c r="N80" s="59">
        <v>11.2</v>
      </c>
      <c r="O80" s="59">
        <v>0</v>
      </c>
      <c r="P80" s="59">
        <v>0.64</v>
      </c>
      <c r="Q80" s="59">
        <v>20.09</v>
      </c>
      <c r="R80" s="197"/>
      <c r="S80" s="197"/>
      <c r="T80" s="197"/>
      <c r="U80" s="197"/>
    </row>
    <row r="81" spans="1:26" s="12" customFormat="1" x14ac:dyDescent="0.25">
      <c r="A81" s="200" t="s">
        <v>1857</v>
      </c>
      <c r="B81" s="59">
        <v>3.25</v>
      </c>
      <c r="C81" s="59">
        <v>49.96</v>
      </c>
      <c r="D81" s="59">
        <v>31.92</v>
      </c>
      <c r="E81" s="59">
        <v>2.41</v>
      </c>
      <c r="F81" s="59">
        <v>6.9</v>
      </c>
      <c r="G81" s="59">
        <v>43.08</v>
      </c>
      <c r="H81" s="59">
        <v>20.83</v>
      </c>
      <c r="I81" s="59">
        <v>0.5</v>
      </c>
      <c r="J81" s="59">
        <v>0.56000000000000005</v>
      </c>
      <c r="K81" s="59">
        <v>225.86</v>
      </c>
      <c r="L81" s="59">
        <v>24.55</v>
      </c>
      <c r="M81" s="59">
        <v>44.29</v>
      </c>
      <c r="N81" s="59">
        <v>6.6</v>
      </c>
      <c r="O81" s="59">
        <v>0</v>
      </c>
      <c r="P81" s="59">
        <v>0.65</v>
      </c>
      <c r="Q81" s="59">
        <v>20.41</v>
      </c>
      <c r="R81" s="197"/>
      <c r="S81" s="197"/>
      <c r="T81" s="197"/>
      <c r="U81" s="197"/>
    </row>
    <row r="82" spans="1:26" s="12" customFormat="1" x14ac:dyDescent="0.25">
      <c r="A82" s="200" t="s">
        <v>1858</v>
      </c>
      <c r="B82" s="59">
        <v>3.51</v>
      </c>
      <c r="C82" s="59">
        <v>52.34</v>
      </c>
      <c r="D82" s="59">
        <v>33.44</v>
      </c>
      <c r="E82" s="59">
        <v>2.31</v>
      </c>
      <c r="F82" s="59">
        <v>7.01</v>
      </c>
      <c r="G82" s="59">
        <v>41.69</v>
      </c>
      <c r="H82" s="59">
        <v>18.149999999999999</v>
      </c>
      <c r="I82" s="59">
        <v>0.51</v>
      </c>
      <c r="J82" s="59">
        <v>0.66</v>
      </c>
      <c r="K82" s="59">
        <v>219.5</v>
      </c>
      <c r="L82" s="59">
        <v>24.29</v>
      </c>
      <c r="M82" s="59">
        <v>45.17</v>
      </c>
      <c r="N82" s="59">
        <v>4.7</v>
      </c>
      <c r="O82" s="59">
        <v>0</v>
      </c>
      <c r="P82" s="59">
        <v>0.67</v>
      </c>
      <c r="Q82" s="59">
        <v>21.16</v>
      </c>
      <c r="R82" s="197"/>
      <c r="S82" s="197"/>
      <c r="T82" s="197"/>
      <c r="U82" s="197"/>
    </row>
    <row r="83" spans="1:26" s="12" customFormat="1" x14ac:dyDescent="0.25">
      <c r="A83" s="200" t="s">
        <v>1859</v>
      </c>
      <c r="B83" s="59">
        <v>3.66</v>
      </c>
      <c r="C83" s="59">
        <v>51.83</v>
      </c>
      <c r="D83" s="59">
        <v>33.28</v>
      </c>
      <c r="E83" s="59">
        <v>2.33</v>
      </c>
      <c r="F83" s="59">
        <v>6</v>
      </c>
      <c r="G83" s="59">
        <v>41.47</v>
      </c>
      <c r="H83" s="59">
        <v>17.739999999999998</v>
      </c>
      <c r="I83" s="59">
        <v>0.51</v>
      </c>
      <c r="J83" s="59">
        <v>0.31</v>
      </c>
      <c r="K83" s="59">
        <v>221.11</v>
      </c>
      <c r="L83" s="59">
        <v>24.09</v>
      </c>
      <c r="M83" s="59">
        <v>45.45</v>
      </c>
      <c r="N83" s="59">
        <v>4.7</v>
      </c>
      <c r="O83" s="59">
        <v>0</v>
      </c>
      <c r="P83" s="59">
        <v>0.68</v>
      </c>
      <c r="Q83" s="59">
        <v>21.5</v>
      </c>
      <c r="R83" s="197"/>
      <c r="S83" s="197"/>
      <c r="T83" s="197"/>
      <c r="U83" s="197"/>
    </row>
    <row r="84" spans="1:26" s="12" customFormat="1" x14ac:dyDescent="0.25">
      <c r="A84" s="200" t="s">
        <v>1860</v>
      </c>
      <c r="B84" s="59">
        <v>3.84</v>
      </c>
      <c r="C84" s="59">
        <v>53.85</v>
      </c>
      <c r="D84" s="59">
        <v>34.54</v>
      </c>
      <c r="E84" s="59">
        <v>1.93</v>
      </c>
      <c r="F84" s="59">
        <v>5</v>
      </c>
      <c r="G84" s="59">
        <v>41.47</v>
      </c>
      <c r="H84" s="59">
        <v>17.739999999999998</v>
      </c>
      <c r="I84" s="59">
        <v>0.52</v>
      </c>
      <c r="J84" s="59">
        <v>0.9</v>
      </c>
      <c r="K84" s="59">
        <v>180.24</v>
      </c>
      <c r="L84" s="59">
        <v>24</v>
      </c>
      <c r="M84" s="59">
        <v>45.93</v>
      </c>
      <c r="N84" s="59">
        <v>4.0999999999999996</v>
      </c>
      <c r="O84" s="59">
        <v>0</v>
      </c>
      <c r="P84" s="59">
        <v>0.68</v>
      </c>
      <c r="Q84" s="59">
        <v>22</v>
      </c>
      <c r="R84" s="197"/>
      <c r="S84" s="197"/>
      <c r="T84" s="197"/>
      <c r="U84" s="197"/>
    </row>
    <row r="85" spans="1:26" s="12" customFormat="1" x14ac:dyDescent="0.25">
      <c r="A85" s="200" t="s">
        <v>1861</v>
      </c>
      <c r="B85" s="59">
        <v>3.94</v>
      </c>
      <c r="C85" s="59">
        <v>56.03</v>
      </c>
      <c r="D85" s="59">
        <v>35.82</v>
      </c>
      <c r="E85" s="59">
        <v>2.06</v>
      </c>
      <c r="F85" s="59">
        <v>6.75</v>
      </c>
      <c r="G85" s="59">
        <v>41.47</v>
      </c>
      <c r="H85" s="59">
        <v>17.739999999999998</v>
      </c>
      <c r="I85" s="59">
        <v>0.52</v>
      </c>
      <c r="J85" s="59">
        <v>0.44</v>
      </c>
      <c r="K85" s="59">
        <v>174.82</v>
      </c>
      <c r="L85" s="59">
        <v>23.95</v>
      </c>
      <c r="M85" s="59">
        <v>45.27</v>
      </c>
      <c r="N85" s="59">
        <v>4.4000000000000004</v>
      </c>
      <c r="O85" s="59">
        <v>0</v>
      </c>
      <c r="P85" s="59">
        <v>0.64</v>
      </c>
      <c r="Q85" s="59">
        <v>22.67</v>
      </c>
      <c r="R85" s="197"/>
      <c r="S85" s="197"/>
      <c r="T85" s="197"/>
      <c r="U85" s="197"/>
    </row>
    <row r="86" spans="1:26" s="12" customFormat="1" x14ac:dyDescent="0.25">
      <c r="A86" s="200" t="s">
        <v>1862</v>
      </c>
      <c r="B86" s="59">
        <v>3.95</v>
      </c>
      <c r="C86" s="59">
        <v>57.05</v>
      </c>
      <c r="D86" s="59">
        <v>36.39</v>
      </c>
      <c r="E86" s="59">
        <v>2.57</v>
      </c>
      <c r="F86" s="59">
        <v>8.9</v>
      </c>
      <c r="G86" s="59">
        <v>44.48</v>
      </c>
      <c r="H86" s="59">
        <v>18.39</v>
      </c>
      <c r="I86" s="59">
        <v>0.51</v>
      </c>
      <c r="J86" s="59">
        <v>0.36</v>
      </c>
      <c r="K86" s="59">
        <v>182.39</v>
      </c>
      <c r="L86" s="59">
        <v>23.9</v>
      </c>
      <c r="M86" s="59">
        <v>45</v>
      </c>
      <c r="N86" s="59">
        <v>4.4000000000000004</v>
      </c>
      <c r="O86" s="59">
        <v>0</v>
      </c>
      <c r="P86" s="59">
        <v>0.71</v>
      </c>
      <c r="Q86" s="59">
        <v>22.51</v>
      </c>
      <c r="R86" s="197"/>
      <c r="S86" s="197"/>
      <c r="T86" s="197"/>
      <c r="U86" s="197"/>
    </row>
    <row r="87" spans="1:26" s="12" customFormat="1" x14ac:dyDescent="0.25">
      <c r="A87" s="200" t="s">
        <v>1863</v>
      </c>
      <c r="B87" s="59">
        <v>4.03</v>
      </c>
      <c r="C87" s="59">
        <v>58.52</v>
      </c>
      <c r="D87" s="59">
        <v>37.270000000000003</v>
      </c>
      <c r="E87" s="59">
        <v>2.63</v>
      </c>
      <c r="F87" s="59">
        <v>7.06</v>
      </c>
      <c r="G87" s="59">
        <v>44.95</v>
      </c>
      <c r="H87" s="59">
        <v>18.489999999999998</v>
      </c>
      <c r="I87" s="59">
        <v>0.51</v>
      </c>
      <c r="J87" s="59">
        <v>0.47</v>
      </c>
      <c r="K87" s="59">
        <v>197.78</v>
      </c>
      <c r="L87" s="59">
        <v>23.86</v>
      </c>
      <c r="M87" s="59">
        <v>44.41</v>
      </c>
      <c r="N87" s="59">
        <v>4.2</v>
      </c>
      <c r="O87" s="59">
        <v>0</v>
      </c>
      <c r="P87" s="59">
        <v>0.72</v>
      </c>
      <c r="Q87" s="59">
        <v>23.02</v>
      </c>
      <c r="R87" s="197"/>
      <c r="S87" s="197"/>
      <c r="T87" s="197"/>
      <c r="U87" s="197"/>
    </row>
    <row r="88" spans="1:26" s="12" customFormat="1" x14ac:dyDescent="0.25">
      <c r="A88" s="200" t="s">
        <v>1864</v>
      </c>
      <c r="B88" s="59">
        <v>4.97</v>
      </c>
      <c r="C88" s="59">
        <v>61.69</v>
      </c>
      <c r="D88" s="59">
        <v>39.78</v>
      </c>
      <c r="E88" s="59">
        <v>1.72</v>
      </c>
      <c r="F88" s="59">
        <v>4.92</v>
      </c>
      <c r="G88" s="59">
        <v>44.95</v>
      </c>
      <c r="H88" s="59">
        <v>18.489999999999998</v>
      </c>
      <c r="I88" s="59">
        <v>0.54</v>
      </c>
      <c r="J88" s="59">
        <v>0.56000000000000005</v>
      </c>
      <c r="K88" s="59">
        <v>183.2</v>
      </c>
      <c r="L88" s="59">
        <v>23.88</v>
      </c>
      <c r="M88" s="59">
        <v>44.18</v>
      </c>
      <c r="N88" s="59">
        <v>4.2</v>
      </c>
      <c r="O88" s="59">
        <v>0</v>
      </c>
      <c r="P88" s="59">
        <v>0.76</v>
      </c>
      <c r="Q88" s="59">
        <v>23.43</v>
      </c>
      <c r="R88" s="197"/>
      <c r="S88" s="197"/>
      <c r="T88" s="197"/>
      <c r="U88" s="197"/>
    </row>
    <row r="89" spans="1:26" s="12" customFormat="1" x14ac:dyDescent="0.25">
      <c r="A89" s="200" t="s">
        <v>1865</v>
      </c>
      <c r="B89" s="59">
        <v>5.88</v>
      </c>
      <c r="C89" s="59">
        <v>63.71</v>
      </c>
      <c r="D89" s="59">
        <v>41.62</v>
      </c>
      <c r="E89" s="59">
        <v>2.35</v>
      </c>
      <c r="F89" s="59">
        <v>3.55</v>
      </c>
      <c r="G89" s="59">
        <v>44.95</v>
      </c>
      <c r="H89" s="59">
        <v>18.489999999999998</v>
      </c>
      <c r="I89" s="59">
        <v>0.52</v>
      </c>
      <c r="J89" s="59">
        <v>0.85</v>
      </c>
      <c r="K89" s="59">
        <v>183.56</v>
      </c>
      <c r="L89" s="59">
        <v>23.87</v>
      </c>
      <c r="M89" s="59">
        <v>44.37</v>
      </c>
      <c r="N89" s="59">
        <v>4.0999999999999996</v>
      </c>
      <c r="O89" s="59">
        <v>0</v>
      </c>
      <c r="P89" s="59">
        <v>0.76</v>
      </c>
      <c r="Q89" s="59">
        <v>23.73</v>
      </c>
      <c r="R89" s="197"/>
      <c r="S89" s="197"/>
      <c r="T89" s="197"/>
      <c r="U89" s="197"/>
    </row>
    <row r="90" spans="1:26" s="12" customFormat="1" x14ac:dyDescent="0.25">
      <c r="A90" s="200" t="s">
        <v>1866</v>
      </c>
      <c r="B90" s="59">
        <v>5.6</v>
      </c>
      <c r="C90" s="59">
        <v>62.18</v>
      </c>
      <c r="D90" s="59">
        <v>40.549999999999997</v>
      </c>
      <c r="E90" s="59">
        <v>2.37</v>
      </c>
      <c r="F90" s="59">
        <v>3.7</v>
      </c>
      <c r="G90" s="59">
        <v>48.67</v>
      </c>
      <c r="H90" s="59">
        <v>19.72</v>
      </c>
      <c r="I90" s="59">
        <v>0.53</v>
      </c>
      <c r="J90" s="59">
        <v>1.06</v>
      </c>
      <c r="K90" s="59">
        <v>174.91</v>
      </c>
      <c r="L90" s="59">
        <v>23.64</v>
      </c>
      <c r="M90" s="59">
        <v>44.66</v>
      </c>
      <c r="N90" s="59">
        <v>4.5</v>
      </c>
      <c r="O90" s="59">
        <v>0</v>
      </c>
      <c r="P90" s="59">
        <v>0.76</v>
      </c>
      <c r="Q90" s="59">
        <v>23.26</v>
      </c>
      <c r="R90" s="197"/>
      <c r="S90" s="197"/>
      <c r="T90" s="197"/>
      <c r="U90" s="197"/>
    </row>
    <row r="91" spans="1:26" s="12" customFormat="1" x14ac:dyDescent="0.25">
      <c r="A91" s="200" t="s">
        <v>1867</v>
      </c>
      <c r="B91" s="59">
        <v>6.06</v>
      </c>
      <c r="C91" s="59">
        <v>65.319999999999993</v>
      </c>
      <c r="D91" s="59">
        <v>42.65</v>
      </c>
      <c r="E91" s="59">
        <v>2.67</v>
      </c>
      <c r="F91" s="59">
        <v>6.41</v>
      </c>
      <c r="G91" s="59">
        <v>49.3</v>
      </c>
      <c r="H91" s="59">
        <v>19.920000000000002</v>
      </c>
      <c r="I91" s="59">
        <v>0.53</v>
      </c>
      <c r="J91" s="59">
        <v>0.4</v>
      </c>
      <c r="K91" s="59">
        <v>201.37</v>
      </c>
      <c r="L91" s="59">
        <v>23.4</v>
      </c>
      <c r="M91" s="59">
        <v>45.61</v>
      </c>
      <c r="N91" s="59">
        <v>4.7</v>
      </c>
      <c r="O91" s="59">
        <v>0</v>
      </c>
      <c r="P91" s="59">
        <v>0.8</v>
      </c>
      <c r="Q91" s="59">
        <v>23.46</v>
      </c>
      <c r="R91" s="197"/>
      <c r="S91" s="197"/>
      <c r="T91" s="197"/>
      <c r="U91" s="197"/>
    </row>
    <row r="92" spans="1:26" s="12" customFormat="1" x14ac:dyDescent="0.25">
      <c r="A92" s="200" t="s">
        <v>1868</v>
      </c>
      <c r="B92" s="59">
        <v>6.4</v>
      </c>
      <c r="C92" s="59">
        <v>66.88</v>
      </c>
      <c r="D92" s="59">
        <v>43.78</v>
      </c>
      <c r="E92" s="59">
        <v>2.56</v>
      </c>
      <c r="F92" s="59">
        <v>6.16</v>
      </c>
      <c r="G92" s="59">
        <v>49.3</v>
      </c>
      <c r="H92" s="59">
        <v>19.920000000000002</v>
      </c>
      <c r="I92" s="59">
        <v>0.53</v>
      </c>
      <c r="J92" s="59">
        <v>0.45</v>
      </c>
      <c r="K92" s="59">
        <v>189.09</v>
      </c>
      <c r="L92" s="59">
        <v>23.13</v>
      </c>
      <c r="M92" s="59">
        <v>46.36</v>
      </c>
      <c r="N92" s="59">
        <v>4.7</v>
      </c>
      <c r="O92" s="59">
        <v>0</v>
      </c>
      <c r="P92" s="59">
        <v>0.79</v>
      </c>
      <c r="Q92" s="59">
        <v>23.65</v>
      </c>
      <c r="R92" s="197"/>
      <c r="S92" s="197"/>
      <c r="T92" s="197"/>
      <c r="U92" s="197"/>
    </row>
    <row r="93" spans="1:26" s="12" customFormat="1" x14ac:dyDescent="0.25">
      <c r="A93" s="200" t="s">
        <v>1869</v>
      </c>
      <c r="B93" s="59">
        <v>6.59</v>
      </c>
      <c r="C93" s="59">
        <v>63.27</v>
      </c>
      <c r="D93" s="59">
        <v>41.94</v>
      </c>
      <c r="E93" s="59">
        <v>2.56</v>
      </c>
      <c r="F93" s="59">
        <v>3.99</v>
      </c>
      <c r="G93" s="59">
        <v>49.3</v>
      </c>
      <c r="H93" s="59">
        <v>19.920000000000002</v>
      </c>
      <c r="I93" s="59">
        <v>0.54</v>
      </c>
      <c r="J93" s="59">
        <v>0.86</v>
      </c>
      <c r="K93" s="59">
        <v>189.32</v>
      </c>
      <c r="L93" s="59">
        <v>23.06</v>
      </c>
      <c r="M93" s="59">
        <v>46.82</v>
      </c>
      <c r="N93" s="59">
        <v>4.3</v>
      </c>
      <c r="O93" s="59">
        <v>0</v>
      </c>
      <c r="P93" s="59">
        <v>0.8</v>
      </c>
      <c r="Q93" s="59">
        <v>23.95</v>
      </c>
      <c r="R93" s="197"/>
      <c r="S93" s="197"/>
      <c r="T93" s="197"/>
      <c r="U93" s="197"/>
    </row>
    <row r="94" spans="1:26" s="12" customFormat="1" x14ac:dyDescent="0.25">
      <c r="A94" s="200" t="s">
        <v>1870</v>
      </c>
      <c r="B94" s="59">
        <v>6.59</v>
      </c>
      <c r="C94" s="59">
        <v>62.42</v>
      </c>
      <c r="D94" s="59">
        <v>41.47</v>
      </c>
      <c r="E94" s="59">
        <v>2.34</v>
      </c>
      <c r="F94" s="59">
        <v>5.62</v>
      </c>
      <c r="G94" s="59">
        <v>50.99</v>
      </c>
      <c r="H94" s="59">
        <v>21.83</v>
      </c>
      <c r="I94" s="59">
        <v>0.54</v>
      </c>
      <c r="J94" s="59">
        <v>0.24</v>
      </c>
      <c r="K94" s="59">
        <v>201.64</v>
      </c>
      <c r="L94" s="59">
        <v>22.8</v>
      </c>
      <c r="M94" s="59">
        <v>47.83</v>
      </c>
      <c r="N94" s="59">
        <v>4.9000000000000004</v>
      </c>
      <c r="O94" s="59">
        <v>0</v>
      </c>
      <c r="P94" s="59">
        <v>0.82</v>
      </c>
      <c r="Q94" s="59">
        <v>24.11</v>
      </c>
      <c r="R94" s="197"/>
      <c r="S94" s="197"/>
      <c r="T94" s="197"/>
      <c r="U94" s="197"/>
    </row>
    <row r="95" spans="1:26" s="12" customFormat="1" x14ac:dyDescent="0.25">
      <c r="A95" s="200" t="s">
        <v>1871</v>
      </c>
      <c r="B95" s="59">
        <v>7.46</v>
      </c>
      <c r="C95" s="59">
        <v>62.46</v>
      </c>
      <c r="D95" s="59">
        <v>42.2</v>
      </c>
      <c r="E95" s="59">
        <v>2.8</v>
      </c>
      <c r="F95" s="59">
        <v>5.56</v>
      </c>
      <c r="G95" s="59">
        <v>51.27</v>
      </c>
      <c r="H95" s="59">
        <v>22.13</v>
      </c>
      <c r="I95" s="59">
        <v>0.55000000000000004</v>
      </c>
      <c r="J95" s="59">
        <v>0.4</v>
      </c>
      <c r="K95" s="59">
        <v>241.37</v>
      </c>
      <c r="L95" s="59">
        <v>22.43</v>
      </c>
      <c r="M95" s="59">
        <v>49.04</v>
      </c>
      <c r="N95" s="59">
        <v>4.5999999999999996</v>
      </c>
      <c r="O95" s="59">
        <v>0</v>
      </c>
      <c r="P95" s="59">
        <v>0.84</v>
      </c>
      <c r="Q95" s="59">
        <v>24.39</v>
      </c>
      <c r="R95" s="197"/>
      <c r="S95" s="197"/>
      <c r="T95" s="197"/>
      <c r="U95" s="197"/>
    </row>
    <row r="96" spans="1:26" s="12" customFormat="1" x14ac:dyDescent="0.25">
      <c r="A96" s="200" t="s">
        <v>1872</v>
      </c>
      <c r="B96" s="59">
        <v>7.15</v>
      </c>
      <c r="C96" s="59">
        <v>61.58</v>
      </c>
      <c r="D96" s="59">
        <v>41.46</v>
      </c>
      <c r="E96" s="59">
        <v>2.31</v>
      </c>
      <c r="F96" s="59">
        <v>3.16</v>
      </c>
      <c r="G96" s="59">
        <v>51.27</v>
      </c>
      <c r="H96" s="59">
        <v>22.13</v>
      </c>
      <c r="I96" s="59">
        <v>0.54</v>
      </c>
      <c r="J96" s="59">
        <v>0.89</v>
      </c>
      <c r="K96" s="59">
        <v>190.44</v>
      </c>
      <c r="L96" s="59">
        <v>22.35</v>
      </c>
      <c r="M96" s="59">
        <v>49.96</v>
      </c>
      <c r="N96" s="59">
        <v>4.5</v>
      </c>
      <c r="O96" s="59">
        <v>0</v>
      </c>
      <c r="P96" s="59">
        <v>0.82</v>
      </c>
      <c r="Q96" s="59">
        <v>24.66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1873</v>
      </c>
      <c r="B97" s="59">
        <v>6.93</v>
      </c>
      <c r="C97" s="59">
        <v>59.39</v>
      </c>
      <c r="D97" s="59">
        <v>40.07</v>
      </c>
      <c r="E97" s="59">
        <v>2.25</v>
      </c>
      <c r="F97" s="59">
        <v>2.52</v>
      </c>
      <c r="G97" s="59">
        <v>51.27</v>
      </c>
      <c r="H97" s="59">
        <v>22.13</v>
      </c>
      <c r="I97" s="59">
        <v>0.55000000000000004</v>
      </c>
      <c r="J97" s="59">
        <v>0.62</v>
      </c>
      <c r="K97" s="59">
        <v>205.93</v>
      </c>
      <c r="L97" s="59">
        <v>21.95</v>
      </c>
      <c r="M97" s="59">
        <v>51.28</v>
      </c>
      <c r="N97" s="59">
        <v>4.7</v>
      </c>
      <c r="O97" s="59">
        <v>0</v>
      </c>
      <c r="P97" s="59">
        <v>0.81</v>
      </c>
      <c r="Q97" s="59">
        <v>25.6</v>
      </c>
      <c r="R97" s="197"/>
      <c r="S97" s="197"/>
      <c r="T97" s="197"/>
      <c r="U97" s="197"/>
    </row>
    <row r="98" spans="1:33" s="12" customFormat="1" x14ac:dyDescent="0.25">
      <c r="A98" s="200" t="s">
        <v>1874</v>
      </c>
      <c r="B98" s="59">
        <v>6.49</v>
      </c>
      <c r="C98" s="59">
        <v>58.62</v>
      </c>
      <c r="D98" s="59">
        <v>39.29</v>
      </c>
      <c r="E98" s="59">
        <v>1.88</v>
      </c>
      <c r="F98" s="59">
        <v>2.67</v>
      </c>
      <c r="G98" s="59">
        <v>50.6</v>
      </c>
      <c r="H98" s="59">
        <v>23.79</v>
      </c>
      <c r="I98" s="59">
        <v>0.56000000000000005</v>
      </c>
      <c r="J98" s="59">
        <v>0.46</v>
      </c>
      <c r="K98" s="59">
        <v>201.88</v>
      </c>
      <c r="L98" s="59">
        <v>21.78</v>
      </c>
      <c r="M98" s="59">
        <v>51.76</v>
      </c>
      <c r="N98" s="59">
        <v>4.5999999999999996</v>
      </c>
      <c r="O98" s="59">
        <v>0</v>
      </c>
      <c r="P98" s="59">
        <v>0.8</v>
      </c>
      <c r="Q98" s="59">
        <v>25.73</v>
      </c>
      <c r="R98" s="197"/>
      <c r="S98" s="197"/>
      <c r="T98" s="197"/>
      <c r="U98" s="197"/>
    </row>
    <row r="99" spans="1:33" s="12" customFormat="1" x14ac:dyDescent="0.25">
      <c r="A99" s="200" t="s">
        <v>1875</v>
      </c>
      <c r="B99" s="59">
        <v>6.2</v>
      </c>
      <c r="C99" s="59">
        <v>58.28</v>
      </c>
      <c r="D99" s="59">
        <v>38.880000000000003</v>
      </c>
      <c r="E99" s="59">
        <v>2.13</v>
      </c>
      <c r="F99" s="59">
        <v>2.35</v>
      </c>
      <c r="G99" s="59">
        <v>50.49</v>
      </c>
      <c r="H99" s="59">
        <v>24.07</v>
      </c>
      <c r="I99" s="59">
        <v>0.6</v>
      </c>
      <c r="J99" s="59">
        <v>0.69</v>
      </c>
      <c r="K99" s="59">
        <v>217.47</v>
      </c>
      <c r="L99" s="59">
        <v>21.71</v>
      </c>
      <c r="M99" s="59">
        <v>52.17</v>
      </c>
      <c r="N99" s="59">
        <v>4.5999999999999996</v>
      </c>
      <c r="O99" s="59">
        <v>0</v>
      </c>
      <c r="P99" s="59">
        <v>0.79</v>
      </c>
      <c r="Q99" s="59">
        <v>25.42</v>
      </c>
      <c r="R99" s="197"/>
      <c r="S99" s="197"/>
      <c r="T99" s="197"/>
      <c r="U99" s="197"/>
    </row>
    <row r="100" spans="1:33" s="12" customFormat="1" x14ac:dyDescent="0.25">
      <c r="A100" s="200" t="s">
        <v>1876</v>
      </c>
      <c r="B100" s="59">
        <v>5.86</v>
      </c>
      <c r="C100" s="59">
        <v>57.38</v>
      </c>
      <c r="D100" s="59">
        <v>38.1</v>
      </c>
      <c r="E100" s="59">
        <v>2.27</v>
      </c>
      <c r="F100" s="59">
        <v>2.33</v>
      </c>
      <c r="G100" s="59">
        <v>50.49</v>
      </c>
      <c r="H100" s="59">
        <v>24.07</v>
      </c>
      <c r="I100" s="59">
        <v>0.55000000000000004</v>
      </c>
      <c r="J100" s="59">
        <v>0.46</v>
      </c>
      <c r="K100" s="59">
        <v>221.22</v>
      </c>
      <c r="L100" s="59">
        <v>21.41</v>
      </c>
      <c r="M100" s="59">
        <v>53.35</v>
      </c>
      <c r="N100" s="59">
        <v>4.8</v>
      </c>
      <c r="O100" s="59">
        <v>0</v>
      </c>
      <c r="P100" s="59">
        <v>0.78</v>
      </c>
      <c r="Q100" s="59">
        <v>24.93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1877</v>
      </c>
      <c r="B101" s="59">
        <v>5.6</v>
      </c>
      <c r="C101" s="59">
        <v>56.42</v>
      </c>
      <c r="D101" s="59">
        <v>37.36</v>
      </c>
      <c r="E101" s="59">
        <v>2.1800000000000002</v>
      </c>
      <c r="F101" s="59">
        <v>2.2400000000000002</v>
      </c>
      <c r="G101" s="59">
        <v>50.49</v>
      </c>
      <c r="H101" s="59">
        <v>24.07</v>
      </c>
      <c r="I101" s="59">
        <v>0.55000000000000004</v>
      </c>
      <c r="J101" s="59">
        <v>0.31</v>
      </c>
      <c r="K101" s="59">
        <v>240.86</v>
      </c>
      <c r="L101" s="59">
        <v>21.18</v>
      </c>
      <c r="M101" s="59">
        <v>54.21</v>
      </c>
      <c r="N101" s="59">
        <v>4.9000000000000004</v>
      </c>
      <c r="O101" s="59">
        <v>0</v>
      </c>
      <c r="P101" s="59">
        <v>0.77</v>
      </c>
      <c r="Q101" s="59">
        <v>24.47</v>
      </c>
      <c r="R101" s="197"/>
      <c r="S101" s="197"/>
      <c r="T101" s="197"/>
      <c r="U101" s="197"/>
    </row>
    <row r="102" spans="1:33" s="12" customFormat="1" x14ac:dyDescent="0.25">
      <c r="A102" s="200" t="s">
        <v>1878</v>
      </c>
      <c r="B102" s="59">
        <v>5.52</v>
      </c>
      <c r="C102" s="59">
        <v>55.44</v>
      </c>
      <c r="D102" s="59">
        <v>36.76</v>
      </c>
      <c r="E102" s="59">
        <v>2.0299999999999998</v>
      </c>
      <c r="F102" s="59">
        <v>2.12</v>
      </c>
      <c r="G102" s="59">
        <v>49.27</v>
      </c>
      <c r="H102" s="59">
        <v>19.07</v>
      </c>
      <c r="I102" s="59">
        <v>0.55000000000000004</v>
      </c>
      <c r="J102" s="59">
        <v>0.99</v>
      </c>
      <c r="K102" s="59">
        <v>185.25</v>
      </c>
      <c r="L102" s="59">
        <v>20.97</v>
      </c>
      <c r="M102" s="59">
        <v>54.88</v>
      </c>
      <c r="N102" s="59">
        <v>4.2</v>
      </c>
      <c r="O102" s="59">
        <v>0</v>
      </c>
      <c r="P102" s="59">
        <v>0.76</v>
      </c>
      <c r="Q102" s="59">
        <v>23.64</v>
      </c>
      <c r="R102" s="197"/>
      <c r="S102" s="197"/>
      <c r="T102" s="197"/>
      <c r="U102" s="197"/>
    </row>
    <row r="103" spans="1:33" s="12" customFormat="1" x14ac:dyDescent="0.25">
      <c r="A103" s="200" t="s">
        <v>1879</v>
      </c>
      <c r="B103" s="59">
        <v>5.51</v>
      </c>
      <c r="C103" s="59">
        <v>54.54</v>
      </c>
      <c r="D103" s="59">
        <v>36.25</v>
      </c>
      <c r="E103" s="59">
        <v>2.12</v>
      </c>
      <c r="F103" s="59">
        <v>2.0099999999999998</v>
      </c>
      <c r="G103" s="59">
        <v>49.09</v>
      </c>
      <c r="H103" s="59">
        <v>18.3</v>
      </c>
      <c r="I103" s="59">
        <v>0.55000000000000004</v>
      </c>
      <c r="J103" s="59">
        <v>1.1299999999999999</v>
      </c>
      <c r="K103" s="59">
        <v>186.06</v>
      </c>
      <c r="L103" s="59">
        <v>20.95</v>
      </c>
      <c r="M103" s="59">
        <v>55</v>
      </c>
      <c r="N103" s="59">
        <v>4.5</v>
      </c>
      <c r="O103" s="59">
        <v>0</v>
      </c>
      <c r="P103" s="59">
        <v>0.75</v>
      </c>
      <c r="Q103" s="59">
        <v>23.46</v>
      </c>
      <c r="R103" s="197"/>
      <c r="S103" s="197"/>
      <c r="T103" s="197"/>
      <c r="U103" s="197"/>
    </row>
    <row r="104" spans="1:33" s="12" customFormat="1" x14ac:dyDescent="0.25">
      <c r="A104" s="200" t="s">
        <v>1880</v>
      </c>
      <c r="B104" s="59">
        <v>5.41</v>
      </c>
      <c r="C104" s="59">
        <v>54.02</v>
      </c>
      <c r="D104" s="59">
        <v>35.89</v>
      </c>
      <c r="E104" s="59">
        <v>0.89</v>
      </c>
      <c r="F104" s="59">
        <v>1.93</v>
      </c>
      <c r="G104" s="59">
        <v>49.09</v>
      </c>
      <c r="H104" s="59">
        <v>18.3</v>
      </c>
      <c r="I104" s="59">
        <v>0.56999999999999995</v>
      </c>
      <c r="J104" s="59">
        <v>1.45</v>
      </c>
      <c r="K104" s="59">
        <v>181.36</v>
      </c>
      <c r="L104" s="59">
        <v>20.85</v>
      </c>
      <c r="M104" s="59">
        <v>54.77</v>
      </c>
      <c r="N104" s="59">
        <v>4.5999999999999996</v>
      </c>
      <c r="O104" s="59">
        <v>0</v>
      </c>
      <c r="P104" s="59">
        <v>0.73</v>
      </c>
      <c r="Q104" s="59">
        <v>23.1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2.76</v>
      </c>
      <c r="C106" s="66">
        <f>MIN(C9:C104)</f>
        <v>48.46</v>
      </c>
      <c r="D106" s="66">
        <f t="shared" ref="D106:Q106" si="0">MIN(D9:D104)</f>
        <v>30.88</v>
      </c>
      <c r="E106" s="66">
        <f t="shared" si="0"/>
        <v>0.86</v>
      </c>
      <c r="F106" s="66">
        <f t="shared" si="0"/>
        <v>1.42</v>
      </c>
      <c r="G106" s="66">
        <f t="shared" si="0"/>
        <v>28.98</v>
      </c>
      <c r="H106" s="66">
        <f t="shared" si="0"/>
        <v>17.739999999999998</v>
      </c>
      <c r="I106" s="66">
        <f t="shared" si="0"/>
        <v>0.5</v>
      </c>
      <c r="J106" s="66">
        <f t="shared" si="0"/>
        <v>0</v>
      </c>
      <c r="K106" s="66">
        <f t="shared" si="0"/>
        <v>1.78</v>
      </c>
      <c r="L106" s="66">
        <f t="shared" si="0"/>
        <v>18.95</v>
      </c>
      <c r="M106" s="66">
        <f t="shared" si="0"/>
        <v>32.76</v>
      </c>
      <c r="N106" s="66">
        <f t="shared" si="0"/>
        <v>4.0999999999999996</v>
      </c>
      <c r="O106" s="66">
        <f t="shared" si="0"/>
        <v>0</v>
      </c>
      <c r="P106" s="66">
        <f t="shared" si="0"/>
        <v>0.64</v>
      </c>
      <c r="Q106" s="66">
        <f t="shared" si="0"/>
        <v>20.05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11.05</v>
      </c>
      <c r="C107" s="65">
        <f t="shared" ref="C107:Q107" si="1">MAX(C9:C104)</f>
        <v>68.95</v>
      </c>
      <c r="D107" s="65">
        <f t="shared" si="1"/>
        <v>43.78</v>
      </c>
      <c r="E107" s="65">
        <f t="shared" si="1"/>
        <v>3.66</v>
      </c>
      <c r="F107" s="65">
        <f t="shared" si="1"/>
        <v>13.15</v>
      </c>
      <c r="G107" s="65">
        <f t="shared" si="1"/>
        <v>63.9</v>
      </c>
      <c r="H107" s="65">
        <f t="shared" si="1"/>
        <v>26.62</v>
      </c>
      <c r="I107" s="65">
        <f t="shared" si="1"/>
        <v>0.6</v>
      </c>
      <c r="J107" s="65">
        <f t="shared" si="1"/>
        <v>1.61</v>
      </c>
      <c r="K107" s="65">
        <f t="shared" si="1"/>
        <v>342.18</v>
      </c>
      <c r="L107" s="65">
        <f t="shared" si="1"/>
        <v>28.79</v>
      </c>
      <c r="M107" s="65">
        <f t="shared" si="1"/>
        <v>64.88</v>
      </c>
      <c r="N107" s="65">
        <f t="shared" si="1"/>
        <v>806.5</v>
      </c>
      <c r="O107" s="65">
        <f t="shared" si="1"/>
        <v>0</v>
      </c>
      <c r="P107" s="65">
        <f t="shared" si="1"/>
        <v>1.1499999999999999</v>
      </c>
      <c r="Q107" s="65">
        <f t="shared" si="1"/>
        <v>26.94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5.4499999999999993</v>
      </c>
      <c r="C108" s="66">
        <f t="shared" ref="C108:Q108" si="2">AVERAGE(C9:C104)</f>
        <v>55.630208333333336</v>
      </c>
      <c r="D108" s="66">
        <f t="shared" si="2"/>
        <v>36.812395833333341</v>
      </c>
      <c r="E108" s="66">
        <f t="shared" si="2"/>
        <v>2.4042708333333342</v>
      </c>
      <c r="F108" s="66">
        <f t="shared" si="2"/>
        <v>4.569791666666668</v>
      </c>
      <c r="G108" s="66">
        <f t="shared" si="2"/>
        <v>46.544347826086977</v>
      </c>
      <c r="H108" s="66">
        <f t="shared" si="2"/>
        <v>21.371956521739147</v>
      </c>
      <c r="I108" s="66">
        <f t="shared" si="2"/>
        <v>0.54760416666666667</v>
      </c>
      <c r="J108" s="66">
        <f t="shared" si="2"/>
        <v>0.55916666666666681</v>
      </c>
      <c r="K108" s="66">
        <f t="shared" si="2"/>
        <v>205.96624999999997</v>
      </c>
      <c r="L108" s="66">
        <f t="shared" si="2"/>
        <v>23.239895833333335</v>
      </c>
      <c r="M108" s="66">
        <f t="shared" si="2"/>
        <v>48.64968750000002</v>
      </c>
      <c r="N108" s="66">
        <f t="shared" si="2"/>
        <v>173.11354166666669</v>
      </c>
      <c r="O108" s="66">
        <f t="shared" si="2"/>
        <v>0</v>
      </c>
      <c r="P108" s="66">
        <f t="shared" si="2"/>
        <v>0.79531250000000009</v>
      </c>
      <c r="Q108" s="66">
        <f t="shared" si="2"/>
        <v>23.835520833333323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2.1064857239637629</v>
      </c>
      <c r="C109" s="66">
        <f t="shared" ref="C109:Q109" si="3">STDEV(C9:C104)</f>
        <v>5.2734255278941422</v>
      </c>
      <c r="D109" s="66">
        <f t="shared" si="3"/>
        <v>3.9172312307739121</v>
      </c>
      <c r="E109" s="66">
        <f t="shared" si="3"/>
        <v>0.49967093338182017</v>
      </c>
      <c r="F109" s="66">
        <f t="shared" si="3"/>
        <v>2.7765188272809542</v>
      </c>
      <c r="G109" s="66">
        <f t="shared" si="3"/>
        <v>9.8067185205562186</v>
      </c>
      <c r="H109" s="66">
        <f t="shared" si="3"/>
        <v>2.580401723188372</v>
      </c>
      <c r="I109" s="66">
        <f t="shared" si="3"/>
        <v>2.2512910525982116E-2</v>
      </c>
      <c r="J109" s="66">
        <f t="shared" si="3"/>
        <v>0.42125043599331885</v>
      </c>
      <c r="K109" s="66">
        <f t="shared" si="3"/>
        <v>60.734805719533668</v>
      </c>
      <c r="L109" s="66">
        <f t="shared" si="3"/>
        <v>3.3845489460166078</v>
      </c>
      <c r="M109" s="66">
        <f t="shared" si="3"/>
        <v>10.646875049626853</v>
      </c>
      <c r="N109" s="66">
        <f t="shared" si="3"/>
        <v>270.47492523913195</v>
      </c>
      <c r="O109" s="66">
        <f t="shared" si="3"/>
        <v>0</v>
      </c>
      <c r="P109" s="66">
        <f t="shared" si="3"/>
        <v>0.10819040841814077</v>
      </c>
      <c r="Q109" s="66">
        <f t="shared" si="3"/>
        <v>1.5305223530695702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</f>
        <v>92</v>
      </c>
      <c r="H110" s="65">
        <f>COUNT(H9:H104)</f>
        <v>92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4" sqref="F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18-03-2023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1881</v>
      </c>
      <c r="B9" s="59">
        <v>5.37</v>
      </c>
      <c r="C9" s="59">
        <v>53.12</v>
      </c>
      <c r="D9" s="59">
        <v>35.36</v>
      </c>
      <c r="E9" s="59">
        <v>1.75</v>
      </c>
      <c r="F9" s="59">
        <v>2.12</v>
      </c>
      <c r="G9" s="59">
        <v>49.09</v>
      </c>
      <c r="H9" s="59">
        <v>18.3</v>
      </c>
      <c r="I9" s="59">
        <v>0.54</v>
      </c>
      <c r="J9" s="59">
        <v>1.35</v>
      </c>
      <c r="K9" s="59">
        <v>188.07</v>
      </c>
      <c r="L9" s="59">
        <v>20.71</v>
      </c>
      <c r="M9" s="59">
        <v>55.14</v>
      </c>
      <c r="N9" s="59">
        <v>4.7</v>
      </c>
      <c r="O9" s="59">
        <v>0</v>
      </c>
      <c r="P9" s="59">
        <v>0.72</v>
      </c>
      <c r="Q9" s="59">
        <v>22.6</v>
      </c>
      <c r="R9" s="197"/>
      <c r="S9" s="197"/>
      <c r="T9" s="197"/>
      <c r="U9" s="197"/>
    </row>
    <row r="10" spans="1:21" s="12" customFormat="1" x14ac:dyDescent="0.25">
      <c r="A10" s="200" t="s">
        <v>1882</v>
      </c>
      <c r="B10" s="59">
        <v>5.32</v>
      </c>
      <c r="C10" s="59">
        <v>52.26</v>
      </c>
      <c r="D10" s="59">
        <v>34.85</v>
      </c>
      <c r="E10" s="59">
        <v>1.95</v>
      </c>
      <c r="F10" s="59">
        <v>2.41</v>
      </c>
      <c r="G10" s="59">
        <v>38.57</v>
      </c>
      <c r="H10" s="59">
        <v>16.260000000000002</v>
      </c>
      <c r="I10" s="59">
        <v>0.54</v>
      </c>
      <c r="J10" s="59">
        <v>0.71</v>
      </c>
      <c r="K10" s="59">
        <v>198.03</v>
      </c>
      <c r="L10" s="59">
        <v>20.45</v>
      </c>
      <c r="M10" s="59">
        <v>56.05</v>
      </c>
      <c r="N10" s="59">
        <v>4.9000000000000004</v>
      </c>
      <c r="O10" s="59">
        <v>0</v>
      </c>
      <c r="P10" s="59">
        <v>0.7</v>
      </c>
      <c r="Q10" s="59">
        <v>22.41</v>
      </c>
      <c r="R10" s="197"/>
      <c r="S10" s="197"/>
      <c r="T10" s="197"/>
      <c r="U10" s="197"/>
    </row>
    <row r="11" spans="1:21" s="12" customFormat="1" x14ac:dyDescent="0.25">
      <c r="A11" s="200" t="s">
        <v>1883</v>
      </c>
      <c r="B11" s="59">
        <v>5.44</v>
      </c>
      <c r="C11" s="59">
        <v>51.67</v>
      </c>
      <c r="D11" s="59">
        <v>34.619999999999997</v>
      </c>
      <c r="E11" s="59">
        <v>2.1</v>
      </c>
      <c r="F11" s="59">
        <v>2.23</v>
      </c>
      <c r="G11" s="59">
        <v>36.79</v>
      </c>
      <c r="H11" s="59">
        <v>15.91</v>
      </c>
      <c r="I11" s="59">
        <v>0.55000000000000004</v>
      </c>
      <c r="J11" s="59">
        <v>0.33</v>
      </c>
      <c r="K11" s="59">
        <v>228.88</v>
      </c>
      <c r="L11" s="59">
        <v>20.190000000000001</v>
      </c>
      <c r="M11" s="59">
        <v>56.93</v>
      </c>
      <c r="N11" s="59">
        <v>4.8</v>
      </c>
      <c r="O11" s="59">
        <v>0</v>
      </c>
      <c r="P11" s="59">
        <v>0.69</v>
      </c>
      <c r="Q11" s="59">
        <v>22.37</v>
      </c>
      <c r="R11" s="197"/>
      <c r="S11" s="197"/>
      <c r="T11" s="197"/>
      <c r="U11" s="197"/>
    </row>
    <row r="12" spans="1:21" s="12" customFormat="1" x14ac:dyDescent="0.25">
      <c r="A12" s="200" t="s">
        <v>1884</v>
      </c>
      <c r="B12" s="59">
        <v>5.7</v>
      </c>
      <c r="C12" s="59">
        <v>51.12</v>
      </c>
      <c r="D12" s="59">
        <v>34.520000000000003</v>
      </c>
      <c r="E12" s="59">
        <v>1.62</v>
      </c>
      <c r="F12" s="59">
        <v>2.75</v>
      </c>
      <c r="G12" s="59">
        <v>36.79</v>
      </c>
      <c r="H12" s="59">
        <v>15.91</v>
      </c>
      <c r="I12" s="59">
        <v>0.56999999999999995</v>
      </c>
      <c r="J12" s="59">
        <v>0.13</v>
      </c>
      <c r="K12" s="59">
        <v>302.37</v>
      </c>
      <c r="L12" s="59">
        <v>19.88</v>
      </c>
      <c r="M12" s="59">
        <v>58.27</v>
      </c>
      <c r="N12" s="59">
        <v>5</v>
      </c>
      <c r="O12" s="59">
        <v>0</v>
      </c>
      <c r="P12" s="59">
        <v>0.68</v>
      </c>
      <c r="Q12" s="59">
        <v>22.51</v>
      </c>
      <c r="R12" s="197"/>
      <c r="S12" s="197"/>
      <c r="T12" s="197"/>
      <c r="U12" s="197"/>
    </row>
    <row r="13" spans="1:21" s="12" customFormat="1" x14ac:dyDescent="0.25">
      <c r="A13" s="200" t="s">
        <v>1885</v>
      </c>
      <c r="B13" s="59">
        <v>6.35</v>
      </c>
      <c r="C13" s="59">
        <v>50.92</v>
      </c>
      <c r="D13" s="59">
        <v>34.93</v>
      </c>
      <c r="E13" s="59">
        <v>1.89</v>
      </c>
      <c r="F13" s="59">
        <v>2.37</v>
      </c>
      <c r="G13" s="59">
        <v>36.79</v>
      </c>
      <c r="H13" s="59">
        <v>15.91</v>
      </c>
      <c r="I13" s="59">
        <v>0.53</v>
      </c>
      <c r="J13" s="59">
        <v>0.32</v>
      </c>
      <c r="K13" s="59">
        <v>20.38</v>
      </c>
      <c r="L13" s="59">
        <v>19.41</v>
      </c>
      <c r="M13" s="59">
        <v>61.53</v>
      </c>
      <c r="N13" s="59">
        <v>5</v>
      </c>
      <c r="O13" s="59">
        <v>0</v>
      </c>
      <c r="P13" s="59">
        <v>0.67</v>
      </c>
      <c r="Q13" s="59">
        <v>22.99</v>
      </c>
      <c r="R13" s="197"/>
      <c r="S13" s="197"/>
      <c r="T13" s="197"/>
      <c r="U13" s="197"/>
    </row>
    <row r="14" spans="1:21" s="12" customFormat="1" x14ac:dyDescent="0.25">
      <c r="A14" s="200" t="s">
        <v>1886</v>
      </c>
      <c r="B14" s="59">
        <v>6.97</v>
      </c>
      <c r="C14" s="59">
        <v>50.79</v>
      </c>
      <c r="D14" s="59">
        <v>35.35</v>
      </c>
      <c r="E14" s="59">
        <v>1.79</v>
      </c>
      <c r="F14" s="59">
        <v>2.25</v>
      </c>
      <c r="G14" s="59">
        <v>38.86</v>
      </c>
      <c r="H14" s="59">
        <v>15.75</v>
      </c>
      <c r="I14" s="59">
        <v>0.53</v>
      </c>
      <c r="J14" s="59">
        <v>0.28999999999999998</v>
      </c>
      <c r="K14" s="59">
        <v>357.64</v>
      </c>
      <c r="L14" s="59">
        <v>19.22</v>
      </c>
      <c r="M14" s="59">
        <v>62.8</v>
      </c>
      <c r="N14" s="59">
        <v>4.9000000000000004</v>
      </c>
      <c r="O14" s="59">
        <v>0</v>
      </c>
      <c r="P14" s="59">
        <v>0.69</v>
      </c>
      <c r="Q14" s="59">
        <v>23.39</v>
      </c>
      <c r="R14" s="197"/>
      <c r="S14" s="197"/>
      <c r="T14" s="197"/>
      <c r="U14" s="197"/>
    </row>
    <row r="15" spans="1:21" s="12" customFormat="1" x14ac:dyDescent="0.25">
      <c r="A15" s="200" t="s">
        <v>1887</v>
      </c>
      <c r="B15" s="59">
        <v>7.49</v>
      </c>
      <c r="C15" s="59">
        <v>50</v>
      </c>
      <c r="D15" s="59">
        <v>35.340000000000003</v>
      </c>
      <c r="E15" s="59">
        <v>1.88</v>
      </c>
      <c r="F15" s="59">
        <v>2.0099999999999998</v>
      </c>
      <c r="G15" s="59">
        <v>39.21</v>
      </c>
      <c r="H15" s="59">
        <v>15.72</v>
      </c>
      <c r="I15" s="59">
        <v>0.54</v>
      </c>
      <c r="J15" s="59">
        <v>0.12</v>
      </c>
      <c r="K15" s="59">
        <v>344.19</v>
      </c>
      <c r="L15" s="59">
        <v>19.32</v>
      </c>
      <c r="M15" s="59">
        <v>60.95</v>
      </c>
      <c r="N15" s="59">
        <v>4.7</v>
      </c>
      <c r="O15" s="59">
        <v>0</v>
      </c>
      <c r="P15" s="59">
        <v>0.68</v>
      </c>
      <c r="Q15" s="59">
        <v>23.75</v>
      </c>
      <c r="R15" s="197"/>
      <c r="S15" s="197"/>
      <c r="T15" s="197"/>
      <c r="U15" s="197"/>
    </row>
    <row r="16" spans="1:21" s="12" customFormat="1" x14ac:dyDescent="0.25">
      <c r="A16" s="200" t="s">
        <v>1888</v>
      </c>
      <c r="B16" s="59">
        <v>7.69</v>
      </c>
      <c r="C16" s="59">
        <v>48.5</v>
      </c>
      <c r="D16" s="59">
        <v>34.67</v>
      </c>
      <c r="E16" s="59">
        <v>1.74</v>
      </c>
      <c r="F16" s="59">
        <v>1.77</v>
      </c>
      <c r="G16" s="59">
        <v>39.21</v>
      </c>
      <c r="H16" s="59">
        <v>15.72</v>
      </c>
      <c r="I16" s="59">
        <v>0.54</v>
      </c>
      <c r="J16" s="59">
        <v>0.01</v>
      </c>
      <c r="K16" s="59">
        <v>319.83</v>
      </c>
      <c r="L16" s="59">
        <v>19.489999999999998</v>
      </c>
      <c r="M16" s="59">
        <v>59.56</v>
      </c>
      <c r="N16" s="59">
        <v>4.5999999999999996</v>
      </c>
      <c r="O16" s="59">
        <v>0</v>
      </c>
      <c r="P16" s="59">
        <v>0.67</v>
      </c>
      <c r="Q16" s="59">
        <v>23.31</v>
      </c>
      <c r="R16" s="197"/>
      <c r="S16" s="197"/>
      <c r="T16" s="197"/>
      <c r="U16" s="197"/>
    </row>
    <row r="17" spans="1:21" s="12" customFormat="1" x14ac:dyDescent="0.25">
      <c r="A17" s="200" t="s">
        <v>1889</v>
      </c>
      <c r="B17" s="59">
        <v>7.78</v>
      </c>
      <c r="C17" s="59">
        <v>49.29</v>
      </c>
      <c r="D17" s="59">
        <v>35.18</v>
      </c>
      <c r="E17" s="59">
        <v>1.53</v>
      </c>
      <c r="F17" s="59">
        <v>1.7</v>
      </c>
      <c r="G17" s="59">
        <v>39.21</v>
      </c>
      <c r="H17" s="59">
        <v>15.72</v>
      </c>
      <c r="I17" s="59">
        <v>0.54</v>
      </c>
      <c r="J17" s="59">
        <v>0.35</v>
      </c>
      <c r="K17" s="59">
        <v>36.770000000000003</v>
      </c>
      <c r="L17" s="59">
        <v>19.57</v>
      </c>
      <c r="M17" s="59">
        <v>60.55</v>
      </c>
      <c r="N17" s="59">
        <v>4.5</v>
      </c>
      <c r="O17" s="59">
        <v>0</v>
      </c>
      <c r="P17" s="59">
        <v>0.66</v>
      </c>
      <c r="Q17" s="59">
        <v>23.75</v>
      </c>
      <c r="R17" s="197"/>
      <c r="S17" s="197"/>
      <c r="T17" s="197"/>
      <c r="U17" s="197"/>
    </row>
    <row r="18" spans="1:21" s="12" customFormat="1" x14ac:dyDescent="0.25">
      <c r="A18" s="200" t="s">
        <v>1890</v>
      </c>
      <c r="B18" s="59">
        <v>8.59</v>
      </c>
      <c r="C18" s="59">
        <v>49.99</v>
      </c>
      <c r="D18" s="59">
        <v>36.22</v>
      </c>
      <c r="E18" s="59">
        <v>1.72</v>
      </c>
      <c r="F18" s="59">
        <v>1.61</v>
      </c>
      <c r="G18" s="59">
        <v>36.71</v>
      </c>
      <c r="H18" s="59">
        <v>14.88</v>
      </c>
      <c r="I18" s="59">
        <v>0.55000000000000004</v>
      </c>
      <c r="J18" s="59">
        <v>0.25</v>
      </c>
      <c r="K18" s="59">
        <v>25.65</v>
      </c>
      <c r="L18" s="59">
        <v>19.5</v>
      </c>
      <c r="M18" s="59">
        <v>63.03</v>
      </c>
      <c r="N18" s="59">
        <v>4.8</v>
      </c>
      <c r="O18" s="59">
        <v>0</v>
      </c>
      <c r="P18" s="59">
        <v>0.67</v>
      </c>
      <c r="Q18" s="59">
        <v>23.84</v>
      </c>
      <c r="R18" s="197"/>
      <c r="S18" s="197"/>
      <c r="T18" s="197"/>
      <c r="U18" s="197"/>
    </row>
    <row r="19" spans="1:21" s="12" customFormat="1" x14ac:dyDescent="0.25">
      <c r="A19" s="200" t="s">
        <v>1891</v>
      </c>
      <c r="B19" s="59">
        <v>8.86</v>
      </c>
      <c r="C19" s="59">
        <v>50.59</v>
      </c>
      <c r="D19" s="59">
        <v>36.770000000000003</v>
      </c>
      <c r="E19" s="59">
        <v>2.16</v>
      </c>
      <c r="F19" s="59">
        <v>1.47</v>
      </c>
      <c r="G19" s="59">
        <v>36.29</v>
      </c>
      <c r="H19" s="59">
        <v>14.74</v>
      </c>
      <c r="I19" s="59">
        <v>0.55000000000000004</v>
      </c>
      <c r="J19" s="59">
        <v>0.71</v>
      </c>
      <c r="K19" s="59">
        <v>18.829999999999998</v>
      </c>
      <c r="L19" s="59">
        <v>19.71</v>
      </c>
      <c r="M19" s="59">
        <v>62.67</v>
      </c>
      <c r="N19" s="59">
        <v>4.0999999999999996</v>
      </c>
      <c r="O19" s="59">
        <v>0</v>
      </c>
      <c r="P19" s="59">
        <v>0.69</v>
      </c>
      <c r="Q19" s="59">
        <v>24.19</v>
      </c>
      <c r="R19" s="197"/>
      <c r="S19" s="197"/>
      <c r="T19" s="197"/>
      <c r="U19" s="197"/>
    </row>
    <row r="20" spans="1:21" s="12" customFormat="1" x14ac:dyDescent="0.25">
      <c r="A20" s="200" t="s">
        <v>1892</v>
      </c>
      <c r="B20" s="59">
        <v>9.3000000000000007</v>
      </c>
      <c r="C20" s="59">
        <v>51.76</v>
      </c>
      <c r="D20" s="59">
        <v>37.76</v>
      </c>
      <c r="E20" s="59">
        <v>2.48</v>
      </c>
      <c r="F20" s="59">
        <v>1.17</v>
      </c>
      <c r="G20" s="59">
        <v>36.29</v>
      </c>
      <c r="H20" s="59">
        <v>14.74</v>
      </c>
      <c r="I20" s="59">
        <v>0.55000000000000004</v>
      </c>
      <c r="J20" s="59">
        <v>0.54</v>
      </c>
      <c r="K20" s="59">
        <v>28.62</v>
      </c>
      <c r="L20" s="59">
        <v>19.91</v>
      </c>
      <c r="M20" s="59">
        <v>61.67</v>
      </c>
      <c r="N20" s="59">
        <v>4.7</v>
      </c>
      <c r="O20" s="59">
        <v>0</v>
      </c>
      <c r="P20" s="59">
        <v>0.72</v>
      </c>
      <c r="Q20" s="59">
        <v>24.54</v>
      </c>
      <c r="R20" s="197"/>
      <c r="S20" s="197"/>
      <c r="T20" s="197"/>
      <c r="U20" s="197"/>
    </row>
    <row r="21" spans="1:21" s="12" customFormat="1" x14ac:dyDescent="0.25">
      <c r="A21" s="200" t="s">
        <v>1893</v>
      </c>
      <c r="B21" s="59">
        <v>9.82</v>
      </c>
      <c r="C21" s="59">
        <v>52.86</v>
      </c>
      <c r="D21" s="59">
        <v>38.79</v>
      </c>
      <c r="E21" s="59">
        <v>2.15</v>
      </c>
      <c r="F21" s="59">
        <v>1.28</v>
      </c>
      <c r="G21" s="59">
        <v>36.29</v>
      </c>
      <c r="H21" s="59">
        <v>14.74</v>
      </c>
      <c r="I21" s="59">
        <v>0.54</v>
      </c>
      <c r="J21" s="59">
        <v>1.22</v>
      </c>
      <c r="K21" s="59">
        <v>112.03</v>
      </c>
      <c r="L21" s="59">
        <v>20.07</v>
      </c>
      <c r="M21" s="59">
        <v>60.1</v>
      </c>
      <c r="N21" s="59">
        <v>4.0999999999999996</v>
      </c>
      <c r="O21" s="59">
        <v>0</v>
      </c>
      <c r="P21" s="59">
        <v>0.74</v>
      </c>
      <c r="Q21" s="59">
        <v>25.49</v>
      </c>
      <c r="R21" s="197"/>
      <c r="S21" s="197"/>
      <c r="T21" s="197"/>
      <c r="U21" s="197"/>
    </row>
    <row r="22" spans="1:21" s="12" customFormat="1" x14ac:dyDescent="0.25">
      <c r="A22" s="200" t="s">
        <v>1894</v>
      </c>
      <c r="B22" s="59">
        <v>10.08</v>
      </c>
      <c r="C22" s="59">
        <v>53.21</v>
      </c>
      <c r="D22" s="59">
        <v>39.18</v>
      </c>
      <c r="E22" s="59">
        <v>2.99</v>
      </c>
      <c r="F22" s="59">
        <v>1.62</v>
      </c>
      <c r="G22" s="59">
        <v>57.29</v>
      </c>
      <c r="H22" s="59">
        <v>23.04</v>
      </c>
      <c r="I22" s="59">
        <v>0.54</v>
      </c>
      <c r="J22" s="59">
        <v>0.66</v>
      </c>
      <c r="K22" s="59">
        <v>99.81</v>
      </c>
      <c r="L22" s="59">
        <v>20.11</v>
      </c>
      <c r="M22" s="59">
        <v>59.88</v>
      </c>
      <c r="N22" s="59">
        <v>4.7</v>
      </c>
      <c r="O22" s="59">
        <v>0</v>
      </c>
      <c r="P22" s="59">
        <v>0.77</v>
      </c>
      <c r="Q22" s="59">
        <v>25.82</v>
      </c>
      <c r="R22" s="197"/>
      <c r="S22" s="197"/>
      <c r="T22" s="197"/>
      <c r="U22" s="197"/>
    </row>
    <row r="23" spans="1:21" s="12" customFormat="1" x14ac:dyDescent="0.25">
      <c r="A23" s="200" t="s">
        <v>1895</v>
      </c>
      <c r="B23" s="59">
        <v>10.54</v>
      </c>
      <c r="C23" s="59">
        <v>53.49</v>
      </c>
      <c r="D23" s="59">
        <v>39.71</v>
      </c>
      <c r="E23" s="59">
        <v>2.14</v>
      </c>
      <c r="F23" s="59">
        <v>1.6</v>
      </c>
      <c r="G23" s="59">
        <v>60.83</v>
      </c>
      <c r="H23" s="59">
        <v>24.44</v>
      </c>
      <c r="I23" s="59">
        <v>0.54</v>
      </c>
      <c r="J23" s="59">
        <v>0.61</v>
      </c>
      <c r="K23" s="59">
        <v>102.95</v>
      </c>
      <c r="L23" s="59">
        <v>19.97</v>
      </c>
      <c r="M23" s="59">
        <v>59.61</v>
      </c>
      <c r="N23" s="59">
        <v>4.8</v>
      </c>
      <c r="O23" s="59">
        <v>0</v>
      </c>
      <c r="P23" s="59">
        <v>0.77</v>
      </c>
      <c r="Q23" s="59">
        <v>26.08</v>
      </c>
      <c r="R23" s="197"/>
      <c r="S23" s="197"/>
      <c r="T23" s="197"/>
      <c r="U23" s="197"/>
    </row>
    <row r="24" spans="1:21" s="12" customFormat="1" x14ac:dyDescent="0.25">
      <c r="A24" s="200" t="s">
        <v>1896</v>
      </c>
      <c r="B24" s="59">
        <v>10.99</v>
      </c>
      <c r="C24" s="59">
        <v>53.47</v>
      </c>
      <c r="D24" s="59">
        <v>40.06</v>
      </c>
      <c r="E24" s="59">
        <v>1.56</v>
      </c>
      <c r="F24" s="59">
        <v>1.45</v>
      </c>
      <c r="G24" s="59">
        <v>60.83</v>
      </c>
      <c r="H24" s="59">
        <v>24.44</v>
      </c>
      <c r="I24" s="59">
        <v>0.55000000000000004</v>
      </c>
      <c r="J24" s="59">
        <v>1.23</v>
      </c>
      <c r="K24" s="59">
        <v>104.54</v>
      </c>
      <c r="L24" s="59">
        <v>19.78</v>
      </c>
      <c r="M24" s="59">
        <v>59.73</v>
      </c>
      <c r="N24" s="59">
        <v>4.7</v>
      </c>
      <c r="O24" s="59">
        <v>0</v>
      </c>
      <c r="P24" s="59">
        <v>0.77</v>
      </c>
      <c r="Q24" s="59">
        <v>26.81</v>
      </c>
      <c r="R24" s="197"/>
      <c r="S24" s="197"/>
      <c r="T24" s="197"/>
      <c r="U24" s="197"/>
    </row>
    <row r="25" spans="1:21" s="12" customFormat="1" x14ac:dyDescent="0.25">
      <c r="A25" s="200" t="s">
        <v>1897</v>
      </c>
      <c r="B25" s="59">
        <v>11.17</v>
      </c>
      <c r="C25" s="59">
        <v>52.89</v>
      </c>
      <c r="D25" s="59">
        <v>39.89</v>
      </c>
      <c r="E25" s="59">
        <v>2.16</v>
      </c>
      <c r="F25" s="59">
        <v>1.49</v>
      </c>
      <c r="G25" s="59">
        <v>60.83</v>
      </c>
      <c r="H25" s="59">
        <v>24.44</v>
      </c>
      <c r="I25" s="59">
        <v>0.56999999999999995</v>
      </c>
      <c r="J25" s="59">
        <v>1.2</v>
      </c>
      <c r="K25" s="59">
        <v>105.09</v>
      </c>
      <c r="L25" s="59">
        <v>19.47</v>
      </c>
      <c r="M25" s="59">
        <v>62.12</v>
      </c>
      <c r="N25" s="59">
        <v>5</v>
      </c>
      <c r="O25" s="59">
        <v>0</v>
      </c>
      <c r="P25" s="59">
        <v>0.77</v>
      </c>
      <c r="Q25" s="59">
        <v>27.86</v>
      </c>
      <c r="R25" s="197"/>
      <c r="S25" s="197"/>
      <c r="T25" s="197"/>
      <c r="U25" s="197"/>
    </row>
    <row r="26" spans="1:21" s="12" customFormat="1" x14ac:dyDescent="0.25">
      <c r="A26" s="200" t="s">
        <v>1898</v>
      </c>
      <c r="B26" s="59">
        <v>11.15</v>
      </c>
      <c r="C26" s="59">
        <v>52.56</v>
      </c>
      <c r="D26" s="59">
        <v>39.69</v>
      </c>
      <c r="E26" s="59">
        <v>2.42</v>
      </c>
      <c r="F26" s="59">
        <v>1.47</v>
      </c>
      <c r="G26" s="59">
        <v>55.34</v>
      </c>
      <c r="H26" s="59">
        <v>24.22</v>
      </c>
      <c r="I26" s="59">
        <v>0.56000000000000005</v>
      </c>
      <c r="J26" s="59">
        <v>0.53</v>
      </c>
      <c r="K26" s="59">
        <v>90.17</v>
      </c>
      <c r="L26" s="59">
        <v>19.23</v>
      </c>
      <c r="M26" s="59">
        <v>63.98</v>
      </c>
      <c r="N26" s="59">
        <v>5</v>
      </c>
      <c r="O26" s="59">
        <v>0</v>
      </c>
      <c r="P26" s="59">
        <v>0.76</v>
      </c>
      <c r="Q26" s="59">
        <v>28.53</v>
      </c>
      <c r="R26" s="197"/>
      <c r="S26" s="197"/>
      <c r="T26" s="197"/>
      <c r="U26" s="197"/>
    </row>
    <row r="27" spans="1:21" s="12" customFormat="1" x14ac:dyDescent="0.25">
      <c r="A27" s="200" t="s">
        <v>1899</v>
      </c>
      <c r="B27" s="59">
        <v>11.06</v>
      </c>
      <c r="C27" s="59">
        <v>52.51</v>
      </c>
      <c r="D27" s="59">
        <v>39.58</v>
      </c>
      <c r="E27" s="59">
        <v>2.1800000000000002</v>
      </c>
      <c r="F27" s="59">
        <v>1.68</v>
      </c>
      <c r="G27" s="59">
        <v>54.42</v>
      </c>
      <c r="H27" s="59">
        <v>24.19</v>
      </c>
      <c r="I27" s="59">
        <v>0.56000000000000005</v>
      </c>
      <c r="J27" s="59">
        <v>0.72</v>
      </c>
      <c r="K27" s="59">
        <v>103.3</v>
      </c>
      <c r="L27" s="59">
        <v>19.18</v>
      </c>
      <c r="M27" s="59">
        <v>64.88</v>
      </c>
      <c r="N27" s="59">
        <v>4.9000000000000004</v>
      </c>
      <c r="O27" s="59">
        <v>0</v>
      </c>
      <c r="P27" s="59">
        <v>0.75</v>
      </c>
      <c r="Q27" s="59">
        <v>29.22</v>
      </c>
      <c r="R27" s="197"/>
      <c r="S27" s="197"/>
      <c r="T27" s="197"/>
      <c r="U27" s="197"/>
    </row>
    <row r="28" spans="1:21" s="12" customFormat="1" x14ac:dyDescent="0.25">
      <c r="A28" s="200" t="s">
        <v>1900</v>
      </c>
      <c r="B28" s="59">
        <v>11.07</v>
      </c>
      <c r="C28" s="59">
        <v>52.37</v>
      </c>
      <c r="D28" s="59">
        <v>39.520000000000003</v>
      </c>
      <c r="E28" s="59">
        <v>2.3199999999999998</v>
      </c>
      <c r="F28" s="59">
        <v>2.38</v>
      </c>
      <c r="G28" s="59">
        <v>54.42</v>
      </c>
      <c r="H28" s="59">
        <v>24.19</v>
      </c>
      <c r="I28" s="59">
        <v>0.56000000000000005</v>
      </c>
      <c r="J28" s="59">
        <v>1.1000000000000001</v>
      </c>
      <c r="K28" s="59">
        <v>99.47</v>
      </c>
      <c r="L28" s="59">
        <v>19.170000000000002</v>
      </c>
      <c r="M28" s="59">
        <v>65.010000000000005</v>
      </c>
      <c r="N28" s="59">
        <v>4.8</v>
      </c>
      <c r="O28" s="59">
        <v>0</v>
      </c>
      <c r="P28" s="59">
        <v>0.74</v>
      </c>
      <c r="Q28" s="59">
        <v>29.52</v>
      </c>
      <c r="R28" s="197"/>
      <c r="S28" s="197"/>
      <c r="T28" s="197"/>
      <c r="U28" s="197"/>
    </row>
    <row r="29" spans="1:21" s="12" customFormat="1" x14ac:dyDescent="0.25">
      <c r="A29" s="200" t="s">
        <v>1901</v>
      </c>
      <c r="B29" s="59">
        <v>10.81</v>
      </c>
      <c r="C29" s="59">
        <v>52.83</v>
      </c>
      <c r="D29" s="59">
        <v>39.56</v>
      </c>
      <c r="E29" s="59">
        <v>2.2400000000000002</v>
      </c>
      <c r="F29" s="59">
        <v>1.94</v>
      </c>
      <c r="G29" s="59">
        <v>54.42</v>
      </c>
      <c r="H29" s="59">
        <v>24.19</v>
      </c>
      <c r="I29" s="59">
        <v>0.56000000000000005</v>
      </c>
      <c r="J29" s="59">
        <v>1.17</v>
      </c>
      <c r="K29" s="59">
        <v>109.52</v>
      </c>
      <c r="L29" s="59">
        <v>19.079999999999998</v>
      </c>
      <c r="M29" s="59">
        <v>65.67</v>
      </c>
      <c r="N29" s="59">
        <v>5</v>
      </c>
      <c r="O29" s="59">
        <v>0</v>
      </c>
      <c r="P29" s="59">
        <v>0.72</v>
      </c>
      <c r="Q29" s="59">
        <v>30.09</v>
      </c>
      <c r="R29" s="197"/>
      <c r="S29" s="197"/>
      <c r="T29" s="197"/>
      <c r="U29" s="197"/>
    </row>
    <row r="30" spans="1:21" s="12" customFormat="1" x14ac:dyDescent="0.25">
      <c r="A30" s="200" t="s">
        <v>1902</v>
      </c>
      <c r="B30" s="59">
        <v>10.38</v>
      </c>
      <c r="C30" s="59">
        <v>51.59</v>
      </c>
      <c r="D30" s="59">
        <v>38.54</v>
      </c>
      <c r="E30" s="59">
        <v>2.21</v>
      </c>
      <c r="F30" s="59">
        <v>1.77</v>
      </c>
      <c r="G30" s="59">
        <v>51.11</v>
      </c>
      <c r="H30" s="59">
        <v>22.46</v>
      </c>
      <c r="I30" s="59">
        <v>0.56999999999999995</v>
      </c>
      <c r="J30" s="59">
        <v>0.81</v>
      </c>
      <c r="K30" s="59">
        <v>105.47</v>
      </c>
      <c r="L30" s="59">
        <v>19.03</v>
      </c>
      <c r="M30" s="59">
        <v>66.180000000000007</v>
      </c>
      <c r="N30" s="59">
        <v>4.9000000000000004</v>
      </c>
      <c r="O30" s="59">
        <v>0</v>
      </c>
      <c r="P30" s="59">
        <v>0.72</v>
      </c>
      <c r="Q30" s="59">
        <v>32.19</v>
      </c>
      <c r="R30" s="197"/>
      <c r="S30" s="197"/>
      <c r="T30" s="197"/>
      <c r="U30" s="197"/>
    </row>
    <row r="31" spans="1:21" s="12" customFormat="1" x14ac:dyDescent="0.25">
      <c r="A31" s="200" t="s">
        <v>1903</v>
      </c>
      <c r="B31" s="59">
        <v>9.89</v>
      </c>
      <c r="C31" s="59">
        <v>52.17</v>
      </c>
      <c r="D31" s="59">
        <v>38.47</v>
      </c>
      <c r="E31" s="59">
        <v>2.3199999999999998</v>
      </c>
      <c r="F31" s="59">
        <v>1.76</v>
      </c>
      <c r="G31" s="59">
        <v>50.55</v>
      </c>
      <c r="H31" s="59">
        <v>22.16</v>
      </c>
      <c r="I31" s="59">
        <v>0.56000000000000005</v>
      </c>
      <c r="J31" s="59">
        <v>0.57999999999999996</v>
      </c>
      <c r="K31" s="59">
        <v>116.48</v>
      </c>
      <c r="L31" s="59">
        <v>19</v>
      </c>
      <c r="M31" s="59">
        <v>66.64</v>
      </c>
      <c r="N31" s="59">
        <v>5</v>
      </c>
      <c r="O31" s="59">
        <v>0</v>
      </c>
      <c r="P31" s="59">
        <v>0.71</v>
      </c>
      <c r="Q31" s="59">
        <v>32.25</v>
      </c>
      <c r="R31" s="197"/>
      <c r="S31" s="197"/>
      <c r="T31" s="197"/>
      <c r="U31" s="197"/>
    </row>
    <row r="32" spans="1:21" s="12" customFormat="1" x14ac:dyDescent="0.25">
      <c r="A32" s="200" t="s">
        <v>1904</v>
      </c>
      <c r="B32" s="59">
        <v>9.49</v>
      </c>
      <c r="C32" s="59">
        <v>53.22</v>
      </c>
      <c r="D32" s="59">
        <v>38.72</v>
      </c>
      <c r="E32" s="59">
        <v>2.5099999999999998</v>
      </c>
      <c r="F32" s="59">
        <v>1.53</v>
      </c>
      <c r="G32" s="59">
        <v>50.55</v>
      </c>
      <c r="H32" s="59">
        <v>22.16</v>
      </c>
      <c r="I32" s="59">
        <v>0.56999999999999995</v>
      </c>
      <c r="J32" s="59">
        <v>0.69</v>
      </c>
      <c r="K32" s="59">
        <v>107.98</v>
      </c>
      <c r="L32" s="59">
        <v>18.940000000000001</v>
      </c>
      <c r="M32" s="59">
        <v>66.69</v>
      </c>
      <c r="N32" s="59">
        <v>5.2</v>
      </c>
      <c r="O32" s="59">
        <v>0</v>
      </c>
      <c r="P32" s="59">
        <v>0.71</v>
      </c>
      <c r="Q32" s="59">
        <v>31.93</v>
      </c>
      <c r="R32" s="197"/>
      <c r="S32" s="197"/>
      <c r="T32" s="197"/>
      <c r="U32" s="197"/>
    </row>
    <row r="33" spans="1:21" s="12" customFormat="1" x14ac:dyDescent="0.25">
      <c r="A33" s="200" t="s">
        <v>1905</v>
      </c>
      <c r="B33" s="59">
        <v>9.42</v>
      </c>
      <c r="C33" s="59">
        <v>53.65</v>
      </c>
      <c r="D33" s="59">
        <v>38.9</v>
      </c>
      <c r="E33" s="59">
        <v>1.96</v>
      </c>
      <c r="F33" s="59">
        <v>1.31</v>
      </c>
      <c r="G33" s="59">
        <v>50.55</v>
      </c>
      <c r="H33" s="59">
        <v>22.16</v>
      </c>
      <c r="I33" s="59">
        <v>0.56000000000000005</v>
      </c>
      <c r="J33" s="59">
        <v>0.7</v>
      </c>
      <c r="K33" s="59">
        <v>122.5</v>
      </c>
      <c r="L33" s="59">
        <v>18.95</v>
      </c>
      <c r="M33" s="59">
        <v>66.150000000000006</v>
      </c>
      <c r="N33" s="59">
        <v>6.4</v>
      </c>
      <c r="O33" s="59">
        <v>0</v>
      </c>
      <c r="P33" s="59">
        <v>0.71</v>
      </c>
      <c r="Q33" s="59">
        <v>31.73</v>
      </c>
      <c r="R33" s="197"/>
      <c r="S33" s="197"/>
      <c r="T33" s="197"/>
      <c r="U33" s="197"/>
    </row>
    <row r="34" spans="1:21" s="12" customFormat="1" x14ac:dyDescent="0.25">
      <c r="A34" s="200" t="s">
        <v>1906</v>
      </c>
      <c r="B34" s="59">
        <v>9.1300000000000008</v>
      </c>
      <c r="C34" s="59">
        <v>54.27</v>
      </c>
      <c r="D34" s="59">
        <v>39.020000000000003</v>
      </c>
      <c r="E34" s="59">
        <v>2.09</v>
      </c>
      <c r="F34" s="59">
        <v>1.37</v>
      </c>
      <c r="G34" s="59">
        <v>51.37</v>
      </c>
      <c r="H34" s="59">
        <v>22.69</v>
      </c>
      <c r="I34" s="59">
        <v>0.56000000000000005</v>
      </c>
      <c r="J34" s="59">
        <v>1.01</v>
      </c>
      <c r="K34" s="59">
        <v>117.3</v>
      </c>
      <c r="L34" s="59">
        <v>19.03</v>
      </c>
      <c r="M34" s="59">
        <v>65.62</v>
      </c>
      <c r="N34" s="59">
        <v>13.8</v>
      </c>
      <c r="O34" s="59">
        <v>0</v>
      </c>
      <c r="P34" s="59">
        <v>0.7</v>
      </c>
      <c r="Q34" s="59">
        <v>31.26</v>
      </c>
      <c r="R34" s="197"/>
      <c r="S34" s="197"/>
      <c r="T34" s="197"/>
      <c r="U34" s="197"/>
    </row>
    <row r="35" spans="1:21" s="12" customFormat="1" x14ac:dyDescent="0.25">
      <c r="A35" s="200" t="s">
        <v>1907</v>
      </c>
      <c r="B35" s="59">
        <v>8.9</v>
      </c>
      <c r="C35" s="59">
        <v>54.55</v>
      </c>
      <c r="D35" s="59">
        <v>38.979999999999997</v>
      </c>
      <c r="E35" s="59">
        <v>2.06</v>
      </c>
      <c r="F35" s="59">
        <v>1.55</v>
      </c>
      <c r="G35" s="59">
        <v>51.51</v>
      </c>
      <c r="H35" s="59">
        <v>22.78</v>
      </c>
      <c r="I35" s="59">
        <v>0.56000000000000005</v>
      </c>
      <c r="J35" s="59">
        <v>0.16</v>
      </c>
      <c r="K35" s="59">
        <v>249.9</v>
      </c>
      <c r="L35" s="59">
        <v>19.170000000000002</v>
      </c>
      <c r="M35" s="59">
        <v>65.84</v>
      </c>
      <c r="N35" s="59">
        <v>24.2</v>
      </c>
      <c r="O35" s="59">
        <v>0</v>
      </c>
      <c r="P35" s="59">
        <v>0.7</v>
      </c>
      <c r="Q35" s="59">
        <v>31.47</v>
      </c>
      <c r="R35" s="197"/>
      <c r="S35" s="197"/>
      <c r="T35" s="197"/>
      <c r="U35" s="197"/>
    </row>
    <row r="36" spans="1:21" s="12" customFormat="1" x14ac:dyDescent="0.25">
      <c r="A36" s="200" t="s">
        <v>1908</v>
      </c>
      <c r="B36" s="59">
        <v>8.92</v>
      </c>
      <c r="C36" s="59">
        <v>55.13</v>
      </c>
      <c r="D36" s="59">
        <v>39.32</v>
      </c>
      <c r="E36" s="59">
        <v>2.16</v>
      </c>
      <c r="F36" s="59">
        <v>1.53</v>
      </c>
      <c r="G36" s="59">
        <v>51.51</v>
      </c>
      <c r="H36" s="59">
        <v>22.78</v>
      </c>
      <c r="I36" s="59">
        <v>0.56000000000000005</v>
      </c>
      <c r="J36" s="59">
        <v>0.22</v>
      </c>
      <c r="K36" s="59">
        <v>259.10000000000002</v>
      </c>
      <c r="L36" s="59">
        <v>19.04</v>
      </c>
      <c r="M36" s="59">
        <v>66.510000000000005</v>
      </c>
      <c r="N36" s="59">
        <v>36.4</v>
      </c>
      <c r="O36" s="59">
        <v>0</v>
      </c>
      <c r="P36" s="59">
        <v>0.71</v>
      </c>
      <c r="Q36" s="59">
        <v>30.74</v>
      </c>
      <c r="R36" s="197"/>
      <c r="S36" s="197"/>
      <c r="T36" s="197"/>
      <c r="U36" s="197"/>
    </row>
    <row r="37" spans="1:21" s="12" customFormat="1" x14ac:dyDescent="0.25">
      <c r="A37" s="200" t="s">
        <v>1909</v>
      </c>
      <c r="B37" s="59">
        <v>8.75</v>
      </c>
      <c r="C37" s="59">
        <v>55.66</v>
      </c>
      <c r="D37" s="59">
        <v>39.47</v>
      </c>
      <c r="E37" s="59">
        <v>2.0499999999999998</v>
      </c>
      <c r="F37" s="59">
        <v>1.6</v>
      </c>
      <c r="G37" s="59">
        <v>51.51</v>
      </c>
      <c r="H37" s="59">
        <v>22.78</v>
      </c>
      <c r="I37" s="59">
        <v>0.56000000000000005</v>
      </c>
      <c r="J37" s="59">
        <v>0.47</v>
      </c>
      <c r="K37" s="59">
        <v>189.86</v>
      </c>
      <c r="L37" s="59">
        <v>19.14</v>
      </c>
      <c r="M37" s="59">
        <v>66.31</v>
      </c>
      <c r="N37" s="59">
        <v>47.1</v>
      </c>
      <c r="O37" s="59">
        <v>0</v>
      </c>
      <c r="P37" s="59">
        <v>0.67</v>
      </c>
      <c r="Q37" s="59">
        <v>29.36</v>
      </c>
      <c r="R37" s="197"/>
      <c r="S37" s="197"/>
      <c r="T37" s="197"/>
      <c r="U37" s="197"/>
    </row>
    <row r="38" spans="1:21" s="12" customFormat="1" x14ac:dyDescent="0.25">
      <c r="A38" s="200" t="s">
        <v>1910</v>
      </c>
      <c r="B38" s="59">
        <v>8.77</v>
      </c>
      <c r="C38" s="59">
        <v>56.04</v>
      </c>
      <c r="D38" s="59">
        <v>39.700000000000003</v>
      </c>
      <c r="E38" s="59">
        <v>2.48</v>
      </c>
      <c r="F38" s="59">
        <v>1.58</v>
      </c>
      <c r="G38" s="59">
        <v>52.6</v>
      </c>
      <c r="H38" s="59">
        <v>21.98</v>
      </c>
      <c r="I38" s="59">
        <v>0.55000000000000004</v>
      </c>
      <c r="J38" s="59">
        <v>0.04</v>
      </c>
      <c r="K38" s="59">
        <v>305.10000000000002</v>
      </c>
      <c r="L38" s="59">
        <v>19.309999999999999</v>
      </c>
      <c r="M38" s="59">
        <v>66</v>
      </c>
      <c r="N38" s="59">
        <v>56</v>
      </c>
      <c r="O38" s="59">
        <v>0</v>
      </c>
      <c r="P38" s="59">
        <v>0.71</v>
      </c>
      <c r="Q38" s="59">
        <v>28.75</v>
      </c>
      <c r="R38" s="197"/>
      <c r="S38" s="197"/>
      <c r="T38" s="197"/>
      <c r="U38" s="197"/>
    </row>
    <row r="39" spans="1:21" s="12" customFormat="1" x14ac:dyDescent="0.25">
      <c r="A39" s="200" t="s">
        <v>1911</v>
      </c>
      <c r="B39" s="59">
        <v>8.75</v>
      </c>
      <c r="C39" s="59">
        <v>55.84</v>
      </c>
      <c r="D39" s="59">
        <v>39.57</v>
      </c>
      <c r="E39" s="59">
        <v>2.3199999999999998</v>
      </c>
      <c r="F39" s="59">
        <v>1.8</v>
      </c>
      <c r="G39" s="59">
        <v>52.79</v>
      </c>
      <c r="H39" s="59">
        <v>21.84</v>
      </c>
      <c r="I39" s="59">
        <v>0.55000000000000004</v>
      </c>
      <c r="J39" s="59">
        <v>0.2</v>
      </c>
      <c r="K39" s="59">
        <v>222.6</v>
      </c>
      <c r="L39" s="59">
        <v>19.47</v>
      </c>
      <c r="M39" s="59">
        <v>65.569999999999993</v>
      </c>
      <c r="N39" s="59">
        <v>54.9</v>
      </c>
      <c r="O39" s="59">
        <v>0</v>
      </c>
      <c r="P39" s="59">
        <v>0.72</v>
      </c>
      <c r="Q39" s="59">
        <v>28.83</v>
      </c>
      <c r="R39" s="197"/>
      <c r="S39" s="197"/>
      <c r="T39" s="197"/>
      <c r="U39" s="197"/>
    </row>
    <row r="40" spans="1:21" s="12" customFormat="1" x14ac:dyDescent="0.25">
      <c r="A40" s="200" t="s">
        <v>1912</v>
      </c>
      <c r="B40" s="59">
        <v>8.74</v>
      </c>
      <c r="C40" s="59">
        <v>55.79</v>
      </c>
      <c r="D40" s="59">
        <v>39.54</v>
      </c>
      <c r="E40" s="59">
        <v>1.29</v>
      </c>
      <c r="F40" s="59">
        <v>1.69</v>
      </c>
      <c r="G40" s="59">
        <v>52.79</v>
      </c>
      <c r="H40" s="59">
        <v>21.84</v>
      </c>
      <c r="I40" s="59">
        <v>0.55000000000000004</v>
      </c>
      <c r="J40" s="59">
        <v>0.31</v>
      </c>
      <c r="K40" s="59">
        <v>246.39</v>
      </c>
      <c r="L40" s="59">
        <v>19.5</v>
      </c>
      <c r="M40" s="59">
        <v>66.099999999999994</v>
      </c>
      <c r="N40" s="59">
        <v>81.400000000000006</v>
      </c>
      <c r="O40" s="59">
        <v>0</v>
      </c>
      <c r="P40" s="59">
        <v>0.72</v>
      </c>
      <c r="Q40" s="59">
        <v>28.65</v>
      </c>
      <c r="R40" s="197"/>
      <c r="S40" s="197"/>
      <c r="T40" s="197"/>
      <c r="U40" s="197"/>
    </row>
    <row r="41" spans="1:21" s="12" customFormat="1" x14ac:dyDescent="0.25">
      <c r="A41" s="200" t="s">
        <v>1913</v>
      </c>
      <c r="B41" s="59">
        <v>8.85</v>
      </c>
      <c r="C41" s="59">
        <v>55.89</v>
      </c>
      <c r="D41" s="59">
        <v>39.68</v>
      </c>
      <c r="E41" s="59">
        <v>2.75</v>
      </c>
      <c r="F41" s="59">
        <v>1.63</v>
      </c>
      <c r="G41" s="59">
        <v>52.79</v>
      </c>
      <c r="H41" s="59">
        <v>21.84</v>
      </c>
      <c r="I41" s="59">
        <v>0.55000000000000004</v>
      </c>
      <c r="J41" s="59">
        <v>0.47</v>
      </c>
      <c r="K41" s="59">
        <v>347.5</v>
      </c>
      <c r="L41" s="59">
        <v>20.05</v>
      </c>
      <c r="M41" s="59">
        <v>65.400000000000006</v>
      </c>
      <c r="N41" s="59">
        <v>96.1</v>
      </c>
      <c r="O41" s="59">
        <v>0</v>
      </c>
      <c r="P41" s="59">
        <v>0.73</v>
      </c>
      <c r="Q41" s="59">
        <v>28.37</v>
      </c>
      <c r="R41" s="197"/>
      <c r="S41" s="197"/>
      <c r="T41" s="197"/>
      <c r="U41" s="197"/>
    </row>
    <row r="42" spans="1:21" s="12" customFormat="1" x14ac:dyDescent="0.25">
      <c r="A42" s="200" t="s">
        <v>1914</v>
      </c>
      <c r="B42" s="59">
        <v>9.3699999999999992</v>
      </c>
      <c r="C42" s="59">
        <v>56.49</v>
      </c>
      <c r="D42" s="59">
        <v>40.43</v>
      </c>
      <c r="E42" s="59">
        <v>2.7</v>
      </c>
      <c r="F42" s="59">
        <v>1.6</v>
      </c>
      <c r="G42" s="59">
        <v>54.16</v>
      </c>
      <c r="H42" s="59">
        <v>23.8</v>
      </c>
      <c r="I42" s="59">
        <v>0.55000000000000004</v>
      </c>
      <c r="J42" s="59">
        <v>1.04</v>
      </c>
      <c r="K42" s="59">
        <v>1.78</v>
      </c>
      <c r="L42" s="59">
        <v>20.78</v>
      </c>
      <c r="M42" s="59">
        <v>63.65</v>
      </c>
      <c r="N42" s="59">
        <v>209</v>
      </c>
      <c r="O42" s="59">
        <v>0</v>
      </c>
      <c r="P42" s="59">
        <v>0.75</v>
      </c>
      <c r="Q42" s="59">
        <v>28.12</v>
      </c>
      <c r="R42" s="197"/>
      <c r="S42" s="197"/>
      <c r="T42" s="197"/>
      <c r="U42" s="197"/>
    </row>
    <row r="43" spans="1:21" s="12" customFormat="1" x14ac:dyDescent="0.25">
      <c r="A43" s="200" t="s">
        <v>1915</v>
      </c>
      <c r="B43" s="59">
        <v>10.050000000000001</v>
      </c>
      <c r="C43" s="59">
        <v>57.73</v>
      </c>
      <c r="D43" s="59">
        <v>41.66</v>
      </c>
      <c r="E43" s="59">
        <v>2.99</v>
      </c>
      <c r="F43" s="59">
        <v>1.72</v>
      </c>
      <c r="G43" s="59">
        <v>54.39</v>
      </c>
      <c r="H43" s="59">
        <v>24.1</v>
      </c>
      <c r="I43" s="59">
        <v>0.56000000000000005</v>
      </c>
      <c r="J43" s="59">
        <v>0.9</v>
      </c>
      <c r="K43" s="59">
        <v>3.03</v>
      </c>
      <c r="L43" s="59">
        <v>21.87</v>
      </c>
      <c r="M43" s="59">
        <v>60.81</v>
      </c>
      <c r="N43" s="59">
        <v>208.9</v>
      </c>
      <c r="O43" s="59">
        <v>0</v>
      </c>
      <c r="P43" s="59">
        <v>0.76</v>
      </c>
      <c r="Q43" s="59">
        <v>28.07</v>
      </c>
      <c r="R43" s="197"/>
      <c r="S43" s="197"/>
      <c r="T43" s="197"/>
      <c r="U43" s="197"/>
    </row>
    <row r="44" spans="1:21" s="12" customFormat="1" x14ac:dyDescent="0.25">
      <c r="A44" s="200" t="s">
        <v>1916</v>
      </c>
      <c r="B44" s="59">
        <v>10.83</v>
      </c>
      <c r="C44" s="59">
        <v>59.75</v>
      </c>
      <c r="D44" s="59">
        <v>43.4</v>
      </c>
      <c r="E44" s="59">
        <v>2.87</v>
      </c>
      <c r="F44" s="59">
        <v>1.67</v>
      </c>
      <c r="G44" s="59">
        <v>54.39</v>
      </c>
      <c r="H44" s="59">
        <v>24.1</v>
      </c>
      <c r="I44" s="59">
        <v>0.56000000000000005</v>
      </c>
      <c r="J44" s="59">
        <v>1.17</v>
      </c>
      <c r="K44" s="59">
        <v>15.92</v>
      </c>
      <c r="L44" s="59">
        <v>23.25</v>
      </c>
      <c r="M44" s="59">
        <v>56.32</v>
      </c>
      <c r="N44" s="59">
        <v>385.3</v>
      </c>
      <c r="O44" s="59">
        <v>0</v>
      </c>
      <c r="P44" s="59">
        <v>0.79</v>
      </c>
      <c r="Q44" s="59">
        <v>28.7</v>
      </c>
      <c r="R44" s="197"/>
      <c r="S44" s="197"/>
      <c r="T44" s="197"/>
      <c r="U44" s="197"/>
    </row>
    <row r="45" spans="1:21" s="12" customFormat="1" x14ac:dyDescent="0.25">
      <c r="A45" s="200" t="s">
        <v>1917</v>
      </c>
      <c r="B45" s="59">
        <v>11.52</v>
      </c>
      <c r="C45" s="59">
        <v>58.89</v>
      </c>
      <c r="D45" s="59">
        <v>43.47</v>
      </c>
      <c r="E45" s="59">
        <v>3.52</v>
      </c>
      <c r="F45" s="59">
        <v>1.85</v>
      </c>
      <c r="G45" s="59">
        <v>54.39</v>
      </c>
      <c r="H45" s="59">
        <v>24.1</v>
      </c>
      <c r="I45" s="59">
        <v>0.56000000000000005</v>
      </c>
      <c r="J45" s="59">
        <v>1.28</v>
      </c>
      <c r="K45" s="59">
        <v>16.46</v>
      </c>
      <c r="L45" s="59">
        <v>24.17</v>
      </c>
      <c r="M45" s="59">
        <v>53.13</v>
      </c>
      <c r="N45" s="59">
        <v>331.6</v>
      </c>
      <c r="O45" s="59">
        <v>0</v>
      </c>
      <c r="P45" s="59">
        <v>0.84</v>
      </c>
      <c r="Q45" s="59">
        <v>30.04</v>
      </c>
      <c r="R45" s="197"/>
      <c r="S45" s="197"/>
      <c r="T45" s="197"/>
      <c r="U45" s="197"/>
    </row>
    <row r="46" spans="1:21" s="12" customFormat="1" x14ac:dyDescent="0.25">
      <c r="A46" s="200" t="s">
        <v>1918</v>
      </c>
      <c r="B46" s="59">
        <v>11.88</v>
      </c>
      <c r="C46" s="59">
        <v>61.74</v>
      </c>
      <c r="D46" s="59">
        <v>45.34</v>
      </c>
      <c r="E46" s="59">
        <v>3.54</v>
      </c>
      <c r="F46" s="59">
        <v>2</v>
      </c>
      <c r="G46" s="59">
        <v>64.3</v>
      </c>
      <c r="H46" s="59">
        <v>27.6</v>
      </c>
      <c r="I46" s="59">
        <v>0.57999999999999996</v>
      </c>
      <c r="J46" s="59">
        <v>0.73</v>
      </c>
      <c r="K46" s="59">
        <v>12.64</v>
      </c>
      <c r="L46" s="59">
        <v>24.7</v>
      </c>
      <c r="M46" s="59">
        <v>51.16</v>
      </c>
      <c r="N46" s="59">
        <v>423.8</v>
      </c>
      <c r="O46" s="59">
        <v>0</v>
      </c>
      <c r="P46" s="59">
        <v>0.87</v>
      </c>
      <c r="Q46" s="59">
        <v>29.1</v>
      </c>
      <c r="R46" s="197"/>
      <c r="S46" s="197"/>
      <c r="T46" s="197"/>
      <c r="U46" s="197"/>
    </row>
    <row r="47" spans="1:21" s="12" customFormat="1" x14ac:dyDescent="0.25">
      <c r="A47" s="200" t="s">
        <v>1919</v>
      </c>
      <c r="B47" s="59">
        <v>11.97</v>
      </c>
      <c r="C47" s="59">
        <v>63.55</v>
      </c>
      <c r="D47" s="59">
        <v>46.41</v>
      </c>
      <c r="E47" s="59">
        <v>3.16</v>
      </c>
      <c r="F47" s="59">
        <v>1.74</v>
      </c>
      <c r="G47" s="59">
        <v>65.97</v>
      </c>
      <c r="H47" s="59">
        <v>28.19</v>
      </c>
      <c r="I47" s="59">
        <v>0.56000000000000005</v>
      </c>
      <c r="J47" s="59">
        <v>0.6</v>
      </c>
      <c r="K47" s="59">
        <v>17.64</v>
      </c>
      <c r="L47" s="59">
        <v>25.44</v>
      </c>
      <c r="M47" s="59">
        <v>49.25</v>
      </c>
      <c r="N47" s="59">
        <v>433.7</v>
      </c>
      <c r="O47" s="59">
        <v>0</v>
      </c>
      <c r="P47" s="59">
        <v>0.89</v>
      </c>
      <c r="Q47" s="59">
        <v>29.19</v>
      </c>
      <c r="R47" s="197"/>
      <c r="S47" s="197"/>
      <c r="T47" s="197"/>
      <c r="U47" s="197"/>
    </row>
    <row r="48" spans="1:21" s="12" customFormat="1" x14ac:dyDescent="0.25">
      <c r="A48" s="200" t="s">
        <v>1920</v>
      </c>
      <c r="B48" s="59">
        <v>12.04</v>
      </c>
      <c r="C48" s="59">
        <v>64.56</v>
      </c>
      <c r="D48" s="59">
        <v>47.03</v>
      </c>
      <c r="E48" s="59">
        <v>3.45</v>
      </c>
      <c r="F48" s="59">
        <v>1.51</v>
      </c>
      <c r="G48" s="59">
        <v>65.97</v>
      </c>
      <c r="H48" s="59">
        <v>28.19</v>
      </c>
      <c r="I48" s="59">
        <v>0.55000000000000004</v>
      </c>
      <c r="J48" s="59">
        <v>0.73</v>
      </c>
      <c r="K48" s="59">
        <v>14.33</v>
      </c>
      <c r="L48" s="59">
        <v>26.27</v>
      </c>
      <c r="M48" s="59">
        <v>46.77</v>
      </c>
      <c r="N48" s="59">
        <v>449.3</v>
      </c>
      <c r="O48" s="59">
        <v>0</v>
      </c>
      <c r="P48" s="59">
        <v>0.92</v>
      </c>
      <c r="Q48" s="59">
        <v>29</v>
      </c>
      <c r="R48" s="197"/>
      <c r="S48" s="197"/>
      <c r="T48" s="197"/>
      <c r="U48" s="197"/>
    </row>
    <row r="49" spans="1:21" s="12" customFormat="1" x14ac:dyDescent="0.25">
      <c r="A49" s="200" t="s">
        <v>1921</v>
      </c>
      <c r="B49" s="59">
        <v>12.3</v>
      </c>
      <c r="C49" s="59">
        <v>66.13</v>
      </c>
      <c r="D49" s="59">
        <v>48.1</v>
      </c>
      <c r="E49" s="59">
        <v>3.39</v>
      </c>
      <c r="F49" s="59">
        <v>1.61</v>
      </c>
      <c r="G49" s="59">
        <v>65.97</v>
      </c>
      <c r="H49" s="59">
        <v>28.19</v>
      </c>
      <c r="I49" s="59">
        <v>0.55000000000000004</v>
      </c>
      <c r="J49" s="59">
        <v>0.49</v>
      </c>
      <c r="K49" s="59">
        <v>27.77</v>
      </c>
      <c r="L49" s="59">
        <v>25.88</v>
      </c>
      <c r="M49" s="59">
        <v>47.74</v>
      </c>
      <c r="N49" s="59">
        <v>482.6</v>
      </c>
      <c r="O49" s="59">
        <v>0</v>
      </c>
      <c r="P49" s="59">
        <v>0.96</v>
      </c>
      <c r="Q49" s="59">
        <v>28.9</v>
      </c>
      <c r="R49" s="197"/>
      <c r="S49" s="197"/>
      <c r="T49" s="197"/>
      <c r="U49" s="197"/>
    </row>
    <row r="50" spans="1:21" s="12" customFormat="1" x14ac:dyDescent="0.25">
      <c r="A50" s="200" t="s">
        <v>1922</v>
      </c>
      <c r="B50" s="59">
        <v>12.35</v>
      </c>
      <c r="C50" s="59">
        <v>66.72</v>
      </c>
      <c r="D50" s="59">
        <v>48.46</v>
      </c>
      <c r="E50" s="59">
        <v>3.53</v>
      </c>
      <c r="F50" s="59">
        <v>2.4900000000000002</v>
      </c>
      <c r="G50" s="59">
        <v>78.040000000000006</v>
      </c>
      <c r="H50" s="59">
        <v>33.119999999999997</v>
      </c>
      <c r="I50" s="59">
        <v>0.56999999999999995</v>
      </c>
      <c r="J50" s="59">
        <v>0.65</v>
      </c>
      <c r="K50" s="59">
        <v>17.62</v>
      </c>
      <c r="L50" s="59">
        <v>25.78</v>
      </c>
      <c r="M50" s="59">
        <v>47.53</v>
      </c>
      <c r="N50" s="59">
        <v>373.7</v>
      </c>
      <c r="O50" s="59">
        <v>0</v>
      </c>
      <c r="P50" s="59">
        <v>0.97</v>
      </c>
      <c r="Q50" s="59">
        <v>28.24</v>
      </c>
      <c r="R50" s="197"/>
      <c r="S50" s="197"/>
      <c r="T50" s="197"/>
      <c r="U50" s="197"/>
    </row>
    <row r="51" spans="1:21" s="12" customFormat="1" x14ac:dyDescent="0.25">
      <c r="A51" s="200" t="s">
        <v>1923</v>
      </c>
      <c r="B51" s="59">
        <v>12.37</v>
      </c>
      <c r="C51" s="59">
        <v>69.95</v>
      </c>
      <c r="D51" s="59">
        <v>50.27</v>
      </c>
      <c r="E51" s="59">
        <v>4.4000000000000004</v>
      </c>
      <c r="F51" s="59">
        <v>2.82</v>
      </c>
      <c r="G51" s="59">
        <v>80.08</v>
      </c>
      <c r="H51" s="59">
        <v>33.950000000000003</v>
      </c>
      <c r="I51" s="59">
        <v>0.55000000000000004</v>
      </c>
      <c r="J51" s="59">
        <v>1.17</v>
      </c>
      <c r="K51" s="59">
        <v>9.27</v>
      </c>
      <c r="L51" s="59">
        <v>26.17</v>
      </c>
      <c r="M51" s="59">
        <v>46.44</v>
      </c>
      <c r="N51" s="59">
        <v>304.7</v>
      </c>
      <c r="O51" s="59">
        <v>0</v>
      </c>
      <c r="P51" s="59">
        <v>1</v>
      </c>
      <c r="Q51" s="59">
        <v>27.67</v>
      </c>
      <c r="R51" s="197"/>
      <c r="S51" s="197"/>
      <c r="T51" s="197"/>
      <c r="U51" s="197"/>
    </row>
    <row r="52" spans="1:21" s="12" customFormat="1" x14ac:dyDescent="0.25">
      <c r="A52" s="200" t="s">
        <v>1924</v>
      </c>
      <c r="B52" s="59">
        <v>12.05</v>
      </c>
      <c r="C52" s="59">
        <v>72.19</v>
      </c>
      <c r="D52" s="59">
        <v>51.25</v>
      </c>
      <c r="E52" s="59">
        <v>4.62</v>
      </c>
      <c r="F52" s="59">
        <v>2.65</v>
      </c>
      <c r="G52" s="59">
        <v>80.08</v>
      </c>
      <c r="H52" s="59">
        <v>33.950000000000003</v>
      </c>
      <c r="I52" s="59">
        <v>0.55000000000000004</v>
      </c>
      <c r="J52" s="59">
        <v>1.82</v>
      </c>
      <c r="K52" s="59">
        <v>13.94</v>
      </c>
      <c r="L52" s="59">
        <v>25.03</v>
      </c>
      <c r="M52" s="59">
        <v>48.94</v>
      </c>
      <c r="N52" s="59">
        <v>178.9</v>
      </c>
      <c r="O52" s="59">
        <v>0</v>
      </c>
      <c r="P52" s="59">
        <v>1.03</v>
      </c>
      <c r="Q52" s="59">
        <v>27.68</v>
      </c>
      <c r="R52" s="197"/>
      <c r="S52" s="197"/>
      <c r="T52" s="197"/>
      <c r="U52" s="197"/>
    </row>
    <row r="53" spans="1:21" s="12" customFormat="1" x14ac:dyDescent="0.25">
      <c r="A53" s="200" t="s">
        <v>1925</v>
      </c>
      <c r="B53" s="59">
        <v>11.64</v>
      </c>
      <c r="C53" s="59">
        <v>75.5</v>
      </c>
      <c r="D53" s="59">
        <v>52.74</v>
      </c>
      <c r="E53" s="59">
        <v>4.1399999999999997</v>
      </c>
      <c r="F53" s="59">
        <v>2.09</v>
      </c>
      <c r="G53" s="59">
        <v>80.08</v>
      </c>
      <c r="H53" s="59">
        <v>33.950000000000003</v>
      </c>
      <c r="I53" s="59">
        <v>0.55000000000000004</v>
      </c>
      <c r="J53" s="59">
        <v>2.71</v>
      </c>
      <c r="K53" s="59">
        <v>356.28</v>
      </c>
      <c r="L53" s="59">
        <v>23.48</v>
      </c>
      <c r="M53" s="59">
        <v>53.05</v>
      </c>
      <c r="N53" s="59">
        <v>107.7</v>
      </c>
      <c r="O53" s="59">
        <v>0</v>
      </c>
      <c r="P53" s="59">
        <v>1.05</v>
      </c>
      <c r="Q53" s="59">
        <v>27.86</v>
      </c>
      <c r="R53" s="197"/>
      <c r="S53" s="197"/>
      <c r="T53" s="197"/>
      <c r="U53" s="197"/>
    </row>
    <row r="54" spans="1:21" s="12" customFormat="1" x14ac:dyDescent="0.25">
      <c r="A54" s="200" t="s">
        <v>1926</v>
      </c>
      <c r="B54" s="59">
        <v>19.41</v>
      </c>
      <c r="C54" s="59">
        <v>59.35</v>
      </c>
      <c r="D54" s="59">
        <v>50.06</v>
      </c>
      <c r="E54" s="59">
        <v>3.81</v>
      </c>
      <c r="F54" s="59">
        <v>3.1</v>
      </c>
      <c r="G54" s="59">
        <v>88.08</v>
      </c>
      <c r="H54" s="59">
        <v>34.11</v>
      </c>
      <c r="I54" s="59">
        <v>0.56000000000000005</v>
      </c>
      <c r="J54" s="59">
        <v>4.1900000000000004</v>
      </c>
      <c r="K54" s="59">
        <v>4.05</v>
      </c>
      <c r="L54" s="59">
        <v>18.05</v>
      </c>
      <c r="M54" s="59">
        <v>61.84</v>
      </c>
      <c r="N54" s="59">
        <v>32.1</v>
      </c>
      <c r="O54" s="59">
        <v>0</v>
      </c>
      <c r="P54" s="59">
        <v>1.04</v>
      </c>
      <c r="Q54" s="59">
        <v>27.5</v>
      </c>
      <c r="R54" s="197"/>
      <c r="S54" s="197"/>
      <c r="T54" s="197"/>
      <c r="U54" s="197"/>
    </row>
    <row r="55" spans="1:21" s="12" customFormat="1" x14ac:dyDescent="0.25">
      <c r="A55" s="200" t="s">
        <v>1927</v>
      </c>
      <c r="B55" s="59">
        <v>12.73</v>
      </c>
      <c r="C55" s="59">
        <v>62.8</v>
      </c>
      <c r="D55" s="59">
        <v>46.61</v>
      </c>
      <c r="E55" s="59">
        <v>3.24</v>
      </c>
      <c r="F55" s="59">
        <v>4.2699999999999996</v>
      </c>
      <c r="G55" s="59">
        <v>89.43</v>
      </c>
      <c r="H55" s="59">
        <v>34.14</v>
      </c>
      <c r="I55" s="59">
        <v>0.56000000000000005</v>
      </c>
      <c r="J55" s="59">
        <v>4.62</v>
      </c>
      <c r="K55" s="59">
        <v>2.89</v>
      </c>
      <c r="L55" s="59">
        <v>18.55</v>
      </c>
      <c r="M55" s="59">
        <v>72.09</v>
      </c>
      <c r="N55" s="59">
        <v>14.2</v>
      </c>
      <c r="O55" s="59">
        <v>0</v>
      </c>
      <c r="P55" s="59">
        <v>0.93</v>
      </c>
      <c r="Q55" s="59">
        <v>26.61</v>
      </c>
      <c r="R55" s="197"/>
      <c r="S55" s="197"/>
      <c r="T55" s="197"/>
      <c r="U55" s="197"/>
    </row>
    <row r="56" spans="1:21" s="12" customFormat="1" x14ac:dyDescent="0.25">
      <c r="A56" s="200" t="s">
        <v>1928</v>
      </c>
      <c r="B56" s="59">
        <v>8.16</v>
      </c>
      <c r="C56" s="59">
        <v>62.34</v>
      </c>
      <c r="D56" s="59">
        <v>42.69</v>
      </c>
      <c r="E56" s="59">
        <v>1.77</v>
      </c>
      <c r="F56" s="59">
        <v>5.39</v>
      </c>
      <c r="G56" s="59">
        <v>89.43</v>
      </c>
      <c r="H56" s="59">
        <v>34.14</v>
      </c>
      <c r="I56" s="59">
        <v>0.54</v>
      </c>
      <c r="J56" s="59">
        <v>3.96</v>
      </c>
      <c r="K56" s="59">
        <v>343.42</v>
      </c>
      <c r="L56" s="59">
        <v>16.54</v>
      </c>
      <c r="M56" s="59">
        <v>81.25</v>
      </c>
      <c r="N56" s="59">
        <v>14.9</v>
      </c>
      <c r="O56" s="59">
        <v>0.8</v>
      </c>
      <c r="P56" s="59">
        <v>0.8</v>
      </c>
      <c r="Q56" s="59">
        <v>24.92</v>
      </c>
      <c r="R56" s="197"/>
      <c r="S56" s="197"/>
      <c r="T56" s="197"/>
      <c r="U56" s="197"/>
    </row>
    <row r="57" spans="1:21" s="12" customFormat="1" x14ac:dyDescent="0.25">
      <c r="A57" s="200" t="s">
        <v>1929</v>
      </c>
      <c r="B57" s="59">
        <v>5.57</v>
      </c>
      <c r="C57" s="59">
        <v>58.33</v>
      </c>
      <c r="D57" s="59">
        <v>38.39</v>
      </c>
      <c r="E57" s="59">
        <v>2.1800000000000002</v>
      </c>
      <c r="F57" s="59">
        <v>5.57</v>
      </c>
      <c r="G57" s="59">
        <v>89.43</v>
      </c>
      <c r="H57" s="59">
        <v>34.14</v>
      </c>
      <c r="I57" s="59">
        <v>0.53</v>
      </c>
      <c r="J57" s="59">
        <v>3.4</v>
      </c>
      <c r="K57" s="59">
        <v>8.36</v>
      </c>
      <c r="L57" s="59">
        <v>15.31</v>
      </c>
      <c r="M57" s="59">
        <v>88.6</v>
      </c>
      <c r="N57" s="59">
        <v>23.3</v>
      </c>
      <c r="O57" s="59">
        <v>0.8</v>
      </c>
      <c r="P57" s="59">
        <v>0.69</v>
      </c>
      <c r="Q57" s="59">
        <v>23.24</v>
      </c>
      <c r="R57" s="197"/>
      <c r="S57" s="197"/>
      <c r="T57" s="197"/>
      <c r="U57" s="197"/>
    </row>
    <row r="58" spans="1:21" s="12" customFormat="1" x14ac:dyDescent="0.25">
      <c r="A58" s="200" t="s">
        <v>1930</v>
      </c>
      <c r="B58" s="59">
        <v>4.6900000000000004</v>
      </c>
      <c r="C58" s="59">
        <v>55.25</v>
      </c>
      <c r="D58" s="59">
        <v>36</v>
      </c>
      <c r="E58" s="59">
        <v>2.08</v>
      </c>
      <c r="F58" s="59">
        <v>5.14</v>
      </c>
      <c r="G58" s="59">
        <v>74.290000000000006</v>
      </c>
      <c r="H58" s="59">
        <v>24.42</v>
      </c>
      <c r="I58" s="59">
        <v>0.52</v>
      </c>
      <c r="J58" s="59">
        <v>3.41</v>
      </c>
      <c r="K58" s="59">
        <v>18.46</v>
      </c>
      <c r="L58" s="59">
        <v>15.01</v>
      </c>
      <c r="M58" s="59">
        <v>90.32</v>
      </c>
      <c r="N58" s="59">
        <v>30</v>
      </c>
      <c r="O58" s="59">
        <v>1</v>
      </c>
      <c r="P58" s="59">
        <v>0.61</v>
      </c>
      <c r="Q58" s="59">
        <v>22.71</v>
      </c>
      <c r="R58" s="197"/>
      <c r="S58" s="197"/>
      <c r="T58" s="197"/>
      <c r="U58" s="197"/>
    </row>
    <row r="59" spans="1:21" s="12" customFormat="1" x14ac:dyDescent="0.25">
      <c r="A59" s="200" t="s">
        <v>1931</v>
      </c>
      <c r="B59" s="59">
        <v>5.44</v>
      </c>
      <c r="C59" s="59">
        <v>50.19</v>
      </c>
      <c r="D59" s="59">
        <v>33.799999999999997</v>
      </c>
      <c r="E59" s="59">
        <v>1.84</v>
      </c>
      <c r="F59" s="59">
        <v>7.78</v>
      </c>
      <c r="G59" s="59">
        <v>71.739999999999995</v>
      </c>
      <c r="H59" s="59">
        <v>22.78</v>
      </c>
      <c r="I59" s="59">
        <v>0.49</v>
      </c>
      <c r="J59" s="59">
        <v>3.13</v>
      </c>
      <c r="K59" s="59">
        <v>13.83</v>
      </c>
      <c r="L59" s="59">
        <v>15</v>
      </c>
      <c r="M59" s="59">
        <v>91.37</v>
      </c>
      <c r="N59" s="59">
        <v>55</v>
      </c>
      <c r="O59" s="59">
        <v>0.8</v>
      </c>
      <c r="P59" s="59">
        <v>0.56999999999999995</v>
      </c>
      <c r="Q59" s="59">
        <v>23.5</v>
      </c>
      <c r="R59" s="197"/>
      <c r="S59" s="197"/>
      <c r="T59" s="197"/>
      <c r="U59" s="197"/>
    </row>
    <row r="60" spans="1:21" s="12" customFormat="1" x14ac:dyDescent="0.25">
      <c r="A60" s="200" t="s">
        <v>1932</v>
      </c>
      <c r="B60" s="59">
        <v>5.2</v>
      </c>
      <c r="C60" s="59">
        <v>51.5</v>
      </c>
      <c r="D60" s="59">
        <v>34.340000000000003</v>
      </c>
      <c r="E60" s="59">
        <v>1.45</v>
      </c>
      <c r="F60" s="59">
        <v>5.92</v>
      </c>
      <c r="G60" s="59">
        <v>71.739999999999995</v>
      </c>
      <c r="H60" s="59">
        <v>22.78</v>
      </c>
      <c r="I60" s="59">
        <v>0.48</v>
      </c>
      <c r="J60" s="59">
        <v>2.54</v>
      </c>
      <c r="K60" s="59">
        <v>16.489999999999998</v>
      </c>
      <c r="L60" s="59">
        <v>15.31</v>
      </c>
      <c r="M60" s="59">
        <v>90.65</v>
      </c>
      <c r="N60" s="59">
        <v>174.7</v>
      </c>
      <c r="O60" s="59">
        <v>0</v>
      </c>
      <c r="P60" s="59">
        <v>0.56999999999999995</v>
      </c>
      <c r="Q60" s="59">
        <v>24.66</v>
      </c>
      <c r="R60" s="197"/>
      <c r="S60" s="197"/>
      <c r="T60" s="197"/>
      <c r="U60" s="197"/>
    </row>
    <row r="61" spans="1:21" s="12" customFormat="1" x14ac:dyDescent="0.25">
      <c r="A61" s="200" t="s">
        <v>1933</v>
      </c>
      <c r="B61" s="59">
        <v>5.73</v>
      </c>
      <c r="C61" s="59">
        <v>52.11</v>
      </c>
      <c r="D61" s="59">
        <v>35.1</v>
      </c>
      <c r="E61" s="59">
        <v>1.48</v>
      </c>
      <c r="F61" s="59">
        <v>4.1900000000000004</v>
      </c>
      <c r="G61" s="59">
        <v>71.739999999999995</v>
      </c>
      <c r="H61" s="59">
        <v>22.78</v>
      </c>
      <c r="I61" s="59">
        <v>0.47</v>
      </c>
      <c r="J61" s="59">
        <v>2.02</v>
      </c>
      <c r="K61" s="59">
        <v>15.63</v>
      </c>
      <c r="L61" s="59">
        <v>16.190000000000001</v>
      </c>
      <c r="M61" s="59">
        <v>87.48</v>
      </c>
      <c r="N61" s="59">
        <v>216.9</v>
      </c>
      <c r="O61" s="59">
        <v>0</v>
      </c>
      <c r="P61" s="59">
        <v>0.54</v>
      </c>
      <c r="Q61" s="59">
        <v>25.66</v>
      </c>
      <c r="R61" s="197"/>
      <c r="S61" s="197"/>
      <c r="T61" s="197"/>
      <c r="U61" s="197"/>
    </row>
    <row r="62" spans="1:21" s="12" customFormat="1" x14ac:dyDescent="0.25">
      <c r="A62" s="200" t="s">
        <v>1934</v>
      </c>
      <c r="B62" s="59">
        <v>6.41</v>
      </c>
      <c r="C62" s="59">
        <v>53.59</v>
      </c>
      <c r="D62" s="59">
        <v>36.450000000000003</v>
      </c>
      <c r="E62" s="59">
        <v>1.64</v>
      </c>
      <c r="F62" s="59">
        <v>3.12</v>
      </c>
      <c r="G62" s="59">
        <v>49.4</v>
      </c>
      <c r="H62" s="59">
        <v>20.99</v>
      </c>
      <c r="I62" s="59">
        <v>0.48</v>
      </c>
      <c r="J62" s="59">
        <v>2.06</v>
      </c>
      <c r="K62" s="59">
        <v>19.670000000000002</v>
      </c>
      <c r="L62" s="59">
        <v>16.579999999999998</v>
      </c>
      <c r="M62" s="59">
        <v>84.24</v>
      </c>
      <c r="N62" s="59">
        <v>155</v>
      </c>
      <c r="O62" s="59">
        <v>0</v>
      </c>
      <c r="P62" s="59">
        <v>0.59</v>
      </c>
      <c r="Q62" s="59">
        <v>26.01</v>
      </c>
      <c r="R62" s="197"/>
      <c r="S62" s="197"/>
      <c r="T62" s="197"/>
      <c r="U62" s="197"/>
    </row>
    <row r="63" spans="1:21" s="12" customFormat="1" x14ac:dyDescent="0.25">
      <c r="A63" s="200" t="s">
        <v>1935</v>
      </c>
      <c r="B63" s="59">
        <v>7.5</v>
      </c>
      <c r="C63" s="59">
        <v>55.24</v>
      </c>
      <c r="D63" s="59">
        <v>38.24</v>
      </c>
      <c r="E63" s="59">
        <v>2.33</v>
      </c>
      <c r="F63" s="59">
        <v>2.84</v>
      </c>
      <c r="G63" s="59">
        <v>45.96</v>
      </c>
      <c r="H63" s="59">
        <v>20.69</v>
      </c>
      <c r="I63" s="59">
        <v>0.48</v>
      </c>
      <c r="J63" s="59">
        <v>1.19</v>
      </c>
      <c r="K63" s="59">
        <v>26.54</v>
      </c>
      <c r="L63" s="59">
        <v>16.75</v>
      </c>
      <c r="M63" s="59">
        <v>81.67</v>
      </c>
      <c r="N63" s="59">
        <v>129.1</v>
      </c>
      <c r="O63" s="59">
        <v>0</v>
      </c>
      <c r="P63" s="59">
        <v>0.61</v>
      </c>
      <c r="Q63" s="59">
        <v>26.86</v>
      </c>
      <c r="R63" s="197"/>
      <c r="S63" s="197"/>
      <c r="T63" s="197"/>
      <c r="U63" s="197"/>
    </row>
    <row r="64" spans="1:21" s="12" customFormat="1" x14ac:dyDescent="0.25">
      <c r="A64" s="200" t="s">
        <v>1936</v>
      </c>
      <c r="B64" s="59">
        <v>8.42</v>
      </c>
      <c r="C64" s="59">
        <v>56.07</v>
      </c>
      <c r="D64" s="59">
        <v>39.44</v>
      </c>
      <c r="E64" s="59">
        <v>1.57</v>
      </c>
      <c r="F64" s="59">
        <v>2.0099999999999998</v>
      </c>
      <c r="G64" s="59">
        <v>45.96</v>
      </c>
      <c r="H64" s="59">
        <v>20.69</v>
      </c>
      <c r="I64" s="59">
        <v>0.49</v>
      </c>
      <c r="J64" s="59">
        <v>0.42</v>
      </c>
      <c r="K64" s="59">
        <v>33.71</v>
      </c>
      <c r="L64" s="59">
        <v>16.88</v>
      </c>
      <c r="M64" s="59">
        <v>81.28</v>
      </c>
      <c r="N64" s="59">
        <v>89.9</v>
      </c>
      <c r="O64" s="59">
        <v>0</v>
      </c>
      <c r="P64" s="59">
        <v>0.65</v>
      </c>
      <c r="Q64" s="59">
        <v>27.34</v>
      </c>
      <c r="R64" s="197"/>
      <c r="S64" s="197"/>
      <c r="T64" s="197"/>
      <c r="U64" s="197"/>
    </row>
    <row r="65" spans="1:21" s="12" customFormat="1" x14ac:dyDescent="0.25">
      <c r="A65" s="200" t="s">
        <v>1937</v>
      </c>
      <c r="B65" s="59">
        <v>9.2799999999999994</v>
      </c>
      <c r="C65" s="59">
        <v>53.61</v>
      </c>
      <c r="D65" s="59">
        <v>38.770000000000003</v>
      </c>
      <c r="E65" s="59">
        <v>1.49</v>
      </c>
      <c r="F65" s="59">
        <v>1.54</v>
      </c>
      <c r="G65" s="59">
        <v>45.96</v>
      </c>
      <c r="H65" s="59">
        <v>20.69</v>
      </c>
      <c r="I65" s="59">
        <v>0.5</v>
      </c>
      <c r="J65" s="59">
        <v>0.26</v>
      </c>
      <c r="K65" s="59">
        <v>51.46</v>
      </c>
      <c r="L65" s="59">
        <v>17</v>
      </c>
      <c r="M65" s="59">
        <v>81.260000000000005</v>
      </c>
      <c r="N65" s="59">
        <v>60.9</v>
      </c>
      <c r="O65" s="59">
        <v>0</v>
      </c>
      <c r="P65" s="59">
        <v>0.7</v>
      </c>
      <c r="Q65" s="59">
        <v>26.81</v>
      </c>
      <c r="R65" s="197"/>
      <c r="S65" s="197"/>
      <c r="T65" s="197"/>
      <c r="U65" s="197"/>
    </row>
    <row r="66" spans="1:21" s="12" customFormat="1" x14ac:dyDescent="0.25">
      <c r="A66" s="200" t="s">
        <v>1938</v>
      </c>
      <c r="B66" s="59">
        <v>11.08</v>
      </c>
      <c r="C66" s="59">
        <v>56.55</v>
      </c>
      <c r="D66" s="59">
        <v>41.83</v>
      </c>
      <c r="E66" s="59">
        <v>1.85</v>
      </c>
      <c r="F66" s="59">
        <v>1.47</v>
      </c>
      <c r="G66" s="59">
        <v>38.11</v>
      </c>
      <c r="H66" s="59">
        <v>17.97</v>
      </c>
      <c r="I66" s="59">
        <v>0.53</v>
      </c>
      <c r="J66" s="59">
        <v>0.7</v>
      </c>
      <c r="K66" s="59">
        <v>15.29</v>
      </c>
      <c r="L66" s="59">
        <v>17.14</v>
      </c>
      <c r="M66" s="59">
        <v>84.46</v>
      </c>
      <c r="N66" s="59">
        <v>58.3</v>
      </c>
      <c r="O66" s="59">
        <v>0</v>
      </c>
      <c r="P66" s="59">
        <v>0.73</v>
      </c>
      <c r="Q66" s="59">
        <v>25.81</v>
      </c>
      <c r="R66" s="197"/>
      <c r="S66" s="197"/>
      <c r="T66" s="197"/>
      <c r="U66" s="197"/>
    </row>
    <row r="67" spans="1:21" s="12" customFormat="1" x14ac:dyDescent="0.25">
      <c r="A67" s="200" t="s">
        <v>1939</v>
      </c>
      <c r="B67" s="59">
        <v>13.71</v>
      </c>
      <c r="C67" s="59">
        <v>60.02</v>
      </c>
      <c r="D67" s="59">
        <v>45.86</v>
      </c>
      <c r="E67" s="59">
        <v>2.02</v>
      </c>
      <c r="F67" s="59">
        <v>1.39</v>
      </c>
      <c r="G67" s="59">
        <v>36.78</v>
      </c>
      <c r="H67" s="59">
        <v>17.510000000000002</v>
      </c>
      <c r="I67" s="59">
        <v>0.52</v>
      </c>
      <c r="J67" s="59">
        <v>0.6</v>
      </c>
      <c r="K67" s="59">
        <v>17.72</v>
      </c>
      <c r="L67" s="59">
        <v>17.190000000000001</v>
      </c>
      <c r="M67" s="59">
        <v>84.95</v>
      </c>
      <c r="N67" s="59">
        <v>57.7</v>
      </c>
      <c r="O67" s="59">
        <v>0.2</v>
      </c>
      <c r="P67" s="59">
        <v>0.76</v>
      </c>
      <c r="Q67" s="59">
        <v>26.53</v>
      </c>
      <c r="R67" s="197"/>
      <c r="S67" s="197"/>
      <c r="T67" s="197"/>
      <c r="U67" s="197"/>
    </row>
    <row r="68" spans="1:21" s="12" customFormat="1" x14ac:dyDescent="0.25">
      <c r="A68" s="200" t="s">
        <v>1940</v>
      </c>
      <c r="B68" s="59">
        <v>15.83</v>
      </c>
      <c r="C68" s="59">
        <v>61.32</v>
      </c>
      <c r="D68" s="59">
        <v>48.28</v>
      </c>
      <c r="E68" s="59">
        <v>1.86</v>
      </c>
      <c r="F68" s="59">
        <v>1.5</v>
      </c>
      <c r="G68" s="59">
        <v>36.78</v>
      </c>
      <c r="H68" s="59">
        <v>17.510000000000002</v>
      </c>
      <c r="I68" s="59">
        <v>0.52</v>
      </c>
      <c r="J68" s="59">
        <v>0.87</v>
      </c>
      <c r="K68" s="59">
        <v>17.260000000000002</v>
      </c>
      <c r="L68" s="59">
        <v>17.14</v>
      </c>
      <c r="M68" s="59">
        <v>83.37</v>
      </c>
      <c r="N68" s="59">
        <v>51.2</v>
      </c>
      <c r="O68" s="59">
        <v>0</v>
      </c>
      <c r="P68" s="59">
        <v>0.8</v>
      </c>
      <c r="Q68" s="59">
        <v>26.89</v>
      </c>
      <c r="R68" s="197"/>
      <c r="S68" s="197"/>
      <c r="T68" s="197"/>
      <c r="U68" s="197"/>
    </row>
    <row r="69" spans="1:21" s="12" customFormat="1" x14ac:dyDescent="0.25">
      <c r="A69" s="200" t="s">
        <v>1941</v>
      </c>
      <c r="B69" s="59">
        <v>16.93</v>
      </c>
      <c r="C69" s="59">
        <v>62.07</v>
      </c>
      <c r="D69" s="59">
        <v>49.57</v>
      </c>
      <c r="E69" s="59">
        <v>1.62</v>
      </c>
      <c r="F69" s="59">
        <v>1.54</v>
      </c>
      <c r="G69" s="59">
        <v>36.78</v>
      </c>
      <c r="H69" s="59">
        <v>17.510000000000002</v>
      </c>
      <c r="I69" s="59">
        <v>0.53</v>
      </c>
      <c r="J69" s="59">
        <v>1.42</v>
      </c>
      <c r="K69" s="59">
        <v>106.96</v>
      </c>
      <c r="L69" s="59">
        <v>16.77</v>
      </c>
      <c r="M69" s="59">
        <v>82.36</v>
      </c>
      <c r="N69" s="59">
        <v>45.9</v>
      </c>
      <c r="O69" s="59">
        <v>0</v>
      </c>
      <c r="P69" s="59">
        <v>0.84</v>
      </c>
      <c r="Q69" s="59">
        <v>27.25</v>
      </c>
      <c r="R69" s="197"/>
      <c r="S69" s="197"/>
      <c r="T69" s="197"/>
      <c r="U69" s="197"/>
    </row>
    <row r="70" spans="1:21" s="12" customFormat="1" x14ac:dyDescent="0.25">
      <c r="A70" s="200" t="s">
        <v>1942</v>
      </c>
      <c r="B70" s="59">
        <v>17.309999999999999</v>
      </c>
      <c r="C70" s="59">
        <v>62.37</v>
      </c>
      <c r="D70" s="59">
        <v>50.04</v>
      </c>
      <c r="E70" s="59">
        <v>2.04</v>
      </c>
      <c r="F70" s="59">
        <v>1.43</v>
      </c>
      <c r="G70" s="59">
        <v>30.41</v>
      </c>
      <c r="H70" s="59">
        <v>15.23</v>
      </c>
      <c r="I70" s="59">
        <v>0.54</v>
      </c>
      <c r="J70" s="59">
        <v>0.99</v>
      </c>
      <c r="K70" s="59">
        <v>105.5</v>
      </c>
      <c r="L70" s="59">
        <v>16.77</v>
      </c>
      <c r="M70" s="59">
        <v>80.47</v>
      </c>
      <c r="N70" s="59">
        <v>60.1</v>
      </c>
      <c r="O70" s="59">
        <v>0</v>
      </c>
      <c r="P70" s="59">
        <v>0.85</v>
      </c>
      <c r="Q70" s="59">
        <v>28.91</v>
      </c>
      <c r="R70" s="197"/>
      <c r="S70" s="197"/>
      <c r="T70" s="197"/>
      <c r="U70" s="197"/>
    </row>
    <row r="71" spans="1:21" s="12" customFormat="1" x14ac:dyDescent="0.25">
      <c r="A71" s="200" t="s">
        <v>1943</v>
      </c>
      <c r="B71" s="59">
        <v>17.27</v>
      </c>
      <c r="C71" s="59">
        <v>61.84</v>
      </c>
      <c r="D71" s="59">
        <v>49.72</v>
      </c>
      <c r="E71" s="59">
        <v>2.44</v>
      </c>
      <c r="F71" s="59">
        <v>1.58</v>
      </c>
      <c r="G71" s="59">
        <v>29.34</v>
      </c>
      <c r="H71" s="59">
        <v>14.84</v>
      </c>
      <c r="I71" s="59">
        <v>0.55000000000000004</v>
      </c>
      <c r="J71" s="59">
        <v>0.49</v>
      </c>
      <c r="K71" s="59">
        <v>118.93</v>
      </c>
      <c r="L71" s="59">
        <v>16.93</v>
      </c>
      <c r="M71" s="59">
        <v>80.69</v>
      </c>
      <c r="N71" s="59">
        <v>146.80000000000001</v>
      </c>
      <c r="O71" s="59">
        <v>0</v>
      </c>
      <c r="P71" s="59">
        <v>0.84</v>
      </c>
      <c r="Q71" s="59">
        <v>30.37</v>
      </c>
      <c r="R71" s="197"/>
      <c r="S71" s="197"/>
      <c r="T71" s="197"/>
      <c r="U71" s="197"/>
    </row>
    <row r="72" spans="1:21" s="12" customFormat="1" x14ac:dyDescent="0.25">
      <c r="A72" s="200" t="s">
        <v>1944</v>
      </c>
      <c r="B72" s="59">
        <v>16.66</v>
      </c>
      <c r="C72" s="59">
        <v>60.94</v>
      </c>
      <c r="D72" s="59">
        <v>48.73</v>
      </c>
      <c r="E72" s="59">
        <v>1.96</v>
      </c>
      <c r="F72" s="59">
        <v>1.5</v>
      </c>
      <c r="G72" s="59">
        <v>29.34</v>
      </c>
      <c r="H72" s="59">
        <v>14.84</v>
      </c>
      <c r="I72" s="59">
        <v>0.56999999999999995</v>
      </c>
      <c r="J72" s="59">
        <v>0.64</v>
      </c>
      <c r="K72" s="59">
        <v>145.31</v>
      </c>
      <c r="L72" s="59">
        <v>17.29</v>
      </c>
      <c r="M72" s="59">
        <v>79.95</v>
      </c>
      <c r="N72" s="59">
        <v>298.39999999999998</v>
      </c>
      <c r="O72" s="59">
        <v>0</v>
      </c>
      <c r="P72" s="59">
        <v>0.82</v>
      </c>
      <c r="Q72" s="59">
        <v>30.82</v>
      </c>
      <c r="R72" s="197"/>
      <c r="S72" s="197"/>
      <c r="T72" s="197"/>
      <c r="U72" s="197"/>
    </row>
    <row r="73" spans="1:21" s="12" customFormat="1" x14ac:dyDescent="0.25">
      <c r="A73" s="200" t="s">
        <v>1945</v>
      </c>
      <c r="B73" s="59">
        <v>15.95</v>
      </c>
      <c r="C73" s="59">
        <v>53.44</v>
      </c>
      <c r="D73" s="59">
        <v>44.03</v>
      </c>
      <c r="E73" s="59">
        <v>2.36</v>
      </c>
      <c r="F73" s="59">
        <v>1.78</v>
      </c>
      <c r="G73" s="59">
        <v>29.34</v>
      </c>
      <c r="H73" s="59">
        <v>14.84</v>
      </c>
      <c r="I73" s="59">
        <v>0.56999999999999995</v>
      </c>
      <c r="J73" s="59">
        <v>0.82</v>
      </c>
      <c r="K73" s="59">
        <v>173.19</v>
      </c>
      <c r="L73" s="59">
        <v>18.07</v>
      </c>
      <c r="M73" s="59">
        <v>76.459999999999994</v>
      </c>
      <c r="N73" s="59">
        <v>343.8</v>
      </c>
      <c r="O73" s="59">
        <v>0</v>
      </c>
      <c r="P73" s="59">
        <v>0.8</v>
      </c>
      <c r="Q73" s="59">
        <v>32.19</v>
      </c>
      <c r="R73" s="197"/>
      <c r="S73" s="197"/>
      <c r="T73" s="197"/>
      <c r="U73" s="197"/>
    </row>
    <row r="74" spans="1:21" s="12" customFormat="1" x14ac:dyDescent="0.25">
      <c r="A74" s="200" t="s">
        <v>1946</v>
      </c>
      <c r="B74" s="59">
        <v>14.93</v>
      </c>
      <c r="C74" s="59">
        <v>52.01</v>
      </c>
      <c r="D74" s="59">
        <v>42.42</v>
      </c>
      <c r="E74" s="59">
        <v>2.31</v>
      </c>
      <c r="F74" s="59">
        <v>2.0099999999999998</v>
      </c>
      <c r="G74" s="59">
        <v>24.54</v>
      </c>
      <c r="H74" s="59">
        <v>11.54</v>
      </c>
      <c r="I74" s="59">
        <v>0.56999999999999995</v>
      </c>
      <c r="J74" s="59">
        <v>0.91</v>
      </c>
      <c r="K74" s="59">
        <v>105.81</v>
      </c>
      <c r="L74" s="59">
        <v>18.13</v>
      </c>
      <c r="M74" s="59">
        <v>74.25</v>
      </c>
      <c r="N74" s="59">
        <v>163.1</v>
      </c>
      <c r="O74" s="59">
        <v>0</v>
      </c>
      <c r="P74" s="59">
        <v>0.77</v>
      </c>
      <c r="Q74" s="59">
        <v>30.8</v>
      </c>
      <c r="R74" s="197"/>
      <c r="S74" s="197"/>
      <c r="T74" s="197"/>
      <c r="U74" s="197"/>
    </row>
    <row r="75" spans="1:21" s="12" customFormat="1" x14ac:dyDescent="0.25">
      <c r="A75" s="200" t="s">
        <v>1947</v>
      </c>
      <c r="B75" s="59">
        <v>13.93</v>
      </c>
      <c r="C75" s="59">
        <v>55.5</v>
      </c>
      <c r="D75" s="59">
        <v>43.54</v>
      </c>
      <c r="E75" s="59">
        <v>2</v>
      </c>
      <c r="F75" s="59">
        <v>1.82</v>
      </c>
      <c r="G75" s="59">
        <v>23.8</v>
      </c>
      <c r="H75" s="59">
        <v>10.98</v>
      </c>
      <c r="I75" s="59">
        <v>0.56999999999999995</v>
      </c>
      <c r="J75" s="59">
        <v>0.76</v>
      </c>
      <c r="K75" s="59">
        <v>122.22</v>
      </c>
      <c r="L75" s="59">
        <v>18.14</v>
      </c>
      <c r="M75" s="59">
        <v>72.08</v>
      </c>
      <c r="N75" s="59">
        <v>100.8</v>
      </c>
      <c r="O75" s="59">
        <v>0</v>
      </c>
      <c r="P75" s="59">
        <v>0.74</v>
      </c>
      <c r="Q75" s="59">
        <v>31.27</v>
      </c>
      <c r="R75" s="197"/>
      <c r="S75" s="197"/>
      <c r="T75" s="197"/>
      <c r="U75" s="197"/>
    </row>
    <row r="76" spans="1:21" s="12" customFormat="1" x14ac:dyDescent="0.25">
      <c r="A76" s="200" t="s">
        <v>1948</v>
      </c>
      <c r="B76" s="59">
        <v>12.94</v>
      </c>
      <c r="C76" s="59">
        <v>56.33</v>
      </c>
      <c r="D76" s="59">
        <v>43.2</v>
      </c>
      <c r="E76" s="59">
        <v>2.0499999999999998</v>
      </c>
      <c r="F76" s="59">
        <v>1.66</v>
      </c>
      <c r="G76" s="59">
        <v>23.8</v>
      </c>
      <c r="H76" s="59">
        <v>10.98</v>
      </c>
      <c r="I76" s="59">
        <v>0.57999999999999996</v>
      </c>
      <c r="J76" s="59">
        <v>1.02</v>
      </c>
      <c r="K76" s="59">
        <v>184.08</v>
      </c>
      <c r="L76" s="59">
        <v>18.28</v>
      </c>
      <c r="M76" s="59">
        <v>72.89</v>
      </c>
      <c r="N76" s="59">
        <v>83.1</v>
      </c>
      <c r="O76" s="59">
        <v>0</v>
      </c>
      <c r="P76" s="59">
        <v>0.72</v>
      </c>
      <c r="Q76" s="59">
        <v>31.73</v>
      </c>
      <c r="R76" s="197"/>
      <c r="S76" s="197"/>
      <c r="T76" s="197"/>
      <c r="U76" s="197"/>
    </row>
    <row r="77" spans="1:21" s="12" customFormat="1" x14ac:dyDescent="0.25">
      <c r="A77" s="200" t="s">
        <v>1949</v>
      </c>
      <c r="B77" s="59">
        <v>11.59</v>
      </c>
      <c r="C77" s="59">
        <v>57.93</v>
      </c>
      <c r="D77" s="59">
        <v>43.01</v>
      </c>
      <c r="E77" s="59">
        <v>2.2599999999999998</v>
      </c>
      <c r="F77" s="59">
        <v>1.83</v>
      </c>
      <c r="G77" s="59">
        <v>23.8</v>
      </c>
      <c r="H77" s="59">
        <v>10.98</v>
      </c>
      <c r="I77" s="59">
        <v>0.59</v>
      </c>
      <c r="J77" s="59">
        <v>0.81</v>
      </c>
      <c r="K77" s="59">
        <v>168.06</v>
      </c>
      <c r="L77" s="59">
        <v>18.100000000000001</v>
      </c>
      <c r="M77" s="59">
        <v>73.02</v>
      </c>
      <c r="N77" s="59">
        <v>57.8</v>
      </c>
      <c r="O77" s="59">
        <v>0</v>
      </c>
      <c r="P77" s="59">
        <v>0.69</v>
      </c>
      <c r="Q77" s="59">
        <v>30.82</v>
      </c>
      <c r="R77" s="197"/>
      <c r="S77" s="197"/>
      <c r="T77" s="197"/>
      <c r="U77" s="197"/>
    </row>
    <row r="78" spans="1:21" s="12" customFormat="1" x14ac:dyDescent="0.25">
      <c r="A78" s="200" t="s">
        <v>1950</v>
      </c>
      <c r="B78" s="59">
        <v>10.41</v>
      </c>
      <c r="C78" s="59">
        <v>58.08</v>
      </c>
      <c r="D78" s="59">
        <v>42.15</v>
      </c>
      <c r="E78" s="59">
        <v>2.42</v>
      </c>
      <c r="F78" s="59">
        <v>1.97</v>
      </c>
      <c r="G78" s="59">
        <v>16.7</v>
      </c>
      <c r="H78" s="59">
        <v>9.9700000000000006</v>
      </c>
      <c r="I78" s="59">
        <v>0.56999999999999995</v>
      </c>
      <c r="J78" s="59">
        <v>0.82</v>
      </c>
      <c r="K78" s="59">
        <v>183.77</v>
      </c>
      <c r="L78" s="59">
        <v>17.77</v>
      </c>
      <c r="M78" s="59">
        <v>73.84</v>
      </c>
      <c r="N78" s="59">
        <v>43.1</v>
      </c>
      <c r="O78" s="59">
        <v>0</v>
      </c>
      <c r="P78" s="59">
        <v>0.67</v>
      </c>
      <c r="Q78" s="59">
        <v>29.99</v>
      </c>
      <c r="R78" s="197"/>
      <c r="S78" s="197"/>
      <c r="T78" s="197"/>
      <c r="U78" s="197"/>
    </row>
    <row r="79" spans="1:21" s="12" customFormat="1" x14ac:dyDescent="0.25">
      <c r="A79" s="200" t="s">
        <v>1951</v>
      </c>
      <c r="B79" s="59">
        <v>9.7200000000000006</v>
      </c>
      <c r="C79" s="59">
        <v>57.89</v>
      </c>
      <c r="D79" s="59">
        <v>41.49</v>
      </c>
      <c r="E79" s="59">
        <v>1.64</v>
      </c>
      <c r="F79" s="59">
        <v>1.7</v>
      </c>
      <c r="G79" s="59">
        <v>15.61</v>
      </c>
      <c r="H79" s="59">
        <v>9.81</v>
      </c>
      <c r="I79" s="59">
        <v>0.56000000000000005</v>
      </c>
      <c r="J79" s="59">
        <v>0.56000000000000005</v>
      </c>
      <c r="K79" s="59">
        <v>206.25</v>
      </c>
      <c r="L79" s="59">
        <v>17.54</v>
      </c>
      <c r="M79" s="59">
        <v>76.489999999999995</v>
      </c>
      <c r="N79" s="59">
        <v>32.5</v>
      </c>
      <c r="O79" s="59">
        <v>0</v>
      </c>
      <c r="P79" s="59">
        <v>0.65</v>
      </c>
      <c r="Q79" s="59">
        <v>29.22</v>
      </c>
      <c r="R79" s="197"/>
      <c r="S79" s="197"/>
      <c r="T79" s="197"/>
      <c r="U79" s="197"/>
    </row>
    <row r="80" spans="1:21" s="12" customFormat="1" x14ac:dyDescent="0.25">
      <c r="A80" s="200" t="s">
        <v>1952</v>
      </c>
      <c r="B80" s="59">
        <v>9.27</v>
      </c>
      <c r="C80" s="59">
        <v>56.25</v>
      </c>
      <c r="D80" s="59">
        <v>40.22</v>
      </c>
      <c r="E80" s="59">
        <v>1.83</v>
      </c>
      <c r="F80" s="59">
        <v>1.66</v>
      </c>
      <c r="G80" s="59">
        <v>15.61</v>
      </c>
      <c r="H80" s="59">
        <v>9.81</v>
      </c>
      <c r="I80" s="59">
        <v>0.55000000000000004</v>
      </c>
      <c r="J80" s="59">
        <v>0.64</v>
      </c>
      <c r="K80" s="59">
        <v>181.26</v>
      </c>
      <c r="L80" s="59">
        <v>17.21</v>
      </c>
      <c r="M80" s="59">
        <v>78.86</v>
      </c>
      <c r="N80" s="59">
        <v>18.100000000000001</v>
      </c>
      <c r="O80" s="59">
        <v>0</v>
      </c>
      <c r="P80" s="59">
        <v>0.63</v>
      </c>
      <c r="Q80" s="59">
        <v>27.92</v>
      </c>
      <c r="R80" s="197"/>
      <c r="S80" s="197"/>
      <c r="T80" s="197"/>
      <c r="U80" s="197"/>
    </row>
    <row r="81" spans="1:26" s="12" customFormat="1" x14ac:dyDescent="0.25">
      <c r="A81" s="200" t="s">
        <v>1953</v>
      </c>
      <c r="B81" s="59">
        <v>9.34</v>
      </c>
      <c r="C81" s="59">
        <v>58.18</v>
      </c>
      <c r="D81" s="59">
        <v>41.34</v>
      </c>
      <c r="E81" s="59">
        <v>1.81</v>
      </c>
      <c r="F81" s="59">
        <v>1.48</v>
      </c>
      <c r="G81" s="59">
        <v>15.61</v>
      </c>
      <c r="H81" s="59">
        <v>9.81</v>
      </c>
      <c r="I81" s="59">
        <v>0.55000000000000004</v>
      </c>
      <c r="J81" s="59">
        <v>0.15</v>
      </c>
      <c r="K81" s="59">
        <v>226.69</v>
      </c>
      <c r="L81" s="59">
        <v>16.97</v>
      </c>
      <c r="M81" s="59">
        <v>80.36</v>
      </c>
      <c r="N81" s="59">
        <v>7.6</v>
      </c>
      <c r="O81" s="59">
        <v>0</v>
      </c>
      <c r="P81" s="59">
        <v>0.62</v>
      </c>
      <c r="Q81" s="59">
        <v>28.01</v>
      </c>
      <c r="R81" s="197"/>
      <c r="S81" s="197"/>
      <c r="T81" s="197"/>
      <c r="U81" s="197"/>
    </row>
    <row r="82" spans="1:26" s="12" customFormat="1" x14ac:dyDescent="0.25">
      <c r="A82" s="200" t="s">
        <v>1954</v>
      </c>
      <c r="B82" s="59">
        <v>9.59</v>
      </c>
      <c r="C82" s="59">
        <v>59.23</v>
      </c>
      <c r="D82" s="59">
        <v>42.12</v>
      </c>
      <c r="E82" s="59">
        <v>1.73</v>
      </c>
      <c r="F82" s="59">
        <v>1.35</v>
      </c>
      <c r="G82" s="59">
        <v>19.350000000000001</v>
      </c>
      <c r="H82" s="59">
        <v>8.73</v>
      </c>
      <c r="I82" s="59">
        <v>0.54</v>
      </c>
      <c r="J82" s="59">
        <v>0.22</v>
      </c>
      <c r="K82" s="59">
        <v>234.31</v>
      </c>
      <c r="L82" s="59">
        <v>16.75</v>
      </c>
      <c r="M82" s="59">
        <v>81.33</v>
      </c>
      <c r="N82" s="59">
        <v>4.9000000000000004</v>
      </c>
      <c r="O82" s="59">
        <v>0</v>
      </c>
      <c r="P82" s="59">
        <v>0.61</v>
      </c>
      <c r="Q82" s="59">
        <v>28.03</v>
      </c>
      <c r="R82" s="197"/>
      <c r="S82" s="197"/>
      <c r="T82" s="197"/>
      <c r="U82" s="197"/>
    </row>
    <row r="83" spans="1:26" s="12" customFormat="1" x14ac:dyDescent="0.25">
      <c r="A83" s="200" t="s">
        <v>1955</v>
      </c>
      <c r="B83" s="59">
        <v>9.73</v>
      </c>
      <c r="C83" s="59">
        <v>58.67</v>
      </c>
      <c r="D83" s="59">
        <v>41.92</v>
      </c>
      <c r="E83" s="59">
        <v>1.82</v>
      </c>
      <c r="F83" s="59">
        <v>1.29</v>
      </c>
      <c r="G83" s="59">
        <v>19.920000000000002</v>
      </c>
      <c r="H83" s="59">
        <v>8.57</v>
      </c>
      <c r="I83" s="59">
        <v>0.56000000000000005</v>
      </c>
      <c r="J83" s="59">
        <v>0.24</v>
      </c>
      <c r="K83" s="59">
        <v>248.39</v>
      </c>
      <c r="L83" s="59">
        <v>16.579999999999998</v>
      </c>
      <c r="M83" s="59">
        <v>81.8</v>
      </c>
      <c r="N83" s="59">
        <v>4.7</v>
      </c>
      <c r="O83" s="59">
        <v>0</v>
      </c>
      <c r="P83" s="59">
        <v>0.61</v>
      </c>
      <c r="Q83" s="59">
        <v>27.57</v>
      </c>
      <c r="R83" s="197"/>
      <c r="S83" s="197"/>
      <c r="T83" s="197"/>
      <c r="U83" s="197"/>
    </row>
    <row r="84" spans="1:26" s="12" customFormat="1" x14ac:dyDescent="0.25">
      <c r="A84" s="200" t="s">
        <v>1956</v>
      </c>
      <c r="B84" s="59">
        <v>9.84</v>
      </c>
      <c r="C84" s="59">
        <v>58.06</v>
      </c>
      <c r="D84" s="59">
        <v>41.68</v>
      </c>
      <c r="E84" s="59">
        <v>1.72</v>
      </c>
      <c r="F84" s="59">
        <v>1.31</v>
      </c>
      <c r="G84" s="59">
        <v>19.920000000000002</v>
      </c>
      <c r="H84" s="59">
        <v>8.57</v>
      </c>
      <c r="I84" s="59">
        <v>0.54</v>
      </c>
      <c r="J84" s="59">
        <v>0.09</v>
      </c>
      <c r="K84" s="59">
        <v>289.69</v>
      </c>
      <c r="L84" s="59">
        <v>16.399999999999999</v>
      </c>
      <c r="M84" s="59">
        <v>82.44</v>
      </c>
      <c r="N84" s="59">
        <v>4.8</v>
      </c>
      <c r="O84" s="59">
        <v>0</v>
      </c>
      <c r="P84" s="59">
        <v>0.6</v>
      </c>
      <c r="Q84" s="59">
        <v>27.44</v>
      </c>
      <c r="R84" s="197"/>
      <c r="S84" s="197"/>
      <c r="T84" s="197"/>
      <c r="U84" s="197"/>
    </row>
    <row r="85" spans="1:26" s="12" customFormat="1" x14ac:dyDescent="0.25">
      <c r="A85" s="200" t="s">
        <v>1957</v>
      </c>
      <c r="B85" s="59">
        <v>10.27</v>
      </c>
      <c r="C85" s="59">
        <v>57.42</v>
      </c>
      <c r="D85" s="59">
        <v>41.66</v>
      </c>
      <c r="E85" s="59">
        <v>1.8</v>
      </c>
      <c r="F85" s="59">
        <v>1.27</v>
      </c>
      <c r="G85" s="59">
        <v>19.920000000000002</v>
      </c>
      <c r="H85" s="59">
        <v>8.57</v>
      </c>
      <c r="I85" s="59">
        <v>0.54</v>
      </c>
      <c r="J85" s="59">
        <v>0.3</v>
      </c>
      <c r="K85" s="59">
        <v>232.99</v>
      </c>
      <c r="L85" s="59">
        <v>16.29</v>
      </c>
      <c r="M85" s="59">
        <v>83.32</v>
      </c>
      <c r="N85" s="59">
        <v>4.3</v>
      </c>
      <c r="O85" s="59">
        <v>0</v>
      </c>
      <c r="P85" s="59">
        <v>0.59</v>
      </c>
      <c r="Q85" s="59">
        <v>27.14</v>
      </c>
      <c r="R85" s="197"/>
      <c r="S85" s="197"/>
      <c r="T85" s="197"/>
      <c r="U85" s="197"/>
    </row>
    <row r="86" spans="1:26" s="12" customFormat="1" x14ac:dyDescent="0.25">
      <c r="A86" s="200" t="s">
        <v>1958</v>
      </c>
      <c r="B86" s="59">
        <v>10.87</v>
      </c>
      <c r="C86" s="59">
        <v>57.1</v>
      </c>
      <c r="D86" s="59">
        <v>41.97</v>
      </c>
      <c r="E86" s="59">
        <v>1.59</v>
      </c>
      <c r="F86" s="59">
        <v>1.41</v>
      </c>
      <c r="G86" s="59">
        <v>23.32</v>
      </c>
      <c r="H86" s="59">
        <v>9.09</v>
      </c>
      <c r="I86" s="59">
        <v>0.54</v>
      </c>
      <c r="J86" s="59">
        <v>0.3</v>
      </c>
      <c r="K86" s="59">
        <v>239.43</v>
      </c>
      <c r="L86" s="59">
        <v>16.41</v>
      </c>
      <c r="M86" s="59">
        <v>82.77</v>
      </c>
      <c r="N86" s="59">
        <v>4.4000000000000004</v>
      </c>
      <c r="O86" s="59">
        <v>0</v>
      </c>
      <c r="P86" s="59">
        <v>0.61</v>
      </c>
      <c r="Q86" s="59">
        <v>27.16</v>
      </c>
      <c r="R86" s="197"/>
      <c r="S86" s="197"/>
      <c r="T86" s="197"/>
      <c r="U86" s="197"/>
    </row>
    <row r="87" spans="1:26" s="12" customFormat="1" x14ac:dyDescent="0.25">
      <c r="A87" s="200" t="s">
        <v>1959</v>
      </c>
      <c r="B87" s="59">
        <v>11.55</v>
      </c>
      <c r="C87" s="59">
        <v>55.59</v>
      </c>
      <c r="D87" s="59">
        <v>41.68</v>
      </c>
      <c r="E87" s="59">
        <v>1.95</v>
      </c>
      <c r="F87" s="59">
        <v>1.26</v>
      </c>
      <c r="G87" s="59">
        <v>23.84</v>
      </c>
      <c r="H87" s="59">
        <v>9.18</v>
      </c>
      <c r="I87" s="59">
        <v>0.56999999999999995</v>
      </c>
      <c r="J87" s="59">
        <v>0.24</v>
      </c>
      <c r="K87" s="59">
        <v>218.96</v>
      </c>
      <c r="L87" s="59">
        <v>16.28</v>
      </c>
      <c r="M87" s="59">
        <v>83.05</v>
      </c>
      <c r="N87" s="59">
        <v>4.4000000000000004</v>
      </c>
      <c r="O87" s="59">
        <v>0</v>
      </c>
      <c r="P87" s="59">
        <v>0.62</v>
      </c>
      <c r="Q87" s="59">
        <v>28.91</v>
      </c>
      <c r="R87" s="197"/>
      <c r="S87" s="197"/>
      <c r="T87" s="197"/>
      <c r="U87" s="197"/>
    </row>
    <row r="88" spans="1:26" s="12" customFormat="1" x14ac:dyDescent="0.25">
      <c r="A88" s="200" t="s">
        <v>1960</v>
      </c>
      <c r="B88" s="59">
        <v>12.54</v>
      </c>
      <c r="C88" s="59">
        <v>52.92</v>
      </c>
      <c r="D88" s="59">
        <v>41</v>
      </c>
      <c r="E88" s="59">
        <v>1.38</v>
      </c>
      <c r="F88" s="59">
        <v>1.38</v>
      </c>
      <c r="G88" s="59">
        <v>23.84</v>
      </c>
      <c r="H88" s="59">
        <v>9.18</v>
      </c>
      <c r="I88" s="59">
        <v>0.56999999999999995</v>
      </c>
      <c r="J88" s="59">
        <v>0.06</v>
      </c>
      <c r="K88" s="59">
        <v>331.03</v>
      </c>
      <c r="L88" s="59">
        <v>16.059999999999999</v>
      </c>
      <c r="M88" s="59">
        <v>84.77</v>
      </c>
      <c r="N88" s="59">
        <v>4.8</v>
      </c>
      <c r="O88" s="59">
        <v>0</v>
      </c>
      <c r="P88" s="59">
        <v>0.64</v>
      </c>
      <c r="Q88" s="59">
        <v>28.21</v>
      </c>
      <c r="R88" s="197"/>
      <c r="S88" s="197"/>
      <c r="T88" s="197"/>
      <c r="U88" s="197"/>
    </row>
    <row r="89" spans="1:26" s="12" customFormat="1" x14ac:dyDescent="0.25">
      <c r="A89" s="200" t="s">
        <v>1961</v>
      </c>
      <c r="B89" s="59">
        <v>14.18</v>
      </c>
      <c r="C89" s="59">
        <v>55.55</v>
      </c>
      <c r="D89" s="59">
        <v>43.77</v>
      </c>
      <c r="E89" s="59">
        <v>2.17</v>
      </c>
      <c r="F89" s="59">
        <v>1.03</v>
      </c>
      <c r="G89" s="59">
        <v>23.84</v>
      </c>
      <c r="H89" s="59">
        <v>9.18</v>
      </c>
      <c r="I89" s="59">
        <v>0.56999999999999995</v>
      </c>
      <c r="J89" s="59">
        <v>0.21</v>
      </c>
      <c r="K89" s="59">
        <v>229.2</v>
      </c>
      <c r="L89" s="59">
        <v>16.010000000000002</v>
      </c>
      <c r="M89" s="59">
        <v>85.17</v>
      </c>
      <c r="N89" s="59">
        <v>4.2</v>
      </c>
      <c r="O89" s="59">
        <v>0</v>
      </c>
      <c r="P89" s="59">
        <v>0.68</v>
      </c>
      <c r="Q89" s="59">
        <v>28.28</v>
      </c>
      <c r="R89" s="197"/>
      <c r="S89" s="197"/>
      <c r="T89" s="197"/>
      <c r="U89" s="197"/>
    </row>
    <row r="90" spans="1:26" s="12" customFormat="1" x14ac:dyDescent="0.25">
      <c r="A90" s="200" t="s">
        <v>1962</v>
      </c>
      <c r="B90" s="59">
        <v>15.16</v>
      </c>
      <c r="C90" s="59">
        <v>54.92</v>
      </c>
      <c r="D90" s="59">
        <v>44.2</v>
      </c>
      <c r="E90" s="59">
        <v>2.15</v>
      </c>
      <c r="F90" s="59">
        <v>1.19</v>
      </c>
      <c r="G90" s="59">
        <v>31.08</v>
      </c>
      <c r="H90" s="59">
        <v>9.68</v>
      </c>
      <c r="I90" s="59">
        <v>0.56000000000000005</v>
      </c>
      <c r="J90" s="59">
        <v>0.18</v>
      </c>
      <c r="K90" s="59">
        <v>235.72</v>
      </c>
      <c r="L90" s="59">
        <v>16.07</v>
      </c>
      <c r="M90" s="59">
        <v>84.54</v>
      </c>
      <c r="N90" s="59">
        <v>4.4000000000000004</v>
      </c>
      <c r="O90" s="59">
        <v>0</v>
      </c>
      <c r="P90" s="59">
        <v>0.69</v>
      </c>
      <c r="Q90" s="59">
        <v>27.71</v>
      </c>
      <c r="R90" s="197"/>
      <c r="S90" s="197"/>
      <c r="T90" s="197"/>
      <c r="U90" s="197"/>
    </row>
    <row r="91" spans="1:26" s="12" customFormat="1" x14ac:dyDescent="0.25">
      <c r="A91" s="200" t="s">
        <v>1963</v>
      </c>
      <c r="B91" s="59">
        <v>15.68</v>
      </c>
      <c r="C91" s="59">
        <v>55.37</v>
      </c>
      <c r="D91" s="59">
        <v>44.87</v>
      </c>
      <c r="E91" s="59">
        <v>2.15</v>
      </c>
      <c r="F91" s="59">
        <v>1.23</v>
      </c>
      <c r="G91" s="59">
        <v>32.200000000000003</v>
      </c>
      <c r="H91" s="59">
        <v>9.76</v>
      </c>
      <c r="I91" s="59">
        <v>0.59</v>
      </c>
      <c r="J91" s="59">
        <v>0.38</v>
      </c>
      <c r="K91" s="59">
        <v>238.36</v>
      </c>
      <c r="L91" s="59">
        <v>16.13</v>
      </c>
      <c r="M91" s="59">
        <v>84.25</v>
      </c>
      <c r="N91" s="59">
        <v>4.2</v>
      </c>
      <c r="O91" s="59">
        <v>0</v>
      </c>
      <c r="P91" s="59">
        <v>0.69</v>
      </c>
      <c r="Q91" s="59">
        <v>28.02</v>
      </c>
      <c r="R91" s="197"/>
      <c r="S91" s="197"/>
      <c r="T91" s="197"/>
      <c r="U91" s="197"/>
    </row>
    <row r="92" spans="1:26" s="12" customFormat="1" x14ac:dyDescent="0.25">
      <c r="A92" s="200" t="s">
        <v>1964</v>
      </c>
      <c r="B92" s="59">
        <v>15.82</v>
      </c>
      <c r="C92" s="59">
        <v>54.72</v>
      </c>
      <c r="D92" s="59">
        <v>44.63</v>
      </c>
      <c r="E92" s="59">
        <v>2.4300000000000002</v>
      </c>
      <c r="F92" s="59">
        <v>1.29</v>
      </c>
      <c r="G92" s="59">
        <v>32.200000000000003</v>
      </c>
      <c r="H92" s="59">
        <v>9.76</v>
      </c>
      <c r="I92" s="59">
        <v>0.56000000000000005</v>
      </c>
      <c r="J92" s="59">
        <v>0.6</v>
      </c>
      <c r="K92" s="59">
        <v>211.05</v>
      </c>
      <c r="L92" s="59">
        <v>16.22</v>
      </c>
      <c r="M92" s="59">
        <v>84.59</v>
      </c>
      <c r="N92" s="59">
        <v>4.0999999999999996</v>
      </c>
      <c r="O92" s="59">
        <v>0</v>
      </c>
      <c r="P92" s="59">
        <v>0.69</v>
      </c>
      <c r="Q92" s="59">
        <v>28.2</v>
      </c>
      <c r="R92" s="197"/>
      <c r="S92" s="197"/>
      <c r="T92" s="197"/>
      <c r="U92" s="197"/>
    </row>
    <row r="93" spans="1:26" s="12" customFormat="1" x14ac:dyDescent="0.25">
      <c r="A93" s="200" t="s">
        <v>1965</v>
      </c>
      <c r="B93" s="59">
        <v>15.65</v>
      </c>
      <c r="C93" s="59">
        <v>55.28</v>
      </c>
      <c r="D93" s="59">
        <v>44.8</v>
      </c>
      <c r="E93" s="59">
        <v>2.14</v>
      </c>
      <c r="F93" s="59">
        <v>1.29</v>
      </c>
      <c r="G93" s="59">
        <v>32.200000000000003</v>
      </c>
      <c r="H93" s="59">
        <v>9.76</v>
      </c>
      <c r="I93" s="59">
        <v>0.59</v>
      </c>
      <c r="J93" s="59">
        <v>1.69</v>
      </c>
      <c r="K93" s="59">
        <v>178.29</v>
      </c>
      <c r="L93" s="59">
        <v>16.03</v>
      </c>
      <c r="M93" s="59">
        <v>86.75</v>
      </c>
      <c r="N93" s="59">
        <v>4.7</v>
      </c>
      <c r="O93" s="59">
        <v>0</v>
      </c>
      <c r="P93" s="59">
        <v>0.69</v>
      </c>
      <c r="Q93" s="59">
        <v>27.9</v>
      </c>
      <c r="R93" s="197"/>
      <c r="S93" s="197"/>
      <c r="T93" s="197"/>
      <c r="U93" s="197"/>
    </row>
    <row r="94" spans="1:26" s="12" customFormat="1" x14ac:dyDescent="0.25">
      <c r="A94" s="200" t="s">
        <v>1966</v>
      </c>
      <c r="B94" s="59">
        <v>15.19</v>
      </c>
      <c r="C94" s="59">
        <v>50.52</v>
      </c>
      <c r="D94" s="59">
        <v>41.8</v>
      </c>
      <c r="E94" s="59">
        <v>2.09</v>
      </c>
      <c r="F94" s="59">
        <v>1.41</v>
      </c>
      <c r="G94" s="59">
        <v>29.77</v>
      </c>
      <c r="H94" s="59">
        <v>13.45</v>
      </c>
      <c r="I94" s="59">
        <v>0.56000000000000005</v>
      </c>
      <c r="J94" s="59">
        <v>1.02</v>
      </c>
      <c r="K94" s="59">
        <v>180.26</v>
      </c>
      <c r="L94" s="59">
        <v>15.79</v>
      </c>
      <c r="M94" s="59">
        <v>87.76</v>
      </c>
      <c r="N94" s="59">
        <v>5</v>
      </c>
      <c r="O94" s="59">
        <v>0</v>
      </c>
      <c r="P94" s="59">
        <v>0.68</v>
      </c>
      <c r="Q94" s="59">
        <v>26.64</v>
      </c>
      <c r="R94" s="197"/>
      <c r="S94" s="197"/>
      <c r="T94" s="197"/>
      <c r="U94" s="197"/>
    </row>
    <row r="95" spans="1:26" s="12" customFormat="1" x14ac:dyDescent="0.25">
      <c r="A95" s="200" t="s">
        <v>1967</v>
      </c>
      <c r="B95" s="59">
        <v>14.89</v>
      </c>
      <c r="C95" s="59">
        <v>51.02</v>
      </c>
      <c r="D95" s="59">
        <v>41.84</v>
      </c>
      <c r="E95" s="59">
        <v>2.58</v>
      </c>
      <c r="F95" s="59">
        <v>1.22</v>
      </c>
      <c r="G95" s="59">
        <v>29.4</v>
      </c>
      <c r="H95" s="59">
        <v>14.07</v>
      </c>
      <c r="I95" s="59">
        <v>0.57999999999999996</v>
      </c>
      <c r="J95" s="59">
        <v>0.22</v>
      </c>
      <c r="K95" s="59">
        <v>221.4</v>
      </c>
      <c r="L95" s="59">
        <v>15.64</v>
      </c>
      <c r="M95" s="59">
        <v>87.85</v>
      </c>
      <c r="N95" s="59">
        <v>5</v>
      </c>
      <c r="O95" s="59">
        <v>0</v>
      </c>
      <c r="P95" s="59">
        <v>0.67</v>
      </c>
      <c r="Q95" s="59">
        <v>26.01</v>
      </c>
      <c r="R95" s="197"/>
      <c r="S95" s="197"/>
      <c r="T95" s="197"/>
      <c r="U95" s="197"/>
    </row>
    <row r="96" spans="1:26" s="12" customFormat="1" x14ac:dyDescent="0.25">
      <c r="A96" s="200" t="s">
        <v>1968</v>
      </c>
      <c r="B96" s="59">
        <v>15.47</v>
      </c>
      <c r="C96" s="59">
        <v>53.98</v>
      </c>
      <c r="D96" s="59">
        <v>43.94</v>
      </c>
      <c r="E96" s="59">
        <v>2.15</v>
      </c>
      <c r="F96" s="59">
        <v>1.29</v>
      </c>
      <c r="G96" s="59">
        <v>29.4</v>
      </c>
      <c r="H96" s="59">
        <v>14.07</v>
      </c>
      <c r="I96" s="59">
        <v>0.55000000000000004</v>
      </c>
      <c r="J96" s="59">
        <v>0.41</v>
      </c>
      <c r="K96" s="59">
        <v>17.45</v>
      </c>
      <c r="L96" s="59">
        <v>15.35</v>
      </c>
      <c r="M96" s="59">
        <v>89.04</v>
      </c>
      <c r="N96" s="59">
        <v>4.8</v>
      </c>
      <c r="O96" s="59">
        <v>0</v>
      </c>
      <c r="P96" s="59">
        <v>0.68</v>
      </c>
      <c r="Q96" s="59">
        <v>26.03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1969</v>
      </c>
      <c r="B97" s="59">
        <v>16.72</v>
      </c>
      <c r="C97" s="59">
        <v>55.81</v>
      </c>
      <c r="D97" s="59">
        <v>45.95</v>
      </c>
      <c r="E97" s="59">
        <v>2.34</v>
      </c>
      <c r="F97" s="59">
        <v>1.3</v>
      </c>
      <c r="G97" s="59">
        <v>29.4</v>
      </c>
      <c r="H97" s="59">
        <v>14.07</v>
      </c>
      <c r="I97" s="59">
        <v>0.57999999999999996</v>
      </c>
      <c r="J97" s="59">
        <v>0.31</v>
      </c>
      <c r="K97" s="59">
        <v>10.41</v>
      </c>
      <c r="L97" s="59">
        <v>15.21</v>
      </c>
      <c r="M97" s="59">
        <v>90.36</v>
      </c>
      <c r="N97" s="59">
        <v>4.7</v>
      </c>
      <c r="O97" s="59">
        <v>0</v>
      </c>
      <c r="P97" s="59">
        <v>0.69</v>
      </c>
      <c r="Q97" s="59">
        <v>26.21</v>
      </c>
      <c r="R97" s="197"/>
      <c r="S97" s="197"/>
      <c r="T97" s="197"/>
      <c r="U97" s="197"/>
    </row>
    <row r="98" spans="1:33" s="12" customFormat="1" x14ac:dyDescent="0.25">
      <c r="A98" s="200" t="s">
        <v>1970</v>
      </c>
      <c r="B98" s="59">
        <v>18.48</v>
      </c>
      <c r="C98" s="59">
        <v>57.12</v>
      </c>
      <c r="D98" s="59">
        <v>48.08</v>
      </c>
      <c r="E98" s="59">
        <v>2.25</v>
      </c>
      <c r="F98" s="59">
        <v>1.22</v>
      </c>
      <c r="G98" s="59">
        <v>30.92</v>
      </c>
      <c r="H98" s="59">
        <v>13.46</v>
      </c>
      <c r="I98" s="59">
        <v>0.56999999999999995</v>
      </c>
      <c r="J98" s="59">
        <v>0.23</v>
      </c>
      <c r="K98" s="59">
        <v>357.06</v>
      </c>
      <c r="L98" s="59">
        <v>15.24</v>
      </c>
      <c r="M98" s="59">
        <v>90.12</v>
      </c>
      <c r="N98" s="59">
        <v>4.7</v>
      </c>
      <c r="O98" s="59">
        <v>0</v>
      </c>
      <c r="P98" s="59">
        <v>0.71</v>
      </c>
      <c r="Q98" s="59">
        <v>26.31</v>
      </c>
      <c r="R98" s="197"/>
      <c r="S98" s="197"/>
      <c r="T98" s="197"/>
      <c r="U98" s="197"/>
    </row>
    <row r="99" spans="1:33" s="12" customFormat="1" x14ac:dyDescent="0.25">
      <c r="A99" s="200" t="s">
        <v>1971</v>
      </c>
      <c r="B99" s="59">
        <v>20.37</v>
      </c>
      <c r="C99" s="59">
        <v>57.2</v>
      </c>
      <c r="D99" s="59">
        <v>49.64</v>
      </c>
      <c r="E99" s="59">
        <v>2.4900000000000002</v>
      </c>
      <c r="F99" s="59">
        <v>1.28</v>
      </c>
      <c r="G99" s="59">
        <v>31.16</v>
      </c>
      <c r="H99" s="59">
        <v>13.36</v>
      </c>
      <c r="I99" s="59">
        <v>0.55000000000000004</v>
      </c>
      <c r="J99" s="59">
        <v>0.49</v>
      </c>
      <c r="K99" s="59">
        <v>6.36</v>
      </c>
      <c r="L99" s="59">
        <v>15.29</v>
      </c>
      <c r="M99" s="59">
        <v>89.78</v>
      </c>
      <c r="N99" s="59">
        <v>4.5999999999999996</v>
      </c>
      <c r="O99" s="59">
        <v>0</v>
      </c>
      <c r="P99" s="59">
        <v>0.73</v>
      </c>
      <c r="Q99" s="59">
        <v>26.27</v>
      </c>
      <c r="R99" s="197"/>
      <c r="S99" s="197"/>
      <c r="T99" s="197"/>
      <c r="U99" s="197"/>
    </row>
    <row r="100" spans="1:33" s="12" customFormat="1" x14ac:dyDescent="0.25">
      <c r="A100" s="200" t="s">
        <v>1972</v>
      </c>
      <c r="B100" s="59">
        <v>21.77</v>
      </c>
      <c r="C100" s="59">
        <v>56.73</v>
      </c>
      <c r="D100" s="59">
        <v>50.51</v>
      </c>
      <c r="E100" s="59">
        <v>2.38</v>
      </c>
      <c r="F100" s="59">
        <v>1.18</v>
      </c>
      <c r="G100" s="59">
        <v>31.16</v>
      </c>
      <c r="H100" s="59">
        <v>13.36</v>
      </c>
      <c r="I100" s="59">
        <v>0.57999999999999996</v>
      </c>
      <c r="J100" s="59">
        <v>0.38</v>
      </c>
      <c r="K100" s="59">
        <v>95.2</v>
      </c>
      <c r="L100" s="59">
        <v>15.65</v>
      </c>
      <c r="M100" s="59">
        <v>87.43</v>
      </c>
      <c r="N100" s="59">
        <v>4.5</v>
      </c>
      <c r="O100" s="59">
        <v>0</v>
      </c>
      <c r="P100" s="59">
        <v>0.74</v>
      </c>
      <c r="Q100" s="59">
        <v>26.05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1973</v>
      </c>
      <c r="B101" s="59">
        <v>22.45</v>
      </c>
      <c r="C101" s="59">
        <v>56.01</v>
      </c>
      <c r="D101" s="59">
        <v>50.66</v>
      </c>
      <c r="E101" s="59">
        <v>2.6</v>
      </c>
      <c r="F101" s="59">
        <v>1.28</v>
      </c>
      <c r="G101" s="59">
        <v>31.16</v>
      </c>
      <c r="H101" s="59">
        <v>13.36</v>
      </c>
      <c r="I101" s="59">
        <v>0.55000000000000004</v>
      </c>
      <c r="J101" s="59">
        <v>0.61</v>
      </c>
      <c r="K101" s="59">
        <v>163.75</v>
      </c>
      <c r="L101" s="59">
        <v>16.100000000000001</v>
      </c>
      <c r="M101" s="59">
        <v>83.77</v>
      </c>
      <c r="N101" s="59">
        <v>4.2</v>
      </c>
      <c r="O101" s="59">
        <v>0</v>
      </c>
      <c r="P101" s="59">
        <v>0.73</v>
      </c>
      <c r="Q101" s="59">
        <v>27.41</v>
      </c>
      <c r="R101" s="197"/>
      <c r="S101" s="197"/>
      <c r="T101" s="197"/>
      <c r="U101" s="197"/>
    </row>
    <row r="102" spans="1:33" s="12" customFormat="1" x14ac:dyDescent="0.25">
      <c r="A102" s="200" t="s">
        <v>1974</v>
      </c>
      <c r="B102" s="59">
        <v>21.48</v>
      </c>
      <c r="C102" s="59">
        <v>48.72</v>
      </c>
      <c r="D102" s="59">
        <v>45.85</v>
      </c>
      <c r="E102" s="59">
        <v>2.33</v>
      </c>
      <c r="F102" s="59">
        <v>1.49</v>
      </c>
      <c r="G102" s="59">
        <v>33.32</v>
      </c>
      <c r="H102" s="59">
        <v>12.1</v>
      </c>
      <c r="I102" s="59">
        <v>0.56000000000000005</v>
      </c>
      <c r="J102" s="59">
        <v>0.23</v>
      </c>
      <c r="K102" s="59">
        <v>117.27</v>
      </c>
      <c r="L102" s="59">
        <v>16.260000000000002</v>
      </c>
      <c r="M102" s="59">
        <v>83.03</v>
      </c>
      <c r="N102" s="59">
        <v>4.8</v>
      </c>
      <c r="O102" s="59">
        <v>0</v>
      </c>
      <c r="P102" s="59">
        <v>0.72</v>
      </c>
      <c r="Q102" s="59">
        <v>27.68</v>
      </c>
      <c r="R102" s="197"/>
      <c r="S102" s="197"/>
      <c r="T102" s="197"/>
      <c r="U102" s="197"/>
    </row>
    <row r="103" spans="1:33" s="12" customFormat="1" x14ac:dyDescent="0.25">
      <c r="A103" s="200" t="s">
        <v>1975</v>
      </c>
      <c r="B103" s="59">
        <v>21.32</v>
      </c>
      <c r="C103" s="59">
        <v>52.35</v>
      </c>
      <c r="D103" s="59">
        <v>47.72</v>
      </c>
      <c r="E103" s="59">
        <v>2.2799999999999998</v>
      </c>
      <c r="F103" s="59">
        <v>1.4</v>
      </c>
      <c r="G103" s="59">
        <v>33.65</v>
      </c>
      <c r="H103" s="59">
        <v>11.91</v>
      </c>
      <c r="I103" s="59">
        <v>0.56000000000000005</v>
      </c>
      <c r="J103" s="59">
        <v>0.39</v>
      </c>
      <c r="K103" s="59">
        <v>157.22</v>
      </c>
      <c r="L103" s="59">
        <v>16.239999999999998</v>
      </c>
      <c r="M103" s="59">
        <v>83.79</v>
      </c>
      <c r="N103" s="59">
        <v>4.8</v>
      </c>
      <c r="O103" s="59">
        <v>0</v>
      </c>
      <c r="P103" s="59">
        <v>0.71</v>
      </c>
      <c r="Q103" s="59">
        <v>28.08</v>
      </c>
      <c r="R103" s="197"/>
      <c r="S103" s="197"/>
      <c r="T103" s="197"/>
      <c r="U103" s="197"/>
    </row>
    <row r="104" spans="1:33" s="12" customFormat="1" x14ac:dyDescent="0.25">
      <c r="A104" s="200" t="s">
        <v>1976</v>
      </c>
      <c r="B104" s="59">
        <v>20.65</v>
      </c>
      <c r="C104" s="59">
        <v>52.94</v>
      </c>
      <c r="D104" s="59">
        <v>47.52</v>
      </c>
      <c r="E104" s="59">
        <v>1.52</v>
      </c>
      <c r="F104" s="59">
        <v>1.52</v>
      </c>
      <c r="G104" s="59">
        <v>33.65</v>
      </c>
      <c r="H104" s="59">
        <v>11.91</v>
      </c>
      <c r="I104" s="59">
        <v>0.56999999999999995</v>
      </c>
      <c r="J104" s="59">
        <v>0.32</v>
      </c>
      <c r="K104" s="59">
        <v>176.08</v>
      </c>
      <c r="L104" s="59">
        <v>16.23</v>
      </c>
      <c r="M104" s="59">
        <v>83.76</v>
      </c>
      <c r="N104" s="59">
        <v>4.9000000000000004</v>
      </c>
      <c r="O104" s="59">
        <v>0</v>
      </c>
      <c r="P104" s="59">
        <v>0.7</v>
      </c>
      <c r="Q104" s="59">
        <v>27.64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4.6900000000000004</v>
      </c>
      <c r="C106" s="66">
        <f>MIN(C9:C104)</f>
        <v>48.5</v>
      </c>
      <c r="D106" s="66">
        <f t="shared" ref="D106:Q106" si="0">MIN(D9:D104)</f>
        <v>33.799999999999997</v>
      </c>
      <c r="E106" s="66">
        <f t="shared" si="0"/>
        <v>1.29</v>
      </c>
      <c r="F106" s="66">
        <f t="shared" si="0"/>
        <v>1.03</v>
      </c>
      <c r="G106" s="66">
        <f t="shared" si="0"/>
        <v>15.61</v>
      </c>
      <c r="H106" s="66">
        <f t="shared" si="0"/>
        <v>8.57</v>
      </c>
      <c r="I106" s="66">
        <f t="shared" si="0"/>
        <v>0.47</v>
      </c>
      <c r="J106" s="66">
        <f t="shared" si="0"/>
        <v>0.01</v>
      </c>
      <c r="K106" s="66">
        <f t="shared" si="0"/>
        <v>1.78</v>
      </c>
      <c r="L106" s="66">
        <f t="shared" si="0"/>
        <v>15</v>
      </c>
      <c r="M106" s="66">
        <f t="shared" si="0"/>
        <v>46.44</v>
      </c>
      <c r="N106" s="66">
        <f t="shared" si="0"/>
        <v>4.0999999999999996</v>
      </c>
      <c r="O106" s="66">
        <f t="shared" si="0"/>
        <v>0</v>
      </c>
      <c r="P106" s="66">
        <f t="shared" si="0"/>
        <v>0.54</v>
      </c>
      <c r="Q106" s="66">
        <f t="shared" si="0"/>
        <v>22.37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22.45</v>
      </c>
      <c r="C107" s="65">
        <f t="shared" ref="C107:Q107" si="1">MAX(C9:C104)</f>
        <v>75.5</v>
      </c>
      <c r="D107" s="65">
        <f t="shared" si="1"/>
        <v>52.74</v>
      </c>
      <c r="E107" s="65">
        <f t="shared" si="1"/>
        <v>4.62</v>
      </c>
      <c r="F107" s="65">
        <f t="shared" si="1"/>
        <v>7.78</v>
      </c>
      <c r="G107" s="65">
        <f t="shared" si="1"/>
        <v>89.43</v>
      </c>
      <c r="H107" s="65">
        <f t="shared" si="1"/>
        <v>34.14</v>
      </c>
      <c r="I107" s="65">
        <f t="shared" si="1"/>
        <v>0.59</v>
      </c>
      <c r="J107" s="65">
        <f t="shared" si="1"/>
        <v>4.62</v>
      </c>
      <c r="K107" s="65">
        <f t="shared" si="1"/>
        <v>357.64</v>
      </c>
      <c r="L107" s="65">
        <f t="shared" si="1"/>
        <v>26.27</v>
      </c>
      <c r="M107" s="65">
        <f t="shared" si="1"/>
        <v>91.37</v>
      </c>
      <c r="N107" s="65">
        <f t="shared" si="1"/>
        <v>482.6</v>
      </c>
      <c r="O107" s="65">
        <f t="shared" si="1"/>
        <v>1</v>
      </c>
      <c r="P107" s="65">
        <f t="shared" si="1"/>
        <v>1.05</v>
      </c>
      <c r="Q107" s="65">
        <f t="shared" si="1"/>
        <v>32.25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11.5103125</v>
      </c>
      <c r="C108" s="66">
        <f t="shared" ref="C108:Q108" si="2">AVERAGE(C9:C104)</f>
        <v>56.057604166666692</v>
      </c>
      <c r="D108" s="66">
        <f t="shared" si="2"/>
        <v>41.907812499999999</v>
      </c>
      <c r="E108" s="66">
        <f t="shared" si="2"/>
        <v>2.2569791666666674</v>
      </c>
      <c r="F108" s="66">
        <f t="shared" si="2"/>
        <v>1.9658333333333327</v>
      </c>
      <c r="G108" s="66">
        <f t="shared" si="2"/>
        <v>44.583958333333328</v>
      </c>
      <c r="H108" s="66">
        <f t="shared" si="2"/>
        <v>18.643645833333334</v>
      </c>
      <c r="I108" s="66">
        <f t="shared" si="2"/>
        <v>0.55010416666666673</v>
      </c>
      <c r="J108" s="66">
        <f t="shared" si="2"/>
        <v>0.88562499999999933</v>
      </c>
      <c r="K108" s="66">
        <f t="shared" si="2"/>
        <v>134.53843750000004</v>
      </c>
      <c r="L108" s="66">
        <f t="shared" si="2"/>
        <v>18.559479166666666</v>
      </c>
      <c r="M108" s="66">
        <f t="shared" si="2"/>
        <v>71.936979166666688</v>
      </c>
      <c r="N108" s="66">
        <f t="shared" si="2"/>
        <v>73.859374999999986</v>
      </c>
      <c r="O108" s="66">
        <f t="shared" si="2"/>
        <v>3.7500000000000006E-2</v>
      </c>
      <c r="P108" s="66">
        <f t="shared" si="2"/>
        <v>0.72999999999999987</v>
      </c>
      <c r="Q108" s="66">
        <f t="shared" si="2"/>
        <v>27.504375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4.172683713750664</v>
      </c>
      <c r="C109" s="66">
        <f t="shared" ref="C109:Q109" si="3">STDEV(C9:C104)</f>
        <v>4.9241548021311106</v>
      </c>
      <c r="D109" s="66">
        <f t="shared" si="3"/>
        <v>4.7296727834130579</v>
      </c>
      <c r="E109" s="66">
        <f t="shared" si="3"/>
        <v>0.64780783341596271</v>
      </c>
      <c r="F109" s="66">
        <f t="shared" si="3"/>
        <v>1.1181730086140456</v>
      </c>
      <c r="G109" s="66">
        <f t="shared" si="3"/>
        <v>18.820059481933338</v>
      </c>
      <c r="H109" s="66">
        <f t="shared" si="3"/>
        <v>7.2402804714199291</v>
      </c>
      <c r="I109" s="66">
        <f t="shared" si="3"/>
        <v>2.3951476898388425E-2</v>
      </c>
      <c r="J109" s="66">
        <f t="shared" si="3"/>
        <v>0.91950308376461332</v>
      </c>
      <c r="K109" s="66">
        <f t="shared" si="3"/>
        <v>107.61953491549579</v>
      </c>
      <c r="L109" s="66">
        <f t="shared" si="3"/>
        <v>2.7654440472569584</v>
      </c>
      <c r="M109" s="66">
        <f t="shared" si="3"/>
        <v>12.81595363680019</v>
      </c>
      <c r="N109" s="66">
        <f t="shared" si="3"/>
        <v>119.56755903815264</v>
      </c>
      <c r="O109" s="66">
        <f t="shared" si="3"/>
        <v>0.17244373605690397</v>
      </c>
      <c r="P109" s="66">
        <f t="shared" si="3"/>
        <v>0.10340518158655242</v>
      </c>
      <c r="Q109" s="66">
        <f t="shared" si="3"/>
        <v>2.5105758670493366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7" sqref="N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19-03-2023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1977</v>
      </c>
      <c r="B9" s="59">
        <v>19.739999999999998</v>
      </c>
      <c r="C9" s="59">
        <v>52.54</v>
      </c>
      <c r="D9" s="59">
        <v>46.56</v>
      </c>
      <c r="E9" s="59">
        <v>2.77</v>
      </c>
      <c r="F9" s="59">
        <v>1.44</v>
      </c>
      <c r="G9" s="59">
        <v>33.65</v>
      </c>
      <c r="H9" s="59">
        <v>11.91</v>
      </c>
      <c r="I9" s="59">
        <v>0.6</v>
      </c>
      <c r="J9" s="59">
        <v>0.52</v>
      </c>
      <c r="K9" s="59">
        <v>173.28</v>
      </c>
      <c r="L9" s="59">
        <v>16.32</v>
      </c>
      <c r="M9" s="59">
        <v>83.23</v>
      </c>
      <c r="N9" s="59">
        <v>4.9000000000000004</v>
      </c>
      <c r="O9" s="59">
        <v>0</v>
      </c>
      <c r="P9" s="59">
        <v>0.68</v>
      </c>
      <c r="Q9" s="59">
        <v>27.69</v>
      </c>
      <c r="R9" s="197"/>
      <c r="S9" s="197"/>
      <c r="T9" s="197"/>
      <c r="U9" s="197"/>
    </row>
    <row r="10" spans="1:21" s="12" customFormat="1" x14ac:dyDescent="0.25">
      <c r="A10" s="200" t="s">
        <v>1978</v>
      </c>
      <c r="B10" s="59">
        <v>18.93</v>
      </c>
      <c r="C10" s="59">
        <v>51.18</v>
      </c>
      <c r="D10" s="59">
        <v>45.17</v>
      </c>
      <c r="E10" s="59">
        <v>2.4500000000000002</v>
      </c>
      <c r="F10" s="59">
        <v>1.51</v>
      </c>
      <c r="G10" s="59">
        <v>30.59</v>
      </c>
      <c r="H10" s="59">
        <v>14.2</v>
      </c>
      <c r="I10" s="59">
        <v>0.59</v>
      </c>
      <c r="J10" s="59">
        <v>0.48</v>
      </c>
      <c r="K10" s="59">
        <v>162.05000000000001</v>
      </c>
      <c r="L10" s="59">
        <v>16.22</v>
      </c>
      <c r="M10" s="59">
        <v>84.03</v>
      </c>
      <c r="N10" s="59">
        <v>5.0999999999999996</v>
      </c>
      <c r="O10" s="59">
        <v>0</v>
      </c>
      <c r="P10" s="59">
        <v>0.67</v>
      </c>
      <c r="Q10" s="59">
        <v>27.49</v>
      </c>
      <c r="R10" s="197"/>
      <c r="S10" s="197"/>
      <c r="T10" s="197"/>
      <c r="U10" s="197"/>
    </row>
    <row r="11" spans="1:21" s="12" customFormat="1" x14ac:dyDescent="0.25">
      <c r="A11" s="200" t="s">
        <v>1979</v>
      </c>
      <c r="B11" s="59">
        <v>18.16</v>
      </c>
      <c r="C11" s="59">
        <v>52.88</v>
      </c>
      <c r="D11" s="59">
        <v>45.48</v>
      </c>
      <c r="E11" s="59">
        <v>2.67</v>
      </c>
      <c r="F11" s="59">
        <v>1.46</v>
      </c>
      <c r="G11" s="59">
        <v>30.12</v>
      </c>
      <c r="H11" s="59">
        <v>14.55</v>
      </c>
      <c r="I11" s="59">
        <v>0.56000000000000005</v>
      </c>
      <c r="J11" s="59">
        <v>0.27</v>
      </c>
      <c r="K11" s="59">
        <v>161.78</v>
      </c>
      <c r="L11" s="59">
        <v>16.13</v>
      </c>
      <c r="M11" s="59">
        <v>84.66</v>
      </c>
      <c r="N11" s="59">
        <v>5</v>
      </c>
      <c r="O11" s="59">
        <v>0</v>
      </c>
      <c r="P11" s="59">
        <v>0.66</v>
      </c>
      <c r="Q11" s="59">
        <v>27.36</v>
      </c>
      <c r="R11" s="197"/>
      <c r="S11" s="197"/>
      <c r="T11" s="197"/>
      <c r="U11" s="197"/>
    </row>
    <row r="12" spans="1:21" s="12" customFormat="1" x14ac:dyDescent="0.25">
      <c r="A12" s="200" t="s">
        <v>1980</v>
      </c>
      <c r="B12" s="59">
        <v>17.440000000000001</v>
      </c>
      <c r="C12" s="59">
        <v>52.36</v>
      </c>
      <c r="D12" s="59">
        <v>44.63</v>
      </c>
      <c r="E12" s="59">
        <v>2.67</v>
      </c>
      <c r="F12" s="59">
        <v>1.24</v>
      </c>
      <c r="G12" s="59">
        <v>30.12</v>
      </c>
      <c r="H12" s="59">
        <v>14.55</v>
      </c>
      <c r="I12" s="59">
        <v>0.57999999999999996</v>
      </c>
      <c r="J12" s="59">
        <v>0.35</v>
      </c>
      <c r="K12" s="59">
        <v>134.33000000000001</v>
      </c>
      <c r="L12" s="59">
        <v>16.149999999999999</v>
      </c>
      <c r="M12" s="59">
        <v>84.42</v>
      </c>
      <c r="N12" s="59">
        <v>5</v>
      </c>
      <c r="O12" s="59">
        <v>0</v>
      </c>
      <c r="P12" s="59">
        <v>0.64</v>
      </c>
      <c r="Q12" s="59">
        <v>26.77</v>
      </c>
      <c r="R12" s="197"/>
      <c r="S12" s="197"/>
      <c r="T12" s="197"/>
      <c r="U12" s="197"/>
    </row>
    <row r="13" spans="1:21" s="12" customFormat="1" x14ac:dyDescent="0.25">
      <c r="A13" s="200" t="s">
        <v>1981</v>
      </c>
      <c r="B13" s="59">
        <v>16.93</v>
      </c>
      <c r="C13" s="59">
        <v>53.46</v>
      </c>
      <c r="D13" s="59">
        <v>44.82</v>
      </c>
      <c r="E13" s="59">
        <v>2.72</v>
      </c>
      <c r="F13" s="59">
        <v>1.1299999999999999</v>
      </c>
      <c r="G13" s="59">
        <v>30.12</v>
      </c>
      <c r="H13" s="59">
        <v>14.55</v>
      </c>
      <c r="I13" s="59">
        <v>0.56000000000000005</v>
      </c>
      <c r="J13" s="59">
        <v>0.4</v>
      </c>
      <c r="K13" s="59">
        <v>98.73</v>
      </c>
      <c r="L13" s="59">
        <v>16.190000000000001</v>
      </c>
      <c r="M13" s="59">
        <v>84.35</v>
      </c>
      <c r="N13" s="59">
        <v>5</v>
      </c>
      <c r="O13" s="59">
        <v>0</v>
      </c>
      <c r="P13" s="59">
        <v>0.62</v>
      </c>
      <c r="Q13" s="59">
        <v>26.78</v>
      </c>
      <c r="R13" s="197"/>
      <c r="S13" s="197"/>
      <c r="T13" s="197"/>
      <c r="U13" s="197"/>
    </row>
    <row r="14" spans="1:21" s="12" customFormat="1" x14ac:dyDescent="0.25">
      <c r="A14" s="200" t="s">
        <v>1982</v>
      </c>
      <c r="B14" s="59">
        <v>16.61</v>
      </c>
      <c r="C14" s="59">
        <v>53.16</v>
      </c>
      <c r="D14" s="59">
        <v>44.4</v>
      </c>
      <c r="E14" s="59">
        <v>2.92</v>
      </c>
      <c r="F14" s="59">
        <v>1.42</v>
      </c>
      <c r="G14" s="59">
        <v>28.81</v>
      </c>
      <c r="H14" s="59">
        <v>13.69</v>
      </c>
      <c r="I14" s="59">
        <v>0.56000000000000005</v>
      </c>
      <c r="J14" s="59">
        <v>0.39</v>
      </c>
      <c r="K14" s="59">
        <v>121.42</v>
      </c>
      <c r="L14" s="59">
        <v>16.38</v>
      </c>
      <c r="M14" s="59">
        <v>83.46</v>
      </c>
      <c r="N14" s="59">
        <v>5</v>
      </c>
      <c r="O14" s="59">
        <v>0</v>
      </c>
      <c r="P14" s="59">
        <v>0.61</v>
      </c>
      <c r="Q14" s="59">
        <v>26.91</v>
      </c>
      <c r="R14" s="197"/>
      <c r="S14" s="197"/>
      <c r="T14" s="197"/>
      <c r="U14" s="197"/>
    </row>
    <row r="15" spans="1:21" s="12" customFormat="1" x14ac:dyDescent="0.25">
      <c r="A15" s="200" t="s">
        <v>1983</v>
      </c>
      <c r="B15" s="59">
        <v>16.29</v>
      </c>
      <c r="C15" s="59">
        <v>52.46</v>
      </c>
      <c r="D15" s="59">
        <v>43.75</v>
      </c>
      <c r="E15" s="59">
        <v>2.68</v>
      </c>
      <c r="F15" s="59">
        <v>1.37</v>
      </c>
      <c r="G15" s="59">
        <v>28.59</v>
      </c>
      <c r="H15" s="59">
        <v>13.54</v>
      </c>
      <c r="I15" s="59">
        <v>0.56000000000000005</v>
      </c>
      <c r="J15" s="59">
        <v>0.65</v>
      </c>
      <c r="K15" s="59">
        <v>104.19</v>
      </c>
      <c r="L15" s="59">
        <v>16.48</v>
      </c>
      <c r="M15" s="59">
        <v>83.48</v>
      </c>
      <c r="N15" s="59">
        <v>5</v>
      </c>
      <c r="O15" s="59">
        <v>0</v>
      </c>
      <c r="P15" s="59">
        <v>0.61</v>
      </c>
      <c r="Q15" s="59">
        <v>27.44</v>
      </c>
      <c r="R15" s="197"/>
      <c r="S15" s="197"/>
      <c r="T15" s="197"/>
      <c r="U15" s="197"/>
    </row>
    <row r="16" spans="1:21" s="12" customFormat="1" x14ac:dyDescent="0.25">
      <c r="A16" s="200" t="s">
        <v>1984</v>
      </c>
      <c r="B16" s="59">
        <v>16.07</v>
      </c>
      <c r="C16" s="59">
        <v>51.93</v>
      </c>
      <c r="D16" s="59">
        <v>43.29</v>
      </c>
      <c r="E16" s="59">
        <v>2.57</v>
      </c>
      <c r="F16" s="59">
        <v>1.38</v>
      </c>
      <c r="G16" s="59">
        <v>28.59</v>
      </c>
      <c r="H16" s="59">
        <v>13.54</v>
      </c>
      <c r="I16" s="59">
        <v>0.56000000000000005</v>
      </c>
      <c r="J16" s="59">
        <v>1.37</v>
      </c>
      <c r="K16" s="59">
        <v>102.53</v>
      </c>
      <c r="L16" s="59">
        <v>16.46</v>
      </c>
      <c r="M16" s="59">
        <v>83.41</v>
      </c>
      <c r="N16" s="59">
        <v>5.0999999999999996</v>
      </c>
      <c r="O16" s="59">
        <v>0</v>
      </c>
      <c r="P16" s="59">
        <v>0.6</v>
      </c>
      <c r="Q16" s="59">
        <v>28.46</v>
      </c>
      <c r="R16" s="197"/>
      <c r="S16" s="197"/>
      <c r="T16" s="197"/>
      <c r="U16" s="197"/>
    </row>
    <row r="17" spans="1:21" s="12" customFormat="1" x14ac:dyDescent="0.25">
      <c r="A17" s="200" t="s">
        <v>1985</v>
      </c>
      <c r="B17" s="59">
        <v>15.73</v>
      </c>
      <c r="C17" s="59">
        <v>51.68</v>
      </c>
      <c r="D17" s="59">
        <v>42.88</v>
      </c>
      <c r="E17" s="59">
        <v>2.8</v>
      </c>
      <c r="F17" s="59">
        <v>1.44</v>
      </c>
      <c r="G17" s="59">
        <v>28.59</v>
      </c>
      <c r="H17" s="59">
        <v>13.54</v>
      </c>
      <c r="I17" s="59">
        <v>0.56000000000000005</v>
      </c>
      <c r="J17" s="59">
        <v>1.34</v>
      </c>
      <c r="K17" s="59">
        <v>106.73</v>
      </c>
      <c r="L17" s="59">
        <v>16.36</v>
      </c>
      <c r="M17" s="59">
        <v>84.49</v>
      </c>
      <c r="N17" s="59">
        <v>5</v>
      </c>
      <c r="O17" s="59">
        <v>0</v>
      </c>
      <c r="P17" s="59">
        <v>0.57999999999999996</v>
      </c>
      <c r="Q17" s="59">
        <v>29.54</v>
      </c>
      <c r="R17" s="197"/>
      <c r="S17" s="197"/>
      <c r="T17" s="197"/>
      <c r="U17" s="197"/>
    </row>
    <row r="18" spans="1:21" s="12" customFormat="1" x14ac:dyDescent="0.25">
      <c r="A18" s="200" t="s">
        <v>1986</v>
      </c>
      <c r="B18" s="59">
        <v>15.52</v>
      </c>
      <c r="C18" s="59">
        <v>51.42</v>
      </c>
      <c r="D18" s="59">
        <v>42.56</v>
      </c>
      <c r="E18" s="59">
        <v>2.86</v>
      </c>
      <c r="F18" s="59">
        <v>1.5</v>
      </c>
      <c r="G18" s="59">
        <v>26.91</v>
      </c>
      <c r="H18" s="59">
        <v>13.5</v>
      </c>
      <c r="I18" s="59">
        <v>0.56000000000000005</v>
      </c>
      <c r="J18" s="59">
        <v>1.1200000000000001</v>
      </c>
      <c r="K18" s="59">
        <v>111.84</v>
      </c>
      <c r="L18" s="59">
        <v>16.23</v>
      </c>
      <c r="M18" s="59">
        <v>85.74</v>
      </c>
      <c r="N18" s="59">
        <v>5</v>
      </c>
      <c r="O18" s="59">
        <v>0</v>
      </c>
      <c r="P18" s="59">
        <v>0.56999999999999995</v>
      </c>
      <c r="Q18" s="59">
        <v>29.71</v>
      </c>
      <c r="R18" s="197"/>
      <c r="S18" s="197"/>
      <c r="T18" s="197"/>
      <c r="U18" s="197"/>
    </row>
    <row r="19" spans="1:21" s="12" customFormat="1" x14ac:dyDescent="0.25">
      <c r="A19" s="200" t="s">
        <v>1987</v>
      </c>
      <c r="B19" s="59">
        <v>15.33</v>
      </c>
      <c r="C19" s="59">
        <v>49.54</v>
      </c>
      <c r="D19" s="59">
        <v>41.38</v>
      </c>
      <c r="E19" s="59">
        <v>3.14</v>
      </c>
      <c r="F19" s="59">
        <v>1.37</v>
      </c>
      <c r="G19" s="59">
        <v>26.62</v>
      </c>
      <c r="H19" s="59">
        <v>13.49</v>
      </c>
      <c r="I19" s="59">
        <v>0.56999999999999995</v>
      </c>
      <c r="J19" s="59">
        <v>1.21</v>
      </c>
      <c r="K19" s="59">
        <v>100.6</v>
      </c>
      <c r="L19" s="59">
        <v>16.2</v>
      </c>
      <c r="M19" s="59">
        <v>85.74</v>
      </c>
      <c r="N19" s="59">
        <v>4.9000000000000004</v>
      </c>
      <c r="O19" s="59">
        <v>0</v>
      </c>
      <c r="P19" s="59">
        <v>0.56000000000000005</v>
      </c>
      <c r="Q19" s="59">
        <v>31.35</v>
      </c>
      <c r="R19" s="197"/>
      <c r="S19" s="197"/>
      <c r="T19" s="197"/>
      <c r="U19" s="197"/>
    </row>
    <row r="20" spans="1:21" s="12" customFormat="1" x14ac:dyDescent="0.25">
      <c r="A20" s="200" t="s">
        <v>1988</v>
      </c>
      <c r="B20" s="59">
        <v>15.09</v>
      </c>
      <c r="C20" s="59">
        <v>44.67</v>
      </c>
      <c r="D20" s="59">
        <v>38.49</v>
      </c>
      <c r="E20" s="59">
        <v>2.81</v>
      </c>
      <c r="F20" s="59">
        <v>1.23</v>
      </c>
      <c r="G20" s="59">
        <v>26.62</v>
      </c>
      <c r="H20" s="59">
        <v>13.49</v>
      </c>
      <c r="I20" s="59">
        <v>0.56000000000000005</v>
      </c>
      <c r="J20" s="59">
        <v>0.82</v>
      </c>
      <c r="K20" s="59">
        <v>96.31</v>
      </c>
      <c r="L20" s="59">
        <v>16.2</v>
      </c>
      <c r="M20" s="59">
        <v>85.73</v>
      </c>
      <c r="N20" s="59">
        <v>5</v>
      </c>
      <c r="O20" s="59">
        <v>0</v>
      </c>
      <c r="P20" s="59">
        <v>0.55000000000000004</v>
      </c>
      <c r="Q20" s="59">
        <v>34.28</v>
      </c>
      <c r="R20" s="197"/>
      <c r="S20" s="197"/>
      <c r="T20" s="197"/>
      <c r="U20" s="197"/>
    </row>
    <row r="21" spans="1:21" s="12" customFormat="1" x14ac:dyDescent="0.25">
      <c r="A21" s="200" t="s">
        <v>1989</v>
      </c>
      <c r="B21" s="59">
        <v>14.79</v>
      </c>
      <c r="C21" s="59">
        <v>46.03</v>
      </c>
      <c r="D21" s="59">
        <v>39</v>
      </c>
      <c r="E21" s="59">
        <v>2.93</v>
      </c>
      <c r="F21" s="59">
        <v>1.38</v>
      </c>
      <c r="G21" s="59">
        <v>26.62</v>
      </c>
      <c r="H21" s="59">
        <v>13.49</v>
      </c>
      <c r="I21" s="59">
        <v>0.56999999999999995</v>
      </c>
      <c r="J21" s="59">
        <v>0.35</v>
      </c>
      <c r="K21" s="59">
        <v>74.41</v>
      </c>
      <c r="L21" s="59">
        <v>16.14</v>
      </c>
      <c r="M21" s="59">
        <v>86.52</v>
      </c>
      <c r="N21" s="59">
        <v>5</v>
      </c>
      <c r="O21" s="59">
        <v>0</v>
      </c>
      <c r="P21" s="59">
        <v>0.54</v>
      </c>
      <c r="Q21" s="59">
        <v>32.770000000000003</v>
      </c>
      <c r="R21" s="197"/>
      <c r="S21" s="197"/>
      <c r="T21" s="197"/>
      <c r="U21" s="197"/>
    </row>
    <row r="22" spans="1:21" s="12" customFormat="1" x14ac:dyDescent="0.25">
      <c r="A22" s="200" t="s">
        <v>1990</v>
      </c>
      <c r="B22" s="59">
        <v>14.64</v>
      </c>
      <c r="C22" s="59">
        <v>46.38</v>
      </c>
      <c r="D22" s="59">
        <v>39.08</v>
      </c>
      <c r="E22" s="59">
        <v>2.46</v>
      </c>
      <c r="F22" s="59">
        <v>1.32</v>
      </c>
      <c r="G22" s="59">
        <v>23.37</v>
      </c>
      <c r="H22" s="59">
        <v>11.63</v>
      </c>
      <c r="I22" s="59">
        <v>0.56999999999999995</v>
      </c>
      <c r="J22" s="59">
        <v>0.31</v>
      </c>
      <c r="K22" s="59">
        <v>66.41</v>
      </c>
      <c r="L22" s="59">
        <v>16.010000000000002</v>
      </c>
      <c r="M22" s="59">
        <v>87.49</v>
      </c>
      <c r="N22" s="59">
        <v>5</v>
      </c>
      <c r="O22" s="59">
        <v>0</v>
      </c>
      <c r="P22" s="59">
        <v>0.53</v>
      </c>
      <c r="Q22" s="59">
        <v>31.6</v>
      </c>
      <c r="R22" s="197"/>
      <c r="S22" s="197"/>
      <c r="T22" s="197"/>
      <c r="U22" s="197"/>
    </row>
    <row r="23" spans="1:21" s="12" customFormat="1" x14ac:dyDescent="0.25">
      <c r="A23" s="200" t="s">
        <v>1991</v>
      </c>
      <c r="B23" s="59">
        <v>14.58</v>
      </c>
      <c r="C23" s="59">
        <v>47.62</v>
      </c>
      <c r="D23" s="59">
        <v>39.71</v>
      </c>
      <c r="E23" s="59">
        <v>2.76</v>
      </c>
      <c r="F23" s="59">
        <v>1.22</v>
      </c>
      <c r="G23" s="59">
        <v>22.82</v>
      </c>
      <c r="H23" s="59">
        <v>11.32</v>
      </c>
      <c r="I23" s="59">
        <v>0.56000000000000005</v>
      </c>
      <c r="J23" s="59">
        <v>0.25</v>
      </c>
      <c r="K23" s="59">
        <v>29.2</v>
      </c>
      <c r="L23" s="59">
        <v>15.96</v>
      </c>
      <c r="M23" s="59">
        <v>88.28</v>
      </c>
      <c r="N23" s="59">
        <v>5</v>
      </c>
      <c r="O23" s="59">
        <v>0</v>
      </c>
      <c r="P23" s="59">
        <v>0.53</v>
      </c>
      <c r="Q23" s="59">
        <v>31.58</v>
      </c>
      <c r="R23" s="197"/>
      <c r="S23" s="197"/>
      <c r="T23" s="197"/>
      <c r="U23" s="197"/>
    </row>
    <row r="24" spans="1:21" s="12" customFormat="1" x14ac:dyDescent="0.25">
      <c r="A24" s="200" t="s">
        <v>1992</v>
      </c>
      <c r="B24" s="59">
        <v>14.62</v>
      </c>
      <c r="C24" s="59">
        <v>47.25</v>
      </c>
      <c r="D24" s="59">
        <v>39.54</v>
      </c>
      <c r="E24" s="59">
        <v>0.45</v>
      </c>
      <c r="F24" s="59">
        <v>1.18</v>
      </c>
      <c r="G24" s="59">
        <v>22.82</v>
      </c>
      <c r="H24" s="59">
        <v>11.32</v>
      </c>
      <c r="I24" s="59">
        <v>0.56999999999999995</v>
      </c>
      <c r="J24" s="59">
        <v>0.92</v>
      </c>
      <c r="K24" s="59">
        <v>18.53</v>
      </c>
      <c r="L24" s="59">
        <v>15.98</v>
      </c>
      <c r="M24" s="59">
        <v>88.97</v>
      </c>
      <c r="N24" s="59">
        <v>4.8</v>
      </c>
      <c r="O24" s="59">
        <v>0</v>
      </c>
      <c r="P24" s="59">
        <v>0.52</v>
      </c>
      <c r="Q24" s="59">
        <v>30.87</v>
      </c>
      <c r="R24" s="197"/>
      <c r="S24" s="197"/>
      <c r="T24" s="197"/>
      <c r="U24" s="197"/>
    </row>
    <row r="25" spans="1:21" s="12" customFormat="1" x14ac:dyDescent="0.25">
      <c r="A25" s="200" t="s">
        <v>1993</v>
      </c>
      <c r="B25" s="59">
        <v>14.82</v>
      </c>
      <c r="C25" s="59">
        <v>47.02</v>
      </c>
      <c r="D25" s="59">
        <v>39.58</v>
      </c>
      <c r="E25" s="59">
        <v>1.31</v>
      </c>
      <c r="F25" s="59">
        <v>1.23</v>
      </c>
      <c r="G25" s="59">
        <v>22.82</v>
      </c>
      <c r="H25" s="59">
        <v>11.32</v>
      </c>
      <c r="I25" s="59">
        <v>0.55000000000000004</v>
      </c>
      <c r="J25" s="59">
        <v>1.39</v>
      </c>
      <c r="K25" s="59">
        <v>16.72</v>
      </c>
      <c r="L25" s="59">
        <v>15.85</v>
      </c>
      <c r="M25" s="59">
        <v>89.72</v>
      </c>
      <c r="N25" s="59">
        <v>5.2</v>
      </c>
      <c r="O25" s="59">
        <v>0</v>
      </c>
      <c r="P25" s="59">
        <v>0.52</v>
      </c>
      <c r="Q25" s="59">
        <v>29.92</v>
      </c>
      <c r="R25" s="197"/>
      <c r="S25" s="197"/>
      <c r="T25" s="197"/>
      <c r="U25" s="197"/>
    </row>
    <row r="26" spans="1:21" s="12" customFormat="1" x14ac:dyDescent="0.25">
      <c r="A26" s="200" t="s">
        <v>1994</v>
      </c>
      <c r="B26" s="59">
        <v>15.25</v>
      </c>
      <c r="C26" s="59">
        <v>48.12</v>
      </c>
      <c r="D26" s="59">
        <v>40.520000000000003</v>
      </c>
      <c r="E26" s="59">
        <v>1.81</v>
      </c>
      <c r="F26" s="59">
        <v>1.36</v>
      </c>
      <c r="G26" s="59">
        <v>24.37</v>
      </c>
      <c r="H26" s="59">
        <v>11.87</v>
      </c>
      <c r="I26" s="59">
        <v>0.56000000000000005</v>
      </c>
      <c r="J26" s="59">
        <v>1.1299999999999999</v>
      </c>
      <c r="K26" s="59">
        <v>15.56</v>
      </c>
      <c r="L26" s="59">
        <v>15.68</v>
      </c>
      <c r="M26" s="59">
        <v>89.96</v>
      </c>
      <c r="N26" s="59">
        <v>5</v>
      </c>
      <c r="O26" s="59">
        <v>0</v>
      </c>
      <c r="P26" s="59">
        <v>0.52</v>
      </c>
      <c r="Q26" s="59">
        <v>28.17</v>
      </c>
      <c r="R26" s="197"/>
      <c r="S26" s="197"/>
      <c r="T26" s="197"/>
      <c r="U26" s="197"/>
    </row>
    <row r="27" spans="1:21" s="12" customFormat="1" x14ac:dyDescent="0.25">
      <c r="A27" s="200" t="s">
        <v>1995</v>
      </c>
      <c r="B27" s="59">
        <v>15.42</v>
      </c>
      <c r="C27" s="59">
        <v>49.17</v>
      </c>
      <c r="D27" s="59">
        <v>41.24</v>
      </c>
      <c r="E27" s="59">
        <v>1.99</v>
      </c>
      <c r="F27" s="59">
        <v>1.2</v>
      </c>
      <c r="G27" s="59">
        <v>24.63</v>
      </c>
      <c r="H27" s="59">
        <v>11.96</v>
      </c>
      <c r="I27" s="59">
        <v>0.56000000000000005</v>
      </c>
      <c r="J27" s="59">
        <v>0.28000000000000003</v>
      </c>
      <c r="K27" s="59">
        <v>43.45</v>
      </c>
      <c r="L27" s="59">
        <v>15.57</v>
      </c>
      <c r="M27" s="59">
        <v>89.72</v>
      </c>
      <c r="N27" s="59">
        <v>5</v>
      </c>
      <c r="O27" s="59">
        <v>0</v>
      </c>
      <c r="P27" s="59">
        <v>0.52</v>
      </c>
      <c r="Q27" s="59">
        <v>28.98</v>
      </c>
      <c r="R27" s="197"/>
      <c r="S27" s="197"/>
      <c r="T27" s="197"/>
      <c r="U27" s="197"/>
    </row>
    <row r="28" spans="1:21" s="12" customFormat="1" x14ac:dyDescent="0.25">
      <c r="A28" s="200" t="s">
        <v>1996</v>
      </c>
      <c r="B28" s="59">
        <v>15.77</v>
      </c>
      <c r="C28" s="59">
        <v>49.7</v>
      </c>
      <c r="D28" s="59">
        <v>41.81</v>
      </c>
      <c r="E28" s="59">
        <v>1.81</v>
      </c>
      <c r="F28" s="59">
        <v>1.21</v>
      </c>
      <c r="G28" s="59">
        <v>24.63</v>
      </c>
      <c r="H28" s="59">
        <v>11.96</v>
      </c>
      <c r="I28" s="59">
        <v>0.56999999999999995</v>
      </c>
      <c r="J28" s="59">
        <v>0.34</v>
      </c>
      <c r="K28" s="59">
        <v>82.81</v>
      </c>
      <c r="L28" s="59">
        <v>15.44</v>
      </c>
      <c r="M28" s="59">
        <v>90.04</v>
      </c>
      <c r="N28" s="59">
        <v>4.8</v>
      </c>
      <c r="O28" s="59">
        <v>0</v>
      </c>
      <c r="P28" s="59">
        <v>0.53</v>
      </c>
      <c r="Q28" s="59">
        <v>28.83</v>
      </c>
      <c r="R28" s="197"/>
      <c r="S28" s="197"/>
      <c r="T28" s="197"/>
      <c r="U28" s="197"/>
    </row>
    <row r="29" spans="1:21" s="12" customFormat="1" x14ac:dyDescent="0.25">
      <c r="A29" s="200" t="s">
        <v>1997</v>
      </c>
      <c r="B29" s="59">
        <v>16.2</v>
      </c>
      <c r="C29" s="59">
        <v>49.36</v>
      </c>
      <c r="D29" s="59">
        <v>41.97</v>
      </c>
      <c r="E29" s="59">
        <v>1.84</v>
      </c>
      <c r="F29" s="59">
        <v>1.27</v>
      </c>
      <c r="G29" s="59">
        <v>24.63</v>
      </c>
      <c r="H29" s="59">
        <v>11.96</v>
      </c>
      <c r="I29" s="59">
        <v>0.55000000000000004</v>
      </c>
      <c r="J29" s="59">
        <v>0.34</v>
      </c>
      <c r="K29" s="59">
        <v>100.69</v>
      </c>
      <c r="L29" s="59">
        <v>15.46</v>
      </c>
      <c r="M29" s="59">
        <v>90.32</v>
      </c>
      <c r="N29" s="59">
        <v>4.7</v>
      </c>
      <c r="O29" s="59">
        <v>0</v>
      </c>
      <c r="P29" s="59">
        <v>0.53</v>
      </c>
      <c r="Q29" s="59">
        <v>29.49</v>
      </c>
      <c r="R29" s="197"/>
      <c r="S29" s="197"/>
      <c r="T29" s="197"/>
      <c r="U29" s="197"/>
    </row>
    <row r="30" spans="1:21" s="12" customFormat="1" x14ac:dyDescent="0.25">
      <c r="A30" s="200" t="s">
        <v>1998</v>
      </c>
      <c r="B30" s="59">
        <v>16.62</v>
      </c>
      <c r="C30" s="59">
        <v>49.25</v>
      </c>
      <c r="D30" s="59">
        <v>42.25</v>
      </c>
      <c r="E30" s="59">
        <v>2</v>
      </c>
      <c r="F30" s="59">
        <v>1.17</v>
      </c>
      <c r="G30" s="59">
        <v>26.78</v>
      </c>
      <c r="H30" s="59">
        <v>13.66</v>
      </c>
      <c r="I30" s="59">
        <v>0.56999999999999995</v>
      </c>
      <c r="J30" s="59">
        <v>0.23</v>
      </c>
      <c r="K30" s="59">
        <v>87.26</v>
      </c>
      <c r="L30" s="59">
        <v>15.64</v>
      </c>
      <c r="M30" s="59">
        <v>89.82</v>
      </c>
      <c r="N30" s="59">
        <v>4.9000000000000004</v>
      </c>
      <c r="O30" s="59">
        <v>0</v>
      </c>
      <c r="P30" s="59">
        <v>0.54</v>
      </c>
      <c r="Q30" s="59">
        <v>30.03</v>
      </c>
      <c r="R30" s="197"/>
      <c r="S30" s="197"/>
      <c r="T30" s="197"/>
      <c r="U30" s="197"/>
    </row>
    <row r="31" spans="1:21" s="12" customFormat="1" x14ac:dyDescent="0.25">
      <c r="A31" s="200" t="s">
        <v>1999</v>
      </c>
      <c r="B31" s="59">
        <v>17.2</v>
      </c>
      <c r="C31" s="59">
        <v>48.92</v>
      </c>
      <c r="D31" s="59">
        <v>42.53</v>
      </c>
      <c r="E31" s="59">
        <v>2.06</v>
      </c>
      <c r="F31" s="59">
        <v>1.27</v>
      </c>
      <c r="G31" s="59">
        <v>27.14</v>
      </c>
      <c r="H31" s="59">
        <v>13.95</v>
      </c>
      <c r="I31" s="59">
        <v>0.56000000000000005</v>
      </c>
      <c r="J31" s="59">
        <v>0.67</v>
      </c>
      <c r="K31" s="59">
        <v>99.79</v>
      </c>
      <c r="L31" s="59">
        <v>15.67</v>
      </c>
      <c r="M31" s="59">
        <v>89.43</v>
      </c>
      <c r="N31" s="59">
        <v>4.8</v>
      </c>
      <c r="O31" s="59">
        <v>0</v>
      </c>
      <c r="P31" s="59">
        <v>0.55000000000000004</v>
      </c>
      <c r="Q31" s="59">
        <v>30.18</v>
      </c>
      <c r="R31" s="197"/>
      <c r="S31" s="197"/>
      <c r="T31" s="197"/>
      <c r="U31" s="197"/>
    </row>
    <row r="32" spans="1:21" s="12" customFormat="1" x14ac:dyDescent="0.25">
      <c r="A32" s="200" t="s">
        <v>2000</v>
      </c>
      <c r="B32" s="59">
        <v>17.72</v>
      </c>
      <c r="C32" s="59">
        <v>48.69</v>
      </c>
      <c r="D32" s="59">
        <v>42.82</v>
      </c>
      <c r="E32" s="59">
        <v>1.97</v>
      </c>
      <c r="F32" s="59">
        <v>1.35</v>
      </c>
      <c r="G32" s="59">
        <v>27.14</v>
      </c>
      <c r="H32" s="59">
        <v>13.95</v>
      </c>
      <c r="I32" s="59">
        <v>0.55000000000000004</v>
      </c>
      <c r="J32" s="59">
        <v>0.19</v>
      </c>
      <c r="K32" s="59">
        <v>96.87</v>
      </c>
      <c r="L32" s="59">
        <v>15.63</v>
      </c>
      <c r="M32" s="59">
        <v>89.32</v>
      </c>
      <c r="N32" s="59">
        <v>5.3</v>
      </c>
      <c r="O32" s="59">
        <v>0</v>
      </c>
      <c r="P32" s="59">
        <v>0.56000000000000005</v>
      </c>
      <c r="Q32" s="59">
        <v>30.24</v>
      </c>
      <c r="R32" s="197"/>
      <c r="S32" s="197"/>
      <c r="T32" s="197"/>
      <c r="U32" s="197"/>
    </row>
    <row r="33" spans="1:21" s="12" customFormat="1" x14ac:dyDescent="0.25">
      <c r="A33" s="200" t="s">
        <v>2001</v>
      </c>
      <c r="B33" s="59">
        <v>18.18</v>
      </c>
      <c r="C33" s="59">
        <v>48.79</v>
      </c>
      <c r="D33" s="59">
        <v>43.25</v>
      </c>
      <c r="E33" s="59">
        <v>2.0299999999999998</v>
      </c>
      <c r="F33" s="59">
        <v>1.31</v>
      </c>
      <c r="G33" s="59">
        <v>27.14</v>
      </c>
      <c r="H33" s="59">
        <v>13.95</v>
      </c>
      <c r="I33" s="59">
        <v>0.55000000000000004</v>
      </c>
      <c r="J33" s="59">
        <v>7.0000000000000007E-2</v>
      </c>
      <c r="K33" s="59">
        <v>267.85000000000002</v>
      </c>
      <c r="L33" s="59">
        <v>15.66</v>
      </c>
      <c r="M33" s="59">
        <v>89.9</v>
      </c>
      <c r="N33" s="59">
        <v>8.4</v>
      </c>
      <c r="O33" s="59">
        <v>0</v>
      </c>
      <c r="P33" s="59">
        <v>0.56000000000000005</v>
      </c>
      <c r="Q33" s="59">
        <v>30.92</v>
      </c>
      <c r="R33" s="197"/>
      <c r="S33" s="197"/>
      <c r="T33" s="197"/>
      <c r="U33" s="197"/>
    </row>
    <row r="34" spans="1:21" s="12" customFormat="1" x14ac:dyDescent="0.25">
      <c r="A34" s="200" t="s">
        <v>2002</v>
      </c>
      <c r="B34" s="59">
        <v>19.91</v>
      </c>
      <c r="C34" s="59">
        <v>47.79</v>
      </c>
      <c r="D34" s="59">
        <v>44.09</v>
      </c>
      <c r="E34" s="59">
        <v>1.73</v>
      </c>
      <c r="F34" s="59">
        <v>1.1299999999999999</v>
      </c>
      <c r="G34" s="59">
        <v>31.8</v>
      </c>
      <c r="H34" s="59">
        <v>15.33</v>
      </c>
      <c r="I34" s="59">
        <v>0.56000000000000005</v>
      </c>
      <c r="J34" s="59">
        <v>0.14000000000000001</v>
      </c>
      <c r="K34" s="59">
        <v>354.52</v>
      </c>
      <c r="L34" s="59">
        <v>15.61</v>
      </c>
      <c r="M34" s="59">
        <v>90.76</v>
      </c>
      <c r="N34" s="59">
        <v>17.899999999999999</v>
      </c>
      <c r="O34" s="59">
        <v>0</v>
      </c>
      <c r="P34" s="59">
        <v>0.56999999999999995</v>
      </c>
      <c r="Q34" s="59">
        <v>33.299999999999997</v>
      </c>
      <c r="R34" s="197"/>
      <c r="S34" s="197"/>
      <c r="T34" s="197"/>
      <c r="U34" s="197"/>
    </row>
    <row r="35" spans="1:21" s="12" customFormat="1" x14ac:dyDescent="0.25">
      <c r="A35" s="200" t="s">
        <v>2003</v>
      </c>
      <c r="B35" s="59">
        <v>22.56</v>
      </c>
      <c r="C35" s="59">
        <v>45.54</v>
      </c>
      <c r="D35" s="59">
        <v>44.97</v>
      </c>
      <c r="E35" s="59">
        <v>2.2000000000000002</v>
      </c>
      <c r="F35" s="59">
        <v>1.37</v>
      </c>
      <c r="G35" s="59">
        <v>32.58</v>
      </c>
      <c r="H35" s="59">
        <v>15.56</v>
      </c>
      <c r="I35" s="59">
        <v>0.56999999999999995</v>
      </c>
      <c r="J35" s="59">
        <v>0.09</v>
      </c>
      <c r="K35" s="59">
        <v>242.69</v>
      </c>
      <c r="L35" s="59">
        <v>15.6</v>
      </c>
      <c r="M35" s="59">
        <v>90.98</v>
      </c>
      <c r="N35" s="59">
        <v>37.299999999999997</v>
      </c>
      <c r="O35" s="59">
        <v>0</v>
      </c>
      <c r="P35" s="59">
        <v>0.57999999999999996</v>
      </c>
      <c r="Q35" s="59">
        <v>33.68</v>
      </c>
      <c r="R35" s="197"/>
      <c r="S35" s="197"/>
      <c r="T35" s="197"/>
      <c r="U35" s="197"/>
    </row>
    <row r="36" spans="1:21" s="12" customFormat="1" x14ac:dyDescent="0.25">
      <c r="A36" s="200" t="s">
        <v>2004</v>
      </c>
      <c r="B36" s="59">
        <v>24.76</v>
      </c>
      <c r="C36" s="59">
        <v>47.2</v>
      </c>
      <c r="D36" s="59">
        <v>47.64</v>
      </c>
      <c r="E36" s="59">
        <v>2.23</v>
      </c>
      <c r="F36" s="59">
        <v>1.18</v>
      </c>
      <c r="G36" s="59">
        <v>32.58</v>
      </c>
      <c r="H36" s="59">
        <v>15.56</v>
      </c>
      <c r="I36" s="59">
        <v>0.56999999999999995</v>
      </c>
      <c r="J36" s="59">
        <v>0.39</v>
      </c>
      <c r="K36" s="59">
        <v>20.3</v>
      </c>
      <c r="L36" s="59">
        <v>16.170000000000002</v>
      </c>
      <c r="M36" s="59">
        <v>89.48</v>
      </c>
      <c r="N36" s="59">
        <v>68.599999999999994</v>
      </c>
      <c r="O36" s="59">
        <v>0</v>
      </c>
      <c r="P36" s="59">
        <v>0.6</v>
      </c>
      <c r="Q36" s="59">
        <v>33.159999999999997</v>
      </c>
      <c r="R36" s="197"/>
      <c r="S36" s="197"/>
      <c r="T36" s="197"/>
      <c r="U36" s="197"/>
    </row>
    <row r="37" spans="1:21" s="12" customFormat="1" x14ac:dyDescent="0.25">
      <c r="A37" s="200" t="s">
        <v>2005</v>
      </c>
      <c r="B37" s="59">
        <v>27.14</v>
      </c>
      <c r="C37" s="59">
        <v>47.82</v>
      </c>
      <c r="D37" s="59">
        <v>49.89</v>
      </c>
      <c r="E37" s="59">
        <v>2.25</v>
      </c>
      <c r="F37" s="59">
        <v>1.17</v>
      </c>
      <c r="G37" s="59">
        <v>32.58</v>
      </c>
      <c r="H37" s="59">
        <v>15.56</v>
      </c>
      <c r="I37" s="59">
        <v>0.56999999999999995</v>
      </c>
      <c r="J37" s="59">
        <v>0.55000000000000004</v>
      </c>
      <c r="K37" s="59">
        <v>106.57</v>
      </c>
      <c r="L37" s="59">
        <v>16.420000000000002</v>
      </c>
      <c r="M37" s="59">
        <v>86.43</v>
      </c>
      <c r="N37" s="59">
        <v>76.8</v>
      </c>
      <c r="O37" s="59">
        <v>0</v>
      </c>
      <c r="P37" s="59">
        <v>0.57999999999999996</v>
      </c>
      <c r="Q37" s="59">
        <v>32.97</v>
      </c>
      <c r="R37" s="197"/>
      <c r="S37" s="197"/>
      <c r="T37" s="197"/>
      <c r="U37" s="197"/>
    </row>
    <row r="38" spans="1:21" s="12" customFormat="1" x14ac:dyDescent="0.25">
      <c r="A38" s="200" t="s">
        <v>2006</v>
      </c>
      <c r="B38" s="59">
        <v>27.87</v>
      </c>
      <c r="C38" s="59">
        <v>48.44</v>
      </c>
      <c r="D38" s="59">
        <v>50.83</v>
      </c>
      <c r="E38" s="59">
        <v>2.08</v>
      </c>
      <c r="F38" s="59">
        <v>1.1200000000000001</v>
      </c>
      <c r="G38" s="59">
        <v>35.96</v>
      </c>
      <c r="H38" s="59">
        <v>17.39</v>
      </c>
      <c r="I38" s="59">
        <v>0.56999999999999995</v>
      </c>
      <c r="J38" s="59">
        <v>0.11</v>
      </c>
      <c r="K38" s="59">
        <v>166.39</v>
      </c>
      <c r="L38" s="59">
        <v>16.73</v>
      </c>
      <c r="M38" s="59">
        <v>84.94</v>
      </c>
      <c r="N38" s="59">
        <v>98.4</v>
      </c>
      <c r="O38" s="59">
        <v>0</v>
      </c>
      <c r="P38" s="59">
        <v>0.62</v>
      </c>
      <c r="Q38" s="59">
        <v>32.08</v>
      </c>
      <c r="R38" s="197"/>
      <c r="S38" s="197"/>
      <c r="T38" s="197"/>
      <c r="U38" s="197"/>
    </row>
    <row r="39" spans="1:21" s="12" customFormat="1" x14ac:dyDescent="0.25">
      <c r="A39" s="200" t="s">
        <v>2007</v>
      </c>
      <c r="B39" s="59">
        <v>27.63</v>
      </c>
      <c r="C39" s="59">
        <v>48.74</v>
      </c>
      <c r="D39" s="59">
        <v>50.79</v>
      </c>
      <c r="E39" s="59">
        <v>1.77</v>
      </c>
      <c r="F39" s="59">
        <v>1.37</v>
      </c>
      <c r="G39" s="59">
        <v>36.53</v>
      </c>
      <c r="H39" s="59">
        <v>17.7</v>
      </c>
      <c r="I39" s="59">
        <v>0.56000000000000005</v>
      </c>
      <c r="J39" s="59">
        <v>0.47</v>
      </c>
      <c r="K39" s="59">
        <v>198.57</v>
      </c>
      <c r="L39" s="59">
        <v>16.86</v>
      </c>
      <c r="M39" s="59">
        <v>84.77</v>
      </c>
      <c r="N39" s="59">
        <v>130.4</v>
      </c>
      <c r="O39" s="59">
        <v>0</v>
      </c>
      <c r="P39" s="59">
        <v>0.63</v>
      </c>
      <c r="Q39" s="59">
        <v>32.619999999999997</v>
      </c>
      <c r="R39" s="197"/>
      <c r="S39" s="197"/>
      <c r="T39" s="197"/>
      <c r="U39" s="197"/>
    </row>
    <row r="40" spans="1:21" s="12" customFormat="1" x14ac:dyDescent="0.25">
      <c r="A40" s="200" t="s">
        <v>2008</v>
      </c>
      <c r="B40" s="59">
        <v>26.98</v>
      </c>
      <c r="C40" s="59">
        <v>48.57</v>
      </c>
      <c r="D40" s="59">
        <v>50.18</v>
      </c>
      <c r="E40" s="59">
        <v>0.9</v>
      </c>
      <c r="F40" s="59">
        <v>1.28</v>
      </c>
      <c r="G40" s="59">
        <v>36.53</v>
      </c>
      <c r="H40" s="59">
        <v>17.7</v>
      </c>
      <c r="I40" s="59">
        <v>0.56000000000000005</v>
      </c>
      <c r="J40" s="59">
        <v>0.34</v>
      </c>
      <c r="K40" s="59">
        <v>156.4</v>
      </c>
      <c r="L40" s="59">
        <v>16.920000000000002</v>
      </c>
      <c r="M40" s="59">
        <v>84.49</v>
      </c>
      <c r="N40" s="59">
        <v>139.5</v>
      </c>
      <c r="O40" s="59">
        <v>0</v>
      </c>
      <c r="P40" s="59">
        <v>0.63</v>
      </c>
      <c r="Q40" s="59">
        <v>31.89</v>
      </c>
      <c r="R40" s="197"/>
      <c r="S40" s="197"/>
      <c r="T40" s="197"/>
      <c r="U40" s="197"/>
    </row>
    <row r="41" spans="1:21" s="12" customFormat="1" x14ac:dyDescent="0.25">
      <c r="A41" s="200" t="s">
        <v>2009</v>
      </c>
      <c r="B41" s="59">
        <v>26.3</v>
      </c>
      <c r="C41" s="59">
        <v>49.87</v>
      </c>
      <c r="D41" s="59">
        <v>50.35</v>
      </c>
      <c r="E41" s="59">
        <v>1.2</v>
      </c>
      <c r="F41" s="59">
        <v>1.1599999999999999</v>
      </c>
      <c r="G41" s="59">
        <v>36.53</v>
      </c>
      <c r="H41" s="59">
        <v>17.7</v>
      </c>
      <c r="I41" s="59">
        <v>0.59</v>
      </c>
      <c r="J41" s="59">
        <v>0.17</v>
      </c>
      <c r="K41" s="59">
        <v>196.65</v>
      </c>
      <c r="L41" s="59">
        <v>17.149999999999999</v>
      </c>
      <c r="M41" s="59">
        <v>83.7</v>
      </c>
      <c r="N41" s="59">
        <v>166.9</v>
      </c>
      <c r="O41" s="59">
        <v>0</v>
      </c>
      <c r="P41" s="59">
        <v>0.63</v>
      </c>
      <c r="Q41" s="59">
        <v>32.43</v>
      </c>
      <c r="R41" s="197"/>
      <c r="S41" s="197"/>
      <c r="T41" s="197"/>
      <c r="U41" s="197"/>
    </row>
    <row r="42" spans="1:21" s="12" customFormat="1" x14ac:dyDescent="0.25">
      <c r="A42" s="200" t="s">
        <v>2010</v>
      </c>
      <c r="B42" s="59">
        <v>25.85</v>
      </c>
      <c r="C42" s="59">
        <v>51.38</v>
      </c>
      <c r="D42" s="59">
        <v>50.83</v>
      </c>
      <c r="E42" s="59">
        <v>1.48</v>
      </c>
      <c r="F42" s="59">
        <v>1.18</v>
      </c>
      <c r="G42" s="59">
        <v>56.51</v>
      </c>
      <c r="H42" s="59">
        <v>17.41</v>
      </c>
      <c r="I42" s="59">
        <v>0.56000000000000005</v>
      </c>
      <c r="J42" s="59">
        <v>0.09</v>
      </c>
      <c r="K42" s="59">
        <v>76.22</v>
      </c>
      <c r="L42" s="59">
        <v>18.05</v>
      </c>
      <c r="M42" s="59">
        <v>80.430000000000007</v>
      </c>
      <c r="N42" s="59">
        <v>203.3</v>
      </c>
      <c r="O42" s="59">
        <v>0</v>
      </c>
      <c r="P42" s="59">
        <v>0.64</v>
      </c>
      <c r="Q42" s="59">
        <v>31.58</v>
      </c>
      <c r="R42" s="197"/>
      <c r="S42" s="197"/>
      <c r="T42" s="197"/>
      <c r="U42" s="197"/>
    </row>
    <row r="43" spans="1:21" s="12" customFormat="1" x14ac:dyDescent="0.25">
      <c r="A43" s="200" t="s">
        <v>2011</v>
      </c>
      <c r="B43" s="59">
        <v>25.62</v>
      </c>
      <c r="C43" s="59">
        <v>51.28</v>
      </c>
      <c r="D43" s="59">
        <v>50.58</v>
      </c>
      <c r="E43" s="59">
        <v>1.82</v>
      </c>
      <c r="F43" s="59">
        <v>1.27</v>
      </c>
      <c r="G43" s="59">
        <v>59.88</v>
      </c>
      <c r="H43" s="59">
        <v>17.36</v>
      </c>
      <c r="I43" s="59">
        <v>0.56000000000000005</v>
      </c>
      <c r="J43" s="59">
        <v>0.51</v>
      </c>
      <c r="K43" s="59">
        <v>181.62</v>
      </c>
      <c r="L43" s="59">
        <v>18.170000000000002</v>
      </c>
      <c r="M43" s="59">
        <v>78.75</v>
      </c>
      <c r="N43" s="59">
        <v>230.2</v>
      </c>
      <c r="O43" s="59">
        <v>0</v>
      </c>
      <c r="P43" s="59">
        <v>0.63</v>
      </c>
      <c r="Q43" s="59">
        <v>32.619999999999997</v>
      </c>
      <c r="R43" s="197"/>
      <c r="S43" s="197"/>
      <c r="T43" s="197"/>
      <c r="U43" s="197"/>
    </row>
    <row r="44" spans="1:21" s="12" customFormat="1" x14ac:dyDescent="0.25">
      <c r="A44" s="200" t="s">
        <v>2012</v>
      </c>
      <c r="B44" s="59">
        <v>24.26</v>
      </c>
      <c r="C44" s="59">
        <v>51.79</v>
      </c>
      <c r="D44" s="59">
        <v>49.77</v>
      </c>
      <c r="E44" s="59">
        <v>1.64</v>
      </c>
      <c r="F44" s="59">
        <v>1.24</v>
      </c>
      <c r="G44" s="59">
        <v>59.88</v>
      </c>
      <c r="H44" s="59">
        <v>17.36</v>
      </c>
      <c r="I44" s="59">
        <v>0.56000000000000005</v>
      </c>
      <c r="J44" s="59">
        <v>0.7</v>
      </c>
      <c r="K44" s="59">
        <v>210.45</v>
      </c>
      <c r="L44" s="59">
        <v>17.850000000000001</v>
      </c>
      <c r="M44" s="59">
        <v>81.3</v>
      </c>
      <c r="N44" s="59">
        <v>273.10000000000002</v>
      </c>
      <c r="O44" s="59">
        <v>0</v>
      </c>
      <c r="P44" s="59">
        <v>0.63</v>
      </c>
      <c r="Q44" s="59">
        <v>32.6</v>
      </c>
      <c r="R44" s="197"/>
      <c r="S44" s="197"/>
      <c r="T44" s="197"/>
      <c r="U44" s="197"/>
    </row>
    <row r="45" spans="1:21" s="12" customFormat="1" x14ac:dyDescent="0.25">
      <c r="A45" s="200" t="s">
        <v>2013</v>
      </c>
      <c r="B45" s="59">
        <v>22.05</v>
      </c>
      <c r="C45" s="59">
        <v>52.2</v>
      </c>
      <c r="D45" s="59">
        <v>48.23</v>
      </c>
      <c r="E45" s="59">
        <v>1.73</v>
      </c>
      <c r="F45" s="59">
        <v>1.2</v>
      </c>
      <c r="G45" s="59">
        <v>59.88</v>
      </c>
      <c r="H45" s="59">
        <v>17.36</v>
      </c>
      <c r="I45" s="59">
        <v>0.55000000000000004</v>
      </c>
      <c r="J45" s="59">
        <v>0.56999999999999995</v>
      </c>
      <c r="K45" s="59">
        <v>212.04</v>
      </c>
      <c r="L45" s="59">
        <v>17.95</v>
      </c>
      <c r="M45" s="59">
        <v>81.55</v>
      </c>
      <c r="N45" s="59">
        <v>298.8</v>
      </c>
      <c r="O45" s="59">
        <v>0</v>
      </c>
      <c r="P45" s="59">
        <v>0.62</v>
      </c>
      <c r="Q45" s="59">
        <v>32.880000000000003</v>
      </c>
      <c r="R45" s="197"/>
      <c r="S45" s="197"/>
      <c r="T45" s="197"/>
      <c r="U45" s="197"/>
    </row>
    <row r="46" spans="1:21" s="12" customFormat="1" x14ac:dyDescent="0.25">
      <c r="A46" s="200" t="s">
        <v>2014</v>
      </c>
      <c r="B46" s="59">
        <v>19.760000000000002</v>
      </c>
      <c r="C46" s="59">
        <v>52.85</v>
      </c>
      <c r="D46" s="59">
        <v>46.76</v>
      </c>
      <c r="E46" s="59">
        <v>1.89</v>
      </c>
      <c r="F46" s="59">
        <v>1.21</v>
      </c>
      <c r="G46" s="59">
        <v>50.28</v>
      </c>
      <c r="H46" s="59">
        <v>17.32</v>
      </c>
      <c r="I46" s="59">
        <v>0.55000000000000004</v>
      </c>
      <c r="J46" s="59">
        <v>0.66</v>
      </c>
      <c r="K46" s="59">
        <v>205.38</v>
      </c>
      <c r="L46" s="59">
        <v>18.25</v>
      </c>
      <c r="M46" s="59">
        <v>80.180000000000007</v>
      </c>
      <c r="N46" s="59">
        <v>377.7</v>
      </c>
      <c r="O46" s="59">
        <v>0</v>
      </c>
      <c r="P46" s="59">
        <v>0.61</v>
      </c>
      <c r="Q46" s="59">
        <v>31.07</v>
      </c>
      <c r="R46" s="197"/>
      <c r="S46" s="197"/>
      <c r="T46" s="197"/>
      <c r="U46" s="197"/>
    </row>
    <row r="47" spans="1:21" s="12" customFormat="1" x14ac:dyDescent="0.25">
      <c r="A47" s="200" t="s">
        <v>2015</v>
      </c>
      <c r="B47" s="59">
        <v>18.260000000000002</v>
      </c>
      <c r="C47" s="59">
        <v>53.62</v>
      </c>
      <c r="D47" s="59">
        <v>45.98</v>
      </c>
      <c r="E47" s="59">
        <v>1.84</v>
      </c>
      <c r="F47" s="59">
        <v>1.4</v>
      </c>
      <c r="G47" s="59">
        <v>48.65</v>
      </c>
      <c r="H47" s="59">
        <v>17.309999999999999</v>
      </c>
      <c r="I47" s="59">
        <v>0.55000000000000004</v>
      </c>
      <c r="J47" s="59">
        <v>0.72</v>
      </c>
      <c r="K47" s="59">
        <v>170.42</v>
      </c>
      <c r="L47" s="59">
        <v>19.25</v>
      </c>
      <c r="M47" s="59">
        <v>75.989999999999995</v>
      </c>
      <c r="N47" s="59">
        <v>428</v>
      </c>
      <c r="O47" s="59">
        <v>0</v>
      </c>
      <c r="P47" s="59">
        <v>0.61</v>
      </c>
      <c r="Q47" s="59">
        <v>32.32</v>
      </c>
      <c r="R47" s="197"/>
      <c r="S47" s="197"/>
      <c r="T47" s="197"/>
      <c r="U47" s="197"/>
    </row>
    <row r="48" spans="1:21" s="12" customFormat="1" x14ac:dyDescent="0.25">
      <c r="A48" s="200" t="s">
        <v>2016</v>
      </c>
      <c r="B48" s="59">
        <v>17.27</v>
      </c>
      <c r="C48" s="59">
        <v>53.11</v>
      </c>
      <c r="D48" s="59">
        <v>44.9</v>
      </c>
      <c r="E48" s="59">
        <v>1.67</v>
      </c>
      <c r="F48" s="59">
        <v>1.35</v>
      </c>
      <c r="G48" s="59">
        <v>48.65</v>
      </c>
      <c r="H48" s="59">
        <v>17.309999999999999</v>
      </c>
      <c r="I48" s="59">
        <v>0.54</v>
      </c>
      <c r="J48" s="59">
        <v>0.31</v>
      </c>
      <c r="K48" s="59">
        <v>199.05</v>
      </c>
      <c r="L48" s="59">
        <v>19.670000000000002</v>
      </c>
      <c r="M48" s="59">
        <v>75.540000000000006</v>
      </c>
      <c r="N48" s="59">
        <v>383.2</v>
      </c>
      <c r="O48" s="59">
        <v>0</v>
      </c>
      <c r="P48" s="59">
        <v>0.61</v>
      </c>
      <c r="Q48" s="59">
        <v>34.6</v>
      </c>
      <c r="R48" s="197"/>
      <c r="S48" s="197"/>
      <c r="T48" s="197"/>
      <c r="U48" s="197"/>
    </row>
    <row r="49" spans="1:21" s="12" customFormat="1" x14ac:dyDescent="0.25">
      <c r="A49" s="200" t="s">
        <v>2017</v>
      </c>
      <c r="B49" s="59">
        <v>16.399999999999999</v>
      </c>
      <c r="C49" s="59">
        <v>46.67</v>
      </c>
      <c r="D49" s="59">
        <v>40.65</v>
      </c>
      <c r="E49" s="59">
        <v>1.57</v>
      </c>
      <c r="F49" s="59">
        <v>1.44</v>
      </c>
      <c r="G49" s="59">
        <v>48.65</v>
      </c>
      <c r="H49" s="59">
        <v>17.309999999999999</v>
      </c>
      <c r="I49" s="59">
        <v>0.54</v>
      </c>
      <c r="J49" s="59">
        <v>0.22</v>
      </c>
      <c r="K49" s="59">
        <v>253.77</v>
      </c>
      <c r="L49" s="59">
        <v>20.11</v>
      </c>
      <c r="M49" s="59">
        <v>73.45</v>
      </c>
      <c r="N49" s="59">
        <v>420.8</v>
      </c>
      <c r="O49" s="59">
        <v>0</v>
      </c>
      <c r="P49" s="59">
        <v>0.62</v>
      </c>
      <c r="Q49" s="59">
        <v>35.25</v>
      </c>
      <c r="R49" s="197"/>
      <c r="S49" s="197"/>
      <c r="T49" s="197"/>
      <c r="U49" s="197"/>
    </row>
    <row r="50" spans="1:21" s="12" customFormat="1" x14ac:dyDescent="0.25">
      <c r="A50" s="200" t="s">
        <v>2018</v>
      </c>
      <c r="B50" s="59">
        <v>15.24</v>
      </c>
      <c r="C50" s="59">
        <v>48.72</v>
      </c>
      <c r="D50" s="59">
        <v>40.85</v>
      </c>
      <c r="E50" s="59">
        <v>1.37</v>
      </c>
      <c r="F50" s="59">
        <v>1.4</v>
      </c>
      <c r="G50" s="59">
        <v>45.6</v>
      </c>
      <c r="H50" s="59">
        <v>18.079999999999998</v>
      </c>
      <c r="I50" s="59">
        <v>0.54</v>
      </c>
      <c r="J50" s="59">
        <v>0.51</v>
      </c>
      <c r="K50" s="59">
        <v>212.25</v>
      </c>
      <c r="L50" s="59">
        <v>20.3</v>
      </c>
      <c r="M50" s="59">
        <v>72.599999999999994</v>
      </c>
      <c r="N50" s="59">
        <v>433</v>
      </c>
      <c r="O50" s="59">
        <v>0</v>
      </c>
      <c r="P50" s="59">
        <v>0.63</v>
      </c>
      <c r="Q50" s="59">
        <v>34.07</v>
      </c>
      <c r="R50" s="197"/>
      <c r="S50" s="197"/>
      <c r="T50" s="197"/>
      <c r="U50" s="197"/>
    </row>
    <row r="51" spans="1:21" s="12" customFormat="1" x14ac:dyDescent="0.25">
      <c r="A51" s="200" t="s">
        <v>2019</v>
      </c>
      <c r="B51" s="59">
        <v>14.23</v>
      </c>
      <c r="C51" s="59">
        <v>52.9</v>
      </c>
      <c r="D51" s="59">
        <v>42.35</v>
      </c>
      <c r="E51" s="59">
        <v>1.33</v>
      </c>
      <c r="F51" s="59">
        <v>1.6</v>
      </c>
      <c r="G51" s="59">
        <v>45.08</v>
      </c>
      <c r="H51" s="59">
        <v>18.21</v>
      </c>
      <c r="I51" s="59">
        <v>0.53</v>
      </c>
      <c r="J51" s="59">
        <v>0.28999999999999998</v>
      </c>
      <c r="K51" s="59">
        <v>254.18</v>
      </c>
      <c r="L51" s="59">
        <v>20.75</v>
      </c>
      <c r="M51" s="59">
        <v>70.17</v>
      </c>
      <c r="N51" s="59">
        <v>421.1</v>
      </c>
      <c r="O51" s="59">
        <v>0</v>
      </c>
      <c r="P51" s="59">
        <v>0.67</v>
      </c>
      <c r="Q51" s="59">
        <v>31.73</v>
      </c>
      <c r="R51" s="197"/>
      <c r="S51" s="197"/>
      <c r="T51" s="197"/>
      <c r="U51" s="197"/>
    </row>
    <row r="52" spans="1:21" s="12" customFormat="1" x14ac:dyDescent="0.25">
      <c r="A52" s="200" t="s">
        <v>2020</v>
      </c>
      <c r="B52" s="59">
        <v>12.83</v>
      </c>
      <c r="C52" s="59">
        <v>54.39</v>
      </c>
      <c r="D52" s="59">
        <v>42.04</v>
      </c>
      <c r="E52" s="59">
        <v>1.32</v>
      </c>
      <c r="F52" s="59">
        <v>1.58</v>
      </c>
      <c r="G52" s="59">
        <v>45.08</v>
      </c>
      <c r="H52" s="59">
        <v>18.21</v>
      </c>
      <c r="I52" s="59">
        <v>0.53</v>
      </c>
      <c r="J52" s="59">
        <v>0.66</v>
      </c>
      <c r="K52" s="59">
        <v>201.34</v>
      </c>
      <c r="L52" s="59">
        <v>20.62</v>
      </c>
      <c r="M52" s="59">
        <v>69.540000000000006</v>
      </c>
      <c r="N52" s="59">
        <v>441.8</v>
      </c>
      <c r="O52" s="59">
        <v>0</v>
      </c>
      <c r="P52" s="59">
        <v>0.71</v>
      </c>
      <c r="Q52" s="59">
        <v>32.42</v>
      </c>
      <c r="R52" s="197"/>
      <c r="S52" s="197"/>
      <c r="T52" s="197"/>
      <c r="U52" s="197"/>
    </row>
    <row r="53" spans="1:21" s="12" customFormat="1" x14ac:dyDescent="0.25">
      <c r="A53" s="200" t="s">
        <v>2021</v>
      </c>
      <c r="B53" s="59">
        <v>11.67</v>
      </c>
      <c r="C53" s="59">
        <v>54.9</v>
      </c>
      <c r="D53" s="59">
        <v>41.39</v>
      </c>
      <c r="E53" s="59">
        <v>0.96</v>
      </c>
      <c r="F53" s="59">
        <v>1.54</v>
      </c>
      <c r="G53" s="59">
        <v>45.08</v>
      </c>
      <c r="H53" s="59">
        <v>18.21</v>
      </c>
      <c r="I53" s="59">
        <v>0.52</v>
      </c>
      <c r="J53" s="59">
        <v>0.34</v>
      </c>
      <c r="K53" s="59">
        <v>253.88</v>
      </c>
      <c r="L53" s="59">
        <v>21.07</v>
      </c>
      <c r="M53" s="59">
        <v>67.099999999999994</v>
      </c>
      <c r="N53" s="59">
        <v>424.8</v>
      </c>
      <c r="O53" s="59">
        <v>0</v>
      </c>
      <c r="P53" s="59">
        <v>0.76</v>
      </c>
      <c r="Q53" s="59">
        <v>32.68</v>
      </c>
      <c r="R53" s="197"/>
      <c r="S53" s="197"/>
      <c r="T53" s="197"/>
      <c r="U53" s="197"/>
    </row>
    <row r="54" spans="1:21" s="12" customFormat="1" x14ac:dyDescent="0.25">
      <c r="A54" s="200" t="s">
        <v>2022</v>
      </c>
      <c r="B54" s="59">
        <v>10.91</v>
      </c>
      <c r="C54" s="59">
        <v>58.39</v>
      </c>
      <c r="D54" s="59">
        <v>42.71</v>
      </c>
      <c r="E54" s="59">
        <v>1.03</v>
      </c>
      <c r="F54" s="59">
        <v>1.61</v>
      </c>
      <c r="G54" s="59">
        <v>46.88</v>
      </c>
      <c r="H54" s="59">
        <v>19.55</v>
      </c>
      <c r="I54" s="59">
        <v>0.52</v>
      </c>
      <c r="J54" s="59">
        <v>0.25</v>
      </c>
      <c r="K54" s="59">
        <v>12.06</v>
      </c>
      <c r="L54" s="59">
        <v>22.54</v>
      </c>
      <c r="M54" s="59">
        <v>61.09</v>
      </c>
      <c r="N54" s="59">
        <v>360.4</v>
      </c>
      <c r="O54" s="59">
        <v>0</v>
      </c>
      <c r="P54" s="59">
        <v>0.83</v>
      </c>
      <c r="Q54" s="59">
        <v>31.61</v>
      </c>
      <c r="R54" s="197"/>
      <c r="S54" s="197"/>
      <c r="T54" s="197"/>
      <c r="U54" s="197"/>
    </row>
    <row r="55" spans="1:21" s="12" customFormat="1" x14ac:dyDescent="0.25">
      <c r="A55" s="200" t="s">
        <v>2023</v>
      </c>
      <c r="B55" s="59">
        <v>10.31</v>
      </c>
      <c r="C55" s="59">
        <v>63.26</v>
      </c>
      <c r="D55" s="59">
        <v>44.92</v>
      </c>
      <c r="E55" s="59">
        <v>1.1000000000000001</v>
      </c>
      <c r="F55" s="59">
        <v>1.9</v>
      </c>
      <c r="G55" s="59">
        <v>47.18</v>
      </c>
      <c r="H55" s="59">
        <v>19.78</v>
      </c>
      <c r="I55" s="59">
        <v>0.52</v>
      </c>
      <c r="J55" s="59">
        <v>0.22</v>
      </c>
      <c r="K55" s="59">
        <v>294.27999999999997</v>
      </c>
      <c r="L55" s="59">
        <v>22.3</v>
      </c>
      <c r="M55" s="59">
        <v>59.03</v>
      </c>
      <c r="N55" s="59">
        <v>493.5</v>
      </c>
      <c r="O55" s="59">
        <v>0</v>
      </c>
      <c r="P55" s="59">
        <v>0.85</v>
      </c>
      <c r="Q55" s="59">
        <v>28.96</v>
      </c>
      <c r="R55" s="197"/>
      <c r="S55" s="197"/>
      <c r="T55" s="197"/>
      <c r="U55" s="197"/>
    </row>
    <row r="56" spans="1:21" s="12" customFormat="1" x14ac:dyDescent="0.25">
      <c r="A56" s="200" t="s">
        <v>2024</v>
      </c>
      <c r="B56" s="59">
        <v>9.0500000000000007</v>
      </c>
      <c r="C56" s="59">
        <v>63.1</v>
      </c>
      <c r="D56" s="59">
        <v>43.82</v>
      </c>
      <c r="E56" s="59">
        <v>1.33</v>
      </c>
      <c r="F56" s="59">
        <v>2.2200000000000002</v>
      </c>
      <c r="G56" s="59">
        <v>47.18</v>
      </c>
      <c r="H56" s="59">
        <v>19.78</v>
      </c>
      <c r="I56" s="59">
        <v>0.53</v>
      </c>
      <c r="J56" s="59">
        <v>0.39</v>
      </c>
      <c r="K56" s="59">
        <v>243.61</v>
      </c>
      <c r="L56" s="59">
        <v>22.36</v>
      </c>
      <c r="M56" s="59">
        <v>59.14</v>
      </c>
      <c r="N56" s="59">
        <v>424.8</v>
      </c>
      <c r="O56" s="59">
        <v>0</v>
      </c>
      <c r="P56" s="59">
        <v>0.84</v>
      </c>
      <c r="Q56" s="59">
        <v>31.49</v>
      </c>
      <c r="R56" s="197"/>
      <c r="S56" s="197"/>
      <c r="T56" s="197"/>
      <c r="U56" s="197"/>
    </row>
    <row r="57" spans="1:21" s="12" customFormat="1" x14ac:dyDescent="0.25">
      <c r="A57" s="200" t="s">
        <v>2025</v>
      </c>
      <c r="B57" s="59">
        <v>8.0299999999999994</v>
      </c>
      <c r="C57" s="59">
        <v>62.47</v>
      </c>
      <c r="D57" s="59">
        <v>42.66</v>
      </c>
      <c r="E57" s="59">
        <v>2.0499999999999998</v>
      </c>
      <c r="F57" s="59">
        <v>2.52</v>
      </c>
      <c r="G57" s="59">
        <v>47.18</v>
      </c>
      <c r="H57" s="59">
        <v>19.78</v>
      </c>
      <c r="I57" s="59">
        <v>0.51</v>
      </c>
      <c r="J57" s="59">
        <v>0.59</v>
      </c>
      <c r="K57" s="59">
        <v>222.73</v>
      </c>
      <c r="L57" s="59">
        <v>21.66</v>
      </c>
      <c r="M57" s="59">
        <v>60.52</v>
      </c>
      <c r="N57" s="59">
        <v>313.8</v>
      </c>
      <c r="O57" s="59">
        <v>0</v>
      </c>
      <c r="P57" s="59">
        <v>0.83</v>
      </c>
      <c r="Q57" s="59">
        <v>29.28</v>
      </c>
      <c r="R57" s="197"/>
      <c r="S57" s="197"/>
      <c r="T57" s="197"/>
      <c r="U57" s="197"/>
    </row>
    <row r="58" spans="1:21" s="12" customFormat="1" x14ac:dyDescent="0.25">
      <c r="A58" s="200" t="s">
        <v>2026</v>
      </c>
      <c r="B58" s="59">
        <v>7.02</v>
      </c>
      <c r="C58" s="59">
        <v>62.16</v>
      </c>
      <c r="D58" s="59">
        <v>41.68</v>
      </c>
      <c r="E58" s="59">
        <v>2.2799999999999998</v>
      </c>
      <c r="F58" s="59">
        <v>2.37</v>
      </c>
      <c r="G58" s="59">
        <v>44.46</v>
      </c>
      <c r="H58" s="59">
        <v>18.66</v>
      </c>
      <c r="I58" s="59">
        <v>0.51</v>
      </c>
      <c r="J58" s="59">
        <v>0.22</v>
      </c>
      <c r="K58" s="59">
        <v>260.76</v>
      </c>
      <c r="L58" s="59">
        <v>22.21</v>
      </c>
      <c r="M58" s="59">
        <v>59.58</v>
      </c>
      <c r="N58" s="59">
        <v>468.8</v>
      </c>
      <c r="O58" s="59">
        <v>0</v>
      </c>
      <c r="P58" s="59">
        <v>0.82</v>
      </c>
      <c r="Q58" s="59">
        <v>31.07</v>
      </c>
      <c r="R58" s="197"/>
      <c r="S58" s="197"/>
      <c r="T58" s="197"/>
      <c r="U58" s="197"/>
    </row>
    <row r="59" spans="1:21" s="12" customFormat="1" x14ac:dyDescent="0.25">
      <c r="A59" s="200" t="s">
        <v>2027</v>
      </c>
      <c r="B59" s="59">
        <v>6.63</v>
      </c>
      <c r="C59" s="59">
        <v>64.03</v>
      </c>
      <c r="D59" s="59">
        <v>42.39</v>
      </c>
      <c r="E59" s="59">
        <v>2.25</v>
      </c>
      <c r="F59" s="59">
        <v>2.35</v>
      </c>
      <c r="G59" s="59">
        <v>44</v>
      </c>
      <c r="H59" s="59">
        <v>18.47</v>
      </c>
      <c r="I59" s="59">
        <v>0.5</v>
      </c>
      <c r="J59" s="59">
        <v>0.15</v>
      </c>
      <c r="K59" s="59">
        <v>228.8</v>
      </c>
      <c r="L59" s="59">
        <v>22.96</v>
      </c>
      <c r="M59" s="59">
        <v>57.44</v>
      </c>
      <c r="N59" s="59">
        <v>464.9</v>
      </c>
      <c r="O59" s="59">
        <v>0</v>
      </c>
      <c r="P59" s="59">
        <v>0.82</v>
      </c>
      <c r="Q59" s="59">
        <v>29.62</v>
      </c>
      <c r="R59" s="197"/>
      <c r="S59" s="197"/>
      <c r="T59" s="197"/>
      <c r="U59" s="197"/>
    </row>
    <row r="60" spans="1:21" s="12" customFormat="1" x14ac:dyDescent="0.25">
      <c r="A60" s="200" t="s">
        <v>2028</v>
      </c>
      <c r="B60" s="59">
        <v>6.17</v>
      </c>
      <c r="C60" s="59">
        <v>61.05</v>
      </c>
      <c r="D60" s="59">
        <v>40.369999999999997</v>
      </c>
      <c r="E60" s="59">
        <v>2.0699999999999998</v>
      </c>
      <c r="F60" s="59">
        <v>2.5499999999999998</v>
      </c>
      <c r="G60" s="59">
        <v>44</v>
      </c>
      <c r="H60" s="59">
        <v>18.47</v>
      </c>
      <c r="I60" s="59">
        <v>0.5</v>
      </c>
      <c r="J60" s="59">
        <v>0.16</v>
      </c>
      <c r="K60" s="59">
        <v>88.47</v>
      </c>
      <c r="L60" s="59">
        <v>23.51</v>
      </c>
      <c r="M60" s="59">
        <v>55.41</v>
      </c>
      <c r="N60" s="59">
        <v>577.79999999999995</v>
      </c>
      <c r="O60" s="59">
        <v>0</v>
      </c>
      <c r="P60" s="59">
        <v>0.85</v>
      </c>
      <c r="Q60" s="59">
        <v>31.54</v>
      </c>
      <c r="R60" s="197"/>
      <c r="S60" s="197"/>
      <c r="T60" s="197"/>
      <c r="U60" s="197"/>
    </row>
    <row r="61" spans="1:21" s="12" customFormat="1" x14ac:dyDescent="0.25">
      <c r="A61" s="200" t="s">
        <v>2029</v>
      </c>
      <c r="B61" s="59">
        <v>6.1</v>
      </c>
      <c r="C61" s="59">
        <v>60.66</v>
      </c>
      <c r="D61" s="59">
        <v>40.11</v>
      </c>
      <c r="E61" s="59">
        <v>2.02</v>
      </c>
      <c r="F61" s="59">
        <v>2.91</v>
      </c>
      <c r="G61" s="59">
        <v>44</v>
      </c>
      <c r="H61" s="59">
        <v>18.47</v>
      </c>
      <c r="I61" s="59">
        <v>0.5</v>
      </c>
      <c r="J61" s="59">
        <v>0.18</v>
      </c>
      <c r="K61" s="59">
        <v>43.59</v>
      </c>
      <c r="L61" s="59">
        <v>25.21</v>
      </c>
      <c r="M61" s="59">
        <v>51.16</v>
      </c>
      <c r="N61" s="59">
        <v>521.4</v>
      </c>
      <c r="O61" s="59">
        <v>0</v>
      </c>
      <c r="P61" s="59">
        <v>0.85</v>
      </c>
      <c r="Q61" s="59">
        <v>29.56</v>
      </c>
      <c r="R61" s="197"/>
      <c r="S61" s="197"/>
      <c r="T61" s="197"/>
      <c r="U61" s="197"/>
    </row>
    <row r="62" spans="1:21" s="12" customFormat="1" x14ac:dyDescent="0.25">
      <c r="A62" s="200" t="s">
        <v>2030</v>
      </c>
      <c r="B62" s="59">
        <v>6.13</v>
      </c>
      <c r="C62" s="59">
        <v>62.31</v>
      </c>
      <c r="D62" s="59">
        <v>41.04</v>
      </c>
      <c r="E62" s="59">
        <v>1.71</v>
      </c>
      <c r="F62" s="59">
        <v>2.86</v>
      </c>
      <c r="G62" s="59">
        <v>44.24</v>
      </c>
      <c r="H62" s="59">
        <v>17.28</v>
      </c>
      <c r="I62" s="59">
        <v>0.51</v>
      </c>
      <c r="J62" s="59">
        <v>0.21</v>
      </c>
      <c r="K62" s="59">
        <v>239.48</v>
      </c>
      <c r="L62" s="59">
        <v>23.72</v>
      </c>
      <c r="M62" s="59">
        <v>54.6</v>
      </c>
      <c r="N62" s="59">
        <v>363.2</v>
      </c>
      <c r="O62" s="59">
        <v>0</v>
      </c>
      <c r="P62" s="59">
        <v>0.88</v>
      </c>
      <c r="Q62" s="59">
        <v>30.6</v>
      </c>
      <c r="R62" s="197"/>
      <c r="S62" s="197"/>
      <c r="T62" s="197"/>
      <c r="U62" s="197"/>
    </row>
    <row r="63" spans="1:21" s="12" customFormat="1" x14ac:dyDescent="0.25">
      <c r="A63" s="200" t="s">
        <v>2031</v>
      </c>
      <c r="B63" s="59">
        <v>6.04</v>
      </c>
      <c r="C63" s="59">
        <v>56.66</v>
      </c>
      <c r="D63" s="59">
        <v>37.85</v>
      </c>
      <c r="E63" s="59">
        <v>2.66</v>
      </c>
      <c r="F63" s="59">
        <v>2.61</v>
      </c>
      <c r="G63" s="59">
        <v>44.28</v>
      </c>
      <c r="H63" s="59">
        <v>17.079999999999998</v>
      </c>
      <c r="I63" s="59">
        <v>0.53</v>
      </c>
      <c r="J63" s="59">
        <v>0.5</v>
      </c>
      <c r="K63" s="59">
        <v>236.68</v>
      </c>
      <c r="L63" s="59">
        <v>23.84</v>
      </c>
      <c r="M63" s="59">
        <v>54.03</v>
      </c>
      <c r="N63" s="59">
        <v>772.7</v>
      </c>
      <c r="O63" s="59">
        <v>0</v>
      </c>
      <c r="P63" s="59">
        <v>0.89</v>
      </c>
      <c r="Q63" s="59">
        <v>36.99</v>
      </c>
      <c r="R63" s="197"/>
      <c r="S63" s="197"/>
      <c r="T63" s="197"/>
      <c r="U63" s="197"/>
    </row>
    <row r="64" spans="1:21" s="12" customFormat="1" x14ac:dyDescent="0.25">
      <c r="A64" s="200" t="s">
        <v>2032</v>
      </c>
      <c r="B64" s="59">
        <v>5.65</v>
      </c>
      <c r="C64" s="59">
        <v>48.56</v>
      </c>
      <c r="D64" s="59">
        <v>33.07</v>
      </c>
      <c r="E64" s="59">
        <v>2.04</v>
      </c>
      <c r="F64" s="59">
        <v>2.91</v>
      </c>
      <c r="G64" s="59">
        <v>44.28</v>
      </c>
      <c r="H64" s="59">
        <v>17.079999999999998</v>
      </c>
      <c r="I64" s="59">
        <v>0.52</v>
      </c>
      <c r="J64" s="59">
        <v>0.81</v>
      </c>
      <c r="K64" s="59">
        <v>188.99</v>
      </c>
      <c r="L64" s="59">
        <v>23.89</v>
      </c>
      <c r="M64" s="59">
        <v>53.63</v>
      </c>
      <c r="N64" s="59">
        <v>699.1</v>
      </c>
      <c r="O64" s="59">
        <v>0</v>
      </c>
      <c r="P64" s="59">
        <v>0.9</v>
      </c>
      <c r="Q64" s="59">
        <v>33.74</v>
      </c>
      <c r="R64" s="197"/>
      <c r="S64" s="197"/>
      <c r="T64" s="197"/>
      <c r="U64" s="197"/>
    </row>
    <row r="65" spans="1:21" s="12" customFormat="1" x14ac:dyDescent="0.25">
      <c r="A65" s="200" t="s">
        <v>2033</v>
      </c>
      <c r="B65" s="59">
        <v>4.9000000000000004</v>
      </c>
      <c r="C65" s="59">
        <v>61.64</v>
      </c>
      <c r="D65" s="59">
        <v>39.69</v>
      </c>
      <c r="E65" s="59">
        <v>2.15</v>
      </c>
      <c r="F65" s="59">
        <v>2.99</v>
      </c>
      <c r="G65" s="59">
        <v>44.28</v>
      </c>
      <c r="H65" s="59">
        <v>17.079999999999998</v>
      </c>
      <c r="I65" s="59">
        <v>0.52</v>
      </c>
      <c r="J65" s="59">
        <v>0.51</v>
      </c>
      <c r="K65" s="59">
        <v>171.06</v>
      </c>
      <c r="L65" s="59">
        <v>23.29</v>
      </c>
      <c r="M65" s="59">
        <v>54.92</v>
      </c>
      <c r="N65" s="59">
        <v>300.7</v>
      </c>
      <c r="O65" s="59">
        <v>0</v>
      </c>
      <c r="P65" s="59">
        <v>0.91</v>
      </c>
      <c r="Q65" s="59">
        <v>31.98</v>
      </c>
      <c r="R65" s="197"/>
      <c r="S65" s="197"/>
      <c r="T65" s="197"/>
      <c r="U65" s="197"/>
    </row>
    <row r="66" spans="1:21" s="12" customFormat="1" x14ac:dyDescent="0.25">
      <c r="A66" s="200" t="s">
        <v>2034</v>
      </c>
      <c r="B66" s="59">
        <v>4.6399999999999997</v>
      </c>
      <c r="C66" s="59">
        <v>60.45</v>
      </c>
      <c r="D66" s="59">
        <v>38.83</v>
      </c>
      <c r="E66" s="59">
        <v>2.1800000000000002</v>
      </c>
      <c r="F66" s="59">
        <v>4.88</v>
      </c>
      <c r="G66" s="59">
        <v>40.47</v>
      </c>
      <c r="H66" s="59">
        <v>17.57</v>
      </c>
      <c r="I66" s="59">
        <v>0.53</v>
      </c>
      <c r="J66" s="59">
        <v>0.72</v>
      </c>
      <c r="K66" s="59">
        <v>58.65</v>
      </c>
      <c r="L66" s="59">
        <v>23.97</v>
      </c>
      <c r="M66" s="59">
        <v>53.74</v>
      </c>
      <c r="N66" s="59">
        <v>553.6</v>
      </c>
      <c r="O66" s="59">
        <v>0</v>
      </c>
      <c r="P66" s="59">
        <v>0.91</v>
      </c>
      <c r="Q66" s="59">
        <v>32.520000000000003</v>
      </c>
      <c r="R66" s="197"/>
      <c r="S66" s="197"/>
      <c r="T66" s="197"/>
      <c r="U66" s="197"/>
    </row>
    <row r="67" spans="1:21" s="12" customFormat="1" x14ac:dyDescent="0.25">
      <c r="A67" s="200" t="s">
        <v>2035</v>
      </c>
      <c r="B67" s="59">
        <v>4.72</v>
      </c>
      <c r="C67" s="59">
        <v>60.62</v>
      </c>
      <c r="D67" s="59">
        <v>38.979999999999997</v>
      </c>
      <c r="E67" s="59">
        <v>1.91</v>
      </c>
      <c r="F67" s="59">
        <v>3.01</v>
      </c>
      <c r="G67" s="59">
        <v>39.82</v>
      </c>
      <c r="H67" s="59">
        <v>17.649999999999999</v>
      </c>
      <c r="I67" s="59">
        <v>0.53</v>
      </c>
      <c r="J67" s="59">
        <v>0.38</v>
      </c>
      <c r="K67" s="59">
        <v>186.6</v>
      </c>
      <c r="L67" s="59">
        <v>24.8</v>
      </c>
      <c r="M67" s="59">
        <v>50.85</v>
      </c>
      <c r="N67" s="59">
        <v>591.6</v>
      </c>
      <c r="O67" s="59">
        <v>0</v>
      </c>
      <c r="P67" s="59">
        <v>0.92</v>
      </c>
      <c r="Q67" s="59">
        <v>32.590000000000003</v>
      </c>
      <c r="R67" s="197"/>
      <c r="S67" s="197"/>
      <c r="T67" s="197"/>
      <c r="U67" s="197"/>
    </row>
    <row r="68" spans="1:21" s="12" customFormat="1" x14ac:dyDescent="0.25">
      <c r="A68" s="200" t="s">
        <v>2036</v>
      </c>
      <c r="B68" s="59">
        <v>4.6500000000000004</v>
      </c>
      <c r="C68" s="59">
        <v>57.98</v>
      </c>
      <c r="D68" s="59">
        <v>37.46</v>
      </c>
      <c r="E68" s="59">
        <v>2.23</v>
      </c>
      <c r="F68" s="59">
        <v>3.73</v>
      </c>
      <c r="G68" s="59">
        <v>39.82</v>
      </c>
      <c r="H68" s="59">
        <v>17.649999999999999</v>
      </c>
      <c r="I68" s="59">
        <v>0.52</v>
      </c>
      <c r="J68" s="59">
        <v>0.09</v>
      </c>
      <c r="K68" s="59">
        <v>325.62</v>
      </c>
      <c r="L68" s="59">
        <v>25.42</v>
      </c>
      <c r="M68" s="59">
        <v>49.55</v>
      </c>
      <c r="N68" s="59">
        <v>467.6</v>
      </c>
      <c r="O68" s="59">
        <v>0</v>
      </c>
      <c r="P68" s="59">
        <v>0.91</v>
      </c>
      <c r="Q68" s="59">
        <v>33.68</v>
      </c>
      <c r="R68" s="197"/>
      <c r="S68" s="197"/>
      <c r="T68" s="197"/>
      <c r="U68" s="197"/>
    </row>
    <row r="69" spans="1:21" s="12" customFormat="1" x14ac:dyDescent="0.25">
      <c r="A69" s="200" t="s">
        <v>2037</v>
      </c>
      <c r="B69" s="59">
        <v>4.47</v>
      </c>
      <c r="C69" s="59">
        <v>58.53</v>
      </c>
      <c r="D69" s="59">
        <v>37.619999999999997</v>
      </c>
      <c r="E69" s="59">
        <v>2.21</v>
      </c>
      <c r="F69" s="59">
        <v>3.66</v>
      </c>
      <c r="G69" s="59">
        <v>39.82</v>
      </c>
      <c r="H69" s="59">
        <v>17.649999999999999</v>
      </c>
      <c r="I69" s="59">
        <v>0.51</v>
      </c>
      <c r="J69" s="59">
        <v>0.75</v>
      </c>
      <c r="K69" s="59">
        <v>185.21</v>
      </c>
      <c r="L69" s="59">
        <v>24.53</v>
      </c>
      <c r="M69" s="59">
        <v>51.46</v>
      </c>
      <c r="N69" s="59">
        <v>446.7</v>
      </c>
      <c r="O69" s="59">
        <v>0</v>
      </c>
      <c r="P69" s="59">
        <v>0.91</v>
      </c>
      <c r="Q69" s="59">
        <v>33.69</v>
      </c>
      <c r="R69" s="197"/>
      <c r="S69" s="197"/>
      <c r="T69" s="197"/>
      <c r="U69" s="197"/>
    </row>
    <row r="70" spans="1:21" s="12" customFormat="1" x14ac:dyDescent="0.25">
      <c r="A70" s="200" t="s">
        <v>2038</v>
      </c>
      <c r="B70" s="59">
        <v>4.1500000000000004</v>
      </c>
      <c r="C70" s="59">
        <v>51.68</v>
      </c>
      <c r="D70" s="59">
        <v>33.590000000000003</v>
      </c>
      <c r="E70" s="59">
        <v>2.3199999999999998</v>
      </c>
      <c r="F70" s="59">
        <v>4.9800000000000004</v>
      </c>
      <c r="G70" s="59">
        <v>41.8</v>
      </c>
      <c r="H70" s="59">
        <v>19.27</v>
      </c>
      <c r="I70" s="59">
        <v>0.52</v>
      </c>
      <c r="J70" s="59">
        <v>1.19</v>
      </c>
      <c r="K70" s="59">
        <v>181.69</v>
      </c>
      <c r="L70" s="59">
        <v>24.11</v>
      </c>
      <c r="M70" s="59">
        <v>51.51</v>
      </c>
      <c r="N70" s="59">
        <v>354.1</v>
      </c>
      <c r="O70" s="59">
        <v>0</v>
      </c>
      <c r="P70" s="59">
        <v>0.9</v>
      </c>
      <c r="Q70" s="59">
        <v>30.59</v>
      </c>
      <c r="R70" s="197"/>
      <c r="S70" s="197"/>
      <c r="T70" s="197"/>
      <c r="U70" s="197"/>
    </row>
    <row r="71" spans="1:21" s="12" customFormat="1" x14ac:dyDescent="0.25">
      <c r="A71" s="200" t="s">
        <v>2039</v>
      </c>
      <c r="B71" s="59">
        <v>3.93</v>
      </c>
      <c r="C71" s="59">
        <v>55.7</v>
      </c>
      <c r="D71" s="59">
        <v>35.630000000000003</v>
      </c>
      <c r="E71" s="59">
        <v>1.95</v>
      </c>
      <c r="F71" s="59">
        <v>4.83</v>
      </c>
      <c r="G71" s="59">
        <v>42.14</v>
      </c>
      <c r="H71" s="59">
        <v>19.54</v>
      </c>
      <c r="I71" s="59">
        <v>0.51</v>
      </c>
      <c r="J71" s="59">
        <v>1.04</v>
      </c>
      <c r="K71" s="59">
        <v>171.17</v>
      </c>
      <c r="L71" s="59">
        <v>23.76</v>
      </c>
      <c r="M71" s="59">
        <v>52.56</v>
      </c>
      <c r="N71" s="59">
        <v>414.8</v>
      </c>
      <c r="O71" s="59">
        <v>0</v>
      </c>
      <c r="P71" s="59">
        <v>0.88</v>
      </c>
      <c r="Q71" s="59">
        <v>31.89</v>
      </c>
      <c r="R71" s="197"/>
      <c r="S71" s="197"/>
      <c r="T71" s="197"/>
      <c r="U71" s="197"/>
    </row>
    <row r="72" spans="1:21" s="12" customFormat="1" x14ac:dyDescent="0.25">
      <c r="A72" s="200" t="s">
        <v>2040</v>
      </c>
      <c r="B72" s="59">
        <v>3.81</v>
      </c>
      <c r="C72" s="59">
        <v>60.25</v>
      </c>
      <c r="D72" s="59">
        <v>38.049999999999997</v>
      </c>
      <c r="E72" s="59">
        <v>0.94</v>
      </c>
      <c r="F72" s="59">
        <v>4.1399999999999997</v>
      </c>
      <c r="G72" s="59">
        <v>42.14</v>
      </c>
      <c r="H72" s="59">
        <v>19.54</v>
      </c>
      <c r="I72" s="59">
        <v>0.52</v>
      </c>
      <c r="J72" s="59">
        <v>1.05</v>
      </c>
      <c r="K72" s="59">
        <v>183.87</v>
      </c>
      <c r="L72" s="59">
        <v>23.56</v>
      </c>
      <c r="M72" s="59">
        <v>53.06</v>
      </c>
      <c r="N72" s="59">
        <v>331</v>
      </c>
      <c r="O72" s="59">
        <v>0</v>
      </c>
      <c r="P72" s="59">
        <v>0.87</v>
      </c>
      <c r="Q72" s="59">
        <v>30.22</v>
      </c>
      <c r="R72" s="197"/>
      <c r="S72" s="197"/>
      <c r="T72" s="197"/>
      <c r="U72" s="197"/>
    </row>
    <row r="73" spans="1:21" s="12" customFormat="1" x14ac:dyDescent="0.25">
      <c r="A73" s="200" t="s">
        <v>2041</v>
      </c>
      <c r="B73" s="59">
        <v>3.72</v>
      </c>
      <c r="C73" s="59">
        <v>60.12</v>
      </c>
      <c r="D73" s="59">
        <v>37.9</v>
      </c>
      <c r="E73" s="59">
        <v>1.64</v>
      </c>
      <c r="F73" s="59">
        <v>4.82</v>
      </c>
      <c r="G73" s="59">
        <v>42.14</v>
      </c>
      <c r="H73" s="59">
        <v>19.54</v>
      </c>
      <c r="I73" s="59">
        <v>0.51</v>
      </c>
      <c r="J73" s="59">
        <v>1.2</v>
      </c>
      <c r="K73" s="59">
        <v>181.89</v>
      </c>
      <c r="L73" s="59">
        <v>23.34</v>
      </c>
      <c r="M73" s="59">
        <v>52.88</v>
      </c>
      <c r="N73" s="59">
        <v>215.5</v>
      </c>
      <c r="O73" s="59">
        <v>0</v>
      </c>
      <c r="P73" s="59">
        <v>0.84</v>
      </c>
      <c r="Q73" s="59">
        <v>31.64</v>
      </c>
      <c r="R73" s="197"/>
      <c r="S73" s="197"/>
      <c r="T73" s="197"/>
      <c r="U73" s="197"/>
    </row>
    <row r="74" spans="1:21" s="12" customFormat="1" x14ac:dyDescent="0.25">
      <c r="A74" s="200" t="s">
        <v>2042</v>
      </c>
      <c r="B74" s="59">
        <v>3.72</v>
      </c>
      <c r="C74" s="59">
        <v>60.67</v>
      </c>
      <c r="D74" s="59">
        <v>38.21</v>
      </c>
      <c r="E74" s="59">
        <v>1.34</v>
      </c>
      <c r="F74" s="59">
        <v>4.0599999999999996</v>
      </c>
      <c r="G74" s="59">
        <v>35.86</v>
      </c>
      <c r="H74" s="59">
        <v>19.04</v>
      </c>
      <c r="I74" s="59">
        <v>0.51</v>
      </c>
      <c r="J74" s="59">
        <v>1.1299999999999999</v>
      </c>
      <c r="K74" s="59">
        <v>186.72</v>
      </c>
      <c r="L74" s="59">
        <v>23.22</v>
      </c>
      <c r="M74" s="59">
        <v>52.99</v>
      </c>
      <c r="N74" s="59">
        <v>121.8</v>
      </c>
      <c r="O74" s="59">
        <v>0</v>
      </c>
      <c r="P74" s="59">
        <v>0.82</v>
      </c>
      <c r="Q74" s="59">
        <v>30.23</v>
      </c>
      <c r="R74" s="197"/>
      <c r="S74" s="197"/>
      <c r="T74" s="197"/>
      <c r="U74" s="197"/>
    </row>
    <row r="75" spans="1:21" s="12" customFormat="1" x14ac:dyDescent="0.25">
      <c r="A75" s="200" t="s">
        <v>2043</v>
      </c>
      <c r="B75" s="59">
        <v>3.74</v>
      </c>
      <c r="C75" s="59">
        <v>59.12</v>
      </c>
      <c r="D75" s="59">
        <v>37.36</v>
      </c>
      <c r="E75" s="59">
        <v>0.96</v>
      </c>
      <c r="F75" s="59">
        <v>3.9</v>
      </c>
      <c r="G75" s="59">
        <v>34.81</v>
      </c>
      <c r="H75" s="59">
        <v>18.96</v>
      </c>
      <c r="I75" s="59">
        <v>0.51</v>
      </c>
      <c r="J75" s="59">
        <v>0.72</v>
      </c>
      <c r="K75" s="59">
        <v>205.14</v>
      </c>
      <c r="L75" s="59">
        <v>23.31</v>
      </c>
      <c r="M75" s="59">
        <v>51.51</v>
      </c>
      <c r="N75" s="59">
        <v>106.2</v>
      </c>
      <c r="O75" s="59">
        <v>0</v>
      </c>
      <c r="P75" s="59">
        <v>0.79</v>
      </c>
      <c r="Q75" s="59">
        <v>31.51</v>
      </c>
      <c r="R75" s="197"/>
      <c r="S75" s="197"/>
      <c r="T75" s="197"/>
      <c r="U75" s="197"/>
    </row>
    <row r="76" spans="1:21" s="12" customFormat="1" x14ac:dyDescent="0.25">
      <c r="A76" s="200" t="s">
        <v>2044</v>
      </c>
      <c r="B76" s="59">
        <v>3.67</v>
      </c>
      <c r="C76" s="59">
        <v>58.32</v>
      </c>
      <c r="D76" s="59">
        <v>36.869999999999997</v>
      </c>
      <c r="E76" s="59">
        <v>1.18</v>
      </c>
      <c r="F76" s="59">
        <v>4.96</v>
      </c>
      <c r="G76" s="59">
        <v>34.81</v>
      </c>
      <c r="H76" s="59">
        <v>18.96</v>
      </c>
      <c r="I76" s="59">
        <v>0.51</v>
      </c>
      <c r="J76" s="59">
        <v>0.68</v>
      </c>
      <c r="K76" s="59">
        <v>227.56</v>
      </c>
      <c r="L76" s="59">
        <v>23.02</v>
      </c>
      <c r="M76" s="59">
        <v>53.84</v>
      </c>
      <c r="N76" s="59">
        <v>66.900000000000006</v>
      </c>
      <c r="O76" s="59">
        <v>0</v>
      </c>
      <c r="P76" s="59">
        <v>0.76</v>
      </c>
      <c r="Q76" s="59">
        <v>30.25</v>
      </c>
      <c r="R76" s="197"/>
      <c r="S76" s="197"/>
      <c r="T76" s="197"/>
      <c r="U76" s="197"/>
    </row>
    <row r="77" spans="1:21" s="12" customFormat="1" x14ac:dyDescent="0.25">
      <c r="A77" s="200" t="s">
        <v>2045</v>
      </c>
      <c r="B77" s="59">
        <v>3.6</v>
      </c>
      <c r="C77" s="59">
        <v>53.2</v>
      </c>
      <c r="D77" s="59">
        <v>33.99</v>
      </c>
      <c r="E77" s="59">
        <v>1.37</v>
      </c>
      <c r="F77" s="59">
        <v>4.5199999999999996</v>
      </c>
      <c r="G77" s="59">
        <v>34.81</v>
      </c>
      <c r="H77" s="59">
        <v>18.96</v>
      </c>
      <c r="I77" s="59">
        <v>0.5</v>
      </c>
      <c r="J77" s="59">
        <v>0.41</v>
      </c>
      <c r="K77" s="59">
        <v>235.25</v>
      </c>
      <c r="L77" s="59">
        <v>22.81</v>
      </c>
      <c r="M77" s="59">
        <v>55.51</v>
      </c>
      <c r="N77" s="59">
        <v>48</v>
      </c>
      <c r="O77" s="59">
        <v>0</v>
      </c>
      <c r="P77" s="59">
        <v>0.74</v>
      </c>
      <c r="Q77" s="59">
        <v>34.72</v>
      </c>
      <c r="R77" s="197"/>
      <c r="S77" s="197"/>
      <c r="T77" s="197"/>
      <c r="U77" s="197"/>
    </row>
    <row r="78" spans="1:21" s="12" customFormat="1" x14ac:dyDescent="0.25">
      <c r="A78" s="200" t="s">
        <v>2046</v>
      </c>
      <c r="B78" s="59">
        <v>3.64</v>
      </c>
      <c r="C78" s="59">
        <v>44.96</v>
      </c>
      <c r="D78" s="59">
        <v>29.47</v>
      </c>
      <c r="E78" s="59">
        <v>1.1499999999999999</v>
      </c>
      <c r="F78" s="59">
        <v>4.72</v>
      </c>
      <c r="G78" s="59">
        <v>31.42</v>
      </c>
      <c r="H78" s="59">
        <v>15.33</v>
      </c>
      <c r="I78" s="59">
        <v>0.5</v>
      </c>
      <c r="J78" s="59">
        <v>0.31</v>
      </c>
      <c r="K78" s="59">
        <v>238.29</v>
      </c>
      <c r="L78" s="59">
        <v>22.58</v>
      </c>
      <c r="M78" s="59">
        <v>55.5</v>
      </c>
      <c r="N78" s="59">
        <v>40.5</v>
      </c>
      <c r="O78" s="59">
        <v>0</v>
      </c>
      <c r="P78" s="59">
        <v>0.72</v>
      </c>
      <c r="Q78" s="59">
        <v>32.65</v>
      </c>
      <c r="R78" s="197"/>
      <c r="S78" s="197"/>
      <c r="T78" s="197"/>
      <c r="U78" s="197"/>
    </row>
    <row r="79" spans="1:21" s="12" customFormat="1" x14ac:dyDescent="0.25">
      <c r="A79" s="200" t="s">
        <v>2047</v>
      </c>
      <c r="B79" s="59">
        <v>3.74</v>
      </c>
      <c r="C79" s="59">
        <v>50</v>
      </c>
      <c r="D79" s="59">
        <v>32.340000000000003</v>
      </c>
      <c r="E79" s="59">
        <v>1.44</v>
      </c>
      <c r="F79" s="59">
        <v>3.6</v>
      </c>
      <c r="G79" s="59">
        <v>30.89</v>
      </c>
      <c r="H79" s="59">
        <v>14.72</v>
      </c>
      <c r="I79" s="59">
        <v>0.5</v>
      </c>
      <c r="J79" s="59">
        <v>0.23</v>
      </c>
      <c r="K79" s="59">
        <v>247.89</v>
      </c>
      <c r="L79" s="59">
        <v>22.36</v>
      </c>
      <c r="M79" s="59">
        <v>56.73</v>
      </c>
      <c r="N79" s="59">
        <v>29.5</v>
      </c>
      <c r="O79" s="59">
        <v>0</v>
      </c>
      <c r="P79" s="59">
        <v>0.71</v>
      </c>
      <c r="Q79" s="59">
        <v>33.24</v>
      </c>
      <c r="R79" s="197"/>
      <c r="S79" s="197"/>
      <c r="T79" s="197"/>
      <c r="U79" s="197"/>
    </row>
    <row r="80" spans="1:21" s="12" customFormat="1" x14ac:dyDescent="0.25">
      <c r="A80" s="200" t="s">
        <v>2048</v>
      </c>
      <c r="B80" s="59">
        <v>4.63</v>
      </c>
      <c r="C80" s="59">
        <v>54.36</v>
      </c>
      <c r="D80" s="59">
        <v>35.450000000000003</v>
      </c>
      <c r="E80" s="59">
        <v>1.37</v>
      </c>
      <c r="F80" s="59">
        <v>3.4</v>
      </c>
      <c r="G80" s="59">
        <v>30.89</v>
      </c>
      <c r="H80" s="59">
        <v>14.72</v>
      </c>
      <c r="I80" s="59">
        <v>0.51</v>
      </c>
      <c r="J80" s="59">
        <v>0.15</v>
      </c>
      <c r="K80" s="59">
        <v>341.36</v>
      </c>
      <c r="L80" s="59">
        <v>22.17</v>
      </c>
      <c r="M80" s="59">
        <v>58.54</v>
      </c>
      <c r="N80" s="59">
        <v>14.7</v>
      </c>
      <c r="O80" s="59">
        <v>0</v>
      </c>
      <c r="P80" s="59">
        <v>0.71</v>
      </c>
      <c r="Q80" s="59">
        <v>31.01</v>
      </c>
      <c r="R80" s="197"/>
      <c r="S80" s="197"/>
      <c r="T80" s="197"/>
      <c r="U80" s="197"/>
    </row>
    <row r="81" spans="1:26" s="12" customFormat="1" x14ac:dyDescent="0.25">
      <c r="A81" s="200" t="s">
        <v>2049</v>
      </c>
      <c r="B81" s="59">
        <v>7.02</v>
      </c>
      <c r="C81" s="59">
        <v>59.92</v>
      </c>
      <c r="D81" s="59">
        <v>40.44</v>
      </c>
      <c r="E81" s="59">
        <v>1.18</v>
      </c>
      <c r="F81" s="59">
        <v>2.81</v>
      </c>
      <c r="G81" s="59">
        <v>30.89</v>
      </c>
      <c r="H81" s="59">
        <v>14.72</v>
      </c>
      <c r="I81" s="59">
        <v>0.5</v>
      </c>
      <c r="J81" s="59">
        <v>0.23</v>
      </c>
      <c r="K81" s="59">
        <v>30.14</v>
      </c>
      <c r="L81" s="59">
        <v>21.69</v>
      </c>
      <c r="M81" s="59">
        <v>62.25</v>
      </c>
      <c r="N81" s="59">
        <v>6.8</v>
      </c>
      <c r="O81" s="59">
        <v>0</v>
      </c>
      <c r="P81" s="59">
        <v>0.79</v>
      </c>
      <c r="Q81" s="59">
        <v>32.58</v>
      </c>
      <c r="R81" s="197"/>
      <c r="S81" s="197"/>
      <c r="T81" s="197"/>
      <c r="U81" s="197"/>
    </row>
    <row r="82" spans="1:26" s="12" customFormat="1" x14ac:dyDescent="0.25">
      <c r="A82" s="200" t="s">
        <v>2050</v>
      </c>
      <c r="B82" s="59">
        <v>8.26</v>
      </c>
      <c r="C82" s="59">
        <v>63.32</v>
      </c>
      <c r="D82" s="59">
        <v>43.32</v>
      </c>
      <c r="E82" s="59">
        <v>1.1499999999999999</v>
      </c>
      <c r="F82" s="59">
        <v>3.16</v>
      </c>
      <c r="G82" s="59">
        <v>33.74</v>
      </c>
      <c r="H82" s="59">
        <v>15.67</v>
      </c>
      <c r="I82" s="59">
        <v>0.51</v>
      </c>
      <c r="J82" s="59">
        <v>0.28999999999999998</v>
      </c>
      <c r="K82" s="59">
        <v>88.37</v>
      </c>
      <c r="L82" s="59">
        <v>21.43</v>
      </c>
      <c r="M82" s="59">
        <v>62.34</v>
      </c>
      <c r="N82" s="59">
        <v>5</v>
      </c>
      <c r="O82" s="59">
        <v>0</v>
      </c>
      <c r="P82" s="59">
        <v>0.89</v>
      </c>
      <c r="Q82" s="59">
        <v>30.84</v>
      </c>
      <c r="R82" s="197"/>
      <c r="S82" s="197"/>
      <c r="T82" s="197"/>
      <c r="U82" s="197"/>
    </row>
    <row r="83" spans="1:26" s="12" customFormat="1" x14ac:dyDescent="0.25">
      <c r="A83" s="200" t="s">
        <v>2051</v>
      </c>
      <c r="B83" s="59">
        <v>8.77</v>
      </c>
      <c r="C83" s="59">
        <v>66.13</v>
      </c>
      <c r="D83" s="59">
        <v>45.27</v>
      </c>
      <c r="E83" s="59">
        <v>1.42</v>
      </c>
      <c r="F83" s="59">
        <v>2.66</v>
      </c>
      <c r="G83" s="59">
        <v>34.18</v>
      </c>
      <c r="H83" s="59">
        <v>15.83</v>
      </c>
      <c r="I83" s="59">
        <v>0.51</v>
      </c>
      <c r="J83" s="59">
        <v>0.03</v>
      </c>
      <c r="K83" s="59">
        <v>135.01</v>
      </c>
      <c r="L83" s="59">
        <v>21.19</v>
      </c>
      <c r="M83" s="59">
        <v>64.86</v>
      </c>
      <c r="N83" s="59">
        <v>4.9000000000000004</v>
      </c>
      <c r="O83" s="59">
        <v>0</v>
      </c>
      <c r="P83" s="59">
        <v>0.9</v>
      </c>
      <c r="Q83" s="59">
        <v>31.31</v>
      </c>
      <c r="R83" s="197"/>
      <c r="S83" s="197"/>
      <c r="T83" s="197"/>
      <c r="U83" s="197"/>
    </row>
    <row r="84" spans="1:26" s="12" customFormat="1" x14ac:dyDescent="0.25">
      <c r="A84" s="200" t="s">
        <v>2052</v>
      </c>
      <c r="B84" s="59">
        <v>10</v>
      </c>
      <c r="C84" s="59">
        <v>65.33</v>
      </c>
      <c r="D84" s="59">
        <v>45.82</v>
      </c>
      <c r="E84" s="59">
        <v>1.1000000000000001</v>
      </c>
      <c r="F84" s="59">
        <v>3.98</v>
      </c>
      <c r="G84" s="59">
        <v>34.18</v>
      </c>
      <c r="H84" s="59">
        <v>15.83</v>
      </c>
      <c r="I84" s="59">
        <v>0.55000000000000004</v>
      </c>
      <c r="J84" s="59">
        <v>0.23</v>
      </c>
      <c r="K84" s="59">
        <v>341.84</v>
      </c>
      <c r="L84" s="59">
        <v>21.08</v>
      </c>
      <c r="M84" s="59">
        <v>67.290000000000006</v>
      </c>
      <c r="N84" s="59">
        <v>4.8</v>
      </c>
      <c r="O84" s="59">
        <v>0</v>
      </c>
      <c r="P84" s="59">
        <v>0.93</v>
      </c>
      <c r="Q84" s="59">
        <v>30.91</v>
      </c>
      <c r="R84" s="197"/>
      <c r="S84" s="197"/>
      <c r="T84" s="197"/>
      <c r="U84" s="197"/>
    </row>
    <row r="85" spans="1:26" s="12" customFormat="1" x14ac:dyDescent="0.25">
      <c r="A85" s="200" t="s">
        <v>2053</v>
      </c>
      <c r="B85" s="59">
        <v>9.49</v>
      </c>
      <c r="C85" s="59">
        <v>64.92</v>
      </c>
      <c r="D85" s="59">
        <v>45.17</v>
      </c>
      <c r="E85" s="59">
        <v>1.61</v>
      </c>
      <c r="F85" s="59">
        <v>3.56</v>
      </c>
      <c r="G85" s="59">
        <v>34.18</v>
      </c>
      <c r="H85" s="59">
        <v>15.83</v>
      </c>
      <c r="I85" s="59">
        <v>0.56000000000000005</v>
      </c>
      <c r="J85" s="59">
        <v>0.81</v>
      </c>
      <c r="K85" s="59">
        <v>359.05</v>
      </c>
      <c r="L85" s="59">
        <v>18.05</v>
      </c>
      <c r="M85" s="59">
        <v>70.099999999999994</v>
      </c>
      <c r="N85" s="59">
        <v>14</v>
      </c>
      <c r="O85" s="59">
        <v>3.6</v>
      </c>
      <c r="P85" s="59">
        <v>0.82</v>
      </c>
      <c r="Q85" s="59">
        <v>31.35</v>
      </c>
      <c r="R85" s="197"/>
      <c r="S85" s="197"/>
      <c r="T85" s="197"/>
      <c r="U85" s="197"/>
    </row>
    <row r="86" spans="1:26" s="12" customFormat="1" x14ac:dyDescent="0.25">
      <c r="A86" s="200" t="s">
        <v>2054</v>
      </c>
      <c r="B86" s="59">
        <v>5.52</v>
      </c>
      <c r="C86" s="59">
        <v>64.680000000000007</v>
      </c>
      <c r="D86" s="59">
        <v>41.87</v>
      </c>
      <c r="E86" s="59">
        <v>1.41</v>
      </c>
      <c r="F86" s="59">
        <v>3.86</v>
      </c>
      <c r="G86" s="59">
        <v>130.44999999999999</v>
      </c>
      <c r="H86" s="59">
        <v>16.09</v>
      </c>
      <c r="I86" s="59">
        <v>0.54</v>
      </c>
      <c r="J86" s="59">
        <v>0.61</v>
      </c>
      <c r="K86" s="59">
        <v>4.59</v>
      </c>
      <c r="L86" s="59">
        <v>14.63</v>
      </c>
      <c r="M86" s="59">
        <v>93.04</v>
      </c>
      <c r="N86" s="59">
        <v>7.2</v>
      </c>
      <c r="O86" s="59">
        <v>1.4</v>
      </c>
      <c r="P86" s="59">
        <v>0.79</v>
      </c>
      <c r="Q86" s="59">
        <v>29.69</v>
      </c>
      <c r="R86" s="197"/>
      <c r="S86" s="197"/>
      <c r="T86" s="197"/>
      <c r="U86" s="197"/>
    </row>
    <row r="87" spans="1:26" s="12" customFormat="1" x14ac:dyDescent="0.25">
      <c r="A87" s="200" t="s">
        <v>2055</v>
      </c>
      <c r="B87" s="59">
        <v>5.13</v>
      </c>
      <c r="C87" s="59">
        <v>65.680000000000007</v>
      </c>
      <c r="D87" s="59">
        <v>42.1</v>
      </c>
      <c r="E87" s="59">
        <v>1.48</v>
      </c>
      <c r="F87" s="59">
        <v>2.84</v>
      </c>
      <c r="G87" s="59">
        <v>146.69999999999999</v>
      </c>
      <c r="H87" s="59">
        <v>16.14</v>
      </c>
      <c r="I87" s="59">
        <v>0.54</v>
      </c>
      <c r="J87" s="59">
        <v>1.01</v>
      </c>
      <c r="K87" s="59">
        <v>23.45</v>
      </c>
      <c r="L87" s="59">
        <v>14.53</v>
      </c>
      <c r="M87" s="59">
        <v>95.29</v>
      </c>
      <c r="N87" s="59">
        <v>5.3</v>
      </c>
      <c r="O87" s="59">
        <v>0.4</v>
      </c>
      <c r="P87" s="59">
        <v>0.76</v>
      </c>
      <c r="Q87" s="59">
        <v>30.13</v>
      </c>
      <c r="R87" s="197"/>
      <c r="S87" s="197"/>
      <c r="T87" s="197"/>
      <c r="U87" s="197"/>
    </row>
    <row r="88" spans="1:26" s="12" customFormat="1" x14ac:dyDescent="0.25">
      <c r="A88" s="200" t="s">
        <v>2056</v>
      </c>
      <c r="B88" s="59">
        <v>5.81</v>
      </c>
      <c r="C88" s="59">
        <v>62.63</v>
      </c>
      <c r="D88" s="59">
        <v>40.97</v>
      </c>
      <c r="E88" s="59">
        <v>1.06</v>
      </c>
      <c r="F88" s="59">
        <v>4.13</v>
      </c>
      <c r="G88" s="59">
        <v>146.69999999999999</v>
      </c>
      <c r="H88" s="59">
        <v>16.14</v>
      </c>
      <c r="I88" s="59">
        <v>0.52</v>
      </c>
      <c r="J88" s="59">
        <v>2.73</v>
      </c>
      <c r="K88" s="59">
        <v>14.89</v>
      </c>
      <c r="L88" s="59">
        <v>14.8</v>
      </c>
      <c r="M88" s="59">
        <v>92.15</v>
      </c>
      <c r="N88" s="59">
        <v>5.9</v>
      </c>
      <c r="O88" s="59">
        <v>0.4</v>
      </c>
      <c r="P88" s="59">
        <v>0.72</v>
      </c>
      <c r="Q88" s="59">
        <v>29.8</v>
      </c>
      <c r="R88" s="197"/>
      <c r="S88" s="197"/>
      <c r="T88" s="197"/>
      <c r="U88" s="197"/>
    </row>
    <row r="89" spans="1:26" s="12" customFormat="1" x14ac:dyDescent="0.25">
      <c r="A89" s="200" t="s">
        <v>2057</v>
      </c>
      <c r="B89" s="59">
        <v>5.7</v>
      </c>
      <c r="C89" s="59">
        <v>61.41</v>
      </c>
      <c r="D89" s="59">
        <v>40.200000000000003</v>
      </c>
      <c r="E89" s="59">
        <v>2.0499999999999998</v>
      </c>
      <c r="F89" s="59">
        <v>4.01</v>
      </c>
      <c r="G89" s="59">
        <v>146.69999999999999</v>
      </c>
      <c r="H89" s="59">
        <v>16.14</v>
      </c>
      <c r="I89" s="59">
        <v>0.51</v>
      </c>
      <c r="J89" s="59">
        <v>1.03</v>
      </c>
      <c r="K89" s="59">
        <v>25.09</v>
      </c>
      <c r="L89" s="59">
        <v>15.06</v>
      </c>
      <c r="M89" s="59">
        <v>87.6</v>
      </c>
      <c r="N89" s="59">
        <v>5.7</v>
      </c>
      <c r="O89" s="59">
        <v>0</v>
      </c>
      <c r="P89" s="59">
        <v>0.68</v>
      </c>
      <c r="Q89" s="59">
        <v>30.05</v>
      </c>
      <c r="R89" s="197"/>
      <c r="S89" s="197"/>
      <c r="T89" s="197"/>
      <c r="U89" s="197"/>
    </row>
    <row r="90" spans="1:26" s="12" customFormat="1" x14ac:dyDescent="0.25">
      <c r="A90" s="200" t="s">
        <v>2058</v>
      </c>
      <c r="B90" s="59">
        <v>5.92</v>
      </c>
      <c r="C90" s="59">
        <v>61.83</v>
      </c>
      <c r="D90" s="59">
        <v>40.61</v>
      </c>
      <c r="E90" s="59">
        <v>2.25</v>
      </c>
      <c r="F90" s="59">
        <v>2.2000000000000002</v>
      </c>
      <c r="G90" s="59">
        <v>46.67</v>
      </c>
      <c r="H90" s="59">
        <v>11.31</v>
      </c>
      <c r="I90" s="59">
        <v>0.53</v>
      </c>
      <c r="J90" s="59">
        <v>0.8</v>
      </c>
      <c r="K90" s="59">
        <v>8.58</v>
      </c>
      <c r="L90" s="59">
        <v>15.23</v>
      </c>
      <c r="M90" s="59">
        <v>87.28</v>
      </c>
      <c r="N90" s="59">
        <v>5.8</v>
      </c>
      <c r="O90" s="59">
        <v>0</v>
      </c>
      <c r="P90" s="59">
        <v>0.68</v>
      </c>
      <c r="Q90" s="59">
        <v>31.24</v>
      </c>
      <c r="R90" s="197"/>
      <c r="S90" s="197"/>
      <c r="T90" s="197"/>
      <c r="U90" s="197"/>
    </row>
    <row r="91" spans="1:26" s="12" customFormat="1" x14ac:dyDescent="0.25">
      <c r="A91" s="200" t="s">
        <v>2059</v>
      </c>
      <c r="B91" s="59">
        <v>7.13</v>
      </c>
      <c r="C91" s="59">
        <v>59.66</v>
      </c>
      <c r="D91" s="59">
        <v>40.380000000000003</v>
      </c>
      <c r="E91" s="59">
        <v>1.98</v>
      </c>
      <c r="F91" s="59">
        <v>1.78</v>
      </c>
      <c r="G91" s="59">
        <v>29.78</v>
      </c>
      <c r="H91" s="59">
        <v>10.49</v>
      </c>
      <c r="I91" s="59">
        <v>0.52</v>
      </c>
      <c r="J91" s="59">
        <v>0.26</v>
      </c>
      <c r="K91" s="59">
        <v>19.600000000000001</v>
      </c>
      <c r="L91" s="59">
        <v>15.49</v>
      </c>
      <c r="M91" s="59">
        <v>86.56</v>
      </c>
      <c r="N91" s="59">
        <v>6</v>
      </c>
      <c r="O91" s="59">
        <v>0</v>
      </c>
      <c r="P91" s="59">
        <v>0.69</v>
      </c>
      <c r="Q91" s="59">
        <v>33.25</v>
      </c>
      <c r="R91" s="197"/>
      <c r="S91" s="197"/>
      <c r="T91" s="197"/>
      <c r="U91" s="197"/>
    </row>
    <row r="92" spans="1:26" s="12" customFormat="1" x14ac:dyDescent="0.25">
      <c r="A92" s="200" t="s">
        <v>2060</v>
      </c>
      <c r="B92" s="59">
        <v>8.39</v>
      </c>
      <c r="C92" s="59">
        <v>52.67</v>
      </c>
      <c r="D92" s="59">
        <v>37.53</v>
      </c>
      <c r="E92" s="59">
        <v>2.04</v>
      </c>
      <c r="F92" s="59">
        <v>1.85</v>
      </c>
      <c r="G92" s="59">
        <v>29.78</v>
      </c>
      <c r="H92" s="59">
        <v>10.49</v>
      </c>
      <c r="I92" s="59">
        <v>0.53</v>
      </c>
      <c r="J92" s="59">
        <v>0.1</v>
      </c>
      <c r="K92" s="59">
        <v>150.91</v>
      </c>
      <c r="L92" s="59">
        <v>15.68</v>
      </c>
      <c r="M92" s="59">
        <v>85.44</v>
      </c>
      <c r="N92" s="59">
        <v>6.1</v>
      </c>
      <c r="O92" s="59">
        <v>0</v>
      </c>
      <c r="P92" s="59">
        <v>0.69</v>
      </c>
      <c r="Q92" s="59">
        <v>33.67</v>
      </c>
      <c r="R92" s="197"/>
      <c r="S92" s="197"/>
      <c r="T92" s="197"/>
      <c r="U92" s="197"/>
    </row>
    <row r="93" spans="1:26" s="12" customFormat="1" x14ac:dyDescent="0.25">
      <c r="A93" s="200" t="s">
        <v>2061</v>
      </c>
      <c r="B93" s="59">
        <v>9.68</v>
      </c>
      <c r="C93" s="59">
        <v>53.45</v>
      </c>
      <c r="D93" s="59">
        <v>39</v>
      </c>
      <c r="E93" s="59">
        <v>2.14</v>
      </c>
      <c r="F93" s="59">
        <v>1.44</v>
      </c>
      <c r="G93" s="59">
        <v>29.78</v>
      </c>
      <c r="H93" s="59">
        <v>10.49</v>
      </c>
      <c r="I93" s="59">
        <v>0.52</v>
      </c>
      <c r="J93" s="59">
        <v>0.14000000000000001</v>
      </c>
      <c r="K93" s="59">
        <v>182.22</v>
      </c>
      <c r="L93" s="59">
        <v>15.73</v>
      </c>
      <c r="M93" s="59">
        <v>84.36</v>
      </c>
      <c r="N93" s="59">
        <v>5.9</v>
      </c>
      <c r="O93" s="59">
        <v>0</v>
      </c>
      <c r="P93" s="59">
        <v>0.71</v>
      </c>
      <c r="Q93" s="59">
        <v>33.5</v>
      </c>
      <c r="R93" s="197"/>
      <c r="S93" s="197"/>
      <c r="T93" s="197"/>
      <c r="U93" s="197"/>
    </row>
    <row r="94" spans="1:26" s="12" customFormat="1" x14ac:dyDescent="0.25">
      <c r="A94" s="200" t="s">
        <v>2062</v>
      </c>
      <c r="B94" s="59">
        <v>11.02</v>
      </c>
      <c r="C94" s="59">
        <v>55.62</v>
      </c>
      <c r="D94" s="59">
        <v>41.27</v>
      </c>
      <c r="E94" s="59">
        <v>2.2200000000000002</v>
      </c>
      <c r="F94" s="59">
        <v>1.3</v>
      </c>
      <c r="G94" s="59">
        <v>28.1</v>
      </c>
      <c r="H94" s="59">
        <v>10.63</v>
      </c>
      <c r="I94" s="59">
        <v>0.54</v>
      </c>
      <c r="J94" s="59">
        <v>0.05</v>
      </c>
      <c r="K94" s="59">
        <v>289.77999999999997</v>
      </c>
      <c r="L94" s="59">
        <v>15.79</v>
      </c>
      <c r="M94" s="59">
        <v>85.92</v>
      </c>
      <c r="N94" s="59">
        <v>5.5</v>
      </c>
      <c r="O94" s="59">
        <v>0</v>
      </c>
      <c r="P94" s="59">
        <v>0.71</v>
      </c>
      <c r="Q94" s="59">
        <v>33.47</v>
      </c>
      <c r="R94" s="197"/>
      <c r="S94" s="197"/>
      <c r="T94" s="197"/>
      <c r="U94" s="197"/>
    </row>
    <row r="95" spans="1:26" s="12" customFormat="1" x14ac:dyDescent="0.25">
      <c r="A95" s="200" t="s">
        <v>2063</v>
      </c>
      <c r="B95" s="59">
        <v>12.18</v>
      </c>
      <c r="C95" s="59">
        <v>58.15</v>
      </c>
      <c r="D95" s="59">
        <v>43.6</v>
      </c>
      <c r="E95" s="59">
        <v>2.27</v>
      </c>
      <c r="F95" s="59">
        <v>1.28</v>
      </c>
      <c r="G95" s="59">
        <v>27.85</v>
      </c>
      <c r="H95" s="59">
        <v>10.65</v>
      </c>
      <c r="I95" s="59">
        <v>0.55000000000000004</v>
      </c>
      <c r="J95" s="59">
        <v>0.33</v>
      </c>
      <c r="K95" s="59">
        <v>241.76</v>
      </c>
      <c r="L95" s="59">
        <v>15.82</v>
      </c>
      <c r="M95" s="59">
        <v>84.89</v>
      </c>
      <c r="N95" s="59">
        <v>5.8</v>
      </c>
      <c r="O95" s="59">
        <v>0</v>
      </c>
      <c r="P95" s="59">
        <v>0.73</v>
      </c>
      <c r="Q95" s="59">
        <v>33.270000000000003</v>
      </c>
      <c r="R95" s="197"/>
      <c r="S95" s="197"/>
      <c r="T95" s="197"/>
      <c r="U95" s="197"/>
    </row>
    <row r="96" spans="1:26" s="12" customFormat="1" x14ac:dyDescent="0.25">
      <c r="A96" s="200" t="s">
        <v>2064</v>
      </c>
      <c r="B96" s="59">
        <v>12.21</v>
      </c>
      <c r="C96" s="59">
        <v>59.19</v>
      </c>
      <c r="D96" s="59">
        <v>44.2</v>
      </c>
      <c r="E96" s="59">
        <v>2.08</v>
      </c>
      <c r="F96" s="59">
        <v>1.36</v>
      </c>
      <c r="G96" s="59">
        <v>27.85</v>
      </c>
      <c r="H96" s="59">
        <v>10.65</v>
      </c>
      <c r="I96" s="59">
        <v>0.56000000000000005</v>
      </c>
      <c r="J96" s="59">
        <v>0.27</v>
      </c>
      <c r="K96" s="59">
        <v>275.13</v>
      </c>
      <c r="L96" s="59">
        <v>15.49</v>
      </c>
      <c r="M96" s="59">
        <v>86.93</v>
      </c>
      <c r="N96" s="59">
        <v>5.8</v>
      </c>
      <c r="O96" s="59">
        <v>0</v>
      </c>
      <c r="P96" s="59">
        <v>0.7</v>
      </c>
      <c r="Q96" s="59">
        <v>33.619999999999997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2065</v>
      </c>
      <c r="B97" s="59">
        <v>12.29</v>
      </c>
      <c r="C97" s="59">
        <v>58.55</v>
      </c>
      <c r="D97" s="59">
        <v>43.91</v>
      </c>
      <c r="E97" s="59">
        <v>1.81</v>
      </c>
      <c r="F97" s="59">
        <v>1.4</v>
      </c>
      <c r="G97" s="59">
        <v>27.85</v>
      </c>
      <c r="H97" s="59">
        <v>10.65</v>
      </c>
      <c r="I97" s="59">
        <v>0.55000000000000004</v>
      </c>
      <c r="J97" s="59">
        <v>0.5</v>
      </c>
      <c r="K97" s="59">
        <v>242.45</v>
      </c>
      <c r="L97" s="59">
        <v>15.44</v>
      </c>
      <c r="M97" s="59">
        <v>89.63</v>
      </c>
      <c r="N97" s="59">
        <v>5.6</v>
      </c>
      <c r="O97" s="59">
        <v>0</v>
      </c>
      <c r="P97" s="59">
        <v>0.69</v>
      </c>
      <c r="Q97" s="59">
        <v>33.630000000000003</v>
      </c>
      <c r="R97" s="197"/>
      <c r="S97" s="197"/>
      <c r="T97" s="197"/>
      <c r="U97" s="197"/>
    </row>
    <row r="98" spans="1:33" s="12" customFormat="1" x14ac:dyDescent="0.25">
      <c r="A98" s="200" t="s">
        <v>2066</v>
      </c>
      <c r="B98" s="59">
        <v>11.64</v>
      </c>
      <c r="C98" s="59">
        <v>56.28</v>
      </c>
      <c r="D98" s="59">
        <v>42.13</v>
      </c>
      <c r="E98" s="59">
        <v>1.85</v>
      </c>
      <c r="F98" s="59">
        <v>1.62</v>
      </c>
      <c r="G98" s="59">
        <v>22.25</v>
      </c>
      <c r="H98" s="59">
        <v>11</v>
      </c>
      <c r="I98" s="59">
        <v>0.53</v>
      </c>
      <c r="J98" s="59">
        <v>1.04</v>
      </c>
      <c r="K98" s="59">
        <v>198.96</v>
      </c>
      <c r="L98" s="59">
        <v>15.53</v>
      </c>
      <c r="M98" s="59">
        <v>83.18</v>
      </c>
      <c r="N98" s="59">
        <v>6</v>
      </c>
      <c r="O98" s="59">
        <v>0.2</v>
      </c>
      <c r="P98" s="59">
        <v>0.65</v>
      </c>
      <c r="Q98" s="59">
        <v>32.14</v>
      </c>
      <c r="R98" s="197"/>
      <c r="S98" s="197"/>
      <c r="T98" s="197"/>
      <c r="U98" s="197"/>
    </row>
    <row r="99" spans="1:33" s="12" customFormat="1" x14ac:dyDescent="0.25">
      <c r="A99" s="200" t="s">
        <v>2067</v>
      </c>
      <c r="B99" s="59">
        <v>10.36</v>
      </c>
      <c r="C99" s="59">
        <v>54.3</v>
      </c>
      <c r="D99" s="59">
        <v>40.020000000000003</v>
      </c>
      <c r="E99" s="59">
        <v>1.72</v>
      </c>
      <c r="F99" s="59">
        <v>1.63</v>
      </c>
      <c r="G99" s="59">
        <v>21.3</v>
      </c>
      <c r="H99" s="59">
        <v>11.05</v>
      </c>
      <c r="I99" s="59">
        <v>0.55000000000000004</v>
      </c>
      <c r="J99" s="59">
        <v>1.94</v>
      </c>
      <c r="K99" s="59">
        <v>177.52</v>
      </c>
      <c r="L99" s="59">
        <v>15.7</v>
      </c>
      <c r="M99" s="59">
        <v>82.08</v>
      </c>
      <c r="N99" s="59">
        <v>5.3</v>
      </c>
      <c r="O99" s="59">
        <v>0</v>
      </c>
      <c r="P99" s="59">
        <v>0.63</v>
      </c>
      <c r="Q99" s="59">
        <v>30.81</v>
      </c>
      <c r="R99" s="197"/>
      <c r="S99" s="197"/>
      <c r="T99" s="197"/>
      <c r="U99" s="197"/>
    </row>
    <row r="100" spans="1:33" s="12" customFormat="1" x14ac:dyDescent="0.25">
      <c r="A100" s="200" t="s">
        <v>2068</v>
      </c>
      <c r="B100" s="59">
        <v>9.1300000000000008</v>
      </c>
      <c r="C100" s="59">
        <v>56.25</v>
      </c>
      <c r="D100" s="59">
        <v>40.1</v>
      </c>
      <c r="E100" s="59">
        <v>1.97</v>
      </c>
      <c r="F100" s="59">
        <v>1.93</v>
      </c>
      <c r="G100" s="59">
        <v>21.3</v>
      </c>
      <c r="H100" s="59">
        <v>11.05</v>
      </c>
      <c r="I100" s="59">
        <v>0.51</v>
      </c>
      <c r="J100" s="59">
        <v>1.56</v>
      </c>
      <c r="K100" s="59">
        <v>188.73</v>
      </c>
      <c r="L100" s="59">
        <v>15.48</v>
      </c>
      <c r="M100" s="59">
        <v>83.54</v>
      </c>
      <c r="N100" s="59">
        <v>5.3</v>
      </c>
      <c r="O100" s="59">
        <v>0</v>
      </c>
      <c r="P100" s="59">
        <v>0.6</v>
      </c>
      <c r="Q100" s="59">
        <v>31.99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2069</v>
      </c>
      <c r="B101" s="59">
        <v>7.91</v>
      </c>
      <c r="C101" s="59">
        <v>57.95</v>
      </c>
      <c r="D101" s="59">
        <v>40.06</v>
      </c>
      <c r="E101" s="59">
        <v>1.99</v>
      </c>
      <c r="F101" s="59">
        <v>2.04</v>
      </c>
      <c r="G101" s="59">
        <v>21.3</v>
      </c>
      <c r="H101" s="59">
        <v>11.05</v>
      </c>
      <c r="I101" s="59">
        <v>0.53</v>
      </c>
      <c r="J101" s="59">
        <v>0.43</v>
      </c>
      <c r="K101" s="59">
        <v>192.03</v>
      </c>
      <c r="L101" s="59">
        <v>15.03</v>
      </c>
      <c r="M101" s="59">
        <v>88.87</v>
      </c>
      <c r="N101" s="59">
        <v>5.2</v>
      </c>
      <c r="O101" s="59">
        <v>0</v>
      </c>
      <c r="P101" s="59">
        <v>0.57999999999999996</v>
      </c>
      <c r="Q101" s="59">
        <v>31.05</v>
      </c>
      <c r="R101" s="197"/>
      <c r="S101" s="197"/>
      <c r="T101" s="197"/>
      <c r="U101" s="197"/>
    </row>
    <row r="102" spans="1:33" s="12" customFormat="1" x14ac:dyDescent="0.25">
      <c r="A102" s="200" t="s">
        <v>2070</v>
      </c>
      <c r="B102" s="59">
        <v>7.48</v>
      </c>
      <c r="C102" s="59">
        <v>58.38</v>
      </c>
      <c r="D102" s="59">
        <v>39.96</v>
      </c>
      <c r="E102" s="59">
        <v>1.53</v>
      </c>
      <c r="F102" s="59">
        <v>1.77</v>
      </c>
      <c r="G102" s="59">
        <v>4.59</v>
      </c>
      <c r="H102" s="59">
        <v>10.87</v>
      </c>
      <c r="I102" s="59">
        <v>0.5</v>
      </c>
      <c r="J102" s="59">
        <v>0.77</v>
      </c>
      <c r="K102" s="59">
        <v>206.74</v>
      </c>
      <c r="L102" s="59">
        <v>14.97</v>
      </c>
      <c r="M102" s="59">
        <v>88.98</v>
      </c>
      <c r="N102" s="59">
        <v>4.9000000000000004</v>
      </c>
      <c r="O102" s="59">
        <v>0</v>
      </c>
      <c r="P102" s="59">
        <v>0.56999999999999995</v>
      </c>
      <c r="Q102" s="59">
        <v>31.33</v>
      </c>
      <c r="R102" s="197"/>
      <c r="S102" s="197"/>
      <c r="T102" s="197"/>
      <c r="U102" s="197"/>
    </row>
    <row r="103" spans="1:33" s="12" customFormat="1" x14ac:dyDescent="0.25">
      <c r="A103" s="200" t="s">
        <v>2071</v>
      </c>
      <c r="B103" s="59">
        <v>7.19</v>
      </c>
      <c r="C103" s="59">
        <v>57.28</v>
      </c>
      <c r="D103" s="59">
        <v>39.119999999999997</v>
      </c>
      <c r="E103" s="59">
        <v>2.09</v>
      </c>
      <c r="F103" s="59">
        <v>1.95</v>
      </c>
      <c r="G103" s="59">
        <v>2.02</v>
      </c>
      <c r="H103" s="59">
        <v>10.84</v>
      </c>
      <c r="I103" s="59">
        <v>0.51</v>
      </c>
      <c r="J103" s="59">
        <v>0.03</v>
      </c>
      <c r="K103" s="59">
        <v>284.57</v>
      </c>
      <c r="L103" s="59">
        <v>14.94</v>
      </c>
      <c r="M103" s="59">
        <v>89.51</v>
      </c>
      <c r="N103" s="59">
        <v>5</v>
      </c>
      <c r="O103" s="59">
        <v>0</v>
      </c>
      <c r="P103" s="59">
        <v>0.55000000000000004</v>
      </c>
      <c r="Q103" s="59">
        <v>31.73</v>
      </c>
      <c r="R103" s="197"/>
      <c r="S103" s="197"/>
      <c r="T103" s="197"/>
      <c r="U103" s="197"/>
    </row>
    <row r="104" spans="1:33" s="12" customFormat="1" x14ac:dyDescent="0.25">
      <c r="A104" s="200" t="s">
        <v>2072</v>
      </c>
      <c r="B104" s="59">
        <v>7.1</v>
      </c>
      <c r="C104" s="59">
        <v>56.11</v>
      </c>
      <c r="D104" s="59">
        <v>38.4</v>
      </c>
      <c r="E104" s="59">
        <v>0.96</v>
      </c>
      <c r="F104" s="59">
        <v>1.54</v>
      </c>
      <c r="G104" s="59">
        <v>2.02</v>
      </c>
      <c r="H104" s="59">
        <v>10.84</v>
      </c>
      <c r="I104" s="59">
        <v>0.52</v>
      </c>
      <c r="J104" s="59">
        <v>0.17</v>
      </c>
      <c r="K104" s="59">
        <v>340.07</v>
      </c>
      <c r="L104" s="59">
        <v>14.93</v>
      </c>
      <c r="M104" s="59">
        <v>90.46</v>
      </c>
      <c r="N104" s="59">
        <v>4.9000000000000004</v>
      </c>
      <c r="O104" s="59">
        <v>0</v>
      </c>
      <c r="P104" s="59">
        <v>0.55000000000000004</v>
      </c>
      <c r="Q104" s="59">
        <v>30.81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3.6</v>
      </c>
      <c r="C106" s="66">
        <f>MIN(C9:C104)</f>
        <v>44.67</v>
      </c>
      <c r="D106" s="66">
        <f t="shared" ref="D106:Q106" si="0">MIN(D9:D104)</f>
        <v>29.47</v>
      </c>
      <c r="E106" s="66">
        <f t="shared" si="0"/>
        <v>0.45</v>
      </c>
      <c r="F106" s="66">
        <f t="shared" si="0"/>
        <v>1.1200000000000001</v>
      </c>
      <c r="G106" s="66">
        <f t="shared" si="0"/>
        <v>2.02</v>
      </c>
      <c r="H106" s="66">
        <f t="shared" si="0"/>
        <v>10.49</v>
      </c>
      <c r="I106" s="66">
        <f t="shared" si="0"/>
        <v>0.5</v>
      </c>
      <c r="J106" s="66">
        <f t="shared" si="0"/>
        <v>0.03</v>
      </c>
      <c r="K106" s="66">
        <f t="shared" si="0"/>
        <v>4.59</v>
      </c>
      <c r="L106" s="66">
        <f t="shared" si="0"/>
        <v>14.53</v>
      </c>
      <c r="M106" s="66">
        <f t="shared" si="0"/>
        <v>49.55</v>
      </c>
      <c r="N106" s="66">
        <f t="shared" si="0"/>
        <v>4.7</v>
      </c>
      <c r="O106" s="66">
        <f t="shared" si="0"/>
        <v>0</v>
      </c>
      <c r="P106" s="66">
        <f t="shared" si="0"/>
        <v>0.52</v>
      </c>
      <c r="Q106" s="66">
        <f t="shared" si="0"/>
        <v>26.77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27.87</v>
      </c>
      <c r="C107" s="65">
        <f t="shared" ref="C107:Q107" si="1">MAX(C9:C104)</f>
        <v>66.13</v>
      </c>
      <c r="D107" s="65">
        <f t="shared" si="1"/>
        <v>50.83</v>
      </c>
      <c r="E107" s="65">
        <f t="shared" si="1"/>
        <v>3.14</v>
      </c>
      <c r="F107" s="65">
        <f t="shared" si="1"/>
        <v>4.9800000000000004</v>
      </c>
      <c r="G107" s="65">
        <f t="shared" si="1"/>
        <v>146.69999999999999</v>
      </c>
      <c r="H107" s="65">
        <f t="shared" si="1"/>
        <v>19.78</v>
      </c>
      <c r="I107" s="65">
        <f t="shared" si="1"/>
        <v>0.6</v>
      </c>
      <c r="J107" s="65">
        <f t="shared" si="1"/>
        <v>2.73</v>
      </c>
      <c r="K107" s="65">
        <f t="shared" si="1"/>
        <v>359.05</v>
      </c>
      <c r="L107" s="65">
        <f t="shared" si="1"/>
        <v>25.42</v>
      </c>
      <c r="M107" s="65">
        <f t="shared" si="1"/>
        <v>95.29</v>
      </c>
      <c r="N107" s="65">
        <f t="shared" si="1"/>
        <v>772.7</v>
      </c>
      <c r="O107" s="65">
        <f t="shared" si="1"/>
        <v>3.6</v>
      </c>
      <c r="P107" s="65">
        <f t="shared" si="1"/>
        <v>0.93</v>
      </c>
      <c r="Q107" s="65">
        <f t="shared" si="1"/>
        <v>36.99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12.368124999999999</v>
      </c>
      <c r="C108" s="66">
        <f t="shared" ref="C108:Q108" si="2">AVERAGE(C9:C104)</f>
        <v>54.70104166666664</v>
      </c>
      <c r="D108" s="66">
        <f t="shared" si="2"/>
        <v>41.846770833333331</v>
      </c>
      <c r="E108" s="66">
        <f t="shared" si="2"/>
        <v>1.8718750000000002</v>
      </c>
      <c r="F108" s="66">
        <f t="shared" si="2"/>
        <v>2.1693750000000001</v>
      </c>
      <c r="G108" s="66">
        <f t="shared" si="2"/>
        <v>39.024062499999999</v>
      </c>
      <c r="H108" s="66">
        <f t="shared" si="2"/>
        <v>15.269479166666665</v>
      </c>
      <c r="I108" s="66">
        <f t="shared" si="2"/>
        <v>0.53895833333333332</v>
      </c>
      <c r="J108" s="66">
        <f t="shared" si="2"/>
        <v>0.55031249999999987</v>
      </c>
      <c r="K108" s="66">
        <f t="shared" si="2"/>
        <v>164.11385416666667</v>
      </c>
      <c r="L108" s="66">
        <f t="shared" si="2"/>
        <v>18.6215625</v>
      </c>
      <c r="M108" s="66">
        <f t="shared" si="2"/>
        <v>75.496979166666677</v>
      </c>
      <c r="N108" s="66">
        <f t="shared" si="2"/>
        <v>155.26874999999998</v>
      </c>
      <c r="O108" s="66">
        <f t="shared" si="2"/>
        <v>6.2500000000000014E-2</v>
      </c>
      <c r="P108" s="66">
        <f t="shared" si="2"/>
        <v>0.69322916666666623</v>
      </c>
      <c r="Q108" s="66">
        <f t="shared" si="2"/>
        <v>31.378645833333323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6.8407139228068967</v>
      </c>
      <c r="C109" s="66">
        <f t="shared" ref="C109:Q109" si="3">STDEV(C9:C104)</f>
        <v>5.7664427562758345</v>
      </c>
      <c r="D109" s="66">
        <f t="shared" si="3"/>
        <v>4.2187437628283977</v>
      </c>
      <c r="E109" s="66">
        <f t="shared" si="3"/>
        <v>0.56073882183757184</v>
      </c>
      <c r="F109" s="66">
        <f t="shared" si="3"/>
        <v>1.1587459759766621</v>
      </c>
      <c r="G109" s="66">
        <f t="shared" si="3"/>
        <v>24.327808328314525</v>
      </c>
      <c r="H109" s="66">
        <f t="shared" si="3"/>
        <v>2.9550055195572869</v>
      </c>
      <c r="I109" s="66">
        <f t="shared" si="3"/>
        <v>2.5193113790401948E-2</v>
      </c>
      <c r="J109" s="66">
        <f t="shared" si="3"/>
        <v>0.45165066408499965</v>
      </c>
      <c r="K109" s="66">
        <f t="shared" si="3"/>
        <v>91.710243959408942</v>
      </c>
      <c r="L109" s="66">
        <f t="shared" si="3"/>
        <v>3.4193946303633993</v>
      </c>
      <c r="M109" s="66">
        <f t="shared" si="3"/>
        <v>14.573549444458866</v>
      </c>
      <c r="N109" s="66">
        <f t="shared" si="3"/>
        <v>204.88092989395204</v>
      </c>
      <c r="O109" s="66">
        <f t="shared" si="3"/>
        <v>0.39609940272879135</v>
      </c>
      <c r="P109" s="66">
        <f t="shared" si="3"/>
        <v>0.12543393976757178</v>
      </c>
      <c r="Q109" s="66">
        <f t="shared" si="3"/>
        <v>1.9851775048788944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20-03-2023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2073</v>
      </c>
      <c r="B9" s="59">
        <v>7.38</v>
      </c>
      <c r="C9" s="59">
        <v>54.29</v>
      </c>
      <c r="D9" s="59">
        <v>37.630000000000003</v>
      </c>
      <c r="E9" s="59">
        <v>1.76</v>
      </c>
      <c r="F9" s="59">
        <v>1.54</v>
      </c>
      <c r="G9" s="210" t="s">
        <v>43</v>
      </c>
      <c r="H9" s="210" t="s">
        <v>43</v>
      </c>
      <c r="I9" s="59">
        <v>0.52</v>
      </c>
      <c r="J9" s="59">
        <v>0.55000000000000004</v>
      </c>
      <c r="K9" s="59">
        <v>346.76</v>
      </c>
      <c r="L9" s="59">
        <v>14.93</v>
      </c>
      <c r="M9" s="59">
        <v>91.24</v>
      </c>
      <c r="N9" s="59">
        <v>4.7</v>
      </c>
      <c r="O9" s="59">
        <v>0</v>
      </c>
      <c r="P9" s="59">
        <v>0.53</v>
      </c>
      <c r="Q9" s="59">
        <v>31.64</v>
      </c>
      <c r="R9" s="197"/>
      <c r="S9" s="197"/>
      <c r="T9" s="197"/>
      <c r="U9" s="197"/>
    </row>
    <row r="10" spans="1:21" s="12" customFormat="1" x14ac:dyDescent="0.25">
      <c r="A10" s="200" t="s">
        <v>2074</v>
      </c>
      <c r="B10" s="59">
        <v>7.57</v>
      </c>
      <c r="C10" s="59">
        <v>50.81</v>
      </c>
      <c r="D10" s="59">
        <v>35.85</v>
      </c>
      <c r="E10" s="59">
        <v>1.76</v>
      </c>
      <c r="F10" s="59">
        <v>1.52</v>
      </c>
      <c r="G10" s="59">
        <v>15.73</v>
      </c>
      <c r="H10" s="59">
        <v>10.84</v>
      </c>
      <c r="I10" s="59">
        <v>0.52</v>
      </c>
      <c r="J10" s="59">
        <v>0.13</v>
      </c>
      <c r="K10" s="59">
        <v>347.61</v>
      </c>
      <c r="L10" s="59">
        <v>15.05</v>
      </c>
      <c r="M10" s="59">
        <v>90.12</v>
      </c>
      <c r="N10" s="59">
        <v>5</v>
      </c>
      <c r="O10" s="59">
        <v>0</v>
      </c>
      <c r="P10" s="59">
        <v>0.54</v>
      </c>
      <c r="Q10" s="59">
        <v>34.06</v>
      </c>
      <c r="R10" s="197"/>
      <c r="S10" s="197"/>
      <c r="T10" s="197"/>
      <c r="U10" s="197"/>
    </row>
    <row r="11" spans="1:21" s="12" customFormat="1" x14ac:dyDescent="0.25">
      <c r="A11" s="200" t="s">
        <v>2075</v>
      </c>
      <c r="B11" s="59">
        <v>7.86</v>
      </c>
      <c r="C11" s="59">
        <v>50.38</v>
      </c>
      <c r="D11" s="59">
        <v>35.85</v>
      </c>
      <c r="E11" s="59">
        <v>2.0099999999999998</v>
      </c>
      <c r="F11" s="59">
        <v>1.46</v>
      </c>
      <c r="G11" s="59">
        <v>18.05</v>
      </c>
      <c r="H11" s="59">
        <v>10.84</v>
      </c>
      <c r="I11" s="59">
        <v>0.52</v>
      </c>
      <c r="J11" s="59">
        <v>0.48</v>
      </c>
      <c r="K11" s="59">
        <v>183.11</v>
      </c>
      <c r="L11" s="59">
        <v>15.12</v>
      </c>
      <c r="M11" s="59">
        <v>89.31</v>
      </c>
      <c r="N11" s="59">
        <v>4.8</v>
      </c>
      <c r="O11" s="59">
        <v>0</v>
      </c>
      <c r="P11" s="59">
        <v>0.56000000000000005</v>
      </c>
      <c r="Q11" s="59">
        <v>33</v>
      </c>
      <c r="R11" s="197"/>
      <c r="S11" s="197"/>
      <c r="T11" s="197"/>
      <c r="U11" s="197"/>
    </row>
    <row r="12" spans="1:21" s="12" customFormat="1" x14ac:dyDescent="0.25">
      <c r="A12" s="200" t="s">
        <v>2076</v>
      </c>
      <c r="B12" s="59">
        <v>8.08</v>
      </c>
      <c r="C12" s="59">
        <v>50.24</v>
      </c>
      <c r="D12" s="59">
        <v>35.94</v>
      </c>
      <c r="E12" s="59">
        <v>1.85</v>
      </c>
      <c r="F12" s="59">
        <v>1.39</v>
      </c>
      <c r="G12" s="59">
        <v>18.05</v>
      </c>
      <c r="H12" s="59">
        <v>10.84</v>
      </c>
      <c r="I12" s="59">
        <v>0.53</v>
      </c>
      <c r="J12" s="59">
        <v>0.15</v>
      </c>
      <c r="K12" s="59">
        <v>228.69</v>
      </c>
      <c r="L12" s="59">
        <v>15.2</v>
      </c>
      <c r="M12" s="59">
        <v>88.48</v>
      </c>
      <c r="N12" s="59">
        <v>5</v>
      </c>
      <c r="O12" s="59">
        <v>0</v>
      </c>
      <c r="P12" s="59">
        <v>0.56999999999999995</v>
      </c>
      <c r="Q12" s="59">
        <v>33.11</v>
      </c>
      <c r="R12" s="197"/>
      <c r="S12" s="197"/>
      <c r="T12" s="197"/>
      <c r="U12" s="197"/>
    </row>
    <row r="13" spans="1:21" s="12" customFormat="1" x14ac:dyDescent="0.25">
      <c r="A13" s="200" t="s">
        <v>2077</v>
      </c>
      <c r="B13" s="59">
        <v>8.1999999999999993</v>
      </c>
      <c r="C13" s="59">
        <v>49.63</v>
      </c>
      <c r="D13" s="59">
        <v>35.700000000000003</v>
      </c>
      <c r="E13" s="59">
        <v>1.73</v>
      </c>
      <c r="F13" s="59">
        <v>1.5</v>
      </c>
      <c r="G13" s="59">
        <v>18.05</v>
      </c>
      <c r="H13" s="59">
        <v>10.84</v>
      </c>
      <c r="I13" s="59">
        <v>0.52</v>
      </c>
      <c r="J13" s="59">
        <v>0.06</v>
      </c>
      <c r="K13" s="59">
        <v>327.44</v>
      </c>
      <c r="L13" s="59">
        <v>14.89</v>
      </c>
      <c r="M13" s="59">
        <v>90.12</v>
      </c>
      <c r="N13" s="59">
        <v>4.9000000000000004</v>
      </c>
      <c r="O13" s="59">
        <v>0</v>
      </c>
      <c r="P13" s="59">
        <v>0.54</v>
      </c>
      <c r="Q13" s="59">
        <v>32.78</v>
      </c>
      <c r="R13" s="197"/>
      <c r="S13" s="197"/>
      <c r="T13" s="197"/>
      <c r="U13" s="197"/>
    </row>
    <row r="14" spans="1:21" s="12" customFormat="1" x14ac:dyDescent="0.25">
      <c r="A14" s="200" t="s">
        <v>2078</v>
      </c>
      <c r="B14" s="59">
        <v>8.4499999999999993</v>
      </c>
      <c r="C14" s="59">
        <v>48.83</v>
      </c>
      <c r="D14" s="59">
        <v>35.47</v>
      </c>
      <c r="E14" s="59">
        <v>1.82</v>
      </c>
      <c r="F14" s="59">
        <v>1.37</v>
      </c>
      <c r="G14" s="59">
        <v>16.03</v>
      </c>
      <c r="H14" s="59">
        <v>9.58</v>
      </c>
      <c r="I14" s="59">
        <v>0.52</v>
      </c>
      <c r="J14" s="59">
        <v>0.17</v>
      </c>
      <c r="K14" s="59">
        <v>5.17</v>
      </c>
      <c r="L14" s="59">
        <v>14.66</v>
      </c>
      <c r="M14" s="59">
        <v>91.86</v>
      </c>
      <c r="N14" s="59">
        <v>4.5999999999999996</v>
      </c>
      <c r="O14" s="59">
        <v>0</v>
      </c>
      <c r="P14" s="59">
        <v>0.56999999999999995</v>
      </c>
      <c r="Q14" s="59">
        <v>32.700000000000003</v>
      </c>
      <c r="R14" s="197"/>
      <c r="S14" s="197"/>
      <c r="T14" s="197"/>
      <c r="U14" s="197"/>
    </row>
    <row r="15" spans="1:21" s="12" customFormat="1" x14ac:dyDescent="0.25">
      <c r="A15" s="200" t="s">
        <v>2079</v>
      </c>
      <c r="B15" s="59">
        <v>8.77</v>
      </c>
      <c r="C15" s="59">
        <v>48.09</v>
      </c>
      <c r="D15" s="59">
        <v>35.31</v>
      </c>
      <c r="E15" s="59">
        <v>1.78</v>
      </c>
      <c r="F15" s="59">
        <v>1.26</v>
      </c>
      <c r="G15" s="59">
        <v>15.69</v>
      </c>
      <c r="H15" s="59">
        <v>9.3699999999999992</v>
      </c>
      <c r="I15" s="59">
        <v>0.52</v>
      </c>
      <c r="J15" s="59">
        <v>0.15</v>
      </c>
      <c r="K15" s="59">
        <v>78.91</v>
      </c>
      <c r="L15" s="59">
        <v>14.71</v>
      </c>
      <c r="M15" s="59">
        <v>90.91</v>
      </c>
      <c r="N15" s="59">
        <v>4.5999999999999996</v>
      </c>
      <c r="O15" s="59">
        <v>0</v>
      </c>
      <c r="P15" s="59">
        <v>0.56000000000000005</v>
      </c>
      <c r="Q15" s="59">
        <v>32.619999999999997</v>
      </c>
      <c r="R15" s="197"/>
      <c r="S15" s="197"/>
      <c r="T15" s="197"/>
      <c r="U15" s="197"/>
    </row>
    <row r="16" spans="1:21" s="12" customFormat="1" x14ac:dyDescent="0.25">
      <c r="A16" s="200" t="s">
        <v>2080</v>
      </c>
      <c r="B16" s="59">
        <v>8.99</v>
      </c>
      <c r="C16" s="59">
        <v>46.93</v>
      </c>
      <c r="D16" s="59">
        <v>34.85</v>
      </c>
      <c r="E16" s="59">
        <v>2.31</v>
      </c>
      <c r="F16" s="59">
        <v>1.39</v>
      </c>
      <c r="G16" s="59">
        <v>15.69</v>
      </c>
      <c r="H16" s="59">
        <v>9.3699999999999992</v>
      </c>
      <c r="I16" s="59">
        <v>0.52</v>
      </c>
      <c r="J16" s="59">
        <v>0.18</v>
      </c>
      <c r="K16" s="59">
        <v>227.59</v>
      </c>
      <c r="L16" s="59">
        <v>14.91</v>
      </c>
      <c r="M16" s="59">
        <v>90.88</v>
      </c>
      <c r="N16" s="59">
        <v>4.5</v>
      </c>
      <c r="O16" s="59">
        <v>0</v>
      </c>
      <c r="P16" s="59">
        <v>0.56999999999999995</v>
      </c>
      <c r="Q16" s="59">
        <v>31.1</v>
      </c>
      <c r="R16" s="197"/>
      <c r="S16" s="197"/>
      <c r="T16" s="197"/>
      <c r="U16" s="197"/>
    </row>
    <row r="17" spans="1:21" s="12" customFormat="1" x14ac:dyDescent="0.25">
      <c r="A17" s="200" t="s">
        <v>2081</v>
      </c>
      <c r="B17" s="59">
        <v>9.14</v>
      </c>
      <c r="C17" s="59">
        <v>48.82</v>
      </c>
      <c r="D17" s="59">
        <v>36.01</v>
      </c>
      <c r="E17" s="59">
        <v>2.0699999999999998</v>
      </c>
      <c r="F17" s="59">
        <v>1.33</v>
      </c>
      <c r="G17" s="59">
        <v>15.69</v>
      </c>
      <c r="H17" s="59">
        <v>9.3699999999999992</v>
      </c>
      <c r="I17" s="59">
        <v>0.5</v>
      </c>
      <c r="J17" s="59">
        <v>0.59</v>
      </c>
      <c r="K17" s="59">
        <v>214.61</v>
      </c>
      <c r="L17" s="59">
        <v>15.43</v>
      </c>
      <c r="M17" s="59">
        <v>86.91</v>
      </c>
      <c r="N17" s="59">
        <v>4.3</v>
      </c>
      <c r="O17" s="59">
        <v>0</v>
      </c>
      <c r="P17" s="59">
        <v>0.56000000000000005</v>
      </c>
      <c r="Q17" s="59">
        <v>31.41</v>
      </c>
      <c r="R17" s="197"/>
      <c r="S17" s="197"/>
      <c r="T17" s="197"/>
      <c r="U17" s="197"/>
    </row>
    <row r="18" spans="1:21" s="12" customFormat="1" x14ac:dyDescent="0.25">
      <c r="A18" s="200" t="s">
        <v>2082</v>
      </c>
      <c r="B18" s="59">
        <v>9.27</v>
      </c>
      <c r="C18" s="59">
        <v>49.75</v>
      </c>
      <c r="D18" s="59">
        <v>36.630000000000003</v>
      </c>
      <c r="E18" s="59">
        <v>1.93</v>
      </c>
      <c r="F18" s="59">
        <v>1.33</v>
      </c>
      <c r="G18" s="210" t="s">
        <v>43</v>
      </c>
      <c r="H18" s="210" t="s">
        <v>43</v>
      </c>
      <c r="I18" s="59">
        <v>0.5</v>
      </c>
      <c r="J18" s="59">
        <v>0.22</v>
      </c>
      <c r="K18" s="59">
        <v>241.05</v>
      </c>
      <c r="L18" s="59">
        <v>15.39</v>
      </c>
      <c r="M18" s="59">
        <v>86.63</v>
      </c>
      <c r="N18" s="59">
        <v>5.0999999999999996</v>
      </c>
      <c r="O18" s="59">
        <v>0</v>
      </c>
      <c r="P18" s="59">
        <v>0.56000000000000005</v>
      </c>
      <c r="Q18" s="59">
        <v>31.77</v>
      </c>
      <c r="R18" s="197"/>
      <c r="S18" s="197"/>
      <c r="T18" s="197"/>
      <c r="U18" s="197"/>
    </row>
    <row r="19" spans="1:21" s="12" customFormat="1" x14ac:dyDescent="0.25">
      <c r="A19" s="200" t="s">
        <v>2083</v>
      </c>
      <c r="B19" s="59">
        <v>9.39</v>
      </c>
      <c r="C19" s="59">
        <v>48.87</v>
      </c>
      <c r="D19" s="59">
        <v>36.24</v>
      </c>
      <c r="E19" s="59">
        <v>2.2799999999999998</v>
      </c>
      <c r="F19" s="59">
        <v>1.27</v>
      </c>
      <c r="G19" s="210" t="s">
        <v>43</v>
      </c>
      <c r="H19" s="210" t="s">
        <v>43</v>
      </c>
      <c r="I19" s="59">
        <v>0.5</v>
      </c>
      <c r="J19" s="59">
        <v>0.17</v>
      </c>
      <c r="K19" s="59">
        <v>16.37</v>
      </c>
      <c r="L19" s="59">
        <v>15.2</v>
      </c>
      <c r="M19" s="59">
        <v>87.81</v>
      </c>
      <c r="N19" s="59">
        <v>5.0999999999999996</v>
      </c>
      <c r="O19" s="59">
        <v>0</v>
      </c>
      <c r="P19" s="59">
        <v>0.55000000000000004</v>
      </c>
      <c r="Q19" s="59">
        <v>31.77</v>
      </c>
      <c r="R19" s="197"/>
      <c r="S19" s="197"/>
      <c r="T19" s="197"/>
      <c r="U19" s="197"/>
    </row>
    <row r="20" spans="1:21" s="12" customFormat="1" x14ac:dyDescent="0.25">
      <c r="A20" s="200" t="s">
        <v>2084</v>
      </c>
      <c r="B20" s="59">
        <v>9.6199999999999992</v>
      </c>
      <c r="C20" s="59">
        <v>47.07</v>
      </c>
      <c r="D20" s="59">
        <v>35.43</v>
      </c>
      <c r="E20" s="59">
        <v>1.9</v>
      </c>
      <c r="F20" s="59">
        <v>1.37</v>
      </c>
      <c r="G20" s="210" t="s">
        <v>43</v>
      </c>
      <c r="H20" s="210" t="s">
        <v>43</v>
      </c>
      <c r="I20" s="59">
        <v>0.5</v>
      </c>
      <c r="J20" s="59">
        <v>0.14000000000000001</v>
      </c>
      <c r="K20" s="59">
        <v>31.91</v>
      </c>
      <c r="L20" s="59">
        <v>14.83</v>
      </c>
      <c r="M20" s="59">
        <v>90.26</v>
      </c>
      <c r="N20" s="59">
        <v>4.8</v>
      </c>
      <c r="O20" s="59">
        <v>0</v>
      </c>
      <c r="P20" s="59">
        <v>0.54</v>
      </c>
      <c r="Q20" s="59">
        <v>32.229999999999997</v>
      </c>
      <c r="R20" s="197"/>
      <c r="S20" s="197"/>
      <c r="T20" s="197"/>
      <c r="U20" s="197"/>
    </row>
    <row r="21" spans="1:21" s="12" customFormat="1" x14ac:dyDescent="0.25">
      <c r="A21" s="200" t="s">
        <v>2085</v>
      </c>
      <c r="B21" s="59">
        <v>10.050000000000001</v>
      </c>
      <c r="C21" s="59">
        <v>45.85</v>
      </c>
      <c r="D21" s="59">
        <v>35.1</v>
      </c>
      <c r="E21" s="59">
        <v>2.14</v>
      </c>
      <c r="F21" s="59">
        <v>1.3</v>
      </c>
      <c r="G21" s="210" t="s">
        <v>43</v>
      </c>
      <c r="H21" s="210" t="s">
        <v>43</v>
      </c>
      <c r="I21" s="59">
        <v>0.5</v>
      </c>
      <c r="J21" s="59">
        <v>0.12</v>
      </c>
      <c r="K21" s="59">
        <v>244.83</v>
      </c>
      <c r="L21" s="59">
        <v>14.77</v>
      </c>
      <c r="M21" s="59">
        <v>90.32</v>
      </c>
      <c r="N21" s="59">
        <v>4.5999999999999996</v>
      </c>
      <c r="O21" s="59">
        <v>0</v>
      </c>
      <c r="P21" s="59">
        <v>0.53</v>
      </c>
      <c r="Q21" s="59">
        <v>32.979999999999997</v>
      </c>
      <c r="R21" s="197"/>
      <c r="S21" s="197"/>
      <c r="T21" s="197"/>
      <c r="U21" s="197"/>
    </row>
    <row r="22" spans="1:21" s="12" customFormat="1" x14ac:dyDescent="0.25">
      <c r="A22" s="200" t="s">
        <v>2086</v>
      </c>
      <c r="B22" s="59">
        <v>10.24</v>
      </c>
      <c r="C22" s="59">
        <v>45.24</v>
      </c>
      <c r="D22" s="59">
        <v>34.909999999999997</v>
      </c>
      <c r="E22" s="59">
        <v>2.02</v>
      </c>
      <c r="F22" s="59">
        <v>1.42</v>
      </c>
      <c r="G22" s="59">
        <v>14.62</v>
      </c>
      <c r="H22" s="59">
        <v>10</v>
      </c>
      <c r="I22" s="59">
        <v>0.5</v>
      </c>
      <c r="J22" s="59">
        <v>0.27</v>
      </c>
      <c r="K22" s="59">
        <v>101.77</v>
      </c>
      <c r="L22" s="59">
        <v>14.9</v>
      </c>
      <c r="M22" s="59">
        <v>88.81</v>
      </c>
      <c r="N22" s="59">
        <v>4.4000000000000004</v>
      </c>
      <c r="O22" s="59">
        <v>0</v>
      </c>
      <c r="P22" s="59">
        <v>0.52</v>
      </c>
      <c r="Q22" s="59">
        <v>31.95</v>
      </c>
      <c r="R22" s="197"/>
      <c r="S22" s="197"/>
      <c r="T22" s="197"/>
      <c r="U22" s="197"/>
    </row>
    <row r="23" spans="1:21" s="12" customFormat="1" x14ac:dyDescent="0.25">
      <c r="A23" s="200" t="s">
        <v>2087</v>
      </c>
      <c r="B23" s="59">
        <v>10.41</v>
      </c>
      <c r="C23" s="59">
        <v>45.32</v>
      </c>
      <c r="D23" s="59">
        <v>35.1</v>
      </c>
      <c r="E23" s="59">
        <v>2.59</v>
      </c>
      <c r="F23" s="59">
        <v>1.31</v>
      </c>
      <c r="G23" s="59">
        <v>16.420000000000002</v>
      </c>
      <c r="H23" s="59">
        <v>10.15</v>
      </c>
      <c r="I23" s="59">
        <v>0.5</v>
      </c>
      <c r="J23" s="59">
        <v>0.18</v>
      </c>
      <c r="K23" s="59">
        <v>234.68</v>
      </c>
      <c r="L23" s="59">
        <v>15.09</v>
      </c>
      <c r="M23" s="59">
        <v>88.5</v>
      </c>
      <c r="N23" s="59">
        <v>4.5999999999999996</v>
      </c>
      <c r="O23" s="59">
        <v>0</v>
      </c>
      <c r="P23" s="59">
        <v>0.51</v>
      </c>
      <c r="Q23" s="59">
        <v>33.78</v>
      </c>
      <c r="R23" s="197"/>
      <c r="S23" s="197"/>
      <c r="T23" s="197"/>
      <c r="U23" s="197"/>
    </row>
    <row r="24" spans="1:21" s="12" customFormat="1" x14ac:dyDescent="0.25">
      <c r="A24" s="200" t="s">
        <v>2088</v>
      </c>
      <c r="B24" s="59">
        <v>10.65</v>
      </c>
      <c r="C24" s="59">
        <v>44.93</v>
      </c>
      <c r="D24" s="59">
        <v>35.07</v>
      </c>
      <c r="E24" s="59">
        <v>2</v>
      </c>
      <c r="F24" s="59">
        <v>1.31</v>
      </c>
      <c r="G24" s="59">
        <v>16.420000000000002</v>
      </c>
      <c r="H24" s="59">
        <v>10.15</v>
      </c>
      <c r="I24" s="59">
        <v>0.53</v>
      </c>
      <c r="J24" s="59">
        <v>0.36</v>
      </c>
      <c r="K24" s="59">
        <v>19.55</v>
      </c>
      <c r="L24" s="59">
        <v>15.1</v>
      </c>
      <c r="M24" s="59">
        <v>90.14</v>
      </c>
      <c r="N24" s="59">
        <v>5</v>
      </c>
      <c r="O24" s="59">
        <v>0</v>
      </c>
      <c r="P24" s="59">
        <v>0.51</v>
      </c>
      <c r="Q24" s="59">
        <v>36.049999999999997</v>
      </c>
      <c r="R24" s="197"/>
      <c r="S24" s="197"/>
      <c r="T24" s="197"/>
      <c r="U24" s="197"/>
    </row>
    <row r="25" spans="1:21" s="12" customFormat="1" x14ac:dyDescent="0.25">
      <c r="A25" s="200" t="s">
        <v>2089</v>
      </c>
      <c r="B25" s="59">
        <v>11.38</v>
      </c>
      <c r="C25" s="59">
        <v>43.43</v>
      </c>
      <c r="D25" s="59">
        <v>34.840000000000003</v>
      </c>
      <c r="E25" s="59">
        <v>2.08</v>
      </c>
      <c r="F25" s="59">
        <v>1.22</v>
      </c>
      <c r="G25" s="59">
        <v>16.420000000000002</v>
      </c>
      <c r="H25" s="59">
        <v>10.15</v>
      </c>
      <c r="I25" s="59">
        <v>0.54</v>
      </c>
      <c r="J25" s="59">
        <v>0.31</v>
      </c>
      <c r="K25" s="59">
        <v>65.650000000000006</v>
      </c>
      <c r="L25" s="59">
        <v>15.03</v>
      </c>
      <c r="M25" s="59">
        <v>90.45</v>
      </c>
      <c r="N25" s="59">
        <v>4.5</v>
      </c>
      <c r="O25" s="59">
        <v>0</v>
      </c>
      <c r="P25" s="59">
        <v>0.51</v>
      </c>
      <c r="Q25" s="59">
        <v>36.32</v>
      </c>
      <c r="R25" s="197"/>
      <c r="S25" s="197"/>
      <c r="T25" s="197"/>
      <c r="U25" s="197"/>
    </row>
    <row r="26" spans="1:21" s="12" customFormat="1" x14ac:dyDescent="0.25">
      <c r="A26" s="200" t="s">
        <v>2090</v>
      </c>
      <c r="B26" s="59">
        <v>12.16</v>
      </c>
      <c r="C26" s="59">
        <v>43.56</v>
      </c>
      <c r="D26" s="59">
        <v>35.53</v>
      </c>
      <c r="E26" s="59">
        <v>2.38</v>
      </c>
      <c r="F26" s="59">
        <v>1.23</v>
      </c>
      <c r="G26" s="59">
        <v>23.57</v>
      </c>
      <c r="H26" s="59">
        <v>10.37</v>
      </c>
      <c r="I26" s="59">
        <v>0.54</v>
      </c>
      <c r="J26" s="59">
        <v>0.41</v>
      </c>
      <c r="K26" s="59">
        <v>99.16</v>
      </c>
      <c r="L26" s="59">
        <v>14.86</v>
      </c>
      <c r="M26" s="59">
        <v>91.63</v>
      </c>
      <c r="N26" s="59">
        <v>4.5</v>
      </c>
      <c r="O26" s="59">
        <v>0</v>
      </c>
      <c r="P26" s="59">
        <v>0.51</v>
      </c>
      <c r="Q26" s="59">
        <v>35.39</v>
      </c>
      <c r="R26" s="197"/>
      <c r="S26" s="197"/>
      <c r="T26" s="197"/>
      <c r="U26" s="197"/>
    </row>
    <row r="27" spans="1:21" s="12" customFormat="1" x14ac:dyDescent="0.25">
      <c r="A27" s="200" t="s">
        <v>2091</v>
      </c>
      <c r="B27" s="59">
        <v>12.71</v>
      </c>
      <c r="C27" s="59">
        <v>44.79</v>
      </c>
      <c r="D27" s="59">
        <v>36.65</v>
      </c>
      <c r="E27" s="59">
        <v>2.04</v>
      </c>
      <c r="F27" s="59">
        <v>1.17</v>
      </c>
      <c r="G27" s="59">
        <v>24.78</v>
      </c>
      <c r="H27" s="59">
        <v>10.41</v>
      </c>
      <c r="I27" s="59">
        <v>0.54</v>
      </c>
      <c r="J27" s="59">
        <v>0.6</v>
      </c>
      <c r="K27" s="59">
        <v>105.89</v>
      </c>
      <c r="L27" s="59">
        <v>14.79</v>
      </c>
      <c r="M27" s="59">
        <v>91.86</v>
      </c>
      <c r="N27" s="59">
        <v>4.3</v>
      </c>
      <c r="O27" s="59">
        <v>0</v>
      </c>
      <c r="P27" s="59">
        <v>0.52</v>
      </c>
      <c r="Q27" s="59">
        <v>35.520000000000003</v>
      </c>
      <c r="R27" s="197"/>
      <c r="S27" s="197"/>
      <c r="T27" s="197"/>
      <c r="U27" s="197"/>
    </row>
    <row r="28" spans="1:21" s="12" customFormat="1" x14ac:dyDescent="0.25">
      <c r="A28" s="200" t="s">
        <v>2092</v>
      </c>
      <c r="B28" s="59">
        <v>13.12</v>
      </c>
      <c r="C28" s="59">
        <v>44.28</v>
      </c>
      <c r="D28" s="59">
        <v>36.700000000000003</v>
      </c>
      <c r="E28" s="59">
        <v>2.5299999999999998</v>
      </c>
      <c r="F28" s="59">
        <v>1.0900000000000001</v>
      </c>
      <c r="G28" s="59">
        <v>24.78</v>
      </c>
      <c r="H28" s="59">
        <v>10.41</v>
      </c>
      <c r="I28" s="59">
        <v>0.51</v>
      </c>
      <c r="J28" s="59">
        <v>0.21</v>
      </c>
      <c r="K28" s="59">
        <v>108.7</v>
      </c>
      <c r="L28" s="59">
        <v>14.82</v>
      </c>
      <c r="M28" s="59">
        <v>91.08</v>
      </c>
      <c r="N28" s="59">
        <v>4.5</v>
      </c>
      <c r="O28" s="59">
        <v>0</v>
      </c>
      <c r="P28" s="59">
        <v>0.53</v>
      </c>
      <c r="Q28" s="59">
        <v>36.15</v>
      </c>
      <c r="R28" s="197"/>
      <c r="S28" s="197"/>
      <c r="T28" s="197"/>
      <c r="U28" s="197"/>
    </row>
    <row r="29" spans="1:21" s="12" customFormat="1" x14ac:dyDescent="0.25">
      <c r="A29" s="200" t="s">
        <v>2093</v>
      </c>
      <c r="B29" s="59">
        <v>13.52</v>
      </c>
      <c r="C29" s="59">
        <v>43.32</v>
      </c>
      <c r="D29" s="59">
        <v>36.49</v>
      </c>
      <c r="E29" s="59">
        <v>2.7</v>
      </c>
      <c r="F29" s="59">
        <v>1.21</v>
      </c>
      <c r="G29" s="59">
        <v>24.78</v>
      </c>
      <c r="H29" s="59">
        <v>10.41</v>
      </c>
      <c r="I29" s="59">
        <v>0.53</v>
      </c>
      <c r="J29" s="59">
        <v>0.14000000000000001</v>
      </c>
      <c r="K29" s="59">
        <v>337.24</v>
      </c>
      <c r="L29" s="59">
        <v>14.5</v>
      </c>
      <c r="M29" s="59">
        <v>92.33</v>
      </c>
      <c r="N29" s="59">
        <v>4.8</v>
      </c>
      <c r="O29" s="59">
        <v>0</v>
      </c>
      <c r="P29" s="59">
        <v>0.54</v>
      </c>
      <c r="Q29" s="59">
        <v>36.619999999999997</v>
      </c>
      <c r="R29" s="197"/>
      <c r="S29" s="197"/>
      <c r="T29" s="197"/>
      <c r="U29" s="197"/>
    </row>
    <row r="30" spans="1:21" s="12" customFormat="1" x14ac:dyDescent="0.25">
      <c r="A30" s="200" t="s">
        <v>2094</v>
      </c>
      <c r="B30" s="59">
        <v>15.14</v>
      </c>
      <c r="C30" s="59">
        <v>43.06</v>
      </c>
      <c r="D30" s="59">
        <v>37.64</v>
      </c>
      <c r="E30" s="59">
        <v>2.19</v>
      </c>
      <c r="F30" s="59">
        <v>1.37</v>
      </c>
      <c r="G30" s="59">
        <v>24.61</v>
      </c>
      <c r="H30" s="59">
        <v>10.49</v>
      </c>
      <c r="I30" s="59">
        <v>0.54</v>
      </c>
      <c r="J30" s="59">
        <v>7.0000000000000007E-2</v>
      </c>
      <c r="K30" s="59">
        <v>176.08</v>
      </c>
      <c r="L30" s="59">
        <v>14.22</v>
      </c>
      <c r="M30" s="59">
        <v>94.53</v>
      </c>
      <c r="N30" s="59">
        <v>4.7</v>
      </c>
      <c r="O30" s="59">
        <v>0</v>
      </c>
      <c r="P30" s="59">
        <v>0.56000000000000005</v>
      </c>
      <c r="Q30" s="59">
        <v>35.409999999999997</v>
      </c>
      <c r="R30" s="197"/>
      <c r="S30" s="197"/>
      <c r="T30" s="197"/>
      <c r="U30" s="197"/>
    </row>
    <row r="31" spans="1:21" s="12" customFormat="1" x14ac:dyDescent="0.25">
      <c r="A31" s="200" t="s">
        <v>2095</v>
      </c>
      <c r="B31" s="59">
        <v>16.89</v>
      </c>
      <c r="C31" s="59">
        <v>44.38</v>
      </c>
      <c r="D31" s="59">
        <v>39.770000000000003</v>
      </c>
      <c r="E31" s="59">
        <v>2.42</v>
      </c>
      <c r="F31" s="59">
        <v>1.07</v>
      </c>
      <c r="G31" s="59">
        <v>24.58</v>
      </c>
      <c r="H31" s="59">
        <v>10.51</v>
      </c>
      <c r="I31" s="59">
        <v>0.54</v>
      </c>
      <c r="J31" s="59">
        <v>0.16</v>
      </c>
      <c r="K31" s="59">
        <v>267.63</v>
      </c>
      <c r="L31" s="59">
        <v>14.29</v>
      </c>
      <c r="M31" s="59">
        <v>94.97</v>
      </c>
      <c r="N31" s="59">
        <v>4.5999999999999996</v>
      </c>
      <c r="O31" s="59">
        <v>0</v>
      </c>
      <c r="P31" s="59">
        <v>0.57999999999999996</v>
      </c>
      <c r="Q31" s="59">
        <v>34.229999999999997</v>
      </c>
      <c r="R31" s="197"/>
      <c r="S31" s="197"/>
      <c r="T31" s="197"/>
      <c r="U31" s="197"/>
    </row>
    <row r="32" spans="1:21" s="12" customFormat="1" x14ac:dyDescent="0.25">
      <c r="A32" s="200" t="s">
        <v>2096</v>
      </c>
      <c r="B32" s="59">
        <v>18.28</v>
      </c>
      <c r="C32" s="59">
        <v>44.83</v>
      </c>
      <c r="D32" s="59">
        <v>41.14</v>
      </c>
      <c r="E32" s="59">
        <v>2.42</v>
      </c>
      <c r="F32" s="59">
        <v>0.9</v>
      </c>
      <c r="G32" s="59">
        <v>24.58</v>
      </c>
      <c r="H32" s="59">
        <v>10.51</v>
      </c>
      <c r="I32" s="59">
        <v>0.52</v>
      </c>
      <c r="J32" s="59">
        <v>0.09</v>
      </c>
      <c r="K32" s="59">
        <v>240.12</v>
      </c>
      <c r="L32" s="59">
        <v>14.3</v>
      </c>
      <c r="M32" s="59">
        <v>94.67</v>
      </c>
      <c r="N32" s="59">
        <v>5.5</v>
      </c>
      <c r="O32" s="59">
        <v>0</v>
      </c>
      <c r="P32" s="59">
        <v>0.59</v>
      </c>
      <c r="Q32" s="59">
        <v>35.380000000000003</v>
      </c>
      <c r="R32" s="197"/>
      <c r="S32" s="197"/>
      <c r="T32" s="197"/>
      <c r="U32" s="197"/>
    </row>
    <row r="33" spans="1:21" s="12" customFormat="1" x14ac:dyDescent="0.25">
      <c r="A33" s="200" t="s">
        <v>2097</v>
      </c>
      <c r="B33" s="59">
        <v>19.239999999999998</v>
      </c>
      <c r="C33" s="59">
        <v>45.11</v>
      </c>
      <c r="D33" s="59">
        <v>42.07</v>
      </c>
      <c r="E33" s="59">
        <v>2.4500000000000002</v>
      </c>
      <c r="F33" s="59">
        <v>1.02</v>
      </c>
      <c r="G33" s="59">
        <v>24.58</v>
      </c>
      <c r="H33" s="59">
        <v>10.51</v>
      </c>
      <c r="I33" s="59">
        <v>0.52</v>
      </c>
      <c r="J33" s="59">
        <v>0.15</v>
      </c>
      <c r="K33" s="59">
        <v>337.94</v>
      </c>
      <c r="L33" s="59">
        <v>14.25</v>
      </c>
      <c r="M33" s="59">
        <v>94.82</v>
      </c>
      <c r="N33" s="59">
        <v>12.8</v>
      </c>
      <c r="O33" s="59">
        <v>0</v>
      </c>
      <c r="P33" s="59">
        <v>0.59</v>
      </c>
      <c r="Q33" s="59">
        <v>34.56</v>
      </c>
      <c r="R33" s="197"/>
      <c r="S33" s="197"/>
      <c r="T33" s="197"/>
      <c r="U33" s="197"/>
    </row>
    <row r="34" spans="1:21" s="12" customFormat="1" x14ac:dyDescent="0.25">
      <c r="A34" s="200" t="s">
        <v>2098</v>
      </c>
      <c r="B34" s="59">
        <v>20.57</v>
      </c>
      <c r="C34" s="59">
        <v>44.86</v>
      </c>
      <c r="D34" s="59">
        <v>42.99</v>
      </c>
      <c r="E34" s="59">
        <v>2.09</v>
      </c>
      <c r="F34" s="59">
        <v>1.18</v>
      </c>
      <c r="G34" s="59">
        <v>40.54</v>
      </c>
      <c r="H34" s="59">
        <v>11.39</v>
      </c>
      <c r="I34" s="59">
        <v>0.53</v>
      </c>
      <c r="J34" s="59">
        <v>0.1</v>
      </c>
      <c r="K34" s="59">
        <v>230.35</v>
      </c>
      <c r="L34" s="59">
        <v>14.2</v>
      </c>
      <c r="M34" s="59">
        <v>95.45</v>
      </c>
      <c r="N34" s="59">
        <v>31.6</v>
      </c>
      <c r="O34" s="59">
        <v>0</v>
      </c>
      <c r="P34" s="59">
        <v>0.6</v>
      </c>
      <c r="Q34" s="59">
        <v>35.31</v>
      </c>
      <c r="R34" s="197"/>
      <c r="S34" s="197"/>
      <c r="T34" s="197"/>
      <c r="U34" s="197"/>
    </row>
    <row r="35" spans="1:21" s="12" customFormat="1" x14ac:dyDescent="0.25">
      <c r="A35" s="200" t="s">
        <v>2099</v>
      </c>
      <c r="B35" s="59">
        <v>22.39</v>
      </c>
      <c r="C35" s="59">
        <v>45.5</v>
      </c>
      <c r="D35" s="59">
        <v>44.81</v>
      </c>
      <c r="E35" s="59">
        <v>3.01</v>
      </c>
      <c r="F35" s="59">
        <v>1.04</v>
      </c>
      <c r="G35" s="59">
        <v>43.23</v>
      </c>
      <c r="H35" s="59">
        <v>11.54</v>
      </c>
      <c r="I35" s="59">
        <v>0.55000000000000004</v>
      </c>
      <c r="J35" s="59">
        <v>7.0000000000000007E-2</v>
      </c>
      <c r="K35" s="59">
        <v>277.95999999999998</v>
      </c>
      <c r="L35" s="59">
        <v>14.64</v>
      </c>
      <c r="M35" s="59">
        <v>95.43</v>
      </c>
      <c r="N35" s="59">
        <v>83.1</v>
      </c>
      <c r="O35" s="59">
        <v>0</v>
      </c>
      <c r="P35" s="59">
        <v>0.62</v>
      </c>
      <c r="Q35" s="59">
        <v>36.14</v>
      </c>
      <c r="R35" s="197"/>
      <c r="S35" s="197"/>
      <c r="T35" s="197"/>
      <c r="U35" s="197"/>
    </row>
    <row r="36" spans="1:21" s="12" customFormat="1" x14ac:dyDescent="0.25">
      <c r="A36" s="200" t="s">
        <v>2100</v>
      </c>
      <c r="B36" s="59">
        <v>24.1</v>
      </c>
      <c r="C36" s="59">
        <v>46.18</v>
      </c>
      <c r="D36" s="59">
        <v>46.55</v>
      </c>
      <c r="E36" s="59">
        <v>2.8</v>
      </c>
      <c r="F36" s="59">
        <v>1.2</v>
      </c>
      <c r="G36" s="59">
        <v>43.23</v>
      </c>
      <c r="H36" s="59">
        <v>11.54</v>
      </c>
      <c r="I36" s="59">
        <v>0.55000000000000004</v>
      </c>
      <c r="J36" s="59">
        <v>0.22</v>
      </c>
      <c r="K36" s="59">
        <v>201.76</v>
      </c>
      <c r="L36" s="59">
        <v>15.78</v>
      </c>
      <c r="M36" s="59">
        <v>91.2</v>
      </c>
      <c r="N36" s="59">
        <v>134.69999999999999</v>
      </c>
      <c r="O36" s="59">
        <v>0</v>
      </c>
      <c r="P36" s="59">
        <v>0.63</v>
      </c>
      <c r="Q36" s="59">
        <v>35.76</v>
      </c>
      <c r="R36" s="197"/>
      <c r="S36" s="197"/>
      <c r="T36" s="197"/>
      <c r="U36" s="197"/>
    </row>
    <row r="37" spans="1:21" s="12" customFormat="1" x14ac:dyDescent="0.25">
      <c r="A37" s="200" t="s">
        <v>2101</v>
      </c>
      <c r="B37" s="59">
        <v>24.74</v>
      </c>
      <c r="C37" s="59">
        <v>48.85</v>
      </c>
      <c r="D37" s="59">
        <v>48.54</v>
      </c>
      <c r="E37" s="59">
        <v>2.81</v>
      </c>
      <c r="F37" s="59">
        <v>1.19</v>
      </c>
      <c r="G37" s="59">
        <v>43.23</v>
      </c>
      <c r="H37" s="59">
        <v>11.54</v>
      </c>
      <c r="I37" s="59">
        <v>0.54</v>
      </c>
      <c r="J37" s="59">
        <v>0.63</v>
      </c>
      <c r="K37" s="59">
        <v>207.6</v>
      </c>
      <c r="L37" s="59">
        <v>15.85</v>
      </c>
      <c r="M37" s="59">
        <v>88.42</v>
      </c>
      <c r="N37" s="59">
        <v>132</v>
      </c>
      <c r="O37" s="59">
        <v>0</v>
      </c>
      <c r="P37" s="59">
        <v>0.61</v>
      </c>
      <c r="Q37" s="59">
        <v>36.39</v>
      </c>
      <c r="R37" s="197"/>
      <c r="S37" s="197"/>
      <c r="T37" s="197"/>
      <c r="U37" s="197"/>
    </row>
    <row r="38" spans="1:21" s="12" customFormat="1" x14ac:dyDescent="0.25">
      <c r="A38" s="200" t="s">
        <v>2102</v>
      </c>
      <c r="B38" s="59">
        <v>24.27</v>
      </c>
      <c r="C38" s="59">
        <v>52.09</v>
      </c>
      <c r="D38" s="59">
        <v>49.95</v>
      </c>
      <c r="E38" s="59">
        <v>2.73</v>
      </c>
      <c r="F38" s="59">
        <v>1.31</v>
      </c>
      <c r="G38" s="59">
        <v>40</v>
      </c>
      <c r="H38" s="59">
        <v>12.76</v>
      </c>
      <c r="I38" s="59">
        <v>0.56000000000000005</v>
      </c>
      <c r="J38" s="59">
        <v>0.45</v>
      </c>
      <c r="K38" s="59">
        <v>221.5</v>
      </c>
      <c r="L38" s="59">
        <v>15.77</v>
      </c>
      <c r="M38" s="59">
        <v>88.81</v>
      </c>
      <c r="N38" s="59">
        <v>153.6</v>
      </c>
      <c r="O38" s="59">
        <v>0</v>
      </c>
      <c r="P38" s="59">
        <v>0.62</v>
      </c>
      <c r="Q38" s="59">
        <v>38.67</v>
      </c>
      <c r="R38" s="197"/>
      <c r="S38" s="197"/>
      <c r="T38" s="197"/>
      <c r="U38" s="197"/>
    </row>
    <row r="39" spans="1:21" s="12" customFormat="1" x14ac:dyDescent="0.25">
      <c r="A39" s="200" t="s">
        <v>2103</v>
      </c>
      <c r="B39" s="59">
        <v>23.29</v>
      </c>
      <c r="C39" s="59">
        <v>47.76</v>
      </c>
      <c r="D39" s="59">
        <v>46.77</v>
      </c>
      <c r="E39" s="59">
        <v>2.57</v>
      </c>
      <c r="F39" s="59">
        <v>1.41</v>
      </c>
      <c r="G39" s="59">
        <v>39.450000000000003</v>
      </c>
      <c r="H39" s="59">
        <v>12.96</v>
      </c>
      <c r="I39" s="59">
        <v>0.53</v>
      </c>
      <c r="J39" s="59">
        <v>0.39</v>
      </c>
      <c r="K39" s="59">
        <v>227.26</v>
      </c>
      <c r="L39" s="59">
        <v>16.57</v>
      </c>
      <c r="M39" s="59">
        <v>85.34</v>
      </c>
      <c r="N39" s="59">
        <v>291.60000000000002</v>
      </c>
      <c r="O39" s="59">
        <v>0</v>
      </c>
      <c r="P39" s="59">
        <v>0.61</v>
      </c>
      <c r="Q39" s="59">
        <v>40.119999999999997</v>
      </c>
      <c r="R39" s="197"/>
      <c r="S39" s="197"/>
      <c r="T39" s="197"/>
      <c r="U39" s="197"/>
    </row>
    <row r="40" spans="1:21" s="12" customFormat="1" x14ac:dyDescent="0.25">
      <c r="A40" s="200" t="s">
        <v>2104</v>
      </c>
      <c r="B40" s="59">
        <v>21.99</v>
      </c>
      <c r="C40" s="59">
        <v>46.08</v>
      </c>
      <c r="D40" s="59">
        <v>44.8</v>
      </c>
      <c r="E40" s="59">
        <v>1.32</v>
      </c>
      <c r="F40" s="59">
        <v>1.24</v>
      </c>
      <c r="G40" s="59">
        <v>39.450000000000003</v>
      </c>
      <c r="H40" s="59">
        <v>12.96</v>
      </c>
      <c r="I40" s="59">
        <v>0.53</v>
      </c>
      <c r="J40" s="59">
        <v>0.36</v>
      </c>
      <c r="K40" s="59">
        <v>210.28</v>
      </c>
      <c r="L40" s="59">
        <v>17.68</v>
      </c>
      <c r="M40" s="59">
        <v>78.44</v>
      </c>
      <c r="N40" s="59">
        <v>366</v>
      </c>
      <c r="O40" s="59">
        <v>0</v>
      </c>
      <c r="P40" s="59">
        <v>0.6</v>
      </c>
      <c r="Q40" s="59">
        <v>38.94</v>
      </c>
      <c r="R40" s="197"/>
      <c r="S40" s="197"/>
      <c r="T40" s="197"/>
      <c r="U40" s="197"/>
    </row>
    <row r="41" spans="1:21" s="12" customFormat="1" x14ac:dyDescent="0.25">
      <c r="A41" s="200" t="s">
        <v>2105</v>
      </c>
      <c r="B41" s="59">
        <v>20.74</v>
      </c>
      <c r="C41" s="59">
        <v>45.18</v>
      </c>
      <c r="D41" s="59">
        <v>43.3</v>
      </c>
      <c r="E41" s="59">
        <v>2.09</v>
      </c>
      <c r="F41" s="59">
        <v>1.02</v>
      </c>
      <c r="G41" s="59">
        <v>39.450000000000003</v>
      </c>
      <c r="H41" s="59">
        <v>12.96</v>
      </c>
      <c r="I41" s="59">
        <v>0.53</v>
      </c>
      <c r="J41" s="59">
        <v>0.66</v>
      </c>
      <c r="K41" s="59">
        <v>199.27</v>
      </c>
      <c r="L41" s="59">
        <v>18.239999999999998</v>
      </c>
      <c r="M41" s="59">
        <v>76.73</v>
      </c>
      <c r="N41" s="59">
        <v>445.6</v>
      </c>
      <c r="O41" s="59">
        <v>0</v>
      </c>
      <c r="P41" s="59">
        <v>0.6</v>
      </c>
      <c r="Q41" s="59">
        <v>38.44</v>
      </c>
      <c r="R41" s="197"/>
      <c r="S41" s="197"/>
      <c r="T41" s="197"/>
      <c r="U41" s="197"/>
    </row>
    <row r="42" spans="1:21" s="12" customFormat="1" x14ac:dyDescent="0.25">
      <c r="A42" s="200" t="s">
        <v>2106</v>
      </c>
      <c r="B42" s="59">
        <v>19.52</v>
      </c>
      <c r="C42" s="59">
        <v>44.66</v>
      </c>
      <c r="D42" s="59">
        <v>42.04</v>
      </c>
      <c r="E42" s="59">
        <v>2.17</v>
      </c>
      <c r="F42" s="59">
        <v>1.1499999999999999</v>
      </c>
      <c r="G42" s="59">
        <v>47.88</v>
      </c>
      <c r="H42" s="59">
        <v>11.16</v>
      </c>
      <c r="I42" s="59">
        <v>0.55000000000000004</v>
      </c>
      <c r="J42" s="59">
        <v>0.35</v>
      </c>
      <c r="K42" s="59">
        <v>218.91</v>
      </c>
      <c r="L42" s="59">
        <v>19.2</v>
      </c>
      <c r="M42" s="59">
        <v>73.73</v>
      </c>
      <c r="N42" s="59">
        <v>460.6</v>
      </c>
      <c r="O42" s="59">
        <v>0</v>
      </c>
      <c r="P42" s="59">
        <v>0.6</v>
      </c>
      <c r="Q42" s="59">
        <v>38.369999999999997</v>
      </c>
      <c r="R42" s="197"/>
      <c r="S42" s="197"/>
      <c r="T42" s="197"/>
      <c r="U42" s="197"/>
    </row>
    <row r="43" spans="1:21" s="12" customFormat="1" x14ac:dyDescent="0.25">
      <c r="A43" s="200" t="s">
        <v>2107</v>
      </c>
      <c r="B43" s="59">
        <v>18.239999999999998</v>
      </c>
      <c r="C43" s="59">
        <v>46.42</v>
      </c>
      <c r="D43" s="59">
        <v>41.98</v>
      </c>
      <c r="E43" s="59">
        <v>1.97</v>
      </c>
      <c r="F43" s="59">
        <v>1.37</v>
      </c>
      <c r="G43" s="59">
        <v>49.3</v>
      </c>
      <c r="H43" s="59">
        <v>10.86</v>
      </c>
      <c r="I43" s="59">
        <v>0.55000000000000004</v>
      </c>
      <c r="J43" s="59">
        <v>0.08</v>
      </c>
      <c r="K43" s="59">
        <v>225.02</v>
      </c>
      <c r="L43" s="59">
        <v>20.239999999999998</v>
      </c>
      <c r="M43" s="59">
        <v>68.94</v>
      </c>
      <c r="N43" s="59">
        <v>516.70000000000005</v>
      </c>
      <c r="O43" s="59">
        <v>0</v>
      </c>
      <c r="P43" s="59">
        <v>0.6</v>
      </c>
      <c r="Q43" s="59">
        <v>38.89</v>
      </c>
      <c r="R43" s="197"/>
      <c r="S43" s="197"/>
      <c r="T43" s="197"/>
      <c r="U43" s="197"/>
    </row>
    <row r="44" spans="1:21" s="12" customFormat="1" x14ac:dyDescent="0.25">
      <c r="A44" s="200" t="s">
        <v>2108</v>
      </c>
      <c r="B44" s="59">
        <v>17.48</v>
      </c>
      <c r="C44" s="59">
        <v>46.73</v>
      </c>
      <c r="D44" s="59">
        <v>41.55</v>
      </c>
      <c r="E44" s="59">
        <v>2.2599999999999998</v>
      </c>
      <c r="F44" s="59">
        <v>1.4</v>
      </c>
      <c r="G44" s="59">
        <v>49.3</v>
      </c>
      <c r="H44" s="59">
        <v>10.86</v>
      </c>
      <c r="I44" s="59">
        <v>0.54</v>
      </c>
      <c r="J44" s="59">
        <v>0.36</v>
      </c>
      <c r="K44" s="59">
        <v>5.87</v>
      </c>
      <c r="L44" s="59">
        <v>22.7</v>
      </c>
      <c r="M44" s="59">
        <v>63.12</v>
      </c>
      <c r="N44" s="59">
        <v>561.9</v>
      </c>
      <c r="O44" s="59">
        <v>0</v>
      </c>
      <c r="P44" s="59">
        <v>0.61</v>
      </c>
      <c r="Q44" s="59">
        <v>37.1</v>
      </c>
      <c r="R44" s="197"/>
      <c r="S44" s="197"/>
      <c r="T44" s="197"/>
      <c r="U44" s="197"/>
    </row>
    <row r="45" spans="1:21" s="12" customFormat="1" x14ac:dyDescent="0.25">
      <c r="A45" s="200" t="s">
        <v>2109</v>
      </c>
      <c r="B45" s="59">
        <v>18.16</v>
      </c>
      <c r="C45" s="59">
        <v>45.28</v>
      </c>
      <c r="D45" s="59">
        <v>41.29</v>
      </c>
      <c r="E45" s="59">
        <v>2.37</v>
      </c>
      <c r="F45" s="59">
        <v>1.34</v>
      </c>
      <c r="G45" s="59">
        <v>49.3</v>
      </c>
      <c r="H45" s="59">
        <v>10.86</v>
      </c>
      <c r="I45" s="59">
        <v>0.52</v>
      </c>
      <c r="J45" s="59">
        <v>0.32</v>
      </c>
      <c r="K45" s="59">
        <v>319.61</v>
      </c>
      <c r="L45" s="59">
        <v>23.03</v>
      </c>
      <c r="M45" s="59">
        <v>60.85</v>
      </c>
      <c r="N45" s="59">
        <v>602.1</v>
      </c>
      <c r="O45" s="59">
        <v>0</v>
      </c>
      <c r="P45" s="59">
        <v>0.64</v>
      </c>
      <c r="Q45" s="59">
        <v>37.89</v>
      </c>
      <c r="R45" s="197"/>
      <c r="S45" s="197"/>
      <c r="T45" s="197"/>
      <c r="U45" s="197"/>
    </row>
    <row r="46" spans="1:21" s="12" customFormat="1" x14ac:dyDescent="0.25">
      <c r="A46" s="200" t="s">
        <v>2110</v>
      </c>
      <c r="B46" s="59">
        <v>18.510000000000002</v>
      </c>
      <c r="C46" s="59">
        <v>49.25</v>
      </c>
      <c r="D46" s="59">
        <v>43.76</v>
      </c>
      <c r="E46" s="59">
        <v>2.8</v>
      </c>
      <c r="F46" s="59">
        <v>1.34</v>
      </c>
      <c r="G46" s="59">
        <v>41.97</v>
      </c>
      <c r="H46" s="59">
        <v>12.48</v>
      </c>
      <c r="I46" s="59">
        <v>0.54</v>
      </c>
      <c r="J46" s="59">
        <v>0.74</v>
      </c>
      <c r="K46" s="59">
        <v>6.39</v>
      </c>
      <c r="L46" s="59">
        <v>24.51</v>
      </c>
      <c r="M46" s="59">
        <v>56.01</v>
      </c>
      <c r="N46" s="59">
        <v>667.4</v>
      </c>
      <c r="O46" s="59">
        <v>0</v>
      </c>
      <c r="P46" s="59">
        <v>0.72</v>
      </c>
      <c r="Q46" s="59">
        <v>36.57</v>
      </c>
      <c r="R46" s="197"/>
      <c r="S46" s="197"/>
      <c r="T46" s="197"/>
      <c r="U46" s="197"/>
    </row>
    <row r="47" spans="1:21" s="12" customFormat="1" x14ac:dyDescent="0.25">
      <c r="A47" s="200" t="s">
        <v>2111</v>
      </c>
      <c r="B47" s="59">
        <v>19.43</v>
      </c>
      <c r="C47" s="59">
        <v>54.49</v>
      </c>
      <c r="D47" s="59">
        <v>47.4</v>
      </c>
      <c r="E47" s="59">
        <v>2.4700000000000002</v>
      </c>
      <c r="F47" s="59">
        <v>1.48</v>
      </c>
      <c r="G47" s="59">
        <v>40.729999999999997</v>
      </c>
      <c r="H47" s="59">
        <v>12.72</v>
      </c>
      <c r="I47" s="59">
        <v>0.53</v>
      </c>
      <c r="J47" s="59">
        <v>0.22</v>
      </c>
      <c r="K47" s="59">
        <v>336.2</v>
      </c>
      <c r="L47" s="59">
        <v>24.89</v>
      </c>
      <c r="M47" s="59">
        <v>53.19</v>
      </c>
      <c r="N47" s="59">
        <v>714.4</v>
      </c>
      <c r="O47" s="59">
        <v>0</v>
      </c>
      <c r="P47" s="59">
        <v>0.81</v>
      </c>
      <c r="Q47" s="59">
        <v>36.89</v>
      </c>
      <c r="R47" s="197"/>
      <c r="S47" s="197"/>
      <c r="T47" s="197"/>
      <c r="U47" s="197"/>
    </row>
    <row r="48" spans="1:21" s="12" customFormat="1" x14ac:dyDescent="0.25">
      <c r="A48" s="200" t="s">
        <v>2112</v>
      </c>
      <c r="B48" s="59">
        <v>19.14</v>
      </c>
      <c r="C48" s="59">
        <v>56.95</v>
      </c>
      <c r="D48" s="59">
        <v>48.52</v>
      </c>
      <c r="E48" s="59">
        <v>2.56</v>
      </c>
      <c r="F48" s="59">
        <v>1.47</v>
      </c>
      <c r="G48" s="59">
        <v>40.729999999999997</v>
      </c>
      <c r="H48" s="59">
        <v>12.72</v>
      </c>
      <c r="I48" s="59">
        <v>0.52</v>
      </c>
      <c r="J48" s="59">
        <v>0.34</v>
      </c>
      <c r="K48" s="59">
        <v>337.16</v>
      </c>
      <c r="L48" s="59">
        <v>25.36</v>
      </c>
      <c r="M48" s="59">
        <v>51.12</v>
      </c>
      <c r="N48" s="59">
        <v>751.5</v>
      </c>
      <c r="O48" s="59">
        <v>0</v>
      </c>
      <c r="P48" s="59">
        <v>0.87</v>
      </c>
      <c r="Q48" s="59">
        <v>36.31</v>
      </c>
      <c r="R48" s="197"/>
      <c r="S48" s="197"/>
      <c r="T48" s="197"/>
      <c r="U48" s="197"/>
    </row>
    <row r="49" spans="1:21" s="12" customFormat="1" x14ac:dyDescent="0.25">
      <c r="A49" s="200" t="s">
        <v>2113</v>
      </c>
      <c r="B49" s="59">
        <v>18.2</v>
      </c>
      <c r="C49" s="59">
        <v>56.97</v>
      </c>
      <c r="D49" s="59">
        <v>47.77</v>
      </c>
      <c r="E49" s="59">
        <v>2.92</v>
      </c>
      <c r="F49" s="59">
        <v>1.51</v>
      </c>
      <c r="G49" s="59">
        <v>40.729999999999997</v>
      </c>
      <c r="H49" s="59">
        <v>12.72</v>
      </c>
      <c r="I49" s="59">
        <v>0.54</v>
      </c>
      <c r="J49" s="59">
        <v>0.3</v>
      </c>
      <c r="K49" s="59">
        <v>357.42</v>
      </c>
      <c r="L49" s="59">
        <v>26.97</v>
      </c>
      <c r="M49" s="59">
        <v>45.4</v>
      </c>
      <c r="N49" s="59">
        <v>787.6</v>
      </c>
      <c r="O49" s="59">
        <v>0</v>
      </c>
      <c r="P49" s="59">
        <v>0.91</v>
      </c>
      <c r="Q49" s="59">
        <v>38.25</v>
      </c>
      <c r="R49" s="197"/>
      <c r="S49" s="197"/>
      <c r="T49" s="197"/>
      <c r="U49" s="197"/>
    </row>
    <row r="50" spans="1:21" s="12" customFormat="1" x14ac:dyDescent="0.25">
      <c r="A50" s="200" t="s">
        <v>2114</v>
      </c>
      <c r="B50" s="59">
        <v>14</v>
      </c>
      <c r="C50" s="59">
        <v>69.8</v>
      </c>
      <c r="D50" s="59">
        <v>51.49</v>
      </c>
      <c r="E50" s="59">
        <v>3.45</v>
      </c>
      <c r="F50" s="59">
        <v>13.83</v>
      </c>
      <c r="G50" s="59">
        <v>57.51</v>
      </c>
      <c r="H50" s="59">
        <v>18.420000000000002</v>
      </c>
      <c r="I50" s="59">
        <v>0.55000000000000004</v>
      </c>
      <c r="J50" s="59">
        <v>0.28999999999999998</v>
      </c>
      <c r="K50" s="59">
        <v>354.68</v>
      </c>
      <c r="L50" s="59">
        <v>26.49</v>
      </c>
      <c r="M50" s="59">
        <v>45.79</v>
      </c>
      <c r="N50" s="59">
        <v>813.5</v>
      </c>
      <c r="O50" s="59">
        <v>0</v>
      </c>
      <c r="P50" s="59">
        <v>1.18</v>
      </c>
      <c r="Q50" s="59">
        <v>40.5</v>
      </c>
      <c r="R50" s="197"/>
      <c r="S50" s="197"/>
      <c r="T50" s="197"/>
      <c r="U50" s="197"/>
    </row>
    <row r="51" spans="1:21" s="12" customFormat="1" x14ac:dyDescent="0.25">
      <c r="A51" s="200" t="s">
        <v>2115</v>
      </c>
      <c r="B51" s="59">
        <v>6.07</v>
      </c>
      <c r="C51" s="59">
        <v>78.41</v>
      </c>
      <c r="D51" s="59">
        <v>49.89</v>
      </c>
      <c r="E51" s="59">
        <v>3.29</v>
      </c>
      <c r="F51" s="59">
        <v>19.420000000000002</v>
      </c>
      <c r="G51" s="59">
        <v>60.35</v>
      </c>
      <c r="H51" s="59">
        <v>19.3</v>
      </c>
      <c r="I51" s="59">
        <v>0.54</v>
      </c>
      <c r="J51" s="59">
        <v>0.24</v>
      </c>
      <c r="K51" s="59">
        <v>283.33999999999997</v>
      </c>
      <c r="L51" s="59">
        <v>25.81</v>
      </c>
      <c r="M51" s="59">
        <v>44.83</v>
      </c>
      <c r="N51" s="59">
        <v>866.3</v>
      </c>
      <c r="O51" s="59">
        <v>0</v>
      </c>
      <c r="P51" s="59">
        <v>1.1100000000000001</v>
      </c>
      <c r="Q51" s="59">
        <v>37.270000000000003</v>
      </c>
      <c r="R51" s="197"/>
      <c r="S51" s="197"/>
      <c r="T51" s="197"/>
      <c r="U51" s="197"/>
    </row>
    <row r="52" spans="1:21" s="12" customFormat="1" x14ac:dyDescent="0.25">
      <c r="A52" s="200" t="s">
        <v>2116</v>
      </c>
      <c r="B52" s="59">
        <v>4.2</v>
      </c>
      <c r="C52" s="59">
        <v>50.44</v>
      </c>
      <c r="D52" s="59">
        <v>32.950000000000003</v>
      </c>
      <c r="E52" s="59">
        <v>9.7200000000000006</v>
      </c>
      <c r="F52" s="59">
        <v>40.270000000000003</v>
      </c>
      <c r="G52" s="59">
        <v>60.35</v>
      </c>
      <c r="H52" s="59">
        <v>19.3</v>
      </c>
      <c r="I52" s="59">
        <v>0.51</v>
      </c>
      <c r="J52" s="59">
        <v>0.17</v>
      </c>
      <c r="K52" s="59">
        <v>344.39</v>
      </c>
      <c r="L52" s="59">
        <v>26.14</v>
      </c>
      <c r="M52" s="59">
        <v>43.3</v>
      </c>
      <c r="N52" s="59">
        <v>883.6</v>
      </c>
      <c r="O52" s="59">
        <v>0</v>
      </c>
      <c r="P52" s="59">
        <v>0.63</v>
      </c>
      <c r="Q52" s="59">
        <v>39.450000000000003</v>
      </c>
      <c r="R52" s="197"/>
      <c r="S52" s="197"/>
      <c r="T52" s="197"/>
      <c r="U52" s="197"/>
    </row>
    <row r="53" spans="1:21" s="12" customFormat="1" x14ac:dyDescent="0.25">
      <c r="A53" s="200" t="s">
        <v>2117</v>
      </c>
      <c r="B53" s="59">
        <v>3.83</v>
      </c>
      <c r="C53" s="59">
        <v>65.2</v>
      </c>
      <c r="D53" s="59">
        <v>40.79</v>
      </c>
      <c r="E53" s="59">
        <v>6.12</v>
      </c>
      <c r="F53" s="59">
        <v>16.809999999999999</v>
      </c>
      <c r="G53" s="59">
        <v>60.35</v>
      </c>
      <c r="H53" s="59">
        <v>19.3</v>
      </c>
      <c r="I53" s="59">
        <v>0.45</v>
      </c>
      <c r="J53" s="59">
        <v>0.49</v>
      </c>
      <c r="K53" s="59">
        <v>351.09</v>
      </c>
      <c r="L53" s="59">
        <v>28.41</v>
      </c>
      <c r="M53" s="59">
        <v>37.31</v>
      </c>
      <c r="N53" s="59">
        <v>902.4</v>
      </c>
      <c r="O53" s="59">
        <v>0</v>
      </c>
      <c r="P53" s="59">
        <v>0.78</v>
      </c>
      <c r="Q53" s="59">
        <v>36.56</v>
      </c>
      <c r="R53" s="197"/>
      <c r="S53" s="197"/>
      <c r="T53" s="197"/>
      <c r="U53" s="197"/>
    </row>
    <row r="54" spans="1:21" s="12" customFormat="1" x14ac:dyDescent="0.25">
      <c r="A54" s="200" t="s">
        <v>2118</v>
      </c>
      <c r="B54" s="59">
        <v>3.73</v>
      </c>
      <c r="C54" s="59">
        <v>68.23</v>
      </c>
      <c r="D54" s="59">
        <v>42.39</v>
      </c>
      <c r="E54" s="59">
        <v>4.0599999999999996</v>
      </c>
      <c r="F54" s="59">
        <v>9.41</v>
      </c>
      <c r="G54" s="209" t="s">
        <v>36</v>
      </c>
      <c r="H54" s="209" t="s">
        <v>36</v>
      </c>
      <c r="I54" s="59">
        <v>0.44</v>
      </c>
      <c r="J54" s="59">
        <v>0.21</v>
      </c>
      <c r="K54" s="59">
        <v>319.79000000000002</v>
      </c>
      <c r="L54" s="59">
        <v>27.3</v>
      </c>
      <c r="M54" s="59">
        <v>37.78</v>
      </c>
      <c r="N54" s="59">
        <v>930.3</v>
      </c>
      <c r="O54" s="59">
        <v>0</v>
      </c>
      <c r="P54" s="59">
        <v>0.8</v>
      </c>
      <c r="Q54" s="59">
        <v>35.64</v>
      </c>
      <c r="R54" s="197"/>
      <c r="S54" s="197"/>
      <c r="T54" s="197"/>
      <c r="U54" s="197"/>
    </row>
    <row r="55" spans="1:21" s="12" customFormat="1" x14ac:dyDescent="0.25">
      <c r="A55" s="200" t="s">
        <v>2119</v>
      </c>
      <c r="B55" s="59">
        <v>4.08</v>
      </c>
      <c r="C55" s="59">
        <v>62.45</v>
      </c>
      <c r="D55" s="59">
        <v>39.479999999999997</v>
      </c>
      <c r="E55" s="59">
        <v>3.45</v>
      </c>
      <c r="F55" s="59">
        <v>6.43</v>
      </c>
      <c r="G55" s="209" t="s">
        <v>36</v>
      </c>
      <c r="H55" s="209" t="s">
        <v>36</v>
      </c>
      <c r="I55" s="59">
        <v>0.46</v>
      </c>
      <c r="J55" s="59">
        <v>0.38</v>
      </c>
      <c r="K55" s="59">
        <v>259.27</v>
      </c>
      <c r="L55" s="59">
        <v>25.92</v>
      </c>
      <c r="M55" s="59">
        <v>39.31</v>
      </c>
      <c r="N55" s="59">
        <v>947.6</v>
      </c>
      <c r="O55" s="59">
        <v>0</v>
      </c>
      <c r="P55" s="59">
        <v>0.8</v>
      </c>
      <c r="Q55" s="59">
        <v>38.020000000000003</v>
      </c>
      <c r="R55" s="197"/>
      <c r="S55" s="197"/>
      <c r="T55" s="197"/>
      <c r="U55" s="197"/>
    </row>
    <row r="56" spans="1:21" s="12" customFormat="1" x14ac:dyDescent="0.25">
      <c r="A56" s="200" t="s">
        <v>2120</v>
      </c>
      <c r="B56" s="59">
        <v>3.71</v>
      </c>
      <c r="C56" s="59">
        <v>55.1</v>
      </c>
      <c r="D56" s="59">
        <v>35.130000000000003</v>
      </c>
      <c r="E56" s="59">
        <v>1.5</v>
      </c>
      <c r="F56" s="59">
        <v>8.81</v>
      </c>
      <c r="G56" s="209" t="s">
        <v>36</v>
      </c>
      <c r="H56" s="209" t="s">
        <v>36</v>
      </c>
      <c r="I56" s="59">
        <v>0.46</v>
      </c>
      <c r="J56" s="59">
        <v>0.27</v>
      </c>
      <c r="K56" s="59">
        <v>273.35000000000002</v>
      </c>
      <c r="L56" s="59">
        <v>25.72</v>
      </c>
      <c r="M56" s="59">
        <v>43.5</v>
      </c>
      <c r="N56" s="59">
        <v>947.1</v>
      </c>
      <c r="O56" s="59">
        <v>0</v>
      </c>
      <c r="P56" s="59">
        <v>0.72</v>
      </c>
      <c r="Q56" s="59">
        <v>34.22</v>
      </c>
      <c r="R56" s="197"/>
      <c r="S56" s="197"/>
      <c r="T56" s="197"/>
      <c r="U56" s="197"/>
    </row>
    <row r="57" spans="1:21" s="12" customFormat="1" x14ac:dyDescent="0.25">
      <c r="A57" s="200" t="s">
        <v>2121</v>
      </c>
      <c r="B57" s="59">
        <v>3.22</v>
      </c>
      <c r="C57" s="59">
        <v>52.47</v>
      </c>
      <c r="D57" s="59">
        <v>33.29</v>
      </c>
      <c r="E57" s="59">
        <v>2.63</v>
      </c>
      <c r="F57" s="59">
        <v>7.31</v>
      </c>
      <c r="G57" s="209" t="s">
        <v>36</v>
      </c>
      <c r="H57" s="209" t="s">
        <v>36</v>
      </c>
      <c r="I57" s="59">
        <v>0.46</v>
      </c>
      <c r="J57" s="59">
        <v>0.54</v>
      </c>
      <c r="K57" s="59">
        <v>248.6</v>
      </c>
      <c r="L57" s="59">
        <v>25.64</v>
      </c>
      <c r="M57" s="59">
        <v>42.76</v>
      </c>
      <c r="N57" s="59">
        <v>943.2</v>
      </c>
      <c r="O57" s="59">
        <v>0</v>
      </c>
      <c r="P57" s="59">
        <v>0.67</v>
      </c>
      <c r="Q57" s="59">
        <v>36.130000000000003</v>
      </c>
      <c r="R57" s="197"/>
      <c r="S57" s="197"/>
      <c r="T57" s="197"/>
      <c r="U57" s="197"/>
    </row>
    <row r="58" spans="1:21" s="12" customFormat="1" x14ac:dyDescent="0.25">
      <c r="A58" s="200" t="s">
        <v>2122</v>
      </c>
      <c r="B58" s="59">
        <v>3.35</v>
      </c>
      <c r="C58" s="59">
        <v>50.1</v>
      </c>
      <c r="D58" s="59">
        <v>32.08</v>
      </c>
      <c r="E58" s="59">
        <v>2.21</v>
      </c>
      <c r="F58" s="59">
        <v>6.26</v>
      </c>
      <c r="G58" s="59">
        <v>23.73</v>
      </c>
      <c r="H58" s="59">
        <v>19.43</v>
      </c>
      <c r="I58" s="59">
        <v>0.46</v>
      </c>
      <c r="J58" s="59">
        <v>0.33</v>
      </c>
      <c r="K58" s="59">
        <v>0.42</v>
      </c>
      <c r="L58" s="59">
        <v>27.42</v>
      </c>
      <c r="M58" s="59">
        <v>39.909999999999997</v>
      </c>
      <c r="N58" s="59">
        <v>945.3</v>
      </c>
      <c r="O58" s="59">
        <v>0</v>
      </c>
      <c r="P58" s="59">
        <v>0.64</v>
      </c>
      <c r="Q58" s="59">
        <v>34.43</v>
      </c>
      <c r="R58" s="197"/>
      <c r="S58" s="197"/>
      <c r="T58" s="197"/>
      <c r="U58" s="197"/>
    </row>
    <row r="59" spans="1:21" s="12" customFormat="1" x14ac:dyDescent="0.25">
      <c r="A59" s="200" t="s">
        <v>2123</v>
      </c>
      <c r="B59" s="59">
        <v>3.36</v>
      </c>
      <c r="C59" s="59">
        <v>41.68</v>
      </c>
      <c r="D59" s="59">
        <v>27.44</v>
      </c>
      <c r="E59" s="59">
        <v>2.2000000000000002</v>
      </c>
      <c r="F59" s="59">
        <v>6.36</v>
      </c>
      <c r="G59" s="59">
        <v>23.73</v>
      </c>
      <c r="H59" s="59">
        <v>19.43</v>
      </c>
      <c r="I59" s="59">
        <v>0.46</v>
      </c>
      <c r="J59" s="59">
        <v>0.53</v>
      </c>
      <c r="K59" s="59">
        <v>354.44</v>
      </c>
      <c r="L59" s="59">
        <v>28.65</v>
      </c>
      <c r="M59" s="59">
        <v>36.79</v>
      </c>
      <c r="N59" s="59">
        <v>930.5</v>
      </c>
      <c r="O59" s="59">
        <v>0</v>
      </c>
      <c r="P59" s="59">
        <v>0.63</v>
      </c>
      <c r="Q59" s="59">
        <v>35.72</v>
      </c>
      <c r="R59" s="197"/>
      <c r="S59" s="197"/>
      <c r="T59" s="197"/>
      <c r="U59" s="197"/>
    </row>
    <row r="60" spans="1:21" s="12" customFormat="1" x14ac:dyDescent="0.25">
      <c r="A60" s="200" t="s">
        <v>2124</v>
      </c>
      <c r="B60" s="59">
        <v>3.46</v>
      </c>
      <c r="C60" s="59">
        <v>41.75</v>
      </c>
      <c r="D60" s="59">
        <v>27.55</v>
      </c>
      <c r="E60" s="59">
        <v>2.16</v>
      </c>
      <c r="F60" s="59">
        <v>5.61</v>
      </c>
      <c r="G60" s="59">
        <v>23.73</v>
      </c>
      <c r="H60" s="59">
        <v>19.43</v>
      </c>
      <c r="I60" s="59">
        <v>0.45</v>
      </c>
      <c r="J60" s="59">
        <v>0.3</v>
      </c>
      <c r="K60" s="59">
        <v>337.05</v>
      </c>
      <c r="L60" s="59">
        <v>28.51</v>
      </c>
      <c r="M60" s="59">
        <v>35.78</v>
      </c>
      <c r="N60" s="59">
        <v>908.3</v>
      </c>
      <c r="O60" s="59">
        <v>0</v>
      </c>
      <c r="P60" s="59">
        <v>0.64</v>
      </c>
      <c r="Q60" s="59">
        <v>32.1</v>
      </c>
      <c r="R60" s="197"/>
      <c r="S60" s="197"/>
      <c r="T60" s="197"/>
      <c r="U60" s="197"/>
    </row>
    <row r="61" spans="1:21" s="12" customFormat="1" x14ac:dyDescent="0.25">
      <c r="A61" s="200" t="s">
        <v>2125</v>
      </c>
      <c r="B61" s="59">
        <v>3.5</v>
      </c>
      <c r="C61" s="59">
        <v>44.22</v>
      </c>
      <c r="D61" s="59">
        <v>28.95</v>
      </c>
      <c r="E61" s="59">
        <v>2.48</v>
      </c>
      <c r="F61" s="59">
        <v>7.91</v>
      </c>
      <c r="G61" s="59">
        <v>23.76</v>
      </c>
      <c r="H61" s="59">
        <v>19.39</v>
      </c>
      <c r="I61" s="59">
        <v>0.46</v>
      </c>
      <c r="J61" s="59">
        <v>0.22</v>
      </c>
      <c r="K61" s="59">
        <v>288</v>
      </c>
      <c r="L61" s="59">
        <v>27.57</v>
      </c>
      <c r="M61" s="59">
        <v>37.61</v>
      </c>
      <c r="N61" s="59">
        <v>874.2</v>
      </c>
      <c r="O61" s="59">
        <v>0</v>
      </c>
      <c r="P61" s="59">
        <v>0.62</v>
      </c>
      <c r="Q61" s="59">
        <v>33.01</v>
      </c>
      <c r="R61" s="197"/>
      <c r="S61" s="197"/>
      <c r="T61" s="197"/>
      <c r="U61" s="197"/>
    </row>
    <row r="62" spans="1:21" s="12" customFormat="1" x14ac:dyDescent="0.25">
      <c r="A62" s="200" t="s">
        <v>2126</v>
      </c>
      <c r="B62" s="59">
        <v>3.42</v>
      </c>
      <c r="C62" s="59">
        <v>48.21</v>
      </c>
      <c r="D62" s="59">
        <v>31.09</v>
      </c>
      <c r="E62" s="59">
        <v>2.2000000000000002</v>
      </c>
      <c r="F62" s="59">
        <v>6.59</v>
      </c>
      <c r="G62" s="59">
        <v>26.92</v>
      </c>
      <c r="H62" s="59">
        <v>16.34</v>
      </c>
      <c r="I62" s="59">
        <v>0.47</v>
      </c>
      <c r="J62" s="59">
        <v>0.42</v>
      </c>
      <c r="K62" s="59">
        <v>285.66000000000003</v>
      </c>
      <c r="L62" s="59">
        <v>27.16</v>
      </c>
      <c r="M62" s="59">
        <v>37.729999999999997</v>
      </c>
      <c r="N62" s="59">
        <v>831.7</v>
      </c>
      <c r="O62" s="59">
        <v>0</v>
      </c>
      <c r="P62" s="59">
        <v>0.64</v>
      </c>
      <c r="Q62" s="59">
        <v>31.6</v>
      </c>
      <c r="R62" s="197"/>
      <c r="S62" s="197"/>
      <c r="T62" s="197"/>
      <c r="U62" s="197"/>
    </row>
    <row r="63" spans="1:21" s="12" customFormat="1" x14ac:dyDescent="0.25">
      <c r="A63" s="200" t="s">
        <v>2127</v>
      </c>
      <c r="B63" s="59">
        <v>3.68</v>
      </c>
      <c r="C63" s="59">
        <v>49.26</v>
      </c>
      <c r="D63" s="59">
        <v>31.88</v>
      </c>
      <c r="E63" s="59">
        <v>2.63</v>
      </c>
      <c r="F63" s="59">
        <v>5.1100000000000003</v>
      </c>
      <c r="G63" s="59">
        <v>26.92</v>
      </c>
      <c r="H63" s="59">
        <v>16.34</v>
      </c>
      <c r="I63" s="59">
        <v>0.46</v>
      </c>
      <c r="J63" s="59">
        <v>0.28000000000000003</v>
      </c>
      <c r="K63" s="59">
        <v>18.66</v>
      </c>
      <c r="L63" s="59">
        <v>29.04</v>
      </c>
      <c r="M63" s="59">
        <v>35.159999999999997</v>
      </c>
      <c r="N63" s="59">
        <v>763.1</v>
      </c>
      <c r="O63" s="59">
        <v>0</v>
      </c>
      <c r="P63" s="59">
        <v>0.67</v>
      </c>
      <c r="Q63" s="59">
        <v>31.08</v>
      </c>
      <c r="R63" s="197"/>
      <c r="S63" s="197"/>
      <c r="T63" s="197"/>
      <c r="U63" s="197"/>
    </row>
    <row r="64" spans="1:21" s="12" customFormat="1" x14ac:dyDescent="0.25">
      <c r="A64" s="200" t="s">
        <v>2128</v>
      </c>
      <c r="B64" s="59">
        <v>4.0599999999999996</v>
      </c>
      <c r="C64" s="59">
        <v>50.53</v>
      </c>
      <c r="D64" s="59">
        <v>32.89</v>
      </c>
      <c r="E64" s="59">
        <v>1.94</v>
      </c>
      <c r="F64" s="59">
        <v>4.8600000000000003</v>
      </c>
      <c r="G64" s="59">
        <v>26.92</v>
      </c>
      <c r="H64" s="59">
        <v>16.34</v>
      </c>
      <c r="I64" s="59">
        <v>0.47</v>
      </c>
      <c r="J64" s="59">
        <v>0.36</v>
      </c>
      <c r="K64" s="59">
        <v>357.06</v>
      </c>
      <c r="L64" s="59">
        <v>29.01</v>
      </c>
      <c r="M64" s="59">
        <v>33.840000000000003</v>
      </c>
      <c r="N64" s="59">
        <v>770.2</v>
      </c>
      <c r="O64" s="59">
        <v>0</v>
      </c>
      <c r="P64" s="59">
        <v>0.68</v>
      </c>
      <c r="Q64" s="59">
        <v>31.1</v>
      </c>
      <c r="R64" s="197"/>
      <c r="S64" s="197"/>
      <c r="T64" s="197"/>
      <c r="U64" s="197"/>
    </row>
    <row r="65" spans="1:21" s="12" customFormat="1" x14ac:dyDescent="0.25">
      <c r="A65" s="200" t="s">
        <v>2129</v>
      </c>
      <c r="B65" s="59">
        <v>4.3499999999999996</v>
      </c>
      <c r="C65" s="59">
        <v>43.29</v>
      </c>
      <c r="D65" s="59">
        <v>29.12</v>
      </c>
      <c r="E65" s="59">
        <v>2.25</v>
      </c>
      <c r="F65" s="59">
        <v>4.08</v>
      </c>
      <c r="G65" s="59">
        <v>26.95</v>
      </c>
      <c r="H65" s="59">
        <v>16.329999999999998</v>
      </c>
      <c r="I65" s="59">
        <v>0.47</v>
      </c>
      <c r="J65" s="59">
        <v>0.57999999999999996</v>
      </c>
      <c r="K65" s="59">
        <v>247.16</v>
      </c>
      <c r="L65" s="59">
        <v>28.49</v>
      </c>
      <c r="M65" s="59">
        <v>34.299999999999997</v>
      </c>
      <c r="N65" s="59">
        <v>736</v>
      </c>
      <c r="O65" s="59">
        <v>0</v>
      </c>
      <c r="P65" s="59">
        <v>0.69</v>
      </c>
      <c r="Q65" s="59">
        <v>33.840000000000003</v>
      </c>
      <c r="R65" s="197"/>
      <c r="S65" s="197"/>
      <c r="T65" s="197"/>
      <c r="U65" s="197"/>
    </row>
    <row r="66" spans="1:21" s="12" customFormat="1" x14ac:dyDescent="0.25">
      <c r="A66" s="200" t="s">
        <v>2130</v>
      </c>
      <c r="B66" s="59">
        <v>3.79</v>
      </c>
      <c r="C66" s="59">
        <v>55.07</v>
      </c>
      <c r="D66" s="59">
        <v>35.18</v>
      </c>
      <c r="E66" s="59">
        <v>2.4500000000000002</v>
      </c>
      <c r="F66" s="59">
        <v>7.79</v>
      </c>
      <c r="G66" s="59">
        <v>29.63</v>
      </c>
      <c r="H66" s="59">
        <v>15.12</v>
      </c>
      <c r="I66" s="59">
        <v>0.47</v>
      </c>
      <c r="J66" s="59">
        <v>0.22</v>
      </c>
      <c r="K66" s="59">
        <v>322.54000000000002</v>
      </c>
      <c r="L66" s="59">
        <v>28.21</v>
      </c>
      <c r="M66" s="59">
        <v>34.700000000000003</v>
      </c>
      <c r="N66" s="59">
        <v>702.8</v>
      </c>
      <c r="O66" s="59">
        <v>0</v>
      </c>
      <c r="P66" s="59">
        <v>0.68</v>
      </c>
      <c r="Q66" s="59">
        <v>31.43</v>
      </c>
      <c r="R66" s="197"/>
      <c r="S66" s="197"/>
      <c r="T66" s="197"/>
      <c r="U66" s="197"/>
    </row>
    <row r="67" spans="1:21" s="12" customFormat="1" x14ac:dyDescent="0.25">
      <c r="A67" s="200" t="s">
        <v>2131</v>
      </c>
      <c r="B67" s="59">
        <v>3.62</v>
      </c>
      <c r="C67" s="59">
        <v>42.71</v>
      </c>
      <c r="D67" s="59">
        <v>28.22</v>
      </c>
      <c r="E67" s="59">
        <v>2.76</v>
      </c>
      <c r="F67" s="59">
        <v>5.24</v>
      </c>
      <c r="G67" s="59">
        <v>29.63</v>
      </c>
      <c r="H67" s="59">
        <v>15.12</v>
      </c>
      <c r="I67" s="59">
        <v>0.47</v>
      </c>
      <c r="J67" s="59">
        <v>0.08</v>
      </c>
      <c r="K67" s="59">
        <v>268.75</v>
      </c>
      <c r="L67" s="59">
        <v>28.41</v>
      </c>
      <c r="M67" s="59">
        <v>34.229999999999997</v>
      </c>
      <c r="N67" s="59">
        <v>352</v>
      </c>
      <c r="O67" s="59">
        <v>0</v>
      </c>
      <c r="P67" s="59">
        <v>0.69</v>
      </c>
      <c r="Q67" s="59">
        <v>36.39</v>
      </c>
      <c r="R67" s="197"/>
      <c r="S67" s="197"/>
      <c r="T67" s="197"/>
      <c r="U67" s="197"/>
    </row>
    <row r="68" spans="1:21" s="12" customFormat="1" x14ac:dyDescent="0.25">
      <c r="A68" s="200" t="s">
        <v>2132</v>
      </c>
      <c r="B68" s="59">
        <v>5.32</v>
      </c>
      <c r="C68" s="59">
        <v>37.909999999999997</v>
      </c>
      <c r="D68" s="59">
        <v>26.93</v>
      </c>
      <c r="E68" s="59">
        <v>2.87</v>
      </c>
      <c r="F68" s="59">
        <v>6.4</v>
      </c>
      <c r="G68" s="59">
        <v>29.63</v>
      </c>
      <c r="H68" s="59">
        <v>15.12</v>
      </c>
      <c r="I68" s="59">
        <v>0.47</v>
      </c>
      <c r="J68" s="59">
        <v>0.39</v>
      </c>
      <c r="K68" s="59">
        <v>338.84</v>
      </c>
      <c r="L68" s="59">
        <v>28.24</v>
      </c>
      <c r="M68" s="59">
        <v>34.5</v>
      </c>
      <c r="N68" s="59">
        <v>470.4</v>
      </c>
      <c r="O68" s="59">
        <v>0</v>
      </c>
      <c r="P68" s="59">
        <v>0.67</v>
      </c>
      <c r="Q68" s="59">
        <v>37.74</v>
      </c>
      <c r="R68" s="197"/>
      <c r="S68" s="197"/>
      <c r="T68" s="197"/>
      <c r="U68" s="197"/>
    </row>
    <row r="69" spans="1:21" s="12" customFormat="1" x14ac:dyDescent="0.25">
      <c r="A69" s="200" t="s">
        <v>2133</v>
      </c>
      <c r="B69" s="59">
        <v>4.34</v>
      </c>
      <c r="C69" s="59">
        <v>45.14</v>
      </c>
      <c r="D69" s="59">
        <v>30.14</v>
      </c>
      <c r="E69" s="59">
        <v>2.0499999999999998</v>
      </c>
      <c r="F69" s="59">
        <v>5.4</v>
      </c>
      <c r="G69" s="59">
        <v>29.63</v>
      </c>
      <c r="H69" s="59">
        <v>15.09</v>
      </c>
      <c r="I69" s="59">
        <v>0.47</v>
      </c>
      <c r="J69" s="59">
        <v>0.38</v>
      </c>
      <c r="K69" s="59">
        <v>349.5</v>
      </c>
      <c r="L69" s="59">
        <v>29.26</v>
      </c>
      <c r="M69" s="59">
        <v>32.49</v>
      </c>
      <c r="N69" s="59">
        <v>395.9</v>
      </c>
      <c r="O69" s="59">
        <v>0</v>
      </c>
      <c r="P69" s="59">
        <v>0.67</v>
      </c>
      <c r="Q69" s="59">
        <v>33.79</v>
      </c>
      <c r="R69" s="197"/>
      <c r="S69" s="197"/>
      <c r="T69" s="197"/>
      <c r="U69" s="197"/>
    </row>
    <row r="70" spans="1:21" s="12" customFormat="1" x14ac:dyDescent="0.25">
      <c r="A70" s="200" t="s">
        <v>2134</v>
      </c>
      <c r="B70" s="59">
        <v>3.8</v>
      </c>
      <c r="C70" s="59">
        <v>51.1</v>
      </c>
      <c r="D70" s="59">
        <v>32.99</v>
      </c>
      <c r="E70" s="59">
        <v>2.15</v>
      </c>
      <c r="F70" s="59">
        <v>8.77</v>
      </c>
      <c r="G70" s="59">
        <v>29.93</v>
      </c>
      <c r="H70" s="59">
        <v>12.34</v>
      </c>
      <c r="I70" s="59">
        <v>0.48</v>
      </c>
      <c r="J70" s="59">
        <v>0.11</v>
      </c>
      <c r="K70" s="59">
        <v>189.78</v>
      </c>
      <c r="L70" s="59">
        <v>28.53</v>
      </c>
      <c r="M70" s="59">
        <v>33.299999999999997</v>
      </c>
      <c r="N70" s="59">
        <v>346.9</v>
      </c>
      <c r="O70" s="59">
        <v>0</v>
      </c>
      <c r="P70" s="59">
        <v>0.66</v>
      </c>
      <c r="Q70" s="59">
        <v>33.299999999999997</v>
      </c>
      <c r="R70" s="197"/>
      <c r="S70" s="197"/>
      <c r="T70" s="197"/>
      <c r="U70" s="197"/>
    </row>
    <row r="71" spans="1:21" s="12" customFormat="1" x14ac:dyDescent="0.25">
      <c r="A71" s="200" t="s">
        <v>2135</v>
      </c>
      <c r="B71" s="59">
        <v>3.38</v>
      </c>
      <c r="C71" s="59">
        <v>51.44</v>
      </c>
      <c r="D71" s="59">
        <v>32.840000000000003</v>
      </c>
      <c r="E71" s="59">
        <v>2.1800000000000002</v>
      </c>
      <c r="F71" s="59">
        <v>7.32</v>
      </c>
      <c r="G71" s="59">
        <v>29.93</v>
      </c>
      <c r="H71" s="59">
        <v>12.34</v>
      </c>
      <c r="I71" s="59">
        <v>0.48</v>
      </c>
      <c r="J71" s="59">
        <v>0.16</v>
      </c>
      <c r="K71" s="59">
        <v>329.2</v>
      </c>
      <c r="L71" s="59">
        <v>28.48</v>
      </c>
      <c r="M71" s="59">
        <v>33.270000000000003</v>
      </c>
      <c r="N71" s="59">
        <v>434.3</v>
      </c>
      <c r="O71" s="59">
        <v>0</v>
      </c>
      <c r="P71" s="59">
        <v>0.66</v>
      </c>
      <c r="Q71" s="59">
        <v>36.450000000000003</v>
      </c>
      <c r="R71" s="197"/>
      <c r="S71" s="197"/>
      <c r="T71" s="197"/>
      <c r="U71" s="197"/>
    </row>
    <row r="72" spans="1:21" s="12" customFormat="1" x14ac:dyDescent="0.25">
      <c r="A72" s="200" t="s">
        <v>2136</v>
      </c>
      <c r="B72" s="59">
        <v>3.44</v>
      </c>
      <c r="C72" s="59">
        <v>43.99</v>
      </c>
      <c r="D72" s="59">
        <v>28.77</v>
      </c>
      <c r="E72" s="59">
        <v>0.65</v>
      </c>
      <c r="F72" s="59">
        <v>6.07</v>
      </c>
      <c r="G72" s="59">
        <v>29.93</v>
      </c>
      <c r="H72" s="59">
        <v>12.34</v>
      </c>
      <c r="I72" s="59">
        <v>0.48</v>
      </c>
      <c r="J72" s="59">
        <v>0.27</v>
      </c>
      <c r="K72" s="59">
        <v>226.91</v>
      </c>
      <c r="L72" s="59">
        <v>27.45</v>
      </c>
      <c r="M72" s="59">
        <v>34.94</v>
      </c>
      <c r="N72" s="59">
        <v>343.5</v>
      </c>
      <c r="O72" s="59">
        <v>0</v>
      </c>
      <c r="P72" s="59">
        <v>0.64</v>
      </c>
      <c r="Q72" s="59">
        <v>35.81</v>
      </c>
      <c r="R72" s="197"/>
      <c r="S72" s="197"/>
      <c r="T72" s="197"/>
      <c r="U72" s="197"/>
    </row>
    <row r="73" spans="1:21" s="12" customFormat="1" x14ac:dyDescent="0.25">
      <c r="A73" s="200" t="s">
        <v>2137</v>
      </c>
      <c r="B73" s="59">
        <v>3.64</v>
      </c>
      <c r="C73" s="59">
        <v>54.32</v>
      </c>
      <c r="D73" s="59">
        <v>34.64</v>
      </c>
      <c r="E73" s="59">
        <v>0.63</v>
      </c>
      <c r="F73" s="59">
        <v>4.97</v>
      </c>
      <c r="G73" s="59">
        <v>29.96</v>
      </c>
      <c r="H73" s="59">
        <v>12.36</v>
      </c>
      <c r="I73" s="59">
        <v>0.47</v>
      </c>
      <c r="J73" s="59">
        <v>0.23</v>
      </c>
      <c r="K73" s="59">
        <v>324.48</v>
      </c>
      <c r="L73" s="59">
        <v>27.51</v>
      </c>
      <c r="M73" s="59">
        <v>34.46</v>
      </c>
      <c r="N73" s="59">
        <v>233</v>
      </c>
      <c r="O73" s="59">
        <v>0</v>
      </c>
      <c r="P73" s="59">
        <v>0.65</v>
      </c>
      <c r="Q73" s="59">
        <v>32.340000000000003</v>
      </c>
      <c r="R73" s="197"/>
      <c r="S73" s="197"/>
      <c r="T73" s="197"/>
      <c r="U73" s="197"/>
    </row>
    <row r="74" spans="1:21" s="12" customFormat="1" x14ac:dyDescent="0.25">
      <c r="A74" s="200" t="s">
        <v>2138</v>
      </c>
      <c r="B74" s="59">
        <v>4.29</v>
      </c>
      <c r="C74" s="59">
        <v>51.43</v>
      </c>
      <c r="D74" s="59">
        <v>33.57</v>
      </c>
      <c r="E74" s="59">
        <v>1.36</v>
      </c>
      <c r="F74" s="59">
        <v>4.3600000000000003</v>
      </c>
      <c r="G74" s="59">
        <v>32.549999999999997</v>
      </c>
      <c r="H74" s="59">
        <v>14.25</v>
      </c>
      <c r="I74" s="59">
        <v>0.48</v>
      </c>
      <c r="J74" s="59">
        <v>0.36</v>
      </c>
      <c r="K74" s="59">
        <v>343.31</v>
      </c>
      <c r="L74" s="59">
        <v>27.87</v>
      </c>
      <c r="M74" s="59">
        <v>33.75</v>
      </c>
      <c r="N74" s="59">
        <v>128.19999999999999</v>
      </c>
      <c r="O74" s="59">
        <v>0</v>
      </c>
      <c r="P74" s="59">
        <v>0.68</v>
      </c>
      <c r="Q74" s="59">
        <v>34.17</v>
      </c>
      <c r="R74" s="197"/>
      <c r="S74" s="197"/>
      <c r="T74" s="197"/>
      <c r="U74" s="197"/>
    </row>
    <row r="75" spans="1:21" s="12" customFormat="1" x14ac:dyDescent="0.25">
      <c r="A75" s="200" t="s">
        <v>2139</v>
      </c>
      <c r="B75" s="59">
        <v>5.76</v>
      </c>
      <c r="C75" s="59">
        <v>48.35</v>
      </c>
      <c r="D75" s="59">
        <v>33.04</v>
      </c>
      <c r="E75" s="59">
        <v>1.41</v>
      </c>
      <c r="F75" s="59">
        <v>6.6</v>
      </c>
      <c r="G75" s="59">
        <v>32.549999999999997</v>
      </c>
      <c r="H75" s="59">
        <v>14.25</v>
      </c>
      <c r="I75" s="59">
        <v>0.47</v>
      </c>
      <c r="J75" s="59">
        <v>0.3</v>
      </c>
      <c r="K75" s="59">
        <v>257.05</v>
      </c>
      <c r="L75" s="59">
        <v>26.95</v>
      </c>
      <c r="M75" s="59">
        <v>33.96</v>
      </c>
      <c r="N75" s="59">
        <v>92.5</v>
      </c>
      <c r="O75" s="59">
        <v>0</v>
      </c>
      <c r="P75" s="59">
        <v>0.68</v>
      </c>
      <c r="Q75" s="59">
        <v>33.53</v>
      </c>
      <c r="R75" s="197"/>
      <c r="S75" s="197"/>
      <c r="T75" s="197"/>
      <c r="U75" s="197"/>
    </row>
    <row r="76" spans="1:21" s="12" customFormat="1" x14ac:dyDescent="0.25">
      <c r="A76" s="200" t="s">
        <v>2140</v>
      </c>
      <c r="B76" s="59">
        <v>4.5599999999999996</v>
      </c>
      <c r="C76" s="59">
        <v>58.61</v>
      </c>
      <c r="D76" s="59">
        <v>37.74</v>
      </c>
      <c r="E76" s="59">
        <v>1.26</v>
      </c>
      <c r="F76" s="59">
        <v>5.62</v>
      </c>
      <c r="G76" s="59">
        <v>32.549999999999997</v>
      </c>
      <c r="H76" s="59">
        <v>14.25</v>
      </c>
      <c r="I76" s="59">
        <v>0.49</v>
      </c>
      <c r="J76" s="59">
        <v>0.13</v>
      </c>
      <c r="K76" s="59">
        <v>351.57</v>
      </c>
      <c r="L76" s="59">
        <v>26.74</v>
      </c>
      <c r="M76" s="59">
        <v>34.75</v>
      </c>
      <c r="N76" s="59">
        <v>72.599999999999994</v>
      </c>
      <c r="O76" s="59">
        <v>0</v>
      </c>
      <c r="P76" s="59">
        <v>0.67</v>
      </c>
      <c r="Q76" s="59">
        <v>31.49</v>
      </c>
      <c r="R76" s="197"/>
      <c r="S76" s="197"/>
      <c r="T76" s="197"/>
      <c r="U76" s="197"/>
    </row>
    <row r="77" spans="1:21" s="12" customFormat="1" x14ac:dyDescent="0.25">
      <c r="A77" s="200" t="s">
        <v>2141</v>
      </c>
      <c r="B77" s="59">
        <v>4.45</v>
      </c>
      <c r="C77" s="59">
        <v>58.85</v>
      </c>
      <c r="D77" s="59">
        <v>37.79</v>
      </c>
      <c r="E77" s="59">
        <v>1.52</v>
      </c>
      <c r="F77" s="59">
        <v>7</v>
      </c>
      <c r="G77" s="59">
        <v>32.520000000000003</v>
      </c>
      <c r="H77" s="59">
        <v>14.25</v>
      </c>
      <c r="I77" s="59">
        <v>0.48</v>
      </c>
      <c r="J77" s="59">
        <v>0.26</v>
      </c>
      <c r="K77" s="59">
        <v>18.63</v>
      </c>
      <c r="L77" s="59">
        <v>26.56</v>
      </c>
      <c r="M77" s="59">
        <v>34.61</v>
      </c>
      <c r="N77" s="59">
        <v>59.1</v>
      </c>
      <c r="O77" s="59">
        <v>0</v>
      </c>
      <c r="P77" s="59">
        <v>0.7</v>
      </c>
      <c r="Q77" s="59">
        <v>30.86</v>
      </c>
      <c r="R77" s="197"/>
      <c r="S77" s="197"/>
      <c r="T77" s="197"/>
      <c r="U77" s="197"/>
    </row>
    <row r="78" spans="1:21" s="12" customFormat="1" x14ac:dyDescent="0.25">
      <c r="A78" s="200" t="s">
        <v>2142</v>
      </c>
      <c r="B78" s="59">
        <v>6.44</v>
      </c>
      <c r="C78" s="59">
        <v>59.36</v>
      </c>
      <c r="D78" s="59">
        <v>39.67</v>
      </c>
      <c r="E78" s="59">
        <v>1.45</v>
      </c>
      <c r="F78" s="59">
        <v>7.05</v>
      </c>
      <c r="G78" s="59">
        <v>29.91</v>
      </c>
      <c r="H78" s="59">
        <v>14.33</v>
      </c>
      <c r="I78" s="59">
        <v>0.49</v>
      </c>
      <c r="J78" s="59">
        <v>0.14000000000000001</v>
      </c>
      <c r="K78" s="59">
        <v>21.66</v>
      </c>
      <c r="L78" s="59">
        <v>26.37</v>
      </c>
      <c r="M78" s="59">
        <v>34.1</v>
      </c>
      <c r="N78" s="59">
        <v>46.6</v>
      </c>
      <c r="O78" s="59">
        <v>0</v>
      </c>
      <c r="P78" s="59">
        <v>0.71</v>
      </c>
      <c r="Q78" s="59">
        <v>31.74</v>
      </c>
      <c r="R78" s="197"/>
      <c r="S78" s="197"/>
      <c r="T78" s="197"/>
      <c r="U78" s="197"/>
    </row>
    <row r="79" spans="1:21" s="12" customFormat="1" x14ac:dyDescent="0.25">
      <c r="A79" s="200" t="s">
        <v>2143</v>
      </c>
      <c r="B79" s="59">
        <v>5.14</v>
      </c>
      <c r="C79" s="59">
        <v>58.7</v>
      </c>
      <c r="D79" s="59">
        <v>38.25</v>
      </c>
      <c r="E79" s="59">
        <v>2.06</v>
      </c>
      <c r="F79" s="59">
        <v>12.1</v>
      </c>
      <c r="G79" s="59">
        <v>29.91</v>
      </c>
      <c r="H79" s="59">
        <v>14.33</v>
      </c>
      <c r="I79" s="59">
        <v>0.49</v>
      </c>
      <c r="J79" s="59">
        <v>0.24</v>
      </c>
      <c r="K79" s="59">
        <v>247.71</v>
      </c>
      <c r="L79" s="59">
        <v>26.05</v>
      </c>
      <c r="M79" s="59">
        <v>34.67</v>
      </c>
      <c r="N79" s="59">
        <v>32.5</v>
      </c>
      <c r="O79" s="59">
        <v>0</v>
      </c>
      <c r="P79" s="59">
        <v>0.69</v>
      </c>
      <c r="Q79" s="59">
        <v>30.65</v>
      </c>
      <c r="R79" s="197"/>
      <c r="S79" s="197"/>
      <c r="T79" s="197"/>
      <c r="U79" s="197"/>
    </row>
    <row r="80" spans="1:21" s="12" customFormat="1" x14ac:dyDescent="0.25">
      <c r="A80" s="200" t="s">
        <v>2144</v>
      </c>
      <c r="B80" s="59">
        <v>4.6100000000000003</v>
      </c>
      <c r="C80" s="59">
        <v>55.51</v>
      </c>
      <c r="D80" s="59">
        <v>36.07</v>
      </c>
      <c r="E80" s="59">
        <v>1.95</v>
      </c>
      <c r="F80" s="59">
        <v>15.52</v>
      </c>
      <c r="G80" s="59">
        <v>29.91</v>
      </c>
      <c r="H80" s="59">
        <v>14.33</v>
      </c>
      <c r="I80" s="59">
        <v>0.49</v>
      </c>
      <c r="J80" s="59">
        <v>0.28999999999999998</v>
      </c>
      <c r="K80" s="59">
        <v>248.5</v>
      </c>
      <c r="L80" s="59">
        <v>25.61</v>
      </c>
      <c r="M80" s="59">
        <v>36.25</v>
      </c>
      <c r="N80" s="59">
        <v>16.899999999999999</v>
      </c>
      <c r="O80" s="59">
        <v>0</v>
      </c>
      <c r="P80" s="59">
        <v>0.66</v>
      </c>
      <c r="Q80" s="59">
        <v>33.4</v>
      </c>
      <c r="R80" s="197"/>
      <c r="S80" s="197"/>
      <c r="T80" s="197"/>
      <c r="U80" s="197"/>
    </row>
    <row r="81" spans="1:26" s="12" customFormat="1" x14ac:dyDescent="0.25">
      <c r="A81" s="200" t="s">
        <v>2145</v>
      </c>
      <c r="B81" s="59">
        <v>6.29</v>
      </c>
      <c r="C81" s="59">
        <v>61.01</v>
      </c>
      <c r="D81" s="59">
        <v>40.46</v>
      </c>
      <c r="E81" s="59">
        <v>1.89</v>
      </c>
      <c r="F81" s="59">
        <v>8.9</v>
      </c>
      <c r="G81" s="59">
        <v>30</v>
      </c>
      <c r="H81" s="59">
        <v>14.31</v>
      </c>
      <c r="I81" s="59">
        <v>0.49</v>
      </c>
      <c r="J81" s="59">
        <v>0.15</v>
      </c>
      <c r="K81" s="59">
        <v>286.97000000000003</v>
      </c>
      <c r="L81" s="59">
        <v>25.11</v>
      </c>
      <c r="M81" s="59">
        <v>38.28</v>
      </c>
      <c r="N81" s="59">
        <v>7.8</v>
      </c>
      <c r="O81" s="59">
        <v>0</v>
      </c>
      <c r="P81" s="59">
        <v>0.7</v>
      </c>
      <c r="Q81" s="59">
        <v>33.24</v>
      </c>
      <c r="R81" s="197"/>
      <c r="S81" s="197"/>
      <c r="T81" s="197"/>
      <c r="U81" s="197"/>
    </row>
    <row r="82" spans="1:26" s="12" customFormat="1" x14ac:dyDescent="0.25">
      <c r="A82" s="200" t="s">
        <v>2146</v>
      </c>
      <c r="B82" s="59">
        <v>15.7</v>
      </c>
      <c r="C82" s="59">
        <v>63.4</v>
      </c>
      <c r="D82" s="59">
        <v>49.33</v>
      </c>
      <c r="E82" s="59">
        <v>1.25</v>
      </c>
      <c r="F82" s="59">
        <v>4.82</v>
      </c>
      <c r="G82" s="59">
        <v>38.049999999999997</v>
      </c>
      <c r="H82" s="59">
        <v>12.83</v>
      </c>
      <c r="I82" s="59">
        <v>0.51</v>
      </c>
      <c r="J82" s="59">
        <v>0.08</v>
      </c>
      <c r="K82" s="59">
        <v>333.8</v>
      </c>
      <c r="L82" s="59">
        <v>24.31</v>
      </c>
      <c r="M82" s="59">
        <v>41.96</v>
      </c>
      <c r="N82" s="59">
        <v>5.0999999999999996</v>
      </c>
      <c r="O82" s="59">
        <v>0</v>
      </c>
      <c r="P82" s="59">
        <v>0.98</v>
      </c>
      <c r="Q82" s="59">
        <v>36.04</v>
      </c>
      <c r="R82" s="197"/>
      <c r="S82" s="197"/>
      <c r="T82" s="197"/>
      <c r="U82" s="197"/>
    </row>
    <row r="83" spans="1:26" s="12" customFormat="1" x14ac:dyDescent="0.25">
      <c r="A83" s="200" t="s">
        <v>2147</v>
      </c>
      <c r="B83" s="59">
        <v>13.68</v>
      </c>
      <c r="C83" s="59">
        <v>71.02</v>
      </c>
      <c r="D83" s="59">
        <v>51.91</v>
      </c>
      <c r="E83" s="59">
        <v>1.43</v>
      </c>
      <c r="F83" s="59">
        <v>3.75</v>
      </c>
      <c r="G83" s="59">
        <v>38.049999999999997</v>
      </c>
      <c r="H83" s="59">
        <v>12.83</v>
      </c>
      <c r="I83" s="59">
        <v>0.52</v>
      </c>
      <c r="J83" s="59">
        <v>0.08</v>
      </c>
      <c r="K83" s="59">
        <v>297.61</v>
      </c>
      <c r="L83" s="59">
        <v>23.43</v>
      </c>
      <c r="M83" s="59">
        <v>43.54</v>
      </c>
      <c r="N83" s="59">
        <v>4.9000000000000004</v>
      </c>
      <c r="O83" s="59">
        <v>0</v>
      </c>
      <c r="P83" s="59">
        <v>0.96</v>
      </c>
      <c r="Q83" s="59">
        <v>36.14</v>
      </c>
      <c r="R83" s="197"/>
      <c r="S83" s="197"/>
      <c r="T83" s="197"/>
      <c r="U83" s="197"/>
    </row>
    <row r="84" spans="1:26" s="12" customFormat="1" x14ac:dyDescent="0.25">
      <c r="A84" s="200" t="s">
        <v>2148</v>
      </c>
      <c r="B84" s="59">
        <v>22.49</v>
      </c>
      <c r="C84" s="59">
        <v>75.91</v>
      </c>
      <c r="D84" s="59">
        <v>61.67</v>
      </c>
      <c r="E84" s="59">
        <v>1.34</v>
      </c>
      <c r="F84" s="59">
        <v>2.33</v>
      </c>
      <c r="G84" s="59">
        <v>38.049999999999997</v>
      </c>
      <c r="H84" s="59">
        <v>12.83</v>
      </c>
      <c r="I84" s="59">
        <v>0.53</v>
      </c>
      <c r="J84" s="59">
        <v>0.13</v>
      </c>
      <c r="K84" s="59">
        <v>94.39</v>
      </c>
      <c r="L84" s="59">
        <v>23</v>
      </c>
      <c r="M84" s="59">
        <v>46.55</v>
      </c>
      <c r="N84" s="59">
        <v>5</v>
      </c>
      <c r="O84" s="59">
        <v>0</v>
      </c>
      <c r="P84" s="59">
        <v>1.03</v>
      </c>
      <c r="Q84" s="59">
        <v>36.94</v>
      </c>
      <c r="R84" s="197"/>
      <c r="S84" s="197"/>
      <c r="T84" s="197"/>
      <c r="U84" s="197"/>
    </row>
    <row r="85" spans="1:26" s="12" customFormat="1" x14ac:dyDescent="0.25">
      <c r="A85" s="200" t="s">
        <v>2149</v>
      </c>
      <c r="B85" s="59">
        <v>35.520000000000003</v>
      </c>
      <c r="C85" s="59">
        <v>73.650000000000006</v>
      </c>
      <c r="D85" s="59">
        <v>70.87</v>
      </c>
      <c r="E85" s="59">
        <v>1.1200000000000001</v>
      </c>
      <c r="F85" s="59">
        <v>1.61</v>
      </c>
      <c r="G85" s="59">
        <v>38.229999999999997</v>
      </c>
      <c r="H85" s="59">
        <v>12.88</v>
      </c>
      <c r="I85" s="59">
        <v>0.55000000000000004</v>
      </c>
      <c r="J85" s="59">
        <v>7.0000000000000007E-2</v>
      </c>
      <c r="K85" s="59">
        <v>106.5</v>
      </c>
      <c r="L85" s="59">
        <v>22.58</v>
      </c>
      <c r="M85" s="59">
        <v>49.29</v>
      </c>
      <c r="N85" s="59">
        <v>4.9000000000000004</v>
      </c>
      <c r="O85" s="59">
        <v>0</v>
      </c>
      <c r="P85" s="59">
        <v>1.01</v>
      </c>
      <c r="Q85" s="59">
        <v>35.08</v>
      </c>
      <c r="R85" s="197"/>
      <c r="S85" s="197"/>
      <c r="T85" s="197"/>
      <c r="U85" s="197"/>
    </row>
    <row r="86" spans="1:26" s="12" customFormat="1" x14ac:dyDescent="0.25">
      <c r="A86" s="200" t="s">
        <v>2150</v>
      </c>
      <c r="B86" s="59">
        <v>37.200000000000003</v>
      </c>
      <c r="C86" s="59">
        <v>70.09</v>
      </c>
      <c r="D86" s="59">
        <v>70.25</v>
      </c>
      <c r="E86" s="59">
        <v>1.83</v>
      </c>
      <c r="F86" s="59">
        <v>1.56</v>
      </c>
      <c r="G86" s="59">
        <v>53.77</v>
      </c>
      <c r="H86" s="59">
        <v>17.309999999999999</v>
      </c>
      <c r="I86" s="59">
        <v>0.56999999999999995</v>
      </c>
      <c r="J86" s="59">
        <v>7.0000000000000007E-2</v>
      </c>
      <c r="K86" s="59">
        <v>11.4</v>
      </c>
      <c r="L86" s="59">
        <v>21.99</v>
      </c>
      <c r="M86" s="59">
        <v>55.23</v>
      </c>
      <c r="N86" s="59">
        <v>5</v>
      </c>
      <c r="O86" s="59">
        <v>0</v>
      </c>
      <c r="P86" s="59">
        <v>1.1399999999999999</v>
      </c>
      <c r="Q86" s="59">
        <v>36.729999999999997</v>
      </c>
      <c r="R86" s="197"/>
      <c r="S86" s="197"/>
      <c r="T86" s="197"/>
      <c r="U86" s="197"/>
    </row>
    <row r="87" spans="1:26" s="12" customFormat="1" x14ac:dyDescent="0.25">
      <c r="A87" s="200" t="s">
        <v>2151</v>
      </c>
      <c r="B87" s="59">
        <v>53.19</v>
      </c>
      <c r="C87" s="59">
        <v>67.42</v>
      </c>
      <c r="D87" s="59">
        <v>81.599999999999994</v>
      </c>
      <c r="E87" s="59">
        <v>1.34</v>
      </c>
      <c r="F87" s="59">
        <v>1.49</v>
      </c>
      <c r="G87" s="59">
        <v>53.77</v>
      </c>
      <c r="H87" s="59">
        <v>17.309999999999999</v>
      </c>
      <c r="I87" s="59">
        <v>0.6</v>
      </c>
      <c r="J87" s="59">
        <v>0.11</v>
      </c>
      <c r="K87" s="59">
        <v>20.05</v>
      </c>
      <c r="L87" s="59">
        <v>21.37</v>
      </c>
      <c r="M87" s="59">
        <v>60.47</v>
      </c>
      <c r="N87" s="59">
        <v>4.8</v>
      </c>
      <c r="O87" s="59">
        <v>0</v>
      </c>
      <c r="P87" s="59">
        <v>1.45</v>
      </c>
      <c r="Q87" s="59">
        <v>36.85</v>
      </c>
      <c r="R87" s="197"/>
      <c r="S87" s="197"/>
      <c r="T87" s="197"/>
      <c r="U87" s="197"/>
    </row>
    <row r="88" spans="1:26" s="12" customFormat="1" x14ac:dyDescent="0.25">
      <c r="A88" s="200" t="s">
        <v>2152</v>
      </c>
      <c r="B88" s="59">
        <v>81.88</v>
      </c>
      <c r="C88" s="59">
        <v>71.58</v>
      </c>
      <c r="D88" s="59">
        <v>106.9</v>
      </c>
      <c r="E88" s="59">
        <v>1.0900000000000001</v>
      </c>
      <c r="F88" s="59">
        <v>1.35</v>
      </c>
      <c r="G88" s="59">
        <v>53.77</v>
      </c>
      <c r="H88" s="59">
        <v>17.309999999999999</v>
      </c>
      <c r="I88" s="59">
        <v>0.68</v>
      </c>
      <c r="J88" s="59">
        <v>0.06</v>
      </c>
      <c r="K88" s="59">
        <v>52</v>
      </c>
      <c r="L88" s="59">
        <v>21.06</v>
      </c>
      <c r="M88" s="59">
        <v>62.27</v>
      </c>
      <c r="N88" s="59">
        <v>4.9000000000000004</v>
      </c>
      <c r="O88" s="59">
        <v>0</v>
      </c>
      <c r="P88" s="59">
        <v>1.93</v>
      </c>
      <c r="Q88" s="59">
        <v>35.49</v>
      </c>
      <c r="R88" s="197"/>
      <c r="S88" s="197"/>
      <c r="T88" s="197"/>
      <c r="U88" s="197"/>
    </row>
    <row r="89" spans="1:26" s="12" customFormat="1" x14ac:dyDescent="0.25">
      <c r="A89" s="200" t="s">
        <v>2153</v>
      </c>
      <c r="B89" s="59">
        <v>96.65</v>
      </c>
      <c r="C89" s="59">
        <v>84.73</v>
      </c>
      <c r="D89" s="59">
        <v>126.01</v>
      </c>
      <c r="E89" s="59">
        <v>1.68</v>
      </c>
      <c r="F89" s="59">
        <v>1.23</v>
      </c>
      <c r="G89" s="59">
        <v>55.13</v>
      </c>
      <c r="H89" s="59">
        <v>17.41</v>
      </c>
      <c r="I89" s="59">
        <v>0.73</v>
      </c>
      <c r="J89" s="59">
        <v>0.04</v>
      </c>
      <c r="K89" s="59">
        <v>209.38</v>
      </c>
      <c r="L89" s="59">
        <v>20.93</v>
      </c>
      <c r="M89" s="59">
        <v>60.97</v>
      </c>
      <c r="N89" s="59">
        <v>4.5999999999999996</v>
      </c>
      <c r="O89" s="59">
        <v>0</v>
      </c>
      <c r="P89" s="59">
        <v>1.81</v>
      </c>
      <c r="Q89" s="59">
        <v>35.44</v>
      </c>
      <c r="R89" s="197"/>
      <c r="S89" s="197"/>
      <c r="T89" s="197"/>
      <c r="U89" s="197"/>
    </row>
    <row r="90" spans="1:26" s="12" customFormat="1" x14ac:dyDescent="0.25">
      <c r="A90" s="200" t="s">
        <v>2154</v>
      </c>
      <c r="B90" s="59">
        <v>78.41</v>
      </c>
      <c r="C90" s="59">
        <v>74.02</v>
      </c>
      <c r="D90" s="59">
        <v>105.47</v>
      </c>
      <c r="E90" s="59">
        <v>1.87</v>
      </c>
      <c r="F90" s="59">
        <v>1.45</v>
      </c>
      <c r="G90" s="59">
        <v>175.58</v>
      </c>
      <c r="H90" s="59">
        <v>26.49</v>
      </c>
      <c r="I90" s="59">
        <v>0.86</v>
      </c>
      <c r="J90" s="59">
        <v>0.03</v>
      </c>
      <c r="K90" s="59">
        <v>142.12</v>
      </c>
      <c r="L90" s="59">
        <v>20.91</v>
      </c>
      <c r="M90" s="59">
        <v>58.36</v>
      </c>
      <c r="N90" s="59">
        <v>4.5999999999999996</v>
      </c>
      <c r="O90" s="59">
        <v>0</v>
      </c>
      <c r="P90" s="59">
        <v>1.59</v>
      </c>
      <c r="Q90" s="59">
        <v>35.979999999999997</v>
      </c>
      <c r="R90" s="197"/>
      <c r="S90" s="197"/>
      <c r="T90" s="197"/>
      <c r="U90" s="197"/>
    </row>
    <row r="91" spans="1:26" s="12" customFormat="1" x14ac:dyDescent="0.25">
      <c r="A91" s="200" t="s">
        <v>2155</v>
      </c>
      <c r="B91" s="59">
        <v>93.83</v>
      </c>
      <c r="C91" s="59">
        <v>75.41</v>
      </c>
      <c r="D91" s="59">
        <v>118.61</v>
      </c>
      <c r="E91" s="59">
        <v>1.86</v>
      </c>
      <c r="F91" s="59">
        <v>1.63</v>
      </c>
      <c r="G91" s="59">
        <v>175.58</v>
      </c>
      <c r="H91" s="59">
        <v>26.49</v>
      </c>
      <c r="I91" s="59">
        <v>0.84</v>
      </c>
      <c r="J91" s="59">
        <v>0.18</v>
      </c>
      <c r="K91" s="59">
        <v>211.28</v>
      </c>
      <c r="L91" s="59">
        <v>21.11</v>
      </c>
      <c r="M91" s="59">
        <v>58.17</v>
      </c>
      <c r="N91" s="59">
        <v>3.9</v>
      </c>
      <c r="O91" s="59">
        <v>0</v>
      </c>
      <c r="P91" s="59">
        <v>1.7</v>
      </c>
      <c r="Q91" s="59">
        <v>36.74</v>
      </c>
      <c r="R91" s="197"/>
      <c r="S91" s="197"/>
      <c r="T91" s="197"/>
      <c r="U91" s="197"/>
    </row>
    <row r="92" spans="1:26" s="12" customFormat="1" x14ac:dyDescent="0.25">
      <c r="A92" s="200" t="s">
        <v>2156</v>
      </c>
      <c r="B92" s="59">
        <v>78.010000000000005</v>
      </c>
      <c r="C92" s="59">
        <v>69.45</v>
      </c>
      <c r="D92" s="59">
        <v>102.63</v>
      </c>
      <c r="E92" s="59">
        <v>1.6</v>
      </c>
      <c r="F92" s="59">
        <v>1.68</v>
      </c>
      <c r="G92" s="59">
        <v>175.58</v>
      </c>
      <c r="H92" s="59">
        <v>26.49</v>
      </c>
      <c r="I92" s="59">
        <v>0.81</v>
      </c>
      <c r="J92" s="59">
        <v>0.23</v>
      </c>
      <c r="K92" s="59">
        <v>231.32</v>
      </c>
      <c r="L92" s="59">
        <v>21.77</v>
      </c>
      <c r="M92" s="59">
        <v>54.72</v>
      </c>
      <c r="N92" s="59">
        <v>3.7</v>
      </c>
      <c r="O92" s="59">
        <v>0</v>
      </c>
      <c r="P92" s="59">
        <v>1.66</v>
      </c>
      <c r="Q92" s="59">
        <v>38.31</v>
      </c>
      <c r="R92" s="197"/>
      <c r="S92" s="197"/>
      <c r="T92" s="197"/>
      <c r="U92" s="197"/>
    </row>
    <row r="93" spans="1:26" s="12" customFormat="1" x14ac:dyDescent="0.25">
      <c r="A93" s="200" t="s">
        <v>2157</v>
      </c>
      <c r="B93" s="59">
        <v>87.28</v>
      </c>
      <c r="C93" s="59">
        <v>74.33</v>
      </c>
      <c r="D93" s="59">
        <v>112.75</v>
      </c>
      <c r="E93" s="59">
        <v>2.0699999999999998</v>
      </c>
      <c r="F93" s="59">
        <v>1.61</v>
      </c>
      <c r="G93" s="59">
        <v>174.95</v>
      </c>
      <c r="H93" s="59">
        <v>26.52</v>
      </c>
      <c r="I93" s="59">
        <v>0.85</v>
      </c>
      <c r="J93" s="59">
        <v>0.02</v>
      </c>
      <c r="K93" s="59">
        <v>279.83</v>
      </c>
      <c r="L93" s="59">
        <v>21.46</v>
      </c>
      <c r="M93" s="59">
        <v>58.93</v>
      </c>
      <c r="N93" s="59">
        <v>5</v>
      </c>
      <c r="O93" s="59">
        <v>0</v>
      </c>
      <c r="P93" s="59">
        <v>1.9</v>
      </c>
      <c r="Q93" s="59">
        <v>39.39</v>
      </c>
      <c r="R93" s="197"/>
      <c r="S93" s="197"/>
      <c r="T93" s="197"/>
      <c r="U93" s="197"/>
    </row>
    <row r="94" spans="1:26" s="12" customFormat="1" x14ac:dyDescent="0.25">
      <c r="A94" s="200" t="s">
        <v>2158</v>
      </c>
      <c r="B94" s="59">
        <v>94.49</v>
      </c>
      <c r="C94" s="59">
        <v>70.959999999999994</v>
      </c>
      <c r="D94" s="59">
        <v>116.68</v>
      </c>
      <c r="E94" s="59">
        <v>1.61</v>
      </c>
      <c r="F94" s="59">
        <v>1.55</v>
      </c>
      <c r="G94" s="59">
        <v>119.47</v>
      </c>
      <c r="H94" s="59">
        <v>29.24</v>
      </c>
      <c r="I94" s="59">
        <v>0.86</v>
      </c>
      <c r="J94" s="59">
        <v>0.04</v>
      </c>
      <c r="K94" s="59">
        <v>4.5</v>
      </c>
      <c r="L94" s="59">
        <v>20.74</v>
      </c>
      <c r="M94" s="59">
        <v>61.45</v>
      </c>
      <c r="N94" s="59">
        <v>5</v>
      </c>
      <c r="O94" s="59">
        <v>0</v>
      </c>
      <c r="P94" s="59">
        <v>1.9</v>
      </c>
      <c r="Q94" s="59">
        <v>40.15</v>
      </c>
      <c r="R94" s="197"/>
      <c r="S94" s="197"/>
      <c r="T94" s="197"/>
      <c r="U94" s="197"/>
    </row>
    <row r="95" spans="1:26" s="12" customFormat="1" x14ac:dyDescent="0.25">
      <c r="A95" s="200" t="s">
        <v>2159</v>
      </c>
      <c r="B95" s="59">
        <v>98.09</v>
      </c>
      <c r="C95" s="59">
        <v>65.64</v>
      </c>
      <c r="D95" s="59">
        <v>116.63</v>
      </c>
      <c r="E95" s="59">
        <v>1.91</v>
      </c>
      <c r="F95" s="59">
        <v>1.38</v>
      </c>
      <c r="G95" s="59">
        <v>119.47</v>
      </c>
      <c r="H95" s="59">
        <v>29.24</v>
      </c>
      <c r="I95" s="59">
        <v>0.91</v>
      </c>
      <c r="J95" s="59">
        <v>0.04</v>
      </c>
      <c r="K95" s="59">
        <v>85.85</v>
      </c>
      <c r="L95" s="59">
        <v>20.53</v>
      </c>
      <c r="M95" s="59">
        <v>61.66</v>
      </c>
      <c r="N95" s="59">
        <v>4.8</v>
      </c>
      <c r="O95" s="59">
        <v>0</v>
      </c>
      <c r="P95" s="59">
        <v>1.84</v>
      </c>
      <c r="Q95" s="59">
        <v>40.31</v>
      </c>
      <c r="R95" s="197"/>
      <c r="S95" s="197"/>
      <c r="T95" s="197"/>
      <c r="U95" s="197"/>
    </row>
    <row r="96" spans="1:26" s="12" customFormat="1" x14ac:dyDescent="0.25">
      <c r="A96" s="200" t="s">
        <v>2160</v>
      </c>
      <c r="B96" s="59">
        <v>93.86</v>
      </c>
      <c r="C96" s="59">
        <v>58.73</v>
      </c>
      <c r="D96" s="59">
        <v>109.42</v>
      </c>
      <c r="E96" s="59">
        <v>2.13</v>
      </c>
      <c r="F96" s="59">
        <v>1.35</v>
      </c>
      <c r="G96" s="59">
        <v>119.47</v>
      </c>
      <c r="H96" s="59">
        <v>29.24</v>
      </c>
      <c r="I96" s="59">
        <v>0.89</v>
      </c>
      <c r="J96" s="59">
        <v>0.09</v>
      </c>
      <c r="K96" s="59">
        <v>325.73</v>
      </c>
      <c r="L96" s="59">
        <v>20.6</v>
      </c>
      <c r="M96" s="59">
        <v>61.73</v>
      </c>
      <c r="N96" s="59">
        <v>4.5999999999999996</v>
      </c>
      <c r="O96" s="59">
        <v>0</v>
      </c>
      <c r="P96" s="59">
        <v>1.83</v>
      </c>
      <c r="Q96" s="59">
        <v>46.45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2161</v>
      </c>
      <c r="B97" s="59">
        <v>93.53</v>
      </c>
      <c r="C97" s="59">
        <v>58.75</v>
      </c>
      <c r="D97" s="59">
        <v>109.17</v>
      </c>
      <c r="E97" s="59">
        <v>1.93</v>
      </c>
      <c r="F97" s="59">
        <v>1.34</v>
      </c>
      <c r="G97" s="59">
        <v>119.55</v>
      </c>
      <c r="H97" s="59">
        <v>29.3</v>
      </c>
      <c r="I97" s="59">
        <v>0.92</v>
      </c>
      <c r="J97" s="59">
        <v>0.11</v>
      </c>
      <c r="K97" s="59">
        <v>311.95999999999998</v>
      </c>
      <c r="L97" s="59">
        <v>20.29</v>
      </c>
      <c r="M97" s="59">
        <v>63.32</v>
      </c>
      <c r="N97" s="59">
        <v>4.9000000000000004</v>
      </c>
      <c r="O97" s="59">
        <v>0</v>
      </c>
      <c r="P97" s="59">
        <v>1.9</v>
      </c>
      <c r="Q97" s="59">
        <v>46.61</v>
      </c>
      <c r="R97" s="197"/>
      <c r="S97" s="197"/>
      <c r="T97" s="197"/>
      <c r="U97" s="197"/>
    </row>
    <row r="98" spans="1:33" s="12" customFormat="1" x14ac:dyDescent="0.25">
      <c r="A98" s="200" t="s">
        <v>2162</v>
      </c>
      <c r="B98" s="59">
        <v>87.86</v>
      </c>
      <c r="C98" s="59">
        <v>63.2</v>
      </c>
      <c r="D98" s="59">
        <v>107.07</v>
      </c>
      <c r="E98" s="59">
        <v>1.75</v>
      </c>
      <c r="F98" s="59">
        <v>1.33</v>
      </c>
      <c r="G98" s="59">
        <v>126.39</v>
      </c>
      <c r="H98" s="59">
        <v>35.35</v>
      </c>
      <c r="I98" s="59">
        <v>0.92</v>
      </c>
      <c r="J98" s="59">
        <v>0.17</v>
      </c>
      <c r="K98" s="59">
        <v>332.26</v>
      </c>
      <c r="L98" s="59">
        <v>20.420000000000002</v>
      </c>
      <c r="M98" s="59">
        <v>60.39</v>
      </c>
      <c r="N98" s="59">
        <v>4.5</v>
      </c>
      <c r="O98" s="59">
        <v>0</v>
      </c>
      <c r="P98" s="59">
        <v>1.86</v>
      </c>
      <c r="Q98" s="59">
        <v>44.99</v>
      </c>
      <c r="R98" s="197"/>
      <c r="S98" s="197"/>
      <c r="T98" s="197"/>
      <c r="U98" s="197"/>
    </row>
    <row r="99" spans="1:33" s="12" customFormat="1" x14ac:dyDescent="0.25">
      <c r="A99" s="200" t="s">
        <v>2163</v>
      </c>
      <c r="B99" s="59">
        <v>90.92</v>
      </c>
      <c r="C99" s="59">
        <v>68.290000000000006</v>
      </c>
      <c r="D99" s="59">
        <v>112.34</v>
      </c>
      <c r="E99" s="59">
        <v>1.68</v>
      </c>
      <c r="F99" s="59">
        <v>1.29</v>
      </c>
      <c r="G99" s="59">
        <v>126.39</v>
      </c>
      <c r="H99" s="59">
        <v>35.35</v>
      </c>
      <c r="I99" s="59">
        <v>0.92</v>
      </c>
      <c r="J99" s="59">
        <v>0.21</v>
      </c>
      <c r="K99" s="59">
        <v>12.08</v>
      </c>
      <c r="L99" s="59">
        <v>20.420000000000002</v>
      </c>
      <c r="M99" s="59">
        <v>62.68</v>
      </c>
      <c r="N99" s="59">
        <v>5.0999999999999996</v>
      </c>
      <c r="O99" s="59">
        <v>0</v>
      </c>
      <c r="P99" s="59">
        <v>1.87</v>
      </c>
      <c r="Q99" s="59">
        <v>45.31</v>
      </c>
      <c r="R99" s="197"/>
      <c r="S99" s="197"/>
      <c r="T99" s="197"/>
      <c r="U99" s="197"/>
    </row>
    <row r="100" spans="1:33" s="12" customFormat="1" x14ac:dyDescent="0.25">
      <c r="A100" s="200" t="s">
        <v>2164</v>
      </c>
      <c r="B100" s="59">
        <v>93.55</v>
      </c>
      <c r="C100" s="59">
        <v>63.23</v>
      </c>
      <c r="D100" s="59">
        <v>111.66</v>
      </c>
      <c r="E100" s="59">
        <v>1.65</v>
      </c>
      <c r="F100" s="59">
        <v>1.44</v>
      </c>
      <c r="G100" s="59">
        <v>126.39</v>
      </c>
      <c r="H100" s="59">
        <v>35.35</v>
      </c>
      <c r="I100" s="59">
        <v>0.91</v>
      </c>
      <c r="J100" s="59">
        <v>0.19</v>
      </c>
      <c r="K100" s="59">
        <v>13.89</v>
      </c>
      <c r="L100" s="59">
        <v>19.78</v>
      </c>
      <c r="M100" s="59">
        <v>66.28</v>
      </c>
      <c r="N100" s="59">
        <v>5.0999999999999996</v>
      </c>
      <c r="O100" s="59">
        <v>0</v>
      </c>
      <c r="P100" s="59">
        <v>1.89</v>
      </c>
      <c r="Q100" s="59">
        <v>45.11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2165</v>
      </c>
      <c r="B101" s="59">
        <v>98.25</v>
      </c>
      <c r="C101" s="59">
        <v>66.09</v>
      </c>
      <c r="D101" s="59">
        <v>117</v>
      </c>
      <c r="E101" s="59">
        <v>1.71</v>
      </c>
      <c r="F101" s="59">
        <v>1.29</v>
      </c>
      <c r="G101" s="59">
        <v>126.32</v>
      </c>
      <c r="H101" s="59">
        <v>35.299999999999997</v>
      </c>
      <c r="I101" s="59">
        <v>0.92</v>
      </c>
      <c r="J101" s="59">
        <v>7.0000000000000007E-2</v>
      </c>
      <c r="K101" s="59">
        <v>288.01</v>
      </c>
      <c r="L101" s="59">
        <v>19.489999999999998</v>
      </c>
      <c r="M101" s="59">
        <v>66.55</v>
      </c>
      <c r="N101" s="59">
        <v>4.9000000000000004</v>
      </c>
      <c r="O101" s="59">
        <v>0</v>
      </c>
      <c r="P101" s="59">
        <v>1.91</v>
      </c>
      <c r="Q101" s="59">
        <v>45.29</v>
      </c>
      <c r="R101" s="197"/>
      <c r="S101" s="197"/>
      <c r="T101" s="197"/>
      <c r="U101" s="197"/>
    </row>
    <row r="102" spans="1:33" s="12" customFormat="1" x14ac:dyDescent="0.25">
      <c r="A102" s="200" t="s">
        <v>2166</v>
      </c>
      <c r="B102" s="59">
        <v>100.87</v>
      </c>
      <c r="C102" s="59">
        <v>63.87</v>
      </c>
      <c r="D102" s="59">
        <v>117.88</v>
      </c>
      <c r="E102" s="59">
        <v>1.6</v>
      </c>
      <c r="F102" s="59">
        <v>1.1399999999999999</v>
      </c>
      <c r="G102" s="59">
        <v>120.36</v>
      </c>
      <c r="H102" s="59">
        <v>30.46</v>
      </c>
      <c r="I102" s="59">
        <v>0.92</v>
      </c>
      <c r="J102" s="59">
        <v>0.2</v>
      </c>
      <c r="K102" s="59">
        <v>9.9499999999999993</v>
      </c>
      <c r="L102" s="59">
        <v>19.32</v>
      </c>
      <c r="M102" s="59">
        <v>70.53</v>
      </c>
      <c r="N102" s="59">
        <v>5</v>
      </c>
      <c r="O102" s="59">
        <v>0</v>
      </c>
      <c r="P102" s="59">
        <v>1.88</v>
      </c>
      <c r="Q102" s="59">
        <v>44.02</v>
      </c>
      <c r="R102" s="197"/>
      <c r="S102" s="197"/>
      <c r="T102" s="197"/>
      <c r="U102" s="197"/>
    </row>
    <row r="103" spans="1:33" s="12" customFormat="1" x14ac:dyDescent="0.25">
      <c r="A103" s="200" t="s">
        <v>2167</v>
      </c>
      <c r="B103" s="59">
        <v>86.9</v>
      </c>
      <c r="C103" s="59">
        <v>63.97</v>
      </c>
      <c r="D103" s="59">
        <v>106.73</v>
      </c>
      <c r="E103" s="59">
        <v>1.75</v>
      </c>
      <c r="F103" s="59">
        <v>1.89</v>
      </c>
      <c r="G103" s="59">
        <v>120.36</v>
      </c>
      <c r="H103" s="59">
        <v>30.46</v>
      </c>
      <c r="I103" s="59">
        <v>0.92</v>
      </c>
      <c r="J103" s="59">
        <v>0.01</v>
      </c>
      <c r="K103" s="59">
        <v>277.45</v>
      </c>
      <c r="L103" s="59">
        <v>19.239999999999998</v>
      </c>
      <c r="M103" s="59">
        <v>67.69</v>
      </c>
      <c r="N103" s="59">
        <v>4.2</v>
      </c>
      <c r="O103" s="59">
        <v>0</v>
      </c>
      <c r="P103" s="59">
        <v>1.8</v>
      </c>
      <c r="Q103" s="59">
        <v>42.7</v>
      </c>
      <c r="R103" s="197"/>
      <c r="S103" s="197"/>
      <c r="T103" s="197"/>
      <c r="U103" s="197"/>
    </row>
    <row r="104" spans="1:33" s="12" customFormat="1" x14ac:dyDescent="0.25">
      <c r="A104" s="200" t="s">
        <v>2168</v>
      </c>
      <c r="B104" s="59">
        <v>88.21</v>
      </c>
      <c r="C104" s="59">
        <v>63.89</v>
      </c>
      <c r="D104" s="59">
        <v>107.74</v>
      </c>
      <c r="E104" s="59">
        <v>1.5</v>
      </c>
      <c r="F104" s="59">
        <v>1.99</v>
      </c>
      <c r="G104" s="59">
        <v>120.36</v>
      </c>
      <c r="H104" s="59">
        <v>30.46</v>
      </c>
      <c r="I104" s="59">
        <v>0.93</v>
      </c>
      <c r="J104" s="59">
        <v>0.14000000000000001</v>
      </c>
      <c r="K104" s="59">
        <v>7.01</v>
      </c>
      <c r="L104" s="59">
        <v>19.670000000000002</v>
      </c>
      <c r="M104" s="59">
        <v>67.680000000000007</v>
      </c>
      <c r="N104" s="59">
        <v>4.4000000000000004</v>
      </c>
      <c r="O104" s="59">
        <v>0</v>
      </c>
      <c r="P104" s="59">
        <v>1.8</v>
      </c>
      <c r="Q104" s="59">
        <v>43.67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3.22</v>
      </c>
      <c r="C106" s="66">
        <f>MIN(C9:C104)</f>
        <v>37.909999999999997</v>
      </c>
      <c r="D106" s="66">
        <f t="shared" ref="D106:Q106" si="0">MIN(D9:D104)</f>
        <v>26.93</v>
      </c>
      <c r="E106" s="66">
        <f t="shared" si="0"/>
        <v>0.63</v>
      </c>
      <c r="F106" s="66">
        <f t="shared" si="0"/>
        <v>0.9</v>
      </c>
      <c r="G106" s="66">
        <f t="shared" si="0"/>
        <v>14.62</v>
      </c>
      <c r="H106" s="66">
        <f t="shared" si="0"/>
        <v>9.3699999999999992</v>
      </c>
      <c r="I106" s="66">
        <f t="shared" si="0"/>
        <v>0.44</v>
      </c>
      <c r="J106" s="66">
        <f t="shared" si="0"/>
        <v>0.01</v>
      </c>
      <c r="K106" s="66">
        <f t="shared" si="0"/>
        <v>0.42</v>
      </c>
      <c r="L106" s="66">
        <f t="shared" si="0"/>
        <v>14.2</v>
      </c>
      <c r="M106" s="66">
        <f t="shared" si="0"/>
        <v>32.49</v>
      </c>
      <c r="N106" s="66">
        <f t="shared" si="0"/>
        <v>3.7</v>
      </c>
      <c r="O106" s="66">
        <f t="shared" si="0"/>
        <v>0</v>
      </c>
      <c r="P106" s="66">
        <f t="shared" si="0"/>
        <v>0.51</v>
      </c>
      <c r="Q106" s="66">
        <f t="shared" si="0"/>
        <v>30.65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100.87</v>
      </c>
      <c r="C107" s="65">
        <f t="shared" ref="C107:Q107" si="1">MAX(C9:C104)</f>
        <v>84.73</v>
      </c>
      <c r="D107" s="65">
        <f t="shared" si="1"/>
        <v>126.01</v>
      </c>
      <c r="E107" s="65">
        <f t="shared" si="1"/>
        <v>9.7200000000000006</v>
      </c>
      <c r="F107" s="65">
        <f t="shared" si="1"/>
        <v>40.270000000000003</v>
      </c>
      <c r="G107" s="65">
        <f t="shared" si="1"/>
        <v>175.58</v>
      </c>
      <c r="H107" s="65">
        <f t="shared" si="1"/>
        <v>35.35</v>
      </c>
      <c r="I107" s="65">
        <f t="shared" si="1"/>
        <v>0.93</v>
      </c>
      <c r="J107" s="65">
        <f t="shared" si="1"/>
        <v>0.74</v>
      </c>
      <c r="K107" s="65">
        <f t="shared" si="1"/>
        <v>357.42</v>
      </c>
      <c r="L107" s="65">
        <f t="shared" si="1"/>
        <v>29.26</v>
      </c>
      <c r="M107" s="65">
        <f t="shared" si="1"/>
        <v>95.45</v>
      </c>
      <c r="N107" s="65">
        <f t="shared" si="1"/>
        <v>947.6</v>
      </c>
      <c r="O107" s="65">
        <f t="shared" si="1"/>
        <v>0</v>
      </c>
      <c r="P107" s="65">
        <f t="shared" si="1"/>
        <v>1.93</v>
      </c>
      <c r="Q107" s="65">
        <f t="shared" si="1"/>
        <v>46.61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25.755624999999998</v>
      </c>
      <c r="C108" s="66">
        <f t="shared" ref="C108:Q108" si="2">AVERAGE(C9:C104)</f>
        <v>54.493020833333325</v>
      </c>
      <c r="D108" s="66">
        <f t="shared" si="2"/>
        <v>52.468437499999986</v>
      </c>
      <c r="E108" s="66">
        <f t="shared" si="2"/>
        <v>2.1951041666666673</v>
      </c>
      <c r="F108" s="66">
        <f t="shared" si="2"/>
        <v>3.9758333333333358</v>
      </c>
      <c r="G108" s="66">
        <f t="shared" si="2"/>
        <v>50.874367816091947</v>
      </c>
      <c r="H108" s="66">
        <f t="shared" si="2"/>
        <v>16.288275862068968</v>
      </c>
      <c r="I108" s="66">
        <f t="shared" si="2"/>
        <v>0.57187500000000002</v>
      </c>
      <c r="J108" s="66">
        <f t="shared" si="2"/>
        <v>0.24312499999999992</v>
      </c>
      <c r="K108" s="66">
        <f t="shared" si="2"/>
        <v>211.22656249999997</v>
      </c>
      <c r="L108" s="66">
        <f t="shared" si="2"/>
        <v>21.31166666666666</v>
      </c>
      <c r="M108" s="66">
        <f t="shared" si="2"/>
        <v>62.283333333333331</v>
      </c>
      <c r="N108" s="66">
        <f t="shared" si="2"/>
        <v>256.91458333333338</v>
      </c>
      <c r="O108" s="66">
        <f t="shared" si="2"/>
        <v>0</v>
      </c>
      <c r="P108" s="66">
        <f t="shared" si="2"/>
        <v>0.88177083333333339</v>
      </c>
      <c r="Q108" s="66">
        <f t="shared" si="2"/>
        <v>36.076145833333321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31.534024992646319</v>
      </c>
      <c r="C109" s="66">
        <f t="shared" ref="C109:Q109" si="3">STDEV(C9:C104)</f>
        <v>10.537551909821978</v>
      </c>
      <c r="D109" s="66">
        <f t="shared" si="3"/>
        <v>29.216659354701822</v>
      </c>
      <c r="E109" s="66">
        <f t="shared" si="3"/>
        <v>1.0496495603587885</v>
      </c>
      <c r="F109" s="66">
        <f t="shared" si="3"/>
        <v>5.2975570669123488</v>
      </c>
      <c r="G109" s="66">
        <f t="shared" si="3"/>
        <v>42.05375233378718</v>
      </c>
      <c r="H109" s="66">
        <f t="shared" si="3"/>
        <v>7.155418049135843</v>
      </c>
      <c r="I109" s="66">
        <f t="shared" si="3"/>
        <v>0.14536569131169261</v>
      </c>
      <c r="J109" s="66">
        <f t="shared" si="3"/>
        <v>0.16309062705005142</v>
      </c>
      <c r="K109" s="66">
        <f t="shared" si="3"/>
        <v>118.76692646859262</v>
      </c>
      <c r="L109" s="66">
        <f t="shared" si="3"/>
        <v>5.2355571093833326</v>
      </c>
      <c r="M109" s="66">
        <f t="shared" si="3"/>
        <v>22.755842172559944</v>
      </c>
      <c r="N109" s="66">
        <f t="shared" si="3"/>
        <v>344.53576759678936</v>
      </c>
      <c r="O109" s="66">
        <f t="shared" si="3"/>
        <v>0</v>
      </c>
      <c r="P109" s="66">
        <f t="shared" si="3"/>
        <v>0.46967400741962878</v>
      </c>
      <c r="Q109" s="66">
        <f t="shared" si="3"/>
        <v>3.78399214692414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 t="shared" ref="C110:Q110" si="4">COUNT(C9:C104)</f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COUNT(G9:G104)+4</f>
        <v>91</v>
      </c>
      <c r="H110" s="65">
        <f>COUNT(H9:H104)+4</f>
        <v>91</v>
      </c>
      <c r="I110" s="65">
        <f t="shared" si="4"/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10" sqref="D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21-03-2023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2169</v>
      </c>
      <c r="B9" s="59">
        <v>86.61</v>
      </c>
      <c r="C9" s="59">
        <v>65.42</v>
      </c>
      <c r="D9" s="59">
        <v>107.3</v>
      </c>
      <c r="E9" s="59">
        <v>2.4300000000000002</v>
      </c>
      <c r="F9" s="59">
        <v>1.57</v>
      </c>
      <c r="G9" s="59">
        <v>119.84</v>
      </c>
      <c r="H9" s="59">
        <v>30.41</v>
      </c>
      <c r="I9" s="59">
        <v>0.91</v>
      </c>
      <c r="J9" s="59">
        <v>0.08</v>
      </c>
      <c r="K9" s="59">
        <v>147.47</v>
      </c>
      <c r="L9" s="59">
        <v>19.11</v>
      </c>
      <c r="M9" s="59">
        <v>69.27</v>
      </c>
      <c r="N9" s="59">
        <v>4.7</v>
      </c>
      <c r="O9" s="59">
        <v>0</v>
      </c>
      <c r="P9" s="59">
        <v>1.78</v>
      </c>
      <c r="Q9" s="59">
        <v>41.39</v>
      </c>
      <c r="R9" s="197"/>
      <c r="S9" s="197"/>
      <c r="T9" s="197"/>
      <c r="U9" s="197"/>
    </row>
    <row r="10" spans="1:21" s="12" customFormat="1" x14ac:dyDescent="0.25">
      <c r="A10" s="200" t="s">
        <v>2170</v>
      </c>
      <c r="B10" s="59">
        <v>86.17</v>
      </c>
      <c r="C10" s="59">
        <v>60.22</v>
      </c>
      <c r="D10" s="59">
        <v>104.08</v>
      </c>
      <c r="E10" s="59">
        <v>2.5</v>
      </c>
      <c r="F10" s="59">
        <v>1.64</v>
      </c>
      <c r="G10" s="59">
        <v>73.75</v>
      </c>
      <c r="H10" s="59">
        <v>26.49</v>
      </c>
      <c r="I10" s="59">
        <v>0.91</v>
      </c>
      <c r="J10" s="59">
        <v>0.21</v>
      </c>
      <c r="K10" s="59">
        <v>351.97</v>
      </c>
      <c r="L10" s="59">
        <v>19.12</v>
      </c>
      <c r="M10" s="59">
        <v>69.56</v>
      </c>
      <c r="N10" s="59">
        <v>4.8</v>
      </c>
      <c r="O10" s="59">
        <v>0</v>
      </c>
      <c r="P10" s="59">
        <v>1.76</v>
      </c>
      <c r="Q10" s="59">
        <v>43.89</v>
      </c>
      <c r="R10" s="197"/>
      <c r="S10" s="197"/>
      <c r="T10" s="197"/>
      <c r="U10" s="197"/>
    </row>
    <row r="11" spans="1:21" s="12" customFormat="1" x14ac:dyDescent="0.25">
      <c r="A11" s="200" t="s">
        <v>2171</v>
      </c>
      <c r="B11" s="59">
        <v>83.78</v>
      </c>
      <c r="C11" s="59">
        <v>55.81</v>
      </c>
      <c r="D11" s="59">
        <v>99.73</v>
      </c>
      <c r="E11" s="59">
        <v>2.81</v>
      </c>
      <c r="F11" s="59">
        <v>1.66</v>
      </c>
      <c r="G11" s="59">
        <v>73.75</v>
      </c>
      <c r="H11" s="59">
        <v>26.49</v>
      </c>
      <c r="I11" s="59">
        <v>0.9</v>
      </c>
      <c r="J11" s="59">
        <v>0.15</v>
      </c>
      <c r="K11" s="59">
        <v>246.64</v>
      </c>
      <c r="L11" s="59">
        <v>18.760000000000002</v>
      </c>
      <c r="M11" s="59">
        <v>70.44</v>
      </c>
      <c r="N11" s="59">
        <v>4.4000000000000004</v>
      </c>
      <c r="O11" s="59">
        <v>0</v>
      </c>
      <c r="P11" s="59">
        <v>1.71</v>
      </c>
      <c r="Q11" s="59">
        <v>41.79</v>
      </c>
      <c r="R11" s="197"/>
      <c r="S11" s="197"/>
      <c r="T11" s="197"/>
      <c r="U11" s="197"/>
    </row>
    <row r="12" spans="1:21" s="12" customFormat="1" x14ac:dyDescent="0.25">
      <c r="A12" s="200" t="s">
        <v>2172</v>
      </c>
      <c r="B12" s="59">
        <v>80.56</v>
      </c>
      <c r="C12" s="59">
        <v>57.64</v>
      </c>
      <c r="D12" s="59">
        <v>98.16</v>
      </c>
      <c r="E12" s="59">
        <v>2.96</v>
      </c>
      <c r="F12" s="59">
        <v>1.63</v>
      </c>
      <c r="G12" s="59">
        <v>73.75</v>
      </c>
      <c r="H12" s="59">
        <v>26.49</v>
      </c>
      <c r="I12" s="59">
        <v>0.91</v>
      </c>
      <c r="J12" s="59">
        <v>0.22</v>
      </c>
      <c r="K12" s="59">
        <v>23.46</v>
      </c>
      <c r="L12" s="59">
        <v>18.8</v>
      </c>
      <c r="M12" s="59">
        <v>72.38</v>
      </c>
      <c r="N12" s="59">
        <v>5</v>
      </c>
      <c r="O12" s="59">
        <v>0</v>
      </c>
      <c r="P12" s="59">
        <v>1.71</v>
      </c>
      <c r="Q12" s="59">
        <v>43.05</v>
      </c>
      <c r="R12" s="197"/>
      <c r="S12" s="197"/>
      <c r="T12" s="197"/>
      <c r="U12" s="197"/>
    </row>
    <row r="13" spans="1:21" s="12" customFormat="1" x14ac:dyDescent="0.25">
      <c r="A13" s="200" t="s">
        <v>2173</v>
      </c>
      <c r="B13" s="59">
        <v>71.17</v>
      </c>
      <c r="C13" s="59">
        <v>60.08</v>
      </c>
      <c r="D13" s="59">
        <v>91.97</v>
      </c>
      <c r="E13" s="59">
        <v>2.86</v>
      </c>
      <c r="F13" s="59">
        <v>1.72</v>
      </c>
      <c r="G13" s="59">
        <v>73.75</v>
      </c>
      <c r="H13" s="59">
        <v>26.49</v>
      </c>
      <c r="I13" s="59">
        <v>0.9</v>
      </c>
      <c r="J13" s="59">
        <v>0.13</v>
      </c>
      <c r="K13" s="59">
        <v>276.45999999999998</v>
      </c>
      <c r="L13" s="59">
        <v>18.52</v>
      </c>
      <c r="M13" s="59">
        <v>71.489999999999995</v>
      </c>
      <c r="N13" s="59">
        <v>4.7</v>
      </c>
      <c r="O13" s="59">
        <v>0</v>
      </c>
      <c r="P13" s="59">
        <v>1.41</v>
      </c>
      <c r="Q13" s="59">
        <v>43.26</v>
      </c>
      <c r="R13" s="197"/>
      <c r="S13" s="197"/>
      <c r="T13" s="197"/>
      <c r="U13" s="197"/>
    </row>
    <row r="14" spans="1:21" s="12" customFormat="1" x14ac:dyDescent="0.25">
      <c r="A14" s="200" t="s">
        <v>2174</v>
      </c>
      <c r="B14" s="59">
        <v>79.44</v>
      </c>
      <c r="C14" s="59">
        <v>50.66</v>
      </c>
      <c r="D14" s="59">
        <v>93.4</v>
      </c>
      <c r="E14" s="59">
        <v>2.71</v>
      </c>
      <c r="F14" s="59">
        <v>1.84</v>
      </c>
      <c r="G14" s="59">
        <v>59.74</v>
      </c>
      <c r="H14" s="59">
        <v>25.64</v>
      </c>
      <c r="I14" s="59">
        <v>0.9</v>
      </c>
      <c r="J14" s="59">
        <v>0.12</v>
      </c>
      <c r="K14" s="59">
        <v>7.89</v>
      </c>
      <c r="L14" s="59">
        <v>18.420000000000002</v>
      </c>
      <c r="M14" s="59">
        <v>74.069999999999993</v>
      </c>
      <c r="N14" s="59">
        <v>4.9000000000000004</v>
      </c>
      <c r="O14" s="59">
        <v>0</v>
      </c>
      <c r="P14" s="59">
        <v>1.57</v>
      </c>
      <c r="Q14" s="59">
        <v>46.66</v>
      </c>
      <c r="R14" s="197"/>
      <c r="S14" s="197"/>
      <c r="T14" s="197"/>
      <c r="U14" s="197"/>
    </row>
    <row r="15" spans="1:21" s="12" customFormat="1" x14ac:dyDescent="0.25">
      <c r="A15" s="200" t="s">
        <v>2175</v>
      </c>
      <c r="B15" s="59">
        <v>77.94</v>
      </c>
      <c r="C15" s="59">
        <v>54.39</v>
      </c>
      <c r="D15" s="59">
        <v>94.26</v>
      </c>
      <c r="E15" s="59">
        <v>2.65</v>
      </c>
      <c r="F15" s="59">
        <v>1.26</v>
      </c>
      <c r="G15" s="59">
        <v>59.74</v>
      </c>
      <c r="H15" s="59">
        <v>25.64</v>
      </c>
      <c r="I15" s="59">
        <v>0.86</v>
      </c>
      <c r="J15" s="59">
        <v>0.03</v>
      </c>
      <c r="K15" s="59">
        <v>35.630000000000003</v>
      </c>
      <c r="L15" s="59">
        <v>18.16</v>
      </c>
      <c r="M15" s="59">
        <v>75.430000000000007</v>
      </c>
      <c r="N15" s="59">
        <v>4.9000000000000004</v>
      </c>
      <c r="O15" s="59">
        <v>0</v>
      </c>
      <c r="P15" s="59">
        <v>1.54</v>
      </c>
      <c r="Q15" s="59">
        <v>46.64</v>
      </c>
      <c r="R15" s="197"/>
      <c r="S15" s="197"/>
      <c r="T15" s="197"/>
      <c r="U15" s="197"/>
    </row>
    <row r="16" spans="1:21" s="12" customFormat="1" x14ac:dyDescent="0.25">
      <c r="A16" s="200" t="s">
        <v>2176</v>
      </c>
      <c r="B16" s="59">
        <v>75.34</v>
      </c>
      <c r="C16" s="59">
        <v>54.81</v>
      </c>
      <c r="D16" s="59">
        <v>92.41</v>
      </c>
      <c r="E16" s="59">
        <v>2.38</v>
      </c>
      <c r="F16" s="59">
        <v>1.34</v>
      </c>
      <c r="G16" s="59">
        <v>59.74</v>
      </c>
      <c r="H16" s="59">
        <v>25.64</v>
      </c>
      <c r="I16" s="59">
        <v>0.89</v>
      </c>
      <c r="J16" s="59">
        <v>0.16</v>
      </c>
      <c r="K16" s="59">
        <v>75.319999999999993</v>
      </c>
      <c r="L16" s="59">
        <v>18.239999999999998</v>
      </c>
      <c r="M16" s="59">
        <v>75.709999999999994</v>
      </c>
      <c r="N16" s="59">
        <v>4.4000000000000004</v>
      </c>
      <c r="O16" s="59">
        <v>0</v>
      </c>
      <c r="P16" s="59">
        <v>1.5</v>
      </c>
      <c r="Q16" s="59">
        <v>46.22</v>
      </c>
      <c r="R16" s="197"/>
      <c r="S16" s="197"/>
      <c r="T16" s="197"/>
      <c r="U16" s="197"/>
    </row>
    <row r="17" spans="1:21" s="12" customFormat="1" x14ac:dyDescent="0.25">
      <c r="A17" s="200" t="s">
        <v>2177</v>
      </c>
      <c r="B17" s="59">
        <v>72.88</v>
      </c>
      <c r="C17" s="59">
        <v>54.71</v>
      </c>
      <c r="D17" s="59">
        <v>90.38</v>
      </c>
      <c r="E17" s="59">
        <v>2.31</v>
      </c>
      <c r="F17" s="59">
        <v>1.2</v>
      </c>
      <c r="G17" s="59">
        <v>59.74</v>
      </c>
      <c r="H17" s="59">
        <v>25.62</v>
      </c>
      <c r="I17" s="59">
        <v>0.89</v>
      </c>
      <c r="J17" s="59">
        <v>0.09</v>
      </c>
      <c r="K17" s="59">
        <v>258.01</v>
      </c>
      <c r="L17" s="59">
        <v>18.149999999999999</v>
      </c>
      <c r="M17" s="59">
        <v>78.900000000000006</v>
      </c>
      <c r="N17" s="59">
        <v>4.8</v>
      </c>
      <c r="O17" s="59">
        <v>0</v>
      </c>
      <c r="P17" s="59">
        <v>1.45</v>
      </c>
      <c r="Q17" s="59">
        <v>45.07</v>
      </c>
      <c r="R17" s="197"/>
      <c r="S17" s="197"/>
      <c r="T17" s="197"/>
      <c r="U17" s="197"/>
    </row>
    <row r="18" spans="1:21" s="12" customFormat="1" x14ac:dyDescent="0.25">
      <c r="A18" s="200" t="s">
        <v>2178</v>
      </c>
      <c r="B18" s="59">
        <v>70.11</v>
      </c>
      <c r="C18" s="59">
        <v>54.26</v>
      </c>
      <c r="D18" s="59">
        <v>87.91</v>
      </c>
      <c r="E18" s="59">
        <v>2.6</v>
      </c>
      <c r="F18" s="59">
        <v>1.1599999999999999</v>
      </c>
      <c r="G18" s="59">
        <v>69.09</v>
      </c>
      <c r="H18" s="59">
        <v>23.68</v>
      </c>
      <c r="I18" s="59">
        <v>0.88</v>
      </c>
      <c r="J18" s="59">
        <v>0.24</v>
      </c>
      <c r="K18" s="59">
        <v>351.26</v>
      </c>
      <c r="L18" s="59">
        <v>18.420000000000002</v>
      </c>
      <c r="M18" s="59">
        <v>77.37</v>
      </c>
      <c r="N18" s="59">
        <v>4.5</v>
      </c>
      <c r="O18" s="59">
        <v>0</v>
      </c>
      <c r="P18" s="59">
        <v>1.42</v>
      </c>
      <c r="Q18" s="59">
        <v>44.74</v>
      </c>
      <c r="R18" s="197"/>
      <c r="S18" s="197"/>
      <c r="T18" s="197"/>
      <c r="U18" s="197"/>
    </row>
    <row r="19" spans="1:21" s="12" customFormat="1" x14ac:dyDescent="0.25">
      <c r="A19" s="200" t="s">
        <v>2179</v>
      </c>
      <c r="B19" s="59">
        <v>66.37</v>
      </c>
      <c r="C19" s="59">
        <v>54.18</v>
      </c>
      <c r="D19" s="59">
        <v>84.87</v>
      </c>
      <c r="E19" s="59">
        <v>2.54</v>
      </c>
      <c r="F19" s="59">
        <v>1.4</v>
      </c>
      <c r="G19" s="59">
        <v>69.09</v>
      </c>
      <c r="H19" s="59">
        <v>23.68</v>
      </c>
      <c r="I19" s="59">
        <v>0.87</v>
      </c>
      <c r="J19" s="59">
        <v>0.23</v>
      </c>
      <c r="K19" s="59">
        <v>18.899999999999999</v>
      </c>
      <c r="L19" s="59">
        <v>18.579999999999998</v>
      </c>
      <c r="M19" s="59">
        <v>71.930000000000007</v>
      </c>
      <c r="N19" s="59">
        <v>3.3</v>
      </c>
      <c r="O19" s="59">
        <v>0</v>
      </c>
      <c r="P19" s="59">
        <v>1.38</v>
      </c>
      <c r="Q19" s="59">
        <v>43.85</v>
      </c>
      <c r="R19" s="197"/>
      <c r="S19" s="197"/>
      <c r="T19" s="197"/>
      <c r="U19" s="197"/>
    </row>
    <row r="20" spans="1:21" s="12" customFormat="1" x14ac:dyDescent="0.25">
      <c r="A20" s="200" t="s">
        <v>2180</v>
      </c>
      <c r="B20" s="59">
        <v>62.9</v>
      </c>
      <c r="C20" s="59">
        <v>54.41</v>
      </c>
      <c r="D20" s="59">
        <v>82.21</v>
      </c>
      <c r="E20" s="59">
        <v>2.2400000000000002</v>
      </c>
      <c r="F20" s="59">
        <v>1.47</v>
      </c>
      <c r="G20" s="59">
        <v>69.09</v>
      </c>
      <c r="H20" s="59">
        <v>23.68</v>
      </c>
      <c r="I20" s="59">
        <v>0.86</v>
      </c>
      <c r="J20" s="59">
        <v>0.12</v>
      </c>
      <c r="K20" s="59">
        <v>6.69</v>
      </c>
      <c r="L20" s="59">
        <v>19.079999999999998</v>
      </c>
      <c r="M20" s="59">
        <v>68.540000000000006</v>
      </c>
      <c r="N20" s="59">
        <v>4.5999999999999996</v>
      </c>
      <c r="O20" s="59">
        <v>0</v>
      </c>
      <c r="P20" s="59">
        <v>1.34</v>
      </c>
      <c r="Q20" s="59">
        <v>43.47</v>
      </c>
      <c r="R20" s="197"/>
      <c r="S20" s="197"/>
      <c r="T20" s="197"/>
      <c r="U20" s="197"/>
    </row>
    <row r="21" spans="1:21" s="12" customFormat="1" x14ac:dyDescent="0.25">
      <c r="A21" s="200" t="s">
        <v>2181</v>
      </c>
      <c r="B21" s="59">
        <v>56.54</v>
      </c>
      <c r="C21" s="59">
        <v>52.67</v>
      </c>
      <c r="D21" s="59">
        <v>76.150000000000006</v>
      </c>
      <c r="E21" s="59">
        <v>2.61</v>
      </c>
      <c r="F21" s="59">
        <v>1.27</v>
      </c>
      <c r="G21" s="59">
        <v>68.89</v>
      </c>
      <c r="H21" s="59">
        <v>23.7</v>
      </c>
      <c r="I21" s="59">
        <v>0.85</v>
      </c>
      <c r="J21" s="59">
        <v>0.77</v>
      </c>
      <c r="K21" s="59">
        <v>159.59</v>
      </c>
      <c r="L21" s="59">
        <v>19.48</v>
      </c>
      <c r="M21" s="59">
        <v>64.92</v>
      </c>
      <c r="N21" s="59">
        <v>3.9</v>
      </c>
      <c r="O21" s="59">
        <v>0</v>
      </c>
      <c r="P21" s="59">
        <v>1.3</v>
      </c>
      <c r="Q21" s="59">
        <v>43.49</v>
      </c>
      <c r="R21" s="197"/>
      <c r="S21" s="197"/>
      <c r="T21" s="197"/>
      <c r="U21" s="197"/>
    </row>
    <row r="22" spans="1:21" s="12" customFormat="1" x14ac:dyDescent="0.25">
      <c r="A22" s="200" t="s">
        <v>2182</v>
      </c>
      <c r="B22" s="59">
        <v>55.12</v>
      </c>
      <c r="C22" s="59">
        <v>53.87</v>
      </c>
      <c r="D22" s="59">
        <v>75.67</v>
      </c>
      <c r="E22" s="59">
        <v>2.66</v>
      </c>
      <c r="F22" s="59">
        <v>1.28</v>
      </c>
      <c r="G22" s="59">
        <v>51.45</v>
      </c>
      <c r="H22" s="59">
        <v>25.1</v>
      </c>
      <c r="I22" s="59">
        <v>0.83</v>
      </c>
      <c r="J22" s="59">
        <v>0.28999999999999998</v>
      </c>
      <c r="K22" s="59">
        <v>129.13999999999999</v>
      </c>
      <c r="L22" s="59">
        <v>19.670000000000002</v>
      </c>
      <c r="M22" s="59">
        <v>66.209999999999994</v>
      </c>
      <c r="N22" s="59">
        <v>4.8</v>
      </c>
      <c r="O22" s="59">
        <v>0</v>
      </c>
      <c r="P22" s="59">
        <v>1.28</v>
      </c>
      <c r="Q22" s="59">
        <v>42.47</v>
      </c>
      <c r="R22" s="197"/>
      <c r="S22" s="197"/>
      <c r="T22" s="197"/>
      <c r="U22" s="197"/>
    </row>
    <row r="23" spans="1:21" s="12" customFormat="1" x14ac:dyDescent="0.25">
      <c r="A23" s="200" t="s">
        <v>2183</v>
      </c>
      <c r="B23" s="59">
        <v>53.25</v>
      </c>
      <c r="C23" s="59">
        <v>54.48</v>
      </c>
      <c r="D23" s="59">
        <v>74.510000000000005</v>
      </c>
      <c r="E23" s="59">
        <v>2.64</v>
      </c>
      <c r="F23" s="59">
        <v>1.56</v>
      </c>
      <c r="G23" s="59">
        <v>51.45</v>
      </c>
      <c r="H23" s="59">
        <v>25.1</v>
      </c>
      <c r="I23" s="59">
        <v>0.77</v>
      </c>
      <c r="J23" s="59">
        <v>0.87</v>
      </c>
      <c r="K23" s="59">
        <v>103.86</v>
      </c>
      <c r="L23" s="59">
        <v>19.66</v>
      </c>
      <c r="M23" s="59">
        <v>68.16</v>
      </c>
      <c r="N23" s="59">
        <v>4.5</v>
      </c>
      <c r="O23" s="59">
        <v>0</v>
      </c>
      <c r="P23" s="59">
        <v>1.23</v>
      </c>
      <c r="Q23" s="59">
        <v>43.14</v>
      </c>
      <c r="R23" s="197"/>
      <c r="S23" s="197"/>
      <c r="T23" s="197"/>
      <c r="U23" s="197"/>
    </row>
    <row r="24" spans="1:21" s="12" customFormat="1" x14ac:dyDescent="0.25">
      <c r="A24" s="200" t="s">
        <v>2184</v>
      </c>
      <c r="B24" s="59">
        <v>50.13</v>
      </c>
      <c r="C24" s="59">
        <v>53.04</v>
      </c>
      <c r="D24" s="59">
        <v>71.209999999999994</v>
      </c>
      <c r="E24" s="59">
        <v>1.46</v>
      </c>
      <c r="F24" s="59">
        <v>1.44</v>
      </c>
      <c r="G24" s="59">
        <v>51.45</v>
      </c>
      <c r="H24" s="59">
        <v>25.1</v>
      </c>
      <c r="I24" s="59">
        <v>0.83</v>
      </c>
      <c r="J24" s="59">
        <v>0.85</v>
      </c>
      <c r="K24" s="59">
        <v>115.92</v>
      </c>
      <c r="L24" s="59">
        <v>19.53</v>
      </c>
      <c r="M24" s="59">
        <v>68.680000000000007</v>
      </c>
      <c r="N24" s="59">
        <v>5.0999999999999996</v>
      </c>
      <c r="O24" s="59">
        <v>0</v>
      </c>
      <c r="P24" s="59">
        <v>1.2</v>
      </c>
      <c r="Q24" s="59">
        <v>45.15</v>
      </c>
      <c r="R24" s="197"/>
      <c r="S24" s="197"/>
      <c r="T24" s="197"/>
      <c r="U24" s="197"/>
    </row>
    <row r="25" spans="1:21" s="12" customFormat="1" x14ac:dyDescent="0.25">
      <c r="A25" s="200" t="s">
        <v>2185</v>
      </c>
      <c r="B25" s="59">
        <v>51.91</v>
      </c>
      <c r="C25" s="59">
        <v>53.51</v>
      </c>
      <c r="D25" s="59">
        <v>72.900000000000006</v>
      </c>
      <c r="E25" s="59">
        <v>2.0499999999999998</v>
      </c>
      <c r="F25" s="59">
        <v>1.51</v>
      </c>
      <c r="G25" s="59">
        <v>51.3</v>
      </c>
      <c r="H25" s="59">
        <v>25.1</v>
      </c>
      <c r="I25" s="59">
        <v>0.82</v>
      </c>
      <c r="J25" s="59">
        <v>0.43</v>
      </c>
      <c r="K25" s="59">
        <v>127</v>
      </c>
      <c r="L25" s="59">
        <v>19.46</v>
      </c>
      <c r="M25" s="59">
        <v>68.819999999999993</v>
      </c>
      <c r="N25" s="59">
        <v>4.9000000000000004</v>
      </c>
      <c r="O25" s="59">
        <v>0</v>
      </c>
      <c r="P25" s="59">
        <v>1.1499999999999999</v>
      </c>
      <c r="Q25" s="59">
        <v>43.91</v>
      </c>
      <c r="R25" s="197"/>
      <c r="S25" s="197"/>
      <c r="T25" s="197"/>
      <c r="U25" s="197"/>
    </row>
    <row r="26" spans="1:21" s="12" customFormat="1" x14ac:dyDescent="0.25">
      <c r="A26" s="200" t="s">
        <v>2186</v>
      </c>
      <c r="B26" s="59">
        <v>47.86</v>
      </c>
      <c r="C26" s="59">
        <v>50.68</v>
      </c>
      <c r="D26" s="59">
        <v>68.09</v>
      </c>
      <c r="E26" s="59">
        <v>2.17</v>
      </c>
      <c r="F26" s="59">
        <v>1.44</v>
      </c>
      <c r="G26" s="59">
        <v>38.42</v>
      </c>
      <c r="H26" s="59">
        <v>22.47</v>
      </c>
      <c r="I26" s="59">
        <v>0.77</v>
      </c>
      <c r="J26" s="59">
        <v>0.09</v>
      </c>
      <c r="K26" s="59">
        <v>230.45</v>
      </c>
      <c r="L26" s="59">
        <v>19.32</v>
      </c>
      <c r="M26" s="59">
        <v>69.86</v>
      </c>
      <c r="N26" s="59">
        <v>5.0999999999999996</v>
      </c>
      <c r="O26" s="59">
        <v>0</v>
      </c>
      <c r="P26" s="59">
        <v>1.1100000000000001</v>
      </c>
      <c r="Q26" s="59">
        <v>45.09</v>
      </c>
      <c r="R26" s="197"/>
      <c r="S26" s="197"/>
      <c r="T26" s="197"/>
      <c r="U26" s="197"/>
    </row>
    <row r="27" spans="1:21" s="12" customFormat="1" x14ac:dyDescent="0.25">
      <c r="A27" s="200" t="s">
        <v>2187</v>
      </c>
      <c r="B27" s="59">
        <v>46.57</v>
      </c>
      <c r="C27" s="59">
        <v>52.55</v>
      </c>
      <c r="D27" s="59">
        <v>68.09</v>
      </c>
      <c r="E27" s="59">
        <v>2.25</v>
      </c>
      <c r="F27" s="59">
        <v>1.52</v>
      </c>
      <c r="G27" s="59">
        <v>38.42</v>
      </c>
      <c r="H27" s="59">
        <v>22.47</v>
      </c>
      <c r="I27" s="59">
        <v>0.8</v>
      </c>
      <c r="J27" s="59">
        <v>0.54</v>
      </c>
      <c r="K27" s="59">
        <v>350.43</v>
      </c>
      <c r="L27" s="59">
        <v>18.989999999999998</v>
      </c>
      <c r="M27" s="59">
        <v>74.81</v>
      </c>
      <c r="N27" s="59">
        <v>5.4</v>
      </c>
      <c r="O27" s="59">
        <v>0</v>
      </c>
      <c r="P27" s="59">
        <v>1.08</v>
      </c>
      <c r="Q27" s="59">
        <v>44.37</v>
      </c>
      <c r="R27" s="197"/>
      <c r="S27" s="197"/>
      <c r="T27" s="197"/>
      <c r="U27" s="197"/>
    </row>
    <row r="28" spans="1:21" s="12" customFormat="1" x14ac:dyDescent="0.25">
      <c r="A28" s="200" t="s">
        <v>2188</v>
      </c>
      <c r="B28" s="59">
        <v>45.7</v>
      </c>
      <c r="C28" s="59">
        <v>52.7</v>
      </c>
      <c r="D28" s="59">
        <v>67.47</v>
      </c>
      <c r="E28" s="59">
        <v>2.7</v>
      </c>
      <c r="F28" s="59">
        <v>1.36</v>
      </c>
      <c r="G28" s="59">
        <v>38.42</v>
      </c>
      <c r="H28" s="59">
        <v>22.47</v>
      </c>
      <c r="I28" s="59">
        <v>0.75</v>
      </c>
      <c r="J28" s="59">
        <v>0.71</v>
      </c>
      <c r="K28" s="59">
        <v>351.76</v>
      </c>
      <c r="L28" s="59">
        <v>18.91</v>
      </c>
      <c r="M28" s="59">
        <v>73.64</v>
      </c>
      <c r="N28" s="59">
        <v>4.7</v>
      </c>
      <c r="O28" s="59">
        <v>0</v>
      </c>
      <c r="P28" s="59">
        <v>1.05</v>
      </c>
      <c r="Q28" s="59">
        <v>45.29</v>
      </c>
      <c r="R28" s="197"/>
      <c r="S28" s="197"/>
      <c r="T28" s="197"/>
      <c r="U28" s="197"/>
    </row>
    <row r="29" spans="1:21" s="12" customFormat="1" x14ac:dyDescent="0.25">
      <c r="A29" s="200" t="s">
        <v>2189</v>
      </c>
      <c r="B29" s="59">
        <v>43.22</v>
      </c>
      <c r="C29" s="59">
        <v>49.91</v>
      </c>
      <c r="D29" s="59">
        <v>63.94</v>
      </c>
      <c r="E29" s="59">
        <v>2.87</v>
      </c>
      <c r="F29" s="59">
        <v>1.33</v>
      </c>
      <c r="G29" s="59">
        <v>38.39</v>
      </c>
      <c r="H29" s="59">
        <v>22.46</v>
      </c>
      <c r="I29" s="59">
        <v>0.74</v>
      </c>
      <c r="J29" s="59">
        <v>1.21</v>
      </c>
      <c r="K29" s="59">
        <v>351.13</v>
      </c>
      <c r="L29" s="59">
        <v>18.920000000000002</v>
      </c>
      <c r="M29" s="59">
        <v>72.06</v>
      </c>
      <c r="N29" s="59">
        <v>4.7</v>
      </c>
      <c r="O29" s="59">
        <v>0</v>
      </c>
      <c r="P29" s="59">
        <v>1.02</v>
      </c>
      <c r="Q29" s="59">
        <v>46.26</v>
      </c>
      <c r="R29" s="197"/>
      <c r="S29" s="197"/>
      <c r="T29" s="197"/>
      <c r="U29" s="197"/>
    </row>
    <row r="30" spans="1:21" s="12" customFormat="1" x14ac:dyDescent="0.25">
      <c r="A30" s="200" t="s">
        <v>2190</v>
      </c>
      <c r="B30" s="59">
        <v>39.69</v>
      </c>
      <c r="C30" s="59">
        <v>51.25</v>
      </c>
      <c r="D30" s="59">
        <v>61.86</v>
      </c>
      <c r="E30" s="59">
        <v>1.99</v>
      </c>
      <c r="F30" s="59">
        <v>1.41</v>
      </c>
      <c r="G30" s="59">
        <v>36.49</v>
      </c>
      <c r="H30" s="59">
        <v>21.81</v>
      </c>
      <c r="I30" s="59">
        <v>0.73</v>
      </c>
      <c r="J30" s="59">
        <v>2.2000000000000002</v>
      </c>
      <c r="K30" s="59">
        <v>21.2</v>
      </c>
      <c r="L30" s="59">
        <v>18.829999999999998</v>
      </c>
      <c r="M30" s="59">
        <v>69.61</v>
      </c>
      <c r="N30" s="59">
        <v>5.7</v>
      </c>
      <c r="O30" s="59">
        <v>0</v>
      </c>
      <c r="P30" s="59">
        <v>0.98</v>
      </c>
      <c r="Q30" s="59">
        <v>45.01</v>
      </c>
      <c r="R30" s="197"/>
      <c r="S30" s="197"/>
      <c r="T30" s="197"/>
      <c r="U30" s="197"/>
    </row>
    <row r="31" spans="1:21" s="12" customFormat="1" x14ac:dyDescent="0.25">
      <c r="A31" s="200" t="s">
        <v>2191</v>
      </c>
      <c r="B31" s="59">
        <v>33.299999999999997</v>
      </c>
      <c r="C31" s="59">
        <v>53.85</v>
      </c>
      <c r="D31" s="59">
        <v>58.16</v>
      </c>
      <c r="E31" s="59">
        <v>2.1800000000000002</v>
      </c>
      <c r="F31" s="59">
        <v>1.93</v>
      </c>
      <c r="G31" s="59">
        <v>36.49</v>
      </c>
      <c r="H31" s="59">
        <v>21.81</v>
      </c>
      <c r="I31" s="59">
        <v>0.71</v>
      </c>
      <c r="J31" s="59">
        <v>2.82</v>
      </c>
      <c r="K31" s="59">
        <v>23.32</v>
      </c>
      <c r="L31" s="59">
        <v>18.45</v>
      </c>
      <c r="M31" s="59">
        <v>70.150000000000006</v>
      </c>
      <c r="N31" s="59">
        <v>6.2</v>
      </c>
      <c r="O31" s="59">
        <v>0</v>
      </c>
      <c r="P31" s="59">
        <v>0.88</v>
      </c>
      <c r="Q31" s="59">
        <v>44.61</v>
      </c>
      <c r="R31" s="197"/>
      <c r="S31" s="197"/>
      <c r="T31" s="197"/>
      <c r="U31" s="197"/>
    </row>
    <row r="32" spans="1:21" s="12" customFormat="1" x14ac:dyDescent="0.25">
      <c r="A32" s="200" t="s">
        <v>2192</v>
      </c>
      <c r="B32" s="59">
        <v>26.9</v>
      </c>
      <c r="C32" s="59">
        <v>55.06</v>
      </c>
      <c r="D32" s="59">
        <v>53.7</v>
      </c>
      <c r="E32" s="59">
        <v>1.76</v>
      </c>
      <c r="F32" s="59">
        <v>1.85</v>
      </c>
      <c r="G32" s="59">
        <v>36.49</v>
      </c>
      <c r="H32" s="59">
        <v>21.81</v>
      </c>
      <c r="I32" s="59">
        <v>0.69</v>
      </c>
      <c r="J32" s="59">
        <v>1.77</v>
      </c>
      <c r="K32" s="59">
        <v>20</v>
      </c>
      <c r="L32" s="59">
        <v>17.850000000000001</v>
      </c>
      <c r="M32" s="59">
        <v>75.430000000000007</v>
      </c>
      <c r="N32" s="59">
        <v>6.7</v>
      </c>
      <c r="O32" s="59">
        <v>0.2</v>
      </c>
      <c r="P32" s="59">
        <v>0.8</v>
      </c>
      <c r="Q32" s="59">
        <v>43.05</v>
      </c>
      <c r="R32" s="197"/>
      <c r="S32" s="197"/>
      <c r="T32" s="197"/>
      <c r="U32" s="197"/>
    </row>
    <row r="33" spans="1:21" s="12" customFormat="1" x14ac:dyDescent="0.25">
      <c r="A33" s="200" t="s">
        <v>2193</v>
      </c>
      <c r="B33" s="59">
        <v>23.1</v>
      </c>
      <c r="C33" s="59">
        <v>55.4</v>
      </c>
      <c r="D33" s="59">
        <v>50.84</v>
      </c>
      <c r="E33" s="59">
        <v>1.66</v>
      </c>
      <c r="F33" s="59">
        <v>1.51</v>
      </c>
      <c r="G33" s="59">
        <v>36.64</v>
      </c>
      <c r="H33" s="59">
        <v>21.79</v>
      </c>
      <c r="I33" s="59">
        <v>0.69</v>
      </c>
      <c r="J33" s="59">
        <v>0.73</v>
      </c>
      <c r="K33" s="59">
        <v>7.23</v>
      </c>
      <c r="L33" s="59">
        <v>16.95</v>
      </c>
      <c r="M33" s="59">
        <v>84.06</v>
      </c>
      <c r="N33" s="59">
        <v>6.6</v>
      </c>
      <c r="O33" s="59">
        <v>0.2</v>
      </c>
      <c r="P33" s="59">
        <v>0.76</v>
      </c>
      <c r="Q33" s="59">
        <v>42.51</v>
      </c>
      <c r="R33" s="197"/>
      <c r="S33" s="197"/>
      <c r="T33" s="197"/>
      <c r="U33" s="197"/>
    </row>
    <row r="34" spans="1:21" s="12" customFormat="1" x14ac:dyDescent="0.25">
      <c r="A34" s="200" t="s">
        <v>2194</v>
      </c>
      <c r="B34" s="59">
        <v>21.2</v>
      </c>
      <c r="C34" s="59">
        <v>55.08</v>
      </c>
      <c r="D34" s="59">
        <v>49.14</v>
      </c>
      <c r="E34" s="59">
        <v>1.69</v>
      </c>
      <c r="F34" s="59">
        <v>1.25</v>
      </c>
      <c r="G34" s="59">
        <v>50.2</v>
      </c>
      <c r="H34" s="59">
        <v>19.940000000000001</v>
      </c>
      <c r="I34" s="59">
        <v>0.65</v>
      </c>
      <c r="J34" s="59">
        <v>0.21</v>
      </c>
      <c r="K34" s="59">
        <v>74.72</v>
      </c>
      <c r="L34" s="59">
        <v>16.440000000000001</v>
      </c>
      <c r="M34" s="59">
        <v>86.58</v>
      </c>
      <c r="N34" s="59">
        <v>5.8</v>
      </c>
      <c r="O34" s="59">
        <v>0.4</v>
      </c>
      <c r="P34" s="59">
        <v>0.73</v>
      </c>
      <c r="Q34" s="59">
        <v>42.14</v>
      </c>
      <c r="R34" s="197"/>
      <c r="S34" s="197"/>
      <c r="T34" s="197"/>
      <c r="U34" s="197"/>
    </row>
    <row r="35" spans="1:21" s="12" customFormat="1" x14ac:dyDescent="0.25">
      <c r="A35" s="200" t="s">
        <v>2195</v>
      </c>
      <c r="B35" s="59">
        <v>20.64</v>
      </c>
      <c r="C35" s="59">
        <v>54.13</v>
      </c>
      <c r="D35" s="59">
        <v>48.16</v>
      </c>
      <c r="E35" s="59">
        <v>1.59</v>
      </c>
      <c r="F35" s="59">
        <v>1.26</v>
      </c>
      <c r="G35" s="59">
        <v>50.2</v>
      </c>
      <c r="H35" s="59">
        <v>19.940000000000001</v>
      </c>
      <c r="I35" s="59">
        <v>0.61</v>
      </c>
      <c r="J35" s="59">
        <v>0.47</v>
      </c>
      <c r="K35" s="59">
        <v>74.92</v>
      </c>
      <c r="L35" s="59">
        <v>16.309999999999999</v>
      </c>
      <c r="M35" s="59">
        <v>89.59</v>
      </c>
      <c r="N35" s="59">
        <v>7.2</v>
      </c>
      <c r="O35" s="59">
        <v>0.4</v>
      </c>
      <c r="P35" s="59">
        <v>0.71</v>
      </c>
      <c r="Q35" s="59">
        <v>41.71</v>
      </c>
      <c r="R35" s="197"/>
      <c r="S35" s="197"/>
      <c r="T35" s="197"/>
      <c r="U35" s="197"/>
    </row>
    <row r="36" spans="1:21" s="12" customFormat="1" x14ac:dyDescent="0.25">
      <c r="A36" s="200" t="s">
        <v>2196</v>
      </c>
      <c r="B36" s="59">
        <v>20.89</v>
      </c>
      <c r="C36" s="59">
        <v>53.24</v>
      </c>
      <c r="D36" s="59">
        <v>47.88</v>
      </c>
      <c r="E36" s="59">
        <v>1.86</v>
      </c>
      <c r="F36" s="59">
        <v>1.25</v>
      </c>
      <c r="G36" s="59">
        <v>50.2</v>
      </c>
      <c r="H36" s="59">
        <v>19.940000000000001</v>
      </c>
      <c r="I36" s="59">
        <v>0.63</v>
      </c>
      <c r="J36" s="59">
        <v>1.33</v>
      </c>
      <c r="K36" s="59">
        <v>109.44</v>
      </c>
      <c r="L36" s="59">
        <v>16.29</v>
      </c>
      <c r="M36" s="59">
        <v>86.95</v>
      </c>
      <c r="N36" s="59">
        <v>8.5</v>
      </c>
      <c r="O36" s="59">
        <v>0</v>
      </c>
      <c r="P36" s="59">
        <v>0.7</v>
      </c>
      <c r="Q36" s="59">
        <v>42.39</v>
      </c>
      <c r="R36" s="197"/>
      <c r="S36" s="197"/>
      <c r="T36" s="197"/>
      <c r="U36" s="197"/>
    </row>
    <row r="37" spans="1:21" s="12" customFormat="1" x14ac:dyDescent="0.25">
      <c r="A37" s="200" t="s">
        <v>2197</v>
      </c>
      <c r="B37" s="59">
        <v>20.45</v>
      </c>
      <c r="C37" s="59">
        <v>50.55</v>
      </c>
      <c r="D37" s="59">
        <v>46.04</v>
      </c>
      <c r="E37" s="59">
        <v>2.2400000000000002</v>
      </c>
      <c r="F37" s="59">
        <v>1.51</v>
      </c>
      <c r="G37" s="59">
        <v>49.89</v>
      </c>
      <c r="H37" s="59">
        <v>19.899999999999999</v>
      </c>
      <c r="I37" s="59">
        <v>0.6</v>
      </c>
      <c r="J37" s="59">
        <v>0.95</v>
      </c>
      <c r="K37" s="59">
        <v>104.54</v>
      </c>
      <c r="L37" s="59">
        <v>16.260000000000002</v>
      </c>
      <c r="M37" s="59">
        <v>87.03</v>
      </c>
      <c r="N37" s="59">
        <v>10.6</v>
      </c>
      <c r="O37" s="59">
        <v>0.4</v>
      </c>
      <c r="P37" s="59">
        <v>0.66</v>
      </c>
      <c r="Q37" s="59">
        <v>42.46</v>
      </c>
      <c r="R37" s="197"/>
      <c r="S37" s="197"/>
      <c r="T37" s="197"/>
      <c r="U37" s="197"/>
    </row>
    <row r="38" spans="1:21" s="12" customFormat="1" x14ac:dyDescent="0.25">
      <c r="A38" s="200" t="s">
        <v>2198</v>
      </c>
      <c r="B38" s="59">
        <v>19.48</v>
      </c>
      <c r="C38" s="59">
        <v>52.48</v>
      </c>
      <c r="D38" s="59">
        <v>46.33</v>
      </c>
      <c r="E38" s="59">
        <v>2.11</v>
      </c>
      <c r="F38" s="59">
        <v>1.83</v>
      </c>
      <c r="G38" s="59">
        <v>22.23</v>
      </c>
      <c r="H38" s="59">
        <v>16.34</v>
      </c>
      <c r="I38" s="59">
        <v>0.6</v>
      </c>
      <c r="J38" s="59">
        <v>0.72</v>
      </c>
      <c r="K38" s="59">
        <v>82.02</v>
      </c>
      <c r="L38" s="59">
        <v>15.81</v>
      </c>
      <c r="M38" s="59">
        <v>91.85</v>
      </c>
      <c r="N38" s="59">
        <v>20.2</v>
      </c>
      <c r="O38" s="59">
        <v>0.2</v>
      </c>
      <c r="P38" s="59">
        <v>0.66</v>
      </c>
      <c r="Q38" s="59">
        <v>42.54</v>
      </c>
      <c r="R38" s="197"/>
      <c r="S38" s="197"/>
      <c r="T38" s="197"/>
      <c r="U38" s="197"/>
    </row>
    <row r="39" spans="1:21" s="12" customFormat="1" x14ac:dyDescent="0.25">
      <c r="A39" s="200" t="s">
        <v>2199</v>
      </c>
      <c r="B39" s="59">
        <v>18.89</v>
      </c>
      <c r="C39" s="59">
        <v>52.18</v>
      </c>
      <c r="D39" s="59">
        <v>45.69</v>
      </c>
      <c r="E39" s="59">
        <v>2.1</v>
      </c>
      <c r="F39" s="59">
        <v>1.61</v>
      </c>
      <c r="G39" s="59">
        <v>22.23</v>
      </c>
      <c r="H39" s="59">
        <v>16.34</v>
      </c>
      <c r="I39" s="59">
        <v>0.6</v>
      </c>
      <c r="J39" s="59">
        <v>1.0900000000000001</v>
      </c>
      <c r="K39" s="59">
        <v>101.09</v>
      </c>
      <c r="L39" s="59">
        <v>15.87</v>
      </c>
      <c r="M39" s="59">
        <v>91.83</v>
      </c>
      <c r="N39" s="59">
        <v>34.299999999999997</v>
      </c>
      <c r="O39" s="59">
        <v>0.2</v>
      </c>
      <c r="P39" s="59">
        <v>0.63</v>
      </c>
      <c r="Q39" s="59">
        <v>44.29</v>
      </c>
      <c r="R39" s="197"/>
      <c r="S39" s="197"/>
      <c r="T39" s="197"/>
      <c r="U39" s="197"/>
    </row>
    <row r="40" spans="1:21" s="12" customFormat="1" x14ac:dyDescent="0.25">
      <c r="A40" s="200" t="s">
        <v>2200</v>
      </c>
      <c r="B40" s="59">
        <v>18.39</v>
      </c>
      <c r="C40" s="59">
        <v>51.23</v>
      </c>
      <c r="D40" s="59">
        <v>44.76</v>
      </c>
      <c r="E40" s="59">
        <v>1.44</v>
      </c>
      <c r="F40" s="59">
        <v>1.51</v>
      </c>
      <c r="G40" s="59">
        <v>22.23</v>
      </c>
      <c r="H40" s="59">
        <v>16.34</v>
      </c>
      <c r="I40" s="59">
        <v>0.63</v>
      </c>
      <c r="J40" s="59">
        <v>0.78</v>
      </c>
      <c r="K40" s="59">
        <v>96.65</v>
      </c>
      <c r="L40" s="59">
        <v>16.100000000000001</v>
      </c>
      <c r="M40" s="59">
        <v>91.91</v>
      </c>
      <c r="N40" s="59">
        <v>77.5</v>
      </c>
      <c r="O40" s="59">
        <v>0</v>
      </c>
      <c r="P40" s="59">
        <v>0.62</v>
      </c>
      <c r="Q40" s="59">
        <v>44.64</v>
      </c>
      <c r="R40" s="197"/>
      <c r="S40" s="197"/>
      <c r="T40" s="197"/>
      <c r="U40" s="197"/>
    </row>
    <row r="41" spans="1:21" s="12" customFormat="1" x14ac:dyDescent="0.25">
      <c r="A41" s="200" t="s">
        <v>2201</v>
      </c>
      <c r="B41" s="59">
        <v>18.079999999999998</v>
      </c>
      <c r="C41" s="59">
        <v>49.32</v>
      </c>
      <c r="D41" s="59">
        <v>43.46</v>
      </c>
      <c r="E41" s="59">
        <v>2.34</v>
      </c>
      <c r="F41" s="59">
        <v>1.57</v>
      </c>
      <c r="G41" s="59">
        <v>22.24</v>
      </c>
      <c r="H41" s="59">
        <v>16.309999999999999</v>
      </c>
      <c r="I41" s="59">
        <v>0.62</v>
      </c>
      <c r="J41" s="59">
        <v>0.76</v>
      </c>
      <c r="K41" s="59">
        <v>94.05</v>
      </c>
      <c r="L41" s="59">
        <v>16.420000000000002</v>
      </c>
      <c r="M41" s="59">
        <v>90.88</v>
      </c>
      <c r="N41" s="59">
        <v>136.19999999999999</v>
      </c>
      <c r="O41" s="59">
        <v>0</v>
      </c>
      <c r="P41" s="59">
        <v>0.6</v>
      </c>
      <c r="Q41" s="59">
        <v>44.31</v>
      </c>
      <c r="R41" s="197"/>
      <c r="S41" s="197"/>
      <c r="T41" s="197"/>
      <c r="U41" s="197"/>
    </row>
    <row r="42" spans="1:21" s="12" customFormat="1" x14ac:dyDescent="0.25">
      <c r="A42" s="200" t="s">
        <v>2202</v>
      </c>
      <c r="B42" s="59">
        <v>17.87</v>
      </c>
      <c r="C42" s="59">
        <v>48.99</v>
      </c>
      <c r="D42" s="59">
        <v>43.11</v>
      </c>
      <c r="E42" s="59">
        <v>2.62</v>
      </c>
      <c r="F42" s="59">
        <v>1.69</v>
      </c>
      <c r="G42" s="59">
        <v>23.79</v>
      </c>
      <c r="H42" s="59">
        <v>14.01</v>
      </c>
      <c r="I42" s="59">
        <v>0.59</v>
      </c>
      <c r="J42" s="59">
        <v>0.87</v>
      </c>
      <c r="K42" s="59">
        <v>89.31</v>
      </c>
      <c r="L42" s="59">
        <v>16.7</v>
      </c>
      <c r="M42" s="59">
        <v>90.28</v>
      </c>
      <c r="N42" s="59">
        <v>114.4</v>
      </c>
      <c r="O42" s="59">
        <v>0.4</v>
      </c>
      <c r="P42" s="59">
        <v>0.6</v>
      </c>
      <c r="Q42" s="59">
        <v>44.74</v>
      </c>
      <c r="R42" s="197"/>
      <c r="S42" s="197"/>
      <c r="T42" s="197"/>
      <c r="U42" s="197"/>
    </row>
    <row r="43" spans="1:21" s="12" customFormat="1" x14ac:dyDescent="0.25">
      <c r="A43" s="200" t="s">
        <v>2203</v>
      </c>
      <c r="B43" s="59">
        <v>17.670000000000002</v>
      </c>
      <c r="C43" s="59">
        <v>49.19</v>
      </c>
      <c r="D43" s="59">
        <v>43.06</v>
      </c>
      <c r="E43" s="59">
        <v>2.57</v>
      </c>
      <c r="F43" s="59">
        <v>1.69</v>
      </c>
      <c r="G43" s="59">
        <v>23.79</v>
      </c>
      <c r="H43" s="59">
        <v>14.01</v>
      </c>
      <c r="I43" s="59">
        <v>0.57999999999999996</v>
      </c>
      <c r="J43" s="59">
        <v>1.02</v>
      </c>
      <c r="K43" s="59">
        <v>25.16</v>
      </c>
      <c r="L43" s="59">
        <v>17.03</v>
      </c>
      <c r="M43" s="59">
        <v>91.35</v>
      </c>
      <c r="N43" s="59">
        <v>140</v>
      </c>
      <c r="O43" s="59">
        <v>0</v>
      </c>
      <c r="P43" s="59">
        <v>0.59</v>
      </c>
      <c r="Q43" s="59">
        <v>47.72</v>
      </c>
      <c r="R43" s="197"/>
      <c r="S43" s="197"/>
      <c r="T43" s="197"/>
      <c r="U43" s="197"/>
    </row>
    <row r="44" spans="1:21" s="12" customFormat="1" x14ac:dyDescent="0.25">
      <c r="A44" s="200" t="s">
        <v>2204</v>
      </c>
      <c r="B44" s="59">
        <v>17.350000000000001</v>
      </c>
      <c r="C44" s="59">
        <v>48.83</v>
      </c>
      <c r="D44" s="59">
        <v>42.6</v>
      </c>
      <c r="E44" s="59">
        <v>2.58</v>
      </c>
      <c r="F44" s="59">
        <v>1.5</v>
      </c>
      <c r="G44" s="59">
        <v>23.79</v>
      </c>
      <c r="H44" s="59">
        <v>14.01</v>
      </c>
      <c r="I44" s="59">
        <v>0.57999999999999996</v>
      </c>
      <c r="J44" s="59">
        <v>1.61</v>
      </c>
      <c r="K44" s="59">
        <v>94.57</v>
      </c>
      <c r="L44" s="59">
        <v>17.329999999999998</v>
      </c>
      <c r="M44" s="59">
        <v>88.9</v>
      </c>
      <c r="N44" s="59">
        <v>270.3</v>
      </c>
      <c r="O44" s="59">
        <v>0</v>
      </c>
      <c r="P44" s="59">
        <v>0.59</v>
      </c>
      <c r="Q44" s="59">
        <v>47.65</v>
      </c>
      <c r="R44" s="197"/>
      <c r="S44" s="197"/>
      <c r="T44" s="197"/>
      <c r="U44" s="197"/>
    </row>
    <row r="45" spans="1:21" s="12" customFormat="1" x14ac:dyDescent="0.25">
      <c r="A45" s="200" t="s">
        <v>2205</v>
      </c>
      <c r="B45" s="59">
        <v>16.309999999999999</v>
      </c>
      <c r="C45" s="59">
        <v>48.29</v>
      </c>
      <c r="D45" s="59">
        <v>41.47</v>
      </c>
      <c r="E45" s="59">
        <v>2.36</v>
      </c>
      <c r="F45" s="59">
        <v>1.45</v>
      </c>
      <c r="G45" s="59">
        <v>23.74</v>
      </c>
      <c r="H45" s="59">
        <v>14</v>
      </c>
      <c r="I45" s="59">
        <v>0.57999999999999996</v>
      </c>
      <c r="J45" s="59">
        <v>2.11</v>
      </c>
      <c r="K45" s="59">
        <v>114.99</v>
      </c>
      <c r="L45" s="59">
        <v>18.16</v>
      </c>
      <c r="M45" s="59">
        <v>84.38</v>
      </c>
      <c r="N45" s="59">
        <v>542.9</v>
      </c>
      <c r="O45" s="59">
        <v>0</v>
      </c>
      <c r="P45" s="59">
        <v>0.57999999999999996</v>
      </c>
      <c r="Q45" s="59">
        <v>49.11</v>
      </c>
      <c r="R45" s="197"/>
      <c r="S45" s="197"/>
      <c r="T45" s="197"/>
      <c r="U45" s="197"/>
    </row>
    <row r="46" spans="1:21" s="12" customFormat="1" x14ac:dyDescent="0.25">
      <c r="A46" s="200" t="s">
        <v>2206</v>
      </c>
      <c r="B46" s="59">
        <v>14.99</v>
      </c>
      <c r="C46" s="59">
        <v>48.7</v>
      </c>
      <c r="D46" s="59">
        <v>40.64</v>
      </c>
      <c r="E46" s="59">
        <v>2.62</v>
      </c>
      <c r="F46" s="59">
        <v>1.48</v>
      </c>
      <c r="G46" s="59">
        <v>19.420000000000002</v>
      </c>
      <c r="H46" s="59">
        <v>13.07</v>
      </c>
      <c r="I46" s="59">
        <v>0.59</v>
      </c>
      <c r="J46" s="59">
        <v>2.95</v>
      </c>
      <c r="K46" s="59">
        <v>117.46</v>
      </c>
      <c r="L46" s="59">
        <v>18.66</v>
      </c>
      <c r="M46" s="59">
        <v>81.2</v>
      </c>
      <c r="N46" s="59">
        <v>295.10000000000002</v>
      </c>
      <c r="O46" s="59">
        <v>0</v>
      </c>
      <c r="P46" s="59">
        <v>0.56000000000000005</v>
      </c>
      <c r="Q46" s="59">
        <v>50.42</v>
      </c>
      <c r="R46" s="197"/>
      <c r="S46" s="197"/>
      <c r="T46" s="197"/>
      <c r="U46" s="197"/>
    </row>
    <row r="47" spans="1:21" s="12" customFormat="1" x14ac:dyDescent="0.25">
      <c r="A47" s="200" t="s">
        <v>2207</v>
      </c>
      <c r="B47" s="59">
        <v>13.34</v>
      </c>
      <c r="C47" s="59">
        <v>48.46</v>
      </c>
      <c r="D47" s="59">
        <v>39.19</v>
      </c>
      <c r="E47" s="59">
        <v>2.62</v>
      </c>
      <c r="F47" s="59">
        <v>1.45</v>
      </c>
      <c r="G47" s="59">
        <v>19.420000000000002</v>
      </c>
      <c r="H47" s="59">
        <v>13.07</v>
      </c>
      <c r="I47" s="59">
        <v>0.6</v>
      </c>
      <c r="J47" s="59">
        <v>3.08</v>
      </c>
      <c r="K47" s="59">
        <v>113.19</v>
      </c>
      <c r="L47" s="59">
        <v>18.63</v>
      </c>
      <c r="M47" s="59">
        <v>80.680000000000007</v>
      </c>
      <c r="N47" s="59">
        <v>323.60000000000002</v>
      </c>
      <c r="O47" s="59">
        <v>0</v>
      </c>
      <c r="P47" s="59">
        <v>0.54</v>
      </c>
      <c r="Q47" s="59">
        <v>48.68</v>
      </c>
      <c r="R47" s="197"/>
      <c r="S47" s="197"/>
      <c r="T47" s="197"/>
      <c r="U47" s="197"/>
    </row>
    <row r="48" spans="1:21" s="12" customFormat="1" x14ac:dyDescent="0.25">
      <c r="A48" s="200" t="s">
        <v>2208</v>
      </c>
      <c r="B48" s="59">
        <v>11.82</v>
      </c>
      <c r="C48" s="59">
        <v>48.77</v>
      </c>
      <c r="D48" s="59">
        <v>38.130000000000003</v>
      </c>
      <c r="E48" s="59">
        <v>2.25</v>
      </c>
      <c r="F48" s="59">
        <v>1.57</v>
      </c>
      <c r="G48" s="59">
        <v>19.420000000000002</v>
      </c>
      <c r="H48" s="59">
        <v>13.07</v>
      </c>
      <c r="I48" s="59">
        <v>0.56000000000000005</v>
      </c>
      <c r="J48" s="59">
        <v>2.36</v>
      </c>
      <c r="K48" s="59">
        <v>111.28</v>
      </c>
      <c r="L48" s="59">
        <v>19</v>
      </c>
      <c r="M48" s="59">
        <v>80.39</v>
      </c>
      <c r="N48" s="59">
        <v>487</v>
      </c>
      <c r="O48" s="59">
        <v>0</v>
      </c>
      <c r="P48" s="59">
        <v>0.52</v>
      </c>
      <c r="Q48" s="59">
        <v>49.47</v>
      </c>
      <c r="R48" s="197"/>
      <c r="S48" s="197"/>
      <c r="T48" s="197"/>
      <c r="U48" s="197"/>
    </row>
    <row r="49" spans="1:21" s="12" customFormat="1" x14ac:dyDescent="0.25">
      <c r="A49" s="200" t="s">
        <v>2209</v>
      </c>
      <c r="B49" s="59">
        <v>10.61</v>
      </c>
      <c r="C49" s="59">
        <v>49.29</v>
      </c>
      <c r="D49" s="59">
        <v>37.450000000000003</v>
      </c>
      <c r="E49" s="59">
        <v>2.2400000000000002</v>
      </c>
      <c r="F49" s="59">
        <v>1.79</v>
      </c>
      <c r="G49" s="59">
        <v>19.510000000000002</v>
      </c>
      <c r="H49" s="59">
        <v>13.08</v>
      </c>
      <c r="I49" s="59">
        <v>0.57999999999999996</v>
      </c>
      <c r="J49" s="59">
        <v>1.51</v>
      </c>
      <c r="K49" s="59">
        <v>111.42</v>
      </c>
      <c r="L49" s="59">
        <v>19.48</v>
      </c>
      <c r="M49" s="59">
        <v>78.03</v>
      </c>
      <c r="N49" s="59">
        <v>643.70000000000005</v>
      </c>
      <c r="O49" s="59">
        <v>0</v>
      </c>
      <c r="P49" s="59">
        <v>0.51</v>
      </c>
      <c r="Q49" s="59">
        <v>49.3</v>
      </c>
      <c r="R49" s="197"/>
      <c r="S49" s="197"/>
      <c r="T49" s="197"/>
      <c r="U49" s="197"/>
    </row>
    <row r="50" spans="1:21" s="12" customFormat="1" x14ac:dyDescent="0.25">
      <c r="A50" s="200" t="s">
        <v>2210</v>
      </c>
      <c r="B50" s="59">
        <v>9.68</v>
      </c>
      <c r="C50" s="59">
        <v>49.03</v>
      </c>
      <c r="D50" s="59">
        <v>36.56</v>
      </c>
      <c r="E50" s="59">
        <v>2.77</v>
      </c>
      <c r="F50" s="59">
        <v>1.91</v>
      </c>
      <c r="G50" s="59">
        <v>28.28</v>
      </c>
      <c r="H50" s="59">
        <v>14.1</v>
      </c>
      <c r="I50" s="59">
        <v>0.54</v>
      </c>
      <c r="J50" s="59">
        <v>2.12</v>
      </c>
      <c r="K50" s="59">
        <v>107.04</v>
      </c>
      <c r="L50" s="59">
        <v>19.22</v>
      </c>
      <c r="M50" s="59">
        <v>78.34</v>
      </c>
      <c r="N50" s="59">
        <v>437.4</v>
      </c>
      <c r="O50" s="59">
        <v>0</v>
      </c>
      <c r="P50" s="59">
        <v>0.49</v>
      </c>
      <c r="Q50" s="59">
        <v>47.19</v>
      </c>
      <c r="R50" s="197"/>
      <c r="S50" s="197"/>
      <c r="T50" s="197"/>
      <c r="U50" s="197"/>
    </row>
    <row r="51" spans="1:21" s="12" customFormat="1" x14ac:dyDescent="0.25">
      <c r="A51" s="200" t="s">
        <v>2211</v>
      </c>
      <c r="B51" s="59">
        <v>8.69</v>
      </c>
      <c r="C51" s="59">
        <v>49.27</v>
      </c>
      <c r="D51" s="59">
        <v>35.9</v>
      </c>
      <c r="E51" s="59">
        <v>2.76</v>
      </c>
      <c r="F51" s="59">
        <v>3.14</v>
      </c>
      <c r="G51" s="59">
        <v>28.28</v>
      </c>
      <c r="H51" s="59">
        <v>14.1</v>
      </c>
      <c r="I51" s="59">
        <v>0.53</v>
      </c>
      <c r="J51" s="59">
        <v>2.3199999999999998</v>
      </c>
      <c r="K51" s="59">
        <v>106.92</v>
      </c>
      <c r="L51" s="59">
        <v>19.690000000000001</v>
      </c>
      <c r="M51" s="59">
        <v>75.06</v>
      </c>
      <c r="N51" s="59">
        <v>832.3</v>
      </c>
      <c r="O51" s="59">
        <v>0</v>
      </c>
      <c r="P51" s="59">
        <v>0.47</v>
      </c>
      <c r="Q51" s="59">
        <v>47.24</v>
      </c>
      <c r="R51" s="197"/>
      <c r="S51" s="197"/>
      <c r="T51" s="197"/>
      <c r="U51" s="197"/>
    </row>
    <row r="52" spans="1:21" s="12" customFormat="1" x14ac:dyDescent="0.25">
      <c r="A52" s="200" t="s">
        <v>2212</v>
      </c>
      <c r="B52" s="59">
        <v>7.77</v>
      </c>
      <c r="C52" s="59">
        <v>48.4</v>
      </c>
      <c r="D52" s="59">
        <v>34.68</v>
      </c>
      <c r="E52" s="59">
        <v>2.65</v>
      </c>
      <c r="F52" s="59">
        <v>2.34</v>
      </c>
      <c r="G52" s="59">
        <v>28.28</v>
      </c>
      <c r="H52" s="59">
        <v>14.1</v>
      </c>
      <c r="I52" s="59">
        <v>0.53</v>
      </c>
      <c r="J52" s="59">
        <v>2.2799999999999998</v>
      </c>
      <c r="K52" s="59">
        <v>116.12</v>
      </c>
      <c r="L52" s="59">
        <v>20.51</v>
      </c>
      <c r="M52" s="59">
        <v>72.08</v>
      </c>
      <c r="N52" s="59">
        <v>775.4</v>
      </c>
      <c r="O52" s="59">
        <v>0</v>
      </c>
      <c r="P52" s="59">
        <v>0.46</v>
      </c>
      <c r="Q52" s="59">
        <v>47.33</v>
      </c>
      <c r="R52" s="197"/>
      <c r="S52" s="197"/>
      <c r="T52" s="197"/>
      <c r="U52" s="197"/>
    </row>
    <row r="53" spans="1:21" s="12" customFormat="1" x14ac:dyDescent="0.25">
      <c r="A53" s="200" t="s">
        <v>2213</v>
      </c>
      <c r="B53" s="59">
        <v>6.95</v>
      </c>
      <c r="C53" s="59">
        <v>48.46</v>
      </c>
      <c r="D53" s="59">
        <v>34.06</v>
      </c>
      <c r="E53" s="59">
        <v>2.7</v>
      </c>
      <c r="F53" s="59">
        <v>2.84</v>
      </c>
      <c r="G53" s="59">
        <v>28.15</v>
      </c>
      <c r="H53" s="59">
        <v>14.08</v>
      </c>
      <c r="I53" s="59">
        <v>0.54</v>
      </c>
      <c r="J53" s="59">
        <v>2.1</v>
      </c>
      <c r="K53" s="59">
        <v>114.24</v>
      </c>
      <c r="L53" s="59">
        <v>21.14</v>
      </c>
      <c r="M53" s="59">
        <v>67.459999999999994</v>
      </c>
      <c r="N53" s="59">
        <v>872</v>
      </c>
      <c r="O53" s="59">
        <v>0</v>
      </c>
      <c r="P53" s="59">
        <v>0.45</v>
      </c>
      <c r="Q53" s="59">
        <v>45.66</v>
      </c>
      <c r="R53" s="197"/>
      <c r="S53" s="197"/>
      <c r="T53" s="197"/>
      <c r="U53" s="197"/>
    </row>
    <row r="54" spans="1:21" s="12" customFormat="1" x14ac:dyDescent="0.25">
      <c r="A54" s="200" t="s">
        <v>2214</v>
      </c>
      <c r="B54" s="59">
        <v>6.22</v>
      </c>
      <c r="C54" s="59">
        <v>50.76</v>
      </c>
      <c r="D54" s="59">
        <v>34.75</v>
      </c>
      <c r="E54" s="59">
        <v>2.4900000000000002</v>
      </c>
      <c r="F54" s="59">
        <v>3.45</v>
      </c>
      <c r="G54" s="59">
        <v>17.18</v>
      </c>
      <c r="H54" s="59">
        <v>12.66</v>
      </c>
      <c r="I54" s="59">
        <v>0.51</v>
      </c>
      <c r="J54" s="59">
        <v>1.49</v>
      </c>
      <c r="K54" s="59">
        <v>107.83</v>
      </c>
      <c r="L54" s="59">
        <v>22.13</v>
      </c>
      <c r="M54" s="59">
        <v>64.290000000000006</v>
      </c>
      <c r="N54" s="59">
        <v>879.2</v>
      </c>
      <c r="O54" s="59">
        <v>0</v>
      </c>
      <c r="P54" s="59">
        <v>0.42</v>
      </c>
      <c r="Q54" s="59">
        <v>46.08</v>
      </c>
      <c r="R54" s="197"/>
      <c r="S54" s="197"/>
      <c r="T54" s="197"/>
      <c r="U54" s="197"/>
    </row>
    <row r="55" spans="1:21" s="12" customFormat="1" x14ac:dyDescent="0.25">
      <c r="A55" s="200" t="s">
        <v>2215</v>
      </c>
      <c r="B55" s="59">
        <v>5.96</v>
      </c>
      <c r="C55" s="59">
        <v>47.08</v>
      </c>
      <c r="D55" s="59">
        <v>32.5</v>
      </c>
      <c r="E55" s="59">
        <v>2.5499999999999998</v>
      </c>
      <c r="F55" s="59">
        <v>3.85</v>
      </c>
      <c r="G55" s="59">
        <v>17.18</v>
      </c>
      <c r="H55" s="59">
        <v>12.66</v>
      </c>
      <c r="I55" s="59">
        <v>0.51</v>
      </c>
      <c r="J55" s="59">
        <v>0.82</v>
      </c>
      <c r="K55" s="59">
        <v>112.6</v>
      </c>
      <c r="L55" s="59">
        <v>23.02</v>
      </c>
      <c r="M55" s="59">
        <v>62.19</v>
      </c>
      <c r="N55" s="59">
        <v>855.8</v>
      </c>
      <c r="O55" s="59">
        <v>0</v>
      </c>
      <c r="P55" s="59">
        <v>0.4</v>
      </c>
      <c r="Q55" s="59">
        <v>47.5</v>
      </c>
      <c r="R55" s="197"/>
      <c r="S55" s="197"/>
      <c r="T55" s="197"/>
      <c r="U55" s="197"/>
    </row>
    <row r="56" spans="1:21" s="12" customFormat="1" x14ac:dyDescent="0.25">
      <c r="A56" s="200" t="s">
        <v>2216</v>
      </c>
      <c r="B56" s="59">
        <v>5.64</v>
      </c>
      <c r="C56" s="59">
        <v>46.95</v>
      </c>
      <c r="D56" s="59">
        <v>32.18</v>
      </c>
      <c r="E56" s="59">
        <v>1.19</v>
      </c>
      <c r="F56" s="59">
        <v>4.03</v>
      </c>
      <c r="G56" s="59">
        <v>17.18</v>
      </c>
      <c r="H56" s="59">
        <v>12.66</v>
      </c>
      <c r="I56" s="59">
        <v>0.53</v>
      </c>
      <c r="J56" s="59">
        <v>1.06</v>
      </c>
      <c r="K56" s="59">
        <v>120.7</v>
      </c>
      <c r="L56" s="59">
        <v>23.12</v>
      </c>
      <c r="M56" s="59">
        <v>61.49</v>
      </c>
      <c r="N56" s="59">
        <v>731.7</v>
      </c>
      <c r="O56" s="59">
        <v>0</v>
      </c>
      <c r="P56" s="59">
        <v>0.39</v>
      </c>
      <c r="Q56" s="59">
        <v>46.17</v>
      </c>
      <c r="R56" s="197"/>
      <c r="S56" s="197"/>
      <c r="T56" s="197"/>
      <c r="U56" s="197"/>
    </row>
    <row r="57" spans="1:21" s="12" customFormat="1" x14ac:dyDescent="0.25">
      <c r="A57" s="200" t="s">
        <v>2217</v>
      </c>
      <c r="B57" s="59">
        <v>5.34</v>
      </c>
      <c r="C57" s="59">
        <v>49.85</v>
      </c>
      <c r="D57" s="59">
        <v>33.53</v>
      </c>
      <c r="E57" s="59">
        <v>1.88</v>
      </c>
      <c r="F57" s="59">
        <v>3.96</v>
      </c>
      <c r="G57" s="59">
        <v>17.079999999999998</v>
      </c>
      <c r="H57" s="59">
        <v>12.65</v>
      </c>
      <c r="I57" s="59">
        <v>0.53</v>
      </c>
      <c r="J57" s="59">
        <v>0.49</v>
      </c>
      <c r="K57" s="59">
        <v>132.19</v>
      </c>
      <c r="L57" s="59">
        <v>23.8</v>
      </c>
      <c r="M57" s="59">
        <v>60.59</v>
      </c>
      <c r="N57" s="59">
        <v>881.9</v>
      </c>
      <c r="O57" s="59">
        <v>0</v>
      </c>
      <c r="P57" s="59">
        <v>0.38</v>
      </c>
      <c r="Q57" s="59">
        <v>48.07</v>
      </c>
      <c r="R57" s="197"/>
      <c r="S57" s="197"/>
      <c r="T57" s="197"/>
      <c r="U57" s="197"/>
    </row>
    <row r="58" spans="1:21" s="12" customFormat="1" x14ac:dyDescent="0.25">
      <c r="A58" s="200" t="s">
        <v>2218</v>
      </c>
      <c r="B58" s="59">
        <v>5.05</v>
      </c>
      <c r="C58" s="59">
        <v>43.7</v>
      </c>
      <c r="D58" s="59">
        <v>29.91</v>
      </c>
      <c r="E58" s="59">
        <v>1.54</v>
      </c>
      <c r="F58" s="59">
        <v>3.21</v>
      </c>
      <c r="G58" s="210" t="s">
        <v>43</v>
      </c>
      <c r="H58" s="210" t="s">
        <v>43</v>
      </c>
      <c r="I58" s="59">
        <v>0.52</v>
      </c>
      <c r="J58" s="59">
        <v>0.93</v>
      </c>
      <c r="K58" s="59">
        <v>132.35</v>
      </c>
      <c r="L58" s="59">
        <v>24.13</v>
      </c>
      <c r="M58" s="59">
        <v>58.3</v>
      </c>
      <c r="N58" s="59">
        <v>891.3</v>
      </c>
      <c r="O58" s="59">
        <v>0</v>
      </c>
      <c r="P58" s="59">
        <v>0.36</v>
      </c>
      <c r="Q58" s="59">
        <v>47.5</v>
      </c>
      <c r="R58" s="197"/>
      <c r="S58" s="197"/>
      <c r="T58" s="197"/>
      <c r="U58" s="197"/>
    </row>
    <row r="59" spans="1:21" s="12" customFormat="1" x14ac:dyDescent="0.25">
      <c r="A59" s="200" t="s">
        <v>2219</v>
      </c>
      <c r="B59" s="59">
        <v>4.76</v>
      </c>
      <c r="C59" s="59">
        <v>46.63</v>
      </c>
      <c r="D59" s="59">
        <v>31.29</v>
      </c>
      <c r="E59" s="59">
        <v>1.58</v>
      </c>
      <c r="F59" s="59">
        <v>2.83</v>
      </c>
      <c r="G59" s="210" t="s">
        <v>43</v>
      </c>
      <c r="H59" s="210" t="s">
        <v>43</v>
      </c>
      <c r="I59" s="59">
        <v>0.52</v>
      </c>
      <c r="J59" s="59">
        <v>1.01</v>
      </c>
      <c r="K59" s="59">
        <v>185.83</v>
      </c>
      <c r="L59" s="59">
        <v>24.36</v>
      </c>
      <c r="M59" s="59">
        <v>55.09</v>
      </c>
      <c r="N59" s="59">
        <v>847.6</v>
      </c>
      <c r="O59" s="59">
        <v>0</v>
      </c>
      <c r="P59" s="59">
        <v>0.37</v>
      </c>
      <c r="Q59" s="59">
        <v>49.08</v>
      </c>
      <c r="R59" s="197"/>
      <c r="S59" s="197"/>
      <c r="T59" s="197"/>
      <c r="U59" s="197"/>
    </row>
    <row r="60" spans="1:21" s="12" customFormat="1" x14ac:dyDescent="0.25">
      <c r="A60" s="200" t="s">
        <v>2220</v>
      </c>
      <c r="B60" s="59">
        <v>4.25</v>
      </c>
      <c r="C60" s="59">
        <v>43.86</v>
      </c>
      <c r="D60" s="59">
        <v>29.36</v>
      </c>
      <c r="E60" s="59">
        <v>1.62</v>
      </c>
      <c r="F60" s="59">
        <v>4.22</v>
      </c>
      <c r="G60" s="210" t="s">
        <v>43</v>
      </c>
      <c r="H60" s="210" t="s">
        <v>43</v>
      </c>
      <c r="I60" s="59">
        <v>0.52</v>
      </c>
      <c r="J60" s="59">
        <v>0.82</v>
      </c>
      <c r="K60" s="59">
        <v>118.46</v>
      </c>
      <c r="L60" s="59">
        <v>24.28</v>
      </c>
      <c r="M60" s="59">
        <v>54.46</v>
      </c>
      <c r="N60" s="59">
        <v>741.4</v>
      </c>
      <c r="O60" s="59">
        <v>0</v>
      </c>
      <c r="P60" s="59">
        <v>0.35</v>
      </c>
      <c r="Q60" s="59">
        <v>46.59</v>
      </c>
      <c r="R60" s="197"/>
      <c r="S60" s="197"/>
      <c r="T60" s="197"/>
      <c r="U60" s="197"/>
    </row>
    <row r="61" spans="1:21" s="12" customFormat="1" x14ac:dyDescent="0.25">
      <c r="A61" s="200" t="s">
        <v>2221</v>
      </c>
      <c r="B61" s="59">
        <v>4.08</v>
      </c>
      <c r="C61" s="59">
        <v>41.93</v>
      </c>
      <c r="D61" s="59">
        <v>28.15</v>
      </c>
      <c r="E61" s="59">
        <v>1.1299999999999999</v>
      </c>
      <c r="F61" s="59">
        <v>3.72</v>
      </c>
      <c r="G61" s="210" t="s">
        <v>43</v>
      </c>
      <c r="H61" s="210" t="s">
        <v>43</v>
      </c>
      <c r="I61" s="59">
        <v>0.53</v>
      </c>
      <c r="J61" s="59">
        <v>0.67</v>
      </c>
      <c r="K61" s="59">
        <v>146.94999999999999</v>
      </c>
      <c r="L61" s="59">
        <v>24.81</v>
      </c>
      <c r="M61" s="59">
        <v>54.4</v>
      </c>
      <c r="N61" s="59">
        <v>826.9</v>
      </c>
      <c r="O61" s="59">
        <v>0</v>
      </c>
      <c r="P61" s="59">
        <v>0.33</v>
      </c>
      <c r="Q61" s="59">
        <v>50.25</v>
      </c>
      <c r="R61" s="197"/>
      <c r="S61" s="197"/>
      <c r="T61" s="197"/>
      <c r="U61" s="197"/>
    </row>
    <row r="62" spans="1:21" s="12" customFormat="1" x14ac:dyDescent="0.25">
      <c r="A62" s="200" t="s">
        <v>2222</v>
      </c>
      <c r="B62" s="59">
        <v>4.08</v>
      </c>
      <c r="C62" s="59">
        <v>46.8</v>
      </c>
      <c r="D62" s="59">
        <v>30.84</v>
      </c>
      <c r="E62" s="59">
        <v>1.29</v>
      </c>
      <c r="F62" s="59">
        <v>4.01</v>
      </c>
      <c r="G62" s="210" t="s">
        <v>43</v>
      </c>
      <c r="H62" s="210" t="s">
        <v>43</v>
      </c>
      <c r="I62" s="59">
        <v>0.53</v>
      </c>
      <c r="J62" s="59">
        <v>0.88</v>
      </c>
      <c r="K62" s="59">
        <v>169.4</v>
      </c>
      <c r="L62" s="59">
        <v>25.28</v>
      </c>
      <c r="M62" s="59">
        <v>53.32</v>
      </c>
      <c r="N62" s="59">
        <v>834</v>
      </c>
      <c r="O62" s="59">
        <v>0</v>
      </c>
      <c r="P62" s="59">
        <v>0.34</v>
      </c>
      <c r="Q62" s="59">
        <v>44.9</v>
      </c>
      <c r="R62" s="197"/>
      <c r="S62" s="197"/>
      <c r="T62" s="197"/>
      <c r="U62" s="197"/>
    </row>
    <row r="63" spans="1:21" s="12" customFormat="1" x14ac:dyDescent="0.25">
      <c r="A63" s="200" t="s">
        <v>2223</v>
      </c>
      <c r="B63" s="59">
        <v>4.09</v>
      </c>
      <c r="C63" s="59">
        <v>48.42</v>
      </c>
      <c r="D63" s="59">
        <v>31.74</v>
      </c>
      <c r="E63" s="59">
        <v>1.41</v>
      </c>
      <c r="F63" s="59">
        <v>3.74</v>
      </c>
      <c r="G63" s="210" t="s">
        <v>43</v>
      </c>
      <c r="H63" s="210" t="s">
        <v>43</v>
      </c>
      <c r="I63" s="59">
        <v>0.53</v>
      </c>
      <c r="J63" s="59">
        <v>0.28000000000000003</v>
      </c>
      <c r="K63" s="59">
        <v>161.69</v>
      </c>
      <c r="L63" s="59">
        <v>25.93</v>
      </c>
      <c r="M63" s="59">
        <v>52.42</v>
      </c>
      <c r="N63" s="59">
        <v>708.6</v>
      </c>
      <c r="O63" s="59">
        <v>0</v>
      </c>
      <c r="P63" s="59">
        <v>0.34</v>
      </c>
      <c r="Q63" s="59">
        <v>44.29</v>
      </c>
      <c r="R63" s="197"/>
      <c r="S63" s="197"/>
      <c r="T63" s="197"/>
      <c r="U63" s="197"/>
    </row>
    <row r="64" spans="1:21" s="12" customFormat="1" x14ac:dyDescent="0.25">
      <c r="A64" s="200" t="s">
        <v>2224</v>
      </c>
      <c r="B64" s="59">
        <v>4.25</v>
      </c>
      <c r="C64" s="59">
        <v>38.96</v>
      </c>
      <c r="D64" s="59">
        <v>26.65</v>
      </c>
      <c r="E64" s="59">
        <v>1.79</v>
      </c>
      <c r="F64" s="59">
        <v>5.86</v>
      </c>
      <c r="G64" s="210" t="s">
        <v>43</v>
      </c>
      <c r="H64" s="210" t="s">
        <v>43</v>
      </c>
      <c r="I64" s="59">
        <v>0.52</v>
      </c>
      <c r="J64" s="59">
        <v>0.7</v>
      </c>
      <c r="K64" s="59">
        <v>201.92</v>
      </c>
      <c r="L64" s="59">
        <v>25.92</v>
      </c>
      <c r="M64" s="59">
        <v>51.93</v>
      </c>
      <c r="N64" s="59">
        <v>748.9</v>
      </c>
      <c r="O64" s="59">
        <v>0</v>
      </c>
      <c r="P64" s="59">
        <v>0.33</v>
      </c>
      <c r="Q64" s="59">
        <v>47.93</v>
      </c>
      <c r="R64" s="197"/>
      <c r="S64" s="197"/>
      <c r="T64" s="197"/>
      <c r="U64" s="197"/>
    </row>
    <row r="65" spans="1:21" s="12" customFormat="1" x14ac:dyDescent="0.25">
      <c r="A65" s="200" t="s">
        <v>2225</v>
      </c>
      <c r="B65" s="59">
        <v>4.42</v>
      </c>
      <c r="C65" s="59">
        <v>38.28</v>
      </c>
      <c r="D65" s="59">
        <v>26.41</v>
      </c>
      <c r="E65" s="59">
        <v>1.85</v>
      </c>
      <c r="F65" s="59">
        <v>4.5</v>
      </c>
      <c r="G65" s="210" t="s">
        <v>43</v>
      </c>
      <c r="H65" s="210" t="s">
        <v>43</v>
      </c>
      <c r="I65" s="59">
        <v>0.52</v>
      </c>
      <c r="J65" s="59">
        <v>0.32</v>
      </c>
      <c r="K65" s="59">
        <v>356.95</v>
      </c>
      <c r="L65" s="59">
        <v>27.56</v>
      </c>
      <c r="M65" s="59">
        <v>49.52</v>
      </c>
      <c r="N65" s="59">
        <v>645.1</v>
      </c>
      <c r="O65" s="59">
        <v>0</v>
      </c>
      <c r="P65" s="59">
        <v>0.33</v>
      </c>
      <c r="Q65" s="59">
        <v>41.32</v>
      </c>
      <c r="R65" s="197"/>
      <c r="S65" s="197"/>
      <c r="T65" s="197"/>
      <c r="U65" s="197"/>
    </row>
    <row r="66" spans="1:21" s="12" customFormat="1" x14ac:dyDescent="0.25">
      <c r="A66" s="200" t="s">
        <v>2226</v>
      </c>
      <c r="B66" s="59">
        <v>4.8099999999999996</v>
      </c>
      <c r="C66" s="59">
        <v>46.66</v>
      </c>
      <c r="D66" s="59">
        <v>31.35</v>
      </c>
      <c r="E66" s="59">
        <v>1.71</v>
      </c>
      <c r="F66" s="59">
        <v>3.81</v>
      </c>
      <c r="G66" s="59">
        <v>22.6</v>
      </c>
      <c r="H66" s="59">
        <v>11.65</v>
      </c>
      <c r="I66" s="59">
        <v>0.5</v>
      </c>
      <c r="J66" s="59">
        <v>0.37</v>
      </c>
      <c r="K66" s="59">
        <v>223.94</v>
      </c>
      <c r="L66" s="59">
        <v>26.99</v>
      </c>
      <c r="M66" s="59">
        <v>49.22</v>
      </c>
      <c r="N66" s="59">
        <v>615.20000000000005</v>
      </c>
      <c r="O66" s="59">
        <v>0</v>
      </c>
      <c r="P66" s="59">
        <v>0.34</v>
      </c>
      <c r="Q66" s="59">
        <v>41.93</v>
      </c>
      <c r="R66" s="197"/>
      <c r="S66" s="197"/>
      <c r="T66" s="197"/>
      <c r="U66" s="197"/>
    </row>
    <row r="67" spans="1:21" s="12" customFormat="1" x14ac:dyDescent="0.25">
      <c r="A67" s="200" t="s">
        <v>2227</v>
      </c>
      <c r="B67" s="59">
        <v>4.53</v>
      </c>
      <c r="C67" s="59">
        <v>43.8</v>
      </c>
      <c r="D67" s="59">
        <v>29.55</v>
      </c>
      <c r="E67" s="59">
        <v>2.44</v>
      </c>
      <c r="F67" s="59">
        <v>8.41</v>
      </c>
      <c r="G67" s="59">
        <v>22.6</v>
      </c>
      <c r="H67" s="59">
        <v>11.65</v>
      </c>
      <c r="I67" s="59">
        <v>0.5</v>
      </c>
      <c r="J67" s="59">
        <v>0.43</v>
      </c>
      <c r="K67" s="59">
        <v>9.6999999999999993</v>
      </c>
      <c r="L67" s="59">
        <v>27.35</v>
      </c>
      <c r="M67" s="59">
        <v>48.94</v>
      </c>
      <c r="N67" s="59">
        <v>484.6</v>
      </c>
      <c r="O67" s="59">
        <v>0</v>
      </c>
      <c r="P67" s="59">
        <v>0.35</v>
      </c>
      <c r="Q67" s="59">
        <v>43.78</v>
      </c>
      <c r="R67" s="197"/>
      <c r="S67" s="197"/>
      <c r="T67" s="197"/>
      <c r="U67" s="197"/>
    </row>
    <row r="68" spans="1:21" s="12" customFormat="1" x14ac:dyDescent="0.25">
      <c r="A68" s="200" t="s">
        <v>2228</v>
      </c>
      <c r="B68" s="59">
        <v>5.1100000000000003</v>
      </c>
      <c r="C68" s="59">
        <v>51.7</v>
      </c>
      <c r="D68" s="59">
        <v>34.369999999999997</v>
      </c>
      <c r="E68" s="59">
        <v>1.74</v>
      </c>
      <c r="F68" s="59">
        <v>6.2</v>
      </c>
      <c r="G68" s="59">
        <v>22.6</v>
      </c>
      <c r="H68" s="59">
        <v>11.65</v>
      </c>
      <c r="I68" s="59">
        <v>0.53</v>
      </c>
      <c r="J68" s="59">
        <v>0.32</v>
      </c>
      <c r="K68" s="59">
        <v>250.85</v>
      </c>
      <c r="L68" s="59">
        <v>26.68</v>
      </c>
      <c r="M68" s="59">
        <v>49.98</v>
      </c>
      <c r="N68" s="59">
        <v>447.2</v>
      </c>
      <c r="O68" s="59">
        <v>0</v>
      </c>
      <c r="P68" s="59">
        <v>0.36</v>
      </c>
      <c r="Q68" s="59">
        <v>39.17</v>
      </c>
      <c r="R68" s="197"/>
      <c r="S68" s="197"/>
      <c r="T68" s="197"/>
      <c r="U68" s="197"/>
    </row>
    <row r="69" spans="1:21" s="12" customFormat="1" x14ac:dyDescent="0.25">
      <c r="A69" s="200" t="s">
        <v>2229</v>
      </c>
      <c r="B69" s="59">
        <v>6.31</v>
      </c>
      <c r="C69" s="59">
        <v>45.84</v>
      </c>
      <c r="D69" s="59">
        <v>32.1</v>
      </c>
      <c r="E69" s="59">
        <v>1.95</v>
      </c>
      <c r="F69" s="59">
        <v>6.71</v>
      </c>
      <c r="G69" s="59">
        <v>22.74</v>
      </c>
      <c r="H69" s="59">
        <v>11.65</v>
      </c>
      <c r="I69" s="59">
        <v>0.5</v>
      </c>
      <c r="J69" s="59">
        <v>0.04</v>
      </c>
      <c r="K69" s="59">
        <v>202.06</v>
      </c>
      <c r="L69" s="59">
        <v>26.47</v>
      </c>
      <c r="M69" s="59">
        <v>50.63</v>
      </c>
      <c r="N69" s="59">
        <v>337.7</v>
      </c>
      <c r="O69" s="59">
        <v>0</v>
      </c>
      <c r="P69" s="59">
        <v>0.36</v>
      </c>
      <c r="Q69" s="59">
        <v>39.14</v>
      </c>
      <c r="R69" s="197"/>
      <c r="S69" s="197"/>
      <c r="T69" s="197"/>
      <c r="U69" s="197"/>
    </row>
    <row r="70" spans="1:21" s="12" customFormat="1" x14ac:dyDescent="0.25">
      <c r="A70" s="200" t="s">
        <v>2230</v>
      </c>
      <c r="B70" s="59">
        <v>4.99</v>
      </c>
      <c r="C70" s="59">
        <v>59.82</v>
      </c>
      <c r="D70" s="59">
        <v>38.75</v>
      </c>
      <c r="E70" s="59">
        <v>1.68</v>
      </c>
      <c r="F70" s="59">
        <v>5.99</v>
      </c>
      <c r="G70" s="59">
        <v>35.14</v>
      </c>
      <c r="H70" s="59">
        <v>11.5</v>
      </c>
      <c r="I70" s="59">
        <v>0.51</v>
      </c>
      <c r="J70" s="59">
        <v>0.31</v>
      </c>
      <c r="K70" s="59">
        <v>196.34</v>
      </c>
      <c r="L70" s="59">
        <v>26.69</v>
      </c>
      <c r="M70" s="59">
        <v>50.81</v>
      </c>
      <c r="N70" s="59">
        <v>333.6</v>
      </c>
      <c r="O70" s="59">
        <v>0</v>
      </c>
      <c r="P70" s="59">
        <v>0.37</v>
      </c>
      <c r="Q70" s="59">
        <v>40.590000000000003</v>
      </c>
      <c r="R70" s="197"/>
      <c r="S70" s="197"/>
      <c r="T70" s="197"/>
      <c r="U70" s="197"/>
    </row>
    <row r="71" spans="1:21" s="12" customFormat="1" x14ac:dyDescent="0.25">
      <c r="A71" s="200" t="s">
        <v>2231</v>
      </c>
      <c r="B71" s="59">
        <v>4.7</v>
      </c>
      <c r="C71" s="59">
        <v>40.32</v>
      </c>
      <c r="D71" s="59">
        <v>27.77</v>
      </c>
      <c r="E71" s="59">
        <v>1.99</v>
      </c>
      <c r="F71" s="59">
        <v>7.69</v>
      </c>
      <c r="G71" s="59">
        <v>35.14</v>
      </c>
      <c r="H71" s="59">
        <v>11.5</v>
      </c>
      <c r="I71" s="59">
        <v>0.51</v>
      </c>
      <c r="J71" s="59">
        <v>0.64</v>
      </c>
      <c r="K71" s="59">
        <v>175.48</v>
      </c>
      <c r="L71" s="59">
        <v>25.65</v>
      </c>
      <c r="M71" s="59">
        <v>52.73</v>
      </c>
      <c r="N71" s="59">
        <v>332.6</v>
      </c>
      <c r="O71" s="59">
        <v>0</v>
      </c>
      <c r="P71" s="59">
        <v>0.35</v>
      </c>
      <c r="Q71" s="59">
        <v>45.73</v>
      </c>
      <c r="R71" s="197"/>
      <c r="S71" s="197"/>
      <c r="T71" s="197"/>
      <c r="U71" s="197"/>
    </row>
    <row r="72" spans="1:21" s="12" customFormat="1" x14ac:dyDescent="0.25">
      <c r="A72" s="200" t="s">
        <v>2232</v>
      </c>
      <c r="B72" s="59">
        <v>4.7</v>
      </c>
      <c r="C72" s="59">
        <v>34.44</v>
      </c>
      <c r="D72" s="59">
        <v>24.52</v>
      </c>
      <c r="E72" s="59">
        <v>0.92</v>
      </c>
      <c r="F72" s="59">
        <v>6.7</v>
      </c>
      <c r="G72" s="59">
        <v>35.14</v>
      </c>
      <c r="H72" s="59">
        <v>11.5</v>
      </c>
      <c r="I72" s="59">
        <v>0.52</v>
      </c>
      <c r="J72" s="59">
        <v>0.33</v>
      </c>
      <c r="K72" s="59">
        <v>220.37</v>
      </c>
      <c r="L72" s="59">
        <v>26.05</v>
      </c>
      <c r="M72" s="59">
        <v>51.52</v>
      </c>
      <c r="N72" s="59">
        <v>282.2</v>
      </c>
      <c r="O72" s="59">
        <v>0</v>
      </c>
      <c r="P72" s="59">
        <v>0.36</v>
      </c>
      <c r="Q72" s="59">
        <v>44.62</v>
      </c>
      <c r="R72" s="197"/>
      <c r="S72" s="197"/>
      <c r="T72" s="197"/>
      <c r="U72" s="197"/>
    </row>
    <row r="73" spans="1:21" s="12" customFormat="1" x14ac:dyDescent="0.25">
      <c r="A73" s="200" t="s">
        <v>2233</v>
      </c>
      <c r="B73" s="59">
        <v>4.46</v>
      </c>
      <c r="C73" s="59">
        <v>31.52</v>
      </c>
      <c r="D73" s="59">
        <v>22.72</v>
      </c>
      <c r="E73" s="59">
        <v>1.65</v>
      </c>
      <c r="F73" s="59">
        <v>7.23</v>
      </c>
      <c r="G73" s="59">
        <v>35.15</v>
      </c>
      <c r="H73" s="59">
        <v>11.48</v>
      </c>
      <c r="I73" s="59">
        <v>0.52</v>
      </c>
      <c r="J73" s="59">
        <v>0.7</v>
      </c>
      <c r="K73" s="59">
        <v>194.53</v>
      </c>
      <c r="L73" s="59">
        <v>25.59</v>
      </c>
      <c r="M73" s="59">
        <v>52.92</v>
      </c>
      <c r="N73" s="59">
        <v>254.4</v>
      </c>
      <c r="O73" s="59">
        <v>0</v>
      </c>
      <c r="P73" s="59">
        <v>0.36</v>
      </c>
      <c r="Q73" s="59">
        <v>46.2</v>
      </c>
      <c r="R73" s="197"/>
      <c r="S73" s="197"/>
      <c r="T73" s="197"/>
      <c r="U73" s="197"/>
    </row>
    <row r="74" spans="1:21" s="12" customFormat="1" x14ac:dyDescent="0.25">
      <c r="A74" s="200" t="s">
        <v>2234</v>
      </c>
      <c r="B74" s="59">
        <v>4.16</v>
      </c>
      <c r="C74" s="59">
        <v>37.36</v>
      </c>
      <c r="D74" s="59">
        <v>25.69</v>
      </c>
      <c r="E74" s="59">
        <v>1.7</v>
      </c>
      <c r="F74" s="59">
        <v>6.04</v>
      </c>
      <c r="G74" s="59">
        <v>35.840000000000003</v>
      </c>
      <c r="H74" s="59">
        <v>9.6300000000000008</v>
      </c>
      <c r="I74" s="59">
        <v>0.53</v>
      </c>
      <c r="J74" s="59">
        <v>0.54</v>
      </c>
      <c r="K74" s="59">
        <v>180.45</v>
      </c>
      <c r="L74" s="59">
        <v>25.36</v>
      </c>
      <c r="M74" s="59">
        <v>52.5</v>
      </c>
      <c r="N74" s="59">
        <v>147</v>
      </c>
      <c r="O74" s="59">
        <v>0</v>
      </c>
      <c r="P74" s="59">
        <v>0.35</v>
      </c>
      <c r="Q74" s="59">
        <v>42.06</v>
      </c>
      <c r="R74" s="197"/>
      <c r="S74" s="197"/>
      <c r="T74" s="197"/>
      <c r="U74" s="197"/>
    </row>
    <row r="75" spans="1:21" s="12" customFormat="1" x14ac:dyDescent="0.25">
      <c r="A75" s="200" t="s">
        <v>2235</v>
      </c>
      <c r="B75" s="59">
        <v>4.05</v>
      </c>
      <c r="C75" s="59">
        <v>37.549999999999997</v>
      </c>
      <c r="D75" s="59">
        <v>25.71</v>
      </c>
      <c r="E75" s="59">
        <v>1.8</v>
      </c>
      <c r="F75" s="59">
        <v>9.08</v>
      </c>
      <c r="G75" s="59">
        <v>35.840000000000003</v>
      </c>
      <c r="H75" s="59">
        <v>9.6300000000000008</v>
      </c>
      <c r="I75" s="59">
        <v>0.52</v>
      </c>
      <c r="J75" s="59">
        <v>0.73</v>
      </c>
      <c r="K75" s="59">
        <v>172.43</v>
      </c>
      <c r="L75" s="59">
        <v>25.18</v>
      </c>
      <c r="M75" s="59">
        <v>53.44</v>
      </c>
      <c r="N75" s="59">
        <v>116.3</v>
      </c>
      <c r="O75" s="59">
        <v>0</v>
      </c>
      <c r="P75" s="59">
        <v>0.35</v>
      </c>
      <c r="Q75" s="59">
        <v>42.72</v>
      </c>
      <c r="R75" s="197"/>
      <c r="S75" s="197"/>
      <c r="T75" s="197"/>
      <c r="U75" s="197"/>
    </row>
    <row r="76" spans="1:21" s="12" customFormat="1" x14ac:dyDescent="0.25">
      <c r="A76" s="200" t="s">
        <v>2236</v>
      </c>
      <c r="B76" s="59">
        <v>3.91</v>
      </c>
      <c r="C76" s="59">
        <v>38.29</v>
      </c>
      <c r="D76" s="59">
        <v>26.01</v>
      </c>
      <c r="E76" s="59">
        <v>1.66</v>
      </c>
      <c r="F76" s="59">
        <v>7.37</v>
      </c>
      <c r="G76" s="59">
        <v>35.840000000000003</v>
      </c>
      <c r="H76" s="59">
        <v>9.6300000000000008</v>
      </c>
      <c r="I76" s="59">
        <v>0.53</v>
      </c>
      <c r="J76" s="59">
        <v>0.37</v>
      </c>
      <c r="K76" s="59">
        <v>213.02</v>
      </c>
      <c r="L76" s="59">
        <v>25.16</v>
      </c>
      <c r="M76" s="59">
        <v>51.4</v>
      </c>
      <c r="N76" s="59">
        <v>115.6</v>
      </c>
      <c r="O76" s="59">
        <v>0</v>
      </c>
      <c r="P76" s="59">
        <v>0.35</v>
      </c>
      <c r="Q76" s="59">
        <v>42.62</v>
      </c>
      <c r="R76" s="197"/>
      <c r="S76" s="197"/>
      <c r="T76" s="197"/>
      <c r="U76" s="197"/>
    </row>
    <row r="77" spans="1:21" s="12" customFormat="1" x14ac:dyDescent="0.25">
      <c r="A77" s="200" t="s">
        <v>2237</v>
      </c>
      <c r="B77" s="59">
        <v>3.85</v>
      </c>
      <c r="C77" s="59">
        <v>37.479999999999997</v>
      </c>
      <c r="D77" s="59">
        <v>25.51</v>
      </c>
      <c r="E77" s="59">
        <v>1.73</v>
      </c>
      <c r="F77" s="59">
        <v>7.82</v>
      </c>
      <c r="G77" s="59">
        <v>35.799999999999997</v>
      </c>
      <c r="H77" s="59">
        <v>9.65</v>
      </c>
      <c r="I77" s="59">
        <v>0.52</v>
      </c>
      <c r="J77" s="59">
        <v>0.67</v>
      </c>
      <c r="K77" s="59">
        <v>164.44</v>
      </c>
      <c r="L77" s="59">
        <v>24.98</v>
      </c>
      <c r="M77" s="59">
        <v>54.11</v>
      </c>
      <c r="N77" s="59">
        <v>74.099999999999994</v>
      </c>
      <c r="O77" s="59">
        <v>0</v>
      </c>
      <c r="P77" s="59">
        <v>0.35</v>
      </c>
      <c r="Q77" s="59">
        <v>43.84</v>
      </c>
      <c r="R77" s="197"/>
      <c r="S77" s="197"/>
      <c r="T77" s="197"/>
      <c r="U77" s="197"/>
    </row>
    <row r="78" spans="1:21" s="12" customFormat="1" x14ac:dyDescent="0.25">
      <c r="A78" s="200" t="s">
        <v>2238</v>
      </c>
      <c r="B78" s="59">
        <v>4.21</v>
      </c>
      <c r="C78" s="59">
        <v>59.34</v>
      </c>
      <c r="D78" s="59">
        <v>37.869999999999997</v>
      </c>
      <c r="E78" s="59">
        <v>1.51</v>
      </c>
      <c r="F78" s="59">
        <v>4.2699999999999996</v>
      </c>
      <c r="G78" s="59">
        <v>32.26</v>
      </c>
      <c r="H78" s="59">
        <v>10.96</v>
      </c>
      <c r="I78" s="59">
        <v>0.51</v>
      </c>
      <c r="J78" s="59">
        <v>1.37</v>
      </c>
      <c r="K78" s="59">
        <v>179.02</v>
      </c>
      <c r="L78" s="59">
        <v>24.45</v>
      </c>
      <c r="M78" s="59">
        <v>56.94</v>
      </c>
      <c r="N78" s="59">
        <v>39.1</v>
      </c>
      <c r="O78" s="59">
        <v>0</v>
      </c>
      <c r="P78" s="59">
        <v>0.36</v>
      </c>
      <c r="Q78" s="59">
        <v>40.340000000000003</v>
      </c>
      <c r="R78" s="197"/>
      <c r="S78" s="197"/>
      <c r="T78" s="197"/>
      <c r="U78" s="197"/>
    </row>
    <row r="79" spans="1:21" s="12" customFormat="1" x14ac:dyDescent="0.25">
      <c r="A79" s="200" t="s">
        <v>2239</v>
      </c>
      <c r="B79" s="59">
        <v>4.47</v>
      </c>
      <c r="C79" s="59">
        <v>57.8</v>
      </c>
      <c r="D79" s="59">
        <v>37.22</v>
      </c>
      <c r="E79" s="59">
        <v>1.67</v>
      </c>
      <c r="F79" s="59">
        <v>5.15</v>
      </c>
      <c r="G79" s="59">
        <v>32.26</v>
      </c>
      <c r="H79" s="59">
        <v>10.96</v>
      </c>
      <c r="I79" s="59">
        <v>0.52</v>
      </c>
      <c r="J79" s="59">
        <v>0.84</v>
      </c>
      <c r="K79" s="59">
        <v>192.68</v>
      </c>
      <c r="L79" s="59">
        <v>24.26</v>
      </c>
      <c r="M79" s="59">
        <v>57.45</v>
      </c>
      <c r="N79" s="59">
        <v>41.1</v>
      </c>
      <c r="O79" s="59">
        <v>0</v>
      </c>
      <c r="P79" s="59">
        <v>0.36</v>
      </c>
      <c r="Q79" s="59">
        <v>39.020000000000003</v>
      </c>
      <c r="R79" s="197"/>
      <c r="S79" s="197"/>
      <c r="T79" s="197"/>
      <c r="U79" s="197"/>
    </row>
    <row r="80" spans="1:21" s="12" customFormat="1" x14ac:dyDescent="0.25">
      <c r="A80" s="200" t="s">
        <v>2240</v>
      </c>
      <c r="B80" s="59">
        <v>4.51</v>
      </c>
      <c r="C80" s="59">
        <v>56.05</v>
      </c>
      <c r="D80" s="59">
        <v>36.29</v>
      </c>
      <c r="E80" s="59">
        <v>2.16</v>
      </c>
      <c r="F80" s="59">
        <v>13.91</v>
      </c>
      <c r="G80" s="59">
        <v>32.26</v>
      </c>
      <c r="H80" s="59">
        <v>10.96</v>
      </c>
      <c r="I80" s="59">
        <v>0.51</v>
      </c>
      <c r="J80" s="59">
        <v>0.16</v>
      </c>
      <c r="K80" s="59">
        <v>247.32</v>
      </c>
      <c r="L80" s="59">
        <v>24.14</v>
      </c>
      <c r="M80" s="59">
        <v>58.6</v>
      </c>
      <c r="N80" s="59">
        <v>20.2</v>
      </c>
      <c r="O80" s="59">
        <v>0</v>
      </c>
      <c r="P80" s="59">
        <v>0.36</v>
      </c>
      <c r="Q80" s="59">
        <v>39.590000000000003</v>
      </c>
      <c r="R80" s="197"/>
      <c r="S80" s="197"/>
      <c r="T80" s="197"/>
      <c r="U80" s="197"/>
    </row>
    <row r="81" spans="1:26" s="12" customFormat="1" x14ac:dyDescent="0.25">
      <c r="A81" s="200" t="s">
        <v>2241</v>
      </c>
      <c r="B81" s="59">
        <v>4.67</v>
      </c>
      <c r="C81" s="59">
        <v>54.44</v>
      </c>
      <c r="D81" s="59">
        <v>35.53</v>
      </c>
      <c r="E81" s="59">
        <v>2.31</v>
      </c>
      <c r="F81" s="59">
        <v>10.32</v>
      </c>
      <c r="G81" s="59">
        <v>32.229999999999997</v>
      </c>
      <c r="H81" s="59">
        <v>11</v>
      </c>
      <c r="I81" s="59">
        <v>0.52</v>
      </c>
      <c r="J81" s="59">
        <v>0.42</v>
      </c>
      <c r="K81" s="59">
        <v>235.73</v>
      </c>
      <c r="L81" s="59">
        <v>23.92</v>
      </c>
      <c r="M81" s="59">
        <v>59.94</v>
      </c>
      <c r="N81" s="59">
        <v>7.9</v>
      </c>
      <c r="O81" s="59">
        <v>0</v>
      </c>
      <c r="P81" s="59">
        <v>0.37</v>
      </c>
      <c r="Q81" s="59">
        <v>39.520000000000003</v>
      </c>
      <c r="R81" s="197"/>
      <c r="S81" s="197"/>
      <c r="T81" s="197"/>
      <c r="U81" s="197"/>
    </row>
    <row r="82" spans="1:26" s="12" customFormat="1" x14ac:dyDescent="0.25">
      <c r="A82" s="200" t="s">
        <v>2242</v>
      </c>
      <c r="B82" s="59">
        <v>5.26</v>
      </c>
      <c r="C82" s="59">
        <v>58.27</v>
      </c>
      <c r="D82" s="59">
        <v>38.11</v>
      </c>
      <c r="E82" s="59">
        <v>1.65</v>
      </c>
      <c r="F82" s="59">
        <v>7.07</v>
      </c>
      <c r="G82" s="59">
        <v>29.68</v>
      </c>
      <c r="H82" s="59">
        <v>14.02</v>
      </c>
      <c r="I82" s="59">
        <v>0.52</v>
      </c>
      <c r="J82" s="59">
        <v>0.56999999999999995</v>
      </c>
      <c r="K82" s="59">
        <v>240.68</v>
      </c>
      <c r="L82" s="59">
        <v>23.64</v>
      </c>
      <c r="M82" s="59">
        <v>62.66</v>
      </c>
      <c r="N82" s="59">
        <v>5.2</v>
      </c>
      <c r="O82" s="59">
        <v>0</v>
      </c>
      <c r="P82" s="59">
        <v>0.38</v>
      </c>
      <c r="Q82" s="59">
        <v>40.35</v>
      </c>
      <c r="R82" s="197"/>
      <c r="S82" s="197"/>
      <c r="T82" s="197"/>
      <c r="U82" s="197"/>
    </row>
    <row r="83" spans="1:26" s="12" customFormat="1" x14ac:dyDescent="0.25">
      <c r="A83" s="200" t="s">
        <v>2243</v>
      </c>
      <c r="B83" s="59">
        <v>5.7</v>
      </c>
      <c r="C83" s="59">
        <v>57.07</v>
      </c>
      <c r="D83" s="59">
        <v>37.81</v>
      </c>
      <c r="E83" s="59">
        <v>1.55</v>
      </c>
      <c r="F83" s="59">
        <v>5.83</v>
      </c>
      <c r="G83" s="59">
        <v>29.68</v>
      </c>
      <c r="H83" s="59">
        <v>14.02</v>
      </c>
      <c r="I83" s="59">
        <v>0.53</v>
      </c>
      <c r="J83" s="59">
        <v>0.57999999999999996</v>
      </c>
      <c r="K83" s="59">
        <v>224.86</v>
      </c>
      <c r="L83" s="59">
        <v>23.37</v>
      </c>
      <c r="M83" s="59">
        <v>63.15</v>
      </c>
      <c r="N83" s="59">
        <v>4.8</v>
      </c>
      <c r="O83" s="59">
        <v>0</v>
      </c>
      <c r="P83" s="59">
        <v>0.39</v>
      </c>
      <c r="Q83" s="59">
        <v>40.159999999999997</v>
      </c>
      <c r="R83" s="197"/>
      <c r="S83" s="197"/>
      <c r="T83" s="197"/>
      <c r="U83" s="197"/>
    </row>
    <row r="84" spans="1:26" s="12" customFormat="1" x14ac:dyDescent="0.25">
      <c r="A84" s="200" t="s">
        <v>2244</v>
      </c>
      <c r="B84" s="59">
        <v>6.15</v>
      </c>
      <c r="C84" s="59">
        <v>56.27</v>
      </c>
      <c r="D84" s="59">
        <v>37.72</v>
      </c>
      <c r="E84" s="59">
        <v>1.76</v>
      </c>
      <c r="F84" s="59">
        <v>4.7699999999999996</v>
      </c>
      <c r="G84" s="59">
        <v>29.68</v>
      </c>
      <c r="H84" s="59">
        <v>14.02</v>
      </c>
      <c r="I84" s="59">
        <v>0.54</v>
      </c>
      <c r="J84" s="59">
        <v>1.24</v>
      </c>
      <c r="K84" s="59">
        <v>187.36</v>
      </c>
      <c r="L84" s="59">
        <v>23.18</v>
      </c>
      <c r="M84" s="59">
        <v>65.78</v>
      </c>
      <c r="N84" s="59">
        <v>4.8</v>
      </c>
      <c r="O84" s="59">
        <v>0</v>
      </c>
      <c r="P84" s="59">
        <v>0.39</v>
      </c>
      <c r="Q84" s="59">
        <v>40.950000000000003</v>
      </c>
      <c r="R84" s="197"/>
      <c r="S84" s="197"/>
      <c r="T84" s="197"/>
      <c r="U84" s="197"/>
    </row>
    <row r="85" spans="1:26" s="12" customFormat="1" x14ac:dyDescent="0.25">
      <c r="A85" s="200" t="s">
        <v>2245</v>
      </c>
      <c r="B85" s="59">
        <v>6.44</v>
      </c>
      <c r="C85" s="59">
        <v>60.75</v>
      </c>
      <c r="D85" s="59">
        <v>40.44</v>
      </c>
      <c r="E85" s="59">
        <v>1.92</v>
      </c>
      <c r="F85" s="59">
        <v>4.22</v>
      </c>
      <c r="G85" s="59">
        <v>29.72</v>
      </c>
      <c r="H85" s="59">
        <v>13.97</v>
      </c>
      <c r="I85" s="59">
        <v>0.55000000000000004</v>
      </c>
      <c r="J85" s="59">
        <v>0.95</v>
      </c>
      <c r="K85" s="59">
        <v>184.34</v>
      </c>
      <c r="L85" s="59">
        <v>22.92</v>
      </c>
      <c r="M85" s="59">
        <v>68.27</v>
      </c>
      <c r="N85" s="59">
        <v>5</v>
      </c>
      <c r="O85" s="59">
        <v>0</v>
      </c>
      <c r="P85" s="59">
        <v>0.43</v>
      </c>
      <c r="Q85" s="59">
        <v>39.76</v>
      </c>
      <c r="R85" s="197"/>
      <c r="S85" s="197"/>
      <c r="T85" s="197"/>
      <c r="U85" s="197"/>
    </row>
    <row r="86" spans="1:26" s="12" customFormat="1" x14ac:dyDescent="0.25">
      <c r="A86" s="200" t="s">
        <v>2246</v>
      </c>
      <c r="B86" s="59">
        <v>6.58</v>
      </c>
      <c r="C86" s="59">
        <v>53.02</v>
      </c>
      <c r="D86" s="59">
        <v>36.28</v>
      </c>
      <c r="E86" s="59">
        <v>1.6</v>
      </c>
      <c r="F86" s="59">
        <v>3.45</v>
      </c>
      <c r="G86" s="59">
        <v>33.21</v>
      </c>
      <c r="H86" s="59">
        <v>11.07</v>
      </c>
      <c r="I86" s="59">
        <v>0.54</v>
      </c>
      <c r="J86" s="59">
        <v>0.86</v>
      </c>
      <c r="K86" s="59">
        <v>178.13</v>
      </c>
      <c r="L86" s="59">
        <v>22.78</v>
      </c>
      <c r="M86" s="59">
        <v>68.38</v>
      </c>
      <c r="N86" s="59">
        <v>5</v>
      </c>
      <c r="O86" s="59">
        <v>0</v>
      </c>
      <c r="P86" s="59">
        <v>0.45</v>
      </c>
      <c r="Q86" s="59">
        <v>45.85</v>
      </c>
      <c r="R86" s="197"/>
      <c r="S86" s="197"/>
      <c r="T86" s="197"/>
      <c r="U86" s="197"/>
    </row>
    <row r="87" spans="1:26" s="12" customFormat="1" x14ac:dyDescent="0.25">
      <c r="A87" s="200" t="s">
        <v>2247</v>
      </c>
      <c r="B87" s="59">
        <v>6.6</v>
      </c>
      <c r="C87" s="59">
        <v>48.61</v>
      </c>
      <c r="D87" s="59">
        <v>33.86</v>
      </c>
      <c r="E87" s="59">
        <v>1.42</v>
      </c>
      <c r="F87" s="59">
        <v>3.91</v>
      </c>
      <c r="G87" s="59">
        <v>33.21</v>
      </c>
      <c r="H87" s="59">
        <v>11.07</v>
      </c>
      <c r="I87" s="59">
        <v>0.55000000000000004</v>
      </c>
      <c r="J87" s="59">
        <v>0.34</v>
      </c>
      <c r="K87" s="59">
        <v>190.96</v>
      </c>
      <c r="L87" s="59">
        <v>22.56</v>
      </c>
      <c r="M87" s="59">
        <v>69.34</v>
      </c>
      <c r="N87" s="59">
        <v>5.2</v>
      </c>
      <c r="O87" s="59">
        <v>0</v>
      </c>
      <c r="P87" s="59">
        <v>0.45</v>
      </c>
      <c r="Q87" s="59">
        <v>46.42</v>
      </c>
      <c r="R87" s="197"/>
      <c r="S87" s="197"/>
      <c r="T87" s="197"/>
      <c r="U87" s="197"/>
    </row>
    <row r="88" spans="1:26" s="12" customFormat="1" x14ac:dyDescent="0.25">
      <c r="A88" s="200" t="s">
        <v>2248</v>
      </c>
      <c r="B88" s="59">
        <v>6.92</v>
      </c>
      <c r="C88" s="59">
        <v>48.51</v>
      </c>
      <c r="D88" s="59">
        <v>34.06</v>
      </c>
      <c r="E88" s="59">
        <v>1.52</v>
      </c>
      <c r="F88" s="59">
        <v>2.72</v>
      </c>
      <c r="G88" s="59">
        <v>33.21</v>
      </c>
      <c r="H88" s="59">
        <v>11.07</v>
      </c>
      <c r="I88" s="59">
        <v>0.54</v>
      </c>
      <c r="J88" s="59">
        <v>0.44</v>
      </c>
      <c r="K88" s="59">
        <v>176.15</v>
      </c>
      <c r="L88" s="59">
        <v>22.39</v>
      </c>
      <c r="M88" s="59">
        <v>70.23</v>
      </c>
      <c r="N88" s="59">
        <v>5.2</v>
      </c>
      <c r="O88" s="59">
        <v>0</v>
      </c>
      <c r="P88" s="59">
        <v>0.47</v>
      </c>
      <c r="Q88" s="59">
        <v>45.68</v>
      </c>
      <c r="R88" s="197"/>
      <c r="S88" s="197"/>
      <c r="T88" s="197"/>
      <c r="U88" s="197"/>
    </row>
    <row r="89" spans="1:26" s="12" customFormat="1" x14ac:dyDescent="0.25">
      <c r="A89" s="200" t="s">
        <v>2249</v>
      </c>
      <c r="B89" s="59">
        <v>7.22</v>
      </c>
      <c r="C89" s="59">
        <v>48.79</v>
      </c>
      <c r="D89" s="59">
        <v>34.450000000000003</v>
      </c>
      <c r="E89" s="59">
        <v>2.4700000000000002</v>
      </c>
      <c r="F89" s="59">
        <v>2.94</v>
      </c>
      <c r="G89" s="59">
        <v>33.200000000000003</v>
      </c>
      <c r="H89" s="59">
        <v>11.07</v>
      </c>
      <c r="I89" s="59">
        <v>0.54</v>
      </c>
      <c r="J89" s="59">
        <v>0.3</v>
      </c>
      <c r="K89" s="59">
        <v>92.14</v>
      </c>
      <c r="L89" s="59">
        <v>22.12</v>
      </c>
      <c r="M89" s="59">
        <v>71.180000000000007</v>
      </c>
      <c r="N89" s="59">
        <v>5</v>
      </c>
      <c r="O89" s="59">
        <v>0</v>
      </c>
      <c r="P89" s="59">
        <v>0.47</v>
      </c>
      <c r="Q89" s="59">
        <v>45.18</v>
      </c>
      <c r="R89" s="197"/>
      <c r="S89" s="197"/>
      <c r="T89" s="197"/>
      <c r="U89" s="197"/>
    </row>
    <row r="90" spans="1:26" s="12" customFormat="1" x14ac:dyDescent="0.25">
      <c r="A90" s="200" t="s">
        <v>2250</v>
      </c>
      <c r="B90" s="59">
        <v>8.2200000000000006</v>
      </c>
      <c r="C90" s="59">
        <v>50.91</v>
      </c>
      <c r="D90" s="59">
        <v>36.43</v>
      </c>
      <c r="E90" s="59">
        <v>2.72</v>
      </c>
      <c r="F90" s="59">
        <v>4.21</v>
      </c>
      <c r="G90" s="59">
        <v>32.659999999999997</v>
      </c>
      <c r="H90" s="59">
        <v>10.87</v>
      </c>
      <c r="I90" s="59">
        <v>0.54</v>
      </c>
      <c r="J90" s="59">
        <v>0.16</v>
      </c>
      <c r="K90" s="59">
        <v>199.63</v>
      </c>
      <c r="L90" s="59">
        <v>22.03</v>
      </c>
      <c r="M90" s="59">
        <v>71.94</v>
      </c>
      <c r="N90" s="59">
        <v>4.9000000000000004</v>
      </c>
      <c r="O90" s="59">
        <v>0</v>
      </c>
      <c r="P90" s="59">
        <v>0.49</v>
      </c>
      <c r="Q90" s="59">
        <v>44.18</v>
      </c>
      <c r="R90" s="197"/>
      <c r="S90" s="197"/>
      <c r="T90" s="197"/>
      <c r="U90" s="197"/>
    </row>
    <row r="91" spans="1:26" s="12" customFormat="1" x14ac:dyDescent="0.25">
      <c r="A91" s="200" t="s">
        <v>2251</v>
      </c>
      <c r="B91" s="59">
        <v>10.43</v>
      </c>
      <c r="C91" s="59">
        <v>53.87</v>
      </c>
      <c r="D91" s="59">
        <v>39.83</v>
      </c>
      <c r="E91" s="59">
        <v>2.36</v>
      </c>
      <c r="F91" s="59">
        <v>2.34</v>
      </c>
      <c r="G91" s="59">
        <v>32.659999999999997</v>
      </c>
      <c r="H91" s="59">
        <v>10.87</v>
      </c>
      <c r="I91" s="59">
        <v>0.53</v>
      </c>
      <c r="J91" s="59">
        <v>0.08</v>
      </c>
      <c r="K91" s="59">
        <v>263.06</v>
      </c>
      <c r="L91" s="59">
        <v>21.86</v>
      </c>
      <c r="M91" s="59">
        <v>73.13</v>
      </c>
      <c r="N91" s="59">
        <v>4.9000000000000004</v>
      </c>
      <c r="O91" s="59">
        <v>0</v>
      </c>
      <c r="P91" s="59">
        <v>0.56000000000000005</v>
      </c>
      <c r="Q91" s="59">
        <v>44.91</v>
      </c>
      <c r="R91" s="197"/>
      <c r="S91" s="197"/>
      <c r="T91" s="197"/>
      <c r="U91" s="197"/>
    </row>
    <row r="92" spans="1:26" s="12" customFormat="1" x14ac:dyDescent="0.25">
      <c r="A92" s="200" t="s">
        <v>2252</v>
      </c>
      <c r="B92" s="59">
        <v>11.99</v>
      </c>
      <c r="C92" s="59">
        <v>47.08</v>
      </c>
      <c r="D92" s="59">
        <v>37.340000000000003</v>
      </c>
      <c r="E92" s="59">
        <v>2.56</v>
      </c>
      <c r="F92" s="59">
        <v>2.75</v>
      </c>
      <c r="G92" s="59">
        <v>32.659999999999997</v>
      </c>
      <c r="H92" s="59">
        <v>10.87</v>
      </c>
      <c r="I92" s="59">
        <v>0.54</v>
      </c>
      <c r="J92" s="59">
        <v>0.79</v>
      </c>
      <c r="K92" s="59">
        <v>27.92</v>
      </c>
      <c r="L92" s="59">
        <v>21.63</v>
      </c>
      <c r="M92" s="59">
        <v>75.819999999999993</v>
      </c>
      <c r="N92" s="59">
        <v>4.8</v>
      </c>
      <c r="O92" s="59">
        <v>0</v>
      </c>
      <c r="P92" s="59">
        <v>0.6</v>
      </c>
      <c r="Q92" s="59">
        <v>44.16</v>
      </c>
      <c r="R92" s="197"/>
      <c r="S92" s="197"/>
      <c r="T92" s="197"/>
      <c r="U92" s="197"/>
    </row>
    <row r="93" spans="1:26" s="12" customFormat="1" x14ac:dyDescent="0.25">
      <c r="A93" s="200" t="s">
        <v>2253</v>
      </c>
      <c r="B93" s="59">
        <v>14.96</v>
      </c>
      <c r="C93" s="59">
        <v>52.19</v>
      </c>
      <c r="D93" s="59">
        <v>42.53</v>
      </c>
      <c r="E93" s="59">
        <v>2.86</v>
      </c>
      <c r="F93" s="59">
        <v>2.58</v>
      </c>
      <c r="G93" s="59">
        <v>32.840000000000003</v>
      </c>
      <c r="H93" s="59">
        <v>10.89</v>
      </c>
      <c r="I93" s="59">
        <v>0.56999999999999995</v>
      </c>
      <c r="J93" s="59">
        <v>1.53</v>
      </c>
      <c r="K93" s="59">
        <v>24.61</v>
      </c>
      <c r="L93" s="59">
        <v>21.55</v>
      </c>
      <c r="M93" s="59">
        <v>71.81</v>
      </c>
      <c r="N93" s="59">
        <v>4.4000000000000004</v>
      </c>
      <c r="O93" s="59">
        <v>0</v>
      </c>
      <c r="P93" s="59">
        <v>0.69</v>
      </c>
      <c r="Q93" s="59">
        <v>42.67</v>
      </c>
      <c r="R93" s="197"/>
      <c r="S93" s="197"/>
      <c r="T93" s="197"/>
      <c r="U93" s="197"/>
    </row>
    <row r="94" spans="1:26" s="12" customFormat="1" x14ac:dyDescent="0.25">
      <c r="A94" s="200" t="s">
        <v>2254</v>
      </c>
      <c r="B94" s="59">
        <v>16.260000000000002</v>
      </c>
      <c r="C94" s="59">
        <v>60.01</v>
      </c>
      <c r="D94" s="59">
        <v>47.9</v>
      </c>
      <c r="E94" s="59">
        <v>3.57</v>
      </c>
      <c r="F94" s="59">
        <v>2.66</v>
      </c>
      <c r="G94" s="59">
        <v>48.53</v>
      </c>
      <c r="H94" s="59">
        <v>13.23</v>
      </c>
      <c r="I94" s="59">
        <v>0.54</v>
      </c>
      <c r="J94" s="59">
        <v>0.82</v>
      </c>
      <c r="K94" s="59">
        <v>15.9</v>
      </c>
      <c r="L94" s="59">
        <v>21.35</v>
      </c>
      <c r="M94" s="59">
        <v>66.099999999999994</v>
      </c>
      <c r="N94" s="59">
        <v>5.0999999999999996</v>
      </c>
      <c r="O94" s="59">
        <v>0</v>
      </c>
      <c r="P94" s="59">
        <v>0.77</v>
      </c>
      <c r="Q94" s="59">
        <v>42.61</v>
      </c>
      <c r="R94" s="197"/>
      <c r="S94" s="197"/>
      <c r="T94" s="197"/>
      <c r="U94" s="197"/>
    </row>
    <row r="95" spans="1:26" s="12" customFormat="1" x14ac:dyDescent="0.25">
      <c r="A95" s="200" t="s">
        <v>2255</v>
      </c>
      <c r="B95" s="59">
        <v>18.95</v>
      </c>
      <c r="C95" s="59">
        <v>58.95</v>
      </c>
      <c r="D95" s="59">
        <v>49.47</v>
      </c>
      <c r="E95" s="59">
        <v>3.93</v>
      </c>
      <c r="F95" s="59">
        <v>2.29</v>
      </c>
      <c r="G95" s="59">
        <v>48.53</v>
      </c>
      <c r="H95" s="59">
        <v>13.23</v>
      </c>
      <c r="I95" s="59">
        <v>0.56000000000000005</v>
      </c>
      <c r="J95" s="59">
        <v>1</v>
      </c>
      <c r="K95" s="59">
        <v>16.71</v>
      </c>
      <c r="L95" s="59">
        <v>21.02</v>
      </c>
      <c r="M95" s="59">
        <v>63.14</v>
      </c>
      <c r="N95" s="59">
        <v>5</v>
      </c>
      <c r="O95" s="59">
        <v>0</v>
      </c>
      <c r="P95" s="59">
        <v>0.83</v>
      </c>
      <c r="Q95" s="59">
        <v>42.7</v>
      </c>
      <c r="R95" s="197"/>
      <c r="S95" s="197"/>
      <c r="T95" s="197"/>
      <c r="U95" s="197"/>
    </row>
    <row r="96" spans="1:26" s="12" customFormat="1" x14ac:dyDescent="0.25">
      <c r="A96" s="200" t="s">
        <v>2256</v>
      </c>
      <c r="B96" s="59">
        <v>19.760000000000002</v>
      </c>
      <c r="C96" s="59">
        <v>56.67</v>
      </c>
      <c r="D96" s="59">
        <v>48.86</v>
      </c>
      <c r="E96" s="59">
        <v>3.99</v>
      </c>
      <c r="F96" s="59">
        <v>2.1</v>
      </c>
      <c r="G96" s="59">
        <v>48.53</v>
      </c>
      <c r="H96" s="59">
        <v>13.23</v>
      </c>
      <c r="I96" s="59">
        <v>0.59</v>
      </c>
      <c r="J96" s="59">
        <v>0.39</v>
      </c>
      <c r="K96" s="59">
        <v>98.19</v>
      </c>
      <c r="L96" s="59">
        <v>20.67</v>
      </c>
      <c r="M96" s="59">
        <v>64.2</v>
      </c>
      <c r="N96" s="59">
        <v>5</v>
      </c>
      <c r="O96" s="59">
        <v>0</v>
      </c>
      <c r="P96" s="59">
        <v>0.88</v>
      </c>
      <c r="Q96" s="59">
        <v>42.46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2257</v>
      </c>
      <c r="B97" s="59">
        <v>19.82</v>
      </c>
      <c r="C97" s="59">
        <v>57.49</v>
      </c>
      <c r="D97" s="59">
        <v>49.37</v>
      </c>
      <c r="E97" s="59">
        <v>3.38</v>
      </c>
      <c r="F97" s="59">
        <v>2.0099999999999998</v>
      </c>
      <c r="G97" s="59">
        <v>48.7</v>
      </c>
      <c r="H97" s="59">
        <v>13.27</v>
      </c>
      <c r="I97" s="59">
        <v>0.56999999999999995</v>
      </c>
      <c r="J97" s="59">
        <v>0.66</v>
      </c>
      <c r="K97" s="59">
        <v>111.92</v>
      </c>
      <c r="L97" s="59">
        <v>20.56</v>
      </c>
      <c r="M97" s="59">
        <v>64.650000000000006</v>
      </c>
      <c r="N97" s="59">
        <v>4.5999999999999996</v>
      </c>
      <c r="O97" s="59">
        <v>0</v>
      </c>
      <c r="P97" s="59">
        <v>0.86</v>
      </c>
      <c r="Q97" s="59">
        <v>44.2</v>
      </c>
      <c r="R97" s="197"/>
      <c r="S97" s="197"/>
      <c r="T97" s="197"/>
      <c r="U97" s="197"/>
    </row>
    <row r="98" spans="1:33" s="12" customFormat="1" x14ac:dyDescent="0.25">
      <c r="A98" s="200" t="s">
        <v>2258</v>
      </c>
      <c r="B98" s="59">
        <v>20.059999999999999</v>
      </c>
      <c r="C98" s="59">
        <v>56.46</v>
      </c>
      <c r="D98" s="59">
        <v>48.99</v>
      </c>
      <c r="E98" s="59">
        <v>3.57</v>
      </c>
      <c r="F98" s="59">
        <v>2</v>
      </c>
      <c r="G98" s="59">
        <v>63.96</v>
      </c>
      <c r="H98" s="59">
        <v>16.2</v>
      </c>
      <c r="I98" s="59">
        <v>0.61</v>
      </c>
      <c r="J98" s="59">
        <v>0.83</v>
      </c>
      <c r="K98" s="59">
        <v>109.48</v>
      </c>
      <c r="L98" s="59">
        <v>20.63</v>
      </c>
      <c r="M98" s="59">
        <v>65.34</v>
      </c>
      <c r="N98" s="59">
        <v>4.4000000000000004</v>
      </c>
      <c r="O98" s="59">
        <v>0</v>
      </c>
      <c r="P98" s="59">
        <v>0.87</v>
      </c>
      <c r="Q98" s="59">
        <v>43.96</v>
      </c>
      <c r="R98" s="197"/>
      <c r="S98" s="197"/>
      <c r="T98" s="197"/>
      <c r="U98" s="197"/>
    </row>
    <row r="99" spans="1:33" s="12" customFormat="1" x14ac:dyDescent="0.25">
      <c r="A99" s="200" t="s">
        <v>2259</v>
      </c>
      <c r="B99" s="59">
        <v>20.079999999999998</v>
      </c>
      <c r="C99" s="59">
        <v>56.12</v>
      </c>
      <c r="D99" s="59">
        <v>48.82</v>
      </c>
      <c r="E99" s="59">
        <v>3.14</v>
      </c>
      <c r="F99" s="59">
        <v>1.89</v>
      </c>
      <c r="G99" s="59">
        <v>63.96</v>
      </c>
      <c r="H99" s="59">
        <v>16.2</v>
      </c>
      <c r="I99" s="59">
        <v>0.57999999999999996</v>
      </c>
      <c r="J99" s="59">
        <v>1.03</v>
      </c>
      <c r="K99" s="59">
        <v>119.72</v>
      </c>
      <c r="L99" s="59">
        <v>20.65</v>
      </c>
      <c r="M99" s="59">
        <v>66.66</v>
      </c>
      <c r="N99" s="59">
        <v>4.5999999999999996</v>
      </c>
      <c r="O99" s="59">
        <v>0</v>
      </c>
      <c r="P99" s="59">
        <v>0.86</v>
      </c>
      <c r="Q99" s="59">
        <v>44.58</v>
      </c>
      <c r="R99" s="197"/>
      <c r="S99" s="197"/>
      <c r="T99" s="197"/>
      <c r="U99" s="197"/>
    </row>
    <row r="100" spans="1:33" s="12" customFormat="1" x14ac:dyDescent="0.25">
      <c r="A100" s="200" t="s">
        <v>2260</v>
      </c>
      <c r="B100" s="59">
        <v>20.14</v>
      </c>
      <c r="C100" s="59">
        <v>57.59</v>
      </c>
      <c r="D100" s="59">
        <v>49.68</v>
      </c>
      <c r="E100" s="59">
        <v>2.96</v>
      </c>
      <c r="F100" s="59">
        <v>1.62</v>
      </c>
      <c r="G100" s="59">
        <v>63.96</v>
      </c>
      <c r="H100" s="59">
        <v>16.2</v>
      </c>
      <c r="I100" s="59">
        <v>0.6</v>
      </c>
      <c r="J100" s="59">
        <v>0.75</v>
      </c>
      <c r="K100" s="59">
        <v>113.03</v>
      </c>
      <c r="L100" s="59">
        <v>20.420000000000002</v>
      </c>
      <c r="M100" s="59">
        <v>68.47</v>
      </c>
      <c r="N100" s="59">
        <v>4.9000000000000004</v>
      </c>
      <c r="O100" s="59">
        <v>0</v>
      </c>
      <c r="P100" s="59">
        <v>0.84</v>
      </c>
      <c r="Q100" s="59">
        <v>50.41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2261</v>
      </c>
      <c r="B101" s="59">
        <v>19.649999999999999</v>
      </c>
      <c r="C101" s="59">
        <v>47.37</v>
      </c>
      <c r="D101" s="59">
        <v>43.64</v>
      </c>
      <c r="E101" s="59">
        <v>3.12</v>
      </c>
      <c r="F101" s="59">
        <v>1.65</v>
      </c>
      <c r="G101" s="59">
        <v>63.81</v>
      </c>
      <c r="H101" s="59">
        <v>16.2</v>
      </c>
      <c r="I101" s="59">
        <v>0.59</v>
      </c>
      <c r="J101" s="59">
        <v>1.66</v>
      </c>
      <c r="K101" s="59">
        <v>102.89</v>
      </c>
      <c r="L101" s="59">
        <v>20.28</v>
      </c>
      <c r="M101" s="59">
        <v>69.180000000000007</v>
      </c>
      <c r="N101" s="59">
        <v>4.5</v>
      </c>
      <c r="O101" s="59">
        <v>0</v>
      </c>
      <c r="P101" s="59">
        <v>0.82</v>
      </c>
      <c r="Q101" s="59">
        <v>51.61</v>
      </c>
      <c r="R101" s="197"/>
      <c r="S101" s="197"/>
      <c r="T101" s="197"/>
      <c r="U101" s="197"/>
    </row>
    <row r="102" spans="1:33" s="12" customFormat="1" x14ac:dyDescent="0.25">
      <c r="A102" s="200" t="s">
        <v>2262</v>
      </c>
      <c r="B102" s="59">
        <v>18.73</v>
      </c>
      <c r="C102" s="59">
        <v>51.39</v>
      </c>
      <c r="D102" s="59">
        <v>45.12</v>
      </c>
      <c r="E102" s="59">
        <v>2.96</v>
      </c>
      <c r="F102" s="59">
        <v>1.51</v>
      </c>
      <c r="G102" s="59">
        <v>50.59</v>
      </c>
      <c r="H102" s="59">
        <v>15.84</v>
      </c>
      <c r="I102" s="59">
        <v>0.6</v>
      </c>
      <c r="J102" s="59">
        <v>0.56999999999999995</v>
      </c>
      <c r="K102" s="59">
        <v>98.25</v>
      </c>
      <c r="L102" s="59">
        <v>20.149999999999999</v>
      </c>
      <c r="M102" s="59">
        <v>69.14</v>
      </c>
      <c r="N102" s="59">
        <v>5</v>
      </c>
      <c r="O102" s="59">
        <v>0</v>
      </c>
      <c r="P102" s="59">
        <v>0.8</v>
      </c>
      <c r="Q102" s="59">
        <v>49.24</v>
      </c>
      <c r="R102" s="197"/>
      <c r="S102" s="197"/>
      <c r="T102" s="197"/>
      <c r="U102" s="197"/>
    </row>
    <row r="103" spans="1:33" s="12" customFormat="1" x14ac:dyDescent="0.25">
      <c r="A103" s="200" t="s">
        <v>2263</v>
      </c>
      <c r="B103" s="59">
        <v>18.100000000000001</v>
      </c>
      <c r="C103" s="59">
        <v>53.08</v>
      </c>
      <c r="D103" s="59">
        <v>45.55</v>
      </c>
      <c r="E103" s="59">
        <v>2.66</v>
      </c>
      <c r="F103" s="59">
        <v>1.45</v>
      </c>
      <c r="G103" s="59">
        <v>50.59</v>
      </c>
      <c r="H103" s="59">
        <v>15.84</v>
      </c>
      <c r="I103" s="59">
        <v>0.63</v>
      </c>
      <c r="J103" s="59">
        <v>0.17</v>
      </c>
      <c r="K103" s="59">
        <v>196.47</v>
      </c>
      <c r="L103" s="59">
        <v>19.96</v>
      </c>
      <c r="M103" s="59">
        <v>70.680000000000007</v>
      </c>
      <c r="N103" s="59">
        <v>4.8</v>
      </c>
      <c r="O103" s="59">
        <v>0</v>
      </c>
      <c r="P103" s="59">
        <v>0.78</v>
      </c>
      <c r="Q103" s="59">
        <v>52.09</v>
      </c>
      <c r="R103" s="197"/>
      <c r="S103" s="197"/>
      <c r="T103" s="197"/>
      <c r="U103" s="197"/>
    </row>
    <row r="104" spans="1:33" s="12" customFormat="1" x14ac:dyDescent="0.25">
      <c r="A104" s="200" t="s">
        <v>2264</v>
      </c>
      <c r="B104" s="59">
        <v>17.690000000000001</v>
      </c>
      <c r="C104" s="59">
        <v>49.69</v>
      </c>
      <c r="D104" s="59">
        <v>43.35</v>
      </c>
      <c r="E104" s="59">
        <v>0.71</v>
      </c>
      <c r="F104" s="59">
        <v>1.6</v>
      </c>
      <c r="G104" s="59">
        <v>50.59</v>
      </c>
      <c r="H104" s="59">
        <v>15.84</v>
      </c>
      <c r="I104" s="59">
        <v>0.59</v>
      </c>
      <c r="J104" s="59">
        <v>0.16</v>
      </c>
      <c r="K104" s="59">
        <v>221.37</v>
      </c>
      <c r="L104" s="59">
        <v>19.760000000000002</v>
      </c>
      <c r="M104" s="59">
        <v>72.400000000000006</v>
      </c>
      <c r="N104" s="59">
        <v>4.8</v>
      </c>
      <c r="O104" s="59">
        <v>0</v>
      </c>
      <c r="P104" s="59">
        <v>0.77</v>
      </c>
      <c r="Q104" s="59">
        <v>49.43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3.85</v>
      </c>
      <c r="C106" s="66">
        <f>MIN(C9:C104)</f>
        <v>31.52</v>
      </c>
      <c r="D106" s="66">
        <f t="shared" ref="D106:Q106" si="0">MIN(D9:D104)</f>
        <v>22.72</v>
      </c>
      <c r="E106" s="66">
        <f t="shared" si="0"/>
        <v>0.71</v>
      </c>
      <c r="F106" s="66">
        <f t="shared" si="0"/>
        <v>1.1599999999999999</v>
      </c>
      <c r="G106" s="66">
        <f t="shared" si="0"/>
        <v>17.079999999999998</v>
      </c>
      <c r="H106" s="66">
        <f t="shared" si="0"/>
        <v>9.6300000000000008</v>
      </c>
      <c r="I106" s="66">
        <f t="shared" si="0"/>
        <v>0.5</v>
      </c>
      <c r="J106" s="66">
        <f t="shared" si="0"/>
        <v>0.03</v>
      </c>
      <c r="K106" s="66">
        <f t="shared" si="0"/>
        <v>6.69</v>
      </c>
      <c r="L106" s="66">
        <f t="shared" si="0"/>
        <v>15.81</v>
      </c>
      <c r="M106" s="66">
        <f t="shared" si="0"/>
        <v>48.94</v>
      </c>
      <c r="N106" s="66">
        <f t="shared" si="0"/>
        <v>3.3</v>
      </c>
      <c r="O106" s="66">
        <f t="shared" si="0"/>
        <v>0</v>
      </c>
      <c r="P106" s="66">
        <f t="shared" si="0"/>
        <v>0.33</v>
      </c>
      <c r="Q106" s="66">
        <f t="shared" si="0"/>
        <v>39.020000000000003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86.61</v>
      </c>
      <c r="C107" s="65">
        <f t="shared" ref="C107:Q107" si="1">MAX(C9:C104)</f>
        <v>65.42</v>
      </c>
      <c r="D107" s="65">
        <f t="shared" si="1"/>
        <v>107.3</v>
      </c>
      <c r="E107" s="65">
        <f t="shared" si="1"/>
        <v>3.99</v>
      </c>
      <c r="F107" s="65">
        <f t="shared" si="1"/>
        <v>13.91</v>
      </c>
      <c r="G107" s="65">
        <f t="shared" si="1"/>
        <v>119.84</v>
      </c>
      <c r="H107" s="65">
        <f t="shared" si="1"/>
        <v>30.41</v>
      </c>
      <c r="I107" s="65">
        <f t="shared" si="1"/>
        <v>0.91</v>
      </c>
      <c r="J107" s="65">
        <f t="shared" si="1"/>
        <v>3.08</v>
      </c>
      <c r="K107" s="65">
        <f t="shared" si="1"/>
        <v>356.95</v>
      </c>
      <c r="L107" s="65">
        <f t="shared" si="1"/>
        <v>27.56</v>
      </c>
      <c r="M107" s="65">
        <f t="shared" si="1"/>
        <v>91.91</v>
      </c>
      <c r="N107" s="65">
        <f t="shared" si="1"/>
        <v>891.3</v>
      </c>
      <c r="O107" s="65">
        <f t="shared" si="1"/>
        <v>0.4</v>
      </c>
      <c r="P107" s="65">
        <f t="shared" si="1"/>
        <v>1.78</v>
      </c>
      <c r="Q107" s="65">
        <f t="shared" si="1"/>
        <v>52.09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23.280416666666671</v>
      </c>
      <c r="C108" s="66">
        <f t="shared" ref="C108:Q108" si="2">AVERAGE(C9:C104)</f>
        <v>50.887916666666676</v>
      </c>
      <c r="D108" s="66">
        <f t="shared" si="2"/>
        <v>48.494374999999998</v>
      </c>
      <c r="E108" s="66">
        <f t="shared" si="2"/>
        <v>2.223125</v>
      </c>
      <c r="F108" s="66">
        <f t="shared" si="2"/>
        <v>3.1623958333333331</v>
      </c>
      <c r="G108" s="66">
        <f t="shared" si="2"/>
        <v>40.532727272727293</v>
      </c>
      <c r="H108" s="66">
        <f t="shared" si="2"/>
        <v>16.541022727272733</v>
      </c>
      <c r="I108" s="66">
        <f t="shared" si="2"/>
        <v>0.62364583333333379</v>
      </c>
      <c r="J108" s="66">
        <f t="shared" si="2"/>
        <v>0.82593749999999977</v>
      </c>
      <c r="K108" s="66">
        <f t="shared" si="2"/>
        <v>145.300625</v>
      </c>
      <c r="L108" s="66">
        <f t="shared" si="2"/>
        <v>21.074687500000007</v>
      </c>
      <c r="M108" s="66">
        <f t="shared" si="2"/>
        <v>68.615104166666654</v>
      </c>
      <c r="N108" s="66">
        <f t="shared" si="2"/>
        <v>203.23749999999995</v>
      </c>
      <c r="O108" s="66">
        <f t="shared" si="2"/>
        <v>2.4999999999999998E-2</v>
      </c>
      <c r="P108" s="66">
        <f t="shared" si="2"/>
        <v>0.71843750000000028</v>
      </c>
      <c r="Q108" s="66">
        <f t="shared" si="2"/>
        <v>44.661249999999995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24.173768685418921</v>
      </c>
      <c r="C109" s="66">
        <f t="shared" ref="C109:Q109" si="3">STDEV(C9:C104)</f>
        <v>6.2142542283072979</v>
      </c>
      <c r="D109" s="66">
        <f t="shared" si="3"/>
        <v>21.1844834881074</v>
      </c>
      <c r="E109" s="66">
        <f t="shared" si="3"/>
        <v>0.63118987467697585</v>
      </c>
      <c r="F109" s="66">
        <f t="shared" si="3"/>
        <v>2.3851575010519874</v>
      </c>
      <c r="G109" s="66">
        <f t="shared" si="3"/>
        <v>18.202350910895642</v>
      </c>
      <c r="H109" s="66">
        <f t="shared" si="3"/>
        <v>5.5745311724467728</v>
      </c>
      <c r="I109" s="66">
        <f t="shared" si="3"/>
        <v>0.13082829077331184</v>
      </c>
      <c r="J109" s="66">
        <f t="shared" si="3"/>
        <v>0.69177662674868523</v>
      </c>
      <c r="K109" s="66">
        <f t="shared" si="3"/>
        <v>87.330397515020891</v>
      </c>
      <c r="L109" s="66">
        <f t="shared" si="3"/>
        <v>3.1745113020083728</v>
      </c>
      <c r="M109" s="66">
        <f t="shared" si="3"/>
        <v>11.642769429522989</v>
      </c>
      <c r="N109" s="66">
        <f t="shared" si="3"/>
        <v>301.61824224113423</v>
      </c>
      <c r="O109" s="66">
        <f t="shared" si="3"/>
        <v>8.8257995015808791E-2</v>
      </c>
      <c r="P109" s="66">
        <f t="shared" si="3"/>
        <v>0.40380643649884373</v>
      </c>
      <c r="Q109" s="66">
        <f t="shared" si="3"/>
        <v>2.9663435759409782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 t="shared" ref="C110:Q110" si="4">COUNT(C9:C104)</f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88</v>
      </c>
      <c r="H110" s="65">
        <f t="shared" si="4"/>
        <v>88</v>
      </c>
      <c r="I110" s="65">
        <f t="shared" si="4"/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22-03-2023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2265</v>
      </c>
      <c r="B9" s="59">
        <v>17.27</v>
      </c>
      <c r="C9" s="59">
        <v>51.31</v>
      </c>
      <c r="D9" s="59">
        <v>43.9</v>
      </c>
      <c r="E9" s="59">
        <v>1.84</v>
      </c>
      <c r="F9" s="59">
        <v>1.45</v>
      </c>
      <c r="G9" s="59">
        <v>50.45</v>
      </c>
      <c r="H9" s="59">
        <v>15.81</v>
      </c>
      <c r="I9" s="59">
        <v>0.6</v>
      </c>
      <c r="J9" s="59">
        <v>0.66</v>
      </c>
      <c r="K9" s="59">
        <v>182.54</v>
      </c>
      <c r="L9" s="59">
        <v>19.649999999999999</v>
      </c>
      <c r="M9" s="59">
        <v>73.8</v>
      </c>
      <c r="N9" s="59">
        <v>4.5</v>
      </c>
      <c r="O9" s="59">
        <v>0</v>
      </c>
      <c r="P9" s="59">
        <v>0.75</v>
      </c>
      <c r="Q9" s="59">
        <v>49.62</v>
      </c>
      <c r="R9" s="197"/>
      <c r="S9" s="197"/>
      <c r="T9" s="197"/>
      <c r="U9" s="197"/>
    </row>
    <row r="10" spans="1:21" s="12" customFormat="1" x14ac:dyDescent="0.25">
      <c r="A10" s="200" t="s">
        <v>2266</v>
      </c>
      <c r="B10" s="59">
        <v>16.88</v>
      </c>
      <c r="C10" s="59">
        <v>49.5</v>
      </c>
      <c r="D10" s="59">
        <v>42.6</v>
      </c>
      <c r="E10" s="59">
        <v>1.34</v>
      </c>
      <c r="F10" s="59">
        <v>1.29</v>
      </c>
      <c r="G10" s="59">
        <v>37.840000000000003</v>
      </c>
      <c r="H10" s="59">
        <v>13.16</v>
      </c>
      <c r="I10" s="59">
        <v>0.62</v>
      </c>
      <c r="J10" s="59">
        <v>0.47</v>
      </c>
      <c r="K10" s="59">
        <v>186.79</v>
      </c>
      <c r="L10" s="59">
        <v>19.64</v>
      </c>
      <c r="M10" s="59">
        <v>73.48</v>
      </c>
      <c r="N10" s="59">
        <v>4.5999999999999996</v>
      </c>
      <c r="O10" s="59">
        <v>0</v>
      </c>
      <c r="P10" s="59">
        <v>0.72</v>
      </c>
      <c r="Q10" s="59">
        <v>49.14</v>
      </c>
      <c r="R10" s="197"/>
      <c r="S10" s="197"/>
      <c r="T10" s="197"/>
      <c r="U10" s="197"/>
    </row>
    <row r="11" spans="1:21" s="12" customFormat="1" x14ac:dyDescent="0.25">
      <c r="A11" s="200" t="s">
        <v>2267</v>
      </c>
      <c r="B11" s="59">
        <v>16.170000000000002</v>
      </c>
      <c r="C11" s="59">
        <v>42.71</v>
      </c>
      <c r="D11" s="59">
        <v>38.28</v>
      </c>
      <c r="E11" s="59">
        <v>1.29</v>
      </c>
      <c r="F11" s="59">
        <v>2.1800000000000002</v>
      </c>
      <c r="G11" s="59">
        <v>37.840000000000003</v>
      </c>
      <c r="H11" s="59">
        <v>13.16</v>
      </c>
      <c r="I11" s="59">
        <v>0.61</v>
      </c>
      <c r="J11" s="59">
        <v>0.38</v>
      </c>
      <c r="K11" s="59">
        <v>196.93</v>
      </c>
      <c r="L11" s="59">
        <v>19.440000000000001</v>
      </c>
      <c r="M11" s="59">
        <v>74.63</v>
      </c>
      <c r="N11" s="59">
        <v>4.7</v>
      </c>
      <c r="O11" s="59">
        <v>0</v>
      </c>
      <c r="P11" s="59">
        <v>0.69</v>
      </c>
      <c r="Q11" s="59">
        <v>47.63</v>
      </c>
      <c r="R11" s="197"/>
      <c r="S11" s="197"/>
      <c r="T11" s="197"/>
      <c r="U11" s="197"/>
    </row>
    <row r="12" spans="1:21" s="12" customFormat="1" x14ac:dyDescent="0.25">
      <c r="A12" s="200" t="s">
        <v>2268</v>
      </c>
      <c r="B12" s="59">
        <v>15.79</v>
      </c>
      <c r="C12" s="59">
        <v>40.22</v>
      </c>
      <c r="D12" s="59">
        <v>36.6</v>
      </c>
      <c r="E12" s="59">
        <v>1.64</v>
      </c>
      <c r="F12" s="59">
        <v>2.0499999999999998</v>
      </c>
      <c r="G12" s="59">
        <v>37.840000000000003</v>
      </c>
      <c r="H12" s="59">
        <v>13.16</v>
      </c>
      <c r="I12" s="59">
        <v>0.57999999999999996</v>
      </c>
      <c r="J12" s="59">
        <v>0.23</v>
      </c>
      <c r="K12" s="59">
        <v>348.16</v>
      </c>
      <c r="L12" s="59">
        <v>19.16</v>
      </c>
      <c r="M12" s="59">
        <v>76.83</v>
      </c>
      <c r="N12" s="59">
        <v>5</v>
      </c>
      <c r="O12" s="59">
        <v>0</v>
      </c>
      <c r="P12" s="59">
        <v>0.67</v>
      </c>
      <c r="Q12" s="59">
        <v>46.64</v>
      </c>
      <c r="R12" s="197"/>
      <c r="S12" s="197"/>
      <c r="T12" s="197"/>
      <c r="U12" s="197"/>
    </row>
    <row r="13" spans="1:21" s="12" customFormat="1" x14ac:dyDescent="0.25">
      <c r="A13" s="200" t="s">
        <v>2269</v>
      </c>
      <c r="B13" s="59">
        <v>15.62</v>
      </c>
      <c r="C13" s="59">
        <v>40.85</v>
      </c>
      <c r="D13" s="59">
        <v>36.81</v>
      </c>
      <c r="E13" s="59">
        <v>1.43</v>
      </c>
      <c r="F13" s="59">
        <v>2.1800000000000002</v>
      </c>
      <c r="G13" s="59">
        <v>37.79</v>
      </c>
      <c r="H13" s="59">
        <v>13.15</v>
      </c>
      <c r="I13" s="59">
        <v>0.6</v>
      </c>
      <c r="J13" s="59">
        <v>0.28999999999999998</v>
      </c>
      <c r="K13" s="59">
        <v>356.56</v>
      </c>
      <c r="L13" s="59">
        <v>18.66</v>
      </c>
      <c r="M13" s="59">
        <v>80.97</v>
      </c>
      <c r="N13" s="59">
        <v>5</v>
      </c>
      <c r="O13" s="59">
        <v>0</v>
      </c>
      <c r="P13" s="59">
        <v>0.62</v>
      </c>
      <c r="Q13" s="59">
        <v>44.43</v>
      </c>
      <c r="R13" s="197"/>
      <c r="S13" s="197"/>
      <c r="T13" s="197"/>
      <c r="U13" s="197"/>
    </row>
    <row r="14" spans="1:21" s="12" customFormat="1" x14ac:dyDescent="0.25">
      <c r="A14" s="200" t="s">
        <v>2270</v>
      </c>
      <c r="B14" s="59">
        <v>15.87</v>
      </c>
      <c r="C14" s="59">
        <v>42.71</v>
      </c>
      <c r="D14" s="59">
        <v>38.04</v>
      </c>
      <c r="E14" s="59">
        <v>1.51</v>
      </c>
      <c r="F14" s="59">
        <v>1.71</v>
      </c>
      <c r="G14" s="59">
        <v>33.340000000000003</v>
      </c>
      <c r="H14" s="59">
        <v>12.46</v>
      </c>
      <c r="I14" s="59">
        <v>0.56999999999999995</v>
      </c>
      <c r="J14" s="59">
        <v>1.24</v>
      </c>
      <c r="K14" s="59">
        <v>9.11</v>
      </c>
      <c r="L14" s="59">
        <v>18.77</v>
      </c>
      <c r="M14" s="59">
        <v>79.52</v>
      </c>
      <c r="N14" s="59">
        <v>4</v>
      </c>
      <c r="O14" s="59">
        <v>0</v>
      </c>
      <c r="P14" s="59">
        <v>0.65</v>
      </c>
      <c r="Q14" s="59">
        <v>45.04</v>
      </c>
      <c r="R14" s="197"/>
      <c r="S14" s="197"/>
      <c r="T14" s="197"/>
      <c r="U14" s="197"/>
    </row>
    <row r="15" spans="1:21" s="12" customFormat="1" x14ac:dyDescent="0.25">
      <c r="A15" s="200" t="s">
        <v>2271</v>
      </c>
      <c r="B15" s="59">
        <v>15.42</v>
      </c>
      <c r="C15" s="59">
        <v>45.45</v>
      </c>
      <c r="D15" s="59">
        <v>39.19</v>
      </c>
      <c r="E15" s="59">
        <v>1.62</v>
      </c>
      <c r="F15" s="59">
        <v>1.56</v>
      </c>
      <c r="G15" s="59">
        <v>33.340000000000003</v>
      </c>
      <c r="H15" s="59">
        <v>12.46</v>
      </c>
      <c r="I15" s="59">
        <v>0.57999999999999996</v>
      </c>
      <c r="J15" s="59">
        <v>1.49</v>
      </c>
      <c r="K15" s="59">
        <v>16.399999999999999</v>
      </c>
      <c r="L15" s="59">
        <v>18.87</v>
      </c>
      <c r="M15" s="59">
        <v>78.16</v>
      </c>
      <c r="N15" s="59">
        <v>4.8</v>
      </c>
      <c r="O15" s="59">
        <v>0</v>
      </c>
      <c r="P15" s="59">
        <v>0.65</v>
      </c>
      <c r="Q15" s="59">
        <v>44.65</v>
      </c>
      <c r="R15" s="197"/>
      <c r="S15" s="197"/>
      <c r="T15" s="197"/>
      <c r="U15" s="197"/>
    </row>
    <row r="16" spans="1:21" s="12" customFormat="1" x14ac:dyDescent="0.25">
      <c r="A16" s="200" t="s">
        <v>2272</v>
      </c>
      <c r="B16" s="59">
        <v>14.8</v>
      </c>
      <c r="C16" s="59">
        <v>48.51</v>
      </c>
      <c r="D16" s="59">
        <v>40.369999999999997</v>
      </c>
      <c r="E16" s="59">
        <v>1.49</v>
      </c>
      <c r="F16" s="59">
        <v>1.6</v>
      </c>
      <c r="G16" s="59">
        <v>33.340000000000003</v>
      </c>
      <c r="H16" s="59">
        <v>12.46</v>
      </c>
      <c r="I16" s="59">
        <v>0.57999999999999996</v>
      </c>
      <c r="J16" s="59">
        <v>1.57</v>
      </c>
      <c r="K16" s="59">
        <v>15.5</v>
      </c>
      <c r="L16" s="59">
        <v>18.71</v>
      </c>
      <c r="M16" s="59">
        <v>77.8</v>
      </c>
      <c r="N16" s="59">
        <v>5.0999999999999996</v>
      </c>
      <c r="O16" s="59">
        <v>0</v>
      </c>
      <c r="P16" s="59">
        <v>0.64</v>
      </c>
      <c r="Q16" s="59">
        <v>45.25</v>
      </c>
      <c r="R16" s="197"/>
      <c r="S16" s="197"/>
      <c r="T16" s="197"/>
      <c r="U16" s="197"/>
    </row>
    <row r="17" spans="1:21" s="12" customFormat="1" x14ac:dyDescent="0.25">
      <c r="A17" s="200" t="s">
        <v>2273</v>
      </c>
      <c r="B17" s="59">
        <v>13.7</v>
      </c>
      <c r="C17" s="59">
        <v>51.69</v>
      </c>
      <c r="D17" s="59">
        <v>41.25</v>
      </c>
      <c r="E17" s="59">
        <v>1.1399999999999999</v>
      </c>
      <c r="F17" s="59">
        <v>1.91</v>
      </c>
      <c r="G17" s="59">
        <v>33.340000000000003</v>
      </c>
      <c r="H17" s="59">
        <v>12.52</v>
      </c>
      <c r="I17" s="59">
        <v>0.57999999999999996</v>
      </c>
      <c r="J17" s="59">
        <v>1.79</v>
      </c>
      <c r="K17" s="59">
        <v>17.55</v>
      </c>
      <c r="L17" s="59">
        <v>18.559999999999999</v>
      </c>
      <c r="M17" s="59">
        <v>76.69</v>
      </c>
      <c r="N17" s="59">
        <v>5.0999999999999996</v>
      </c>
      <c r="O17" s="59">
        <v>0</v>
      </c>
      <c r="P17" s="59">
        <v>0.62</v>
      </c>
      <c r="Q17" s="59">
        <v>41.46</v>
      </c>
      <c r="R17" s="197"/>
      <c r="S17" s="197"/>
      <c r="T17" s="197"/>
      <c r="U17" s="197"/>
    </row>
    <row r="18" spans="1:21" s="12" customFormat="1" x14ac:dyDescent="0.25">
      <c r="A18" s="200" t="s">
        <v>2274</v>
      </c>
      <c r="B18" s="59">
        <v>12.61</v>
      </c>
      <c r="C18" s="59">
        <v>53.93</v>
      </c>
      <c r="D18" s="59">
        <v>41.62</v>
      </c>
      <c r="E18" s="59">
        <v>1.64</v>
      </c>
      <c r="F18" s="59">
        <v>1.81</v>
      </c>
      <c r="G18" s="59">
        <v>41.68</v>
      </c>
      <c r="H18" s="59">
        <v>18.440000000000001</v>
      </c>
      <c r="I18" s="59">
        <v>0.6</v>
      </c>
      <c r="J18" s="59">
        <v>1.81</v>
      </c>
      <c r="K18" s="59">
        <v>16.84</v>
      </c>
      <c r="L18" s="59">
        <v>18.489999999999998</v>
      </c>
      <c r="M18" s="59">
        <v>73.790000000000006</v>
      </c>
      <c r="N18" s="59">
        <v>5</v>
      </c>
      <c r="O18" s="59">
        <v>0</v>
      </c>
      <c r="P18" s="59">
        <v>0.59</v>
      </c>
      <c r="Q18" s="59">
        <v>46.29</v>
      </c>
      <c r="R18" s="197"/>
      <c r="S18" s="197"/>
      <c r="T18" s="197"/>
      <c r="U18" s="197"/>
    </row>
    <row r="19" spans="1:21" s="12" customFormat="1" x14ac:dyDescent="0.25">
      <c r="A19" s="200" t="s">
        <v>2275</v>
      </c>
      <c r="B19" s="59">
        <v>11.49</v>
      </c>
      <c r="C19" s="59">
        <v>49.03</v>
      </c>
      <c r="D19" s="59">
        <v>38.01</v>
      </c>
      <c r="E19" s="59">
        <v>1.18</v>
      </c>
      <c r="F19" s="59">
        <v>1.83</v>
      </c>
      <c r="G19" s="59">
        <v>41.68</v>
      </c>
      <c r="H19" s="59">
        <v>18.440000000000001</v>
      </c>
      <c r="I19" s="59">
        <v>0.6</v>
      </c>
      <c r="J19" s="59">
        <v>0.86</v>
      </c>
      <c r="K19" s="59">
        <v>25.01</v>
      </c>
      <c r="L19" s="59">
        <v>18.34</v>
      </c>
      <c r="M19" s="59">
        <v>73.489999999999995</v>
      </c>
      <c r="N19" s="59">
        <v>5.0999999999999996</v>
      </c>
      <c r="O19" s="59">
        <v>0</v>
      </c>
      <c r="P19" s="59">
        <v>0.56999999999999995</v>
      </c>
      <c r="Q19" s="59">
        <v>45.04</v>
      </c>
      <c r="R19" s="197"/>
      <c r="S19" s="197"/>
      <c r="T19" s="197"/>
      <c r="U19" s="197"/>
    </row>
    <row r="20" spans="1:21" s="12" customFormat="1" x14ac:dyDescent="0.25">
      <c r="A20" s="200" t="s">
        <v>2276</v>
      </c>
      <c r="B20" s="59">
        <v>10.82</v>
      </c>
      <c r="C20" s="59">
        <v>48.29</v>
      </c>
      <c r="D20" s="59">
        <v>37.07</v>
      </c>
      <c r="E20" s="59">
        <v>1.3</v>
      </c>
      <c r="F20" s="59">
        <v>1.5</v>
      </c>
      <c r="G20" s="59">
        <v>41.68</v>
      </c>
      <c r="H20" s="59">
        <v>18.440000000000001</v>
      </c>
      <c r="I20" s="59">
        <v>0.56000000000000005</v>
      </c>
      <c r="J20" s="59">
        <v>0.73</v>
      </c>
      <c r="K20" s="59">
        <v>28.74</v>
      </c>
      <c r="L20" s="59">
        <v>18.13</v>
      </c>
      <c r="M20" s="59">
        <v>73.36</v>
      </c>
      <c r="N20" s="59">
        <v>5.0999999999999996</v>
      </c>
      <c r="O20" s="59">
        <v>0</v>
      </c>
      <c r="P20" s="59">
        <v>0.56999999999999995</v>
      </c>
      <c r="Q20" s="59">
        <v>45.96</v>
      </c>
      <c r="R20" s="197"/>
      <c r="S20" s="197"/>
      <c r="T20" s="197"/>
      <c r="U20" s="197"/>
    </row>
    <row r="21" spans="1:21" s="12" customFormat="1" x14ac:dyDescent="0.25">
      <c r="A21" s="200" t="s">
        <v>2277</v>
      </c>
      <c r="B21" s="59">
        <v>10.72</v>
      </c>
      <c r="C21" s="59">
        <v>46.36</v>
      </c>
      <c r="D21" s="59">
        <v>35.92</v>
      </c>
      <c r="E21" s="59">
        <v>1.58</v>
      </c>
      <c r="F21" s="59">
        <v>1.43</v>
      </c>
      <c r="G21" s="59">
        <v>41.68</v>
      </c>
      <c r="H21" s="59">
        <v>18.43</v>
      </c>
      <c r="I21" s="59">
        <v>0.55000000000000004</v>
      </c>
      <c r="J21" s="59">
        <v>0.62</v>
      </c>
      <c r="K21" s="59">
        <v>93.03</v>
      </c>
      <c r="L21" s="59">
        <v>17.899999999999999</v>
      </c>
      <c r="M21" s="59">
        <v>74.180000000000007</v>
      </c>
      <c r="N21" s="59">
        <v>4.9000000000000004</v>
      </c>
      <c r="O21" s="59">
        <v>0</v>
      </c>
      <c r="P21" s="59">
        <v>0.59</v>
      </c>
      <c r="Q21" s="59">
        <v>46.83</v>
      </c>
      <c r="R21" s="197"/>
      <c r="S21" s="197"/>
      <c r="T21" s="197"/>
      <c r="U21" s="197"/>
    </row>
    <row r="22" spans="1:21" s="12" customFormat="1" x14ac:dyDescent="0.25">
      <c r="A22" s="200" t="s">
        <v>2278</v>
      </c>
      <c r="B22" s="59">
        <v>10.88</v>
      </c>
      <c r="C22" s="59">
        <v>46.09</v>
      </c>
      <c r="D22" s="59">
        <v>35.9</v>
      </c>
      <c r="E22" s="59">
        <v>1.1499999999999999</v>
      </c>
      <c r="F22" s="59">
        <v>1.44</v>
      </c>
      <c r="G22" s="59">
        <v>49.26</v>
      </c>
      <c r="H22" s="59">
        <v>17.420000000000002</v>
      </c>
      <c r="I22" s="59">
        <v>0.55000000000000004</v>
      </c>
      <c r="J22" s="59">
        <v>0.71</v>
      </c>
      <c r="K22" s="59">
        <v>99.11</v>
      </c>
      <c r="L22" s="59">
        <v>17.8</v>
      </c>
      <c r="M22" s="59">
        <v>74.319999999999993</v>
      </c>
      <c r="N22" s="59">
        <v>4.9000000000000004</v>
      </c>
      <c r="O22" s="59">
        <v>0</v>
      </c>
      <c r="P22" s="59">
        <v>0.57999999999999996</v>
      </c>
      <c r="Q22" s="59">
        <v>46.39</v>
      </c>
      <c r="R22" s="197"/>
      <c r="S22" s="197"/>
      <c r="T22" s="197"/>
      <c r="U22" s="197"/>
    </row>
    <row r="23" spans="1:21" s="12" customFormat="1" x14ac:dyDescent="0.25">
      <c r="A23" s="200" t="s">
        <v>2279</v>
      </c>
      <c r="B23" s="59">
        <v>10.84</v>
      </c>
      <c r="C23" s="59">
        <v>46.51</v>
      </c>
      <c r="D23" s="59">
        <v>36.1</v>
      </c>
      <c r="E23" s="59">
        <v>1.32</v>
      </c>
      <c r="F23" s="59">
        <v>1.46</v>
      </c>
      <c r="G23" s="59">
        <v>49.26</v>
      </c>
      <c r="H23" s="59">
        <v>17.420000000000002</v>
      </c>
      <c r="I23" s="59">
        <v>0.54</v>
      </c>
      <c r="J23" s="59">
        <v>0.37</v>
      </c>
      <c r="K23" s="59">
        <v>55.84</v>
      </c>
      <c r="L23" s="59">
        <v>17.77</v>
      </c>
      <c r="M23" s="59">
        <v>75.099999999999994</v>
      </c>
      <c r="N23" s="59">
        <v>4.9000000000000004</v>
      </c>
      <c r="O23" s="59">
        <v>0</v>
      </c>
      <c r="P23" s="59">
        <v>0.56999999999999995</v>
      </c>
      <c r="Q23" s="59">
        <v>46.33</v>
      </c>
      <c r="R23" s="197"/>
      <c r="S23" s="197"/>
      <c r="T23" s="197"/>
      <c r="U23" s="197"/>
    </row>
    <row r="24" spans="1:21" s="12" customFormat="1" x14ac:dyDescent="0.25">
      <c r="A24" s="200" t="s">
        <v>2280</v>
      </c>
      <c r="B24" s="59">
        <v>10.72</v>
      </c>
      <c r="C24" s="59">
        <v>45.09</v>
      </c>
      <c r="D24" s="59">
        <v>35.22</v>
      </c>
      <c r="E24" s="59">
        <v>1.23</v>
      </c>
      <c r="F24" s="59">
        <v>1.1200000000000001</v>
      </c>
      <c r="G24" s="59">
        <v>49.26</v>
      </c>
      <c r="H24" s="59">
        <v>17.420000000000002</v>
      </c>
      <c r="I24" s="59">
        <v>0.55000000000000004</v>
      </c>
      <c r="J24" s="59">
        <v>0.33</v>
      </c>
      <c r="K24" s="59">
        <v>60.7</v>
      </c>
      <c r="L24" s="59">
        <v>17.68</v>
      </c>
      <c r="M24" s="59">
        <v>76.08</v>
      </c>
      <c r="N24" s="59">
        <v>5</v>
      </c>
      <c r="O24" s="59">
        <v>0</v>
      </c>
      <c r="P24" s="59">
        <v>0.55000000000000004</v>
      </c>
      <c r="Q24" s="59">
        <v>49.02</v>
      </c>
      <c r="R24" s="197"/>
      <c r="S24" s="197"/>
      <c r="T24" s="197"/>
      <c r="U24" s="197"/>
    </row>
    <row r="25" spans="1:21" s="12" customFormat="1" x14ac:dyDescent="0.25">
      <c r="A25" s="200" t="s">
        <v>2281</v>
      </c>
      <c r="B25" s="59">
        <v>10.96</v>
      </c>
      <c r="C25" s="59">
        <v>53.26</v>
      </c>
      <c r="D25" s="59">
        <v>39.92</v>
      </c>
      <c r="E25" s="59">
        <v>2.09</v>
      </c>
      <c r="F25" s="59">
        <v>1.21</v>
      </c>
      <c r="G25" s="59">
        <v>49.13</v>
      </c>
      <c r="H25" s="59">
        <v>17.38</v>
      </c>
      <c r="I25" s="59">
        <v>0.56999999999999995</v>
      </c>
      <c r="J25" s="59">
        <v>0.53</v>
      </c>
      <c r="K25" s="59">
        <v>93.79</v>
      </c>
      <c r="L25" s="59">
        <v>17.579999999999998</v>
      </c>
      <c r="M25" s="59">
        <v>75.67</v>
      </c>
      <c r="N25" s="59">
        <v>4.7</v>
      </c>
      <c r="O25" s="59">
        <v>0</v>
      </c>
      <c r="P25" s="59">
        <v>0.55000000000000004</v>
      </c>
      <c r="Q25" s="59">
        <v>44.72</v>
      </c>
      <c r="R25" s="197"/>
      <c r="S25" s="197"/>
      <c r="T25" s="197"/>
      <c r="U25" s="197"/>
    </row>
    <row r="26" spans="1:21" s="12" customFormat="1" x14ac:dyDescent="0.25">
      <c r="A26" s="200" t="s">
        <v>2282</v>
      </c>
      <c r="B26" s="59">
        <v>11.41</v>
      </c>
      <c r="C26" s="59">
        <v>57.04</v>
      </c>
      <c r="D26" s="59">
        <v>42.37</v>
      </c>
      <c r="E26" s="59">
        <v>1.7</v>
      </c>
      <c r="F26" s="59">
        <v>1.33</v>
      </c>
      <c r="G26" s="59">
        <v>37.450000000000003</v>
      </c>
      <c r="H26" s="59">
        <v>14.05</v>
      </c>
      <c r="I26" s="59">
        <v>0.56999999999999995</v>
      </c>
      <c r="J26" s="59">
        <v>0.94</v>
      </c>
      <c r="K26" s="59">
        <v>102.28</v>
      </c>
      <c r="L26" s="59">
        <v>17.510000000000002</v>
      </c>
      <c r="M26" s="59">
        <v>75.959999999999994</v>
      </c>
      <c r="N26" s="59">
        <v>4.5999999999999996</v>
      </c>
      <c r="O26" s="59">
        <v>0</v>
      </c>
      <c r="P26" s="59">
        <v>0.54</v>
      </c>
      <c r="Q26" s="59">
        <v>44.12</v>
      </c>
      <c r="R26" s="197"/>
      <c r="S26" s="197"/>
      <c r="T26" s="197"/>
      <c r="U26" s="197"/>
    </row>
    <row r="27" spans="1:21" s="12" customFormat="1" x14ac:dyDescent="0.25">
      <c r="A27" s="200" t="s">
        <v>2283</v>
      </c>
      <c r="B27" s="59">
        <v>11.65</v>
      </c>
      <c r="C27" s="59">
        <v>53.73</v>
      </c>
      <c r="D27" s="59">
        <v>40.74</v>
      </c>
      <c r="E27" s="59">
        <v>1.82</v>
      </c>
      <c r="F27" s="59">
        <v>1.32</v>
      </c>
      <c r="G27" s="59">
        <v>37.450000000000003</v>
      </c>
      <c r="H27" s="59">
        <v>14.05</v>
      </c>
      <c r="I27" s="59">
        <v>0.56000000000000005</v>
      </c>
      <c r="J27" s="59">
        <v>1.23</v>
      </c>
      <c r="K27" s="59">
        <v>108.81</v>
      </c>
      <c r="L27" s="59">
        <v>17.559999999999999</v>
      </c>
      <c r="M27" s="59">
        <v>75.28</v>
      </c>
      <c r="N27" s="59">
        <v>4.5999999999999996</v>
      </c>
      <c r="O27" s="59">
        <v>0</v>
      </c>
      <c r="P27" s="59">
        <v>0.52</v>
      </c>
      <c r="Q27" s="59">
        <v>47.51</v>
      </c>
      <c r="R27" s="197"/>
      <c r="S27" s="197"/>
      <c r="T27" s="197"/>
      <c r="U27" s="197"/>
    </row>
    <row r="28" spans="1:21" s="12" customFormat="1" x14ac:dyDescent="0.25">
      <c r="A28" s="200" t="s">
        <v>2284</v>
      </c>
      <c r="B28" s="59">
        <v>11.78</v>
      </c>
      <c r="C28" s="59">
        <v>51.81</v>
      </c>
      <c r="D28" s="59">
        <v>39.78</v>
      </c>
      <c r="E28" s="59">
        <v>1.96</v>
      </c>
      <c r="F28" s="59">
        <v>1.38</v>
      </c>
      <c r="G28" s="59">
        <v>37.450000000000003</v>
      </c>
      <c r="H28" s="59">
        <v>14.05</v>
      </c>
      <c r="I28" s="59">
        <v>0.56999999999999995</v>
      </c>
      <c r="J28" s="59">
        <v>1.29</v>
      </c>
      <c r="K28" s="59">
        <v>106.29</v>
      </c>
      <c r="L28" s="59">
        <v>17.64</v>
      </c>
      <c r="M28" s="59">
        <v>74.59</v>
      </c>
      <c r="N28" s="59">
        <v>4.7</v>
      </c>
      <c r="O28" s="59">
        <v>0</v>
      </c>
      <c r="P28" s="59">
        <v>0.5</v>
      </c>
      <c r="Q28" s="59">
        <v>49.54</v>
      </c>
      <c r="R28" s="197"/>
      <c r="S28" s="197"/>
      <c r="T28" s="197"/>
      <c r="U28" s="197"/>
    </row>
    <row r="29" spans="1:21" s="12" customFormat="1" x14ac:dyDescent="0.25">
      <c r="A29" s="200" t="s">
        <v>2285</v>
      </c>
      <c r="B29" s="59">
        <v>11.84</v>
      </c>
      <c r="C29" s="59">
        <v>51.5</v>
      </c>
      <c r="D29" s="59">
        <v>39.65</v>
      </c>
      <c r="E29" s="59">
        <v>1.94</v>
      </c>
      <c r="F29" s="59">
        <v>1.69</v>
      </c>
      <c r="G29" s="59">
        <v>37.35</v>
      </c>
      <c r="H29" s="59">
        <v>14.04</v>
      </c>
      <c r="I29" s="59">
        <v>0.55000000000000004</v>
      </c>
      <c r="J29" s="59">
        <v>1.23</v>
      </c>
      <c r="K29" s="59">
        <v>119.57</v>
      </c>
      <c r="L29" s="59">
        <v>17.68</v>
      </c>
      <c r="M29" s="59">
        <v>73.92</v>
      </c>
      <c r="N29" s="59">
        <v>4.5999999999999996</v>
      </c>
      <c r="O29" s="59">
        <v>0</v>
      </c>
      <c r="P29" s="59">
        <v>0.49</v>
      </c>
      <c r="Q29" s="59">
        <v>47.6</v>
      </c>
      <c r="R29" s="197"/>
      <c r="S29" s="197"/>
      <c r="T29" s="197"/>
      <c r="U29" s="197"/>
    </row>
    <row r="30" spans="1:21" s="12" customFormat="1" x14ac:dyDescent="0.25">
      <c r="A30" s="200" t="s">
        <v>2286</v>
      </c>
      <c r="B30" s="59">
        <v>11.93</v>
      </c>
      <c r="C30" s="59">
        <v>52.95</v>
      </c>
      <c r="D30" s="59">
        <v>40.53</v>
      </c>
      <c r="E30" s="59">
        <v>1.6</v>
      </c>
      <c r="F30" s="59">
        <v>1.57</v>
      </c>
      <c r="G30" s="59">
        <v>28.1</v>
      </c>
      <c r="H30" s="59">
        <v>13.09</v>
      </c>
      <c r="I30" s="59">
        <v>0.55000000000000004</v>
      </c>
      <c r="J30" s="59">
        <v>1.04</v>
      </c>
      <c r="K30" s="59">
        <v>110.99</v>
      </c>
      <c r="L30" s="59">
        <v>17.77</v>
      </c>
      <c r="M30" s="59">
        <v>72.7</v>
      </c>
      <c r="N30" s="59">
        <v>4.7</v>
      </c>
      <c r="O30" s="59">
        <v>0</v>
      </c>
      <c r="P30" s="59">
        <v>0.47</v>
      </c>
      <c r="Q30" s="59">
        <v>49.58</v>
      </c>
      <c r="R30" s="197"/>
      <c r="S30" s="197"/>
      <c r="T30" s="197"/>
      <c r="U30" s="197"/>
    </row>
    <row r="31" spans="1:21" s="12" customFormat="1" x14ac:dyDescent="0.25">
      <c r="A31" s="200" t="s">
        <v>2287</v>
      </c>
      <c r="B31" s="59">
        <v>12.23</v>
      </c>
      <c r="C31" s="59">
        <v>49.52</v>
      </c>
      <c r="D31" s="59">
        <v>38.869999999999997</v>
      </c>
      <c r="E31" s="59">
        <v>2.08</v>
      </c>
      <c r="F31" s="59">
        <v>1.6</v>
      </c>
      <c r="G31" s="59">
        <v>28.1</v>
      </c>
      <c r="H31" s="59">
        <v>13.09</v>
      </c>
      <c r="I31" s="59">
        <v>0.55000000000000004</v>
      </c>
      <c r="J31" s="59">
        <v>0.91</v>
      </c>
      <c r="K31" s="59">
        <v>98.6</v>
      </c>
      <c r="L31" s="59">
        <v>17.739999999999998</v>
      </c>
      <c r="M31" s="59">
        <v>73.459999999999994</v>
      </c>
      <c r="N31" s="59">
        <v>4.9000000000000004</v>
      </c>
      <c r="O31" s="59">
        <v>0</v>
      </c>
      <c r="P31" s="59">
        <v>0.46</v>
      </c>
      <c r="Q31" s="59">
        <v>51.91</v>
      </c>
      <c r="R31" s="197"/>
      <c r="S31" s="197"/>
      <c r="T31" s="197"/>
      <c r="U31" s="197"/>
    </row>
    <row r="32" spans="1:21" s="12" customFormat="1" x14ac:dyDescent="0.25">
      <c r="A32" s="200" t="s">
        <v>2288</v>
      </c>
      <c r="B32" s="59">
        <v>12.41</v>
      </c>
      <c r="C32" s="59">
        <v>52.32</v>
      </c>
      <c r="D32" s="59">
        <v>40.56</v>
      </c>
      <c r="E32" s="59">
        <v>2</v>
      </c>
      <c r="F32" s="59">
        <v>1.77</v>
      </c>
      <c r="G32" s="59">
        <v>28.1</v>
      </c>
      <c r="H32" s="59">
        <v>13.09</v>
      </c>
      <c r="I32" s="59">
        <v>0.57999999999999996</v>
      </c>
      <c r="J32" s="59">
        <v>0.86</v>
      </c>
      <c r="K32" s="59">
        <v>106.32</v>
      </c>
      <c r="L32" s="59">
        <v>17.739999999999998</v>
      </c>
      <c r="M32" s="59">
        <v>73.239999999999995</v>
      </c>
      <c r="N32" s="59">
        <v>6.1</v>
      </c>
      <c r="O32" s="59">
        <v>0</v>
      </c>
      <c r="P32" s="59">
        <v>0.44</v>
      </c>
      <c r="Q32" s="59">
        <v>50.46</v>
      </c>
      <c r="R32" s="197"/>
      <c r="S32" s="197"/>
      <c r="T32" s="197"/>
      <c r="U32" s="197"/>
    </row>
    <row r="33" spans="1:21" s="12" customFormat="1" x14ac:dyDescent="0.25">
      <c r="A33" s="200" t="s">
        <v>2289</v>
      </c>
      <c r="B33" s="59">
        <v>12.72</v>
      </c>
      <c r="C33" s="59">
        <v>45.17</v>
      </c>
      <c r="D33" s="59">
        <v>36.869999999999997</v>
      </c>
      <c r="E33" s="59">
        <v>2.11</v>
      </c>
      <c r="F33" s="59">
        <v>1.63</v>
      </c>
      <c r="G33" s="59">
        <v>28.07</v>
      </c>
      <c r="H33" s="59">
        <v>13.08</v>
      </c>
      <c r="I33" s="59">
        <v>0.56999999999999995</v>
      </c>
      <c r="J33" s="59">
        <v>0.71</v>
      </c>
      <c r="K33" s="59">
        <v>112.04</v>
      </c>
      <c r="L33" s="59">
        <v>17.690000000000001</v>
      </c>
      <c r="M33" s="59">
        <v>72.989999999999995</v>
      </c>
      <c r="N33" s="59">
        <v>12.3</v>
      </c>
      <c r="O33" s="59">
        <v>0</v>
      </c>
      <c r="P33" s="59">
        <v>0.45</v>
      </c>
      <c r="Q33" s="59">
        <v>54.24</v>
      </c>
      <c r="R33" s="197"/>
      <c r="S33" s="197"/>
      <c r="T33" s="197"/>
      <c r="U33" s="197"/>
    </row>
    <row r="34" spans="1:21" s="12" customFormat="1" x14ac:dyDescent="0.25">
      <c r="A34" s="200" t="s">
        <v>2290</v>
      </c>
      <c r="B34" s="59">
        <v>13.17</v>
      </c>
      <c r="C34" s="59">
        <v>43.33</v>
      </c>
      <c r="D34" s="59">
        <v>36.22</v>
      </c>
      <c r="E34" s="59">
        <v>1.87</v>
      </c>
      <c r="F34" s="59">
        <v>1.4</v>
      </c>
      <c r="G34" s="59">
        <v>25.56</v>
      </c>
      <c r="H34" s="59">
        <v>11.99</v>
      </c>
      <c r="I34" s="59">
        <v>0.55000000000000004</v>
      </c>
      <c r="J34" s="59">
        <v>0.95</v>
      </c>
      <c r="K34" s="59">
        <v>117.83</v>
      </c>
      <c r="L34" s="59">
        <v>18.010000000000002</v>
      </c>
      <c r="M34" s="59">
        <v>69.59</v>
      </c>
      <c r="N34" s="59">
        <v>37.9</v>
      </c>
      <c r="O34" s="59">
        <v>0</v>
      </c>
      <c r="P34" s="59">
        <v>0.44</v>
      </c>
      <c r="Q34" s="59">
        <v>53.45</v>
      </c>
      <c r="R34" s="197"/>
      <c r="S34" s="197"/>
      <c r="T34" s="197"/>
      <c r="U34" s="197"/>
    </row>
    <row r="35" spans="1:21" s="12" customFormat="1" x14ac:dyDescent="0.25">
      <c r="A35" s="200" t="s">
        <v>2291</v>
      </c>
      <c r="B35" s="59">
        <v>13.55</v>
      </c>
      <c r="C35" s="59">
        <v>43.58</v>
      </c>
      <c r="D35" s="59">
        <v>36.659999999999997</v>
      </c>
      <c r="E35" s="59">
        <v>1.87</v>
      </c>
      <c r="F35" s="59">
        <v>1.55</v>
      </c>
      <c r="G35" s="59">
        <v>25.56</v>
      </c>
      <c r="H35" s="59">
        <v>11.99</v>
      </c>
      <c r="I35" s="59">
        <v>0.55000000000000004</v>
      </c>
      <c r="J35" s="59">
        <v>0.75</v>
      </c>
      <c r="K35" s="59">
        <v>118.84</v>
      </c>
      <c r="L35" s="59">
        <v>18.46</v>
      </c>
      <c r="M35" s="59">
        <v>67.45</v>
      </c>
      <c r="N35" s="59">
        <v>51.4</v>
      </c>
      <c r="O35" s="59">
        <v>0</v>
      </c>
      <c r="P35" s="59">
        <v>0.43</v>
      </c>
      <c r="Q35" s="59">
        <v>53.47</v>
      </c>
      <c r="R35" s="197"/>
      <c r="S35" s="197"/>
      <c r="T35" s="197"/>
      <c r="U35" s="197"/>
    </row>
    <row r="36" spans="1:21" s="12" customFormat="1" x14ac:dyDescent="0.25">
      <c r="A36" s="200" t="s">
        <v>2292</v>
      </c>
      <c r="B36" s="59">
        <v>14.21</v>
      </c>
      <c r="C36" s="59">
        <v>45.34</v>
      </c>
      <c r="D36" s="59">
        <v>38.159999999999997</v>
      </c>
      <c r="E36" s="59">
        <v>1.62</v>
      </c>
      <c r="F36" s="59">
        <v>1.34</v>
      </c>
      <c r="G36" s="59">
        <v>25.56</v>
      </c>
      <c r="H36" s="59">
        <v>11.99</v>
      </c>
      <c r="I36" s="59">
        <v>0.56999999999999995</v>
      </c>
      <c r="J36" s="59">
        <v>0.56000000000000005</v>
      </c>
      <c r="K36" s="59">
        <v>103.65</v>
      </c>
      <c r="L36" s="59">
        <v>18.5</v>
      </c>
      <c r="M36" s="59">
        <v>69.19</v>
      </c>
      <c r="N36" s="59">
        <v>66.900000000000006</v>
      </c>
      <c r="O36" s="59">
        <v>0</v>
      </c>
      <c r="P36" s="59">
        <v>0.44</v>
      </c>
      <c r="Q36" s="59">
        <v>52.98</v>
      </c>
      <c r="R36" s="197"/>
      <c r="S36" s="197"/>
      <c r="T36" s="197"/>
      <c r="U36" s="197"/>
    </row>
    <row r="37" spans="1:21" s="12" customFormat="1" x14ac:dyDescent="0.25">
      <c r="A37" s="200" t="s">
        <v>2293</v>
      </c>
      <c r="B37" s="59">
        <v>14.66</v>
      </c>
      <c r="C37" s="59">
        <v>45.89</v>
      </c>
      <c r="D37" s="59">
        <v>38.82</v>
      </c>
      <c r="E37" s="59">
        <v>1.76</v>
      </c>
      <c r="F37" s="59">
        <v>1.47</v>
      </c>
      <c r="G37" s="59">
        <v>25.61</v>
      </c>
      <c r="H37" s="59">
        <v>11.99</v>
      </c>
      <c r="I37" s="59">
        <v>0.54</v>
      </c>
      <c r="J37" s="59">
        <v>1.47</v>
      </c>
      <c r="K37" s="59">
        <v>117.49</v>
      </c>
      <c r="L37" s="59">
        <v>18.7</v>
      </c>
      <c r="M37" s="59">
        <v>69.98</v>
      </c>
      <c r="N37" s="59">
        <v>166.9</v>
      </c>
      <c r="O37" s="59">
        <v>0</v>
      </c>
      <c r="P37" s="59">
        <v>0.44</v>
      </c>
      <c r="Q37" s="59">
        <v>52.24</v>
      </c>
      <c r="R37" s="197"/>
      <c r="S37" s="197"/>
      <c r="T37" s="197"/>
      <c r="U37" s="197"/>
    </row>
    <row r="38" spans="1:21" s="12" customFormat="1" x14ac:dyDescent="0.25">
      <c r="A38" s="200" t="s">
        <v>2294</v>
      </c>
      <c r="B38" s="59">
        <v>14.61</v>
      </c>
      <c r="C38" s="59">
        <v>46.6</v>
      </c>
      <c r="D38" s="59">
        <v>39.17</v>
      </c>
      <c r="E38" s="59">
        <v>2.12</v>
      </c>
      <c r="F38" s="59">
        <v>1.71</v>
      </c>
      <c r="G38" s="59">
        <v>30.03</v>
      </c>
      <c r="H38" s="59">
        <v>11.24</v>
      </c>
      <c r="I38" s="59">
        <v>0.54</v>
      </c>
      <c r="J38" s="59">
        <v>0.88</v>
      </c>
      <c r="K38" s="59">
        <v>101.37</v>
      </c>
      <c r="L38" s="59">
        <v>19.41</v>
      </c>
      <c r="M38" s="59">
        <v>69.89</v>
      </c>
      <c r="N38" s="59">
        <v>173.5</v>
      </c>
      <c r="O38" s="59">
        <v>0</v>
      </c>
      <c r="P38" s="59">
        <v>0.44</v>
      </c>
      <c r="Q38" s="59">
        <v>51.34</v>
      </c>
      <c r="R38" s="197"/>
      <c r="S38" s="197"/>
      <c r="T38" s="197"/>
      <c r="U38" s="197"/>
    </row>
    <row r="39" spans="1:21" s="12" customFormat="1" x14ac:dyDescent="0.25">
      <c r="A39" s="200" t="s">
        <v>2295</v>
      </c>
      <c r="B39" s="59">
        <v>15.09</v>
      </c>
      <c r="C39" s="59">
        <v>54.86</v>
      </c>
      <c r="D39" s="59">
        <v>44.12</v>
      </c>
      <c r="E39" s="59">
        <v>1.9</v>
      </c>
      <c r="F39" s="59">
        <v>1.55</v>
      </c>
      <c r="G39" s="59">
        <v>30.03</v>
      </c>
      <c r="H39" s="59">
        <v>11.24</v>
      </c>
      <c r="I39" s="59">
        <v>0.54</v>
      </c>
      <c r="J39" s="59">
        <v>1.21</v>
      </c>
      <c r="K39" s="59">
        <v>117.61</v>
      </c>
      <c r="L39" s="59">
        <v>19.78</v>
      </c>
      <c r="M39" s="59">
        <v>69.77</v>
      </c>
      <c r="N39" s="59">
        <v>205</v>
      </c>
      <c r="O39" s="59">
        <v>0</v>
      </c>
      <c r="P39" s="59">
        <v>0.45</v>
      </c>
      <c r="Q39" s="59">
        <v>50.35</v>
      </c>
      <c r="R39" s="197"/>
      <c r="S39" s="197"/>
      <c r="T39" s="197"/>
      <c r="U39" s="197"/>
    </row>
    <row r="40" spans="1:21" s="12" customFormat="1" x14ac:dyDescent="0.25">
      <c r="A40" s="200" t="s">
        <v>2296</v>
      </c>
      <c r="B40" s="59">
        <v>15.23</v>
      </c>
      <c r="C40" s="59">
        <v>56.05</v>
      </c>
      <c r="D40" s="59">
        <v>44.88</v>
      </c>
      <c r="E40" s="59">
        <v>1.17</v>
      </c>
      <c r="F40" s="59">
        <v>1.44</v>
      </c>
      <c r="G40" s="59">
        <v>30.03</v>
      </c>
      <c r="H40" s="59">
        <v>11.24</v>
      </c>
      <c r="I40" s="59">
        <v>0.54</v>
      </c>
      <c r="J40" s="59">
        <v>1.53</v>
      </c>
      <c r="K40" s="59">
        <v>111.26</v>
      </c>
      <c r="L40" s="59">
        <v>19.260000000000002</v>
      </c>
      <c r="M40" s="59">
        <v>72.62</v>
      </c>
      <c r="N40" s="59">
        <v>196.2</v>
      </c>
      <c r="O40" s="59">
        <v>0</v>
      </c>
      <c r="P40" s="59">
        <v>0.45</v>
      </c>
      <c r="Q40" s="59">
        <v>52.62</v>
      </c>
      <c r="R40" s="197"/>
      <c r="S40" s="197"/>
      <c r="T40" s="197"/>
      <c r="U40" s="197"/>
    </row>
    <row r="41" spans="1:21" s="12" customFormat="1" x14ac:dyDescent="0.25">
      <c r="A41" s="200" t="s">
        <v>2297</v>
      </c>
      <c r="B41" s="59">
        <v>14.89</v>
      </c>
      <c r="C41" s="59">
        <v>59.51</v>
      </c>
      <c r="D41" s="59">
        <v>46.52</v>
      </c>
      <c r="E41" s="59">
        <v>2.04</v>
      </c>
      <c r="F41" s="59">
        <v>1.53</v>
      </c>
      <c r="G41" s="59">
        <v>29.99</v>
      </c>
      <c r="H41" s="59">
        <v>11.27</v>
      </c>
      <c r="I41" s="59">
        <v>0.55000000000000004</v>
      </c>
      <c r="J41" s="59">
        <v>0.91</v>
      </c>
      <c r="K41" s="59">
        <v>113.12</v>
      </c>
      <c r="L41" s="59">
        <v>19.86</v>
      </c>
      <c r="M41" s="59">
        <v>71.81</v>
      </c>
      <c r="N41" s="59">
        <v>362.8</v>
      </c>
      <c r="O41" s="59">
        <v>0</v>
      </c>
      <c r="P41" s="59">
        <v>0.44</v>
      </c>
      <c r="Q41" s="59">
        <v>49.28</v>
      </c>
      <c r="R41" s="197"/>
      <c r="S41" s="197"/>
      <c r="T41" s="197"/>
      <c r="U41" s="197"/>
    </row>
    <row r="42" spans="1:21" s="12" customFormat="1" x14ac:dyDescent="0.25">
      <c r="A42" s="200" t="s">
        <v>2298</v>
      </c>
      <c r="B42" s="59">
        <v>14.49</v>
      </c>
      <c r="C42" s="59">
        <v>58.87</v>
      </c>
      <c r="D42" s="59">
        <v>45.85</v>
      </c>
      <c r="E42" s="59">
        <v>2.17</v>
      </c>
      <c r="F42" s="59">
        <v>1.66</v>
      </c>
      <c r="G42" s="59">
        <v>26.31</v>
      </c>
      <c r="H42" s="59">
        <v>13.7</v>
      </c>
      <c r="I42" s="59">
        <v>0.56999999999999995</v>
      </c>
      <c r="J42" s="59">
        <v>0.77</v>
      </c>
      <c r="K42" s="59">
        <v>109.02</v>
      </c>
      <c r="L42" s="59">
        <v>20.82</v>
      </c>
      <c r="M42" s="59">
        <v>69.63</v>
      </c>
      <c r="N42" s="59">
        <v>328.7</v>
      </c>
      <c r="O42" s="59">
        <v>0</v>
      </c>
      <c r="P42" s="59">
        <v>0.44</v>
      </c>
      <c r="Q42" s="59">
        <v>51.2</v>
      </c>
      <c r="R42" s="197"/>
      <c r="S42" s="197"/>
      <c r="T42" s="197"/>
      <c r="U42" s="197"/>
    </row>
    <row r="43" spans="1:21" s="12" customFormat="1" x14ac:dyDescent="0.25">
      <c r="A43" s="200" t="s">
        <v>2299</v>
      </c>
      <c r="B43" s="59">
        <v>14.54</v>
      </c>
      <c r="C43" s="59">
        <v>55.42</v>
      </c>
      <c r="D43" s="59">
        <v>43.99</v>
      </c>
      <c r="E43" s="59">
        <v>1.89</v>
      </c>
      <c r="F43" s="59">
        <v>2.52</v>
      </c>
      <c r="G43" s="59">
        <v>26.31</v>
      </c>
      <c r="H43" s="59">
        <v>13.7</v>
      </c>
      <c r="I43" s="59">
        <v>0.56999999999999995</v>
      </c>
      <c r="J43" s="59">
        <v>0.61</v>
      </c>
      <c r="K43" s="59">
        <v>120.71</v>
      </c>
      <c r="L43" s="59">
        <v>21.54</v>
      </c>
      <c r="M43" s="59">
        <v>67.2</v>
      </c>
      <c r="N43" s="59">
        <v>466.7</v>
      </c>
      <c r="O43" s="59">
        <v>0</v>
      </c>
      <c r="P43" s="59">
        <v>0.45</v>
      </c>
      <c r="Q43" s="59">
        <v>52.37</v>
      </c>
      <c r="R43" s="197"/>
      <c r="S43" s="197"/>
      <c r="T43" s="197"/>
      <c r="U43" s="197"/>
    </row>
    <row r="44" spans="1:21" s="12" customFormat="1" x14ac:dyDescent="0.25">
      <c r="A44" s="200" t="s">
        <v>2300</v>
      </c>
      <c r="B44" s="59">
        <v>14.01</v>
      </c>
      <c r="C44" s="59">
        <v>54.82</v>
      </c>
      <c r="D44" s="59">
        <v>43.23</v>
      </c>
      <c r="E44" s="59">
        <v>2.19</v>
      </c>
      <c r="F44" s="59">
        <v>2.2799999999999998</v>
      </c>
      <c r="G44" s="59">
        <v>26.31</v>
      </c>
      <c r="H44" s="59">
        <v>13.7</v>
      </c>
      <c r="I44" s="59">
        <v>0.54</v>
      </c>
      <c r="J44" s="59">
        <v>0.73</v>
      </c>
      <c r="K44" s="59">
        <v>109.25</v>
      </c>
      <c r="L44" s="59">
        <v>21.71</v>
      </c>
      <c r="M44" s="59">
        <v>67.14</v>
      </c>
      <c r="N44" s="59">
        <v>348</v>
      </c>
      <c r="O44" s="59">
        <v>0</v>
      </c>
      <c r="P44" s="59">
        <v>0.43</v>
      </c>
      <c r="Q44" s="59">
        <v>52.45</v>
      </c>
      <c r="R44" s="197"/>
      <c r="S44" s="197"/>
      <c r="T44" s="197"/>
      <c r="U44" s="197"/>
    </row>
    <row r="45" spans="1:21" s="12" customFormat="1" x14ac:dyDescent="0.25">
      <c r="A45" s="200" t="s">
        <v>2301</v>
      </c>
      <c r="B45" s="59">
        <v>13.83</v>
      </c>
      <c r="C45" s="59">
        <v>53.82</v>
      </c>
      <c r="D45" s="59">
        <v>42.53</v>
      </c>
      <c r="E45" s="59">
        <v>2.1</v>
      </c>
      <c r="F45" s="59">
        <v>2.5</v>
      </c>
      <c r="G45" s="59">
        <v>26.36</v>
      </c>
      <c r="H45" s="59">
        <v>13.69</v>
      </c>
      <c r="I45" s="59">
        <v>0.54</v>
      </c>
      <c r="J45" s="59">
        <v>0.48</v>
      </c>
      <c r="K45" s="59">
        <v>96.99</v>
      </c>
      <c r="L45" s="59">
        <v>22.63</v>
      </c>
      <c r="M45" s="59">
        <v>63.63</v>
      </c>
      <c r="N45" s="59">
        <v>550.1</v>
      </c>
      <c r="O45" s="59">
        <v>0</v>
      </c>
      <c r="P45" s="59">
        <v>0.43</v>
      </c>
      <c r="Q45" s="59">
        <v>51.19</v>
      </c>
      <c r="R45" s="197"/>
      <c r="S45" s="197"/>
      <c r="T45" s="197"/>
      <c r="U45" s="197"/>
    </row>
    <row r="46" spans="1:21" s="12" customFormat="1" x14ac:dyDescent="0.25">
      <c r="A46" s="200" t="s">
        <v>2302</v>
      </c>
      <c r="B46" s="59">
        <v>13.85</v>
      </c>
      <c r="C46" s="59">
        <v>55.8</v>
      </c>
      <c r="D46" s="59">
        <v>43.64</v>
      </c>
      <c r="E46" s="59">
        <v>2.14</v>
      </c>
      <c r="F46" s="59">
        <v>3.28</v>
      </c>
      <c r="G46" s="59">
        <v>30.86</v>
      </c>
      <c r="H46" s="59">
        <v>13.1</v>
      </c>
      <c r="I46" s="59">
        <v>0.54</v>
      </c>
      <c r="J46" s="59">
        <v>0.56000000000000005</v>
      </c>
      <c r="K46" s="59">
        <v>141.49</v>
      </c>
      <c r="L46" s="59">
        <v>24.07</v>
      </c>
      <c r="M46" s="59">
        <v>59.42</v>
      </c>
      <c r="N46" s="59">
        <v>651.4</v>
      </c>
      <c r="O46" s="59">
        <v>0</v>
      </c>
      <c r="P46" s="59">
        <v>0.44</v>
      </c>
      <c r="Q46" s="59">
        <v>50.53</v>
      </c>
      <c r="R46" s="197"/>
      <c r="S46" s="197"/>
      <c r="T46" s="197"/>
      <c r="U46" s="197"/>
    </row>
    <row r="47" spans="1:21" s="12" customFormat="1" x14ac:dyDescent="0.25">
      <c r="A47" s="200" t="s">
        <v>2303</v>
      </c>
      <c r="B47" s="59">
        <v>13.65</v>
      </c>
      <c r="C47" s="59">
        <v>56.45</v>
      </c>
      <c r="D47" s="59">
        <v>43.83</v>
      </c>
      <c r="E47" s="59">
        <v>2.41</v>
      </c>
      <c r="F47" s="59">
        <v>2.2000000000000002</v>
      </c>
      <c r="G47" s="59">
        <v>30.86</v>
      </c>
      <c r="H47" s="59">
        <v>13.1</v>
      </c>
      <c r="I47" s="59">
        <v>0.56999999999999995</v>
      </c>
      <c r="J47" s="59">
        <v>0.68</v>
      </c>
      <c r="K47" s="59">
        <v>149.78</v>
      </c>
      <c r="L47" s="59">
        <v>24.08</v>
      </c>
      <c r="M47" s="59">
        <v>59.1</v>
      </c>
      <c r="N47" s="59">
        <v>670.4</v>
      </c>
      <c r="O47" s="59">
        <v>0</v>
      </c>
      <c r="P47" s="59">
        <v>0.43</v>
      </c>
      <c r="Q47" s="59">
        <v>54.62</v>
      </c>
      <c r="R47" s="197"/>
      <c r="S47" s="197"/>
      <c r="T47" s="197"/>
      <c r="U47" s="197"/>
    </row>
    <row r="48" spans="1:21" s="12" customFormat="1" x14ac:dyDescent="0.25">
      <c r="A48" s="200" t="s">
        <v>2304</v>
      </c>
      <c r="B48" s="59">
        <v>12.18</v>
      </c>
      <c r="C48" s="59">
        <v>46.62</v>
      </c>
      <c r="D48" s="59">
        <v>37.24</v>
      </c>
      <c r="E48" s="59">
        <v>2.1800000000000002</v>
      </c>
      <c r="F48" s="59">
        <v>2.66</v>
      </c>
      <c r="G48" s="59">
        <v>30.86</v>
      </c>
      <c r="H48" s="59">
        <v>13.1</v>
      </c>
      <c r="I48" s="59">
        <v>0.54</v>
      </c>
      <c r="J48" s="59">
        <v>0.31</v>
      </c>
      <c r="K48" s="59">
        <v>176.59</v>
      </c>
      <c r="L48" s="59">
        <v>24.47</v>
      </c>
      <c r="M48" s="59">
        <v>58.17</v>
      </c>
      <c r="N48" s="59">
        <v>738.4</v>
      </c>
      <c r="O48" s="59">
        <v>0</v>
      </c>
      <c r="P48" s="59">
        <v>0.43</v>
      </c>
      <c r="Q48" s="59">
        <v>56.2</v>
      </c>
      <c r="R48" s="197"/>
      <c r="S48" s="197"/>
      <c r="T48" s="197"/>
      <c r="U48" s="197"/>
    </row>
    <row r="49" spans="1:21" s="12" customFormat="1" x14ac:dyDescent="0.25">
      <c r="A49" s="200" t="s">
        <v>2305</v>
      </c>
      <c r="B49" s="59">
        <v>11.17</v>
      </c>
      <c r="C49" s="59">
        <v>46.27</v>
      </c>
      <c r="D49" s="59">
        <v>36.229999999999997</v>
      </c>
      <c r="E49" s="59">
        <v>2.2400000000000002</v>
      </c>
      <c r="F49" s="59">
        <v>2.5499999999999998</v>
      </c>
      <c r="G49" s="59">
        <v>30.86</v>
      </c>
      <c r="H49" s="59">
        <v>13.09</v>
      </c>
      <c r="I49" s="59">
        <v>0.56999999999999995</v>
      </c>
      <c r="J49" s="59">
        <v>0.61</v>
      </c>
      <c r="K49" s="59">
        <v>104.18</v>
      </c>
      <c r="L49" s="59">
        <v>25.07</v>
      </c>
      <c r="M49" s="59">
        <v>55.94</v>
      </c>
      <c r="N49" s="59">
        <v>773.7</v>
      </c>
      <c r="O49" s="59">
        <v>0</v>
      </c>
      <c r="P49" s="59">
        <v>0.42</v>
      </c>
      <c r="Q49" s="59">
        <v>52.79</v>
      </c>
      <c r="R49" s="197"/>
      <c r="S49" s="197"/>
      <c r="T49" s="197"/>
      <c r="U49" s="197"/>
    </row>
    <row r="50" spans="1:21" s="12" customFormat="1" x14ac:dyDescent="0.25">
      <c r="A50" s="200" t="s">
        <v>2306</v>
      </c>
      <c r="B50" s="59">
        <v>10.28</v>
      </c>
      <c r="C50" s="59">
        <v>54.86</v>
      </c>
      <c r="D50" s="59">
        <v>40.26</v>
      </c>
      <c r="E50" s="59">
        <v>2.06</v>
      </c>
      <c r="F50" s="59">
        <v>2.92</v>
      </c>
      <c r="G50" s="59">
        <v>27.3</v>
      </c>
      <c r="H50" s="59">
        <v>11.84</v>
      </c>
      <c r="I50" s="59">
        <v>0.56000000000000005</v>
      </c>
      <c r="J50" s="59">
        <v>0.4</v>
      </c>
      <c r="K50" s="59">
        <v>175.17</v>
      </c>
      <c r="L50" s="59">
        <v>25.88</v>
      </c>
      <c r="M50" s="59">
        <v>51.11</v>
      </c>
      <c r="N50" s="59">
        <v>809.7</v>
      </c>
      <c r="O50" s="59">
        <v>0</v>
      </c>
      <c r="P50" s="59">
        <v>0.43</v>
      </c>
      <c r="Q50" s="59">
        <v>54.01</v>
      </c>
      <c r="R50" s="197"/>
      <c r="S50" s="197"/>
      <c r="T50" s="197"/>
      <c r="U50" s="197"/>
    </row>
    <row r="51" spans="1:21" s="12" customFormat="1" x14ac:dyDescent="0.25">
      <c r="A51" s="200" t="s">
        <v>2307</v>
      </c>
      <c r="B51" s="59">
        <v>5.49</v>
      </c>
      <c r="C51" s="59">
        <v>37.119999999999997</v>
      </c>
      <c r="D51" s="59">
        <v>26.63</v>
      </c>
      <c r="E51" s="59">
        <v>2.2999999999999998</v>
      </c>
      <c r="F51" s="59">
        <v>24.15</v>
      </c>
      <c r="G51" s="59">
        <v>27.3</v>
      </c>
      <c r="H51" s="59">
        <v>11.84</v>
      </c>
      <c r="I51" s="59">
        <v>0.54</v>
      </c>
      <c r="J51" s="59">
        <v>0.2</v>
      </c>
      <c r="K51" s="59">
        <v>209.55</v>
      </c>
      <c r="L51" s="59">
        <v>25.79</v>
      </c>
      <c r="M51" s="59">
        <v>50.89</v>
      </c>
      <c r="N51" s="59">
        <v>654.9</v>
      </c>
      <c r="O51" s="59">
        <v>0</v>
      </c>
      <c r="P51" s="59">
        <v>0.35</v>
      </c>
      <c r="Q51" s="59">
        <v>53.03</v>
      </c>
      <c r="R51" s="197"/>
      <c r="S51" s="197"/>
      <c r="T51" s="197"/>
      <c r="U51" s="197"/>
    </row>
    <row r="52" spans="1:21" s="12" customFormat="1" x14ac:dyDescent="0.25">
      <c r="A52" s="200" t="s">
        <v>2308</v>
      </c>
      <c r="B52" s="59">
        <v>3.32</v>
      </c>
      <c r="C52" s="59">
        <v>29.43</v>
      </c>
      <c r="D52" s="59">
        <v>20.65</v>
      </c>
      <c r="E52" s="59">
        <v>1.42</v>
      </c>
      <c r="F52" s="59">
        <v>12.02</v>
      </c>
      <c r="G52" s="59">
        <v>27.3</v>
      </c>
      <c r="H52" s="59">
        <v>11.84</v>
      </c>
      <c r="I52" s="59">
        <v>0.56000000000000005</v>
      </c>
      <c r="J52" s="59">
        <v>0.7</v>
      </c>
      <c r="K52" s="59">
        <v>189.72</v>
      </c>
      <c r="L52" s="59">
        <v>26.65</v>
      </c>
      <c r="M52" s="59">
        <v>47.8</v>
      </c>
      <c r="N52" s="59">
        <v>817.5</v>
      </c>
      <c r="O52" s="59">
        <v>0</v>
      </c>
      <c r="P52" s="59">
        <v>0.33</v>
      </c>
      <c r="Q52" s="59">
        <v>47.44</v>
      </c>
      <c r="R52" s="197"/>
      <c r="S52" s="197"/>
      <c r="T52" s="197"/>
      <c r="U52" s="197"/>
    </row>
    <row r="53" spans="1:21" s="12" customFormat="1" x14ac:dyDescent="0.25">
      <c r="A53" s="200" t="s">
        <v>2309</v>
      </c>
      <c r="B53" s="59">
        <v>3.15</v>
      </c>
      <c r="C53" s="59">
        <v>26.66</v>
      </c>
      <c r="D53" s="59">
        <v>18.98</v>
      </c>
      <c r="E53" s="59">
        <v>1.04</v>
      </c>
      <c r="F53" s="59">
        <v>8.3699999999999992</v>
      </c>
      <c r="G53" s="59">
        <v>27.22</v>
      </c>
      <c r="H53" s="59">
        <v>11.84</v>
      </c>
      <c r="I53" s="59">
        <v>0.47</v>
      </c>
      <c r="J53" s="59">
        <v>0.64</v>
      </c>
      <c r="K53" s="59">
        <v>163.74</v>
      </c>
      <c r="L53" s="59">
        <v>26.82</v>
      </c>
      <c r="M53" s="59">
        <v>49.04</v>
      </c>
      <c r="N53" s="59">
        <v>716.3</v>
      </c>
      <c r="O53" s="59">
        <v>0</v>
      </c>
      <c r="P53" s="59">
        <v>0.31</v>
      </c>
      <c r="Q53" s="59">
        <v>43.49</v>
      </c>
      <c r="R53" s="197"/>
      <c r="S53" s="197"/>
      <c r="T53" s="197"/>
      <c r="U53" s="197"/>
    </row>
    <row r="54" spans="1:21" s="12" customFormat="1" x14ac:dyDescent="0.25">
      <c r="A54" s="200" t="s">
        <v>2310</v>
      </c>
      <c r="B54" s="59">
        <v>3.15</v>
      </c>
      <c r="C54" s="59">
        <v>25.27</v>
      </c>
      <c r="D54" s="59">
        <v>18.21</v>
      </c>
      <c r="E54" s="59">
        <v>1.61</v>
      </c>
      <c r="F54" s="59">
        <v>11.09</v>
      </c>
      <c r="G54" s="59">
        <v>19.78</v>
      </c>
      <c r="H54" s="59">
        <v>11.58</v>
      </c>
      <c r="I54" s="59">
        <v>0.45</v>
      </c>
      <c r="J54" s="59">
        <v>0.49</v>
      </c>
      <c r="K54" s="59">
        <v>207.69</v>
      </c>
      <c r="L54" s="59">
        <v>26.35</v>
      </c>
      <c r="M54" s="59">
        <v>48.66</v>
      </c>
      <c r="N54" s="59">
        <v>631.4</v>
      </c>
      <c r="O54" s="59">
        <v>0</v>
      </c>
      <c r="P54" s="59">
        <v>0.3</v>
      </c>
      <c r="Q54" s="59">
        <v>42.99</v>
      </c>
      <c r="R54" s="197"/>
      <c r="S54" s="197"/>
      <c r="T54" s="197"/>
      <c r="U54" s="197"/>
    </row>
    <row r="55" spans="1:21" s="12" customFormat="1" x14ac:dyDescent="0.25">
      <c r="A55" s="200" t="s">
        <v>2311</v>
      </c>
      <c r="B55" s="59">
        <v>3.24</v>
      </c>
      <c r="C55" s="59">
        <v>23.37</v>
      </c>
      <c r="D55" s="59">
        <v>17.23</v>
      </c>
      <c r="E55" s="59">
        <v>0.69</v>
      </c>
      <c r="F55" s="59">
        <v>5.85</v>
      </c>
      <c r="G55" s="59">
        <v>19.78</v>
      </c>
      <c r="H55" s="59">
        <v>11.58</v>
      </c>
      <c r="I55" s="59">
        <v>0.44</v>
      </c>
      <c r="J55" s="59">
        <v>0.82</v>
      </c>
      <c r="K55" s="59">
        <v>199.26</v>
      </c>
      <c r="L55" s="59">
        <v>26.18</v>
      </c>
      <c r="M55" s="59">
        <v>46.53</v>
      </c>
      <c r="N55" s="59">
        <v>564.5</v>
      </c>
      <c r="O55" s="59">
        <v>0</v>
      </c>
      <c r="P55" s="59">
        <v>0.3</v>
      </c>
      <c r="Q55" s="59">
        <v>43.95</v>
      </c>
      <c r="R55" s="197"/>
      <c r="S55" s="197"/>
      <c r="T55" s="197"/>
      <c r="U55" s="197"/>
    </row>
    <row r="56" spans="1:21" s="12" customFormat="1" x14ac:dyDescent="0.25">
      <c r="A56" s="200" t="s">
        <v>2312</v>
      </c>
      <c r="B56" s="59">
        <v>3.63</v>
      </c>
      <c r="C56" s="59">
        <v>28.1</v>
      </c>
      <c r="D56" s="59">
        <v>20.16</v>
      </c>
      <c r="E56" s="59">
        <v>0.94</v>
      </c>
      <c r="F56" s="59">
        <v>5.65</v>
      </c>
      <c r="G56" s="59">
        <v>19.78</v>
      </c>
      <c r="H56" s="59">
        <v>11.58</v>
      </c>
      <c r="I56" s="59">
        <v>0.46</v>
      </c>
      <c r="J56" s="59">
        <v>1.23</v>
      </c>
      <c r="K56" s="59">
        <v>180.39</v>
      </c>
      <c r="L56" s="59">
        <v>25.72</v>
      </c>
      <c r="M56" s="59">
        <v>48.47</v>
      </c>
      <c r="N56" s="59">
        <v>593</v>
      </c>
      <c r="O56" s="59">
        <v>0</v>
      </c>
      <c r="P56" s="59">
        <v>0.3</v>
      </c>
      <c r="Q56" s="59">
        <v>38.54</v>
      </c>
      <c r="R56" s="197"/>
      <c r="S56" s="197"/>
      <c r="T56" s="197"/>
      <c r="U56" s="197"/>
    </row>
    <row r="57" spans="1:21" s="12" customFormat="1" x14ac:dyDescent="0.25">
      <c r="A57" s="200" t="s">
        <v>2313</v>
      </c>
      <c r="B57" s="59">
        <v>4.87</v>
      </c>
      <c r="C57" s="59">
        <v>25.76</v>
      </c>
      <c r="D57" s="59">
        <v>19.86</v>
      </c>
      <c r="E57" s="59">
        <v>1.1299999999999999</v>
      </c>
      <c r="F57" s="59">
        <v>8.11</v>
      </c>
      <c r="G57" s="59">
        <v>19.739999999999998</v>
      </c>
      <c r="H57" s="59">
        <v>11.58</v>
      </c>
      <c r="I57" s="59">
        <v>0.45</v>
      </c>
      <c r="J57" s="59">
        <v>0.32</v>
      </c>
      <c r="K57" s="59">
        <v>217.12</v>
      </c>
      <c r="L57" s="59">
        <v>26.25</v>
      </c>
      <c r="M57" s="59">
        <v>48.66</v>
      </c>
      <c r="N57" s="59">
        <v>743.9</v>
      </c>
      <c r="O57" s="59">
        <v>0</v>
      </c>
      <c r="P57" s="59">
        <v>0.28999999999999998</v>
      </c>
      <c r="Q57" s="59">
        <v>43.21</v>
      </c>
      <c r="R57" s="197"/>
      <c r="S57" s="197"/>
      <c r="T57" s="197"/>
      <c r="U57" s="197"/>
    </row>
    <row r="58" spans="1:21" s="12" customFormat="1" x14ac:dyDescent="0.25">
      <c r="A58" s="200" t="s">
        <v>2314</v>
      </c>
      <c r="B58" s="59">
        <v>5.58</v>
      </c>
      <c r="C58" s="59">
        <v>20.83</v>
      </c>
      <c r="D58" s="59">
        <v>17.72</v>
      </c>
      <c r="E58" s="59">
        <v>1.63</v>
      </c>
      <c r="F58" s="59">
        <v>6.59</v>
      </c>
      <c r="G58" s="59">
        <v>16.53</v>
      </c>
      <c r="H58" s="59">
        <v>199.8</v>
      </c>
      <c r="I58" s="59">
        <v>0.47</v>
      </c>
      <c r="J58" s="59">
        <v>0.41</v>
      </c>
      <c r="K58" s="59">
        <v>1.61</v>
      </c>
      <c r="L58" s="59">
        <v>29.21</v>
      </c>
      <c r="M58" s="59">
        <v>43.24</v>
      </c>
      <c r="N58" s="59">
        <v>762.2</v>
      </c>
      <c r="O58" s="59">
        <v>0</v>
      </c>
      <c r="P58" s="59">
        <v>0.28999999999999998</v>
      </c>
      <c r="Q58" s="59">
        <v>40</v>
      </c>
      <c r="R58" s="197"/>
      <c r="S58" s="197"/>
      <c r="T58" s="197"/>
      <c r="U58" s="197"/>
    </row>
    <row r="59" spans="1:21" s="12" customFormat="1" x14ac:dyDescent="0.25">
      <c r="A59" s="200" t="s">
        <v>2315</v>
      </c>
      <c r="B59" s="59">
        <v>6.2</v>
      </c>
      <c r="C59" s="59">
        <v>39.53</v>
      </c>
      <c r="D59" s="59">
        <v>28.53</v>
      </c>
      <c r="E59" s="59">
        <v>1.49</v>
      </c>
      <c r="F59" s="59">
        <v>6.02</v>
      </c>
      <c r="G59" s="59">
        <v>16.53</v>
      </c>
      <c r="H59" s="59">
        <v>199.8</v>
      </c>
      <c r="I59" s="59">
        <v>0.48</v>
      </c>
      <c r="J59" s="59">
        <v>0.34</v>
      </c>
      <c r="K59" s="59">
        <v>343.7</v>
      </c>
      <c r="L59" s="59">
        <v>29.82</v>
      </c>
      <c r="M59" s="59">
        <v>40.159999999999997</v>
      </c>
      <c r="N59" s="59">
        <v>790.5</v>
      </c>
      <c r="O59" s="59">
        <v>0</v>
      </c>
      <c r="P59" s="59">
        <v>0.32</v>
      </c>
      <c r="Q59" s="59">
        <v>39.869999999999997</v>
      </c>
      <c r="R59" s="197"/>
      <c r="S59" s="197"/>
      <c r="T59" s="197"/>
      <c r="U59" s="197"/>
    </row>
    <row r="60" spans="1:21" s="12" customFormat="1" x14ac:dyDescent="0.25">
      <c r="A60" s="200" t="s">
        <v>2316</v>
      </c>
      <c r="B60" s="59">
        <v>7.78</v>
      </c>
      <c r="C60" s="59">
        <v>27.88</v>
      </c>
      <c r="D60" s="59">
        <v>23.36</v>
      </c>
      <c r="E60" s="59">
        <v>3.29</v>
      </c>
      <c r="F60" s="59">
        <v>14.09</v>
      </c>
      <c r="G60" s="59">
        <v>16.53</v>
      </c>
      <c r="H60" s="59">
        <v>6.81</v>
      </c>
      <c r="I60" s="59">
        <v>0.48</v>
      </c>
      <c r="J60" s="59">
        <v>0.47</v>
      </c>
      <c r="K60" s="59">
        <v>11.33</v>
      </c>
      <c r="L60" s="59">
        <v>30.34</v>
      </c>
      <c r="M60" s="59">
        <v>39.1</v>
      </c>
      <c r="N60" s="59">
        <v>681.1</v>
      </c>
      <c r="O60" s="59">
        <v>0</v>
      </c>
      <c r="P60" s="59">
        <v>0.35</v>
      </c>
      <c r="Q60" s="59">
        <v>43.26</v>
      </c>
      <c r="R60" s="197"/>
      <c r="S60" s="197"/>
      <c r="T60" s="197"/>
      <c r="U60" s="197"/>
    </row>
    <row r="61" spans="1:21" s="12" customFormat="1" x14ac:dyDescent="0.25">
      <c r="A61" s="200" t="s">
        <v>2317</v>
      </c>
      <c r="B61" s="59">
        <v>5.92</v>
      </c>
      <c r="C61" s="59">
        <v>35.81</v>
      </c>
      <c r="D61" s="59">
        <v>26.25</v>
      </c>
      <c r="E61" s="59">
        <v>2.95</v>
      </c>
      <c r="F61" s="59">
        <v>6.04</v>
      </c>
      <c r="G61" s="209" t="s">
        <v>36</v>
      </c>
      <c r="H61" s="209" t="s">
        <v>36</v>
      </c>
      <c r="I61" s="59">
        <v>0.49</v>
      </c>
      <c r="J61" s="59">
        <v>0.43</v>
      </c>
      <c r="K61" s="59">
        <v>358.16</v>
      </c>
      <c r="L61" s="59">
        <v>30.43</v>
      </c>
      <c r="M61" s="59">
        <v>39.25</v>
      </c>
      <c r="N61" s="59">
        <v>838.4</v>
      </c>
      <c r="O61" s="59">
        <v>0</v>
      </c>
      <c r="P61" s="59">
        <v>0.34</v>
      </c>
      <c r="Q61" s="59">
        <v>39.39</v>
      </c>
      <c r="R61" s="197"/>
      <c r="S61" s="197"/>
      <c r="T61" s="197"/>
      <c r="U61" s="197"/>
    </row>
    <row r="62" spans="1:21" s="12" customFormat="1" x14ac:dyDescent="0.25">
      <c r="A62" s="200" t="s">
        <v>2318</v>
      </c>
      <c r="B62" s="59">
        <v>6.41</v>
      </c>
      <c r="C62" s="59">
        <v>41.98</v>
      </c>
      <c r="D62" s="59">
        <v>30.05</v>
      </c>
      <c r="E62" s="59">
        <v>2.48</v>
      </c>
      <c r="F62" s="59">
        <v>8.59</v>
      </c>
      <c r="G62" s="209" t="s">
        <v>36</v>
      </c>
      <c r="H62" s="209" t="s">
        <v>36</v>
      </c>
      <c r="I62" s="59">
        <v>0.49</v>
      </c>
      <c r="J62" s="59">
        <v>0.55000000000000004</v>
      </c>
      <c r="K62" s="59">
        <v>13.09</v>
      </c>
      <c r="L62" s="59">
        <v>32.03</v>
      </c>
      <c r="M62" s="59">
        <v>35.28</v>
      </c>
      <c r="N62" s="59">
        <v>808.9</v>
      </c>
      <c r="O62" s="59">
        <v>0</v>
      </c>
      <c r="P62" s="59">
        <v>0.39</v>
      </c>
      <c r="Q62" s="59">
        <v>45.36</v>
      </c>
      <c r="R62" s="197"/>
      <c r="S62" s="197"/>
      <c r="T62" s="197"/>
      <c r="U62" s="197"/>
    </row>
    <row r="63" spans="1:21" s="12" customFormat="1" x14ac:dyDescent="0.25">
      <c r="A63" s="200" t="s">
        <v>2319</v>
      </c>
      <c r="B63" s="59">
        <v>6.17</v>
      </c>
      <c r="C63" s="59">
        <v>38.14</v>
      </c>
      <c r="D63" s="59">
        <v>27.74</v>
      </c>
      <c r="E63" s="59">
        <v>2.46</v>
      </c>
      <c r="F63" s="59">
        <v>6.07</v>
      </c>
      <c r="G63" s="209" t="s">
        <v>36</v>
      </c>
      <c r="H63" s="209" t="s">
        <v>36</v>
      </c>
      <c r="I63" s="59">
        <v>0.51</v>
      </c>
      <c r="J63" s="59">
        <v>0.56999999999999995</v>
      </c>
      <c r="K63" s="59">
        <v>6.44</v>
      </c>
      <c r="L63" s="59">
        <v>31.82</v>
      </c>
      <c r="M63" s="59">
        <v>35.479999999999997</v>
      </c>
      <c r="N63" s="59">
        <v>775.5</v>
      </c>
      <c r="O63" s="59">
        <v>0</v>
      </c>
      <c r="P63" s="59">
        <v>0.42</v>
      </c>
      <c r="Q63" s="59">
        <v>41.88</v>
      </c>
      <c r="R63" s="197"/>
      <c r="S63" s="197"/>
      <c r="T63" s="197"/>
      <c r="U63" s="197"/>
    </row>
    <row r="64" spans="1:21" s="12" customFormat="1" x14ac:dyDescent="0.25">
      <c r="A64" s="200" t="s">
        <v>2320</v>
      </c>
      <c r="B64" s="59">
        <v>4.67</v>
      </c>
      <c r="C64" s="59">
        <v>49.76</v>
      </c>
      <c r="D64" s="59">
        <v>32.950000000000003</v>
      </c>
      <c r="E64" s="59">
        <v>2.2200000000000002</v>
      </c>
      <c r="F64" s="59">
        <v>5.83</v>
      </c>
      <c r="G64" s="59">
        <v>49.67</v>
      </c>
      <c r="H64" s="59">
        <v>17.989999999999998</v>
      </c>
      <c r="I64" s="59">
        <v>0.51</v>
      </c>
      <c r="J64" s="59">
        <v>0.28000000000000003</v>
      </c>
      <c r="K64" s="59">
        <v>68.430000000000007</v>
      </c>
      <c r="L64" s="59">
        <v>30.54</v>
      </c>
      <c r="M64" s="59">
        <v>37.18</v>
      </c>
      <c r="N64" s="59">
        <v>749.9</v>
      </c>
      <c r="O64" s="59">
        <v>0</v>
      </c>
      <c r="P64" s="59">
        <v>0.44</v>
      </c>
      <c r="Q64" s="59">
        <v>46.77</v>
      </c>
      <c r="R64" s="197"/>
      <c r="S64" s="197"/>
      <c r="T64" s="197"/>
      <c r="U64" s="197"/>
    </row>
    <row r="65" spans="1:21" s="12" customFormat="1" x14ac:dyDescent="0.25">
      <c r="A65" s="200" t="s">
        <v>2321</v>
      </c>
      <c r="B65" s="59">
        <v>4.41</v>
      </c>
      <c r="C65" s="59">
        <v>35.35</v>
      </c>
      <c r="D65" s="59">
        <v>24.78</v>
      </c>
      <c r="E65" s="59">
        <v>2.44</v>
      </c>
      <c r="F65" s="59">
        <v>5.89</v>
      </c>
      <c r="G65" s="59">
        <v>51.39</v>
      </c>
      <c r="H65" s="59">
        <v>18.61</v>
      </c>
      <c r="I65" s="59">
        <v>0.52</v>
      </c>
      <c r="J65" s="59">
        <v>0.34</v>
      </c>
      <c r="K65" s="59">
        <v>38.42</v>
      </c>
      <c r="L65" s="59">
        <v>30.27</v>
      </c>
      <c r="M65" s="59">
        <v>36.96</v>
      </c>
      <c r="N65" s="59">
        <v>686.7</v>
      </c>
      <c r="O65" s="59">
        <v>0</v>
      </c>
      <c r="P65" s="59">
        <v>0.46</v>
      </c>
      <c r="Q65" s="59">
        <v>47.3</v>
      </c>
      <c r="R65" s="197"/>
      <c r="S65" s="197"/>
      <c r="T65" s="197"/>
      <c r="U65" s="197"/>
    </row>
    <row r="66" spans="1:21" s="12" customFormat="1" x14ac:dyDescent="0.25">
      <c r="A66" s="200" t="s">
        <v>2322</v>
      </c>
      <c r="B66" s="59">
        <v>4.42</v>
      </c>
      <c r="C66" s="59">
        <v>51.58</v>
      </c>
      <c r="D66" s="59">
        <v>33.75</v>
      </c>
      <c r="E66" s="59">
        <v>2.2599999999999998</v>
      </c>
      <c r="F66" s="59">
        <v>5.73</v>
      </c>
      <c r="G66" s="59">
        <v>51.39</v>
      </c>
      <c r="H66" s="59">
        <v>18.61</v>
      </c>
      <c r="I66" s="59">
        <v>0.52</v>
      </c>
      <c r="J66" s="59">
        <v>0.96</v>
      </c>
      <c r="K66" s="59">
        <v>7.54</v>
      </c>
      <c r="L66" s="59">
        <v>31.81</v>
      </c>
      <c r="M66" s="59">
        <v>33.979999999999997</v>
      </c>
      <c r="N66" s="59">
        <v>622.9</v>
      </c>
      <c r="O66" s="59">
        <v>0</v>
      </c>
      <c r="P66" s="59">
        <v>0.51</v>
      </c>
      <c r="Q66" s="59">
        <v>42.4</v>
      </c>
      <c r="R66" s="197"/>
      <c r="S66" s="197"/>
      <c r="T66" s="197"/>
      <c r="U66" s="197"/>
    </row>
    <row r="67" spans="1:21" s="12" customFormat="1" x14ac:dyDescent="0.25">
      <c r="A67" s="200" t="s">
        <v>2323</v>
      </c>
      <c r="B67" s="59">
        <v>4.54</v>
      </c>
      <c r="C67" s="59">
        <v>40.799999999999997</v>
      </c>
      <c r="D67" s="59">
        <v>27.9</v>
      </c>
      <c r="E67" s="59">
        <v>2.74</v>
      </c>
      <c r="F67" s="59">
        <v>8.1</v>
      </c>
      <c r="G67" s="59">
        <v>51.39</v>
      </c>
      <c r="H67" s="59">
        <v>18.61</v>
      </c>
      <c r="I67" s="59">
        <v>0.52</v>
      </c>
      <c r="J67" s="59">
        <v>0.8</v>
      </c>
      <c r="K67" s="59">
        <v>19.850000000000001</v>
      </c>
      <c r="L67" s="59">
        <v>31.44</v>
      </c>
      <c r="M67" s="59">
        <v>32.5</v>
      </c>
      <c r="N67" s="59">
        <v>432.9</v>
      </c>
      <c r="O67" s="59">
        <v>0</v>
      </c>
      <c r="P67" s="59">
        <v>0.54</v>
      </c>
      <c r="Q67" s="59">
        <v>48.18</v>
      </c>
      <c r="R67" s="197"/>
      <c r="S67" s="197"/>
      <c r="T67" s="197"/>
      <c r="U67" s="197"/>
    </row>
    <row r="68" spans="1:21" s="12" customFormat="1" x14ac:dyDescent="0.25">
      <c r="A68" s="200" t="s">
        <v>2324</v>
      </c>
      <c r="B68" s="59">
        <v>3.99</v>
      </c>
      <c r="C68" s="59">
        <v>47.03</v>
      </c>
      <c r="D68" s="59">
        <v>30.9</v>
      </c>
      <c r="E68" s="59">
        <v>2.62</v>
      </c>
      <c r="F68" s="59">
        <v>5.67</v>
      </c>
      <c r="G68" s="59">
        <v>51.34</v>
      </c>
      <c r="H68" s="59">
        <v>17.2</v>
      </c>
      <c r="I68" s="59">
        <v>0.52</v>
      </c>
      <c r="J68" s="59">
        <v>0.6</v>
      </c>
      <c r="K68" s="59">
        <v>345.42</v>
      </c>
      <c r="L68" s="59">
        <v>30.44</v>
      </c>
      <c r="M68" s="59">
        <v>34.64</v>
      </c>
      <c r="N68" s="59">
        <v>144.5</v>
      </c>
      <c r="O68" s="59">
        <v>0</v>
      </c>
      <c r="P68" s="59">
        <v>0.57999999999999996</v>
      </c>
      <c r="Q68" s="59">
        <v>41.36</v>
      </c>
      <c r="R68" s="197"/>
      <c r="S68" s="197"/>
      <c r="T68" s="197"/>
      <c r="U68" s="197"/>
    </row>
    <row r="69" spans="1:21" s="12" customFormat="1" x14ac:dyDescent="0.25">
      <c r="A69" s="200" t="s">
        <v>2325</v>
      </c>
      <c r="B69" s="59">
        <v>4.21</v>
      </c>
      <c r="C69" s="59">
        <v>40.479999999999997</v>
      </c>
      <c r="D69" s="59">
        <v>27.46</v>
      </c>
      <c r="E69" s="59">
        <v>2.63</v>
      </c>
      <c r="F69" s="59">
        <v>5.49</v>
      </c>
      <c r="G69" s="59">
        <v>51.33</v>
      </c>
      <c r="H69" s="59">
        <v>17.149999999999999</v>
      </c>
      <c r="I69" s="59">
        <v>0.52</v>
      </c>
      <c r="J69" s="59">
        <v>1.35</v>
      </c>
      <c r="K69" s="59">
        <v>359.18</v>
      </c>
      <c r="L69" s="59">
        <v>28.87</v>
      </c>
      <c r="M69" s="59">
        <v>38.71</v>
      </c>
      <c r="N69" s="59">
        <v>107.2</v>
      </c>
      <c r="O69" s="59">
        <v>0</v>
      </c>
      <c r="P69" s="59">
        <v>0.59</v>
      </c>
      <c r="Q69" s="59">
        <v>43.14</v>
      </c>
      <c r="R69" s="197"/>
      <c r="S69" s="197"/>
      <c r="T69" s="197"/>
      <c r="U69" s="197"/>
    </row>
    <row r="70" spans="1:21" s="12" customFormat="1" x14ac:dyDescent="0.25">
      <c r="A70" s="200" t="s">
        <v>2326</v>
      </c>
      <c r="B70" s="59">
        <v>4.9000000000000004</v>
      </c>
      <c r="C70" s="59">
        <v>37.61</v>
      </c>
      <c r="D70" s="59">
        <v>26.43</v>
      </c>
      <c r="E70" s="59">
        <v>2.29</v>
      </c>
      <c r="F70" s="59">
        <v>7.54</v>
      </c>
      <c r="G70" s="59">
        <v>51.33</v>
      </c>
      <c r="H70" s="59">
        <v>17.149999999999999</v>
      </c>
      <c r="I70" s="59">
        <v>0.53</v>
      </c>
      <c r="J70" s="59">
        <v>0.99</v>
      </c>
      <c r="K70" s="59">
        <v>349.75</v>
      </c>
      <c r="L70" s="59">
        <v>28.65</v>
      </c>
      <c r="M70" s="59">
        <v>38.020000000000003</v>
      </c>
      <c r="N70" s="59">
        <v>164.7</v>
      </c>
      <c r="O70" s="59">
        <v>0</v>
      </c>
      <c r="P70" s="59">
        <v>0.6</v>
      </c>
      <c r="Q70" s="59">
        <v>38.43</v>
      </c>
      <c r="R70" s="197"/>
      <c r="S70" s="197"/>
      <c r="T70" s="197"/>
      <c r="U70" s="197"/>
    </row>
    <row r="71" spans="1:21" s="12" customFormat="1" x14ac:dyDescent="0.25">
      <c r="A71" s="200" t="s">
        <v>2327</v>
      </c>
      <c r="B71" s="59">
        <v>5.03</v>
      </c>
      <c r="C71" s="59">
        <v>49.07</v>
      </c>
      <c r="D71" s="59">
        <v>32.85</v>
      </c>
      <c r="E71" s="59">
        <v>2.31</v>
      </c>
      <c r="F71" s="59">
        <v>5.15</v>
      </c>
      <c r="G71" s="59">
        <v>51.33</v>
      </c>
      <c r="H71" s="59">
        <v>17.149999999999999</v>
      </c>
      <c r="I71" s="59">
        <v>0.53</v>
      </c>
      <c r="J71" s="59">
        <v>1.52</v>
      </c>
      <c r="K71" s="59">
        <v>356.35</v>
      </c>
      <c r="L71" s="59">
        <v>28.56</v>
      </c>
      <c r="M71" s="59">
        <v>38.33</v>
      </c>
      <c r="N71" s="59">
        <v>153.5</v>
      </c>
      <c r="O71" s="59">
        <v>0</v>
      </c>
      <c r="P71" s="59">
        <v>0.6</v>
      </c>
      <c r="Q71" s="59">
        <v>40.21</v>
      </c>
      <c r="R71" s="197"/>
      <c r="S71" s="197"/>
      <c r="T71" s="197"/>
      <c r="U71" s="197"/>
    </row>
    <row r="72" spans="1:21" s="12" customFormat="1" x14ac:dyDescent="0.25">
      <c r="A72" s="200" t="s">
        <v>2328</v>
      </c>
      <c r="B72" s="59">
        <v>4.8099999999999996</v>
      </c>
      <c r="C72" s="59">
        <v>34.92</v>
      </c>
      <c r="D72" s="59">
        <v>24.87</v>
      </c>
      <c r="E72" s="59">
        <v>2.27</v>
      </c>
      <c r="F72" s="59">
        <v>6.83</v>
      </c>
      <c r="G72" s="59">
        <v>55.08</v>
      </c>
      <c r="H72" s="59">
        <v>22.38</v>
      </c>
      <c r="I72" s="59">
        <v>0.52</v>
      </c>
      <c r="J72" s="59">
        <v>3.16</v>
      </c>
      <c r="K72" s="59">
        <v>1.29</v>
      </c>
      <c r="L72" s="59">
        <v>26.73</v>
      </c>
      <c r="M72" s="59">
        <v>44.73</v>
      </c>
      <c r="N72" s="59">
        <v>109.7</v>
      </c>
      <c r="O72" s="59">
        <v>0</v>
      </c>
      <c r="P72" s="59">
        <v>0.56000000000000005</v>
      </c>
      <c r="Q72" s="59">
        <v>40.24</v>
      </c>
      <c r="R72" s="197"/>
      <c r="S72" s="197"/>
      <c r="T72" s="197"/>
      <c r="U72" s="197"/>
    </row>
    <row r="73" spans="1:21" s="12" customFormat="1" x14ac:dyDescent="0.25">
      <c r="A73" s="200" t="s">
        <v>2329</v>
      </c>
      <c r="B73" s="59">
        <v>3.9</v>
      </c>
      <c r="C73" s="59">
        <v>46.42</v>
      </c>
      <c r="D73" s="59">
        <v>30.49</v>
      </c>
      <c r="E73" s="59">
        <v>3.08</v>
      </c>
      <c r="F73" s="59">
        <v>5.96</v>
      </c>
      <c r="G73" s="59">
        <v>55.21</v>
      </c>
      <c r="H73" s="59">
        <v>22.56</v>
      </c>
      <c r="I73" s="59">
        <v>0.52</v>
      </c>
      <c r="J73" s="59">
        <v>3.08</v>
      </c>
      <c r="K73" s="59">
        <v>11.65</v>
      </c>
      <c r="L73" s="59">
        <v>24.8</v>
      </c>
      <c r="M73" s="59">
        <v>44.79</v>
      </c>
      <c r="N73" s="59">
        <v>79.099999999999994</v>
      </c>
      <c r="O73" s="59">
        <v>0</v>
      </c>
      <c r="P73" s="59">
        <v>0.53</v>
      </c>
      <c r="Q73" s="59">
        <v>36.380000000000003</v>
      </c>
      <c r="R73" s="197"/>
      <c r="S73" s="197"/>
      <c r="T73" s="197"/>
      <c r="U73" s="197"/>
    </row>
    <row r="74" spans="1:21" s="12" customFormat="1" x14ac:dyDescent="0.25">
      <c r="A74" s="200" t="s">
        <v>2330</v>
      </c>
      <c r="B74" s="59">
        <v>4.5599999999999996</v>
      </c>
      <c r="C74" s="59">
        <v>35.54</v>
      </c>
      <c r="D74" s="59">
        <v>25.01</v>
      </c>
      <c r="E74" s="59">
        <v>2.87</v>
      </c>
      <c r="F74" s="59">
        <v>4.32</v>
      </c>
      <c r="G74" s="59">
        <v>55.21</v>
      </c>
      <c r="H74" s="59">
        <v>22.56</v>
      </c>
      <c r="I74" s="59">
        <v>0.52</v>
      </c>
      <c r="J74" s="59">
        <v>1.9</v>
      </c>
      <c r="K74" s="59">
        <v>15.53</v>
      </c>
      <c r="L74" s="59">
        <v>24.04</v>
      </c>
      <c r="M74" s="59">
        <v>50.3</v>
      </c>
      <c r="N74" s="59">
        <v>74.5</v>
      </c>
      <c r="O74" s="59">
        <v>0</v>
      </c>
      <c r="P74" s="59">
        <v>0.52</v>
      </c>
      <c r="Q74" s="59">
        <v>38.57</v>
      </c>
      <c r="R74" s="197"/>
      <c r="S74" s="197"/>
      <c r="T74" s="197"/>
      <c r="U74" s="197"/>
    </row>
    <row r="75" spans="1:21" s="12" customFormat="1" x14ac:dyDescent="0.25">
      <c r="A75" s="200" t="s">
        <v>2331</v>
      </c>
      <c r="B75" s="59">
        <v>5.3</v>
      </c>
      <c r="C75" s="59">
        <v>47.3</v>
      </c>
      <c r="D75" s="59">
        <v>32.1</v>
      </c>
      <c r="E75" s="59">
        <v>2.56</v>
      </c>
      <c r="F75" s="59">
        <v>1.72</v>
      </c>
      <c r="G75" s="59">
        <v>55.21</v>
      </c>
      <c r="H75" s="59">
        <v>22.56</v>
      </c>
      <c r="I75" s="59">
        <v>0.51</v>
      </c>
      <c r="J75" s="59">
        <v>2.21</v>
      </c>
      <c r="K75" s="59">
        <v>10.32</v>
      </c>
      <c r="L75" s="59">
        <v>24.43</v>
      </c>
      <c r="M75" s="59">
        <v>49.65</v>
      </c>
      <c r="N75" s="59">
        <v>149.5</v>
      </c>
      <c r="O75" s="59">
        <v>0</v>
      </c>
      <c r="P75" s="59">
        <v>0.53</v>
      </c>
      <c r="Q75" s="59">
        <v>36.07</v>
      </c>
      <c r="R75" s="197"/>
      <c r="S75" s="197"/>
      <c r="T75" s="197"/>
      <c r="U75" s="197"/>
    </row>
    <row r="76" spans="1:21" s="12" customFormat="1" x14ac:dyDescent="0.25">
      <c r="A76" s="200" t="s">
        <v>2332</v>
      </c>
      <c r="B76" s="59">
        <v>6.33</v>
      </c>
      <c r="C76" s="59">
        <v>70.87</v>
      </c>
      <c r="D76" s="59">
        <v>45.92</v>
      </c>
      <c r="E76" s="59">
        <v>2.38</v>
      </c>
      <c r="F76" s="59">
        <v>3.08</v>
      </c>
      <c r="G76" s="59">
        <v>67.819999999999993</v>
      </c>
      <c r="H76" s="59">
        <v>17.82</v>
      </c>
      <c r="I76" s="59">
        <v>0.51</v>
      </c>
      <c r="J76" s="59">
        <v>1.65</v>
      </c>
      <c r="K76" s="59">
        <v>9.17</v>
      </c>
      <c r="L76" s="59">
        <v>24.66</v>
      </c>
      <c r="M76" s="59">
        <v>46.52</v>
      </c>
      <c r="N76" s="59">
        <v>90.3</v>
      </c>
      <c r="O76" s="59">
        <v>0</v>
      </c>
      <c r="P76" s="59">
        <v>0.53</v>
      </c>
      <c r="Q76" s="59">
        <v>37.770000000000003</v>
      </c>
      <c r="R76" s="197"/>
      <c r="S76" s="197"/>
      <c r="T76" s="197"/>
      <c r="U76" s="197"/>
    </row>
    <row r="77" spans="1:21" s="12" customFormat="1" x14ac:dyDescent="0.25">
      <c r="A77" s="200" t="s">
        <v>2333</v>
      </c>
      <c r="B77" s="59">
        <v>7.13</v>
      </c>
      <c r="C77" s="59">
        <v>66.08</v>
      </c>
      <c r="D77" s="59">
        <v>43.93</v>
      </c>
      <c r="E77" s="59">
        <v>2.99</v>
      </c>
      <c r="F77" s="59">
        <v>6.77</v>
      </c>
      <c r="G77" s="59">
        <v>68.25</v>
      </c>
      <c r="H77" s="59">
        <v>17.649999999999999</v>
      </c>
      <c r="I77" s="59">
        <v>0.51</v>
      </c>
      <c r="J77" s="59">
        <v>1.51</v>
      </c>
      <c r="K77" s="59">
        <v>16.78</v>
      </c>
      <c r="L77" s="59">
        <v>24.58</v>
      </c>
      <c r="M77" s="59">
        <v>45.11</v>
      </c>
      <c r="N77" s="59">
        <v>87.4</v>
      </c>
      <c r="O77" s="59">
        <v>0</v>
      </c>
      <c r="P77" s="59">
        <v>0.54</v>
      </c>
      <c r="Q77" s="59">
        <v>41.21</v>
      </c>
      <c r="R77" s="197"/>
      <c r="S77" s="197"/>
      <c r="T77" s="197"/>
      <c r="U77" s="197"/>
    </row>
    <row r="78" spans="1:21" s="12" customFormat="1" x14ac:dyDescent="0.25">
      <c r="A78" s="200" t="s">
        <v>2334</v>
      </c>
      <c r="B78" s="59">
        <v>6.11</v>
      </c>
      <c r="C78" s="59">
        <v>74.63</v>
      </c>
      <c r="D78" s="59">
        <v>47.83</v>
      </c>
      <c r="E78" s="59">
        <v>2.83</v>
      </c>
      <c r="F78" s="59">
        <v>4.32</v>
      </c>
      <c r="G78" s="59">
        <v>68.25</v>
      </c>
      <c r="H78" s="59">
        <v>17.649999999999999</v>
      </c>
      <c r="I78" s="59">
        <v>0.5</v>
      </c>
      <c r="J78" s="59">
        <v>1.18</v>
      </c>
      <c r="K78" s="59">
        <v>17.670000000000002</v>
      </c>
      <c r="L78" s="59">
        <v>24.91</v>
      </c>
      <c r="M78" s="59">
        <v>43.39</v>
      </c>
      <c r="N78" s="59">
        <v>57.2</v>
      </c>
      <c r="O78" s="59">
        <v>0</v>
      </c>
      <c r="P78" s="59">
        <v>0.56999999999999995</v>
      </c>
      <c r="Q78" s="59">
        <v>37.46</v>
      </c>
      <c r="R78" s="197"/>
      <c r="S78" s="197"/>
      <c r="T78" s="197"/>
      <c r="U78" s="197"/>
    </row>
    <row r="79" spans="1:21" s="12" customFormat="1" x14ac:dyDescent="0.25">
      <c r="A79" s="200" t="s">
        <v>2335</v>
      </c>
      <c r="B79" s="59">
        <v>8.34</v>
      </c>
      <c r="C79" s="59">
        <v>75.86</v>
      </c>
      <c r="D79" s="59">
        <v>50.3</v>
      </c>
      <c r="E79" s="59">
        <v>2.48</v>
      </c>
      <c r="F79" s="59">
        <v>2.2999999999999998</v>
      </c>
      <c r="G79" s="59">
        <v>68.25</v>
      </c>
      <c r="H79" s="59">
        <v>17.649999999999999</v>
      </c>
      <c r="I79" s="59">
        <v>0.49</v>
      </c>
      <c r="J79" s="59">
        <v>1.1499999999999999</v>
      </c>
      <c r="K79" s="59">
        <v>22.72</v>
      </c>
      <c r="L79" s="59">
        <v>24.73</v>
      </c>
      <c r="M79" s="59">
        <v>43.37</v>
      </c>
      <c r="N79" s="59">
        <v>32.200000000000003</v>
      </c>
      <c r="O79" s="59">
        <v>0</v>
      </c>
      <c r="P79" s="59">
        <v>0.61</v>
      </c>
      <c r="Q79" s="59">
        <v>41.55</v>
      </c>
      <c r="R79" s="197"/>
      <c r="S79" s="197"/>
      <c r="T79" s="197"/>
      <c r="U79" s="197"/>
    </row>
    <row r="80" spans="1:21" s="12" customFormat="1" x14ac:dyDescent="0.25">
      <c r="A80" s="200" t="s">
        <v>2336</v>
      </c>
      <c r="B80" s="59">
        <v>10.96</v>
      </c>
      <c r="C80" s="59">
        <v>74.790000000000006</v>
      </c>
      <c r="D80" s="59">
        <v>51.81</v>
      </c>
      <c r="E80" s="59">
        <v>2.38</v>
      </c>
      <c r="F80" s="59">
        <v>1.82</v>
      </c>
      <c r="G80" s="59">
        <v>66.95</v>
      </c>
      <c r="H80" s="59">
        <v>19.46</v>
      </c>
      <c r="I80" s="59">
        <v>0.49</v>
      </c>
      <c r="J80" s="59">
        <v>0.45</v>
      </c>
      <c r="K80" s="59">
        <v>16.57</v>
      </c>
      <c r="L80" s="59">
        <v>24.3</v>
      </c>
      <c r="M80" s="59">
        <v>44.47</v>
      </c>
      <c r="N80" s="59">
        <v>19.5</v>
      </c>
      <c r="O80" s="59">
        <v>0</v>
      </c>
      <c r="P80" s="59">
        <v>0.65</v>
      </c>
      <c r="Q80" s="59">
        <v>40.64</v>
      </c>
      <c r="R80" s="197"/>
      <c r="S80" s="197"/>
      <c r="T80" s="197"/>
      <c r="U80" s="197"/>
    </row>
    <row r="81" spans="1:26" s="12" customFormat="1" x14ac:dyDescent="0.25">
      <c r="A81" s="200" t="s">
        <v>2337</v>
      </c>
      <c r="B81" s="59">
        <v>13.89</v>
      </c>
      <c r="C81" s="59">
        <v>72.66</v>
      </c>
      <c r="D81" s="59">
        <v>52.98</v>
      </c>
      <c r="E81" s="59">
        <v>2.6</v>
      </c>
      <c r="F81" s="59">
        <v>1.67</v>
      </c>
      <c r="G81" s="59">
        <v>66.900000000000006</v>
      </c>
      <c r="H81" s="59">
        <v>19.53</v>
      </c>
      <c r="I81" s="59">
        <v>0.5</v>
      </c>
      <c r="J81" s="59">
        <v>0.08</v>
      </c>
      <c r="K81" s="59">
        <v>58.62</v>
      </c>
      <c r="L81" s="59">
        <v>23.64</v>
      </c>
      <c r="M81" s="59">
        <v>45.74</v>
      </c>
      <c r="N81" s="59">
        <v>8.9</v>
      </c>
      <c r="O81" s="59">
        <v>0</v>
      </c>
      <c r="P81" s="59">
        <v>0.72</v>
      </c>
      <c r="Q81" s="59">
        <v>42.95</v>
      </c>
      <c r="R81" s="197"/>
      <c r="S81" s="197"/>
      <c r="T81" s="197"/>
      <c r="U81" s="197"/>
    </row>
    <row r="82" spans="1:26" s="12" customFormat="1" x14ac:dyDescent="0.25">
      <c r="A82" s="200" t="s">
        <v>2338</v>
      </c>
      <c r="B82" s="59">
        <v>15.8</v>
      </c>
      <c r="C82" s="59">
        <v>73.510000000000005</v>
      </c>
      <c r="D82" s="59">
        <v>54.98</v>
      </c>
      <c r="E82" s="59">
        <v>2.34</v>
      </c>
      <c r="F82" s="59">
        <v>1.75</v>
      </c>
      <c r="G82" s="59">
        <v>66.900000000000006</v>
      </c>
      <c r="H82" s="59">
        <v>19.53</v>
      </c>
      <c r="I82" s="59">
        <v>0.51</v>
      </c>
      <c r="J82" s="59">
        <v>0.83</v>
      </c>
      <c r="K82" s="59">
        <v>117.9</v>
      </c>
      <c r="L82" s="59">
        <v>23.34</v>
      </c>
      <c r="M82" s="59">
        <v>45.94</v>
      </c>
      <c r="N82" s="59">
        <v>4.5</v>
      </c>
      <c r="O82" s="59">
        <v>0</v>
      </c>
      <c r="P82" s="59">
        <v>0.75</v>
      </c>
      <c r="Q82" s="59">
        <v>40.07</v>
      </c>
      <c r="R82" s="197"/>
      <c r="S82" s="197"/>
      <c r="T82" s="197"/>
      <c r="U82" s="197"/>
    </row>
    <row r="83" spans="1:26" s="12" customFormat="1" x14ac:dyDescent="0.25">
      <c r="A83" s="200" t="s">
        <v>2339</v>
      </c>
      <c r="B83" s="59">
        <v>16.86</v>
      </c>
      <c r="C83" s="59">
        <v>57.56</v>
      </c>
      <c r="D83" s="59">
        <v>47.03</v>
      </c>
      <c r="E83" s="59">
        <v>3.97</v>
      </c>
      <c r="F83" s="59">
        <v>3.88</v>
      </c>
      <c r="G83" s="59">
        <v>66.900000000000006</v>
      </c>
      <c r="H83" s="59">
        <v>19.53</v>
      </c>
      <c r="I83" s="59">
        <v>0.52</v>
      </c>
      <c r="J83" s="59">
        <v>0.56999999999999995</v>
      </c>
      <c r="K83" s="59">
        <v>92.26</v>
      </c>
      <c r="L83" s="59">
        <v>23.33</v>
      </c>
      <c r="M83" s="59">
        <v>46.25</v>
      </c>
      <c r="N83" s="59">
        <v>4.4000000000000004</v>
      </c>
      <c r="O83" s="59">
        <v>0</v>
      </c>
      <c r="P83" s="59">
        <v>0.76</v>
      </c>
      <c r="Q83" s="59">
        <v>45.96</v>
      </c>
      <c r="R83" s="197"/>
      <c r="S83" s="197"/>
      <c r="T83" s="197"/>
      <c r="U83" s="197"/>
    </row>
    <row r="84" spans="1:26" s="12" customFormat="1" x14ac:dyDescent="0.25">
      <c r="A84" s="200" t="s">
        <v>2340</v>
      </c>
      <c r="B84" s="59">
        <v>22.11</v>
      </c>
      <c r="C84" s="59">
        <v>61.38</v>
      </c>
      <c r="D84" s="59">
        <v>53.35</v>
      </c>
      <c r="E84" s="59">
        <v>4.78</v>
      </c>
      <c r="F84" s="59">
        <v>2.84</v>
      </c>
      <c r="G84" s="59">
        <v>71.86</v>
      </c>
      <c r="H84" s="59">
        <v>22.71</v>
      </c>
      <c r="I84" s="59">
        <v>0.53</v>
      </c>
      <c r="J84" s="59">
        <v>0.41</v>
      </c>
      <c r="K84" s="59">
        <v>85.46</v>
      </c>
      <c r="L84" s="59">
        <v>22.95</v>
      </c>
      <c r="M84" s="59">
        <v>48.66</v>
      </c>
      <c r="N84" s="59">
        <v>4.7</v>
      </c>
      <c r="O84" s="59">
        <v>0</v>
      </c>
      <c r="P84" s="59">
        <v>0.89</v>
      </c>
      <c r="Q84" s="59">
        <v>37.6</v>
      </c>
      <c r="R84" s="197"/>
      <c r="S84" s="197"/>
      <c r="T84" s="197"/>
      <c r="U84" s="197"/>
    </row>
    <row r="85" spans="1:26" s="12" customFormat="1" x14ac:dyDescent="0.25">
      <c r="A85" s="200" t="s">
        <v>2341</v>
      </c>
      <c r="B85" s="59">
        <v>32.67</v>
      </c>
      <c r="C85" s="59">
        <v>57.18</v>
      </c>
      <c r="D85" s="59">
        <v>59.5</v>
      </c>
      <c r="E85" s="59">
        <v>13.16</v>
      </c>
      <c r="F85" s="59">
        <v>1.33</v>
      </c>
      <c r="G85" s="59">
        <v>72.03</v>
      </c>
      <c r="H85" s="59">
        <v>22.82</v>
      </c>
      <c r="I85" s="59">
        <v>0.53</v>
      </c>
      <c r="J85" s="59">
        <v>0.25</v>
      </c>
      <c r="K85" s="59">
        <v>79.400000000000006</v>
      </c>
      <c r="L85" s="59">
        <v>22.52</v>
      </c>
      <c r="M85" s="59">
        <v>51.44</v>
      </c>
      <c r="N85" s="59">
        <v>4.8</v>
      </c>
      <c r="O85" s="59">
        <v>0</v>
      </c>
      <c r="P85" s="59">
        <v>1.06</v>
      </c>
      <c r="Q85" s="59">
        <v>41.86</v>
      </c>
      <c r="R85" s="197"/>
      <c r="S85" s="197"/>
      <c r="T85" s="197"/>
      <c r="U85" s="197"/>
    </row>
    <row r="86" spans="1:26" s="12" customFormat="1" x14ac:dyDescent="0.25">
      <c r="A86" s="200" t="s">
        <v>2342</v>
      </c>
      <c r="B86" s="59">
        <v>21.27</v>
      </c>
      <c r="C86" s="59">
        <v>69.91</v>
      </c>
      <c r="D86" s="59">
        <v>57.38</v>
      </c>
      <c r="E86" s="59">
        <v>8.76</v>
      </c>
      <c r="F86" s="59">
        <v>0.73</v>
      </c>
      <c r="G86" s="59">
        <v>72.03</v>
      </c>
      <c r="H86" s="59">
        <v>22.82</v>
      </c>
      <c r="I86" s="59">
        <v>0.56000000000000005</v>
      </c>
      <c r="J86" s="59">
        <v>0.36</v>
      </c>
      <c r="K86" s="59">
        <v>106.72</v>
      </c>
      <c r="L86" s="59">
        <v>22.2</v>
      </c>
      <c r="M86" s="59">
        <v>53.79</v>
      </c>
      <c r="N86" s="59">
        <v>4.5999999999999996</v>
      </c>
      <c r="O86" s="59">
        <v>0</v>
      </c>
      <c r="P86" s="59">
        <v>1.03</v>
      </c>
      <c r="Q86" s="59">
        <v>43.05</v>
      </c>
      <c r="R86" s="197"/>
      <c r="S86" s="197"/>
      <c r="T86" s="197"/>
      <c r="U86" s="197"/>
    </row>
    <row r="87" spans="1:26" s="12" customFormat="1" x14ac:dyDescent="0.25">
      <c r="A87" s="200" t="s">
        <v>2343</v>
      </c>
      <c r="B87" s="59">
        <v>24.45</v>
      </c>
      <c r="C87" s="59">
        <v>72.19</v>
      </c>
      <c r="D87" s="59">
        <v>61.19</v>
      </c>
      <c r="E87" s="59">
        <v>7.01</v>
      </c>
      <c r="F87" s="59">
        <v>1.26</v>
      </c>
      <c r="G87" s="59">
        <v>72.03</v>
      </c>
      <c r="H87" s="59">
        <v>22.82</v>
      </c>
      <c r="I87" s="59">
        <v>0.6</v>
      </c>
      <c r="J87" s="59">
        <v>0.45</v>
      </c>
      <c r="K87" s="59">
        <v>103.15</v>
      </c>
      <c r="L87" s="59">
        <v>22.27</v>
      </c>
      <c r="M87" s="59">
        <v>54.59</v>
      </c>
      <c r="N87" s="59">
        <v>4.4000000000000004</v>
      </c>
      <c r="O87" s="59">
        <v>0</v>
      </c>
      <c r="P87" s="59">
        <v>0.99</v>
      </c>
      <c r="Q87" s="59">
        <v>43.76</v>
      </c>
      <c r="R87" s="197"/>
      <c r="S87" s="197"/>
      <c r="T87" s="197"/>
      <c r="U87" s="197"/>
    </row>
    <row r="88" spans="1:26" s="12" customFormat="1" x14ac:dyDescent="0.25">
      <c r="A88" s="200" t="s">
        <v>2344</v>
      </c>
      <c r="B88" s="59">
        <v>28.79</v>
      </c>
      <c r="C88" s="59">
        <v>65.83</v>
      </c>
      <c r="D88" s="59">
        <v>61.16</v>
      </c>
      <c r="E88" s="59">
        <v>2.09</v>
      </c>
      <c r="F88" s="59">
        <v>1.21</v>
      </c>
      <c r="G88" s="59">
        <v>83.07</v>
      </c>
      <c r="H88" s="59">
        <v>25.41</v>
      </c>
      <c r="I88" s="59">
        <v>0.56999999999999995</v>
      </c>
      <c r="J88" s="59">
        <v>0.23</v>
      </c>
      <c r="K88" s="59">
        <v>49.16</v>
      </c>
      <c r="L88" s="59">
        <v>21.81</v>
      </c>
      <c r="M88" s="59">
        <v>57.84</v>
      </c>
      <c r="N88" s="59">
        <v>4.8</v>
      </c>
      <c r="O88" s="59">
        <v>0</v>
      </c>
      <c r="P88" s="59">
        <v>1.1299999999999999</v>
      </c>
      <c r="Q88" s="59">
        <v>42.07</v>
      </c>
      <c r="R88" s="197"/>
      <c r="S88" s="197"/>
      <c r="T88" s="197"/>
      <c r="U88" s="197"/>
    </row>
    <row r="89" spans="1:26" s="12" customFormat="1" x14ac:dyDescent="0.25">
      <c r="A89" s="200" t="s">
        <v>2345</v>
      </c>
      <c r="B89" s="59">
        <v>33.26</v>
      </c>
      <c r="C89" s="59">
        <v>60.24</v>
      </c>
      <c r="D89" s="59">
        <v>61.66</v>
      </c>
      <c r="E89" s="59">
        <v>4.68</v>
      </c>
      <c r="F89" s="59">
        <v>1.31</v>
      </c>
      <c r="G89" s="59">
        <v>83.45</v>
      </c>
      <c r="H89" s="59">
        <v>25.49</v>
      </c>
      <c r="I89" s="59">
        <v>0.59</v>
      </c>
      <c r="J89" s="59">
        <v>0.01</v>
      </c>
      <c r="K89" s="59">
        <v>166.68</v>
      </c>
      <c r="L89" s="59">
        <v>21.29</v>
      </c>
      <c r="M89" s="59">
        <v>60.84</v>
      </c>
      <c r="N89" s="59">
        <v>4.9000000000000004</v>
      </c>
      <c r="O89" s="59">
        <v>0</v>
      </c>
      <c r="P89" s="59">
        <v>1.1399999999999999</v>
      </c>
      <c r="Q89" s="59">
        <v>44.1</v>
      </c>
      <c r="R89" s="197"/>
      <c r="S89" s="197"/>
      <c r="T89" s="197"/>
      <c r="U89" s="197"/>
    </row>
    <row r="90" spans="1:26" s="12" customFormat="1" x14ac:dyDescent="0.25">
      <c r="A90" s="200" t="s">
        <v>2346</v>
      </c>
      <c r="B90" s="59">
        <v>34.22</v>
      </c>
      <c r="C90" s="59">
        <v>74.33</v>
      </c>
      <c r="D90" s="59">
        <v>70.2</v>
      </c>
      <c r="E90" s="59">
        <v>3.45</v>
      </c>
      <c r="F90" s="59">
        <v>1.1000000000000001</v>
      </c>
      <c r="G90" s="59">
        <v>83.45</v>
      </c>
      <c r="H90" s="59">
        <v>25.49</v>
      </c>
      <c r="I90" s="59">
        <v>0.62</v>
      </c>
      <c r="J90" s="59">
        <v>0.21</v>
      </c>
      <c r="K90" s="59">
        <v>239.51</v>
      </c>
      <c r="L90" s="59">
        <v>21.39</v>
      </c>
      <c r="M90" s="59">
        <v>60.36</v>
      </c>
      <c r="N90" s="59">
        <v>4.4000000000000004</v>
      </c>
      <c r="O90" s="59">
        <v>0</v>
      </c>
      <c r="P90" s="59">
        <v>1.1299999999999999</v>
      </c>
      <c r="Q90" s="59">
        <v>50.19</v>
      </c>
      <c r="R90" s="197"/>
      <c r="S90" s="197"/>
      <c r="T90" s="197"/>
      <c r="U90" s="197"/>
    </row>
    <row r="91" spans="1:26" s="12" customFormat="1" x14ac:dyDescent="0.25">
      <c r="A91" s="200" t="s">
        <v>2347</v>
      </c>
      <c r="B91" s="59">
        <v>37.409999999999997</v>
      </c>
      <c r="C91" s="59">
        <v>64.900000000000006</v>
      </c>
      <c r="D91" s="59">
        <v>67.56</v>
      </c>
      <c r="E91" s="59">
        <v>3.43</v>
      </c>
      <c r="F91" s="59">
        <v>1.25</v>
      </c>
      <c r="G91" s="59">
        <v>83.45</v>
      </c>
      <c r="H91" s="59">
        <v>25.49</v>
      </c>
      <c r="I91" s="59">
        <v>0.65</v>
      </c>
      <c r="J91" s="59">
        <v>0.52</v>
      </c>
      <c r="K91" s="59">
        <v>207.44</v>
      </c>
      <c r="L91" s="59">
        <v>21.64</v>
      </c>
      <c r="M91" s="59">
        <v>60.92</v>
      </c>
      <c r="N91" s="59">
        <v>3.6</v>
      </c>
      <c r="O91" s="59">
        <v>0</v>
      </c>
      <c r="P91" s="59">
        <v>1.17</v>
      </c>
      <c r="Q91" s="59">
        <v>52.99</v>
      </c>
      <c r="R91" s="197"/>
      <c r="S91" s="197"/>
      <c r="T91" s="197"/>
      <c r="U91" s="197"/>
    </row>
    <row r="92" spans="1:26" s="12" customFormat="1" x14ac:dyDescent="0.25">
      <c r="A92" s="200" t="s">
        <v>2348</v>
      </c>
      <c r="B92" s="59">
        <v>39.51</v>
      </c>
      <c r="C92" s="59">
        <v>64.25</v>
      </c>
      <c r="D92" s="59">
        <v>68.89</v>
      </c>
      <c r="E92" s="59">
        <v>3.48</v>
      </c>
      <c r="F92" s="59">
        <v>1.32</v>
      </c>
      <c r="G92" s="59">
        <v>95.78</v>
      </c>
      <c r="H92" s="59">
        <v>29.55</v>
      </c>
      <c r="I92" s="59">
        <v>0.65</v>
      </c>
      <c r="J92" s="59">
        <v>0.28999999999999998</v>
      </c>
      <c r="K92" s="59">
        <v>230.08</v>
      </c>
      <c r="L92" s="59">
        <v>21.33</v>
      </c>
      <c r="M92" s="59">
        <v>65.33</v>
      </c>
      <c r="N92" s="59">
        <v>4.9000000000000004</v>
      </c>
      <c r="O92" s="59">
        <v>0</v>
      </c>
      <c r="P92" s="59">
        <v>1.18</v>
      </c>
      <c r="Q92" s="59">
        <v>49.97</v>
      </c>
      <c r="R92" s="197"/>
      <c r="S92" s="197"/>
      <c r="T92" s="197"/>
      <c r="U92" s="197"/>
    </row>
    <row r="93" spans="1:26" s="12" customFormat="1" x14ac:dyDescent="0.25">
      <c r="A93" s="200" t="s">
        <v>2349</v>
      </c>
      <c r="B93" s="59">
        <v>38.93</v>
      </c>
      <c r="C93" s="59">
        <v>61.35</v>
      </c>
      <c r="D93" s="59">
        <v>66.819999999999993</v>
      </c>
      <c r="E93" s="59">
        <v>3.24</v>
      </c>
      <c r="F93" s="59">
        <v>1.38</v>
      </c>
      <c r="G93" s="59">
        <v>96.2</v>
      </c>
      <c r="H93" s="59">
        <v>29.69</v>
      </c>
      <c r="I93" s="59">
        <v>0.66</v>
      </c>
      <c r="J93" s="59">
        <v>0.61</v>
      </c>
      <c r="K93" s="59">
        <v>187.37</v>
      </c>
      <c r="L93" s="59">
        <v>20.68</v>
      </c>
      <c r="M93" s="59">
        <v>70.290000000000006</v>
      </c>
      <c r="N93" s="59">
        <v>4.7</v>
      </c>
      <c r="O93" s="59">
        <v>0</v>
      </c>
      <c r="P93" s="59">
        <v>1.17</v>
      </c>
      <c r="Q93" s="59">
        <v>52.6</v>
      </c>
      <c r="R93" s="197"/>
      <c r="S93" s="197"/>
      <c r="T93" s="197"/>
      <c r="U93" s="197"/>
    </row>
    <row r="94" spans="1:26" s="12" customFormat="1" x14ac:dyDescent="0.25">
      <c r="A94" s="200" t="s">
        <v>2350</v>
      </c>
      <c r="B94" s="59">
        <v>37.57</v>
      </c>
      <c r="C94" s="59">
        <v>62.87</v>
      </c>
      <c r="D94" s="59">
        <v>66.569999999999993</v>
      </c>
      <c r="E94" s="59">
        <v>3.16</v>
      </c>
      <c r="F94" s="59">
        <v>1.31</v>
      </c>
      <c r="G94" s="59">
        <v>96.2</v>
      </c>
      <c r="H94" s="59">
        <v>29.69</v>
      </c>
      <c r="I94" s="59">
        <v>0.66</v>
      </c>
      <c r="J94" s="59">
        <v>0.12</v>
      </c>
      <c r="K94" s="59">
        <v>76.930000000000007</v>
      </c>
      <c r="L94" s="59">
        <v>20.48</v>
      </c>
      <c r="M94" s="59">
        <v>70.73</v>
      </c>
      <c r="N94" s="59">
        <v>4.9000000000000004</v>
      </c>
      <c r="O94" s="59">
        <v>0</v>
      </c>
      <c r="P94" s="59">
        <v>1.1499999999999999</v>
      </c>
      <c r="Q94" s="59">
        <v>51.2</v>
      </c>
      <c r="R94" s="197"/>
      <c r="S94" s="197"/>
      <c r="T94" s="197"/>
      <c r="U94" s="197"/>
    </row>
    <row r="95" spans="1:26" s="12" customFormat="1" x14ac:dyDescent="0.25">
      <c r="A95" s="200" t="s">
        <v>2351</v>
      </c>
      <c r="B95" s="59">
        <v>37.549999999999997</v>
      </c>
      <c r="C95" s="59">
        <v>64.09</v>
      </c>
      <c r="D95" s="59">
        <v>67.22</v>
      </c>
      <c r="E95" s="59">
        <v>2.75</v>
      </c>
      <c r="F95" s="59">
        <v>1.38</v>
      </c>
      <c r="G95" s="59">
        <v>96.2</v>
      </c>
      <c r="H95" s="59">
        <v>29.69</v>
      </c>
      <c r="I95" s="59">
        <v>0.66</v>
      </c>
      <c r="J95" s="59">
        <v>0.21</v>
      </c>
      <c r="K95" s="59">
        <v>20.100000000000001</v>
      </c>
      <c r="L95" s="59">
        <v>20.079999999999998</v>
      </c>
      <c r="M95" s="59">
        <v>74.47</v>
      </c>
      <c r="N95" s="59">
        <v>5</v>
      </c>
      <c r="O95" s="59">
        <v>0</v>
      </c>
      <c r="P95" s="59">
        <v>1.1499999999999999</v>
      </c>
      <c r="Q95" s="59">
        <v>48.48</v>
      </c>
      <c r="R95" s="197"/>
      <c r="S95" s="197"/>
      <c r="T95" s="197"/>
      <c r="U95" s="197"/>
    </row>
    <row r="96" spans="1:26" s="12" customFormat="1" x14ac:dyDescent="0.25">
      <c r="A96" s="200" t="s">
        <v>2352</v>
      </c>
      <c r="B96" s="59">
        <v>39.47</v>
      </c>
      <c r="C96" s="59">
        <v>67.45</v>
      </c>
      <c r="D96" s="59">
        <v>70.62</v>
      </c>
      <c r="E96" s="59">
        <v>2.92</v>
      </c>
      <c r="F96" s="59">
        <v>1.34</v>
      </c>
      <c r="G96" s="59">
        <v>82.27</v>
      </c>
      <c r="H96" s="59">
        <v>29.94</v>
      </c>
      <c r="I96" s="59">
        <v>0.65</v>
      </c>
      <c r="J96" s="59">
        <v>0.13</v>
      </c>
      <c r="K96" s="59">
        <v>341.33</v>
      </c>
      <c r="L96" s="59">
        <v>19.8</v>
      </c>
      <c r="M96" s="59">
        <v>74.900000000000006</v>
      </c>
      <c r="N96" s="59">
        <v>4.7</v>
      </c>
      <c r="O96" s="59">
        <v>0</v>
      </c>
      <c r="P96" s="59">
        <v>1.2</v>
      </c>
      <c r="Q96" s="59">
        <v>49.95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2353</v>
      </c>
      <c r="B97" s="59">
        <v>41.78</v>
      </c>
      <c r="C97" s="59">
        <v>65.2</v>
      </c>
      <c r="D97" s="59">
        <v>71.23</v>
      </c>
      <c r="E97" s="59">
        <v>2.78</v>
      </c>
      <c r="F97" s="59">
        <v>1.39</v>
      </c>
      <c r="G97" s="59">
        <v>81.78</v>
      </c>
      <c r="H97" s="59">
        <v>29.95</v>
      </c>
      <c r="I97" s="59">
        <v>0.65</v>
      </c>
      <c r="J97" s="59">
        <v>0.12</v>
      </c>
      <c r="K97" s="59">
        <v>250.96</v>
      </c>
      <c r="L97" s="59">
        <v>19.55</v>
      </c>
      <c r="M97" s="59">
        <v>76.150000000000006</v>
      </c>
      <c r="N97" s="59">
        <v>4.7</v>
      </c>
      <c r="O97" s="59">
        <v>0</v>
      </c>
      <c r="P97" s="59">
        <v>1.24</v>
      </c>
      <c r="Q97" s="59">
        <v>49.04</v>
      </c>
      <c r="R97" s="197"/>
      <c r="S97" s="197"/>
      <c r="T97" s="197"/>
      <c r="U97" s="197"/>
    </row>
    <row r="98" spans="1:33" s="12" customFormat="1" x14ac:dyDescent="0.25">
      <c r="A98" s="200" t="s">
        <v>2354</v>
      </c>
      <c r="B98" s="59">
        <v>39.4</v>
      </c>
      <c r="C98" s="59">
        <v>72.48</v>
      </c>
      <c r="D98" s="59">
        <v>73.34</v>
      </c>
      <c r="E98" s="59">
        <v>2.6</v>
      </c>
      <c r="F98" s="59">
        <v>1.67</v>
      </c>
      <c r="G98" s="59">
        <v>81.78</v>
      </c>
      <c r="H98" s="59">
        <v>29.95</v>
      </c>
      <c r="I98" s="59">
        <v>0.66</v>
      </c>
      <c r="J98" s="59">
        <v>0.11</v>
      </c>
      <c r="K98" s="59">
        <v>328.12</v>
      </c>
      <c r="L98" s="59">
        <v>19.71</v>
      </c>
      <c r="M98" s="59">
        <v>74.08</v>
      </c>
      <c r="N98" s="59">
        <v>4.5999999999999996</v>
      </c>
      <c r="O98" s="59">
        <v>0</v>
      </c>
      <c r="P98" s="59">
        <v>1.19</v>
      </c>
      <c r="Q98" s="59">
        <v>44.68</v>
      </c>
      <c r="R98" s="197"/>
      <c r="S98" s="197"/>
      <c r="T98" s="197"/>
      <c r="U98" s="197"/>
    </row>
    <row r="99" spans="1:33" s="12" customFormat="1" x14ac:dyDescent="0.25">
      <c r="A99" s="200" t="s">
        <v>2355</v>
      </c>
      <c r="B99" s="59">
        <v>47.84</v>
      </c>
      <c r="C99" s="59">
        <v>59.18</v>
      </c>
      <c r="D99" s="59">
        <v>72.77</v>
      </c>
      <c r="E99" s="59">
        <v>2.69</v>
      </c>
      <c r="F99" s="59">
        <v>1.43</v>
      </c>
      <c r="G99" s="59">
        <v>81.78</v>
      </c>
      <c r="H99" s="59">
        <v>29.95</v>
      </c>
      <c r="I99" s="59">
        <v>0.67</v>
      </c>
      <c r="J99" s="59">
        <v>0.19</v>
      </c>
      <c r="K99" s="59">
        <v>6</v>
      </c>
      <c r="L99" s="59">
        <v>19.47</v>
      </c>
      <c r="M99" s="59">
        <v>76.83</v>
      </c>
      <c r="N99" s="59">
        <v>4.5999999999999996</v>
      </c>
      <c r="O99" s="59">
        <v>0</v>
      </c>
      <c r="P99" s="59">
        <v>1.25</v>
      </c>
      <c r="Q99" s="59">
        <v>47.06</v>
      </c>
      <c r="R99" s="197"/>
      <c r="S99" s="197"/>
      <c r="T99" s="197"/>
      <c r="U99" s="197"/>
    </row>
    <row r="100" spans="1:33" s="12" customFormat="1" x14ac:dyDescent="0.25">
      <c r="A100" s="200" t="s">
        <v>2356</v>
      </c>
      <c r="B100" s="59">
        <v>47.29</v>
      </c>
      <c r="C100" s="59">
        <v>69</v>
      </c>
      <c r="D100" s="59">
        <v>77.75</v>
      </c>
      <c r="E100" s="59">
        <v>2.87</v>
      </c>
      <c r="F100" s="59">
        <v>1.54</v>
      </c>
      <c r="G100" s="59">
        <v>84.27</v>
      </c>
      <c r="H100" s="59">
        <v>28.11</v>
      </c>
      <c r="I100" s="59">
        <v>0.67</v>
      </c>
      <c r="J100" s="59">
        <v>0.2</v>
      </c>
      <c r="K100" s="59">
        <v>21.41</v>
      </c>
      <c r="L100" s="59">
        <v>19.27</v>
      </c>
      <c r="M100" s="59">
        <v>78.260000000000005</v>
      </c>
      <c r="N100" s="59">
        <v>4.9000000000000004</v>
      </c>
      <c r="O100" s="59">
        <v>0</v>
      </c>
      <c r="P100" s="59">
        <v>1.26</v>
      </c>
      <c r="Q100" s="59">
        <v>46.24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2357</v>
      </c>
      <c r="B101" s="59">
        <v>50.95</v>
      </c>
      <c r="C101" s="59">
        <v>66.08</v>
      </c>
      <c r="D101" s="59">
        <v>79.069999999999993</v>
      </c>
      <c r="E101" s="59">
        <v>2.62</v>
      </c>
      <c r="F101" s="59">
        <v>1.72</v>
      </c>
      <c r="G101" s="59">
        <v>84.35</v>
      </c>
      <c r="H101" s="59">
        <v>28.05</v>
      </c>
      <c r="I101" s="59">
        <v>0.68</v>
      </c>
      <c r="J101" s="59">
        <v>0.13</v>
      </c>
      <c r="K101" s="59">
        <v>9.83</v>
      </c>
      <c r="L101" s="59">
        <v>19.03</v>
      </c>
      <c r="M101" s="59">
        <v>79.94</v>
      </c>
      <c r="N101" s="59">
        <v>4.8</v>
      </c>
      <c r="O101" s="59">
        <v>0</v>
      </c>
      <c r="P101" s="59">
        <v>1.28</v>
      </c>
      <c r="Q101" s="59">
        <v>48.33</v>
      </c>
      <c r="R101" s="197"/>
      <c r="S101" s="197"/>
      <c r="T101" s="197"/>
      <c r="U101" s="197"/>
    </row>
    <row r="102" spans="1:33" s="12" customFormat="1" x14ac:dyDescent="0.25">
      <c r="A102" s="200" t="s">
        <v>2358</v>
      </c>
      <c r="B102" s="59">
        <v>50.72</v>
      </c>
      <c r="C102" s="59">
        <v>68.05</v>
      </c>
      <c r="D102" s="59">
        <v>79.97</v>
      </c>
      <c r="E102" s="59">
        <v>2.68</v>
      </c>
      <c r="F102" s="59">
        <v>1.67</v>
      </c>
      <c r="G102" s="59">
        <v>84.35</v>
      </c>
      <c r="H102" s="59">
        <v>28.05</v>
      </c>
      <c r="I102" s="59">
        <v>0.69</v>
      </c>
      <c r="J102" s="59">
        <v>0.08</v>
      </c>
      <c r="K102" s="59">
        <v>338.67</v>
      </c>
      <c r="L102" s="59">
        <v>18.829999999999998</v>
      </c>
      <c r="M102" s="59">
        <v>79.69</v>
      </c>
      <c r="N102" s="59">
        <v>4.8</v>
      </c>
      <c r="O102" s="59">
        <v>0</v>
      </c>
      <c r="P102" s="59">
        <v>1.27</v>
      </c>
      <c r="Q102" s="59">
        <v>46.38</v>
      </c>
      <c r="R102" s="197"/>
      <c r="S102" s="197"/>
      <c r="T102" s="197"/>
      <c r="U102" s="197"/>
    </row>
    <row r="103" spans="1:33" s="12" customFormat="1" x14ac:dyDescent="0.25">
      <c r="A103" s="200" t="s">
        <v>2359</v>
      </c>
      <c r="B103" s="59">
        <v>48.36</v>
      </c>
      <c r="C103" s="59">
        <v>65.180000000000007</v>
      </c>
      <c r="D103" s="59">
        <v>76.489999999999995</v>
      </c>
      <c r="E103" s="59">
        <v>2.63</v>
      </c>
      <c r="F103" s="59">
        <v>1.41</v>
      </c>
      <c r="G103" s="59">
        <v>84.35</v>
      </c>
      <c r="H103" s="59">
        <v>28.05</v>
      </c>
      <c r="I103" s="59">
        <v>0.69</v>
      </c>
      <c r="J103" s="59">
        <v>0.15</v>
      </c>
      <c r="K103" s="59">
        <v>262.77999999999997</v>
      </c>
      <c r="L103" s="59">
        <v>19.47</v>
      </c>
      <c r="M103" s="59">
        <v>76.19</v>
      </c>
      <c r="N103" s="59">
        <v>4.0999999999999996</v>
      </c>
      <c r="O103" s="59">
        <v>0</v>
      </c>
      <c r="P103" s="59">
        <v>1.22</v>
      </c>
      <c r="Q103" s="59">
        <v>49.7</v>
      </c>
      <c r="R103" s="197"/>
      <c r="S103" s="197"/>
      <c r="T103" s="197"/>
      <c r="U103" s="197"/>
    </row>
    <row r="104" spans="1:33" s="12" customFormat="1" x14ac:dyDescent="0.25">
      <c r="A104" s="200" t="s">
        <v>2360</v>
      </c>
      <c r="B104" s="59">
        <v>51.57</v>
      </c>
      <c r="C104" s="59">
        <v>78.69</v>
      </c>
      <c r="D104" s="59">
        <v>86.53</v>
      </c>
      <c r="E104" s="59">
        <v>1.0900000000000001</v>
      </c>
      <c r="F104" s="59">
        <v>1.61</v>
      </c>
      <c r="G104" s="59">
        <v>86.43</v>
      </c>
      <c r="H104" s="59">
        <v>29.15</v>
      </c>
      <c r="I104" s="59">
        <v>0.69</v>
      </c>
      <c r="J104" s="59">
        <v>0.18</v>
      </c>
      <c r="K104" s="59">
        <v>19.03</v>
      </c>
      <c r="L104" s="59">
        <v>19.34</v>
      </c>
      <c r="M104" s="59">
        <v>78.36</v>
      </c>
      <c r="N104" s="59">
        <v>4.8</v>
      </c>
      <c r="O104" s="59">
        <v>0</v>
      </c>
      <c r="P104" s="59">
        <v>1.25</v>
      </c>
      <c r="Q104" s="59">
        <v>44.22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3.15</v>
      </c>
      <c r="C106" s="66">
        <f>MIN(C9:C104)</f>
        <v>20.83</v>
      </c>
      <c r="D106" s="66">
        <f t="shared" ref="D106:Q106" si="0">MIN(D9:D104)</f>
        <v>17.23</v>
      </c>
      <c r="E106" s="66">
        <f t="shared" si="0"/>
        <v>0.69</v>
      </c>
      <c r="F106" s="66">
        <f t="shared" si="0"/>
        <v>0.73</v>
      </c>
      <c r="G106" s="66">
        <f t="shared" si="0"/>
        <v>16.53</v>
      </c>
      <c r="H106" s="66">
        <f t="shared" si="0"/>
        <v>6.81</v>
      </c>
      <c r="I106" s="66">
        <f t="shared" si="0"/>
        <v>0.44</v>
      </c>
      <c r="J106" s="66">
        <f t="shared" si="0"/>
        <v>0.01</v>
      </c>
      <c r="K106" s="66">
        <f t="shared" si="0"/>
        <v>1.29</v>
      </c>
      <c r="L106" s="66">
        <f t="shared" si="0"/>
        <v>17.510000000000002</v>
      </c>
      <c r="M106" s="66">
        <f t="shared" si="0"/>
        <v>32.5</v>
      </c>
      <c r="N106" s="66">
        <f t="shared" si="0"/>
        <v>3.6</v>
      </c>
      <c r="O106" s="66">
        <f t="shared" si="0"/>
        <v>0</v>
      </c>
      <c r="P106" s="66">
        <f t="shared" si="0"/>
        <v>0.28999999999999998</v>
      </c>
      <c r="Q106" s="66">
        <f t="shared" si="0"/>
        <v>36.07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51.57</v>
      </c>
      <c r="C107" s="65">
        <f t="shared" ref="C107:Q107" si="1">MAX(C9:C104)</f>
        <v>78.69</v>
      </c>
      <c r="D107" s="65">
        <f t="shared" si="1"/>
        <v>86.53</v>
      </c>
      <c r="E107" s="65">
        <f t="shared" si="1"/>
        <v>13.16</v>
      </c>
      <c r="F107" s="65">
        <f t="shared" si="1"/>
        <v>24.15</v>
      </c>
      <c r="G107" s="65">
        <f t="shared" si="1"/>
        <v>96.2</v>
      </c>
      <c r="H107" s="65">
        <f t="shared" si="1"/>
        <v>199.8</v>
      </c>
      <c r="I107" s="65">
        <f t="shared" si="1"/>
        <v>0.69</v>
      </c>
      <c r="J107" s="65">
        <f t="shared" si="1"/>
        <v>3.16</v>
      </c>
      <c r="K107" s="65">
        <f t="shared" si="1"/>
        <v>359.18</v>
      </c>
      <c r="L107" s="65">
        <f t="shared" si="1"/>
        <v>32.03</v>
      </c>
      <c r="M107" s="65">
        <f t="shared" si="1"/>
        <v>80.97</v>
      </c>
      <c r="N107" s="65">
        <f t="shared" si="1"/>
        <v>838.4</v>
      </c>
      <c r="O107" s="65">
        <f t="shared" si="1"/>
        <v>0</v>
      </c>
      <c r="P107" s="65">
        <f t="shared" si="1"/>
        <v>1.28</v>
      </c>
      <c r="Q107" s="65">
        <f t="shared" si="1"/>
        <v>56.2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16.355520833333326</v>
      </c>
      <c r="C108" s="66">
        <f t="shared" ref="C108:Q108" si="2">AVERAGE(C9:C104)</f>
        <v>51.720520833333325</v>
      </c>
      <c r="D108" s="66">
        <f t="shared" si="2"/>
        <v>43.400312499999991</v>
      </c>
      <c r="E108" s="66">
        <f t="shared" si="2"/>
        <v>2.4196874999999998</v>
      </c>
      <c r="F108" s="66">
        <f t="shared" si="2"/>
        <v>3.3462499999999999</v>
      </c>
      <c r="G108" s="66">
        <f t="shared" si="2"/>
        <v>49.214193548387115</v>
      </c>
      <c r="H108" s="66">
        <f t="shared" si="2"/>
        <v>21.771075268817214</v>
      </c>
      <c r="I108" s="66">
        <f t="shared" si="2"/>
        <v>0.55843750000000003</v>
      </c>
      <c r="J108" s="66">
        <f t="shared" si="2"/>
        <v>0.75458333333333349</v>
      </c>
      <c r="K108" s="66">
        <f t="shared" si="2"/>
        <v>124.15833333333336</v>
      </c>
      <c r="L108" s="66">
        <f t="shared" si="2"/>
        <v>22.430416666666662</v>
      </c>
      <c r="M108" s="66">
        <f t="shared" si="2"/>
        <v>60.713020833333296</v>
      </c>
      <c r="N108" s="66">
        <f t="shared" si="2"/>
        <v>208.14479166666675</v>
      </c>
      <c r="O108" s="66">
        <f t="shared" si="2"/>
        <v>0</v>
      </c>
      <c r="P108" s="66">
        <f t="shared" si="2"/>
        <v>0.64697916666666699</v>
      </c>
      <c r="Q108" s="66">
        <f t="shared" si="2"/>
        <v>46.281562500000007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13.035038923067217</v>
      </c>
      <c r="C109" s="66">
        <f t="shared" ref="C109:Q109" si="3">STDEV(C9:C104)</f>
        <v>13.355117479220215</v>
      </c>
      <c r="D109" s="66">
        <f t="shared" si="3"/>
        <v>16.157301328412043</v>
      </c>
      <c r="E109" s="66">
        <f t="shared" si="3"/>
        <v>1.5731801202626083</v>
      </c>
      <c r="F109" s="66">
        <f t="shared" si="3"/>
        <v>3.4210153155859566</v>
      </c>
      <c r="G109" s="66">
        <f t="shared" si="3"/>
        <v>23.037461048709879</v>
      </c>
      <c r="H109" s="66">
        <f t="shared" si="3"/>
        <v>27.217868430035217</v>
      </c>
      <c r="I109" s="66">
        <f t="shared" si="3"/>
        <v>5.8531649108566723E-2</v>
      </c>
      <c r="J109" s="66">
        <f t="shared" si="3"/>
        <v>0.59324782549634381</v>
      </c>
      <c r="K109" s="66">
        <f t="shared" si="3"/>
        <v>105.1955804821783</v>
      </c>
      <c r="L109" s="66">
        <f t="shared" si="3"/>
        <v>4.2612706078096316</v>
      </c>
      <c r="M109" s="66">
        <f t="shared" si="3"/>
        <v>14.885810277597221</v>
      </c>
      <c r="N109" s="66">
        <f t="shared" si="3"/>
        <v>293.14401054764204</v>
      </c>
      <c r="O109" s="66">
        <f t="shared" si="3"/>
        <v>0</v>
      </c>
      <c r="P109" s="66">
        <f t="shared" si="3"/>
        <v>0.29577060738515254</v>
      </c>
      <c r="Q109" s="66">
        <f t="shared" si="3"/>
        <v>4.8592354451952655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96</v>
      </c>
      <c r="H110" s="65">
        <f>COUNT(H9:H104)+3</f>
        <v>96</v>
      </c>
      <c r="I110" s="65">
        <f>COUNT(I9:I104)</f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23-03-2023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2361</v>
      </c>
      <c r="B9" s="59">
        <v>53.61</v>
      </c>
      <c r="C9" s="59">
        <v>71.44</v>
      </c>
      <c r="D9" s="59">
        <v>84.16</v>
      </c>
      <c r="E9" s="59">
        <v>1.38</v>
      </c>
      <c r="F9" s="59">
        <v>1.7</v>
      </c>
      <c r="G9" s="59">
        <v>86.5</v>
      </c>
      <c r="H9" s="59">
        <v>29.24</v>
      </c>
      <c r="I9" s="59">
        <v>0.69</v>
      </c>
      <c r="J9" s="59">
        <v>7.0000000000000007E-2</v>
      </c>
      <c r="K9" s="59">
        <v>28.79</v>
      </c>
      <c r="L9" s="59">
        <v>19.260000000000002</v>
      </c>
      <c r="M9" s="59">
        <v>78.61</v>
      </c>
      <c r="N9" s="59">
        <v>4.7</v>
      </c>
      <c r="O9" s="59">
        <v>0</v>
      </c>
      <c r="P9" s="59">
        <v>1.23</v>
      </c>
      <c r="Q9" s="59">
        <v>53.65</v>
      </c>
      <c r="S9" s="197"/>
      <c r="T9" s="197"/>
      <c r="U9" s="197"/>
    </row>
    <row r="10" spans="1:21" s="12" customFormat="1" x14ac:dyDescent="0.25">
      <c r="A10" s="200" t="s">
        <v>2362</v>
      </c>
      <c r="B10" s="59">
        <v>51.88</v>
      </c>
      <c r="C10" s="59">
        <v>73.8</v>
      </c>
      <c r="D10" s="59">
        <v>84.08</v>
      </c>
      <c r="E10" s="59">
        <v>1.86</v>
      </c>
      <c r="F10" s="59">
        <v>1.57</v>
      </c>
      <c r="G10" s="59">
        <v>86.5</v>
      </c>
      <c r="H10" s="59">
        <v>29.24</v>
      </c>
      <c r="I10" s="59">
        <v>0.7</v>
      </c>
      <c r="J10" s="59">
        <v>0.09</v>
      </c>
      <c r="K10" s="59">
        <v>237.97</v>
      </c>
      <c r="L10" s="59">
        <v>19.440000000000001</v>
      </c>
      <c r="M10" s="59">
        <v>78.12</v>
      </c>
      <c r="N10" s="59">
        <v>4.7</v>
      </c>
      <c r="O10" s="59">
        <v>0</v>
      </c>
      <c r="P10" s="59">
        <v>1.19</v>
      </c>
      <c r="Q10" s="59">
        <v>50.34</v>
      </c>
      <c r="S10" s="197"/>
      <c r="T10" s="197"/>
      <c r="U10" s="197"/>
    </row>
    <row r="11" spans="1:21" s="12" customFormat="1" x14ac:dyDescent="0.25">
      <c r="A11" s="200" t="s">
        <v>2363</v>
      </c>
      <c r="B11" s="59">
        <v>49.32</v>
      </c>
      <c r="C11" s="59">
        <v>72.06</v>
      </c>
      <c r="D11" s="59">
        <v>81.06</v>
      </c>
      <c r="E11" s="59">
        <v>2.04</v>
      </c>
      <c r="F11" s="59">
        <v>1.36</v>
      </c>
      <c r="G11" s="59">
        <v>86.5</v>
      </c>
      <c r="H11" s="59">
        <v>29.24</v>
      </c>
      <c r="I11" s="59">
        <v>0.66</v>
      </c>
      <c r="J11" s="59">
        <v>0.25</v>
      </c>
      <c r="K11" s="59">
        <v>248.43</v>
      </c>
      <c r="L11" s="59">
        <v>19.73</v>
      </c>
      <c r="M11" s="59">
        <v>75.23</v>
      </c>
      <c r="N11" s="59">
        <v>4.4000000000000004</v>
      </c>
      <c r="O11" s="59">
        <v>0</v>
      </c>
      <c r="P11" s="59">
        <v>1.1599999999999999</v>
      </c>
      <c r="Q11" s="59">
        <v>53.81</v>
      </c>
      <c r="S11" s="197"/>
      <c r="T11" s="197"/>
      <c r="U11" s="197"/>
    </row>
    <row r="12" spans="1:21" s="12" customFormat="1" x14ac:dyDescent="0.25">
      <c r="A12" s="200" t="s">
        <v>2364</v>
      </c>
      <c r="B12" s="59">
        <v>47.11</v>
      </c>
      <c r="C12" s="59">
        <v>68.81</v>
      </c>
      <c r="D12" s="59">
        <v>77.5</v>
      </c>
      <c r="E12" s="59">
        <v>1.54</v>
      </c>
      <c r="F12" s="59">
        <v>1.31</v>
      </c>
      <c r="G12" s="59">
        <v>75.959999999999994</v>
      </c>
      <c r="H12" s="59">
        <v>23.77</v>
      </c>
      <c r="I12" s="59">
        <v>0.68</v>
      </c>
      <c r="J12" s="59">
        <v>0.09</v>
      </c>
      <c r="K12" s="59">
        <v>287.16000000000003</v>
      </c>
      <c r="L12" s="59">
        <v>19.559999999999999</v>
      </c>
      <c r="M12" s="59">
        <v>76.48</v>
      </c>
      <c r="N12" s="59">
        <v>4.8</v>
      </c>
      <c r="O12" s="59">
        <v>0</v>
      </c>
      <c r="P12" s="59">
        <v>1.1200000000000001</v>
      </c>
      <c r="Q12" s="59">
        <v>52.64</v>
      </c>
      <c r="S12" s="197"/>
      <c r="T12" s="197"/>
      <c r="U12" s="197"/>
    </row>
    <row r="13" spans="1:21" s="12" customFormat="1" x14ac:dyDescent="0.25">
      <c r="A13" s="200" t="s">
        <v>2365</v>
      </c>
      <c r="B13" s="59">
        <v>44.73</v>
      </c>
      <c r="C13" s="59">
        <v>69.31</v>
      </c>
      <c r="D13" s="59">
        <v>75.86</v>
      </c>
      <c r="E13" s="59">
        <v>1.54</v>
      </c>
      <c r="F13" s="59">
        <v>1.4</v>
      </c>
      <c r="G13" s="59">
        <v>75.599999999999994</v>
      </c>
      <c r="H13" s="59">
        <v>23.59</v>
      </c>
      <c r="I13" s="59">
        <v>0.64</v>
      </c>
      <c r="J13" s="59">
        <v>0.12</v>
      </c>
      <c r="K13" s="59">
        <v>338.64</v>
      </c>
      <c r="L13" s="59">
        <v>18.93</v>
      </c>
      <c r="M13" s="59">
        <v>79.599999999999994</v>
      </c>
      <c r="N13" s="59">
        <v>5</v>
      </c>
      <c r="O13" s="59">
        <v>0</v>
      </c>
      <c r="P13" s="59">
        <v>1.05</v>
      </c>
      <c r="Q13" s="59">
        <v>50.78</v>
      </c>
      <c r="S13" s="197"/>
      <c r="T13" s="197"/>
      <c r="U13" s="197"/>
    </row>
    <row r="14" spans="1:21" s="12" customFormat="1" x14ac:dyDescent="0.25">
      <c r="A14" s="200" t="s">
        <v>2366</v>
      </c>
      <c r="B14" s="59">
        <v>42.28</v>
      </c>
      <c r="C14" s="59">
        <v>66.48</v>
      </c>
      <c r="D14" s="59">
        <v>72.34</v>
      </c>
      <c r="E14" s="59">
        <v>1.39</v>
      </c>
      <c r="F14" s="59">
        <v>1.38</v>
      </c>
      <c r="G14" s="59">
        <v>75.599999999999994</v>
      </c>
      <c r="H14" s="59">
        <v>23.59</v>
      </c>
      <c r="I14" s="59">
        <v>0.63</v>
      </c>
      <c r="J14" s="59">
        <v>0.09</v>
      </c>
      <c r="K14" s="59">
        <v>281.60000000000002</v>
      </c>
      <c r="L14" s="59">
        <v>18.77</v>
      </c>
      <c r="M14" s="59">
        <v>80.510000000000005</v>
      </c>
      <c r="N14" s="59">
        <v>4.7</v>
      </c>
      <c r="O14" s="59">
        <v>0</v>
      </c>
      <c r="P14" s="59">
        <v>1.04</v>
      </c>
      <c r="Q14" s="59">
        <v>52.59</v>
      </c>
      <c r="S14" s="197"/>
      <c r="T14" s="197"/>
      <c r="U14" s="197"/>
    </row>
    <row r="15" spans="1:21" s="12" customFormat="1" x14ac:dyDescent="0.25">
      <c r="A15" s="200" t="s">
        <v>2367</v>
      </c>
      <c r="B15" s="59">
        <v>40.57</v>
      </c>
      <c r="C15" s="59">
        <v>57.72</v>
      </c>
      <c r="D15" s="59">
        <v>66.13</v>
      </c>
      <c r="E15" s="59">
        <v>1.03</v>
      </c>
      <c r="F15" s="59">
        <v>1.28</v>
      </c>
      <c r="G15" s="59">
        <v>75.599999999999994</v>
      </c>
      <c r="H15" s="59">
        <v>23.59</v>
      </c>
      <c r="I15" s="59">
        <v>0.62</v>
      </c>
      <c r="J15" s="59">
        <v>0.05</v>
      </c>
      <c r="K15" s="59">
        <v>277.93</v>
      </c>
      <c r="L15" s="59">
        <v>18.489999999999998</v>
      </c>
      <c r="M15" s="59">
        <v>82.91</v>
      </c>
      <c r="N15" s="59">
        <v>4.7</v>
      </c>
      <c r="O15" s="59">
        <v>0</v>
      </c>
      <c r="P15" s="59">
        <v>1.01</v>
      </c>
      <c r="Q15" s="59">
        <v>54.85</v>
      </c>
      <c r="S15" s="197"/>
      <c r="T15" s="197"/>
      <c r="U15" s="197"/>
    </row>
    <row r="16" spans="1:21" s="12" customFormat="1" x14ac:dyDescent="0.25">
      <c r="A16" s="200" t="s">
        <v>2368</v>
      </c>
      <c r="B16" s="59">
        <v>39.46</v>
      </c>
      <c r="C16" s="59">
        <v>49.86</v>
      </c>
      <c r="D16" s="59">
        <v>60.9</v>
      </c>
      <c r="E16" s="59">
        <v>1.33</v>
      </c>
      <c r="F16" s="59">
        <v>1.6</v>
      </c>
      <c r="G16" s="59">
        <v>59.23</v>
      </c>
      <c r="H16" s="59">
        <v>18.440000000000001</v>
      </c>
      <c r="I16" s="59">
        <v>0.61</v>
      </c>
      <c r="J16" s="59">
        <v>0.12</v>
      </c>
      <c r="K16" s="59">
        <v>269.19</v>
      </c>
      <c r="L16" s="59">
        <v>18.57</v>
      </c>
      <c r="M16" s="59">
        <v>81.900000000000006</v>
      </c>
      <c r="N16" s="59">
        <v>4.4000000000000004</v>
      </c>
      <c r="O16" s="59">
        <v>0</v>
      </c>
      <c r="P16" s="59">
        <v>0.98</v>
      </c>
      <c r="Q16" s="59">
        <v>47.76</v>
      </c>
      <c r="S16" s="197"/>
      <c r="T16" s="197"/>
      <c r="U16" s="197"/>
    </row>
    <row r="17" spans="1:21" s="12" customFormat="1" x14ac:dyDescent="0.25">
      <c r="A17" s="200" t="s">
        <v>2369</v>
      </c>
      <c r="B17" s="59">
        <v>39.17</v>
      </c>
      <c r="C17" s="59">
        <v>49.07</v>
      </c>
      <c r="D17" s="59">
        <v>60.24</v>
      </c>
      <c r="E17" s="59">
        <v>1.34</v>
      </c>
      <c r="F17" s="59">
        <v>1.45</v>
      </c>
      <c r="G17" s="59">
        <v>58.47</v>
      </c>
      <c r="H17" s="59">
        <v>18.27</v>
      </c>
      <c r="I17" s="59">
        <v>0.6</v>
      </c>
      <c r="J17" s="59">
        <v>0.03</v>
      </c>
      <c r="K17" s="59">
        <v>140.61000000000001</v>
      </c>
      <c r="L17" s="59">
        <v>18.350000000000001</v>
      </c>
      <c r="M17" s="59">
        <v>83.72</v>
      </c>
      <c r="N17" s="59">
        <v>4.8</v>
      </c>
      <c r="O17" s="59">
        <v>0</v>
      </c>
      <c r="P17" s="59">
        <v>0.97</v>
      </c>
      <c r="Q17" s="59">
        <v>48.36</v>
      </c>
      <c r="S17" s="197"/>
      <c r="T17" s="197"/>
      <c r="U17" s="197"/>
    </row>
    <row r="18" spans="1:21" s="12" customFormat="1" x14ac:dyDescent="0.25">
      <c r="A18" s="200" t="s">
        <v>2370</v>
      </c>
      <c r="B18" s="59">
        <v>37.78</v>
      </c>
      <c r="C18" s="59">
        <v>49.76</v>
      </c>
      <c r="D18" s="59">
        <v>59.5</v>
      </c>
      <c r="E18" s="59">
        <v>1.61</v>
      </c>
      <c r="F18" s="59">
        <v>1.43</v>
      </c>
      <c r="G18" s="59">
        <v>58.47</v>
      </c>
      <c r="H18" s="59">
        <v>18.27</v>
      </c>
      <c r="I18" s="59">
        <v>0.61</v>
      </c>
      <c r="J18" s="59">
        <v>7.0000000000000007E-2</v>
      </c>
      <c r="K18" s="59">
        <v>289.02</v>
      </c>
      <c r="L18" s="59">
        <v>18.36</v>
      </c>
      <c r="M18" s="59">
        <v>83.54</v>
      </c>
      <c r="N18" s="59">
        <v>4.5999999999999996</v>
      </c>
      <c r="O18" s="59">
        <v>0</v>
      </c>
      <c r="P18" s="59">
        <v>0.94</v>
      </c>
      <c r="Q18" s="59">
        <v>47.88</v>
      </c>
      <c r="S18" s="197"/>
      <c r="T18" s="197"/>
      <c r="U18" s="197"/>
    </row>
    <row r="19" spans="1:21" s="12" customFormat="1" x14ac:dyDescent="0.25">
      <c r="A19" s="200" t="s">
        <v>2371</v>
      </c>
      <c r="B19" s="59">
        <v>37.79</v>
      </c>
      <c r="C19" s="59">
        <v>49.72</v>
      </c>
      <c r="D19" s="59">
        <v>59.48</v>
      </c>
      <c r="E19" s="59">
        <v>1</v>
      </c>
      <c r="F19" s="59">
        <v>1.36</v>
      </c>
      <c r="G19" s="59">
        <v>58.47</v>
      </c>
      <c r="H19" s="59">
        <v>18.27</v>
      </c>
      <c r="I19" s="59">
        <v>0.65</v>
      </c>
      <c r="J19" s="59">
        <v>0.14000000000000001</v>
      </c>
      <c r="K19" s="59">
        <v>61.93</v>
      </c>
      <c r="L19" s="59">
        <v>18.16</v>
      </c>
      <c r="M19" s="59">
        <v>84.92</v>
      </c>
      <c r="N19" s="59">
        <v>4.5999999999999996</v>
      </c>
      <c r="O19" s="59">
        <v>0</v>
      </c>
      <c r="P19" s="59">
        <v>0.95</v>
      </c>
      <c r="Q19" s="59">
        <v>49.29</v>
      </c>
      <c r="S19" s="197"/>
      <c r="T19" s="197"/>
      <c r="U19" s="197"/>
    </row>
    <row r="20" spans="1:21" s="12" customFormat="1" x14ac:dyDescent="0.25">
      <c r="A20" s="200" t="s">
        <v>2372</v>
      </c>
      <c r="B20" s="59">
        <v>37.22</v>
      </c>
      <c r="C20" s="59">
        <v>49.78</v>
      </c>
      <c r="D20" s="59">
        <v>59.06</v>
      </c>
      <c r="E20" s="59">
        <v>1.51</v>
      </c>
      <c r="F20" s="59">
        <v>1.43</v>
      </c>
      <c r="G20" s="59">
        <v>54.13</v>
      </c>
      <c r="H20" s="59">
        <v>21.74</v>
      </c>
      <c r="I20" s="59">
        <v>0.64</v>
      </c>
      <c r="J20" s="59">
        <v>0.12</v>
      </c>
      <c r="K20" s="59">
        <v>10.32</v>
      </c>
      <c r="L20" s="59">
        <v>17.809999999999999</v>
      </c>
      <c r="M20" s="59">
        <v>87.55</v>
      </c>
      <c r="N20" s="59">
        <v>4.7</v>
      </c>
      <c r="O20" s="59">
        <v>0</v>
      </c>
      <c r="P20" s="59">
        <v>0.94</v>
      </c>
      <c r="Q20" s="59">
        <v>48.83</v>
      </c>
      <c r="S20" s="197"/>
      <c r="T20" s="197"/>
      <c r="U20" s="197"/>
    </row>
    <row r="21" spans="1:21" s="12" customFormat="1" x14ac:dyDescent="0.25">
      <c r="A21" s="200" t="s">
        <v>2373</v>
      </c>
      <c r="B21" s="59">
        <v>37.630000000000003</v>
      </c>
      <c r="C21" s="59">
        <v>49.97</v>
      </c>
      <c r="D21" s="59">
        <v>59.49</v>
      </c>
      <c r="E21" s="59">
        <v>1.26</v>
      </c>
      <c r="F21" s="59">
        <v>1.28</v>
      </c>
      <c r="G21" s="59">
        <v>53.93</v>
      </c>
      <c r="H21" s="59">
        <v>21.9</v>
      </c>
      <c r="I21" s="59">
        <v>0.64</v>
      </c>
      <c r="J21" s="59">
        <v>0.03</v>
      </c>
      <c r="K21" s="59">
        <v>260.52</v>
      </c>
      <c r="L21" s="59">
        <v>17.54</v>
      </c>
      <c r="M21" s="59">
        <v>89.35</v>
      </c>
      <c r="N21" s="59">
        <v>4.7</v>
      </c>
      <c r="O21" s="59">
        <v>0</v>
      </c>
      <c r="P21" s="59">
        <v>0.93</v>
      </c>
      <c r="Q21" s="59">
        <v>48.69</v>
      </c>
      <c r="S21" s="197"/>
      <c r="T21" s="197"/>
      <c r="U21" s="197"/>
    </row>
    <row r="22" spans="1:21" s="12" customFormat="1" x14ac:dyDescent="0.25">
      <c r="A22" s="200" t="s">
        <v>2374</v>
      </c>
      <c r="B22" s="59">
        <v>37.58</v>
      </c>
      <c r="C22" s="59">
        <v>53.09</v>
      </c>
      <c r="D22" s="59">
        <v>61.18</v>
      </c>
      <c r="E22" s="59">
        <v>1.52</v>
      </c>
      <c r="F22" s="59">
        <v>1.22</v>
      </c>
      <c r="G22" s="59">
        <v>53.93</v>
      </c>
      <c r="H22" s="59">
        <v>21.9</v>
      </c>
      <c r="I22" s="59">
        <v>0.64</v>
      </c>
      <c r="J22" s="59">
        <v>7.0000000000000007E-2</v>
      </c>
      <c r="K22" s="59">
        <v>317.20999999999998</v>
      </c>
      <c r="L22" s="59">
        <v>17.55</v>
      </c>
      <c r="M22" s="59">
        <v>89.29</v>
      </c>
      <c r="N22" s="59">
        <v>4.5</v>
      </c>
      <c r="O22" s="59">
        <v>0</v>
      </c>
      <c r="P22" s="59">
        <v>0.91</v>
      </c>
      <c r="Q22" s="59">
        <v>48.09</v>
      </c>
      <c r="S22" s="197"/>
      <c r="T22" s="197"/>
      <c r="U22" s="197"/>
    </row>
    <row r="23" spans="1:21" s="12" customFormat="1" x14ac:dyDescent="0.25">
      <c r="A23" s="200" t="s">
        <v>2375</v>
      </c>
      <c r="B23" s="59">
        <v>37.840000000000003</v>
      </c>
      <c r="C23" s="59">
        <v>58.53</v>
      </c>
      <c r="D23" s="59">
        <v>64.38</v>
      </c>
      <c r="E23" s="59">
        <v>1.43</v>
      </c>
      <c r="F23" s="59">
        <v>1.36</v>
      </c>
      <c r="G23" s="59">
        <v>53.93</v>
      </c>
      <c r="H23" s="59">
        <v>21.9</v>
      </c>
      <c r="I23" s="59">
        <v>0.61</v>
      </c>
      <c r="J23" s="59">
        <v>0.03</v>
      </c>
      <c r="K23" s="59">
        <v>41.13</v>
      </c>
      <c r="L23" s="59">
        <v>17.52</v>
      </c>
      <c r="M23" s="59">
        <v>89.07</v>
      </c>
      <c r="N23" s="59">
        <v>4.7</v>
      </c>
      <c r="O23" s="59">
        <v>0</v>
      </c>
      <c r="P23" s="59">
        <v>0.9</v>
      </c>
      <c r="Q23" s="59">
        <v>51.21</v>
      </c>
      <c r="S23" s="197"/>
      <c r="T23" s="197"/>
      <c r="U23" s="197"/>
    </row>
    <row r="24" spans="1:21" s="12" customFormat="1" x14ac:dyDescent="0.25">
      <c r="A24" s="200" t="s">
        <v>2376</v>
      </c>
      <c r="B24" s="59">
        <v>38.17</v>
      </c>
      <c r="C24" s="59">
        <v>57.39</v>
      </c>
      <c r="D24" s="59">
        <v>64.02</v>
      </c>
      <c r="E24" s="59">
        <v>0.9</v>
      </c>
      <c r="F24" s="59">
        <v>1.39</v>
      </c>
      <c r="G24" s="59">
        <v>51.97</v>
      </c>
      <c r="H24" s="59">
        <v>22.24</v>
      </c>
      <c r="I24" s="59">
        <v>0.62</v>
      </c>
      <c r="J24" s="59">
        <v>0.19</v>
      </c>
      <c r="K24" s="59">
        <v>223.85</v>
      </c>
      <c r="L24" s="59">
        <v>17.96</v>
      </c>
      <c r="M24" s="59">
        <v>87.27</v>
      </c>
      <c r="N24" s="59">
        <v>4</v>
      </c>
      <c r="O24" s="59">
        <v>0</v>
      </c>
      <c r="P24" s="59">
        <v>0.89</v>
      </c>
      <c r="Q24" s="59">
        <v>50.84</v>
      </c>
      <c r="S24" s="197"/>
      <c r="T24" s="197"/>
      <c r="U24" s="197"/>
    </row>
    <row r="25" spans="1:21" s="12" customFormat="1" x14ac:dyDescent="0.25">
      <c r="A25" s="200" t="s">
        <v>2377</v>
      </c>
      <c r="B25" s="59">
        <v>38.869999999999997</v>
      </c>
      <c r="C25" s="59">
        <v>55.19</v>
      </c>
      <c r="D25" s="59">
        <v>63.37</v>
      </c>
      <c r="E25" s="59">
        <v>2.0099999999999998</v>
      </c>
      <c r="F25" s="59">
        <v>1.38</v>
      </c>
      <c r="G25" s="59">
        <v>51.91</v>
      </c>
      <c r="H25" s="59">
        <v>22.25</v>
      </c>
      <c r="I25" s="59">
        <v>0.61</v>
      </c>
      <c r="J25" s="59">
        <v>0.14000000000000001</v>
      </c>
      <c r="K25" s="59">
        <v>354.94</v>
      </c>
      <c r="L25" s="59">
        <v>17.98</v>
      </c>
      <c r="M25" s="59">
        <v>85.92</v>
      </c>
      <c r="N25" s="59">
        <v>4.7</v>
      </c>
      <c r="O25" s="59">
        <v>0</v>
      </c>
      <c r="P25" s="59">
        <v>0.87</v>
      </c>
      <c r="Q25" s="59">
        <v>52.72</v>
      </c>
      <c r="S25" s="197"/>
      <c r="T25" s="197"/>
      <c r="U25" s="197"/>
    </row>
    <row r="26" spans="1:21" s="12" customFormat="1" x14ac:dyDescent="0.25">
      <c r="A26" s="200" t="s">
        <v>2378</v>
      </c>
      <c r="B26" s="59">
        <v>39.880000000000003</v>
      </c>
      <c r="C26" s="59">
        <v>55.02</v>
      </c>
      <c r="D26" s="59">
        <v>64.09</v>
      </c>
      <c r="E26" s="59">
        <v>1.97</v>
      </c>
      <c r="F26" s="59">
        <v>1.51</v>
      </c>
      <c r="G26" s="59">
        <v>51.91</v>
      </c>
      <c r="H26" s="59">
        <v>22.25</v>
      </c>
      <c r="I26" s="59">
        <v>0.6</v>
      </c>
      <c r="J26" s="59">
        <v>0.22</v>
      </c>
      <c r="K26" s="59">
        <v>229.13</v>
      </c>
      <c r="L26" s="59">
        <v>17.75</v>
      </c>
      <c r="M26" s="59">
        <v>88.03</v>
      </c>
      <c r="N26" s="59">
        <v>4.3</v>
      </c>
      <c r="O26" s="59">
        <v>0</v>
      </c>
      <c r="P26" s="59">
        <v>0.87</v>
      </c>
      <c r="Q26" s="59">
        <v>53.71</v>
      </c>
      <c r="S26" s="197"/>
      <c r="T26" s="197"/>
      <c r="U26" s="197"/>
    </row>
    <row r="27" spans="1:21" s="12" customFormat="1" x14ac:dyDescent="0.25">
      <c r="A27" s="200" t="s">
        <v>2379</v>
      </c>
      <c r="B27" s="59">
        <v>39.86</v>
      </c>
      <c r="C27" s="59">
        <v>53.63</v>
      </c>
      <c r="D27" s="59">
        <v>63.3</v>
      </c>
      <c r="E27" s="59">
        <v>2.04</v>
      </c>
      <c r="F27" s="59">
        <v>1.43</v>
      </c>
      <c r="G27" s="59">
        <v>51.91</v>
      </c>
      <c r="H27" s="59">
        <v>22.25</v>
      </c>
      <c r="I27" s="59">
        <v>0.6</v>
      </c>
      <c r="J27" s="59">
        <v>0.16</v>
      </c>
      <c r="K27" s="59">
        <v>325.5</v>
      </c>
      <c r="L27" s="59">
        <v>17.78</v>
      </c>
      <c r="M27" s="59">
        <v>87.06</v>
      </c>
      <c r="N27" s="59">
        <v>4.8</v>
      </c>
      <c r="O27" s="59">
        <v>0</v>
      </c>
      <c r="P27" s="59">
        <v>0.85</v>
      </c>
      <c r="Q27" s="59">
        <v>51.46</v>
      </c>
      <c r="S27" s="197"/>
      <c r="T27" s="197"/>
      <c r="U27" s="197"/>
    </row>
    <row r="28" spans="1:21" s="12" customFormat="1" x14ac:dyDescent="0.25">
      <c r="A28" s="200" t="s">
        <v>2380</v>
      </c>
      <c r="B28" s="59">
        <v>40.04</v>
      </c>
      <c r="C28" s="59">
        <v>54.09</v>
      </c>
      <c r="D28" s="59">
        <v>63.7</v>
      </c>
      <c r="E28" s="59">
        <v>1.91</v>
      </c>
      <c r="F28" s="59">
        <v>1.32</v>
      </c>
      <c r="G28" s="59">
        <v>57.59</v>
      </c>
      <c r="H28" s="59">
        <v>21.14</v>
      </c>
      <c r="I28" s="59">
        <v>0.59</v>
      </c>
      <c r="J28" s="59">
        <v>0.04</v>
      </c>
      <c r="K28" s="59">
        <v>165.16</v>
      </c>
      <c r="L28" s="59">
        <v>17.37</v>
      </c>
      <c r="M28" s="59">
        <v>89.91</v>
      </c>
      <c r="N28" s="59">
        <v>4.7</v>
      </c>
      <c r="O28" s="59">
        <v>0</v>
      </c>
      <c r="P28" s="59">
        <v>0.85</v>
      </c>
      <c r="Q28" s="59">
        <v>53.18</v>
      </c>
      <c r="S28" s="197"/>
      <c r="T28" s="197"/>
      <c r="U28" s="197"/>
    </row>
    <row r="29" spans="1:21" s="12" customFormat="1" x14ac:dyDescent="0.25">
      <c r="A29" s="200" t="s">
        <v>2381</v>
      </c>
      <c r="B29" s="59">
        <v>41.03</v>
      </c>
      <c r="C29" s="59">
        <v>60.02</v>
      </c>
      <c r="D29" s="59">
        <v>67.77</v>
      </c>
      <c r="E29" s="59">
        <v>1.55</v>
      </c>
      <c r="F29" s="59">
        <v>1.25</v>
      </c>
      <c r="G29" s="59">
        <v>57.85</v>
      </c>
      <c r="H29" s="59">
        <v>21.09</v>
      </c>
      <c r="I29" s="59">
        <v>0.59</v>
      </c>
      <c r="J29" s="59">
        <v>0.05</v>
      </c>
      <c r="K29" s="59">
        <v>40.14</v>
      </c>
      <c r="L29" s="59">
        <v>17.32</v>
      </c>
      <c r="M29" s="59">
        <v>90.07</v>
      </c>
      <c r="N29" s="59">
        <v>4.5999999999999996</v>
      </c>
      <c r="O29" s="59">
        <v>0</v>
      </c>
      <c r="P29" s="59">
        <v>0.85</v>
      </c>
      <c r="Q29" s="59">
        <v>51.65</v>
      </c>
      <c r="S29" s="197"/>
      <c r="T29" s="197"/>
      <c r="U29" s="197"/>
    </row>
    <row r="30" spans="1:21" s="12" customFormat="1" x14ac:dyDescent="0.25">
      <c r="A30" s="200" t="s">
        <v>2382</v>
      </c>
      <c r="B30" s="59">
        <v>44.09</v>
      </c>
      <c r="C30" s="59">
        <v>48.3</v>
      </c>
      <c r="D30" s="59">
        <v>63.76</v>
      </c>
      <c r="E30" s="59">
        <v>2.04</v>
      </c>
      <c r="F30" s="59">
        <v>1.0900000000000001</v>
      </c>
      <c r="G30" s="59">
        <v>57.85</v>
      </c>
      <c r="H30" s="59">
        <v>21.09</v>
      </c>
      <c r="I30" s="59">
        <v>0.59</v>
      </c>
      <c r="J30" s="59">
        <v>0.28000000000000003</v>
      </c>
      <c r="K30" s="59">
        <v>248.79</v>
      </c>
      <c r="L30" s="59">
        <v>17.5</v>
      </c>
      <c r="M30" s="59">
        <v>89.21</v>
      </c>
      <c r="N30" s="59">
        <v>4.3</v>
      </c>
      <c r="O30" s="59">
        <v>0</v>
      </c>
      <c r="P30" s="59">
        <v>0.86</v>
      </c>
      <c r="Q30" s="59">
        <v>50.94</v>
      </c>
      <c r="S30" s="197"/>
      <c r="T30" s="197"/>
      <c r="U30" s="197"/>
    </row>
    <row r="31" spans="1:21" s="12" customFormat="1" x14ac:dyDescent="0.25">
      <c r="A31" s="200" t="s">
        <v>2383</v>
      </c>
      <c r="B31" s="59">
        <v>45.8</v>
      </c>
      <c r="C31" s="59">
        <v>57.77</v>
      </c>
      <c r="D31" s="59">
        <v>70.349999999999994</v>
      </c>
      <c r="E31" s="59">
        <v>2.06</v>
      </c>
      <c r="F31" s="59">
        <v>1.22</v>
      </c>
      <c r="G31" s="59">
        <v>57.85</v>
      </c>
      <c r="H31" s="59">
        <v>21.09</v>
      </c>
      <c r="I31" s="59">
        <v>0.59</v>
      </c>
      <c r="J31" s="59">
        <v>0.05</v>
      </c>
      <c r="K31" s="59">
        <v>358.19</v>
      </c>
      <c r="L31" s="59">
        <v>17.399999999999999</v>
      </c>
      <c r="M31" s="59">
        <v>89.31</v>
      </c>
      <c r="N31" s="59">
        <v>4.9000000000000004</v>
      </c>
      <c r="O31" s="59">
        <v>0</v>
      </c>
      <c r="P31" s="59">
        <v>0.86</v>
      </c>
      <c r="Q31" s="59">
        <v>49.11</v>
      </c>
      <c r="S31" s="197"/>
      <c r="T31" s="197"/>
      <c r="U31" s="197"/>
    </row>
    <row r="32" spans="1:21" s="12" customFormat="1" x14ac:dyDescent="0.25">
      <c r="A32" s="200" t="s">
        <v>2384</v>
      </c>
      <c r="B32" s="59">
        <v>47.78</v>
      </c>
      <c r="C32" s="59">
        <v>59.27</v>
      </c>
      <c r="D32" s="59">
        <v>72.760000000000005</v>
      </c>
      <c r="E32" s="59">
        <v>1.69</v>
      </c>
      <c r="F32" s="59">
        <v>1.27</v>
      </c>
      <c r="G32" s="59">
        <v>62.28</v>
      </c>
      <c r="H32" s="59">
        <v>24.2</v>
      </c>
      <c r="I32" s="59">
        <v>0.6</v>
      </c>
      <c r="J32" s="59">
        <v>0.06</v>
      </c>
      <c r="K32" s="59">
        <v>6.47</v>
      </c>
      <c r="L32" s="59">
        <v>17.079999999999998</v>
      </c>
      <c r="M32" s="59">
        <v>91.37</v>
      </c>
      <c r="N32" s="59">
        <v>6.5</v>
      </c>
      <c r="O32" s="59">
        <v>0</v>
      </c>
      <c r="P32" s="59">
        <v>0.86</v>
      </c>
      <c r="Q32" s="59">
        <v>50.7</v>
      </c>
      <c r="S32" s="197"/>
      <c r="T32" s="197"/>
      <c r="U32" s="197"/>
    </row>
    <row r="33" spans="1:21" s="12" customFormat="1" x14ac:dyDescent="0.25">
      <c r="A33" s="200" t="s">
        <v>2385</v>
      </c>
      <c r="B33" s="59">
        <v>51.35</v>
      </c>
      <c r="C33" s="59">
        <v>60.18</v>
      </c>
      <c r="D33" s="59">
        <v>76.13</v>
      </c>
      <c r="E33" s="59">
        <v>2.39</v>
      </c>
      <c r="F33" s="59">
        <v>1.55</v>
      </c>
      <c r="G33" s="59">
        <v>62.49</v>
      </c>
      <c r="H33" s="59">
        <v>24.35</v>
      </c>
      <c r="I33" s="59">
        <v>0.6</v>
      </c>
      <c r="J33" s="59">
        <v>0.13</v>
      </c>
      <c r="K33" s="59">
        <v>11.47</v>
      </c>
      <c r="L33" s="59">
        <v>16.95</v>
      </c>
      <c r="M33" s="59">
        <v>92.03</v>
      </c>
      <c r="N33" s="59">
        <v>16.3</v>
      </c>
      <c r="O33" s="59">
        <v>0</v>
      </c>
      <c r="P33" s="59">
        <v>0.88</v>
      </c>
      <c r="Q33" s="59">
        <v>48.12</v>
      </c>
      <c r="S33" s="197"/>
      <c r="T33" s="197"/>
      <c r="U33" s="197"/>
    </row>
    <row r="34" spans="1:21" s="12" customFormat="1" x14ac:dyDescent="0.25">
      <c r="A34" s="200" t="s">
        <v>2386</v>
      </c>
      <c r="B34" s="59">
        <v>56.07</v>
      </c>
      <c r="C34" s="59">
        <v>59.25</v>
      </c>
      <c r="D34" s="59">
        <v>79.400000000000006</v>
      </c>
      <c r="E34" s="59">
        <v>2.4500000000000002</v>
      </c>
      <c r="F34" s="59">
        <v>1.47</v>
      </c>
      <c r="G34" s="59">
        <v>62.49</v>
      </c>
      <c r="H34" s="59">
        <v>24.35</v>
      </c>
      <c r="I34" s="59">
        <v>0.6</v>
      </c>
      <c r="J34" s="59">
        <v>0.18</v>
      </c>
      <c r="K34" s="59">
        <v>9.4499999999999993</v>
      </c>
      <c r="L34" s="59">
        <v>17.23</v>
      </c>
      <c r="M34" s="59">
        <v>92.3</v>
      </c>
      <c r="N34" s="59">
        <v>38.6</v>
      </c>
      <c r="O34" s="59">
        <v>0</v>
      </c>
      <c r="P34" s="59">
        <v>0.92</v>
      </c>
      <c r="Q34" s="59">
        <v>51.27</v>
      </c>
      <c r="S34" s="197"/>
      <c r="T34" s="197"/>
      <c r="U34" s="197"/>
    </row>
    <row r="35" spans="1:21" s="12" customFormat="1" x14ac:dyDescent="0.25">
      <c r="A35" s="200" t="s">
        <v>2387</v>
      </c>
      <c r="B35" s="59">
        <v>60.41</v>
      </c>
      <c r="C35" s="59">
        <v>62.38</v>
      </c>
      <c r="D35" s="59">
        <v>84.61</v>
      </c>
      <c r="E35" s="59">
        <v>2.36</v>
      </c>
      <c r="F35" s="59">
        <v>1.29</v>
      </c>
      <c r="G35" s="59">
        <v>62.49</v>
      </c>
      <c r="H35" s="59">
        <v>24.35</v>
      </c>
      <c r="I35" s="59">
        <v>0.62</v>
      </c>
      <c r="J35" s="59">
        <v>0.46</v>
      </c>
      <c r="K35" s="59">
        <v>11.04</v>
      </c>
      <c r="L35" s="59">
        <v>18.13</v>
      </c>
      <c r="M35" s="59">
        <v>88.36</v>
      </c>
      <c r="N35" s="59">
        <v>61.6</v>
      </c>
      <c r="O35" s="59">
        <v>0</v>
      </c>
      <c r="P35" s="59">
        <v>0.94</v>
      </c>
      <c r="Q35" s="59">
        <v>50.46</v>
      </c>
      <c r="S35" s="197"/>
      <c r="T35" s="197"/>
      <c r="U35" s="197"/>
    </row>
    <row r="36" spans="1:21" s="12" customFormat="1" x14ac:dyDescent="0.25">
      <c r="A36" s="200" t="s">
        <v>2388</v>
      </c>
      <c r="B36" s="59">
        <v>61.3</v>
      </c>
      <c r="C36" s="59">
        <v>61.77</v>
      </c>
      <c r="D36" s="59">
        <v>84.99</v>
      </c>
      <c r="E36" s="59">
        <v>2.42</v>
      </c>
      <c r="F36" s="59">
        <v>1.27</v>
      </c>
      <c r="G36" s="59">
        <v>77.39</v>
      </c>
      <c r="H36" s="59">
        <v>27.73</v>
      </c>
      <c r="I36" s="59">
        <v>0.65</v>
      </c>
      <c r="J36" s="59">
        <v>7.0000000000000007E-2</v>
      </c>
      <c r="K36" s="59">
        <v>25.25</v>
      </c>
      <c r="L36" s="59">
        <v>19.59</v>
      </c>
      <c r="M36" s="59">
        <v>80.349999999999994</v>
      </c>
      <c r="N36" s="59">
        <v>110.4</v>
      </c>
      <c r="O36" s="59">
        <v>0</v>
      </c>
      <c r="P36" s="59">
        <v>0.96</v>
      </c>
      <c r="Q36" s="59">
        <v>53.16</v>
      </c>
      <c r="S36" s="197"/>
      <c r="T36" s="197"/>
      <c r="U36" s="197"/>
    </row>
    <row r="37" spans="1:21" s="12" customFormat="1" x14ac:dyDescent="0.25">
      <c r="A37" s="200" t="s">
        <v>2389</v>
      </c>
      <c r="B37" s="59">
        <v>62.24</v>
      </c>
      <c r="C37" s="59">
        <v>54.54</v>
      </c>
      <c r="D37" s="59">
        <v>81.75</v>
      </c>
      <c r="E37" s="59">
        <v>2.39</v>
      </c>
      <c r="F37" s="59">
        <v>1.37</v>
      </c>
      <c r="G37" s="59">
        <v>78.08</v>
      </c>
      <c r="H37" s="59">
        <v>27.89</v>
      </c>
      <c r="I37" s="59">
        <v>0.63</v>
      </c>
      <c r="J37" s="59">
        <v>0.12</v>
      </c>
      <c r="K37" s="59">
        <v>34.32</v>
      </c>
      <c r="L37" s="59">
        <v>21.2</v>
      </c>
      <c r="M37" s="59">
        <v>73.709999999999994</v>
      </c>
      <c r="N37" s="59">
        <v>163.4</v>
      </c>
      <c r="O37" s="59">
        <v>0</v>
      </c>
      <c r="P37" s="59">
        <v>0.95</v>
      </c>
      <c r="Q37" s="59">
        <v>57.97</v>
      </c>
      <c r="S37" s="197"/>
      <c r="T37" s="197"/>
      <c r="U37" s="197"/>
    </row>
    <row r="38" spans="1:21" s="12" customFormat="1" x14ac:dyDescent="0.25">
      <c r="A38" s="200" t="s">
        <v>2390</v>
      </c>
      <c r="B38" s="59">
        <v>62.23</v>
      </c>
      <c r="C38" s="59">
        <v>66.27</v>
      </c>
      <c r="D38" s="59">
        <v>88.22</v>
      </c>
      <c r="E38" s="59">
        <v>2.4900000000000002</v>
      </c>
      <c r="F38" s="59">
        <v>1.54</v>
      </c>
      <c r="G38" s="59">
        <v>78.08</v>
      </c>
      <c r="H38" s="59">
        <v>27.89</v>
      </c>
      <c r="I38" s="59">
        <v>0.64</v>
      </c>
      <c r="J38" s="59">
        <v>0.21</v>
      </c>
      <c r="K38" s="59">
        <v>3.87</v>
      </c>
      <c r="L38" s="59">
        <v>23.31</v>
      </c>
      <c r="M38" s="59">
        <v>66.62</v>
      </c>
      <c r="N38" s="59">
        <v>216.2</v>
      </c>
      <c r="O38" s="59">
        <v>0</v>
      </c>
      <c r="P38" s="59">
        <v>1.03</v>
      </c>
      <c r="Q38" s="59">
        <v>56.51</v>
      </c>
      <c r="S38" s="197"/>
      <c r="T38" s="197"/>
      <c r="U38" s="197"/>
    </row>
    <row r="39" spans="1:21" s="12" customFormat="1" x14ac:dyDescent="0.25">
      <c r="A39" s="200" t="s">
        <v>2391</v>
      </c>
      <c r="B39" s="59">
        <v>61.25</v>
      </c>
      <c r="C39" s="59">
        <v>56.33</v>
      </c>
      <c r="D39" s="59">
        <v>81.95</v>
      </c>
      <c r="E39" s="59">
        <v>2.5</v>
      </c>
      <c r="F39" s="59">
        <v>1.34</v>
      </c>
      <c r="G39" s="59">
        <v>78.08</v>
      </c>
      <c r="H39" s="59">
        <v>27.89</v>
      </c>
      <c r="I39" s="59">
        <v>0.64</v>
      </c>
      <c r="J39" s="59">
        <v>0.63</v>
      </c>
      <c r="K39" s="59">
        <v>116.54</v>
      </c>
      <c r="L39" s="59">
        <v>23.08</v>
      </c>
      <c r="M39" s="59">
        <v>66.97</v>
      </c>
      <c r="N39" s="59">
        <v>276.39999999999998</v>
      </c>
      <c r="O39" s="59">
        <v>0</v>
      </c>
      <c r="P39" s="59">
        <v>1.07</v>
      </c>
      <c r="Q39" s="59">
        <v>56.55</v>
      </c>
      <c r="S39" s="197"/>
      <c r="T39" s="197"/>
      <c r="U39" s="197"/>
    </row>
    <row r="40" spans="1:21" s="12" customFormat="1" x14ac:dyDescent="0.25">
      <c r="A40" s="200" t="s">
        <v>2392</v>
      </c>
      <c r="B40" s="59">
        <v>59.36</v>
      </c>
      <c r="C40" s="59">
        <v>53.97</v>
      </c>
      <c r="D40" s="59">
        <v>79.13</v>
      </c>
      <c r="E40" s="59">
        <v>1</v>
      </c>
      <c r="F40" s="59">
        <v>1.29</v>
      </c>
      <c r="G40" s="59">
        <v>92.66</v>
      </c>
      <c r="H40" s="59">
        <v>34.85</v>
      </c>
      <c r="I40" s="59">
        <v>0.65</v>
      </c>
      <c r="J40" s="59">
        <v>0.59</v>
      </c>
      <c r="K40" s="59">
        <v>19.77</v>
      </c>
      <c r="L40" s="59">
        <v>23.86</v>
      </c>
      <c r="M40" s="59">
        <v>62.39</v>
      </c>
      <c r="N40" s="59">
        <v>307.5</v>
      </c>
      <c r="O40" s="59">
        <v>0</v>
      </c>
      <c r="P40" s="59">
        <v>1.1000000000000001</v>
      </c>
      <c r="Q40" s="59">
        <v>56.76</v>
      </c>
      <c r="S40" s="197"/>
      <c r="T40" s="197"/>
      <c r="U40" s="197"/>
    </row>
    <row r="41" spans="1:21" s="12" customFormat="1" x14ac:dyDescent="0.25">
      <c r="A41" s="200" t="s">
        <v>2393</v>
      </c>
      <c r="B41" s="59">
        <v>56.74</v>
      </c>
      <c r="C41" s="59">
        <v>57.79</v>
      </c>
      <c r="D41" s="59">
        <v>79.14</v>
      </c>
      <c r="E41" s="59">
        <v>1.93</v>
      </c>
      <c r="F41" s="59">
        <v>1.37</v>
      </c>
      <c r="G41" s="59">
        <v>93.34</v>
      </c>
      <c r="H41" s="59">
        <v>35.17</v>
      </c>
      <c r="I41" s="59">
        <v>0.65</v>
      </c>
      <c r="J41" s="59">
        <v>1.26</v>
      </c>
      <c r="K41" s="59">
        <v>15.02</v>
      </c>
      <c r="L41" s="59">
        <v>25.6</v>
      </c>
      <c r="M41" s="59">
        <v>55.97</v>
      </c>
      <c r="N41" s="59">
        <v>346.4</v>
      </c>
      <c r="O41" s="59">
        <v>0</v>
      </c>
      <c r="P41" s="59">
        <v>1.17</v>
      </c>
      <c r="Q41" s="59">
        <v>58.42</v>
      </c>
      <c r="S41" s="197"/>
      <c r="T41" s="197"/>
      <c r="U41" s="197"/>
    </row>
    <row r="42" spans="1:21" s="12" customFormat="1" x14ac:dyDescent="0.25">
      <c r="A42" s="200" t="s">
        <v>2394</v>
      </c>
      <c r="B42" s="59">
        <v>53.95</v>
      </c>
      <c r="C42" s="59">
        <v>60.58</v>
      </c>
      <c r="D42" s="59">
        <v>78.44</v>
      </c>
      <c r="E42" s="59">
        <v>2.1800000000000002</v>
      </c>
      <c r="F42" s="59">
        <v>1.36</v>
      </c>
      <c r="G42" s="59">
        <v>93.34</v>
      </c>
      <c r="H42" s="59">
        <v>35.17</v>
      </c>
      <c r="I42" s="59">
        <v>0.65</v>
      </c>
      <c r="J42" s="59">
        <v>0.79</v>
      </c>
      <c r="K42" s="59">
        <v>14.3</v>
      </c>
      <c r="L42" s="59">
        <v>26.22</v>
      </c>
      <c r="M42" s="59">
        <v>53.6</v>
      </c>
      <c r="N42" s="59">
        <v>347.8</v>
      </c>
      <c r="O42" s="59">
        <v>0</v>
      </c>
      <c r="P42" s="59">
        <v>1.23</v>
      </c>
      <c r="Q42" s="59">
        <v>54.7</v>
      </c>
      <c r="S42" s="197"/>
      <c r="T42" s="197"/>
      <c r="U42" s="197"/>
    </row>
    <row r="43" spans="1:21" s="12" customFormat="1" x14ac:dyDescent="0.25">
      <c r="A43" s="200" t="s">
        <v>2395</v>
      </c>
      <c r="B43" s="59">
        <v>50.79</v>
      </c>
      <c r="C43" s="59">
        <v>64.989999999999995</v>
      </c>
      <c r="D43" s="59">
        <v>78.34</v>
      </c>
      <c r="E43" s="59">
        <v>1.87</v>
      </c>
      <c r="F43" s="59">
        <v>1.31</v>
      </c>
      <c r="G43" s="59">
        <v>93.34</v>
      </c>
      <c r="H43" s="59">
        <v>35.17</v>
      </c>
      <c r="I43" s="59">
        <v>0.65</v>
      </c>
      <c r="J43" s="59">
        <v>0.55000000000000004</v>
      </c>
      <c r="K43" s="59">
        <v>13.89</v>
      </c>
      <c r="L43" s="59">
        <v>26.99</v>
      </c>
      <c r="M43" s="59">
        <v>50.18</v>
      </c>
      <c r="N43" s="59">
        <v>433</v>
      </c>
      <c r="O43" s="59">
        <v>0</v>
      </c>
      <c r="P43" s="59">
        <v>1.31</v>
      </c>
      <c r="Q43" s="59">
        <v>55.71</v>
      </c>
      <c r="S43" s="197"/>
      <c r="T43" s="197"/>
      <c r="U43" s="197"/>
    </row>
    <row r="44" spans="1:21" s="12" customFormat="1" x14ac:dyDescent="0.25">
      <c r="A44" s="200" t="s">
        <v>2396</v>
      </c>
      <c r="B44" s="59">
        <v>43.09</v>
      </c>
      <c r="C44" s="59">
        <v>65.81</v>
      </c>
      <c r="D44" s="59">
        <v>72.61</v>
      </c>
      <c r="E44" s="59">
        <v>3.07</v>
      </c>
      <c r="F44" s="59">
        <v>4.21</v>
      </c>
      <c r="G44" s="59">
        <v>202.28</v>
      </c>
      <c r="H44" s="59">
        <v>51.71</v>
      </c>
      <c r="I44" s="59">
        <v>0.65</v>
      </c>
      <c r="J44" s="59">
        <v>0.44</v>
      </c>
      <c r="K44" s="59">
        <v>7.83</v>
      </c>
      <c r="L44" s="59">
        <v>28.05</v>
      </c>
      <c r="M44" s="59">
        <v>45.92</v>
      </c>
      <c r="N44" s="59">
        <v>494.9</v>
      </c>
      <c r="O44" s="59">
        <v>0</v>
      </c>
      <c r="P44" s="59">
        <v>1.35</v>
      </c>
      <c r="Q44" s="59">
        <v>56.48</v>
      </c>
      <c r="S44" s="197"/>
      <c r="T44" s="197"/>
      <c r="U44" s="197"/>
    </row>
    <row r="45" spans="1:21" s="12" customFormat="1" x14ac:dyDescent="0.25">
      <c r="A45" s="200" t="s">
        <v>2397</v>
      </c>
      <c r="B45" s="59">
        <v>44.02</v>
      </c>
      <c r="C45" s="59">
        <v>68.709999999999994</v>
      </c>
      <c r="D45" s="59">
        <v>74.959999999999994</v>
      </c>
      <c r="E45" s="59">
        <v>2.74</v>
      </c>
      <c r="F45" s="59">
        <v>2.41</v>
      </c>
      <c r="G45" s="59">
        <v>206.04</v>
      </c>
      <c r="H45" s="59">
        <v>52.28</v>
      </c>
      <c r="I45" s="59">
        <v>0.64</v>
      </c>
      <c r="J45" s="59">
        <v>0.15</v>
      </c>
      <c r="K45" s="59">
        <v>107.68</v>
      </c>
      <c r="L45" s="59">
        <v>27.8</v>
      </c>
      <c r="M45" s="59">
        <v>45.82</v>
      </c>
      <c r="N45" s="59">
        <v>582.79999999999995</v>
      </c>
      <c r="O45" s="59">
        <v>0</v>
      </c>
      <c r="P45" s="59">
        <v>1.35</v>
      </c>
      <c r="Q45" s="59">
        <v>48.91</v>
      </c>
      <c r="S45" s="197"/>
      <c r="T45" s="197"/>
      <c r="U45" s="197"/>
    </row>
    <row r="46" spans="1:21" s="12" customFormat="1" x14ac:dyDescent="0.25">
      <c r="A46" s="200" t="s">
        <v>2398</v>
      </c>
      <c r="B46" s="59">
        <v>40.82</v>
      </c>
      <c r="C46" s="59">
        <v>56.94</v>
      </c>
      <c r="D46" s="59">
        <v>65.89</v>
      </c>
      <c r="E46" s="59">
        <v>2.83</v>
      </c>
      <c r="F46" s="59">
        <v>4.72</v>
      </c>
      <c r="G46" s="59">
        <v>206.04</v>
      </c>
      <c r="H46" s="59">
        <v>52.28</v>
      </c>
      <c r="I46" s="59">
        <v>0.62</v>
      </c>
      <c r="J46" s="59">
        <v>0.34</v>
      </c>
      <c r="K46" s="59">
        <v>63.6</v>
      </c>
      <c r="L46" s="59">
        <v>27.56</v>
      </c>
      <c r="M46" s="59">
        <v>45.95</v>
      </c>
      <c r="N46" s="59">
        <v>619.6</v>
      </c>
      <c r="O46" s="59">
        <v>0</v>
      </c>
      <c r="P46" s="59">
        <v>1.34</v>
      </c>
      <c r="Q46" s="59">
        <v>50.53</v>
      </c>
      <c r="S46" s="197"/>
      <c r="T46" s="197"/>
      <c r="U46" s="197"/>
    </row>
    <row r="47" spans="1:21" s="12" customFormat="1" x14ac:dyDescent="0.25">
      <c r="A47" s="200" t="s">
        <v>2399</v>
      </c>
      <c r="B47" s="59">
        <v>40.909999999999997</v>
      </c>
      <c r="C47" s="59">
        <v>54.87</v>
      </c>
      <c r="D47" s="59">
        <v>64.83</v>
      </c>
      <c r="E47" s="59">
        <v>2.86</v>
      </c>
      <c r="F47" s="59">
        <v>4.7699999999999996</v>
      </c>
      <c r="G47" s="59">
        <v>206.04</v>
      </c>
      <c r="H47" s="59">
        <v>52.28</v>
      </c>
      <c r="I47" s="59">
        <v>0.64</v>
      </c>
      <c r="J47" s="59">
        <v>0.9</v>
      </c>
      <c r="K47" s="59">
        <v>146.57</v>
      </c>
      <c r="L47" s="59">
        <v>26.7</v>
      </c>
      <c r="M47" s="59">
        <v>46.34</v>
      </c>
      <c r="N47" s="59">
        <v>687.2</v>
      </c>
      <c r="O47" s="59">
        <v>0</v>
      </c>
      <c r="P47" s="59">
        <v>1.32</v>
      </c>
      <c r="Q47" s="59">
        <v>56.56</v>
      </c>
      <c r="S47" s="197"/>
      <c r="T47" s="197"/>
      <c r="U47" s="197"/>
    </row>
    <row r="48" spans="1:21" s="12" customFormat="1" x14ac:dyDescent="0.25">
      <c r="A48" s="200" t="s">
        <v>2400</v>
      </c>
      <c r="B48" s="59">
        <v>40.090000000000003</v>
      </c>
      <c r="C48" s="59">
        <v>70.510000000000005</v>
      </c>
      <c r="D48" s="59">
        <v>72.8</v>
      </c>
      <c r="E48" s="59">
        <v>3.05</v>
      </c>
      <c r="F48" s="59">
        <v>4.5199999999999996</v>
      </c>
      <c r="G48" s="210" t="s">
        <v>43</v>
      </c>
      <c r="H48" s="210" t="s">
        <v>43</v>
      </c>
      <c r="I48" s="59">
        <v>0.64</v>
      </c>
      <c r="J48" s="59">
        <v>0.46</v>
      </c>
      <c r="K48" s="59">
        <v>50.75</v>
      </c>
      <c r="L48" s="59">
        <v>27.46</v>
      </c>
      <c r="M48" s="59">
        <v>44.51</v>
      </c>
      <c r="N48" s="59">
        <v>675</v>
      </c>
      <c r="O48" s="59">
        <v>0</v>
      </c>
      <c r="P48" s="59">
        <v>1.32</v>
      </c>
      <c r="Q48" s="59">
        <v>50.51</v>
      </c>
      <c r="S48" s="197"/>
      <c r="T48" s="197"/>
      <c r="U48" s="197"/>
    </row>
    <row r="49" spans="1:21" s="12" customFormat="1" x14ac:dyDescent="0.25">
      <c r="A49" s="200" t="s">
        <v>2401</v>
      </c>
      <c r="B49" s="59">
        <v>36.39</v>
      </c>
      <c r="C49" s="59">
        <v>57</v>
      </c>
      <c r="D49" s="59">
        <v>62.38</v>
      </c>
      <c r="E49" s="59">
        <v>3.45</v>
      </c>
      <c r="F49" s="59">
        <v>5.47</v>
      </c>
      <c r="G49" s="210" t="s">
        <v>43</v>
      </c>
      <c r="H49" s="210" t="s">
        <v>43</v>
      </c>
      <c r="I49" s="59">
        <v>0.64</v>
      </c>
      <c r="J49" s="59">
        <v>0.88</v>
      </c>
      <c r="K49" s="59">
        <v>150.79</v>
      </c>
      <c r="L49" s="59">
        <v>27.22</v>
      </c>
      <c r="M49" s="59">
        <v>43.48</v>
      </c>
      <c r="N49" s="59">
        <v>777.3</v>
      </c>
      <c r="O49" s="59">
        <v>0</v>
      </c>
      <c r="P49" s="59">
        <v>1.3</v>
      </c>
      <c r="Q49" s="59">
        <v>52.48</v>
      </c>
      <c r="S49" s="197"/>
      <c r="T49" s="197"/>
      <c r="U49" s="197"/>
    </row>
    <row r="50" spans="1:21" s="12" customFormat="1" x14ac:dyDescent="0.25">
      <c r="A50" s="200" t="s">
        <v>2402</v>
      </c>
      <c r="B50" s="59">
        <v>31.77</v>
      </c>
      <c r="C50" s="59">
        <v>57.48</v>
      </c>
      <c r="D50" s="59">
        <v>58.94</v>
      </c>
      <c r="E50" s="59">
        <v>2.71</v>
      </c>
      <c r="F50" s="59">
        <v>5.53</v>
      </c>
      <c r="G50" s="210" t="s">
        <v>43</v>
      </c>
      <c r="H50" s="210" t="s">
        <v>43</v>
      </c>
      <c r="I50" s="59">
        <v>0.65</v>
      </c>
      <c r="J50" s="59">
        <v>0.61</v>
      </c>
      <c r="K50" s="59">
        <v>172.43</v>
      </c>
      <c r="L50" s="59">
        <v>27.47</v>
      </c>
      <c r="M50" s="59">
        <v>42.01</v>
      </c>
      <c r="N50" s="59">
        <v>777.4</v>
      </c>
      <c r="O50" s="59">
        <v>0</v>
      </c>
      <c r="P50" s="59">
        <v>1.27</v>
      </c>
      <c r="Q50" s="59">
        <v>57.13</v>
      </c>
      <c r="S50" s="197"/>
      <c r="T50" s="197"/>
      <c r="U50" s="197"/>
    </row>
    <row r="51" spans="1:21" s="12" customFormat="1" x14ac:dyDescent="0.25">
      <c r="A51" s="200" t="s">
        <v>2403</v>
      </c>
      <c r="B51" s="59">
        <v>29.43</v>
      </c>
      <c r="C51" s="59">
        <v>43.38</v>
      </c>
      <c r="D51" s="59">
        <v>49.28</v>
      </c>
      <c r="E51" s="59">
        <v>3.2</v>
      </c>
      <c r="F51" s="59">
        <v>5.42</v>
      </c>
      <c r="G51" s="210" t="s">
        <v>43</v>
      </c>
      <c r="H51" s="210" t="s">
        <v>43</v>
      </c>
      <c r="I51" s="59">
        <v>0.64</v>
      </c>
      <c r="J51" s="59">
        <v>0.47</v>
      </c>
      <c r="K51" s="59">
        <v>174.75</v>
      </c>
      <c r="L51" s="59">
        <v>28.55</v>
      </c>
      <c r="M51" s="59">
        <v>38.1</v>
      </c>
      <c r="N51" s="59">
        <v>803.9</v>
      </c>
      <c r="O51" s="59">
        <v>0</v>
      </c>
      <c r="P51" s="59">
        <v>1.25</v>
      </c>
      <c r="Q51" s="59">
        <v>54.12</v>
      </c>
      <c r="S51" s="197"/>
      <c r="T51" s="197"/>
      <c r="U51" s="197"/>
    </row>
    <row r="52" spans="1:21" s="12" customFormat="1" x14ac:dyDescent="0.25">
      <c r="A52" s="200" t="s">
        <v>2404</v>
      </c>
      <c r="B52" s="59">
        <v>26.88</v>
      </c>
      <c r="C52" s="59">
        <v>49.25</v>
      </c>
      <c r="D52" s="59">
        <v>50.47</v>
      </c>
      <c r="E52" s="59">
        <v>2.6</v>
      </c>
      <c r="F52" s="59">
        <v>2.63</v>
      </c>
      <c r="G52" s="59">
        <v>124.44</v>
      </c>
      <c r="H52" s="59">
        <v>44.01</v>
      </c>
      <c r="I52" s="59">
        <v>0.65</v>
      </c>
      <c r="J52" s="59">
        <v>0.61</v>
      </c>
      <c r="K52" s="59">
        <v>173.23</v>
      </c>
      <c r="L52" s="59">
        <v>27.99</v>
      </c>
      <c r="M52" s="59">
        <v>42.92</v>
      </c>
      <c r="N52" s="59">
        <v>774.8</v>
      </c>
      <c r="O52" s="59">
        <v>0</v>
      </c>
      <c r="P52" s="59">
        <v>1.22</v>
      </c>
      <c r="Q52" s="59">
        <v>55.12</v>
      </c>
      <c r="S52" s="197"/>
      <c r="T52" s="197"/>
      <c r="U52" s="197"/>
    </row>
    <row r="53" spans="1:21" s="12" customFormat="1" x14ac:dyDescent="0.25">
      <c r="A53" s="200" t="s">
        <v>2405</v>
      </c>
      <c r="B53" s="59">
        <v>21.16</v>
      </c>
      <c r="C53" s="59">
        <v>54.13</v>
      </c>
      <c r="D53" s="59">
        <v>48.58</v>
      </c>
      <c r="E53" s="59">
        <v>2.4300000000000002</v>
      </c>
      <c r="F53" s="59">
        <v>2.97</v>
      </c>
      <c r="G53" s="59">
        <v>127.44</v>
      </c>
      <c r="H53" s="59">
        <v>43.89</v>
      </c>
      <c r="I53" s="59">
        <v>0.65</v>
      </c>
      <c r="J53" s="59">
        <v>1.05</v>
      </c>
      <c r="K53" s="59">
        <v>182.65</v>
      </c>
      <c r="L53" s="59">
        <v>28.07</v>
      </c>
      <c r="M53" s="59">
        <v>44.15</v>
      </c>
      <c r="N53" s="59">
        <v>825.5</v>
      </c>
      <c r="O53" s="59">
        <v>0</v>
      </c>
      <c r="P53" s="59">
        <v>1.19</v>
      </c>
      <c r="Q53" s="59">
        <v>57.38</v>
      </c>
      <c r="S53" s="197"/>
      <c r="T53" s="197"/>
      <c r="U53" s="197"/>
    </row>
    <row r="54" spans="1:21" s="12" customFormat="1" x14ac:dyDescent="0.25">
      <c r="A54" s="200" t="s">
        <v>2406</v>
      </c>
      <c r="B54" s="59">
        <v>14.61</v>
      </c>
      <c r="C54" s="59">
        <v>57.44</v>
      </c>
      <c r="D54" s="59">
        <v>45.15</v>
      </c>
      <c r="E54" s="59">
        <v>2.09</v>
      </c>
      <c r="F54" s="59">
        <v>2.94</v>
      </c>
      <c r="G54" s="59">
        <v>127.44</v>
      </c>
      <c r="H54" s="59">
        <v>43.89</v>
      </c>
      <c r="I54" s="59">
        <v>0.66</v>
      </c>
      <c r="J54" s="59">
        <v>0.77</v>
      </c>
      <c r="K54" s="59">
        <v>177.71</v>
      </c>
      <c r="L54" s="59">
        <v>27.91</v>
      </c>
      <c r="M54" s="59">
        <v>41.46</v>
      </c>
      <c r="N54" s="59">
        <v>887.4</v>
      </c>
      <c r="O54" s="59">
        <v>0</v>
      </c>
      <c r="P54" s="59">
        <v>1.1399999999999999</v>
      </c>
      <c r="Q54" s="59">
        <v>54.95</v>
      </c>
      <c r="S54" s="197"/>
      <c r="T54" s="197"/>
      <c r="U54" s="197"/>
    </row>
    <row r="55" spans="1:21" s="12" customFormat="1" x14ac:dyDescent="0.25">
      <c r="A55" s="200" t="s">
        <v>2407</v>
      </c>
      <c r="B55" s="59">
        <v>9.18</v>
      </c>
      <c r="C55" s="59">
        <v>57.22</v>
      </c>
      <c r="D55" s="59">
        <v>40.68</v>
      </c>
      <c r="E55" s="59">
        <v>1.95</v>
      </c>
      <c r="F55" s="59">
        <v>3.63</v>
      </c>
      <c r="G55" s="59">
        <v>127.44</v>
      </c>
      <c r="H55" s="59">
        <v>43.89</v>
      </c>
      <c r="I55" s="59">
        <v>0.65</v>
      </c>
      <c r="J55" s="59">
        <v>0.4</v>
      </c>
      <c r="K55" s="59">
        <v>172.21</v>
      </c>
      <c r="L55" s="59">
        <v>28.57</v>
      </c>
      <c r="M55" s="59">
        <v>37.78</v>
      </c>
      <c r="N55" s="59">
        <v>895.6</v>
      </c>
      <c r="O55" s="59">
        <v>0</v>
      </c>
      <c r="P55" s="59">
        <v>1.08</v>
      </c>
      <c r="Q55" s="59">
        <v>56.47</v>
      </c>
      <c r="S55" s="197"/>
      <c r="T55" s="197"/>
      <c r="U55" s="197"/>
    </row>
    <row r="56" spans="1:21" s="12" customFormat="1" x14ac:dyDescent="0.25">
      <c r="A56" s="200" t="s">
        <v>2408</v>
      </c>
      <c r="B56" s="59">
        <v>5.59</v>
      </c>
      <c r="C56" s="59">
        <v>61.85</v>
      </c>
      <c r="D56" s="59">
        <v>40.36</v>
      </c>
      <c r="E56" s="59">
        <v>1.33</v>
      </c>
      <c r="F56" s="59">
        <v>4.72</v>
      </c>
      <c r="G56" s="59">
        <v>60.29</v>
      </c>
      <c r="H56" s="59">
        <v>36.4</v>
      </c>
      <c r="I56" s="59">
        <v>0.63</v>
      </c>
      <c r="J56" s="59">
        <v>0.54</v>
      </c>
      <c r="K56" s="59">
        <v>198.53</v>
      </c>
      <c r="L56" s="59">
        <v>28.91</v>
      </c>
      <c r="M56" s="59">
        <v>35.020000000000003</v>
      </c>
      <c r="N56" s="59">
        <v>926.3</v>
      </c>
      <c r="O56" s="59">
        <v>0</v>
      </c>
      <c r="P56" s="59">
        <v>1.03</v>
      </c>
      <c r="Q56" s="59">
        <v>54.41</v>
      </c>
      <c r="S56" s="197"/>
      <c r="T56" s="197"/>
      <c r="U56" s="197"/>
    </row>
    <row r="57" spans="1:21" s="12" customFormat="1" x14ac:dyDescent="0.25">
      <c r="A57" s="200" t="s">
        <v>2409</v>
      </c>
      <c r="B57" s="59">
        <v>4.55</v>
      </c>
      <c r="C57" s="59">
        <v>55.07</v>
      </c>
      <c r="D57" s="59">
        <v>35.78</v>
      </c>
      <c r="E57" s="59">
        <v>2.4500000000000002</v>
      </c>
      <c r="F57" s="59">
        <v>4.93</v>
      </c>
      <c r="G57" s="59">
        <v>57.98</v>
      </c>
      <c r="H57" s="59">
        <v>36.14</v>
      </c>
      <c r="I57" s="59">
        <v>0.61</v>
      </c>
      <c r="J57" s="59">
        <v>0.68</v>
      </c>
      <c r="K57" s="59">
        <v>201.98</v>
      </c>
      <c r="L57" s="59">
        <v>28.5</v>
      </c>
      <c r="M57" s="59">
        <v>34.93</v>
      </c>
      <c r="N57" s="59">
        <v>944.1</v>
      </c>
      <c r="O57" s="59">
        <v>0</v>
      </c>
      <c r="P57" s="59">
        <v>0.95</v>
      </c>
      <c r="Q57" s="59">
        <v>50.65</v>
      </c>
      <c r="S57" s="197"/>
      <c r="T57" s="197"/>
      <c r="U57" s="197"/>
    </row>
    <row r="58" spans="1:21" s="12" customFormat="1" x14ac:dyDescent="0.25">
      <c r="A58" s="200" t="s">
        <v>2410</v>
      </c>
      <c r="B58" s="59">
        <v>4.3099999999999996</v>
      </c>
      <c r="C58" s="59">
        <v>87.54</v>
      </c>
      <c r="D58" s="59">
        <v>53.51</v>
      </c>
      <c r="E58" s="59">
        <v>2.1</v>
      </c>
      <c r="F58" s="59">
        <v>4.9000000000000004</v>
      </c>
      <c r="G58" s="59">
        <v>57.98</v>
      </c>
      <c r="H58" s="59">
        <v>36.14</v>
      </c>
      <c r="I58" s="59">
        <v>0.6</v>
      </c>
      <c r="J58" s="59">
        <v>1.33</v>
      </c>
      <c r="K58" s="59">
        <v>173.25</v>
      </c>
      <c r="L58" s="59">
        <v>28.31</v>
      </c>
      <c r="M58" s="59">
        <v>35.97</v>
      </c>
      <c r="N58" s="59">
        <v>934</v>
      </c>
      <c r="O58" s="59">
        <v>0</v>
      </c>
      <c r="P58" s="59">
        <v>0.89</v>
      </c>
      <c r="Q58" s="59">
        <v>48.48</v>
      </c>
      <c r="S58" s="197"/>
      <c r="T58" s="197"/>
      <c r="U58" s="197"/>
    </row>
    <row r="59" spans="1:21" s="12" customFormat="1" x14ac:dyDescent="0.25">
      <c r="A59" s="200" t="s">
        <v>2411</v>
      </c>
      <c r="B59" s="59">
        <v>4.6500000000000004</v>
      </c>
      <c r="C59" s="59">
        <v>52.74</v>
      </c>
      <c r="D59" s="59">
        <v>34.58</v>
      </c>
      <c r="E59" s="59">
        <v>2.17</v>
      </c>
      <c r="F59" s="59">
        <v>7.53</v>
      </c>
      <c r="G59" s="59">
        <v>57.98</v>
      </c>
      <c r="H59" s="59">
        <v>36.14</v>
      </c>
      <c r="I59" s="59">
        <v>0.6</v>
      </c>
      <c r="J59" s="59">
        <v>0.53</v>
      </c>
      <c r="K59" s="59">
        <v>195.26</v>
      </c>
      <c r="L59" s="59">
        <v>28.53</v>
      </c>
      <c r="M59" s="59">
        <v>36.56</v>
      </c>
      <c r="N59" s="59">
        <v>910.7</v>
      </c>
      <c r="O59" s="59">
        <v>0</v>
      </c>
      <c r="P59" s="59">
        <v>0.82</v>
      </c>
      <c r="Q59" s="59">
        <v>52.85</v>
      </c>
      <c r="S59" s="197"/>
      <c r="T59" s="197"/>
      <c r="U59" s="197"/>
    </row>
    <row r="60" spans="1:21" s="12" customFormat="1" x14ac:dyDescent="0.25">
      <c r="A60" s="200" t="s">
        <v>2412</v>
      </c>
      <c r="B60" s="59">
        <v>6.32</v>
      </c>
      <c r="C60" s="59">
        <v>58.44</v>
      </c>
      <c r="D60" s="59">
        <v>39.06</v>
      </c>
      <c r="E60" s="59">
        <v>2.73</v>
      </c>
      <c r="F60" s="59">
        <v>9.3699999999999992</v>
      </c>
      <c r="G60" s="59">
        <v>37.65</v>
      </c>
      <c r="H60" s="59">
        <v>31.27</v>
      </c>
      <c r="I60" s="59">
        <v>0.57999999999999996</v>
      </c>
      <c r="J60" s="59">
        <v>0.28999999999999998</v>
      </c>
      <c r="K60" s="59">
        <v>162.25</v>
      </c>
      <c r="L60" s="59">
        <v>30.61</v>
      </c>
      <c r="M60" s="59">
        <v>33.1</v>
      </c>
      <c r="N60" s="59">
        <v>897.2</v>
      </c>
      <c r="O60" s="59">
        <v>0</v>
      </c>
      <c r="P60" s="59">
        <v>0.79</v>
      </c>
      <c r="Q60" s="59">
        <v>44.93</v>
      </c>
      <c r="S60" s="197"/>
      <c r="T60" s="197"/>
      <c r="U60" s="197"/>
    </row>
    <row r="61" spans="1:21" s="12" customFormat="1" x14ac:dyDescent="0.25">
      <c r="A61" s="200" t="s">
        <v>2413</v>
      </c>
      <c r="B61" s="59">
        <v>5.32</v>
      </c>
      <c r="C61" s="59">
        <v>65.86</v>
      </c>
      <c r="D61" s="59">
        <v>42.35</v>
      </c>
      <c r="E61" s="59">
        <v>2.16</v>
      </c>
      <c r="F61" s="59">
        <v>6.37</v>
      </c>
      <c r="G61" s="59">
        <v>36.94</v>
      </c>
      <c r="H61" s="59">
        <v>31.1</v>
      </c>
      <c r="I61" s="59">
        <v>0.57999999999999996</v>
      </c>
      <c r="J61" s="59">
        <v>0.48</v>
      </c>
      <c r="K61" s="59">
        <v>145.66</v>
      </c>
      <c r="L61" s="59">
        <v>29.37</v>
      </c>
      <c r="M61" s="59">
        <v>34.94</v>
      </c>
      <c r="N61" s="59">
        <v>873.7</v>
      </c>
      <c r="O61" s="59">
        <v>0</v>
      </c>
      <c r="P61" s="59">
        <v>0.74</v>
      </c>
      <c r="Q61" s="59">
        <v>52.3</v>
      </c>
      <c r="S61" s="197"/>
      <c r="T61" s="197"/>
      <c r="U61" s="197"/>
    </row>
    <row r="62" spans="1:21" s="12" customFormat="1" x14ac:dyDescent="0.25">
      <c r="A62" s="200" t="s">
        <v>2414</v>
      </c>
      <c r="B62" s="59">
        <v>5.42</v>
      </c>
      <c r="C62" s="59">
        <v>37.03</v>
      </c>
      <c r="D62" s="59">
        <v>26.52</v>
      </c>
      <c r="E62" s="59">
        <v>2.5499999999999998</v>
      </c>
      <c r="F62" s="59">
        <v>8.64</v>
      </c>
      <c r="G62" s="59">
        <v>36.94</v>
      </c>
      <c r="H62" s="59">
        <v>31.1</v>
      </c>
      <c r="I62" s="59">
        <v>0.57999999999999996</v>
      </c>
      <c r="J62" s="59">
        <v>0.59</v>
      </c>
      <c r="K62" s="59">
        <v>158.33000000000001</v>
      </c>
      <c r="L62" s="59">
        <v>30.17</v>
      </c>
      <c r="M62" s="59">
        <v>33.51</v>
      </c>
      <c r="N62" s="59">
        <v>851.7</v>
      </c>
      <c r="O62" s="59">
        <v>0</v>
      </c>
      <c r="P62" s="59">
        <v>0.74</v>
      </c>
      <c r="Q62" s="59">
        <v>51.81</v>
      </c>
      <c r="S62" s="197"/>
      <c r="T62" s="197"/>
      <c r="U62" s="197"/>
    </row>
    <row r="63" spans="1:21" s="12" customFormat="1" x14ac:dyDescent="0.25">
      <c r="A63" s="200" t="s">
        <v>2415</v>
      </c>
      <c r="B63" s="59">
        <v>5.58</v>
      </c>
      <c r="C63" s="59">
        <v>79.97</v>
      </c>
      <c r="D63" s="59">
        <v>50.35</v>
      </c>
      <c r="E63" s="59">
        <v>2.78</v>
      </c>
      <c r="F63" s="59">
        <v>6.99</v>
      </c>
      <c r="G63" s="59">
        <v>36.94</v>
      </c>
      <c r="H63" s="59">
        <v>31.1</v>
      </c>
      <c r="I63" s="59">
        <v>0.59</v>
      </c>
      <c r="J63" s="59">
        <v>0.61</v>
      </c>
      <c r="K63" s="59">
        <v>196.02</v>
      </c>
      <c r="L63" s="59">
        <v>30.29</v>
      </c>
      <c r="M63" s="59">
        <v>32.61</v>
      </c>
      <c r="N63" s="59">
        <v>822.8</v>
      </c>
      <c r="O63" s="59">
        <v>0</v>
      </c>
      <c r="P63" s="59">
        <v>0.74</v>
      </c>
      <c r="Q63" s="59">
        <v>46.58</v>
      </c>
      <c r="S63" s="197"/>
      <c r="T63" s="197"/>
      <c r="U63" s="197"/>
    </row>
    <row r="64" spans="1:21" s="12" customFormat="1" x14ac:dyDescent="0.25">
      <c r="A64" s="200" t="s">
        <v>2416</v>
      </c>
      <c r="B64" s="59">
        <v>5.15</v>
      </c>
      <c r="C64" s="59">
        <v>44.37</v>
      </c>
      <c r="D64" s="59">
        <v>30.36</v>
      </c>
      <c r="E64" s="59">
        <v>2.96</v>
      </c>
      <c r="F64" s="59">
        <v>11.32</v>
      </c>
      <c r="G64" s="59">
        <v>26.68</v>
      </c>
      <c r="H64" s="59">
        <v>22.93</v>
      </c>
      <c r="I64" s="59">
        <v>0.6</v>
      </c>
      <c r="J64" s="59">
        <v>0.24</v>
      </c>
      <c r="K64" s="59">
        <v>236.48</v>
      </c>
      <c r="L64" s="59">
        <v>30.49</v>
      </c>
      <c r="M64" s="59">
        <v>31.87</v>
      </c>
      <c r="N64" s="59">
        <v>755.7</v>
      </c>
      <c r="O64" s="59">
        <v>0</v>
      </c>
      <c r="P64" s="59">
        <v>0.7</v>
      </c>
      <c r="Q64" s="59">
        <v>53.36</v>
      </c>
      <c r="S64" s="197"/>
      <c r="T64" s="197"/>
      <c r="U64" s="197"/>
    </row>
    <row r="65" spans="1:21" s="12" customFormat="1" x14ac:dyDescent="0.25">
      <c r="A65" s="200" t="s">
        <v>2417</v>
      </c>
      <c r="B65" s="59">
        <v>5.23</v>
      </c>
      <c r="C65" s="59">
        <v>39.81</v>
      </c>
      <c r="D65" s="59">
        <v>27.9</v>
      </c>
      <c r="E65" s="59">
        <v>2.8</v>
      </c>
      <c r="F65" s="59">
        <v>8.08</v>
      </c>
      <c r="G65" s="59">
        <v>26.33</v>
      </c>
      <c r="H65" s="59">
        <v>22.65</v>
      </c>
      <c r="I65" s="59">
        <v>0.6</v>
      </c>
      <c r="J65" s="59">
        <v>0.78</v>
      </c>
      <c r="K65" s="59">
        <v>184.05</v>
      </c>
      <c r="L65" s="59">
        <v>30.67</v>
      </c>
      <c r="M65" s="59">
        <v>31.27</v>
      </c>
      <c r="N65" s="59">
        <v>706.5</v>
      </c>
      <c r="O65" s="59">
        <v>0</v>
      </c>
      <c r="P65" s="59">
        <v>0.7</v>
      </c>
      <c r="Q65" s="59">
        <v>49.94</v>
      </c>
      <c r="S65" s="197"/>
      <c r="T65" s="197"/>
      <c r="U65" s="197"/>
    </row>
    <row r="66" spans="1:21" s="12" customFormat="1" x14ac:dyDescent="0.25">
      <c r="A66" s="200" t="s">
        <v>2418</v>
      </c>
      <c r="B66" s="59">
        <v>5.09</v>
      </c>
      <c r="C66" s="59">
        <v>41.95</v>
      </c>
      <c r="D66" s="59">
        <v>28.98</v>
      </c>
      <c r="E66" s="59">
        <v>2.34</v>
      </c>
      <c r="F66" s="59">
        <v>4.41</v>
      </c>
      <c r="G66" s="59">
        <v>26.33</v>
      </c>
      <c r="H66" s="59">
        <v>22.65</v>
      </c>
      <c r="I66" s="59">
        <v>0.59</v>
      </c>
      <c r="J66" s="59">
        <v>0.38</v>
      </c>
      <c r="K66" s="59">
        <v>352.06</v>
      </c>
      <c r="L66" s="59">
        <v>31.44</v>
      </c>
      <c r="M66" s="59">
        <v>30.81</v>
      </c>
      <c r="N66" s="59">
        <v>549.79999999999995</v>
      </c>
      <c r="O66" s="59">
        <v>0</v>
      </c>
      <c r="P66" s="59">
        <v>0.7</v>
      </c>
      <c r="Q66" s="59">
        <v>57.03</v>
      </c>
      <c r="S66" s="197"/>
      <c r="T66" s="197"/>
      <c r="U66" s="197"/>
    </row>
    <row r="67" spans="1:21" s="12" customFormat="1" x14ac:dyDescent="0.25">
      <c r="A67" s="200" t="s">
        <v>2419</v>
      </c>
      <c r="B67" s="59">
        <v>5.04</v>
      </c>
      <c r="C67" s="59">
        <v>54.67</v>
      </c>
      <c r="D67" s="59">
        <v>35.950000000000003</v>
      </c>
      <c r="E67" s="59">
        <v>2.48</v>
      </c>
      <c r="F67" s="59">
        <v>4.49</v>
      </c>
      <c r="G67" s="59">
        <v>26.33</v>
      </c>
      <c r="H67" s="59">
        <v>22.65</v>
      </c>
      <c r="I67" s="59">
        <v>0.61</v>
      </c>
      <c r="J67" s="59">
        <v>1.05</v>
      </c>
      <c r="K67" s="59">
        <v>358.02</v>
      </c>
      <c r="L67" s="59">
        <v>32.86</v>
      </c>
      <c r="M67" s="59">
        <v>28.32</v>
      </c>
      <c r="N67" s="59">
        <v>420.2</v>
      </c>
      <c r="O67" s="59">
        <v>0</v>
      </c>
      <c r="P67" s="59">
        <v>0.72</v>
      </c>
      <c r="Q67" s="59">
        <v>55.32</v>
      </c>
      <c r="S67" s="197"/>
      <c r="T67" s="197"/>
      <c r="U67" s="197"/>
    </row>
    <row r="68" spans="1:21" s="12" customFormat="1" x14ac:dyDescent="0.25">
      <c r="A68" s="200" t="s">
        <v>2420</v>
      </c>
      <c r="B68" s="59">
        <v>4.83</v>
      </c>
      <c r="C68" s="59">
        <v>63.17</v>
      </c>
      <c r="D68" s="59">
        <v>40.47</v>
      </c>
      <c r="E68" s="59">
        <v>2.46</v>
      </c>
      <c r="F68" s="59">
        <v>5.23</v>
      </c>
      <c r="G68" s="59">
        <v>24.58</v>
      </c>
      <c r="H68" s="59">
        <v>20.58</v>
      </c>
      <c r="I68" s="59">
        <v>0.62</v>
      </c>
      <c r="J68" s="59">
        <v>0.99</v>
      </c>
      <c r="K68" s="59">
        <v>2.2599999999999998</v>
      </c>
      <c r="L68" s="59">
        <v>32.130000000000003</v>
      </c>
      <c r="M68" s="59">
        <v>28.84</v>
      </c>
      <c r="N68" s="59">
        <v>220.7</v>
      </c>
      <c r="O68" s="59">
        <v>0</v>
      </c>
      <c r="P68" s="59">
        <v>0.73</v>
      </c>
      <c r="Q68" s="59">
        <v>54.63</v>
      </c>
      <c r="S68" s="197"/>
      <c r="T68" s="197"/>
      <c r="U68" s="197"/>
    </row>
    <row r="69" spans="1:21" s="12" customFormat="1" x14ac:dyDescent="0.25">
      <c r="A69" s="200" t="s">
        <v>2421</v>
      </c>
      <c r="B69" s="59">
        <v>4.82</v>
      </c>
      <c r="C69" s="59">
        <v>73.36</v>
      </c>
      <c r="D69" s="59">
        <v>46.09</v>
      </c>
      <c r="E69" s="59">
        <v>2.4900000000000002</v>
      </c>
      <c r="F69" s="59">
        <v>6.51</v>
      </c>
      <c r="G69" s="59">
        <v>24.52</v>
      </c>
      <c r="H69" s="59">
        <v>20.49</v>
      </c>
      <c r="I69" s="59">
        <v>0.62</v>
      </c>
      <c r="J69" s="59">
        <v>0.84</v>
      </c>
      <c r="K69" s="59">
        <v>358.64</v>
      </c>
      <c r="L69" s="59">
        <v>30.7</v>
      </c>
      <c r="M69" s="59">
        <v>31.65</v>
      </c>
      <c r="N69" s="59">
        <v>124.1</v>
      </c>
      <c r="O69" s="59">
        <v>0</v>
      </c>
      <c r="P69" s="59">
        <v>0.75</v>
      </c>
      <c r="Q69" s="59">
        <v>53.46</v>
      </c>
      <c r="S69" s="197"/>
      <c r="T69" s="197"/>
      <c r="U69" s="197"/>
    </row>
    <row r="70" spans="1:21" s="12" customFormat="1" x14ac:dyDescent="0.25">
      <c r="A70" s="200" t="s">
        <v>2422</v>
      </c>
      <c r="B70" s="59">
        <v>5.39</v>
      </c>
      <c r="C70" s="59">
        <v>82.65</v>
      </c>
      <c r="D70" s="59">
        <v>51.68</v>
      </c>
      <c r="E70" s="59">
        <v>2.48</v>
      </c>
      <c r="F70" s="59">
        <v>6.01</v>
      </c>
      <c r="G70" s="59">
        <v>24.52</v>
      </c>
      <c r="H70" s="59">
        <v>20.49</v>
      </c>
      <c r="I70" s="59">
        <v>0.62</v>
      </c>
      <c r="J70" s="59">
        <v>1.1000000000000001</v>
      </c>
      <c r="K70" s="59">
        <v>15.27</v>
      </c>
      <c r="L70" s="59">
        <v>30.25</v>
      </c>
      <c r="M70" s="59">
        <v>31.55</v>
      </c>
      <c r="N70" s="59">
        <v>145.80000000000001</v>
      </c>
      <c r="O70" s="59">
        <v>0</v>
      </c>
      <c r="P70" s="59">
        <v>0.79</v>
      </c>
      <c r="Q70" s="59">
        <v>53.25</v>
      </c>
      <c r="S70" s="197"/>
      <c r="T70" s="197"/>
      <c r="U70" s="197"/>
    </row>
    <row r="71" spans="1:21" s="12" customFormat="1" x14ac:dyDescent="0.25">
      <c r="A71" s="200" t="s">
        <v>2423</v>
      </c>
      <c r="B71" s="59">
        <v>6.25</v>
      </c>
      <c r="C71" s="59">
        <v>76.53</v>
      </c>
      <c r="D71" s="59">
        <v>48.99</v>
      </c>
      <c r="E71" s="59">
        <v>2.1</v>
      </c>
      <c r="F71" s="59">
        <v>5.28</v>
      </c>
      <c r="G71" s="59">
        <v>24.52</v>
      </c>
      <c r="H71" s="59">
        <v>20.49</v>
      </c>
      <c r="I71" s="59">
        <v>0.61</v>
      </c>
      <c r="J71" s="59">
        <v>0.68</v>
      </c>
      <c r="K71" s="59">
        <v>359.24</v>
      </c>
      <c r="L71" s="59">
        <v>30.32</v>
      </c>
      <c r="M71" s="59">
        <v>31.02</v>
      </c>
      <c r="N71" s="59">
        <v>178.5</v>
      </c>
      <c r="O71" s="59">
        <v>0</v>
      </c>
      <c r="P71" s="59">
        <v>0.81</v>
      </c>
      <c r="Q71" s="59">
        <v>55.67</v>
      </c>
      <c r="S71" s="197"/>
      <c r="T71" s="197"/>
      <c r="U71" s="197"/>
    </row>
    <row r="72" spans="1:21" s="12" customFormat="1" x14ac:dyDescent="0.25">
      <c r="A72" s="200" t="s">
        <v>2424</v>
      </c>
      <c r="B72" s="59">
        <v>5.71</v>
      </c>
      <c r="C72" s="59">
        <v>94.25</v>
      </c>
      <c r="D72" s="59">
        <v>58.33</v>
      </c>
      <c r="E72" s="59">
        <v>0.43</v>
      </c>
      <c r="F72" s="59">
        <v>3.99</v>
      </c>
      <c r="G72" s="59">
        <v>82.89</v>
      </c>
      <c r="H72" s="59">
        <v>22.5</v>
      </c>
      <c r="I72" s="59">
        <v>0.6</v>
      </c>
      <c r="J72" s="59">
        <v>1.1499999999999999</v>
      </c>
      <c r="K72" s="59">
        <v>350.45</v>
      </c>
      <c r="L72" s="59">
        <v>30.22</v>
      </c>
      <c r="M72" s="59">
        <v>28.69</v>
      </c>
      <c r="N72" s="59">
        <v>179.9</v>
      </c>
      <c r="O72" s="59">
        <v>0</v>
      </c>
      <c r="P72" s="59">
        <v>0.8</v>
      </c>
      <c r="Q72" s="59">
        <v>51.28</v>
      </c>
      <c r="S72" s="197"/>
      <c r="T72" s="197"/>
      <c r="U72" s="197"/>
    </row>
    <row r="73" spans="1:21" s="12" customFormat="1" x14ac:dyDescent="0.25">
      <c r="A73" s="200" t="s">
        <v>2425</v>
      </c>
      <c r="B73" s="59">
        <v>7.27</v>
      </c>
      <c r="C73" s="59">
        <v>67.25</v>
      </c>
      <c r="D73" s="59">
        <v>44.69</v>
      </c>
      <c r="E73" s="59">
        <v>1.24</v>
      </c>
      <c r="F73" s="59">
        <v>4.9400000000000004</v>
      </c>
      <c r="G73" s="59">
        <v>84.9</v>
      </c>
      <c r="H73" s="59">
        <v>22.59</v>
      </c>
      <c r="I73" s="59">
        <v>0.57999999999999996</v>
      </c>
      <c r="J73" s="59">
        <v>1.4</v>
      </c>
      <c r="K73" s="59">
        <v>356.83</v>
      </c>
      <c r="L73" s="59">
        <v>29.76</v>
      </c>
      <c r="M73" s="59">
        <v>29.28</v>
      </c>
      <c r="N73" s="59">
        <v>185.9</v>
      </c>
      <c r="O73" s="59">
        <v>0</v>
      </c>
      <c r="P73" s="59">
        <v>0.77</v>
      </c>
      <c r="Q73" s="59">
        <v>55.03</v>
      </c>
      <c r="S73" s="197"/>
      <c r="T73" s="197"/>
      <c r="U73" s="197"/>
    </row>
    <row r="74" spans="1:21" s="12" customFormat="1" x14ac:dyDescent="0.25">
      <c r="A74" s="200" t="s">
        <v>2426</v>
      </c>
      <c r="B74" s="59">
        <v>6.94</v>
      </c>
      <c r="C74" s="59">
        <v>58.32</v>
      </c>
      <c r="D74" s="59">
        <v>39.49</v>
      </c>
      <c r="E74" s="59">
        <v>1.42</v>
      </c>
      <c r="F74" s="59">
        <v>4.37</v>
      </c>
      <c r="G74" s="59">
        <v>84.9</v>
      </c>
      <c r="H74" s="59">
        <v>22.59</v>
      </c>
      <c r="I74" s="59">
        <v>0.61</v>
      </c>
      <c r="J74" s="59">
        <v>1.23</v>
      </c>
      <c r="K74" s="59">
        <v>349.43</v>
      </c>
      <c r="L74" s="59">
        <v>29.71</v>
      </c>
      <c r="M74" s="59">
        <v>29.53</v>
      </c>
      <c r="N74" s="59">
        <v>156.9</v>
      </c>
      <c r="O74" s="59">
        <v>0</v>
      </c>
      <c r="P74" s="59">
        <v>0.76</v>
      </c>
      <c r="Q74" s="59">
        <v>51.42</v>
      </c>
      <c r="S74" s="197"/>
      <c r="T74" s="197"/>
      <c r="U74" s="197"/>
    </row>
    <row r="75" spans="1:21" s="12" customFormat="1" x14ac:dyDescent="0.25">
      <c r="A75" s="200" t="s">
        <v>2427</v>
      </c>
      <c r="B75" s="59">
        <v>8.25</v>
      </c>
      <c r="C75" s="59">
        <v>86.44</v>
      </c>
      <c r="D75" s="59">
        <v>56.06</v>
      </c>
      <c r="E75" s="59">
        <v>1.85</v>
      </c>
      <c r="F75" s="59">
        <v>6.92</v>
      </c>
      <c r="G75" s="59">
        <v>84.9</v>
      </c>
      <c r="H75" s="59">
        <v>22.59</v>
      </c>
      <c r="I75" s="59">
        <v>0.56999999999999995</v>
      </c>
      <c r="J75" s="59">
        <v>1.29</v>
      </c>
      <c r="K75" s="59">
        <v>12.1</v>
      </c>
      <c r="L75" s="59">
        <v>29.47</v>
      </c>
      <c r="M75" s="59">
        <v>28.37</v>
      </c>
      <c r="N75" s="59">
        <v>102.9</v>
      </c>
      <c r="O75" s="59">
        <v>0</v>
      </c>
      <c r="P75" s="59">
        <v>0.74</v>
      </c>
      <c r="Q75" s="59">
        <v>46.49</v>
      </c>
      <c r="S75" s="197"/>
      <c r="T75" s="197"/>
      <c r="U75" s="197"/>
    </row>
    <row r="76" spans="1:21" s="12" customFormat="1" x14ac:dyDescent="0.25">
      <c r="A76" s="200" t="s">
        <v>2428</v>
      </c>
      <c r="B76" s="59">
        <v>9.49</v>
      </c>
      <c r="C76" s="59">
        <v>82.07</v>
      </c>
      <c r="D76" s="59">
        <v>54.64</v>
      </c>
      <c r="E76" s="59">
        <v>1.61</v>
      </c>
      <c r="F76" s="59">
        <v>8.74</v>
      </c>
      <c r="G76" s="59">
        <v>42.92</v>
      </c>
      <c r="H76" s="59">
        <v>17.34</v>
      </c>
      <c r="I76" s="59">
        <v>0.56000000000000005</v>
      </c>
      <c r="J76" s="59">
        <v>1.1100000000000001</v>
      </c>
      <c r="K76" s="59">
        <v>11.99</v>
      </c>
      <c r="L76" s="59">
        <v>29.2</v>
      </c>
      <c r="M76" s="59">
        <v>28.91</v>
      </c>
      <c r="N76" s="59">
        <v>84.2</v>
      </c>
      <c r="O76" s="59">
        <v>0</v>
      </c>
      <c r="P76" s="59">
        <v>0.74</v>
      </c>
      <c r="Q76" s="59">
        <v>48.05</v>
      </c>
      <c r="S76" s="197"/>
      <c r="T76" s="197"/>
      <c r="U76" s="197"/>
    </row>
    <row r="77" spans="1:21" s="12" customFormat="1" x14ac:dyDescent="0.25">
      <c r="A77" s="200" t="s">
        <v>2429</v>
      </c>
      <c r="B77" s="59">
        <v>9.43</v>
      </c>
      <c r="C77" s="59">
        <v>75.849999999999994</v>
      </c>
      <c r="D77" s="59">
        <v>51.17</v>
      </c>
      <c r="E77" s="59">
        <v>1.75</v>
      </c>
      <c r="F77" s="59">
        <v>12.21</v>
      </c>
      <c r="G77" s="59">
        <v>41.47</v>
      </c>
      <c r="H77" s="59">
        <v>17.16</v>
      </c>
      <c r="I77" s="59">
        <v>0.55000000000000004</v>
      </c>
      <c r="J77" s="59">
        <v>0.93</v>
      </c>
      <c r="K77" s="59">
        <v>14.85</v>
      </c>
      <c r="L77" s="59">
        <v>28.89</v>
      </c>
      <c r="M77" s="59">
        <v>28.31</v>
      </c>
      <c r="N77" s="59">
        <v>64.400000000000006</v>
      </c>
      <c r="O77" s="59">
        <v>0</v>
      </c>
      <c r="P77" s="59">
        <v>0.72</v>
      </c>
      <c r="Q77" s="59">
        <v>48.4</v>
      </c>
      <c r="S77" s="197"/>
      <c r="T77" s="197"/>
      <c r="U77" s="197"/>
    </row>
    <row r="78" spans="1:21" s="12" customFormat="1" x14ac:dyDescent="0.25">
      <c r="A78" s="200" t="s">
        <v>2430</v>
      </c>
      <c r="B78" s="59">
        <v>13.18</v>
      </c>
      <c r="C78" s="59">
        <v>73.86</v>
      </c>
      <c r="D78" s="59">
        <v>53.07</v>
      </c>
      <c r="E78" s="59">
        <v>3.17</v>
      </c>
      <c r="F78" s="59">
        <v>12.69</v>
      </c>
      <c r="G78" s="59">
        <v>41.47</v>
      </c>
      <c r="H78" s="59">
        <v>17.16</v>
      </c>
      <c r="I78" s="59">
        <v>0.55000000000000004</v>
      </c>
      <c r="J78" s="59">
        <v>0.61</v>
      </c>
      <c r="K78" s="59">
        <v>17.34</v>
      </c>
      <c r="L78" s="59">
        <v>28.47</v>
      </c>
      <c r="M78" s="59">
        <v>30.25</v>
      </c>
      <c r="N78" s="59">
        <v>49.1</v>
      </c>
      <c r="O78" s="59">
        <v>0</v>
      </c>
      <c r="P78" s="59">
        <v>0.77</v>
      </c>
      <c r="Q78" s="59">
        <v>50.58</v>
      </c>
      <c r="S78" s="197"/>
      <c r="T78" s="197"/>
      <c r="U78" s="197"/>
    </row>
    <row r="79" spans="1:21" s="12" customFormat="1" x14ac:dyDescent="0.25">
      <c r="A79" s="200" t="s">
        <v>2431</v>
      </c>
      <c r="B79" s="59">
        <v>11.89</v>
      </c>
      <c r="C79" s="59">
        <v>70.34</v>
      </c>
      <c r="D79" s="59">
        <v>50.09</v>
      </c>
      <c r="E79" s="59">
        <v>3.82</v>
      </c>
      <c r="F79" s="59">
        <v>17.2</v>
      </c>
      <c r="G79" s="59">
        <v>41.47</v>
      </c>
      <c r="H79" s="59">
        <v>17.16</v>
      </c>
      <c r="I79" s="59">
        <v>0.56999999999999995</v>
      </c>
      <c r="J79" s="59">
        <v>0.85</v>
      </c>
      <c r="K79" s="59">
        <v>19.91</v>
      </c>
      <c r="L79" s="59">
        <v>27.95</v>
      </c>
      <c r="M79" s="59">
        <v>30.76</v>
      </c>
      <c r="N79" s="59">
        <v>34.1</v>
      </c>
      <c r="O79" s="59">
        <v>0</v>
      </c>
      <c r="P79" s="59">
        <v>0.78</v>
      </c>
      <c r="Q79" s="59">
        <v>49.98</v>
      </c>
      <c r="S79" s="197"/>
      <c r="T79" s="197"/>
      <c r="U79" s="197"/>
    </row>
    <row r="80" spans="1:21" s="12" customFormat="1" x14ac:dyDescent="0.25">
      <c r="A80" s="200" t="s">
        <v>2432</v>
      </c>
      <c r="B80" s="59">
        <v>11.81</v>
      </c>
      <c r="C80" s="59">
        <v>81.040000000000006</v>
      </c>
      <c r="D80" s="59">
        <v>55.94</v>
      </c>
      <c r="E80" s="59">
        <v>2.65</v>
      </c>
      <c r="F80" s="59">
        <v>7.52</v>
      </c>
      <c r="G80" s="59">
        <v>51.46</v>
      </c>
      <c r="H80" s="59">
        <v>10.67</v>
      </c>
      <c r="I80" s="59">
        <v>0.57999999999999996</v>
      </c>
      <c r="J80" s="59">
        <v>0.3</v>
      </c>
      <c r="K80" s="59">
        <v>40.090000000000003</v>
      </c>
      <c r="L80" s="59">
        <v>27.39</v>
      </c>
      <c r="M80" s="59">
        <v>32.35</v>
      </c>
      <c r="N80" s="59">
        <v>18.399999999999999</v>
      </c>
      <c r="O80" s="59">
        <v>0</v>
      </c>
      <c r="P80" s="59">
        <v>0.85</v>
      </c>
      <c r="Q80" s="59">
        <v>53.47</v>
      </c>
      <c r="S80" s="197"/>
      <c r="T80" s="197"/>
      <c r="U80" s="197"/>
    </row>
    <row r="81" spans="1:26" s="12" customFormat="1" x14ac:dyDescent="0.25">
      <c r="A81" s="200" t="s">
        <v>2433</v>
      </c>
      <c r="B81" s="59">
        <v>19.170000000000002</v>
      </c>
      <c r="C81" s="59">
        <v>87.75</v>
      </c>
      <c r="D81" s="59">
        <v>65.540000000000006</v>
      </c>
      <c r="E81" s="59">
        <v>3.18</v>
      </c>
      <c r="F81" s="59">
        <v>7.99</v>
      </c>
      <c r="G81" s="59">
        <v>51.81</v>
      </c>
      <c r="H81" s="59">
        <v>10.45</v>
      </c>
      <c r="I81" s="59">
        <v>0.57999999999999996</v>
      </c>
      <c r="J81" s="59">
        <v>0.28999999999999998</v>
      </c>
      <c r="K81" s="59">
        <v>84.7</v>
      </c>
      <c r="L81" s="59">
        <v>26.75</v>
      </c>
      <c r="M81" s="59">
        <v>33.299999999999997</v>
      </c>
      <c r="N81" s="59">
        <v>8.1999999999999993</v>
      </c>
      <c r="O81" s="59">
        <v>0</v>
      </c>
      <c r="P81" s="59">
        <v>0.98</v>
      </c>
      <c r="Q81" s="59">
        <v>55.6</v>
      </c>
      <c r="S81" s="197"/>
      <c r="T81" s="197"/>
      <c r="U81" s="197"/>
    </row>
    <row r="82" spans="1:26" s="12" customFormat="1" x14ac:dyDescent="0.25">
      <c r="A82" s="200" t="s">
        <v>2434</v>
      </c>
      <c r="B82" s="59">
        <v>11.71</v>
      </c>
      <c r="C82" s="59">
        <v>82.58</v>
      </c>
      <c r="D82" s="59">
        <v>56.7</v>
      </c>
      <c r="E82" s="59">
        <v>4.0599999999999996</v>
      </c>
      <c r="F82" s="59">
        <v>10.64</v>
      </c>
      <c r="G82" s="59">
        <v>51.81</v>
      </c>
      <c r="H82" s="59">
        <v>10.45</v>
      </c>
      <c r="I82" s="59">
        <v>0.59</v>
      </c>
      <c r="J82" s="59">
        <v>0.14000000000000001</v>
      </c>
      <c r="K82" s="59">
        <v>101.57</v>
      </c>
      <c r="L82" s="59">
        <v>26.23</v>
      </c>
      <c r="M82" s="59">
        <v>35.28</v>
      </c>
      <c r="N82" s="59">
        <v>5.5</v>
      </c>
      <c r="O82" s="59">
        <v>0</v>
      </c>
      <c r="P82" s="59">
        <v>0.89</v>
      </c>
      <c r="Q82" s="59">
        <v>54.79</v>
      </c>
      <c r="S82" s="197"/>
      <c r="T82" s="197"/>
      <c r="U82" s="197"/>
    </row>
    <row r="83" spans="1:26" s="12" customFormat="1" x14ac:dyDescent="0.25">
      <c r="A83" s="200" t="s">
        <v>2435</v>
      </c>
      <c r="B83" s="59">
        <v>13.09</v>
      </c>
      <c r="C83" s="59">
        <v>83.39</v>
      </c>
      <c r="D83" s="59">
        <v>58.26</v>
      </c>
      <c r="E83" s="59">
        <v>3.54</v>
      </c>
      <c r="F83" s="59">
        <v>6.34</v>
      </c>
      <c r="G83" s="59">
        <v>51.81</v>
      </c>
      <c r="H83" s="59">
        <v>10.45</v>
      </c>
      <c r="I83" s="59">
        <v>0.62</v>
      </c>
      <c r="J83" s="59">
        <v>0.14000000000000001</v>
      </c>
      <c r="K83" s="59">
        <v>145.59</v>
      </c>
      <c r="L83" s="59">
        <v>25.77</v>
      </c>
      <c r="M83" s="59">
        <v>38.299999999999997</v>
      </c>
      <c r="N83" s="59">
        <v>4.8</v>
      </c>
      <c r="O83" s="59">
        <v>0</v>
      </c>
      <c r="P83" s="59">
        <v>0.91</v>
      </c>
      <c r="Q83" s="59">
        <v>54.32</v>
      </c>
      <c r="S83" s="197"/>
      <c r="T83" s="197"/>
      <c r="U83" s="197"/>
    </row>
    <row r="84" spans="1:26" s="12" customFormat="1" x14ac:dyDescent="0.25">
      <c r="A84" s="200" t="s">
        <v>2436</v>
      </c>
      <c r="B84" s="59">
        <v>22.94</v>
      </c>
      <c r="C84" s="59">
        <v>83.82</v>
      </c>
      <c r="D84" s="59">
        <v>66.400000000000006</v>
      </c>
      <c r="E84" s="59">
        <v>2.65</v>
      </c>
      <c r="F84" s="59">
        <v>2.5299999999999998</v>
      </c>
      <c r="G84" s="59">
        <v>62.33</v>
      </c>
      <c r="H84" s="59">
        <v>22.67</v>
      </c>
      <c r="I84" s="59">
        <v>0.62</v>
      </c>
      <c r="J84" s="59">
        <v>0.24</v>
      </c>
      <c r="K84" s="59">
        <v>4.68</v>
      </c>
      <c r="L84" s="59">
        <v>24.96</v>
      </c>
      <c r="M84" s="59">
        <v>44.45</v>
      </c>
      <c r="N84" s="59">
        <v>5.3</v>
      </c>
      <c r="O84" s="59">
        <v>0</v>
      </c>
      <c r="P84" s="59">
        <v>1.08</v>
      </c>
      <c r="Q84" s="59">
        <v>54.53</v>
      </c>
      <c r="S84" s="197"/>
      <c r="T84" s="197"/>
      <c r="U84" s="197"/>
    </row>
    <row r="85" spans="1:26" s="12" customFormat="1" x14ac:dyDescent="0.25">
      <c r="A85" s="200" t="s">
        <v>2437</v>
      </c>
      <c r="B85" s="59">
        <v>35.119999999999997</v>
      </c>
      <c r="C85" s="59">
        <v>85.59</v>
      </c>
      <c r="D85" s="59">
        <v>77.14</v>
      </c>
      <c r="E85" s="59">
        <v>2.02</v>
      </c>
      <c r="F85" s="59">
        <v>1.85</v>
      </c>
      <c r="G85" s="59">
        <v>62.7</v>
      </c>
      <c r="H85" s="59">
        <v>23.09</v>
      </c>
      <c r="I85" s="59">
        <v>0.63</v>
      </c>
      <c r="J85" s="59">
        <v>0.09</v>
      </c>
      <c r="K85" s="59">
        <v>30.99</v>
      </c>
      <c r="L85" s="59">
        <v>24.27</v>
      </c>
      <c r="M85" s="59">
        <v>45.76</v>
      </c>
      <c r="N85" s="59">
        <v>5.0999999999999996</v>
      </c>
      <c r="O85" s="59">
        <v>0</v>
      </c>
      <c r="P85" s="59">
        <v>1.27</v>
      </c>
      <c r="Q85" s="59">
        <v>54.55</v>
      </c>
      <c r="S85" s="197"/>
      <c r="T85" s="197"/>
      <c r="U85" s="197"/>
    </row>
    <row r="86" spans="1:26" s="12" customFormat="1" x14ac:dyDescent="0.25">
      <c r="A86" s="200" t="s">
        <v>2438</v>
      </c>
      <c r="B86" s="59">
        <v>51.57</v>
      </c>
      <c r="C86" s="59">
        <v>90.37</v>
      </c>
      <c r="D86" s="59">
        <v>92.97</v>
      </c>
      <c r="E86" s="59">
        <v>2.2999999999999998</v>
      </c>
      <c r="F86" s="59">
        <v>1.69</v>
      </c>
      <c r="G86" s="59">
        <v>62.7</v>
      </c>
      <c r="H86" s="59">
        <v>23.09</v>
      </c>
      <c r="I86" s="59">
        <v>0.68</v>
      </c>
      <c r="J86" s="59">
        <v>7.0000000000000007E-2</v>
      </c>
      <c r="K86" s="59">
        <v>28.18</v>
      </c>
      <c r="L86" s="59">
        <v>23.83</v>
      </c>
      <c r="M86" s="59">
        <v>46.47</v>
      </c>
      <c r="N86" s="59">
        <v>5.0999999999999996</v>
      </c>
      <c r="O86" s="59">
        <v>0</v>
      </c>
      <c r="P86" s="59">
        <v>1.67</v>
      </c>
      <c r="Q86" s="59">
        <v>55.36</v>
      </c>
      <c r="S86" s="197"/>
      <c r="T86" s="197"/>
      <c r="U86" s="197"/>
    </row>
    <row r="87" spans="1:26" s="12" customFormat="1" x14ac:dyDescent="0.25">
      <c r="A87" s="200" t="s">
        <v>2439</v>
      </c>
      <c r="B87" s="59">
        <v>119.74</v>
      </c>
      <c r="C87" s="59">
        <v>116.45</v>
      </c>
      <c r="D87" s="59">
        <v>162.03</v>
      </c>
      <c r="E87" s="59">
        <v>4.16</v>
      </c>
      <c r="F87" s="59">
        <v>1.61</v>
      </c>
      <c r="G87" s="59">
        <v>62.7</v>
      </c>
      <c r="H87" s="59">
        <v>23.09</v>
      </c>
      <c r="I87" s="59">
        <v>0.74</v>
      </c>
      <c r="J87" s="59">
        <v>0.03</v>
      </c>
      <c r="K87" s="59">
        <v>167.15</v>
      </c>
      <c r="L87" s="59">
        <v>23.56</v>
      </c>
      <c r="M87" s="59">
        <v>49.55</v>
      </c>
      <c r="N87" s="59">
        <v>4.8</v>
      </c>
      <c r="O87" s="59">
        <v>0</v>
      </c>
      <c r="P87" s="59">
        <v>2.4300000000000002</v>
      </c>
      <c r="Q87" s="59">
        <v>54.07</v>
      </c>
      <c r="S87" s="197"/>
      <c r="T87" s="197"/>
      <c r="U87" s="197"/>
    </row>
    <row r="88" spans="1:26" s="12" customFormat="1" x14ac:dyDescent="0.25">
      <c r="A88" s="200" t="s">
        <v>2440</v>
      </c>
      <c r="B88" s="59">
        <v>124.87</v>
      </c>
      <c r="C88" s="59">
        <v>108.93</v>
      </c>
      <c r="D88" s="59">
        <v>161.99</v>
      </c>
      <c r="E88" s="59">
        <v>3.97</v>
      </c>
      <c r="F88" s="59">
        <v>1.74</v>
      </c>
      <c r="G88" s="59">
        <v>145.87</v>
      </c>
      <c r="H88" s="59">
        <v>29.68</v>
      </c>
      <c r="I88" s="59">
        <v>0.81</v>
      </c>
      <c r="J88" s="59">
        <v>7.0000000000000007E-2</v>
      </c>
      <c r="K88" s="59">
        <v>52.09</v>
      </c>
      <c r="L88" s="59">
        <v>23.36</v>
      </c>
      <c r="M88" s="59">
        <v>50.94</v>
      </c>
      <c r="N88" s="59">
        <v>4.8</v>
      </c>
      <c r="O88" s="59">
        <v>0</v>
      </c>
      <c r="P88" s="59">
        <v>2.56</v>
      </c>
      <c r="Q88" s="59">
        <v>45.89</v>
      </c>
      <c r="S88" s="197"/>
      <c r="T88" s="197"/>
      <c r="U88" s="197"/>
    </row>
    <row r="89" spans="1:26" s="12" customFormat="1" x14ac:dyDescent="0.25">
      <c r="A89" s="200" t="s">
        <v>2441</v>
      </c>
      <c r="B89" s="59">
        <v>97.9</v>
      </c>
      <c r="C89" s="59">
        <v>98.83</v>
      </c>
      <c r="D89" s="59">
        <v>134.79</v>
      </c>
      <c r="E89" s="59">
        <v>5.71</v>
      </c>
      <c r="F89" s="59">
        <v>1.79</v>
      </c>
      <c r="G89" s="59">
        <v>148.74</v>
      </c>
      <c r="H89" s="59">
        <v>29.9</v>
      </c>
      <c r="I89" s="59">
        <v>0.99</v>
      </c>
      <c r="J89" s="59">
        <v>0.08</v>
      </c>
      <c r="K89" s="59">
        <v>103.89</v>
      </c>
      <c r="L89" s="59">
        <v>23.26</v>
      </c>
      <c r="M89" s="59">
        <v>54.6</v>
      </c>
      <c r="N89" s="59">
        <v>4.5999999999999996</v>
      </c>
      <c r="O89" s="59">
        <v>0</v>
      </c>
      <c r="P89" s="59">
        <v>3.19</v>
      </c>
      <c r="Q89" s="59">
        <v>50.12</v>
      </c>
      <c r="S89" s="197"/>
      <c r="T89" s="197"/>
      <c r="U89" s="197"/>
    </row>
    <row r="90" spans="1:26" s="12" customFormat="1" x14ac:dyDescent="0.25">
      <c r="A90" s="200" t="s">
        <v>2442</v>
      </c>
      <c r="B90" s="59">
        <v>68.56</v>
      </c>
      <c r="C90" s="59">
        <v>100.61</v>
      </c>
      <c r="D90" s="59">
        <v>112.24</v>
      </c>
      <c r="E90" s="59">
        <v>5.75</v>
      </c>
      <c r="F90" s="59">
        <v>1.82</v>
      </c>
      <c r="G90" s="59">
        <v>148.74</v>
      </c>
      <c r="H90" s="59">
        <v>29.9</v>
      </c>
      <c r="I90" s="59">
        <v>1.01</v>
      </c>
      <c r="J90" s="59">
        <v>0.08</v>
      </c>
      <c r="K90" s="59">
        <v>123.89</v>
      </c>
      <c r="L90" s="59">
        <v>23.47</v>
      </c>
      <c r="M90" s="59">
        <v>51.03</v>
      </c>
      <c r="N90" s="59">
        <v>4.0999999999999996</v>
      </c>
      <c r="O90" s="59">
        <v>0</v>
      </c>
      <c r="P90" s="59">
        <v>2.08</v>
      </c>
      <c r="Q90" s="59">
        <v>53.64</v>
      </c>
      <c r="S90" s="197"/>
      <c r="T90" s="197"/>
      <c r="U90" s="197"/>
    </row>
    <row r="91" spans="1:26" s="12" customFormat="1" x14ac:dyDescent="0.25">
      <c r="A91" s="200" t="s">
        <v>2443</v>
      </c>
      <c r="B91" s="59">
        <v>135.18</v>
      </c>
      <c r="C91" s="59">
        <v>103.22</v>
      </c>
      <c r="D91" s="59">
        <v>167.11</v>
      </c>
      <c r="E91" s="59">
        <v>5.87</v>
      </c>
      <c r="F91" s="59">
        <v>1.91</v>
      </c>
      <c r="G91" s="59">
        <v>148.74</v>
      </c>
      <c r="H91" s="59">
        <v>29.9</v>
      </c>
      <c r="I91" s="59">
        <v>1.1299999999999999</v>
      </c>
      <c r="J91" s="59">
        <v>0.2</v>
      </c>
      <c r="K91" s="59">
        <v>37.96</v>
      </c>
      <c r="L91" s="59">
        <v>23.74</v>
      </c>
      <c r="M91" s="59">
        <v>52.82</v>
      </c>
      <c r="N91" s="59">
        <v>4.5999999999999996</v>
      </c>
      <c r="O91" s="59">
        <v>0</v>
      </c>
      <c r="P91" s="59">
        <v>3.16</v>
      </c>
      <c r="Q91" s="59">
        <v>49.47</v>
      </c>
      <c r="S91" s="197"/>
      <c r="T91" s="197"/>
      <c r="U91" s="197"/>
    </row>
    <row r="92" spans="1:26" s="12" customFormat="1" x14ac:dyDescent="0.25">
      <c r="A92" s="200" t="s">
        <v>2444</v>
      </c>
      <c r="B92" s="59">
        <v>81.09</v>
      </c>
      <c r="C92" s="59">
        <v>96.91</v>
      </c>
      <c r="D92" s="59">
        <v>120.25</v>
      </c>
      <c r="E92" s="59">
        <v>5.77</v>
      </c>
      <c r="F92" s="59">
        <v>1.75</v>
      </c>
      <c r="G92" s="59">
        <v>176.04</v>
      </c>
      <c r="H92" s="59">
        <v>39.340000000000003</v>
      </c>
      <c r="I92" s="59">
        <v>0.99</v>
      </c>
      <c r="J92" s="59">
        <v>0.04</v>
      </c>
      <c r="K92" s="59">
        <v>74.739999999999995</v>
      </c>
      <c r="L92" s="59">
        <v>23.19</v>
      </c>
      <c r="M92" s="59">
        <v>53.02</v>
      </c>
      <c r="N92" s="59">
        <v>4.7</v>
      </c>
      <c r="O92" s="59">
        <v>0</v>
      </c>
      <c r="P92" s="59">
        <v>2.83</v>
      </c>
      <c r="Q92" s="59">
        <v>52.44</v>
      </c>
      <c r="S92" s="197"/>
      <c r="T92" s="197"/>
      <c r="U92" s="197"/>
    </row>
    <row r="93" spans="1:26" s="12" customFormat="1" x14ac:dyDescent="0.25">
      <c r="A93" s="200" t="s">
        <v>2445</v>
      </c>
      <c r="B93" s="59">
        <v>62.38</v>
      </c>
      <c r="C93" s="59">
        <v>90.61</v>
      </c>
      <c r="D93" s="59">
        <v>101.77</v>
      </c>
      <c r="E93" s="59">
        <v>5.86</v>
      </c>
      <c r="F93" s="59">
        <v>1.66</v>
      </c>
      <c r="G93" s="59">
        <v>176.98</v>
      </c>
      <c r="H93" s="59">
        <v>39.659999999999997</v>
      </c>
      <c r="I93" s="59">
        <v>1.1100000000000001</v>
      </c>
      <c r="J93" s="59">
        <v>0.1</v>
      </c>
      <c r="K93" s="59">
        <v>310.74</v>
      </c>
      <c r="L93" s="59">
        <v>23.62</v>
      </c>
      <c r="M93" s="59">
        <v>48.06</v>
      </c>
      <c r="N93" s="59">
        <v>4.4000000000000004</v>
      </c>
      <c r="O93" s="59">
        <v>0</v>
      </c>
      <c r="P93" s="59">
        <v>1.96</v>
      </c>
      <c r="Q93" s="59">
        <v>56.9</v>
      </c>
      <c r="S93" s="197"/>
      <c r="T93" s="197"/>
      <c r="U93" s="197"/>
    </row>
    <row r="94" spans="1:26" s="12" customFormat="1" x14ac:dyDescent="0.25">
      <c r="A94" s="200" t="s">
        <v>2446</v>
      </c>
      <c r="B94" s="59">
        <v>73.239999999999995</v>
      </c>
      <c r="C94" s="59">
        <v>82.02</v>
      </c>
      <c r="D94" s="59">
        <v>105.74</v>
      </c>
      <c r="E94" s="59">
        <v>5.0199999999999996</v>
      </c>
      <c r="F94" s="59">
        <v>2.2000000000000002</v>
      </c>
      <c r="G94" s="59">
        <v>176.98</v>
      </c>
      <c r="H94" s="59">
        <v>39.659999999999997</v>
      </c>
      <c r="I94" s="59">
        <v>1.1000000000000001</v>
      </c>
      <c r="J94" s="59">
        <v>0.11</v>
      </c>
      <c r="K94" s="59">
        <v>266.58999999999997</v>
      </c>
      <c r="L94" s="59">
        <v>23.58</v>
      </c>
      <c r="M94" s="59">
        <v>47.61</v>
      </c>
      <c r="N94" s="59">
        <v>4.7</v>
      </c>
      <c r="O94" s="59">
        <v>0</v>
      </c>
      <c r="P94" s="59">
        <v>2.0099999999999998</v>
      </c>
      <c r="Q94" s="59">
        <v>57.04</v>
      </c>
      <c r="S94" s="197"/>
      <c r="T94" s="197"/>
      <c r="U94" s="197"/>
    </row>
    <row r="95" spans="1:26" s="12" customFormat="1" x14ac:dyDescent="0.25">
      <c r="A95" s="200" t="s">
        <v>2447</v>
      </c>
      <c r="B95" s="59">
        <v>71.989999999999995</v>
      </c>
      <c r="C95" s="59">
        <v>77.180000000000007</v>
      </c>
      <c r="D95" s="59">
        <v>102.07</v>
      </c>
      <c r="E95" s="59">
        <v>4.32</v>
      </c>
      <c r="F95" s="59">
        <v>1.83</v>
      </c>
      <c r="G95" s="59">
        <v>176.98</v>
      </c>
      <c r="H95" s="59">
        <v>39.659999999999997</v>
      </c>
      <c r="I95" s="59">
        <v>0.93</v>
      </c>
      <c r="J95" s="59">
        <v>0.1</v>
      </c>
      <c r="K95" s="59">
        <v>29.43</v>
      </c>
      <c r="L95" s="59">
        <v>23.57</v>
      </c>
      <c r="M95" s="59">
        <v>47.66</v>
      </c>
      <c r="N95" s="59">
        <v>4.4000000000000004</v>
      </c>
      <c r="O95" s="59">
        <v>0</v>
      </c>
      <c r="P95" s="59">
        <v>1.9</v>
      </c>
      <c r="Q95" s="59">
        <v>60.35</v>
      </c>
      <c r="S95" s="197"/>
      <c r="T95" s="197"/>
      <c r="U95" s="197"/>
    </row>
    <row r="96" spans="1:26" s="12" customFormat="1" x14ac:dyDescent="0.25">
      <c r="A96" s="200" t="s">
        <v>2448</v>
      </c>
      <c r="B96" s="59">
        <v>71.180000000000007</v>
      </c>
      <c r="C96" s="59">
        <v>77.62</v>
      </c>
      <c r="D96" s="59">
        <v>101.66</v>
      </c>
      <c r="E96" s="59">
        <v>3.56</v>
      </c>
      <c r="F96" s="59">
        <v>1.82</v>
      </c>
      <c r="G96" s="59">
        <v>129.08000000000001</v>
      </c>
      <c r="H96" s="59">
        <v>37.26</v>
      </c>
      <c r="I96" s="59">
        <v>1.02</v>
      </c>
      <c r="J96" s="59">
        <v>0.1</v>
      </c>
      <c r="K96" s="59">
        <v>26.46</v>
      </c>
      <c r="L96" s="59">
        <v>23.12</v>
      </c>
      <c r="M96" s="59">
        <v>51.84</v>
      </c>
      <c r="N96" s="59">
        <v>5.2</v>
      </c>
      <c r="O96" s="59">
        <v>0</v>
      </c>
      <c r="P96" s="59">
        <v>1.95</v>
      </c>
      <c r="Q96" s="59">
        <v>61.19</v>
      </c>
      <c r="S96" s="197"/>
      <c r="T96" s="197"/>
      <c r="U96" s="197"/>
      <c r="Z96" s="108"/>
    </row>
    <row r="97" spans="1:33" s="12" customFormat="1" x14ac:dyDescent="0.25">
      <c r="A97" s="200" t="s">
        <v>2449</v>
      </c>
      <c r="B97" s="59">
        <v>78.72</v>
      </c>
      <c r="C97" s="59">
        <v>71.87</v>
      </c>
      <c r="D97" s="59">
        <v>104.53</v>
      </c>
      <c r="E97" s="59">
        <v>3.58</v>
      </c>
      <c r="F97" s="59">
        <v>1.51</v>
      </c>
      <c r="G97" s="59">
        <v>127.43</v>
      </c>
      <c r="H97" s="59">
        <v>37.18</v>
      </c>
      <c r="I97" s="59">
        <v>1</v>
      </c>
      <c r="J97" s="59">
        <v>0.14000000000000001</v>
      </c>
      <c r="K97" s="59">
        <v>13.32</v>
      </c>
      <c r="L97" s="59">
        <v>22.36</v>
      </c>
      <c r="M97" s="59">
        <v>58.05</v>
      </c>
      <c r="N97" s="59">
        <v>5.0999999999999996</v>
      </c>
      <c r="O97" s="59">
        <v>0</v>
      </c>
      <c r="P97" s="59">
        <v>2.0499999999999998</v>
      </c>
      <c r="Q97" s="59">
        <v>61.27</v>
      </c>
      <c r="S97" s="197"/>
      <c r="T97" s="197"/>
      <c r="U97" s="197"/>
    </row>
    <row r="98" spans="1:33" s="12" customFormat="1" x14ac:dyDescent="0.25">
      <c r="A98" s="200" t="s">
        <v>2450</v>
      </c>
      <c r="B98" s="59">
        <v>80.930000000000007</v>
      </c>
      <c r="C98" s="59">
        <v>75.790000000000006</v>
      </c>
      <c r="D98" s="59">
        <v>108.47</v>
      </c>
      <c r="E98" s="59">
        <v>3.77</v>
      </c>
      <c r="F98" s="59">
        <v>1.3</v>
      </c>
      <c r="G98" s="59">
        <v>127.43</v>
      </c>
      <c r="H98" s="59">
        <v>37.18</v>
      </c>
      <c r="I98" s="59">
        <v>1.02</v>
      </c>
      <c r="J98" s="59">
        <v>0.17</v>
      </c>
      <c r="K98" s="59">
        <v>281.7</v>
      </c>
      <c r="L98" s="59">
        <v>22.47</v>
      </c>
      <c r="M98" s="59">
        <v>55.36</v>
      </c>
      <c r="N98" s="59">
        <v>4.7</v>
      </c>
      <c r="O98" s="59">
        <v>0</v>
      </c>
      <c r="P98" s="59">
        <v>2.04</v>
      </c>
      <c r="Q98" s="59">
        <v>60.97</v>
      </c>
      <c r="S98" s="197"/>
      <c r="T98" s="197"/>
      <c r="U98" s="197"/>
    </row>
    <row r="99" spans="1:33" s="12" customFormat="1" x14ac:dyDescent="0.25">
      <c r="A99" s="200" t="s">
        <v>2451</v>
      </c>
      <c r="B99" s="59">
        <v>83.62</v>
      </c>
      <c r="C99" s="59">
        <v>74.099999999999994</v>
      </c>
      <c r="D99" s="59">
        <v>109.69</v>
      </c>
      <c r="E99" s="59">
        <v>3.37</v>
      </c>
      <c r="F99" s="59">
        <v>1.36</v>
      </c>
      <c r="G99" s="59">
        <v>127.43</v>
      </c>
      <c r="H99" s="59">
        <v>37.18</v>
      </c>
      <c r="I99" s="59">
        <v>1.06</v>
      </c>
      <c r="J99" s="59">
        <v>0.26</v>
      </c>
      <c r="K99" s="59">
        <v>12.7</v>
      </c>
      <c r="L99" s="59">
        <v>22.04</v>
      </c>
      <c r="M99" s="59">
        <v>58.02</v>
      </c>
      <c r="N99" s="59">
        <v>5.0999999999999996</v>
      </c>
      <c r="O99" s="59">
        <v>0</v>
      </c>
      <c r="P99" s="59">
        <v>2.0499999999999998</v>
      </c>
      <c r="Q99" s="59">
        <v>60.82</v>
      </c>
      <c r="S99" s="197"/>
      <c r="T99" s="197"/>
      <c r="U99" s="197"/>
    </row>
    <row r="100" spans="1:33" s="12" customFormat="1" x14ac:dyDescent="0.25">
      <c r="A100" s="200" t="s">
        <v>2452</v>
      </c>
      <c r="B100" s="59">
        <v>83.84</v>
      </c>
      <c r="C100" s="59">
        <v>74.27</v>
      </c>
      <c r="D100" s="59">
        <v>109.97</v>
      </c>
      <c r="E100" s="59">
        <v>3.52</v>
      </c>
      <c r="F100" s="59">
        <v>1.19</v>
      </c>
      <c r="G100" s="59">
        <v>152.72</v>
      </c>
      <c r="H100" s="59">
        <v>40.75</v>
      </c>
      <c r="I100" s="59">
        <v>1.05</v>
      </c>
      <c r="J100" s="59">
        <v>0.04</v>
      </c>
      <c r="K100" s="59">
        <v>306.17</v>
      </c>
      <c r="L100" s="59">
        <v>21.58</v>
      </c>
      <c r="M100" s="59">
        <v>57.86</v>
      </c>
      <c r="N100" s="59">
        <v>4.9000000000000004</v>
      </c>
      <c r="O100" s="59">
        <v>0</v>
      </c>
      <c r="P100" s="59">
        <v>2.06</v>
      </c>
      <c r="Q100" s="59">
        <v>60.2</v>
      </c>
      <c r="S100" s="197"/>
      <c r="T100" s="197"/>
      <c r="U100" s="197"/>
      <c r="AB100" s="109"/>
      <c r="AG100" s="108"/>
    </row>
    <row r="101" spans="1:33" s="12" customFormat="1" x14ac:dyDescent="0.25">
      <c r="A101" s="200" t="s">
        <v>2453</v>
      </c>
      <c r="B101" s="59">
        <v>98.84</v>
      </c>
      <c r="C101" s="59">
        <v>75.959999999999994</v>
      </c>
      <c r="D101" s="59">
        <v>122.92</v>
      </c>
      <c r="E101" s="59">
        <v>3.79</v>
      </c>
      <c r="F101" s="59">
        <v>1.17</v>
      </c>
      <c r="G101" s="59">
        <v>153.59</v>
      </c>
      <c r="H101" s="59">
        <v>40.869999999999997</v>
      </c>
      <c r="I101" s="59">
        <v>1.06</v>
      </c>
      <c r="J101" s="59">
        <v>0.19</v>
      </c>
      <c r="K101" s="59">
        <v>16.18</v>
      </c>
      <c r="L101" s="59">
        <v>21.35</v>
      </c>
      <c r="M101" s="59">
        <v>61.34</v>
      </c>
      <c r="N101" s="59">
        <v>5</v>
      </c>
      <c r="O101" s="59">
        <v>0</v>
      </c>
      <c r="P101" s="59">
        <v>2.15</v>
      </c>
      <c r="Q101" s="59">
        <v>59.86</v>
      </c>
      <c r="S101" s="197"/>
      <c r="T101" s="197"/>
      <c r="U101" s="197"/>
    </row>
    <row r="102" spans="1:33" s="12" customFormat="1" x14ac:dyDescent="0.25">
      <c r="A102" s="200" t="s">
        <v>2454</v>
      </c>
      <c r="B102" s="59">
        <v>105.73</v>
      </c>
      <c r="C102" s="59">
        <v>76.239999999999995</v>
      </c>
      <c r="D102" s="59">
        <v>128.6</v>
      </c>
      <c r="E102" s="59">
        <v>3.93</v>
      </c>
      <c r="F102" s="59">
        <v>1.3</v>
      </c>
      <c r="G102" s="59">
        <v>153.59</v>
      </c>
      <c r="H102" s="59">
        <v>40.869999999999997</v>
      </c>
      <c r="I102" s="59">
        <v>1.05</v>
      </c>
      <c r="J102" s="59">
        <v>0</v>
      </c>
      <c r="K102" s="59">
        <v>230.5</v>
      </c>
      <c r="L102" s="59">
        <v>21.11</v>
      </c>
      <c r="M102" s="59">
        <v>61.93</v>
      </c>
      <c r="N102" s="59">
        <v>4.8</v>
      </c>
      <c r="O102" s="59">
        <v>0</v>
      </c>
      <c r="P102" s="59">
        <v>2.17</v>
      </c>
      <c r="Q102" s="59">
        <v>55.47</v>
      </c>
      <c r="S102" s="197"/>
      <c r="T102" s="197"/>
      <c r="U102" s="197"/>
    </row>
    <row r="103" spans="1:33" s="12" customFormat="1" x14ac:dyDescent="0.25">
      <c r="A103" s="200" t="s">
        <v>2455</v>
      </c>
      <c r="B103" s="59">
        <v>88.8</v>
      </c>
      <c r="C103" s="59">
        <v>70.39</v>
      </c>
      <c r="D103" s="59">
        <v>111.8</v>
      </c>
      <c r="E103" s="59">
        <v>3.3</v>
      </c>
      <c r="F103" s="59">
        <v>1.42</v>
      </c>
      <c r="G103" s="59">
        <v>153.59</v>
      </c>
      <c r="H103" s="59">
        <v>40.869999999999997</v>
      </c>
      <c r="I103" s="59">
        <v>1.04</v>
      </c>
      <c r="J103" s="59">
        <v>0.26</v>
      </c>
      <c r="K103" s="59">
        <v>259</v>
      </c>
      <c r="L103" s="59">
        <v>21.72</v>
      </c>
      <c r="M103" s="59">
        <v>60.17</v>
      </c>
      <c r="N103" s="59">
        <v>3.9</v>
      </c>
      <c r="O103" s="59">
        <v>0</v>
      </c>
      <c r="P103" s="59">
        <v>2</v>
      </c>
      <c r="Q103" s="59">
        <v>55.66</v>
      </c>
      <c r="S103" s="197"/>
      <c r="T103" s="197"/>
      <c r="U103" s="197"/>
    </row>
    <row r="104" spans="1:33" s="12" customFormat="1" x14ac:dyDescent="0.25">
      <c r="A104" s="200" t="s">
        <v>2456</v>
      </c>
      <c r="B104" s="59">
        <v>79.06</v>
      </c>
      <c r="C104" s="59">
        <v>70.3</v>
      </c>
      <c r="D104" s="59">
        <v>103.94</v>
      </c>
      <c r="E104" s="59">
        <v>2.08</v>
      </c>
      <c r="F104" s="59">
        <v>1.73</v>
      </c>
      <c r="G104" s="59">
        <v>141.75</v>
      </c>
      <c r="H104" s="59">
        <v>42.48</v>
      </c>
      <c r="I104" s="59">
        <v>0.95</v>
      </c>
      <c r="J104" s="59">
        <v>0.18</v>
      </c>
      <c r="K104" s="59">
        <v>261.29000000000002</v>
      </c>
      <c r="L104" s="59">
        <v>21.71</v>
      </c>
      <c r="M104" s="59">
        <v>61.39</v>
      </c>
      <c r="N104" s="59">
        <v>4.5</v>
      </c>
      <c r="O104" s="59">
        <v>0</v>
      </c>
      <c r="P104" s="59">
        <v>1.9</v>
      </c>
      <c r="Q104" s="59">
        <v>58.09</v>
      </c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4.3099999999999996</v>
      </c>
      <c r="C106" s="66">
        <f>MIN(C9:C104)</f>
        <v>37.03</v>
      </c>
      <c r="D106" s="66">
        <f t="shared" ref="D106:Q106" si="0">MIN(D9:D104)</f>
        <v>26.52</v>
      </c>
      <c r="E106" s="66">
        <f t="shared" si="0"/>
        <v>0.43</v>
      </c>
      <c r="F106" s="66">
        <f t="shared" si="0"/>
        <v>1.0900000000000001</v>
      </c>
      <c r="G106" s="66">
        <f t="shared" si="0"/>
        <v>24.52</v>
      </c>
      <c r="H106" s="66">
        <f t="shared" si="0"/>
        <v>10.45</v>
      </c>
      <c r="I106" s="66">
        <f t="shared" si="0"/>
        <v>0.55000000000000004</v>
      </c>
      <c r="J106" s="66">
        <f t="shared" si="0"/>
        <v>0</v>
      </c>
      <c r="K106" s="66">
        <f t="shared" si="0"/>
        <v>2.2599999999999998</v>
      </c>
      <c r="L106" s="66">
        <f t="shared" si="0"/>
        <v>16.95</v>
      </c>
      <c r="M106" s="66">
        <f t="shared" si="0"/>
        <v>28.31</v>
      </c>
      <c r="N106" s="66">
        <f t="shared" si="0"/>
        <v>3.9</v>
      </c>
      <c r="O106" s="66">
        <f t="shared" si="0"/>
        <v>0</v>
      </c>
      <c r="P106" s="66">
        <f t="shared" si="0"/>
        <v>0.7</v>
      </c>
      <c r="Q106" s="66">
        <f t="shared" si="0"/>
        <v>44.93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135.18</v>
      </c>
      <c r="C107" s="65">
        <f t="shared" ref="C107:Q107" si="1">MAX(C9:C104)</f>
        <v>116.45</v>
      </c>
      <c r="D107" s="65">
        <f t="shared" si="1"/>
        <v>167.11</v>
      </c>
      <c r="E107" s="65">
        <f t="shared" si="1"/>
        <v>5.87</v>
      </c>
      <c r="F107" s="65">
        <f t="shared" si="1"/>
        <v>17.2</v>
      </c>
      <c r="G107" s="65">
        <f t="shared" si="1"/>
        <v>206.04</v>
      </c>
      <c r="H107" s="65">
        <f t="shared" si="1"/>
        <v>52.28</v>
      </c>
      <c r="I107" s="65">
        <f t="shared" si="1"/>
        <v>1.1299999999999999</v>
      </c>
      <c r="J107" s="65">
        <f t="shared" si="1"/>
        <v>1.4</v>
      </c>
      <c r="K107" s="65">
        <f t="shared" si="1"/>
        <v>359.24</v>
      </c>
      <c r="L107" s="65">
        <f t="shared" si="1"/>
        <v>32.86</v>
      </c>
      <c r="M107" s="65">
        <f t="shared" si="1"/>
        <v>92.3</v>
      </c>
      <c r="N107" s="65">
        <f t="shared" si="1"/>
        <v>944.1</v>
      </c>
      <c r="O107" s="65">
        <f t="shared" si="1"/>
        <v>0</v>
      </c>
      <c r="P107" s="65">
        <f t="shared" si="1"/>
        <v>3.19</v>
      </c>
      <c r="Q107" s="65">
        <f t="shared" si="1"/>
        <v>61.27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41.149062499999992</v>
      </c>
      <c r="C108" s="66">
        <f t="shared" ref="C108:Q108" si="2">AVERAGE(C9:C104)</f>
        <v>67.292708333333351</v>
      </c>
      <c r="D108" s="66">
        <f t="shared" si="2"/>
        <v>71.876458333333304</v>
      </c>
      <c r="E108" s="66">
        <f t="shared" si="2"/>
        <v>2.5657291666666677</v>
      </c>
      <c r="F108" s="66">
        <f t="shared" si="2"/>
        <v>3.5508333333333337</v>
      </c>
      <c r="G108" s="66">
        <f t="shared" si="2"/>
        <v>85.079456521739161</v>
      </c>
      <c r="H108" s="66">
        <f t="shared" si="2"/>
        <v>28.448913043478257</v>
      </c>
      <c r="I108" s="66">
        <f t="shared" si="2"/>
        <v>0.69072916666666673</v>
      </c>
      <c r="J108" s="66">
        <f t="shared" si="2"/>
        <v>0.39302083333333332</v>
      </c>
      <c r="K108" s="66">
        <f t="shared" si="2"/>
        <v>149.34937500000001</v>
      </c>
      <c r="L108" s="66">
        <f t="shared" si="2"/>
        <v>24.134583333333328</v>
      </c>
      <c r="M108" s="66">
        <f t="shared" si="2"/>
        <v>55.761458333333358</v>
      </c>
      <c r="N108" s="66">
        <f t="shared" si="2"/>
        <v>234.24687500000002</v>
      </c>
      <c r="O108" s="66">
        <f t="shared" si="2"/>
        <v>0</v>
      </c>
      <c r="P108" s="66">
        <f t="shared" si="2"/>
        <v>1.214479166666667</v>
      </c>
      <c r="Q108" s="66">
        <f t="shared" si="2"/>
        <v>53.18041666666668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30.361124037098051</v>
      </c>
      <c r="C109" s="66">
        <f t="shared" ref="C109:Q109" si="3">STDEV(C9:C104)</f>
        <v>15.922816034937252</v>
      </c>
      <c r="D109" s="66">
        <f t="shared" si="3"/>
        <v>29.059618680410793</v>
      </c>
      <c r="E109" s="66">
        <f t="shared" si="3"/>
        <v>1.1486575640988046</v>
      </c>
      <c r="F109" s="66">
        <f t="shared" si="3"/>
        <v>3.151031465765711</v>
      </c>
      <c r="G109" s="66">
        <f t="shared" si="3"/>
        <v>48.554166294320659</v>
      </c>
      <c r="H109" s="66">
        <f t="shared" si="3"/>
        <v>9.8467268457479467</v>
      </c>
      <c r="I109" s="66">
        <f t="shared" si="3"/>
        <v>0.15912421359075726</v>
      </c>
      <c r="J109" s="66">
        <f t="shared" si="3"/>
        <v>0.37684876148806401</v>
      </c>
      <c r="K109" s="66">
        <f t="shared" si="3"/>
        <v>120.05267712933797</v>
      </c>
      <c r="L109" s="66">
        <f t="shared" si="3"/>
        <v>4.7165549239755018</v>
      </c>
      <c r="M109" s="66">
        <f t="shared" si="3"/>
        <v>21.703084329878632</v>
      </c>
      <c r="N109" s="66">
        <f t="shared" si="3"/>
        <v>328.50406965455579</v>
      </c>
      <c r="O109" s="66">
        <f t="shared" si="3"/>
        <v>0</v>
      </c>
      <c r="P109" s="66">
        <f t="shared" si="3"/>
        <v>0.56161022218854462</v>
      </c>
      <c r="Q109" s="66">
        <f t="shared" si="3"/>
        <v>3.7243341804568635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92</v>
      </c>
      <c r="H110" s="65">
        <f>COUNT(H9:H104)</f>
        <v>92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73" sqref="A7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24-03-2023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2457</v>
      </c>
      <c r="B9" s="59">
        <v>76.84</v>
      </c>
      <c r="C9" s="59">
        <v>63.25</v>
      </c>
      <c r="D9" s="59">
        <v>98.26</v>
      </c>
      <c r="E9" s="59">
        <v>2.87</v>
      </c>
      <c r="F9" s="59">
        <v>2.56</v>
      </c>
      <c r="G9" s="59">
        <v>141.34</v>
      </c>
      <c r="H9" s="59">
        <v>42.54</v>
      </c>
      <c r="I9" s="59">
        <v>1.03</v>
      </c>
      <c r="J9" s="59">
        <v>0.03</v>
      </c>
      <c r="K9" s="59">
        <v>207.18</v>
      </c>
      <c r="L9" s="59">
        <v>21.21</v>
      </c>
      <c r="M9" s="59">
        <v>64.790000000000006</v>
      </c>
      <c r="N9" s="59">
        <v>4.9000000000000004</v>
      </c>
      <c r="O9" s="59">
        <v>0</v>
      </c>
      <c r="P9" s="59">
        <v>1.81</v>
      </c>
      <c r="Q9" s="59">
        <v>57.43</v>
      </c>
      <c r="R9" s="197"/>
      <c r="S9" s="197"/>
      <c r="T9" s="197"/>
      <c r="U9" s="197"/>
    </row>
    <row r="10" spans="1:21" s="12" customFormat="1" x14ac:dyDescent="0.25">
      <c r="A10" s="200" t="s">
        <v>2458</v>
      </c>
      <c r="B10" s="59">
        <v>71.930000000000007</v>
      </c>
      <c r="C10" s="59">
        <v>64.5</v>
      </c>
      <c r="D10" s="59">
        <v>95.02</v>
      </c>
      <c r="E10" s="59">
        <v>3</v>
      </c>
      <c r="F10" s="59">
        <v>3.25</v>
      </c>
      <c r="G10" s="59">
        <v>141.34</v>
      </c>
      <c r="H10" s="59">
        <v>42.54</v>
      </c>
      <c r="I10" s="59">
        <v>1</v>
      </c>
      <c r="J10" s="59">
        <v>0.09</v>
      </c>
      <c r="K10" s="59">
        <v>358.36</v>
      </c>
      <c r="L10" s="59">
        <v>20.86</v>
      </c>
      <c r="M10" s="59">
        <v>66.66</v>
      </c>
      <c r="N10" s="59">
        <v>4.9000000000000004</v>
      </c>
      <c r="O10" s="59">
        <v>0</v>
      </c>
      <c r="P10" s="59">
        <v>1.76</v>
      </c>
      <c r="Q10" s="59">
        <v>57.15</v>
      </c>
      <c r="R10" s="197"/>
      <c r="S10" s="197"/>
      <c r="T10" s="197"/>
      <c r="U10" s="197"/>
    </row>
    <row r="11" spans="1:21" s="12" customFormat="1" x14ac:dyDescent="0.25">
      <c r="A11" s="200" t="s">
        <v>2459</v>
      </c>
      <c r="B11" s="59">
        <v>73.72</v>
      </c>
      <c r="C11" s="59">
        <v>63.03</v>
      </c>
      <c r="D11" s="59">
        <v>95.64</v>
      </c>
      <c r="E11" s="59">
        <v>2.84</v>
      </c>
      <c r="F11" s="59">
        <v>3.29</v>
      </c>
      <c r="G11" s="59">
        <v>141.34</v>
      </c>
      <c r="H11" s="59">
        <v>42.54</v>
      </c>
      <c r="I11" s="59">
        <v>0.94</v>
      </c>
      <c r="J11" s="59">
        <v>0.2</v>
      </c>
      <c r="K11" s="59">
        <v>26.38</v>
      </c>
      <c r="L11" s="59">
        <v>20.329999999999998</v>
      </c>
      <c r="M11" s="59">
        <v>70.489999999999995</v>
      </c>
      <c r="N11" s="59">
        <v>5</v>
      </c>
      <c r="O11" s="59">
        <v>0</v>
      </c>
      <c r="P11" s="59">
        <v>1.78</v>
      </c>
      <c r="Q11" s="59">
        <v>56.82</v>
      </c>
      <c r="R11" s="197"/>
      <c r="S11" s="197"/>
      <c r="T11" s="197"/>
      <c r="U11" s="197"/>
    </row>
    <row r="12" spans="1:21" s="12" customFormat="1" x14ac:dyDescent="0.25">
      <c r="A12" s="200" t="s">
        <v>2460</v>
      </c>
      <c r="B12" s="59">
        <v>72.069999999999993</v>
      </c>
      <c r="C12" s="59">
        <v>66.63</v>
      </c>
      <c r="D12" s="59">
        <v>96.31</v>
      </c>
      <c r="E12" s="59">
        <v>3.04</v>
      </c>
      <c r="F12" s="59">
        <v>2.82</v>
      </c>
      <c r="G12" s="59">
        <v>87.5</v>
      </c>
      <c r="H12" s="59">
        <v>35.25</v>
      </c>
      <c r="I12" s="59">
        <v>0.94</v>
      </c>
      <c r="J12" s="59">
        <v>0.13</v>
      </c>
      <c r="K12" s="59">
        <v>32.479999999999997</v>
      </c>
      <c r="L12" s="59">
        <v>20.16</v>
      </c>
      <c r="M12" s="59">
        <v>69.42</v>
      </c>
      <c r="N12" s="59">
        <v>4.8</v>
      </c>
      <c r="O12" s="59">
        <v>0</v>
      </c>
      <c r="P12" s="59">
        <v>1.76</v>
      </c>
      <c r="Q12" s="59">
        <v>58.54</v>
      </c>
      <c r="R12" s="197"/>
      <c r="S12" s="197"/>
      <c r="T12" s="197"/>
      <c r="U12" s="197"/>
    </row>
    <row r="13" spans="1:21" s="12" customFormat="1" x14ac:dyDescent="0.25">
      <c r="A13" s="200" t="s">
        <v>2461</v>
      </c>
      <c r="B13" s="59">
        <v>78.58</v>
      </c>
      <c r="C13" s="59">
        <v>63.78</v>
      </c>
      <c r="D13" s="59">
        <v>99.95</v>
      </c>
      <c r="E13" s="59">
        <v>3.03</v>
      </c>
      <c r="F13" s="59">
        <v>2.69</v>
      </c>
      <c r="G13" s="59">
        <v>85.65</v>
      </c>
      <c r="H13" s="59">
        <v>35</v>
      </c>
      <c r="I13" s="59">
        <v>0.97</v>
      </c>
      <c r="J13" s="59">
        <v>0.1</v>
      </c>
      <c r="K13" s="59">
        <v>332.17</v>
      </c>
      <c r="L13" s="59">
        <v>19.899999999999999</v>
      </c>
      <c r="M13" s="59">
        <v>72.540000000000006</v>
      </c>
      <c r="N13" s="59">
        <v>5</v>
      </c>
      <c r="O13" s="59">
        <v>0</v>
      </c>
      <c r="P13" s="59">
        <v>1.74</v>
      </c>
      <c r="Q13" s="59">
        <v>62.1</v>
      </c>
      <c r="R13" s="197"/>
      <c r="S13" s="197"/>
      <c r="T13" s="197"/>
      <c r="U13" s="197"/>
    </row>
    <row r="14" spans="1:21" s="12" customFormat="1" x14ac:dyDescent="0.25">
      <c r="A14" s="200" t="s">
        <v>2462</v>
      </c>
      <c r="B14" s="59">
        <v>75.209999999999994</v>
      </c>
      <c r="C14" s="59">
        <v>61.16</v>
      </c>
      <c r="D14" s="59">
        <v>95.81</v>
      </c>
      <c r="E14" s="59">
        <v>3.16</v>
      </c>
      <c r="F14" s="59">
        <v>1.66</v>
      </c>
      <c r="G14" s="59">
        <v>85.65</v>
      </c>
      <c r="H14" s="59">
        <v>35</v>
      </c>
      <c r="I14" s="59">
        <v>0.95</v>
      </c>
      <c r="J14" s="59">
        <v>0</v>
      </c>
      <c r="K14" s="59">
        <v>87.33</v>
      </c>
      <c r="L14" s="59">
        <v>19.739999999999998</v>
      </c>
      <c r="M14" s="59">
        <v>71.069999999999993</v>
      </c>
      <c r="N14" s="59">
        <v>4.9000000000000004</v>
      </c>
      <c r="O14" s="59">
        <v>0</v>
      </c>
      <c r="P14" s="59">
        <v>1.73</v>
      </c>
      <c r="Q14" s="59">
        <v>61.69</v>
      </c>
      <c r="R14" s="197"/>
      <c r="S14" s="197"/>
      <c r="T14" s="197"/>
      <c r="U14" s="197"/>
    </row>
    <row r="15" spans="1:21" s="12" customFormat="1" x14ac:dyDescent="0.25">
      <c r="A15" s="200" t="s">
        <v>2463</v>
      </c>
      <c r="B15" s="59">
        <v>71.66</v>
      </c>
      <c r="C15" s="59">
        <v>60.17</v>
      </c>
      <c r="D15" s="59">
        <v>92.42</v>
      </c>
      <c r="E15" s="59">
        <v>2.94</v>
      </c>
      <c r="F15" s="59">
        <v>1.61</v>
      </c>
      <c r="G15" s="59">
        <v>85.65</v>
      </c>
      <c r="H15" s="59">
        <v>35</v>
      </c>
      <c r="I15" s="59">
        <v>1.01</v>
      </c>
      <c r="J15" s="59">
        <v>0.11</v>
      </c>
      <c r="K15" s="59">
        <v>269.98</v>
      </c>
      <c r="L15" s="59">
        <v>19.89</v>
      </c>
      <c r="M15" s="59">
        <v>70.14</v>
      </c>
      <c r="N15" s="59">
        <v>4.7</v>
      </c>
      <c r="O15" s="59">
        <v>0</v>
      </c>
      <c r="P15" s="59">
        <v>1.66</v>
      </c>
      <c r="Q15" s="59">
        <v>60.59</v>
      </c>
      <c r="R15" s="197"/>
      <c r="S15" s="197"/>
      <c r="T15" s="197"/>
      <c r="U15" s="197"/>
    </row>
    <row r="16" spans="1:21" s="12" customFormat="1" x14ac:dyDescent="0.25">
      <c r="A16" s="200" t="s">
        <v>2464</v>
      </c>
      <c r="B16" s="59">
        <v>67.61</v>
      </c>
      <c r="C16" s="59">
        <v>61.25</v>
      </c>
      <c r="D16" s="59">
        <v>89.76</v>
      </c>
      <c r="E16" s="59">
        <v>2.95</v>
      </c>
      <c r="F16" s="59">
        <v>0.36</v>
      </c>
      <c r="G16" s="59">
        <v>66.2</v>
      </c>
      <c r="H16" s="59">
        <v>32.32</v>
      </c>
      <c r="I16" s="59">
        <v>0.96</v>
      </c>
      <c r="J16" s="59">
        <v>0.1</v>
      </c>
      <c r="K16" s="59">
        <v>349.48</v>
      </c>
      <c r="L16" s="59">
        <v>19.82</v>
      </c>
      <c r="M16" s="59">
        <v>72.319999999999993</v>
      </c>
      <c r="N16" s="59">
        <v>4.8</v>
      </c>
      <c r="O16" s="59">
        <v>0</v>
      </c>
      <c r="P16" s="59">
        <v>1.59</v>
      </c>
      <c r="Q16" s="59">
        <v>60.01</v>
      </c>
      <c r="R16" s="197"/>
      <c r="S16" s="197"/>
      <c r="T16" s="197"/>
      <c r="U16" s="197"/>
    </row>
    <row r="17" spans="1:21" s="12" customFormat="1" x14ac:dyDescent="0.25">
      <c r="A17" s="200" t="s">
        <v>2465</v>
      </c>
      <c r="B17" s="59">
        <v>64.84</v>
      </c>
      <c r="C17" s="59">
        <v>61.17</v>
      </c>
      <c r="D17" s="59">
        <v>87.5</v>
      </c>
      <c r="E17" s="59">
        <v>2.71</v>
      </c>
      <c r="F17" s="59">
        <v>0.93</v>
      </c>
      <c r="G17" s="59">
        <v>65.3</v>
      </c>
      <c r="H17" s="59">
        <v>32.200000000000003</v>
      </c>
      <c r="I17" s="59">
        <v>0.93</v>
      </c>
      <c r="J17" s="59">
        <v>0.09</v>
      </c>
      <c r="K17" s="59">
        <v>62.89</v>
      </c>
      <c r="L17" s="59">
        <v>19.600000000000001</v>
      </c>
      <c r="M17" s="59">
        <v>74.260000000000005</v>
      </c>
      <c r="N17" s="59">
        <v>4.9000000000000004</v>
      </c>
      <c r="O17" s="59">
        <v>0</v>
      </c>
      <c r="P17" s="59">
        <v>1.53</v>
      </c>
      <c r="Q17" s="59">
        <v>59.66</v>
      </c>
      <c r="R17" s="197"/>
      <c r="S17" s="197"/>
      <c r="T17" s="197"/>
      <c r="U17" s="197"/>
    </row>
    <row r="18" spans="1:21" s="12" customFormat="1" x14ac:dyDescent="0.25">
      <c r="A18" s="200" t="s">
        <v>2466</v>
      </c>
      <c r="B18" s="59">
        <v>62.83</v>
      </c>
      <c r="C18" s="59">
        <v>60.96</v>
      </c>
      <c r="D18" s="59">
        <v>85.77</v>
      </c>
      <c r="E18" s="59">
        <v>2.59</v>
      </c>
      <c r="F18" s="59">
        <v>1.18</v>
      </c>
      <c r="G18" s="59">
        <v>65.3</v>
      </c>
      <c r="H18" s="59">
        <v>32.200000000000003</v>
      </c>
      <c r="I18" s="59">
        <v>0.91</v>
      </c>
      <c r="J18" s="59">
        <v>0.1</v>
      </c>
      <c r="K18" s="59">
        <v>272.66000000000003</v>
      </c>
      <c r="L18" s="59">
        <v>19.64</v>
      </c>
      <c r="M18" s="59">
        <v>73.900000000000006</v>
      </c>
      <c r="N18" s="59">
        <v>4.7</v>
      </c>
      <c r="O18" s="59">
        <v>0</v>
      </c>
      <c r="P18" s="59">
        <v>1.49</v>
      </c>
      <c r="Q18" s="59">
        <v>57.9</v>
      </c>
      <c r="R18" s="197"/>
      <c r="S18" s="197"/>
      <c r="T18" s="197"/>
      <c r="U18" s="197"/>
    </row>
    <row r="19" spans="1:21" s="12" customFormat="1" x14ac:dyDescent="0.25">
      <c r="A19" s="200" t="s">
        <v>2467</v>
      </c>
      <c r="B19" s="59">
        <v>52.47</v>
      </c>
      <c r="C19" s="59">
        <v>58.89</v>
      </c>
      <c r="D19" s="59">
        <v>76.319999999999993</v>
      </c>
      <c r="E19" s="59">
        <v>2.37</v>
      </c>
      <c r="F19" s="59">
        <v>1.2</v>
      </c>
      <c r="G19" s="59">
        <v>65.3</v>
      </c>
      <c r="H19" s="59">
        <v>32.200000000000003</v>
      </c>
      <c r="I19" s="59">
        <v>0.89</v>
      </c>
      <c r="J19" s="59">
        <v>0.08</v>
      </c>
      <c r="K19" s="59">
        <v>299.2</v>
      </c>
      <c r="L19" s="59">
        <v>19.510000000000002</v>
      </c>
      <c r="M19" s="59">
        <v>73.7</v>
      </c>
      <c r="N19" s="59">
        <v>4.7</v>
      </c>
      <c r="O19" s="59">
        <v>0</v>
      </c>
      <c r="P19" s="59">
        <v>1.36</v>
      </c>
      <c r="Q19" s="59">
        <v>59.18</v>
      </c>
      <c r="R19" s="197"/>
      <c r="S19" s="197"/>
      <c r="T19" s="197"/>
      <c r="U19" s="197"/>
    </row>
    <row r="20" spans="1:21" s="12" customFormat="1" x14ac:dyDescent="0.25">
      <c r="A20" s="200" t="s">
        <v>2468</v>
      </c>
      <c r="B20" s="59">
        <v>51.13</v>
      </c>
      <c r="C20" s="59">
        <v>55.56</v>
      </c>
      <c r="D20" s="59">
        <v>73.41</v>
      </c>
      <c r="E20" s="59">
        <v>2.37</v>
      </c>
      <c r="F20" s="59">
        <v>1.36</v>
      </c>
      <c r="G20" s="59">
        <v>89.7</v>
      </c>
      <c r="H20" s="59">
        <v>31.28</v>
      </c>
      <c r="I20" s="59">
        <v>0.86</v>
      </c>
      <c r="J20" s="59">
        <v>0.08</v>
      </c>
      <c r="K20" s="59">
        <v>316.12</v>
      </c>
      <c r="L20" s="59">
        <v>19.38</v>
      </c>
      <c r="M20" s="59">
        <v>77.22</v>
      </c>
      <c r="N20" s="59">
        <v>4.8</v>
      </c>
      <c r="O20" s="59">
        <v>0</v>
      </c>
      <c r="P20" s="59">
        <v>1.3</v>
      </c>
      <c r="Q20" s="59">
        <v>57.72</v>
      </c>
      <c r="R20" s="197"/>
      <c r="S20" s="197"/>
      <c r="T20" s="197"/>
      <c r="U20" s="197"/>
    </row>
    <row r="21" spans="1:21" s="12" customFormat="1" x14ac:dyDescent="0.25">
      <c r="A21" s="200" t="s">
        <v>2469</v>
      </c>
      <c r="B21" s="59">
        <v>51.66</v>
      </c>
      <c r="C21" s="59">
        <v>59.89</v>
      </c>
      <c r="D21" s="59">
        <v>76.22</v>
      </c>
      <c r="E21" s="59">
        <v>2.42</v>
      </c>
      <c r="F21" s="59">
        <v>1.22</v>
      </c>
      <c r="G21" s="59">
        <v>90.83</v>
      </c>
      <c r="H21" s="59">
        <v>31.24</v>
      </c>
      <c r="I21" s="59">
        <v>0.75</v>
      </c>
      <c r="J21" s="59">
        <v>0.12</v>
      </c>
      <c r="K21" s="59">
        <v>274.02999999999997</v>
      </c>
      <c r="L21" s="59">
        <v>19.37</v>
      </c>
      <c r="M21" s="59">
        <v>75.459999999999994</v>
      </c>
      <c r="N21" s="59">
        <v>4.4000000000000004</v>
      </c>
      <c r="O21" s="59">
        <v>0</v>
      </c>
      <c r="P21" s="59">
        <v>1.3</v>
      </c>
      <c r="Q21" s="59">
        <v>54.26</v>
      </c>
      <c r="R21" s="197"/>
      <c r="S21" s="197"/>
      <c r="T21" s="197"/>
      <c r="U21" s="197"/>
    </row>
    <row r="22" spans="1:21" s="12" customFormat="1" x14ac:dyDescent="0.25">
      <c r="A22" s="200" t="s">
        <v>2470</v>
      </c>
      <c r="B22" s="59">
        <v>50.9</v>
      </c>
      <c r="C22" s="59">
        <v>63.57</v>
      </c>
      <c r="D22" s="59">
        <v>77.650000000000006</v>
      </c>
      <c r="E22" s="59">
        <v>2.4500000000000002</v>
      </c>
      <c r="F22" s="59">
        <v>1.46</v>
      </c>
      <c r="G22" s="59">
        <v>90.83</v>
      </c>
      <c r="H22" s="59">
        <v>31.24</v>
      </c>
      <c r="I22" s="59">
        <v>0.75</v>
      </c>
      <c r="J22" s="59">
        <v>0.17</v>
      </c>
      <c r="K22" s="59">
        <v>236.99</v>
      </c>
      <c r="L22" s="59">
        <v>19.61</v>
      </c>
      <c r="M22" s="59">
        <v>74.41</v>
      </c>
      <c r="N22" s="59">
        <v>4.4000000000000004</v>
      </c>
      <c r="O22" s="59">
        <v>0</v>
      </c>
      <c r="P22" s="59">
        <v>1.25</v>
      </c>
      <c r="Q22" s="59">
        <v>53.23</v>
      </c>
      <c r="R22" s="197"/>
      <c r="S22" s="197"/>
      <c r="T22" s="197"/>
      <c r="U22" s="197"/>
    </row>
    <row r="23" spans="1:21" s="12" customFormat="1" x14ac:dyDescent="0.25">
      <c r="A23" s="200" t="s">
        <v>2471</v>
      </c>
      <c r="B23" s="59">
        <v>50.66</v>
      </c>
      <c r="C23" s="59">
        <v>57.69</v>
      </c>
      <c r="D23" s="59">
        <v>74.2</v>
      </c>
      <c r="E23" s="59">
        <v>2.71</v>
      </c>
      <c r="F23" s="59">
        <v>1.75</v>
      </c>
      <c r="G23" s="59">
        <v>90.83</v>
      </c>
      <c r="H23" s="59">
        <v>31.24</v>
      </c>
      <c r="I23" s="59">
        <v>0.75</v>
      </c>
      <c r="J23" s="59">
        <v>0.14000000000000001</v>
      </c>
      <c r="K23" s="59">
        <v>251.6</v>
      </c>
      <c r="L23" s="59">
        <v>20</v>
      </c>
      <c r="M23" s="59">
        <v>70.62</v>
      </c>
      <c r="N23" s="59">
        <v>4.5</v>
      </c>
      <c r="O23" s="59">
        <v>0</v>
      </c>
      <c r="P23" s="59">
        <v>1.24</v>
      </c>
      <c r="Q23" s="59">
        <v>54.93</v>
      </c>
      <c r="R23" s="197"/>
      <c r="S23" s="197"/>
      <c r="T23" s="197"/>
      <c r="U23" s="197"/>
    </row>
    <row r="24" spans="1:21" s="12" customFormat="1" x14ac:dyDescent="0.25">
      <c r="A24" s="200" t="s">
        <v>2472</v>
      </c>
      <c r="B24" s="59">
        <v>50.47</v>
      </c>
      <c r="C24" s="59">
        <v>62.6</v>
      </c>
      <c r="D24" s="59">
        <v>76.760000000000005</v>
      </c>
      <c r="E24" s="59">
        <v>1.27</v>
      </c>
      <c r="F24" s="59">
        <v>1.68</v>
      </c>
      <c r="G24" s="59">
        <v>101.45</v>
      </c>
      <c r="H24" s="59">
        <v>35.57</v>
      </c>
      <c r="I24" s="59">
        <v>0.75</v>
      </c>
      <c r="J24" s="59">
        <v>7.0000000000000007E-2</v>
      </c>
      <c r="K24" s="59">
        <v>347.15</v>
      </c>
      <c r="L24" s="59">
        <v>19.59</v>
      </c>
      <c r="M24" s="59">
        <v>72.23</v>
      </c>
      <c r="N24" s="59">
        <v>5</v>
      </c>
      <c r="O24" s="59">
        <v>0</v>
      </c>
      <c r="P24" s="59">
        <v>1.24</v>
      </c>
      <c r="Q24" s="59">
        <v>52.8</v>
      </c>
      <c r="R24" s="197"/>
      <c r="S24" s="197"/>
      <c r="T24" s="197"/>
      <c r="U24" s="197"/>
    </row>
    <row r="25" spans="1:21" s="12" customFormat="1" x14ac:dyDescent="0.25">
      <c r="A25" s="200" t="s">
        <v>2473</v>
      </c>
      <c r="B25" s="59">
        <v>50.88</v>
      </c>
      <c r="C25" s="59">
        <v>60.34</v>
      </c>
      <c r="D25" s="59">
        <v>75.84</v>
      </c>
      <c r="E25" s="59">
        <v>2.02</v>
      </c>
      <c r="F25" s="59">
        <v>1.4</v>
      </c>
      <c r="G25" s="59">
        <v>101.81</v>
      </c>
      <c r="H25" s="59">
        <v>35.78</v>
      </c>
      <c r="I25" s="59">
        <v>0.81</v>
      </c>
      <c r="J25" s="59">
        <v>0.08</v>
      </c>
      <c r="K25" s="59">
        <v>312.31</v>
      </c>
      <c r="L25" s="59">
        <v>18.98</v>
      </c>
      <c r="M25" s="59">
        <v>75.81</v>
      </c>
      <c r="N25" s="59">
        <v>5</v>
      </c>
      <c r="O25" s="59">
        <v>0</v>
      </c>
      <c r="P25" s="59">
        <v>1.21</v>
      </c>
      <c r="Q25" s="59">
        <v>56.43</v>
      </c>
      <c r="R25" s="197"/>
      <c r="S25" s="197"/>
      <c r="T25" s="197"/>
      <c r="U25" s="197"/>
    </row>
    <row r="26" spans="1:21" s="12" customFormat="1" x14ac:dyDescent="0.25">
      <c r="A26" s="200" t="s">
        <v>2474</v>
      </c>
      <c r="B26" s="59">
        <v>52.71</v>
      </c>
      <c r="C26" s="59">
        <v>57.7</v>
      </c>
      <c r="D26" s="59">
        <v>75.849999999999994</v>
      </c>
      <c r="E26" s="59">
        <v>2.0499999999999998</v>
      </c>
      <c r="F26" s="59">
        <v>1.35</v>
      </c>
      <c r="G26" s="59">
        <v>101.81</v>
      </c>
      <c r="H26" s="59">
        <v>35.78</v>
      </c>
      <c r="I26" s="59">
        <v>0.81</v>
      </c>
      <c r="J26" s="59">
        <v>0.08</v>
      </c>
      <c r="K26" s="59">
        <v>269.72000000000003</v>
      </c>
      <c r="L26" s="59">
        <v>18.79</v>
      </c>
      <c r="M26" s="59">
        <v>76.63</v>
      </c>
      <c r="N26" s="59">
        <v>4.9000000000000004</v>
      </c>
      <c r="O26" s="59">
        <v>0</v>
      </c>
      <c r="P26" s="59">
        <v>1.22</v>
      </c>
      <c r="Q26" s="59">
        <v>54.62</v>
      </c>
      <c r="R26" s="197"/>
      <c r="S26" s="197"/>
      <c r="T26" s="197"/>
      <c r="U26" s="197"/>
    </row>
    <row r="27" spans="1:21" s="12" customFormat="1" x14ac:dyDescent="0.25">
      <c r="A27" s="200" t="s">
        <v>2475</v>
      </c>
      <c r="B27" s="59">
        <v>55.1</v>
      </c>
      <c r="C27" s="59">
        <v>63.1</v>
      </c>
      <c r="D27" s="59">
        <v>80.75</v>
      </c>
      <c r="E27" s="59">
        <v>2.44</v>
      </c>
      <c r="F27" s="59">
        <v>1.24</v>
      </c>
      <c r="G27" s="59">
        <v>101.81</v>
      </c>
      <c r="H27" s="59">
        <v>35.78</v>
      </c>
      <c r="I27" s="59">
        <v>0.8</v>
      </c>
      <c r="J27" s="59">
        <v>0.13</v>
      </c>
      <c r="K27" s="59">
        <v>262.12</v>
      </c>
      <c r="L27" s="59">
        <v>18.899999999999999</v>
      </c>
      <c r="M27" s="59">
        <v>76.08</v>
      </c>
      <c r="N27" s="59">
        <v>4.7</v>
      </c>
      <c r="O27" s="59">
        <v>0</v>
      </c>
      <c r="P27" s="59">
        <v>1.22</v>
      </c>
      <c r="Q27" s="59">
        <v>56.38</v>
      </c>
      <c r="R27" s="197"/>
      <c r="S27" s="197"/>
      <c r="T27" s="197"/>
      <c r="U27" s="197"/>
    </row>
    <row r="28" spans="1:21" s="12" customFormat="1" x14ac:dyDescent="0.25">
      <c r="A28" s="200" t="s">
        <v>2476</v>
      </c>
      <c r="B28" s="59">
        <v>56.18</v>
      </c>
      <c r="C28" s="59">
        <v>59.6</v>
      </c>
      <c r="D28" s="59">
        <v>79.680000000000007</v>
      </c>
      <c r="E28" s="59">
        <v>2.54</v>
      </c>
      <c r="F28" s="59">
        <v>1.22</v>
      </c>
      <c r="G28" s="59">
        <v>71.650000000000006</v>
      </c>
      <c r="H28" s="59">
        <v>34.130000000000003</v>
      </c>
      <c r="I28" s="59">
        <v>0.81</v>
      </c>
      <c r="J28" s="59">
        <v>0.08</v>
      </c>
      <c r="K28" s="59">
        <v>293.12</v>
      </c>
      <c r="L28" s="59">
        <v>19.12</v>
      </c>
      <c r="M28" s="59">
        <v>76.3</v>
      </c>
      <c r="N28" s="59">
        <v>4.5</v>
      </c>
      <c r="O28" s="59">
        <v>0</v>
      </c>
      <c r="P28" s="59">
        <v>1.2</v>
      </c>
      <c r="Q28" s="59">
        <v>60.57</v>
      </c>
      <c r="R28" s="197"/>
      <c r="S28" s="197"/>
      <c r="T28" s="197"/>
      <c r="U28" s="197"/>
    </row>
    <row r="29" spans="1:21" s="12" customFormat="1" x14ac:dyDescent="0.25">
      <c r="A29" s="200" t="s">
        <v>2477</v>
      </c>
      <c r="B29" s="59">
        <v>58.04</v>
      </c>
      <c r="C29" s="59">
        <v>57.34</v>
      </c>
      <c r="D29" s="59">
        <v>79.92</v>
      </c>
      <c r="E29" s="59">
        <v>2.38</v>
      </c>
      <c r="F29" s="59">
        <v>1.24</v>
      </c>
      <c r="G29" s="59">
        <v>70.61</v>
      </c>
      <c r="H29" s="59">
        <v>34.07</v>
      </c>
      <c r="I29" s="59">
        <v>0.77</v>
      </c>
      <c r="J29" s="59">
        <v>0.18</v>
      </c>
      <c r="K29" s="59">
        <v>269.42</v>
      </c>
      <c r="L29" s="59">
        <v>18.84</v>
      </c>
      <c r="M29" s="59">
        <v>77.760000000000005</v>
      </c>
      <c r="N29" s="59">
        <v>4.5999999999999996</v>
      </c>
      <c r="O29" s="59">
        <v>0</v>
      </c>
      <c r="P29" s="59">
        <v>1.18</v>
      </c>
      <c r="Q29" s="59">
        <v>60.65</v>
      </c>
      <c r="R29" s="197"/>
      <c r="S29" s="197"/>
      <c r="T29" s="197"/>
      <c r="U29" s="197"/>
    </row>
    <row r="30" spans="1:21" s="12" customFormat="1" x14ac:dyDescent="0.25">
      <c r="A30" s="200" t="s">
        <v>2478</v>
      </c>
      <c r="B30" s="59">
        <v>60.18</v>
      </c>
      <c r="C30" s="59">
        <v>56.64</v>
      </c>
      <c r="D30" s="59">
        <v>81.260000000000005</v>
      </c>
      <c r="E30" s="59">
        <v>2.38</v>
      </c>
      <c r="F30" s="59">
        <v>1.38</v>
      </c>
      <c r="G30" s="59">
        <v>70.61</v>
      </c>
      <c r="H30" s="59">
        <v>34.07</v>
      </c>
      <c r="I30" s="59">
        <v>0.82</v>
      </c>
      <c r="J30" s="59">
        <v>0.26</v>
      </c>
      <c r="K30" s="59">
        <v>7.18</v>
      </c>
      <c r="L30" s="59">
        <v>18.62</v>
      </c>
      <c r="M30" s="59">
        <v>79.62</v>
      </c>
      <c r="N30" s="59">
        <v>4.9000000000000004</v>
      </c>
      <c r="O30" s="59">
        <v>0</v>
      </c>
      <c r="P30" s="59">
        <v>1.17</v>
      </c>
      <c r="Q30" s="59">
        <v>59.94</v>
      </c>
      <c r="R30" s="197"/>
      <c r="S30" s="197"/>
      <c r="T30" s="197"/>
      <c r="U30" s="197"/>
    </row>
    <row r="31" spans="1:21" s="12" customFormat="1" x14ac:dyDescent="0.25">
      <c r="A31" s="200" t="s">
        <v>2479</v>
      </c>
      <c r="B31" s="59">
        <v>63.3</v>
      </c>
      <c r="C31" s="59">
        <v>55.58</v>
      </c>
      <c r="D31" s="59">
        <v>83.18</v>
      </c>
      <c r="E31" s="59">
        <v>2.23</v>
      </c>
      <c r="F31" s="59">
        <v>1.37</v>
      </c>
      <c r="G31" s="59">
        <v>70.61</v>
      </c>
      <c r="H31" s="59">
        <v>34.07</v>
      </c>
      <c r="I31" s="59">
        <v>0.81</v>
      </c>
      <c r="J31" s="59">
        <v>0.18</v>
      </c>
      <c r="K31" s="59">
        <v>230.38</v>
      </c>
      <c r="L31" s="59">
        <v>18.45</v>
      </c>
      <c r="M31" s="59">
        <v>79.67</v>
      </c>
      <c r="N31" s="59">
        <v>4.5999999999999996</v>
      </c>
      <c r="O31" s="59">
        <v>0</v>
      </c>
      <c r="P31" s="59">
        <v>1.1599999999999999</v>
      </c>
      <c r="Q31" s="59">
        <v>58.7</v>
      </c>
      <c r="R31" s="197"/>
      <c r="S31" s="197"/>
      <c r="T31" s="197"/>
      <c r="U31" s="197"/>
    </row>
    <row r="32" spans="1:21" s="12" customFormat="1" x14ac:dyDescent="0.25">
      <c r="A32" s="200" t="s">
        <v>2480</v>
      </c>
      <c r="B32" s="59">
        <v>65.709999999999994</v>
      </c>
      <c r="C32" s="59">
        <v>57.89</v>
      </c>
      <c r="D32" s="59">
        <v>86.38</v>
      </c>
      <c r="E32" s="59">
        <v>2.37</v>
      </c>
      <c r="F32" s="59">
        <v>1.26</v>
      </c>
      <c r="G32" s="59">
        <v>93.37</v>
      </c>
      <c r="H32" s="59">
        <v>29.63</v>
      </c>
      <c r="I32" s="59">
        <v>0.79</v>
      </c>
      <c r="J32" s="59">
        <v>0.45</v>
      </c>
      <c r="K32" s="59">
        <v>189.33</v>
      </c>
      <c r="L32" s="59">
        <v>19.29</v>
      </c>
      <c r="M32" s="59">
        <v>76.23</v>
      </c>
      <c r="N32" s="59">
        <v>5.4</v>
      </c>
      <c r="O32" s="59">
        <v>0</v>
      </c>
      <c r="P32" s="59">
        <v>1.1599999999999999</v>
      </c>
      <c r="Q32" s="59">
        <v>59.28</v>
      </c>
      <c r="R32" s="197"/>
      <c r="S32" s="197"/>
      <c r="T32" s="197"/>
      <c r="U32" s="197"/>
    </row>
    <row r="33" spans="1:21" s="12" customFormat="1" x14ac:dyDescent="0.25">
      <c r="A33" s="200" t="s">
        <v>2481</v>
      </c>
      <c r="B33" s="59">
        <v>67.08</v>
      </c>
      <c r="C33" s="59">
        <v>58.79</v>
      </c>
      <c r="D33" s="59">
        <v>87.98</v>
      </c>
      <c r="E33" s="59">
        <v>2.29</v>
      </c>
      <c r="F33" s="59">
        <v>1.43</v>
      </c>
      <c r="G33" s="59">
        <v>94.43</v>
      </c>
      <c r="H33" s="59">
        <v>29.47</v>
      </c>
      <c r="I33" s="59">
        <v>0.78</v>
      </c>
      <c r="J33" s="59">
        <v>0.56999999999999995</v>
      </c>
      <c r="K33" s="59">
        <v>177.84</v>
      </c>
      <c r="L33" s="59">
        <v>19.78</v>
      </c>
      <c r="M33" s="59">
        <v>70.489999999999995</v>
      </c>
      <c r="N33" s="59">
        <v>14.6</v>
      </c>
      <c r="O33" s="59">
        <v>0</v>
      </c>
      <c r="P33" s="59">
        <v>1.1499999999999999</v>
      </c>
      <c r="Q33" s="59">
        <v>59.24</v>
      </c>
      <c r="R33" s="197"/>
      <c r="S33" s="197"/>
      <c r="T33" s="197"/>
      <c r="U33" s="197"/>
    </row>
    <row r="34" spans="1:21" s="12" customFormat="1" x14ac:dyDescent="0.25">
      <c r="A34" s="200" t="s">
        <v>2482</v>
      </c>
      <c r="B34" s="59">
        <v>57.79</v>
      </c>
      <c r="C34" s="59">
        <v>51.48</v>
      </c>
      <c r="D34" s="59">
        <v>76.489999999999995</v>
      </c>
      <c r="E34" s="59">
        <v>1.98</v>
      </c>
      <c r="F34" s="59">
        <v>1.33</v>
      </c>
      <c r="G34" s="59">
        <v>94.43</v>
      </c>
      <c r="H34" s="59">
        <v>29.47</v>
      </c>
      <c r="I34" s="59">
        <v>0.74</v>
      </c>
      <c r="J34" s="59">
        <v>0.1</v>
      </c>
      <c r="K34" s="59">
        <v>179.22</v>
      </c>
      <c r="L34" s="59">
        <v>19.68</v>
      </c>
      <c r="M34" s="59">
        <v>71.430000000000007</v>
      </c>
      <c r="N34" s="59">
        <v>33.5</v>
      </c>
      <c r="O34" s="59">
        <v>0</v>
      </c>
      <c r="P34" s="59">
        <v>1.0900000000000001</v>
      </c>
      <c r="Q34" s="59">
        <v>62.13</v>
      </c>
      <c r="R34" s="197"/>
      <c r="S34" s="197"/>
      <c r="T34" s="197"/>
      <c r="U34" s="197"/>
    </row>
    <row r="35" spans="1:21" s="12" customFormat="1" x14ac:dyDescent="0.25">
      <c r="A35" s="200" t="s">
        <v>2483</v>
      </c>
      <c r="B35" s="59">
        <v>64.180000000000007</v>
      </c>
      <c r="C35" s="59">
        <v>64.41</v>
      </c>
      <c r="D35" s="59">
        <v>88.76</v>
      </c>
      <c r="E35" s="59">
        <v>2.0299999999999998</v>
      </c>
      <c r="F35" s="59">
        <v>1.51</v>
      </c>
      <c r="G35" s="59">
        <v>94.43</v>
      </c>
      <c r="H35" s="59">
        <v>29.47</v>
      </c>
      <c r="I35" s="59">
        <v>0.73</v>
      </c>
      <c r="J35" s="59">
        <v>0.14000000000000001</v>
      </c>
      <c r="K35" s="59">
        <v>212.71</v>
      </c>
      <c r="L35" s="59">
        <v>20.079999999999998</v>
      </c>
      <c r="M35" s="59">
        <v>70.59</v>
      </c>
      <c r="N35" s="59">
        <v>65</v>
      </c>
      <c r="O35" s="59">
        <v>0</v>
      </c>
      <c r="P35" s="59">
        <v>1.1100000000000001</v>
      </c>
      <c r="Q35" s="59">
        <v>52.5</v>
      </c>
      <c r="R35" s="197"/>
      <c r="S35" s="197"/>
      <c r="T35" s="197"/>
      <c r="U35" s="197"/>
    </row>
    <row r="36" spans="1:21" s="12" customFormat="1" x14ac:dyDescent="0.25">
      <c r="A36" s="200" t="s">
        <v>2484</v>
      </c>
      <c r="B36" s="59">
        <v>65.61</v>
      </c>
      <c r="C36" s="59">
        <v>63.46</v>
      </c>
      <c r="D36" s="59">
        <v>89.38</v>
      </c>
      <c r="E36" s="59">
        <v>2.29</v>
      </c>
      <c r="F36" s="59">
        <v>1.48</v>
      </c>
      <c r="G36" s="59">
        <v>92.25</v>
      </c>
      <c r="H36" s="59">
        <v>30.2</v>
      </c>
      <c r="I36" s="59">
        <v>0.69</v>
      </c>
      <c r="J36" s="59">
        <v>0.71</v>
      </c>
      <c r="K36" s="59">
        <v>170.21</v>
      </c>
      <c r="L36" s="59">
        <v>20.83</v>
      </c>
      <c r="M36" s="59">
        <v>67.55</v>
      </c>
      <c r="N36" s="59">
        <v>104.8</v>
      </c>
      <c r="O36" s="59">
        <v>0</v>
      </c>
      <c r="P36" s="59">
        <v>1.1200000000000001</v>
      </c>
      <c r="Q36" s="59">
        <v>54.33</v>
      </c>
      <c r="R36" s="197"/>
      <c r="S36" s="197"/>
      <c r="T36" s="197"/>
      <c r="U36" s="197"/>
    </row>
    <row r="37" spans="1:21" s="12" customFormat="1" x14ac:dyDescent="0.25">
      <c r="A37" s="200" t="s">
        <v>2485</v>
      </c>
      <c r="B37" s="59">
        <v>64.53</v>
      </c>
      <c r="C37" s="59">
        <v>59.93</v>
      </c>
      <c r="D37" s="59">
        <v>86.56</v>
      </c>
      <c r="E37" s="59">
        <v>2.34</v>
      </c>
      <c r="F37" s="59">
        <v>1.81</v>
      </c>
      <c r="G37" s="59">
        <v>92.17</v>
      </c>
      <c r="H37" s="59">
        <v>30.24</v>
      </c>
      <c r="I37" s="59">
        <v>0.71</v>
      </c>
      <c r="J37" s="59">
        <v>0.46</v>
      </c>
      <c r="K37" s="59">
        <v>165.67</v>
      </c>
      <c r="L37" s="59">
        <v>21.69</v>
      </c>
      <c r="M37" s="59">
        <v>64.58</v>
      </c>
      <c r="N37" s="59">
        <v>153.19999999999999</v>
      </c>
      <c r="O37" s="59">
        <v>0</v>
      </c>
      <c r="P37" s="59">
        <v>1.07</v>
      </c>
      <c r="Q37" s="59">
        <v>55.57</v>
      </c>
      <c r="R37" s="197"/>
      <c r="S37" s="197"/>
      <c r="T37" s="197"/>
      <c r="U37" s="197"/>
    </row>
    <row r="38" spans="1:21" s="12" customFormat="1" x14ac:dyDescent="0.25">
      <c r="A38" s="200" t="s">
        <v>2486</v>
      </c>
      <c r="B38" s="59">
        <v>60.12</v>
      </c>
      <c r="C38" s="59">
        <v>59.93</v>
      </c>
      <c r="D38" s="59">
        <v>83.03</v>
      </c>
      <c r="E38" s="59">
        <v>2.27</v>
      </c>
      <c r="F38" s="59">
        <v>2.2599999999999998</v>
      </c>
      <c r="G38" s="59">
        <v>92.17</v>
      </c>
      <c r="H38" s="59">
        <v>30.24</v>
      </c>
      <c r="I38" s="59">
        <v>0.71</v>
      </c>
      <c r="J38" s="59">
        <v>0.34</v>
      </c>
      <c r="K38" s="59">
        <v>178.14</v>
      </c>
      <c r="L38" s="59">
        <v>22.75</v>
      </c>
      <c r="M38" s="59">
        <v>60.9</v>
      </c>
      <c r="N38" s="59">
        <v>209</v>
      </c>
      <c r="O38" s="59">
        <v>0</v>
      </c>
      <c r="P38" s="59">
        <v>1.08</v>
      </c>
      <c r="Q38" s="59">
        <v>55.37</v>
      </c>
      <c r="R38" s="197"/>
      <c r="S38" s="197"/>
      <c r="T38" s="197"/>
      <c r="U38" s="197"/>
    </row>
    <row r="39" spans="1:21" s="12" customFormat="1" x14ac:dyDescent="0.25">
      <c r="A39" s="200" t="s">
        <v>2487</v>
      </c>
      <c r="B39" s="59">
        <v>60.93</v>
      </c>
      <c r="C39" s="59">
        <v>60.83</v>
      </c>
      <c r="D39" s="59">
        <v>84.18</v>
      </c>
      <c r="E39" s="59">
        <v>2.38</v>
      </c>
      <c r="F39" s="59">
        <v>2.35</v>
      </c>
      <c r="G39" s="59">
        <v>92.17</v>
      </c>
      <c r="H39" s="59">
        <v>30.24</v>
      </c>
      <c r="I39" s="59">
        <v>0.7</v>
      </c>
      <c r="J39" s="59">
        <v>0.53</v>
      </c>
      <c r="K39" s="59">
        <v>178.03</v>
      </c>
      <c r="L39" s="59">
        <v>23.42</v>
      </c>
      <c r="M39" s="59">
        <v>59.48</v>
      </c>
      <c r="N39" s="59">
        <v>267</v>
      </c>
      <c r="O39" s="59">
        <v>0</v>
      </c>
      <c r="P39" s="59">
        <v>1.08</v>
      </c>
      <c r="Q39" s="59">
        <v>55.21</v>
      </c>
      <c r="R39" s="197"/>
      <c r="S39" s="197"/>
      <c r="T39" s="197"/>
      <c r="U39" s="197"/>
    </row>
    <row r="40" spans="1:21" s="12" customFormat="1" x14ac:dyDescent="0.25">
      <c r="A40" s="200" t="s">
        <v>2488</v>
      </c>
      <c r="B40" s="59">
        <v>59.59</v>
      </c>
      <c r="C40" s="59">
        <v>59.59</v>
      </c>
      <c r="D40" s="59">
        <v>82.42</v>
      </c>
      <c r="E40" s="59">
        <v>1.52</v>
      </c>
      <c r="F40" s="59">
        <v>2.39</v>
      </c>
      <c r="G40" s="59">
        <v>61.64</v>
      </c>
      <c r="H40" s="59">
        <v>37.729999999999997</v>
      </c>
      <c r="I40" s="59">
        <v>0.69</v>
      </c>
      <c r="J40" s="59">
        <v>0.9</v>
      </c>
      <c r="K40" s="59">
        <v>168.15</v>
      </c>
      <c r="L40" s="59">
        <v>23.41</v>
      </c>
      <c r="M40" s="59">
        <v>59.63</v>
      </c>
      <c r="N40" s="59">
        <v>324</v>
      </c>
      <c r="O40" s="59">
        <v>0</v>
      </c>
      <c r="P40" s="59">
        <v>1.05</v>
      </c>
      <c r="Q40" s="59">
        <v>55.46</v>
      </c>
      <c r="R40" s="197"/>
      <c r="S40" s="197"/>
      <c r="T40" s="197"/>
      <c r="U40" s="197"/>
    </row>
    <row r="41" spans="1:21" s="12" customFormat="1" x14ac:dyDescent="0.25">
      <c r="A41" s="200" t="s">
        <v>2489</v>
      </c>
      <c r="B41" s="59">
        <v>57.93</v>
      </c>
      <c r="C41" s="59">
        <v>47.2</v>
      </c>
      <c r="D41" s="59">
        <v>74.239999999999995</v>
      </c>
      <c r="E41" s="59">
        <v>2.31</v>
      </c>
      <c r="F41" s="59">
        <v>2.06</v>
      </c>
      <c r="G41" s="59">
        <v>60.58</v>
      </c>
      <c r="H41" s="59">
        <v>38.08</v>
      </c>
      <c r="I41" s="59">
        <v>0.71</v>
      </c>
      <c r="J41" s="59">
        <v>0.96</v>
      </c>
      <c r="K41" s="59">
        <v>174.16</v>
      </c>
      <c r="L41" s="59">
        <v>24.05</v>
      </c>
      <c r="M41" s="59">
        <v>56.81</v>
      </c>
      <c r="N41" s="59">
        <v>383.1</v>
      </c>
      <c r="O41" s="59">
        <v>0</v>
      </c>
      <c r="P41" s="59">
        <v>1.04</v>
      </c>
      <c r="Q41" s="59">
        <v>59.24</v>
      </c>
      <c r="R41" s="197"/>
      <c r="S41" s="197"/>
      <c r="T41" s="197"/>
      <c r="U41" s="197"/>
    </row>
    <row r="42" spans="1:21" s="12" customFormat="1" x14ac:dyDescent="0.25">
      <c r="A42" s="200" t="s">
        <v>2490</v>
      </c>
      <c r="B42" s="59">
        <v>55.65</v>
      </c>
      <c r="C42" s="59">
        <v>51.06</v>
      </c>
      <c r="D42" s="59">
        <v>74.55</v>
      </c>
      <c r="E42" s="59">
        <v>2.44</v>
      </c>
      <c r="F42" s="59">
        <v>1.6</v>
      </c>
      <c r="G42" s="59">
        <v>60.58</v>
      </c>
      <c r="H42" s="59">
        <v>38.08</v>
      </c>
      <c r="I42" s="59">
        <v>0.7</v>
      </c>
      <c r="J42" s="59">
        <v>0.56999999999999995</v>
      </c>
      <c r="K42" s="59">
        <v>208.55</v>
      </c>
      <c r="L42" s="59">
        <v>24.37</v>
      </c>
      <c r="M42" s="59">
        <v>56.05</v>
      </c>
      <c r="N42" s="59">
        <v>426.5</v>
      </c>
      <c r="O42" s="59">
        <v>0</v>
      </c>
      <c r="P42" s="59">
        <v>1.01</v>
      </c>
      <c r="Q42" s="59">
        <v>60.5</v>
      </c>
      <c r="R42" s="197"/>
      <c r="S42" s="197"/>
      <c r="T42" s="197"/>
      <c r="U42" s="197"/>
    </row>
    <row r="43" spans="1:21" s="12" customFormat="1" x14ac:dyDescent="0.25">
      <c r="A43" s="200" t="s">
        <v>2491</v>
      </c>
      <c r="B43" s="59">
        <v>48.65</v>
      </c>
      <c r="C43" s="59">
        <v>55.23</v>
      </c>
      <c r="D43" s="59">
        <v>71.239999999999995</v>
      </c>
      <c r="E43" s="59">
        <v>2.44</v>
      </c>
      <c r="F43" s="59">
        <v>1.56</v>
      </c>
      <c r="G43" s="59">
        <v>60.58</v>
      </c>
      <c r="H43" s="59">
        <v>38.08</v>
      </c>
      <c r="I43" s="59">
        <v>0.7</v>
      </c>
      <c r="J43" s="59">
        <v>0.28000000000000003</v>
      </c>
      <c r="K43" s="59">
        <v>206.23</v>
      </c>
      <c r="L43" s="59">
        <v>24.95</v>
      </c>
      <c r="M43" s="59">
        <v>54.97</v>
      </c>
      <c r="N43" s="59">
        <v>485.7</v>
      </c>
      <c r="O43" s="59">
        <v>0</v>
      </c>
      <c r="P43" s="59">
        <v>0.95</v>
      </c>
      <c r="Q43" s="59">
        <v>61.2</v>
      </c>
      <c r="R43" s="197"/>
      <c r="S43" s="197"/>
      <c r="T43" s="197"/>
      <c r="U43" s="197"/>
    </row>
    <row r="44" spans="1:21" s="12" customFormat="1" x14ac:dyDescent="0.25">
      <c r="A44" s="200" t="s">
        <v>2492</v>
      </c>
      <c r="B44" s="59">
        <v>42.44</v>
      </c>
      <c r="C44" s="59">
        <v>60.31</v>
      </c>
      <c r="D44" s="59">
        <v>69.06</v>
      </c>
      <c r="E44" s="59">
        <v>2.4</v>
      </c>
      <c r="F44" s="59">
        <v>1.42</v>
      </c>
      <c r="G44" s="59">
        <v>46.92</v>
      </c>
      <c r="H44" s="59">
        <v>28.81</v>
      </c>
      <c r="I44" s="59">
        <v>0.69</v>
      </c>
      <c r="J44" s="59">
        <v>0.2</v>
      </c>
      <c r="K44" s="59">
        <v>213.07</v>
      </c>
      <c r="L44" s="59">
        <v>26.23</v>
      </c>
      <c r="M44" s="59">
        <v>51.1</v>
      </c>
      <c r="N44" s="59">
        <v>535</v>
      </c>
      <c r="O44" s="59">
        <v>0</v>
      </c>
      <c r="P44" s="59">
        <v>0.92</v>
      </c>
      <c r="Q44" s="59">
        <v>58.3</v>
      </c>
      <c r="R44" s="197"/>
      <c r="S44" s="197"/>
      <c r="T44" s="197"/>
      <c r="U44" s="197"/>
    </row>
    <row r="45" spans="1:21" s="12" customFormat="1" x14ac:dyDescent="0.25">
      <c r="A45" s="200" t="s">
        <v>2493</v>
      </c>
      <c r="B45" s="59">
        <v>36.31</v>
      </c>
      <c r="C45" s="59">
        <v>59.39</v>
      </c>
      <c r="D45" s="59">
        <v>63.63</v>
      </c>
      <c r="E45" s="59">
        <v>1.94</v>
      </c>
      <c r="F45" s="59">
        <v>1.45</v>
      </c>
      <c r="G45" s="59">
        <v>46.45</v>
      </c>
      <c r="H45" s="59">
        <v>28.49</v>
      </c>
      <c r="I45" s="59">
        <v>0.68</v>
      </c>
      <c r="J45" s="59">
        <v>0.14000000000000001</v>
      </c>
      <c r="K45" s="59">
        <v>252.04</v>
      </c>
      <c r="L45" s="59">
        <v>27.38</v>
      </c>
      <c r="M45" s="59">
        <v>47.94</v>
      </c>
      <c r="N45" s="59">
        <v>585.20000000000005</v>
      </c>
      <c r="O45" s="59">
        <v>0</v>
      </c>
      <c r="P45" s="59">
        <v>0.88</v>
      </c>
      <c r="Q45" s="59">
        <v>58.35</v>
      </c>
      <c r="R45" s="197"/>
      <c r="S45" s="197"/>
      <c r="T45" s="197"/>
      <c r="U45" s="197"/>
    </row>
    <row r="46" spans="1:21" s="12" customFormat="1" x14ac:dyDescent="0.25">
      <c r="A46" s="200" t="s">
        <v>2494</v>
      </c>
      <c r="B46" s="59">
        <v>30.46</v>
      </c>
      <c r="C46" s="59">
        <v>65.349999999999994</v>
      </c>
      <c r="D46" s="59">
        <v>62.23</v>
      </c>
      <c r="E46" s="59">
        <v>2</v>
      </c>
      <c r="F46" s="59">
        <v>1.4</v>
      </c>
      <c r="G46" s="59">
        <v>46.45</v>
      </c>
      <c r="H46" s="59">
        <v>28.49</v>
      </c>
      <c r="I46" s="59">
        <v>0.69</v>
      </c>
      <c r="J46" s="59">
        <v>0.15</v>
      </c>
      <c r="K46" s="59">
        <v>294.72000000000003</v>
      </c>
      <c r="L46" s="59">
        <v>28.08</v>
      </c>
      <c r="M46" s="59">
        <v>46.35</v>
      </c>
      <c r="N46" s="59">
        <v>628.1</v>
      </c>
      <c r="O46" s="59">
        <v>0</v>
      </c>
      <c r="P46" s="59">
        <v>0.85</v>
      </c>
      <c r="Q46" s="59">
        <v>57.11</v>
      </c>
      <c r="R46" s="197"/>
      <c r="S46" s="197"/>
      <c r="T46" s="197"/>
      <c r="U46" s="197"/>
    </row>
    <row r="47" spans="1:21" s="12" customFormat="1" x14ac:dyDescent="0.25">
      <c r="A47" s="200" t="s">
        <v>2495</v>
      </c>
      <c r="B47" s="59">
        <v>25.58</v>
      </c>
      <c r="C47" s="59">
        <v>64.31</v>
      </c>
      <c r="D47" s="59">
        <v>57.75</v>
      </c>
      <c r="E47" s="59">
        <v>1.83</v>
      </c>
      <c r="F47" s="59">
        <v>1.46</v>
      </c>
      <c r="G47" s="59">
        <v>46.45</v>
      </c>
      <c r="H47" s="59">
        <v>28.49</v>
      </c>
      <c r="I47" s="59">
        <v>0.64</v>
      </c>
      <c r="J47" s="59">
        <v>0.19</v>
      </c>
      <c r="K47" s="59">
        <v>2.33</v>
      </c>
      <c r="L47" s="59">
        <v>29.38</v>
      </c>
      <c r="M47" s="59">
        <v>43.37</v>
      </c>
      <c r="N47" s="59">
        <v>669.9</v>
      </c>
      <c r="O47" s="59">
        <v>0</v>
      </c>
      <c r="P47" s="59">
        <v>0.83</v>
      </c>
      <c r="Q47" s="59">
        <v>56.74</v>
      </c>
      <c r="R47" s="197"/>
      <c r="S47" s="197"/>
      <c r="T47" s="197"/>
      <c r="U47" s="197"/>
    </row>
    <row r="48" spans="1:21" s="12" customFormat="1" x14ac:dyDescent="0.25">
      <c r="A48" s="200" t="s">
        <v>2496</v>
      </c>
      <c r="B48" s="59">
        <v>21.62</v>
      </c>
      <c r="C48" s="59">
        <v>67.41</v>
      </c>
      <c r="D48" s="59">
        <v>56.28</v>
      </c>
      <c r="E48" s="59">
        <v>2.12</v>
      </c>
      <c r="F48" s="59">
        <v>1.9</v>
      </c>
      <c r="G48" s="59">
        <v>42.66</v>
      </c>
      <c r="H48" s="59">
        <v>27.27</v>
      </c>
      <c r="I48" s="59">
        <v>0.62</v>
      </c>
      <c r="J48" s="59">
        <v>0.42</v>
      </c>
      <c r="K48" s="59">
        <v>353.94</v>
      </c>
      <c r="L48" s="59">
        <v>31.08</v>
      </c>
      <c r="M48" s="59">
        <v>38.93</v>
      </c>
      <c r="N48" s="59">
        <v>712.4</v>
      </c>
      <c r="O48" s="59">
        <v>0</v>
      </c>
      <c r="P48" s="59">
        <v>0.81</v>
      </c>
      <c r="Q48" s="59">
        <v>54.27</v>
      </c>
      <c r="R48" s="197"/>
      <c r="S48" s="197"/>
      <c r="T48" s="197"/>
      <c r="U48" s="197"/>
    </row>
    <row r="49" spans="1:21" s="12" customFormat="1" x14ac:dyDescent="0.25">
      <c r="A49" s="200" t="s">
        <v>2497</v>
      </c>
      <c r="B49" s="59">
        <v>19.329999999999998</v>
      </c>
      <c r="C49" s="59">
        <v>43.8</v>
      </c>
      <c r="D49" s="59">
        <v>41.42</v>
      </c>
      <c r="E49" s="59">
        <v>1.87</v>
      </c>
      <c r="F49" s="59">
        <v>3.2</v>
      </c>
      <c r="G49" s="59">
        <v>42.48</v>
      </c>
      <c r="H49" s="59">
        <v>27.22</v>
      </c>
      <c r="I49" s="59">
        <v>0.6</v>
      </c>
      <c r="J49" s="59">
        <v>0.11</v>
      </c>
      <c r="K49" s="59">
        <v>296.58999999999997</v>
      </c>
      <c r="L49" s="59">
        <v>31.5</v>
      </c>
      <c r="M49" s="59">
        <v>36.15</v>
      </c>
      <c r="N49" s="59">
        <v>754.3</v>
      </c>
      <c r="O49" s="59">
        <v>0</v>
      </c>
      <c r="P49" s="59">
        <v>0.79</v>
      </c>
      <c r="Q49" s="59">
        <v>57.23</v>
      </c>
      <c r="R49" s="197"/>
      <c r="S49" s="197"/>
      <c r="T49" s="197"/>
      <c r="U49" s="197"/>
    </row>
    <row r="50" spans="1:21" s="12" customFormat="1" x14ac:dyDescent="0.25">
      <c r="A50" s="200" t="s">
        <v>2498</v>
      </c>
      <c r="B50" s="59">
        <v>18.71</v>
      </c>
      <c r="C50" s="59">
        <v>53.19</v>
      </c>
      <c r="D50" s="59">
        <v>46.09</v>
      </c>
      <c r="E50" s="59">
        <v>2.23</v>
      </c>
      <c r="F50" s="59">
        <v>2.94</v>
      </c>
      <c r="G50" s="59">
        <v>42.48</v>
      </c>
      <c r="H50" s="59">
        <v>27.22</v>
      </c>
      <c r="I50" s="59">
        <v>0.6</v>
      </c>
      <c r="J50" s="59">
        <v>0.17</v>
      </c>
      <c r="K50" s="59">
        <v>351.38</v>
      </c>
      <c r="L50" s="59">
        <v>31.39</v>
      </c>
      <c r="M50" s="59">
        <v>35.409999999999997</v>
      </c>
      <c r="N50" s="59">
        <v>781.4</v>
      </c>
      <c r="O50" s="59">
        <v>0</v>
      </c>
      <c r="P50" s="59">
        <v>0.79</v>
      </c>
      <c r="Q50" s="59">
        <v>49.96</v>
      </c>
      <c r="R50" s="197"/>
      <c r="S50" s="197"/>
      <c r="T50" s="197"/>
      <c r="U50" s="197"/>
    </row>
    <row r="51" spans="1:21" s="12" customFormat="1" x14ac:dyDescent="0.25">
      <c r="A51" s="200" t="s">
        <v>2499</v>
      </c>
      <c r="B51" s="59">
        <v>16.21</v>
      </c>
      <c r="C51" s="59">
        <v>59.12</v>
      </c>
      <c r="D51" s="59">
        <v>47.37</v>
      </c>
      <c r="E51" s="59">
        <v>2.2200000000000002</v>
      </c>
      <c r="F51" s="59">
        <v>6</v>
      </c>
      <c r="G51" s="59">
        <v>42.48</v>
      </c>
      <c r="H51" s="59">
        <v>27.22</v>
      </c>
      <c r="I51" s="59">
        <v>0.6</v>
      </c>
      <c r="J51" s="59">
        <v>0.3</v>
      </c>
      <c r="K51" s="59">
        <v>206.79</v>
      </c>
      <c r="L51" s="59">
        <v>31.07</v>
      </c>
      <c r="M51" s="59">
        <v>35.36</v>
      </c>
      <c r="N51" s="59">
        <v>812.4</v>
      </c>
      <c r="O51" s="59">
        <v>0</v>
      </c>
      <c r="P51" s="59">
        <v>0.77</v>
      </c>
      <c r="Q51" s="59">
        <v>52.51</v>
      </c>
      <c r="R51" s="197"/>
      <c r="S51" s="197"/>
      <c r="T51" s="197"/>
      <c r="U51" s="197"/>
    </row>
    <row r="52" spans="1:21" s="12" customFormat="1" x14ac:dyDescent="0.25">
      <c r="A52" s="200" t="s">
        <v>2500</v>
      </c>
      <c r="B52" s="59">
        <v>14.46</v>
      </c>
      <c r="C52" s="59">
        <v>45.69</v>
      </c>
      <c r="D52" s="59">
        <v>38.549999999999997</v>
      </c>
      <c r="E52" s="59">
        <v>2.89</v>
      </c>
      <c r="F52" s="59">
        <v>10.57</v>
      </c>
      <c r="G52" s="59">
        <v>36.119999999999997</v>
      </c>
      <c r="H52" s="59">
        <v>23.58</v>
      </c>
      <c r="I52" s="59">
        <v>0.59</v>
      </c>
      <c r="J52" s="59">
        <v>0.14000000000000001</v>
      </c>
      <c r="K52" s="59">
        <v>207.36</v>
      </c>
      <c r="L52" s="59">
        <v>30.19</v>
      </c>
      <c r="M52" s="59">
        <v>36.83</v>
      </c>
      <c r="N52" s="59">
        <v>819.1</v>
      </c>
      <c r="O52" s="59">
        <v>0</v>
      </c>
      <c r="P52" s="59">
        <v>0.75</v>
      </c>
      <c r="Q52" s="59">
        <v>52.48</v>
      </c>
      <c r="R52" s="197"/>
      <c r="S52" s="197"/>
      <c r="T52" s="197"/>
      <c r="U52" s="197"/>
    </row>
    <row r="53" spans="1:21" s="12" customFormat="1" x14ac:dyDescent="0.25">
      <c r="A53" s="200" t="s">
        <v>2501</v>
      </c>
      <c r="B53" s="59">
        <v>12.82</v>
      </c>
      <c r="C53" s="59">
        <v>73.88</v>
      </c>
      <c r="D53" s="59">
        <v>52.79</v>
      </c>
      <c r="E53" s="59">
        <v>2.83</v>
      </c>
      <c r="F53" s="59">
        <v>7.57</v>
      </c>
      <c r="G53" s="59">
        <v>35.82</v>
      </c>
      <c r="H53" s="59">
        <v>23.41</v>
      </c>
      <c r="I53" s="59">
        <v>0.57999999999999996</v>
      </c>
      <c r="J53" s="59">
        <v>0.63</v>
      </c>
      <c r="K53" s="59">
        <v>180.07</v>
      </c>
      <c r="L53" s="59">
        <v>30.91</v>
      </c>
      <c r="M53" s="59">
        <v>35.619999999999997</v>
      </c>
      <c r="N53" s="59">
        <v>830.3</v>
      </c>
      <c r="O53" s="59">
        <v>0</v>
      </c>
      <c r="P53" s="59">
        <v>0.78</v>
      </c>
      <c r="Q53" s="59">
        <v>48.21</v>
      </c>
      <c r="R53" s="197"/>
      <c r="S53" s="197"/>
      <c r="T53" s="197"/>
      <c r="U53" s="197"/>
    </row>
    <row r="54" spans="1:21" s="12" customFormat="1" x14ac:dyDescent="0.25">
      <c r="A54" s="200" t="s">
        <v>2502</v>
      </c>
      <c r="B54" s="59">
        <v>10.73</v>
      </c>
      <c r="C54" s="59">
        <v>50.88</v>
      </c>
      <c r="D54" s="59">
        <v>38.42</v>
      </c>
      <c r="E54" s="59">
        <v>3.41</v>
      </c>
      <c r="F54" s="59">
        <v>7.8</v>
      </c>
      <c r="G54" s="59">
        <v>35.82</v>
      </c>
      <c r="H54" s="59">
        <v>23.41</v>
      </c>
      <c r="I54" s="59">
        <v>0.57999999999999996</v>
      </c>
      <c r="J54" s="59">
        <v>0.65</v>
      </c>
      <c r="K54" s="59">
        <v>151.71</v>
      </c>
      <c r="L54" s="59">
        <v>30.54</v>
      </c>
      <c r="M54" s="59">
        <v>35.729999999999997</v>
      </c>
      <c r="N54" s="59">
        <v>828.2</v>
      </c>
      <c r="O54" s="59">
        <v>0</v>
      </c>
      <c r="P54" s="59">
        <v>0.78</v>
      </c>
      <c r="Q54" s="59">
        <v>53.94</v>
      </c>
      <c r="R54" s="197"/>
      <c r="S54" s="197"/>
      <c r="T54" s="197"/>
      <c r="U54" s="197"/>
    </row>
    <row r="55" spans="1:21" s="12" customFormat="1" x14ac:dyDescent="0.25">
      <c r="A55" s="200" t="s">
        <v>2503</v>
      </c>
      <c r="B55" s="59">
        <v>9.76</v>
      </c>
      <c r="C55" s="59">
        <v>62.45</v>
      </c>
      <c r="D55" s="59">
        <v>44.04</v>
      </c>
      <c r="E55" s="59">
        <v>3.1</v>
      </c>
      <c r="F55" s="59">
        <v>4.5599999999999996</v>
      </c>
      <c r="G55" s="59">
        <v>35.82</v>
      </c>
      <c r="H55" s="59">
        <v>23.41</v>
      </c>
      <c r="I55" s="59">
        <v>0.61</v>
      </c>
      <c r="J55" s="59">
        <v>0.2</v>
      </c>
      <c r="K55" s="59">
        <v>248.72</v>
      </c>
      <c r="L55" s="59">
        <v>31.49</v>
      </c>
      <c r="M55" s="59">
        <v>33.97</v>
      </c>
      <c r="N55" s="59">
        <v>850.8</v>
      </c>
      <c r="O55" s="59">
        <v>0</v>
      </c>
      <c r="P55" s="59">
        <v>0.79</v>
      </c>
      <c r="Q55" s="59">
        <v>48.98</v>
      </c>
      <c r="R55" s="197"/>
      <c r="S55" s="197"/>
      <c r="T55" s="197"/>
      <c r="U55" s="197"/>
    </row>
    <row r="56" spans="1:21" s="12" customFormat="1" x14ac:dyDescent="0.25">
      <c r="A56" s="200" t="s">
        <v>2504</v>
      </c>
      <c r="B56" s="59">
        <v>7.09</v>
      </c>
      <c r="C56" s="59">
        <v>61.33</v>
      </c>
      <c r="D56" s="59">
        <v>41.28</v>
      </c>
      <c r="E56" s="59">
        <v>2.23</v>
      </c>
      <c r="F56" s="59">
        <v>5.35</v>
      </c>
      <c r="G56" s="59">
        <v>48.01</v>
      </c>
      <c r="H56" s="59">
        <v>23.33</v>
      </c>
      <c r="I56" s="59">
        <v>0.62</v>
      </c>
      <c r="J56" s="59">
        <v>0.44</v>
      </c>
      <c r="K56" s="59">
        <v>191.61</v>
      </c>
      <c r="L56" s="59">
        <v>30.4</v>
      </c>
      <c r="M56" s="59">
        <v>33.9</v>
      </c>
      <c r="N56" s="59">
        <v>890</v>
      </c>
      <c r="O56" s="59">
        <v>0</v>
      </c>
      <c r="P56" s="59">
        <v>0.76</v>
      </c>
      <c r="Q56" s="59">
        <v>58.98</v>
      </c>
      <c r="R56" s="197"/>
      <c r="S56" s="197"/>
      <c r="T56" s="197"/>
      <c r="U56" s="197"/>
    </row>
    <row r="57" spans="1:21" s="12" customFormat="1" x14ac:dyDescent="0.25">
      <c r="A57" s="200" t="s">
        <v>2505</v>
      </c>
      <c r="B57" s="59">
        <v>5.86</v>
      </c>
      <c r="C57" s="59">
        <v>75.62</v>
      </c>
      <c r="D57" s="59">
        <v>48.17</v>
      </c>
      <c r="E57" s="59">
        <v>3.26</v>
      </c>
      <c r="F57" s="59">
        <v>4.79</v>
      </c>
      <c r="G57" s="59">
        <v>48.43</v>
      </c>
      <c r="H57" s="59">
        <v>23.33</v>
      </c>
      <c r="I57" s="59">
        <v>0.64</v>
      </c>
      <c r="J57" s="59">
        <v>0.96</v>
      </c>
      <c r="K57" s="59">
        <v>144.91</v>
      </c>
      <c r="L57" s="59">
        <v>30.45</v>
      </c>
      <c r="M57" s="59">
        <v>33.29</v>
      </c>
      <c r="N57" s="59">
        <v>883</v>
      </c>
      <c r="O57" s="59">
        <v>0</v>
      </c>
      <c r="P57" s="59">
        <v>0.71</v>
      </c>
      <c r="Q57" s="59">
        <v>54.65</v>
      </c>
      <c r="R57" s="197"/>
      <c r="S57" s="197"/>
      <c r="T57" s="197"/>
      <c r="U57" s="197"/>
    </row>
    <row r="58" spans="1:21" s="12" customFormat="1" x14ac:dyDescent="0.25">
      <c r="A58" s="200" t="s">
        <v>2506</v>
      </c>
      <c r="B58" s="59">
        <v>5.23</v>
      </c>
      <c r="C58" s="59">
        <v>59.73</v>
      </c>
      <c r="D58" s="59">
        <v>38.9</v>
      </c>
      <c r="E58" s="59">
        <v>3.37</v>
      </c>
      <c r="F58" s="59">
        <v>6.37</v>
      </c>
      <c r="G58" s="59">
        <v>48.43</v>
      </c>
      <c r="H58" s="59">
        <v>23.33</v>
      </c>
      <c r="I58" s="59">
        <v>0.63</v>
      </c>
      <c r="J58" s="59">
        <v>1.03</v>
      </c>
      <c r="K58" s="59">
        <v>120.98</v>
      </c>
      <c r="L58" s="59">
        <v>30.17</v>
      </c>
      <c r="M58" s="59">
        <v>34.04</v>
      </c>
      <c r="N58" s="59">
        <v>879.8</v>
      </c>
      <c r="O58" s="59">
        <v>0</v>
      </c>
      <c r="P58" s="59">
        <v>0.68</v>
      </c>
      <c r="Q58" s="59">
        <v>58.1</v>
      </c>
      <c r="R58" s="197"/>
      <c r="S58" s="197"/>
      <c r="T58" s="197"/>
      <c r="U58" s="197"/>
    </row>
    <row r="59" spans="1:21" s="12" customFormat="1" x14ac:dyDescent="0.25">
      <c r="A59" s="200" t="s">
        <v>2507</v>
      </c>
      <c r="B59" s="59">
        <v>4.7300000000000004</v>
      </c>
      <c r="C59" s="59">
        <v>66.989999999999995</v>
      </c>
      <c r="D59" s="59">
        <v>42.5</v>
      </c>
      <c r="E59" s="59">
        <v>3</v>
      </c>
      <c r="F59" s="59">
        <v>5.98</v>
      </c>
      <c r="G59" s="59">
        <v>48.43</v>
      </c>
      <c r="H59" s="59">
        <v>23.33</v>
      </c>
      <c r="I59" s="59">
        <v>0.62</v>
      </c>
      <c r="J59" s="59">
        <v>0.71</v>
      </c>
      <c r="K59" s="59">
        <v>182.21</v>
      </c>
      <c r="L59" s="59">
        <v>31.27</v>
      </c>
      <c r="M59" s="59">
        <v>30.55</v>
      </c>
      <c r="N59" s="59">
        <v>880.6</v>
      </c>
      <c r="O59" s="59">
        <v>0</v>
      </c>
      <c r="P59" s="59">
        <v>0.66</v>
      </c>
      <c r="Q59" s="59">
        <v>54.58</v>
      </c>
      <c r="R59" s="197"/>
      <c r="S59" s="197"/>
      <c r="T59" s="197"/>
      <c r="U59" s="197"/>
    </row>
    <row r="60" spans="1:21" s="12" customFormat="1" x14ac:dyDescent="0.25">
      <c r="A60" s="200" t="s">
        <v>2508</v>
      </c>
      <c r="B60" s="59">
        <v>4.2300000000000004</v>
      </c>
      <c r="C60" s="59">
        <v>67.11</v>
      </c>
      <c r="D60" s="59">
        <v>42.17</v>
      </c>
      <c r="E60" s="59">
        <v>3.29</v>
      </c>
      <c r="F60" s="59">
        <v>6.13</v>
      </c>
      <c r="G60" s="59">
        <v>35.32</v>
      </c>
      <c r="H60" s="59">
        <v>19.98</v>
      </c>
      <c r="I60" s="59">
        <v>0.61</v>
      </c>
      <c r="J60" s="59">
        <v>0.92</v>
      </c>
      <c r="K60" s="59">
        <v>169.55</v>
      </c>
      <c r="L60" s="59">
        <v>30.81</v>
      </c>
      <c r="M60" s="59">
        <v>29.85</v>
      </c>
      <c r="N60" s="59">
        <v>835.7</v>
      </c>
      <c r="O60" s="59">
        <v>0</v>
      </c>
      <c r="P60" s="59">
        <v>0.61</v>
      </c>
      <c r="Q60" s="59">
        <v>54.48</v>
      </c>
      <c r="R60" s="197"/>
      <c r="S60" s="197"/>
      <c r="T60" s="197"/>
      <c r="U60" s="197"/>
    </row>
    <row r="61" spans="1:21" s="12" customFormat="1" x14ac:dyDescent="0.25">
      <c r="A61" s="200" t="s">
        <v>2509</v>
      </c>
      <c r="B61" s="59">
        <v>4.03</v>
      </c>
      <c r="C61" s="59">
        <v>61.52</v>
      </c>
      <c r="D61" s="59">
        <v>38.92</v>
      </c>
      <c r="E61" s="59">
        <v>2.97</v>
      </c>
      <c r="F61" s="59">
        <v>5.79</v>
      </c>
      <c r="G61" s="59">
        <v>34.869999999999997</v>
      </c>
      <c r="H61" s="59">
        <v>19.86</v>
      </c>
      <c r="I61" s="59">
        <v>0.63</v>
      </c>
      <c r="J61" s="59">
        <v>0.69</v>
      </c>
      <c r="K61" s="59">
        <v>171.7</v>
      </c>
      <c r="L61" s="59">
        <v>31.14</v>
      </c>
      <c r="M61" s="59">
        <v>29.33</v>
      </c>
      <c r="N61" s="59">
        <v>798.7</v>
      </c>
      <c r="O61" s="59">
        <v>0</v>
      </c>
      <c r="P61" s="59">
        <v>0.56000000000000005</v>
      </c>
      <c r="Q61" s="59">
        <v>56.5</v>
      </c>
      <c r="R61" s="197"/>
      <c r="S61" s="197"/>
      <c r="T61" s="197"/>
      <c r="U61" s="197"/>
    </row>
    <row r="62" spans="1:21" s="12" customFormat="1" x14ac:dyDescent="0.25">
      <c r="A62" s="200" t="s">
        <v>2510</v>
      </c>
      <c r="B62" s="59">
        <v>3.95</v>
      </c>
      <c r="C62" s="59">
        <v>58.59</v>
      </c>
      <c r="D62" s="59">
        <v>37.25</v>
      </c>
      <c r="E62" s="59">
        <v>2.83</v>
      </c>
      <c r="F62" s="59">
        <v>12.32</v>
      </c>
      <c r="G62" s="59">
        <v>34.869999999999997</v>
      </c>
      <c r="H62" s="59">
        <v>19.86</v>
      </c>
      <c r="I62" s="59">
        <v>0.6</v>
      </c>
      <c r="J62" s="59">
        <v>1.19</v>
      </c>
      <c r="K62" s="59">
        <v>171.83</v>
      </c>
      <c r="L62" s="59">
        <v>31.05</v>
      </c>
      <c r="M62" s="59">
        <v>29.68</v>
      </c>
      <c r="N62" s="59">
        <v>781.7</v>
      </c>
      <c r="O62" s="59">
        <v>0</v>
      </c>
      <c r="P62" s="59">
        <v>0.52</v>
      </c>
      <c r="Q62" s="59">
        <v>54.56</v>
      </c>
      <c r="R62" s="197"/>
      <c r="S62" s="197"/>
      <c r="T62" s="197"/>
      <c r="U62" s="197"/>
    </row>
    <row r="63" spans="1:21" s="12" customFormat="1" x14ac:dyDescent="0.25">
      <c r="A63" s="200" t="s">
        <v>2511</v>
      </c>
      <c r="B63" s="59">
        <v>4.05</v>
      </c>
      <c r="C63" s="59">
        <v>40.04</v>
      </c>
      <c r="D63" s="59">
        <v>27.08</v>
      </c>
      <c r="E63" s="59">
        <v>3.76</v>
      </c>
      <c r="F63" s="59">
        <v>16.649999999999999</v>
      </c>
      <c r="G63" s="59">
        <v>34.869999999999997</v>
      </c>
      <c r="H63" s="59">
        <v>19.86</v>
      </c>
      <c r="I63" s="59">
        <v>0.61</v>
      </c>
      <c r="J63" s="59">
        <v>0.81</v>
      </c>
      <c r="K63" s="59">
        <v>146.41</v>
      </c>
      <c r="L63" s="59">
        <v>31.27</v>
      </c>
      <c r="M63" s="59">
        <v>29.67</v>
      </c>
      <c r="N63" s="59">
        <v>576.79999999999995</v>
      </c>
      <c r="O63" s="59">
        <v>0</v>
      </c>
      <c r="P63" s="59">
        <v>0.47</v>
      </c>
      <c r="Q63" s="59">
        <v>56.04</v>
      </c>
      <c r="R63" s="197"/>
      <c r="S63" s="197"/>
      <c r="T63" s="197"/>
      <c r="U63" s="197"/>
    </row>
    <row r="64" spans="1:21" s="12" customFormat="1" x14ac:dyDescent="0.25">
      <c r="A64" s="200" t="s">
        <v>2512</v>
      </c>
      <c r="B64" s="59">
        <v>5.61</v>
      </c>
      <c r="C64" s="59">
        <v>39.19</v>
      </c>
      <c r="D64" s="59">
        <v>27.86</v>
      </c>
      <c r="E64" s="59">
        <v>3.97</v>
      </c>
      <c r="F64" s="59">
        <v>22.01</v>
      </c>
      <c r="G64" s="59">
        <v>48.43</v>
      </c>
      <c r="H64" s="59">
        <v>16.920000000000002</v>
      </c>
      <c r="I64" s="59">
        <v>0.57999999999999996</v>
      </c>
      <c r="J64" s="59">
        <v>0.8</v>
      </c>
      <c r="K64" s="59">
        <v>102.59</v>
      </c>
      <c r="L64" s="59">
        <v>30.14</v>
      </c>
      <c r="M64" s="59">
        <v>30.65</v>
      </c>
      <c r="N64" s="59">
        <v>300.89999999999998</v>
      </c>
      <c r="O64" s="59">
        <v>0</v>
      </c>
      <c r="P64" s="59">
        <v>0.45</v>
      </c>
      <c r="Q64" s="59">
        <v>0</v>
      </c>
      <c r="R64" s="197"/>
      <c r="S64" s="197"/>
      <c r="T64" s="197"/>
      <c r="U64" s="197"/>
    </row>
    <row r="65" spans="1:21" s="12" customFormat="1" x14ac:dyDescent="0.25">
      <c r="A65" s="200" t="s">
        <v>2513</v>
      </c>
      <c r="B65" s="211" t="s">
        <v>32</v>
      </c>
      <c r="C65" s="211" t="s">
        <v>32</v>
      </c>
      <c r="D65" s="211" t="s">
        <v>32</v>
      </c>
      <c r="E65" s="211" t="s">
        <v>32</v>
      </c>
      <c r="F65" s="211" t="s">
        <v>32</v>
      </c>
      <c r="G65" s="211" t="s">
        <v>32</v>
      </c>
      <c r="H65" s="211" t="s">
        <v>32</v>
      </c>
      <c r="I65" s="211" t="s">
        <v>32</v>
      </c>
      <c r="J65" s="211" t="s">
        <v>32</v>
      </c>
      <c r="K65" s="211" t="s">
        <v>32</v>
      </c>
      <c r="L65" s="211" t="s">
        <v>32</v>
      </c>
      <c r="M65" s="211" t="s">
        <v>32</v>
      </c>
      <c r="N65" s="211" t="s">
        <v>32</v>
      </c>
      <c r="O65" s="211" t="s">
        <v>32</v>
      </c>
      <c r="P65" s="211" t="s">
        <v>32</v>
      </c>
      <c r="Q65" s="211" t="s">
        <v>32</v>
      </c>
      <c r="R65" s="197"/>
      <c r="S65" s="197"/>
      <c r="T65" s="197"/>
      <c r="U65" s="197"/>
    </row>
    <row r="66" spans="1:21" s="12" customFormat="1" x14ac:dyDescent="0.25">
      <c r="A66" s="200" t="s">
        <v>2514</v>
      </c>
      <c r="B66" s="211" t="s">
        <v>32</v>
      </c>
      <c r="C66" s="211" t="s">
        <v>32</v>
      </c>
      <c r="D66" s="211" t="s">
        <v>32</v>
      </c>
      <c r="E66" s="211" t="s">
        <v>32</v>
      </c>
      <c r="F66" s="211" t="s">
        <v>32</v>
      </c>
      <c r="G66" s="211" t="s">
        <v>32</v>
      </c>
      <c r="H66" s="211" t="s">
        <v>32</v>
      </c>
      <c r="I66" s="211" t="s">
        <v>32</v>
      </c>
      <c r="J66" s="211" t="s">
        <v>32</v>
      </c>
      <c r="K66" s="211" t="s">
        <v>32</v>
      </c>
      <c r="L66" s="211" t="s">
        <v>32</v>
      </c>
      <c r="M66" s="211" t="s">
        <v>32</v>
      </c>
      <c r="N66" s="211" t="s">
        <v>32</v>
      </c>
      <c r="O66" s="211" t="s">
        <v>32</v>
      </c>
      <c r="P66" s="211" t="s">
        <v>32</v>
      </c>
      <c r="Q66" s="211" t="s">
        <v>32</v>
      </c>
      <c r="R66" s="197"/>
      <c r="S66" s="197"/>
      <c r="T66" s="197"/>
      <c r="U66" s="197"/>
    </row>
    <row r="67" spans="1:21" s="12" customFormat="1" x14ac:dyDescent="0.25">
      <c r="A67" s="200" t="s">
        <v>2515</v>
      </c>
      <c r="B67" s="211" t="s">
        <v>32</v>
      </c>
      <c r="C67" s="211" t="s">
        <v>32</v>
      </c>
      <c r="D67" s="211" t="s">
        <v>32</v>
      </c>
      <c r="E67" s="211" t="s">
        <v>32</v>
      </c>
      <c r="F67" s="211" t="s">
        <v>32</v>
      </c>
      <c r="G67" s="211" t="s">
        <v>32</v>
      </c>
      <c r="H67" s="211" t="s">
        <v>32</v>
      </c>
      <c r="I67" s="211" t="s">
        <v>32</v>
      </c>
      <c r="J67" s="211" t="s">
        <v>32</v>
      </c>
      <c r="K67" s="211" t="s">
        <v>32</v>
      </c>
      <c r="L67" s="211" t="s">
        <v>32</v>
      </c>
      <c r="M67" s="211" t="s">
        <v>32</v>
      </c>
      <c r="N67" s="211" t="s">
        <v>32</v>
      </c>
      <c r="O67" s="211" t="s">
        <v>32</v>
      </c>
      <c r="P67" s="211" t="s">
        <v>32</v>
      </c>
      <c r="Q67" s="211" t="s">
        <v>32</v>
      </c>
      <c r="R67" s="197"/>
      <c r="S67" s="197"/>
      <c r="T67" s="197"/>
      <c r="U67" s="197"/>
    </row>
    <row r="68" spans="1:21" s="12" customFormat="1" x14ac:dyDescent="0.25">
      <c r="A68" s="200" t="s">
        <v>2516</v>
      </c>
      <c r="B68" s="211" t="s">
        <v>32</v>
      </c>
      <c r="C68" s="211" t="s">
        <v>32</v>
      </c>
      <c r="D68" s="211" t="s">
        <v>32</v>
      </c>
      <c r="E68" s="211" t="s">
        <v>32</v>
      </c>
      <c r="F68" s="211" t="s">
        <v>32</v>
      </c>
      <c r="G68" s="211" t="s">
        <v>32</v>
      </c>
      <c r="H68" s="211" t="s">
        <v>32</v>
      </c>
      <c r="I68" s="211" t="s">
        <v>32</v>
      </c>
      <c r="J68" s="211" t="s">
        <v>32</v>
      </c>
      <c r="K68" s="211" t="s">
        <v>32</v>
      </c>
      <c r="L68" s="211" t="s">
        <v>32</v>
      </c>
      <c r="M68" s="211" t="s">
        <v>32</v>
      </c>
      <c r="N68" s="211" t="s">
        <v>32</v>
      </c>
      <c r="O68" s="211" t="s">
        <v>32</v>
      </c>
      <c r="P68" s="211" t="s">
        <v>32</v>
      </c>
      <c r="Q68" s="211" t="s">
        <v>32</v>
      </c>
      <c r="R68" s="197"/>
      <c r="S68" s="197"/>
      <c r="T68" s="197"/>
      <c r="U68" s="197"/>
    </row>
    <row r="69" spans="1:21" s="12" customFormat="1" x14ac:dyDescent="0.25">
      <c r="A69" s="200" t="s">
        <v>2517</v>
      </c>
      <c r="B69" s="211" t="s">
        <v>32</v>
      </c>
      <c r="C69" s="211" t="s">
        <v>32</v>
      </c>
      <c r="D69" s="211" t="s">
        <v>32</v>
      </c>
      <c r="E69" s="211" t="s">
        <v>32</v>
      </c>
      <c r="F69" s="211" t="s">
        <v>32</v>
      </c>
      <c r="G69" s="211" t="s">
        <v>32</v>
      </c>
      <c r="H69" s="211" t="s">
        <v>32</v>
      </c>
      <c r="I69" s="211" t="s">
        <v>32</v>
      </c>
      <c r="J69" s="211" t="s">
        <v>32</v>
      </c>
      <c r="K69" s="211" t="s">
        <v>32</v>
      </c>
      <c r="L69" s="211" t="s">
        <v>32</v>
      </c>
      <c r="M69" s="211" t="s">
        <v>32</v>
      </c>
      <c r="N69" s="211" t="s">
        <v>32</v>
      </c>
      <c r="O69" s="211" t="s">
        <v>32</v>
      </c>
      <c r="P69" s="211" t="s">
        <v>32</v>
      </c>
      <c r="Q69" s="211" t="s">
        <v>32</v>
      </c>
      <c r="R69" s="197"/>
      <c r="S69" s="197"/>
      <c r="T69" s="197"/>
      <c r="U69" s="197"/>
    </row>
    <row r="70" spans="1:21" s="12" customFormat="1" x14ac:dyDescent="0.25">
      <c r="A70" s="200" t="s">
        <v>2518</v>
      </c>
      <c r="B70" s="211" t="s">
        <v>32</v>
      </c>
      <c r="C70" s="211" t="s">
        <v>32</v>
      </c>
      <c r="D70" s="211" t="s">
        <v>32</v>
      </c>
      <c r="E70" s="211" t="s">
        <v>32</v>
      </c>
      <c r="F70" s="211" t="s">
        <v>32</v>
      </c>
      <c r="G70" s="211" t="s">
        <v>32</v>
      </c>
      <c r="H70" s="211" t="s">
        <v>32</v>
      </c>
      <c r="I70" s="211" t="s">
        <v>32</v>
      </c>
      <c r="J70" s="211" t="s">
        <v>32</v>
      </c>
      <c r="K70" s="211" t="s">
        <v>32</v>
      </c>
      <c r="L70" s="211" t="s">
        <v>32</v>
      </c>
      <c r="M70" s="211" t="s">
        <v>32</v>
      </c>
      <c r="N70" s="211" t="s">
        <v>32</v>
      </c>
      <c r="O70" s="211" t="s">
        <v>32</v>
      </c>
      <c r="P70" s="211" t="s">
        <v>32</v>
      </c>
      <c r="Q70" s="211" t="s">
        <v>32</v>
      </c>
      <c r="R70" s="197"/>
      <c r="S70" s="197"/>
      <c r="T70" s="197"/>
      <c r="U70" s="197"/>
    </row>
    <row r="71" spans="1:21" s="12" customFormat="1" x14ac:dyDescent="0.25">
      <c r="A71" s="200" t="s">
        <v>2519</v>
      </c>
      <c r="B71" s="211" t="s">
        <v>32</v>
      </c>
      <c r="C71" s="211" t="s">
        <v>32</v>
      </c>
      <c r="D71" s="211" t="s">
        <v>32</v>
      </c>
      <c r="E71" s="211" t="s">
        <v>32</v>
      </c>
      <c r="F71" s="211" t="s">
        <v>32</v>
      </c>
      <c r="G71" s="211" t="s">
        <v>32</v>
      </c>
      <c r="H71" s="211" t="s">
        <v>32</v>
      </c>
      <c r="I71" s="211" t="s">
        <v>32</v>
      </c>
      <c r="J71" s="211" t="s">
        <v>32</v>
      </c>
      <c r="K71" s="211" t="s">
        <v>32</v>
      </c>
      <c r="L71" s="211" t="s">
        <v>32</v>
      </c>
      <c r="M71" s="211" t="s">
        <v>32</v>
      </c>
      <c r="N71" s="211" t="s">
        <v>32</v>
      </c>
      <c r="O71" s="211" t="s">
        <v>32</v>
      </c>
      <c r="P71" s="211" t="s">
        <v>32</v>
      </c>
      <c r="Q71" s="211" t="s">
        <v>32</v>
      </c>
      <c r="R71" s="197"/>
      <c r="S71" s="197"/>
      <c r="T71" s="197"/>
      <c r="U71" s="197"/>
    </row>
    <row r="72" spans="1:21" s="12" customFormat="1" x14ac:dyDescent="0.25">
      <c r="A72" s="200" t="s">
        <v>2520</v>
      </c>
      <c r="B72" s="211" t="s">
        <v>32</v>
      </c>
      <c r="C72" s="211" t="s">
        <v>32</v>
      </c>
      <c r="D72" s="211" t="s">
        <v>32</v>
      </c>
      <c r="E72" s="211" t="s">
        <v>32</v>
      </c>
      <c r="F72" s="211" t="s">
        <v>32</v>
      </c>
      <c r="G72" s="211" t="s">
        <v>32</v>
      </c>
      <c r="H72" s="211" t="s">
        <v>32</v>
      </c>
      <c r="I72" s="211" t="s">
        <v>32</v>
      </c>
      <c r="J72" s="211" t="s">
        <v>32</v>
      </c>
      <c r="K72" s="211" t="s">
        <v>32</v>
      </c>
      <c r="L72" s="211" t="s">
        <v>32</v>
      </c>
      <c r="M72" s="211" t="s">
        <v>32</v>
      </c>
      <c r="N72" s="211" t="s">
        <v>32</v>
      </c>
      <c r="O72" s="211" t="s">
        <v>32</v>
      </c>
      <c r="P72" s="211" t="s">
        <v>32</v>
      </c>
      <c r="Q72" s="211" t="s">
        <v>32</v>
      </c>
      <c r="R72" s="197"/>
      <c r="S72" s="197"/>
      <c r="T72" s="197"/>
      <c r="U72" s="197"/>
    </row>
    <row r="73" spans="1:21" s="12" customFormat="1" x14ac:dyDescent="0.25">
      <c r="A73" s="200" t="s">
        <v>2521</v>
      </c>
      <c r="B73" s="211" t="s">
        <v>32</v>
      </c>
      <c r="C73" s="211" t="s">
        <v>32</v>
      </c>
      <c r="D73" s="211" t="s">
        <v>32</v>
      </c>
      <c r="E73" s="211" t="s">
        <v>32</v>
      </c>
      <c r="F73" s="211" t="s">
        <v>32</v>
      </c>
      <c r="G73" s="211" t="s">
        <v>32</v>
      </c>
      <c r="H73" s="211" t="s">
        <v>32</v>
      </c>
      <c r="I73" s="211" t="s">
        <v>32</v>
      </c>
      <c r="J73" s="211" t="s">
        <v>32</v>
      </c>
      <c r="K73" s="211" t="s">
        <v>32</v>
      </c>
      <c r="L73" s="211" t="s">
        <v>32</v>
      </c>
      <c r="M73" s="211" t="s">
        <v>32</v>
      </c>
      <c r="N73" s="211" t="s">
        <v>32</v>
      </c>
      <c r="O73" s="211" t="s">
        <v>32</v>
      </c>
      <c r="P73" s="211" t="s">
        <v>32</v>
      </c>
      <c r="Q73" s="211" t="s">
        <v>32</v>
      </c>
      <c r="R73" s="197"/>
      <c r="S73" s="197"/>
      <c r="T73" s="197"/>
      <c r="U73" s="197"/>
    </row>
    <row r="74" spans="1:21" s="12" customFormat="1" x14ac:dyDescent="0.25">
      <c r="A74" s="200" t="s">
        <v>2522</v>
      </c>
      <c r="B74" s="212" t="s">
        <v>49</v>
      </c>
      <c r="C74" s="212" t="s">
        <v>49</v>
      </c>
      <c r="D74" s="212" t="s">
        <v>49</v>
      </c>
      <c r="E74" s="7" t="s">
        <v>49</v>
      </c>
      <c r="F74" s="59">
        <v>10.28</v>
      </c>
      <c r="G74" s="59">
        <v>12.55</v>
      </c>
      <c r="H74" s="59">
        <v>16.72</v>
      </c>
      <c r="I74" s="214" t="s">
        <v>42</v>
      </c>
      <c r="J74" s="59">
        <v>0.36</v>
      </c>
      <c r="K74" s="59">
        <v>334.61</v>
      </c>
      <c r="L74" s="59">
        <v>30.11</v>
      </c>
      <c r="M74" s="59">
        <v>31.68</v>
      </c>
      <c r="N74" s="59">
        <v>87.6</v>
      </c>
      <c r="O74" s="212" t="s">
        <v>49</v>
      </c>
      <c r="P74" s="212" t="s">
        <v>49</v>
      </c>
      <c r="Q74" s="212" t="s">
        <v>49</v>
      </c>
      <c r="R74" s="197"/>
      <c r="S74" s="197"/>
      <c r="T74" s="197"/>
      <c r="U74" s="197"/>
    </row>
    <row r="75" spans="1:21" s="12" customFormat="1" x14ac:dyDescent="0.25">
      <c r="A75" s="200" t="s">
        <v>2523</v>
      </c>
      <c r="B75" s="212" t="s">
        <v>49</v>
      </c>
      <c r="C75" s="212" t="s">
        <v>49</v>
      </c>
      <c r="D75" s="212" t="s">
        <v>49</v>
      </c>
      <c r="E75" s="59">
        <v>28.55</v>
      </c>
      <c r="F75" s="59">
        <v>10</v>
      </c>
      <c r="G75" s="59">
        <v>133.56</v>
      </c>
      <c r="H75" s="59">
        <v>11.91</v>
      </c>
      <c r="I75" s="214" t="s">
        <v>42</v>
      </c>
      <c r="J75" s="59">
        <v>0.15</v>
      </c>
      <c r="K75" s="59">
        <v>271.08</v>
      </c>
      <c r="L75" s="59">
        <v>30.2</v>
      </c>
      <c r="M75" s="59">
        <v>31.79</v>
      </c>
      <c r="N75" s="59">
        <v>86.4</v>
      </c>
      <c r="O75" s="59">
        <v>0</v>
      </c>
      <c r="P75" s="59">
        <v>0.49</v>
      </c>
      <c r="Q75" s="212" t="s">
        <v>49</v>
      </c>
      <c r="R75" s="197"/>
      <c r="S75" s="197"/>
      <c r="T75" s="197"/>
      <c r="U75" s="197"/>
    </row>
    <row r="76" spans="1:21" s="12" customFormat="1" x14ac:dyDescent="0.25">
      <c r="A76" s="200" t="s">
        <v>2524</v>
      </c>
      <c r="B76" s="59">
        <v>4.53</v>
      </c>
      <c r="C76" s="59">
        <v>52.18</v>
      </c>
      <c r="D76" s="59">
        <v>34.14</v>
      </c>
      <c r="E76" s="59">
        <v>0.64</v>
      </c>
      <c r="F76" s="59">
        <v>9.69</v>
      </c>
      <c r="G76" s="59">
        <v>40.270000000000003</v>
      </c>
      <c r="H76" s="59">
        <v>9.8699999999999992</v>
      </c>
      <c r="I76" s="214" t="s">
        <v>42</v>
      </c>
      <c r="J76" s="59">
        <v>0.1</v>
      </c>
      <c r="K76" s="59">
        <v>282.11</v>
      </c>
      <c r="L76" s="59">
        <v>29.98</v>
      </c>
      <c r="M76" s="59">
        <v>30.94</v>
      </c>
      <c r="N76" s="59">
        <v>85.8</v>
      </c>
      <c r="O76" s="59">
        <v>0</v>
      </c>
      <c r="P76" s="59">
        <v>0.5</v>
      </c>
      <c r="Q76" s="212" t="s">
        <v>49</v>
      </c>
      <c r="R76" s="197"/>
      <c r="S76" s="197"/>
      <c r="T76" s="197"/>
      <c r="U76" s="197"/>
    </row>
    <row r="77" spans="1:21" s="12" customFormat="1" x14ac:dyDescent="0.25">
      <c r="A77" s="200" t="s">
        <v>2525</v>
      </c>
      <c r="B77" s="59">
        <v>5.14</v>
      </c>
      <c r="C77" s="59">
        <v>63.52</v>
      </c>
      <c r="D77" s="59">
        <v>40.92</v>
      </c>
      <c r="E77" s="214" t="s">
        <v>42</v>
      </c>
      <c r="F77" s="59">
        <v>7.24</v>
      </c>
      <c r="G77" s="59">
        <v>34.71</v>
      </c>
      <c r="H77" s="59">
        <v>9.84</v>
      </c>
      <c r="I77" s="214" t="s">
        <v>42</v>
      </c>
      <c r="J77" s="59">
        <v>0.18</v>
      </c>
      <c r="K77" s="59">
        <v>17.66</v>
      </c>
      <c r="L77" s="59">
        <v>30.39</v>
      </c>
      <c r="M77" s="59">
        <v>30.39</v>
      </c>
      <c r="N77" s="59">
        <v>87.5</v>
      </c>
      <c r="O77" s="59">
        <v>0</v>
      </c>
      <c r="P77" s="59">
        <v>0.46</v>
      </c>
      <c r="Q77" s="59">
        <v>68.17</v>
      </c>
      <c r="R77" s="197"/>
      <c r="S77" s="197"/>
      <c r="T77" s="197"/>
      <c r="U77" s="197"/>
    </row>
    <row r="78" spans="1:21" s="12" customFormat="1" x14ac:dyDescent="0.25">
      <c r="A78" s="200" t="s">
        <v>2526</v>
      </c>
      <c r="B78" s="59">
        <v>4.76</v>
      </c>
      <c r="C78" s="59">
        <v>78.25</v>
      </c>
      <c r="D78" s="59">
        <v>48.75</v>
      </c>
      <c r="E78" s="214" t="s">
        <v>42</v>
      </c>
      <c r="F78" s="59">
        <v>6.21</v>
      </c>
      <c r="G78" s="59">
        <v>34.71</v>
      </c>
      <c r="H78" s="59">
        <v>9.84</v>
      </c>
      <c r="I78" s="214" t="s">
        <v>42</v>
      </c>
      <c r="J78" s="59">
        <v>0.17</v>
      </c>
      <c r="K78" s="59">
        <v>281.25</v>
      </c>
      <c r="L78" s="59">
        <v>30.06</v>
      </c>
      <c r="M78" s="59">
        <v>30.14</v>
      </c>
      <c r="N78" s="59">
        <v>66.3</v>
      </c>
      <c r="O78" s="59">
        <v>0</v>
      </c>
      <c r="P78" s="59">
        <v>0.45</v>
      </c>
      <c r="Q78" s="59">
        <v>59.96</v>
      </c>
      <c r="R78" s="197"/>
      <c r="S78" s="197"/>
      <c r="T78" s="197"/>
      <c r="U78" s="197"/>
    </row>
    <row r="79" spans="1:21" s="12" customFormat="1" x14ac:dyDescent="0.25">
      <c r="A79" s="200" t="s">
        <v>2527</v>
      </c>
      <c r="B79" s="59">
        <v>3.95</v>
      </c>
      <c r="C79" s="59">
        <v>75.88</v>
      </c>
      <c r="D79" s="59">
        <v>46.79</v>
      </c>
      <c r="E79" s="214" t="s">
        <v>42</v>
      </c>
      <c r="F79" s="59">
        <v>8.6199999999999992</v>
      </c>
      <c r="G79" s="59">
        <v>34.71</v>
      </c>
      <c r="H79" s="59">
        <v>9.84</v>
      </c>
      <c r="I79" s="214" t="s">
        <v>42</v>
      </c>
      <c r="J79" s="59">
        <v>0.41</v>
      </c>
      <c r="K79" s="59">
        <v>228.38</v>
      </c>
      <c r="L79" s="59">
        <v>29.31</v>
      </c>
      <c r="M79" s="59">
        <v>33.68</v>
      </c>
      <c r="N79" s="59">
        <v>36.700000000000003</v>
      </c>
      <c r="O79" s="59">
        <v>0</v>
      </c>
      <c r="P79" s="59">
        <v>0.42</v>
      </c>
      <c r="Q79" s="59">
        <v>45.32</v>
      </c>
      <c r="R79" s="197"/>
      <c r="S79" s="197"/>
      <c r="T79" s="197"/>
      <c r="U79" s="197"/>
    </row>
    <row r="80" spans="1:21" s="12" customFormat="1" x14ac:dyDescent="0.25">
      <c r="A80" s="200" t="s">
        <v>2528</v>
      </c>
      <c r="B80" s="59">
        <v>3.35</v>
      </c>
      <c r="C80" s="59">
        <v>72.03</v>
      </c>
      <c r="D80" s="59">
        <v>44.18</v>
      </c>
      <c r="E80" s="214" t="s">
        <v>42</v>
      </c>
      <c r="F80" s="59">
        <v>10.67</v>
      </c>
      <c r="G80" s="59">
        <v>56.71</v>
      </c>
      <c r="H80" s="59">
        <v>15.77</v>
      </c>
      <c r="I80" s="214" t="s">
        <v>42</v>
      </c>
      <c r="J80" s="59">
        <v>0.61</v>
      </c>
      <c r="K80" s="59">
        <v>189.13</v>
      </c>
      <c r="L80" s="59">
        <v>28.75</v>
      </c>
      <c r="M80" s="59">
        <v>36.24</v>
      </c>
      <c r="N80" s="59">
        <v>20.2</v>
      </c>
      <c r="O80" s="59">
        <v>0</v>
      </c>
      <c r="P80" s="59">
        <v>0.4</v>
      </c>
      <c r="Q80" s="59">
        <v>34.69</v>
      </c>
      <c r="R80" s="197"/>
      <c r="S80" s="197"/>
      <c r="T80" s="197"/>
      <c r="U80" s="197"/>
    </row>
    <row r="81" spans="1:26" s="12" customFormat="1" x14ac:dyDescent="0.25">
      <c r="A81" s="200" t="s">
        <v>2529</v>
      </c>
      <c r="B81" s="59">
        <v>3.13</v>
      </c>
      <c r="C81" s="59">
        <v>67.22</v>
      </c>
      <c r="D81" s="59">
        <v>41.35</v>
      </c>
      <c r="E81" s="214" t="s">
        <v>42</v>
      </c>
      <c r="F81" s="59">
        <v>17.89</v>
      </c>
      <c r="G81" s="59">
        <v>57.74</v>
      </c>
      <c r="H81" s="59">
        <v>16.010000000000002</v>
      </c>
      <c r="I81" s="214" t="s">
        <v>42</v>
      </c>
      <c r="J81" s="59">
        <v>0.35</v>
      </c>
      <c r="K81" s="59">
        <v>240.68</v>
      </c>
      <c r="L81" s="59">
        <v>28.53</v>
      </c>
      <c r="M81" s="59">
        <v>35.78</v>
      </c>
      <c r="N81" s="59">
        <v>8.4</v>
      </c>
      <c r="O81" s="59">
        <v>0</v>
      </c>
      <c r="P81" s="59">
        <v>0.38</v>
      </c>
      <c r="Q81" s="59">
        <v>25.92</v>
      </c>
      <c r="R81" s="197"/>
      <c r="S81" s="197"/>
      <c r="T81" s="197"/>
      <c r="U81" s="197"/>
    </row>
    <row r="82" spans="1:26" s="12" customFormat="1" x14ac:dyDescent="0.25">
      <c r="A82" s="200" t="s">
        <v>2530</v>
      </c>
      <c r="B82" s="59">
        <v>3.37</v>
      </c>
      <c r="C82" s="59">
        <v>65.430000000000007</v>
      </c>
      <c r="D82" s="59">
        <v>40.56</v>
      </c>
      <c r="E82" s="214" t="s">
        <v>42</v>
      </c>
      <c r="F82" s="59">
        <v>29.92</v>
      </c>
      <c r="G82" s="59">
        <v>57.74</v>
      </c>
      <c r="H82" s="59">
        <v>16.010000000000002</v>
      </c>
      <c r="I82" s="214" t="s">
        <v>42</v>
      </c>
      <c r="J82" s="59">
        <v>0.18</v>
      </c>
      <c r="K82" s="59">
        <v>250.85</v>
      </c>
      <c r="L82" s="59">
        <v>28.25</v>
      </c>
      <c r="M82" s="59">
        <v>36.729999999999997</v>
      </c>
      <c r="N82" s="59">
        <v>5.4</v>
      </c>
      <c r="O82" s="59">
        <v>0</v>
      </c>
      <c r="P82" s="59">
        <v>0.41</v>
      </c>
      <c r="Q82" s="59">
        <v>18.21</v>
      </c>
      <c r="R82" s="197"/>
      <c r="S82" s="197"/>
      <c r="T82" s="197"/>
      <c r="U82" s="197"/>
    </row>
    <row r="83" spans="1:26" s="12" customFormat="1" x14ac:dyDescent="0.25">
      <c r="A83" s="200" t="s">
        <v>2531</v>
      </c>
      <c r="B83" s="59">
        <v>11.48</v>
      </c>
      <c r="C83" s="59">
        <v>91.47</v>
      </c>
      <c r="D83" s="59">
        <v>61.43</v>
      </c>
      <c r="E83" s="214" t="s">
        <v>42</v>
      </c>
      <c r="F83" s="59">
        <v>14.12</v>
      </c>
      <c r="G83" s="59">
        <v>57.74</v>
      </c>
      <c r="H83" s="59">
        <v>16.010000000000002</v>
      </c>
      <c r="I83" s="214" t="s">
        <v>42</v>
      </c>
      <c r="J83" s="59">
        <v>0.06</v>
      </c>
      <c r="K83" s="59">
        <v>121.74</v>
      </c>
      <c r="L83" s="59">
        <v>27.9</v>
      </c>
      <c r="M83" s="59">
        <v>39.5</v>
      </c>
      <c r="N83" s="59">
        <v>5.2</v>
      </c>
      <c r="O83" s="59">
        <v>0</v>
      </c>
      <c r="P83" s="59">
        <v>0.75</v>
      </c>
      <c r="Q83" s="59">
        <v>17.059999999999999</v>
      </c>
      <c r="R83" s="197"/>
      <c r="S83" s="197"/>
      <c r="T83" s="197"/>
      <c r="U83" s="197"/>
    </row>
    <row r="84" spans="1:26" s="12" customFormat="1" x14ac:dyDescent="0.25">
      <c r="A84" s="200" t="s">
        <v>2532</v>
      </c>
      <c r="B84" s="59">
        <v>19.75</v>
      </c>
      <c r="C84" s="59">
        <v>105.03</v>
      </c>
      <c r="D84" s="59">
        <v>75.55</v>
      </c>
      <c r="E84" s="214" t="s">
        <v>42</v>
      </c>
      <c r="F84" s="59">
        <v>5.34</v>
      </c>
      <c r="G84" s="59">
        <v>69.66</v>
      </c>
      <c r="H84" s="59">
        <v>18.25</v>
      </c>
      <c r="I84" s="214" t="s">
        <v>42</v>
      </c>
      <c r="J84" s="59">
        <v>0.09</v>
      </c>
      <c r="K84" s="59">
        <v>95.5</v>
      </c>
      <c r="L84" s="59">
        <v>27.68</v>
      </c>
      <c r="M84" s="59">
        <v>40.92</v>
      </c>
      <c r="N84" s="59">
        <v>5</v>
      </c>
      <c r="O84" s="59">
        <v>0</v>
      </c>
      <c r="P84" s="59">
        <v>0.62</v>
      </c>
      <c r="Q84" s="59">
        <v>16.71</v>
      </c>
      <c r="R84" s="197"/>
      <c r="S84" s="197"/>
      <c r="T84" s="197"/>
      <c r="U84" s="197"/>
    </row>
    <row r="85" spans="1:26" s="12" customFormat="1" x14ac:dyDescent="0.25">
      <c r="A85" s="200" t="s">
        <v>2533</v>
      </c>
      <c r="B85" s="59">
        <v>26.56</v>
      </c>
      <c r="C85" s="59">
        <v>97.14</v>
      </c>
      <c r="D85" s="59">
        <v>76.650000000000006</v>
      </c>
      <c r="E85" s="214" t="s">
        <v>42</v>
      </c>
      <c r="F85" s="59">
        <v>6</v>
      </c>
      <c r="G85" s="59">
        <v>70.209999999999994</v>
      </c>
      <c r="H85" s="59">
        <v>18.41</v>
      </c>
      <c r="I85" s="214" t="s">
        <v>42</v>
      </c>
      <c r="J85" s="59">
        <v>0.09</v>
      </c>
      <c r="K85" s="59">
        <v>325.24</v>
      </c>
      <c r="L85" s="59">
        <v>27.31</v>
      </c>
      <c r="M85" s="59">
        <v>41.69</v>
      </c>
      <c r="N85" s="59">
        <v>5</v>
      </c>
      <c r="O85" s="59">
        <v>0</v>
      </c>
      <c r="P85" s="59">
        <v>1.29</v>
      </c>
      <c r="Q85" s="59">
        <v>17.59</v>
      </c>
      <c r="R85" s="197"/>
      <c r="S85" s="197"/>
      <c r="T85" s="197"/>
      <c r="U85" s="197"/>
    </row>
    <row r="86" spans="1:26" s="12" customFormat="1" x14ac:dyDescent="0.25">
      <c r="A86" s="200" t="s">
        <v>2534</v>
      </c>
      <c r="B86" s="59">
        <v>12.28</v>
      </c>
      <c r="C86" s="59">
        <v>74.17</v>
      </c>
      <c r="D86" s="59">
        <v>52.53</v>
      </c>
      <c r="E86" s="214" t="s">
        <v>42</v>
      </c>
      <c r="F86" s="59">
        <v>11.97</v>
      </c>
      <c r="G86" s="59">
        <v>70.209999999999994</v>
      </c>
      <c r="H86" s="59">
        <v>18.41</v>
      </c>
      <c r="I86" s="214" t="s">
        <v>42</v>
      </c>
      <c r="J86" s="59">
        <v>0.06</v>
      </c>
      <c r="K86" s="59">
        <v>330.22</v>
      </c>
      <c r="L86" s="59">
        <v>27.52</v>
      </c>
      <c r="M86" s="59">
        <v>40.770000000000003</v>
      </c>
      <c r="N86" s="59">
        <v>4.7</v>
      </c>
      <c r="O86" s="59">
        <v>0</v>
      </c>
      <c r="P86" s="59">
        <v>1.06</v>
      </c>
      <c r="Q86" s="59">
        <v>17.059999999999999</v>
      </c>
      <c r="R86" s="197"/>
      <c r="S86" s="197"/>
      <c r="T86" s="197"/>
      <c r="U86" s="197"/>
    </row>
    <row r="87" spans="1:26" s="12" customFormat="1" x14ac:dyDescent="0.25">
      <c r="A87" s="200" t="s">
        <v>2535</v>
      </c>
      <c r="B87" s="59">
        <v>17.09</v>
      </c>
      <c r="C87" s="59">
        <v>78.78</v>
      </c>
      <c r="D87" s="59">
        <v>58.92</v>
      </c>
      <c r="E87" s="214" t="s">
        <v>42</v>
      </c>
      <c r="F87" s="59">
        <v>10.119999999999999</v>
      </c>
      <c r="G87" s="59">
        <v>70.209999999999994</v>
      </c>
      <c r="H87" s="59">
        <v>18.41</v>
      </c>
      <c r="I87" s="214" t="s">
        <v>42</v>
      </c>
      <c r="J87" s="59">
        <v>0.06</v>
      </c>
      <c r="K87" s="59">
        <v>329.34</v>
      </c>
      <c r="L87" s="59">
        <v>27.26</v>
      </c>
      <c r="M87" s="59">
        <v>42.76</v>
      </c>
      <c r="N87" s="59">
        <v>5</v>
      </c>
      <c r="O87" s="59">
        <v>0</v>
      </c>
      <c r="P87" s="59">
        <v>1.28</v>
      </c>
      <c r="Q87" s="59">
        <v>15.77</v>
      </c>
      <c r="R87" s="197"/>
      <c r="S87" s="197"/>
      <c r="T87" s="197"/>
      <c r="U87" s="197"/>
    </row>
    <row r="88" spans="1:26" s="12" customFormat="1" x14ac:dyDescent="0.25">
      <c r="A88" s="200" t="s">
        <v>2536</v>
      </c>
      <c r="B88" s="59">
        <v>14.21</v>
      </c>
      <c r="C88" s="59">
        <v>71.41</v>
      </c>
      <c r="D88" s="59">
        <v>52.55</v>
      </c>
      <c r="E88" s="59">
        <v>2.5</v>
      </c>
      <c r="F88" s="59">
        <v>10.78</v>
      </c>
      <c r="G88" s="59">
        <v>75.680000000000007</v>
      </c>
      <c r="H88" s="59">
        <v>23.7</v>
      </c>
      <c r="I88" s="214" t="s">
        <v>42</v>
      </c>
      <c r="J88" s="59">
        <v>0.12</v>
      </c>
      <c r="K88" s="59">
        <v>118.54</v>
      </c>
      <c r="L88" s="59">
        <v>26.64</v>
      </c>
      <c r="M88" s="59">
        <v>45.7</v>
      </c>
      <c r="N88" s="59">
        <v>5</v>
      </c>
      <c r="O88" s="59">
        <v>0</v>
      </c>
      <c r="P88" s="59">
        <v>1.1100000000000001</v>
      </c>
      <c r="Q88" s="59">
        <v>15.94</v>
      </c>
      <c r="R88" s="197"/>
      <c r="S88" s="197"/>
      <c r="T88" s="197"/>
      <c r="U88" s="197"/>
    </row>
    <row r="89" spans="1:26" s="12" customFormat="1" x14ac:dyDescent="0.25">
      <c r="A89" s="200" t="s">
        <v>2537</v>
      </c>
      <c r="B89" s="59">
        <v>15.83</v>
      </c>
      <c r="C89" s="59">
        <v>71.03</v>
      </c>
      <c r="D89" s="59">
        <v>53.63</v>
      </c>
      <c r="E89" s="59">
        <v>4.25</v>
      </c>
      <c r="F89" s="59">
        <v>6.02</v>
      </c>
      <c r="G89" s="59">
        <v>75.930000000000007</v>
      </c>
      <c r="H89" s="59">
        <v>23.98</v>
      </c>
      <c r="I89" s="214" t="s">
        <v>42</v>
      </c>
      <c r="J89" s="59">
        <v>0.11</v>
      </c>
      <c r="K89" s="59">
        <v>314.42</v>
      </c>
      <c r="L89" s="59">
        <v>26.04</v>
      </c>
      <c r="M89" s="59">
        <v>47.58</v>
      </c>
      <c r="N89" s="59">
        <v>4.9000000000000004</v>
      </c>
      <c r="O89" s="59">
        <v>0</v>
      </c>
      <c r="P89" s="59">
        <v>1.0900000000000001</v>
      </c>
      <c r="Q89" s="59">
        <v>17.09</v>
      </c>
      <c r="R89" s="197"/>
      <c r="S89" s="197"/>
      <c r="T89" s="197"/>
      <c r="U89" s="197"/>
    </row>
    <row r="90" spans="1:26" s="12" customFormat="1" x14ac:dyDescent="0.25">
      <c r="A90" s="200" t="s">
        <v>2538</v>
      </c>
      <c r="B90" s="59">
        <v>21.62</v>
      </c>
      <c r="C90" s="59">
        <v>64.540000000000006</v>
      </c>
      <c r="D90" s="59">
        <v>54.69</v>
      </c>
      <c r="E90" s="59">
        <v>3.54</v>
      </c>
      <c r="F90" s="59">
        <v>3.93</v>
      </c>
      <c r="G90" s="59">
        <v>75.930000000000007</v>
      </c>
      <c r="H90" s="59">
        <v>23.98</v>
      </c>
      <c r="I90" s="214" t="s">
        <v>42</v>
      </c>
      <c r="J90" s="59">
        <v>0.09</v>
      </c>
      <c r="K90" s="59">
        <v>323.47000000000003</v>
      </c>
      <c r="L90" s="59">
        <v>25.46</v>
      </c>
      <c r="M90" s="59">
        <v>51.22</v>
      </c>
      <c r="N90" s="59">
        <v>5.0999999999999996</v>
      </c>
      <c r="O90" s="59">
        <v>0</v>
      </c>
      <c r="P90" s="59">
        <v>1.24</v>
      </c>
      <c r="Q90" s="59">
        <v>15</v>
      </c>
      <c r="R90" s="197"/>
      <c r="S90" s="197"/>
      <c r="T90" s="197"/>
      <c r="U90" s="197"/>
    </row>
    <row r="91" spans="1:26" s="12" customFormat="1" x14ac:dyDescent="0.25">
      <c r="A91" s="200" t="s">
        <v>2539</v>
      </c>
      <c r="B91" s="59">
        <v>27.12</v>
      </c>
      <c r="C91" s="59">
        <v>72.28</v>
      </c>
      <c r="D91" s="59">
        <v>63.38</v>
      </c>
      <c r="E91" s="59">
        <v>3.45</v>
      </c>
      <c r="F91" s="59">
        <v>3.01</v>
      </c>
      <c r="G91" s="59">
        <v>75.930000000000007</v>
      </c>
      <c r="H91" s="59">
        <v>23.98</v>
      </c>
      <c r="I91" s="214" t="s">
        <v>42</v>
      </c>
      <c r="J91" s="59">
        <v>0.08</v>
      </c>
      <c r="K91" s="59">
        <v>82.07</v>
      </c>
      <c r="L91" s="59">
        <v>25.17</v>
      </c>
      <c r="M91" s="59">
        <v>50.67</v>
      </c>
      <c r="N91" s="59">
        <v>4.8</v>
      </c>
      <c r="O91" s="59">
        <v>0</v>
      </c>
      <c r="P91" s="59">
        <v>1.3</v>
      </c>
      <c r="Q91" s="59">
        <v>15.98</v>
      </c>
      <c r="R91" s="197"/>
      <c r="S91" s="197"/>
      <c r="T91" s="197"/>
      <c r="U91" s="197"/>
    </row>
    <row r="92" spans="1:26" s="12" customFormat="1" x14ac:dyDescent="0.25">
      <c r="A92" s="200" t="s">
        <v>2540</v>
      </c>
      <c r="B92" s="59">
        <v>25.01</v>
      </c>
      <c r="C92" s="59">
        <v>68.959999999999994</v>
      </c>
      <c r="D92" s="59">
        <v>59.86</v>
      </c>
      <c r="E92" s="59">
        <v>2.97</v>
      </c>
      <c r="F92" s="59">
        <v>2.2400000000000002</v>
      </c>
      <c r="G92" s="59">
        <v>96.92</v>
      </c>
      <c r="H92" s="59">
        <v>25.09</v>
      </c>
      <c r="I92" s="214" t="s">
        <v>42</v>
      </c>
      <c r="J92" s="59">
        <v>0.53</v>
      </c>
      <c r="K92" s="59">
        <v>111.25</v>
      </c>
      <c r="L92" s="59">
        <v>25.35</v>
      </c>
      <c r="M92" s="59">
        <v>49.99</v>
      </c>
      <c r="N92" s="59">
        <v>3.7</v>
      </c>
      <c r="O92" s="59">
        <v>0</v>
      </c>
      <c r="P92" s="59">
        <v>1.18</v>
      </c>
      <c r="Q92" s="59">
        <v>17.7</v>
      </c>
      <c r="R92" s="197"/>
      <c r="S92" s="197"/>
      <c r="T92" s="197"/>
      <c r="U92" s="197"/>
    </row>
    <row r="93" spans="1:26" s="12" customFormat="1" x14ac:dyDescent="0.25">
      <c r="A93" s="200" t="s">
        <v>2541</v>
      </c>
      <c r="B93" s="59">
        <v>41.13</v>
      </c>
      <c r="C93" s="59">
        <v>72.48</v>
      </c>
      <c r="D93" s="59">
        <v>74.72</v>
      </c>
      <c r="E93" s="59">
        <v>2.89</v>
      </c>
      <c r="F93" s="59">
        <v>1.88</v>
      </c>
      <c r="G93" s="59">
        <v>97.9</v>
      </c>
      <c r="H93" s="59">
        <v>25.13</v>
      </c>
      <c r="I93" s="214" t="s">
        <v>42</v>
      </c>
      <c r="J93" s="59">
        <v>0.14000000000000001</v>
      </c>
      <c r="K93" s="59">
        <v>306.85000000000002</v>
      </c>
      <c r="L93" s="59">
        <v>24.97</v>
      </c>
      <c r="M93" s="59">
        <v>52.67</v>
      </c>
      <c r="N93" s="59">
        <v>5</v>
      </c>
      <c r="O93" s="59">
        <v>0</v>
      </c>
      <c r="P93" s="59">
        <v>1.37</v>
      </c>
      <c r="Q93" s="59">
        <v>16.420000000000002</v>
      </c>
      <c r="R93" s="197"/>
      <c r="S93" s="197"/>
      <c r="T93" s="197"/>
      <c r="U93" s="197"/>
    </row>
    <row r="94" spans="1:26" s="12" customFormat="1" x14ac:dyDescent="0.25">
      <c r="A94" s="200" t="s">
        <v>2542</v>
      </c>
      <c r="B94" s="59">
        <v>35.35</v>
      </c>
      <c r="C94" s="59">
        <v>68.72</v>
      </c>
      <c r="D94" s="59">
        <v>68.010000000000005</v>
      </c>
      <c r="E94" s="59">
        <v>2.73</v>
      </c>
      <c r="F94" s="59">
        <v>2.04</v>
      </c>
      <c r="G94" s="59">
        <v>97.9</v>
      </c>
      <c r="H94" s="59">
        <v>25.13</v>
      </c>
      <c r="I94" s="214" t="s">
        <v>42</v>
      </c>
      <c r="J94" s="59">
        <v>0.1</v>
      </c>
      <c r="K94" s="59">
        <v>350.77</v>
      </c>
      <c r="L94" s="59">
        <v>24.91</v>
      </c>
      <c r="M94" s="59">
        <v>51.94</v>
      </c>
      <c r="N94" s="59">
        <v>4.5999999999999996</v>
      </c>
      <c r="O94" s="59">
        <v>0</v>
      </c>
      <c r="P94" s="59">
        <v>1.28</v>
      </c>
      <c r="Q94" s="59">
        <v>17.600000000000001</v>
      </c>
      <c r="R94" s="197"/>
      <c r="S94" s="197"/>
      <c r="T94" s="197"/>
      <c r="U94" s="197"/>
    </row>
    <row r="95" spans="1:26" s="12" customFormat="1" x14ac:dyDescent="0.25">
      <c r="A95" s="200" t="s">
        <v>2543</v>
      </c>
      <c r="B95" s="59">
        <v>45.9</v>
      </c>
      <c r="C95" s="59">
        <v>73.48</v>
      </c>
      <c r="D95" s="59">
        <v>79.09</v>
      </c>
      <c r="E95" s="59">
        <v>2.38</v>
      </c>
      <c r="F95" s="59">
        <v>1.62</v>
      </c>
      <c r="G95" s="59">
        <v>97.9</v>
      </c>
      <c r="H95" s="59">
        <v>25.13</v>
      </c>
      <c r="I95" s="214" t="s">
        <v>42</v>
      </c>
      <c r="J95" s="59">
        <v>0.22</v>
      </c>
      <c r="K95" s="59">
        <v>85.99</v>
      </c>
      <c r="L95" s="59">
        <v>24.18</v>
      </c>
      <c r="M95" s="59">
        <v>57.11</v>
      </c>
      <c r="N95" s="59">
        <v>4.9000000000000004</v>
      </c>
      <c r="O95" s="59">
        <v>0</v>
      </c>
      <c r="P95" s="59">
        <v>1.39</v>
      </c>
      <c r="Q95" s="59">
        <v>17.89</v>
      </c>
      <c r="R95" s="197"/>
      <c r="S95" s="197"/>
      <c r="T95" s="197"/>
      <c r="U95" s="197"/>
    </row>
    <row r="96" spans="1:26" s="12" customFormat="1" x14ac:dyDescent="0.25">
      <c r="A96" s="200" t="s">
        <v>2544</v>
      </c>
      <c r="B96" s="59">
        <v>55.1</v>
      </c>
      <c r="C96" s="59">
        <v>77.52</v>
      </c>
      <c r="D96" s="59">
        <v>88.71</v>
      </c>
      <c r="E96" s="59">
        <v>2.8</v>
      </c>
      <c r="F96" s="59">
        <v>1.21</v>
      </c>
      <c r="G96" s="59">
        <v>97.48</v>
      </c>
      <c r="H96" s="59">
        <v>26.51</v>
      </c>
      <c r="I96" s="214" t="s">
        <v>42</v>
      </c>
      <c r="J96" s="59">
        <v>0.15</v>
      </c>
      <c r="K96" s="59">
        <v>268.92</v>
      </c>
      <c r="L96" s="59">
        <v>23.99</v>
      </c>
      <c r="M96" s="59">
        <v>57.1</v>
      </c>
      <c r="N96" s="59">
        <v>4.5999999999999996</v>
      </c>
      <c r="O96" s="59">
        <v>0</v>
      </c>
      <c r="P96" s="59">
        <v>1.3</v>
      </c>
      <c r="Q96" s="59">
        <v>10.199999999999999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2545</v>
      </c>
      <c r="B97" s="59">
        <v>61.94</v>
      </c>
      <c r="C97" s="59">
        <v>75.98</v>
      </c>
      <c r="D97" s="59">
        <v>93.34</v>
      </c>
      <c r="E97" s="59">
        <v>2.88</v>
      </c>
      <c r="F97" s="59">
        <v>1.41</v>
      </c>
      <c r="G97" s="59">
        <v>97.47</v>
      </c>
      <c r="H97" s="59">
        <v>26.56</v>
      </c>
      <c r="I97" s="214" t="s">
        <v>42</v>
      </c>
      <c r="J97" s="59">
        <v>0.03</v>
      </c>
      <c r="K97" s="59">
        <v>306.81</v>
      </c>
      <c r="L97" s="59">
        <v>23.63</v>
      </c>
      <c r="M97" s="59">
        <v>59.62</v>
      </c>
      <c r="N97" s="59">
        <v>4.9000000000000004</v>
      </c>
      <c r="O97" s="59">
        <v>0</v>
      </c>
      <c r="P97" s="59">
        <v>1.52</v>
      </c>
      <c r="Q97" s="59">
        <v>11.95</v>
      </c>
      <c r="R97" s="197"/>
      <c r="S97" s="197"/>
      <c r="T97" s="197"/>
      <c r="U97" s="197"/>
    </row>
    <row r="98" spans="1:33" s="12" customFormat="1" x14ac:dyDescent="0.25">
      <c r="A98" s="200" t="s">
        <v>2546</v>
      </c>
      <c r="B98" s="59">
        <v>38.82</v>
      </c>
      <c r="C98" s="59">
        <v>67.08</v>
      </c>
      <c r="D98" s="59">
        <v>69.89</v>
      </c>
      <c r="E98" s="59">
        <v>3.05</v>
      </c>
      <c r="F98" s="59">
        <v>3.13</v>
      </c>
      <c r="G98" s="59">
        <v>97.47</v>
      </c>
      <c r="H98" s="59">
        <v>26.56</v>
      </c>
      <c r="I98" s="214" t="s">
        <v>42</v>
      </c>
      <c r="J98" s="59">
        <v>0.19</v>
      </c>
      <c r="K98" s="59">
        <v>236.75</v>
      </c>
      <c r="L98" s="59">
        <v>23.88</v>
      </c>
      <c r="M98" s="59">
        <v>55.14</v>
      </c>
      <c r="N98" s="59">
        <v>4.2</v>
      </c>
      <c r="O98" s="59">
        <v>0</v>
      </c>
      <c r="P98" s="59">
        <v>1.19</v>
      </c>
      <c r="Q98" s="59">
        <v>15.63</v>
      </c>
      <c r="R98" s="197"/>
      <c r="S98" s="197"/>
      <c r="T98" s="197"/>
      <c r="U98" s="197"/>
    </row>
    <row r="99" spans="1:33" s="12" customFormat="1" x14ac:dyDescent="0.25">
      <c r="A99" s="200" t="s">
        <v>2547</v>
      </c>
      <c r="B99" s="59">
        <v>49.38</v>
      </c>
      <c r="C99" s="59">
        <v>65.33</v>
      </c>
      <c r="D99" s="59">
        <v>77.39</v>
      </c>
      <c r="E99" s="59">
        <v>2.94</v>
      </c>
      <c r="F99" s="59">
        <v>5.37</v>
      </c>
      <c r="G99" s="59">
        <v>97.47</v>
      </c>
      <c r="H99" s="59">
        <v>26.56</v>
      </c>
      <c r="I99" s="214" t="s">
        <v>42</v>
      </c>
      <c r="J99" s="59">
        <v>0.15</v>
      </c>
      <c r="K99" s="59">
        <v>201.18</v>
      </c>
      <c r="L99" s="59">
        <v>23.85</v>
      </c>
      <c r="M99" s="59">
        <v>56.94</v>
      </c>
      <c r="N99" s="59">
        <v>4.5</v>
      </c>
      <c r="O99" s="59">
        <v>0</v>
      </c>
      <c r="P99" s="59">
        <v>1.25</v>
      </c>
      <c r="Q99" s="59">
        <v>13.45</v>
      </c>
      <c r="R99" s="197"/>
      <c r="S99" s="197"/>
      <c r="T99" s="197"/>
      <c r="U99" s="197"/>
    </row>
    <row r="100" spans="1:33" s="12" customFormat="1" x14ac:dyDescent="0.25">
      <c r="A100" s="200" t="s">
        <v>2548</v>
      </c>
      <c r="B100" s="59">
        <v>38.46</v>
      </c>
      <c r="C100" s="59">
        <v>61.88</v>
      </c>
      <c r="D100" s="59">
        <v>66.73</v>
      </c>
      <c r="E100" s="59">
        <v>2.6</v>
      </c>
      <c r="F100" s="59">
        <v>4.92</v>
      </c>
      <c r="G100" s="59">
        <v>91.07</v>
      </c>
      <c r="H100" s="59">
        <v>29.1</v>
      </c>
      <c r="I100" s="214" t="s">
        <v>42</v>
      </c>
      <c r="J100" s="59">
        <v>0.13</v>
      </c>
      <c r="K100" s="59">
        <v>239.69</v>
      </c>
      <c r="L100" s="59">
        <v>23.69</v>
      </c>
      <c r="M100" s="59">
        <v>56.7</v>
      </c>
      <c r="N100" s="59">
        <v>4.3</v>
      </c>
      <c r="O100" s="59">
        <v>0</v>
      </c>
      <c r="P100" s="59">
        <v>1.17</v>
      </c>
      <c r="Q100" s="59">
        <v>18.2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2549</v>
      </c>
      <c r="B101" s="59">
        <v>44.94</v>
      </c>
      <c r="C101" s="59">
        <v>62.43</v>
      </c>
      <c r="D101" s="59">
        <v>72.239999999999995</v>
      </c>
      <c r="E101" s="59">
        <v>2.48</v>
      </c>
      <c r="F101" s="59">
        <v>3.97</v>
      </c>
      <c r="G101" s="59">
        <v>90.77</v>
      </c>
      <c r="H101" s="59">
        <v>29.19</v>
      </c>
      <c r="I101" s="214" t="s">
        <v>42</v>
      </c>
      <c r="J101" s="59">
        <v>0.28999999999999998</v>
      </c>
      <c r="K101" s="59">
        <v>167.97</v>
      </c>
      <c r="L101" s="59">
        <v>23.39</v>
      </c>
      <c r="M101" s="59">
        <v>58.38</v>
      </c>
      <c r="N101" s="59">
        <v>4.5</v>
      </c>
      <c r="O101" s="59">
        <v>0</v>
      </c>
      <c r="P101" s="59">
        <v>1.19</v>
      </c>
      <c r="Q101" s="59">
        <v>16.34</v>
      </c>
      <c r="R101" s="197"/>
      <c r="S101" s="197"/>
      <c r="T101" s="197"/>
      <c r="U101" s="197"/>
    </row>
    <row r="102" spans="1:33" s="12" customFormat="1" x14ac:dyDescent="0.25">
      <c r="A102" s="200" t="s">
        <v>2550</v>
      </c>
      <c r="B102" s="59">
        <v>39.69</v>
      </c>
      <c r="C102" s="59">
        <v>57.62</v>
      </c>
      <c r="D102" s="59">
        <v>65.37</v>
      </c>
      <c r="E102" s="59">
        <v>2.61</v>
      </c>
      <c r="F102" s="59">
        <v>4.7699999999999996</v>
      </c>
      <c r="G102" s="59">
        <v>90.77</v>
      </c>
      <c r="H102" s="59">
        <v>29.19</v>
      </c>
      <c r="I102" s="214" t="s">
        <v>42</v>
      </c>
      <c r="J102" s="59">
        <v>0.6</v>
      </c>
      <c r="K102" s="59">
        <v>96.7</v>
      </c>
      <c r="L102" s="59">
        <v>23.49</v>
      </c>
      <c r="M102" s="59">
        <v>56.8</v>
      </c>
      <c r="N102" s="59">
        <v>4.0999999999999996</v>
      </c>
      <c r="O102" s="59">
        <v>0</v>
      </c>
      <c r="P102" s="59">
        <v>1.19</v>
      </c>
      <c r="Q102" s="59">
        <v>16.55</v>
      </c>
      <c r="R102" s="197"/>
      <c r="S102" s="197"/>
      <c r="T102" s="197"/>
      <c r="U102" s="197"/>
    </row>
    <row r="103" spans="1:33" s="12" customFormat="1" x14ac:dyDescent="0.25">
      <c r="A103" s="200" t="s">
        <v>2551</v>
      </c>
      <c r="B103" s="59">
        <v>37.78</v>
      </c>
      <c r="C103" s="59">
        <v>60.71</v>
      </c>
      <c r="D103" s="59">
        <v>65.540000000000006</v>
      </c>
      <c r="E103" s="59">
        <v>2.34</v>
      </c>
      <c r="F103" s="59">
        <v>4.8499999999999996</v>
      </c>
      <c r="G103" s="59">
        <v>90.77</v>
      </c>
      <c r="H103" s="59">
        <v>29.19</v>
      </c>
      <c r="I103" s="214" t="s">
        <v>42</v>
      </c>
      <c r="J103" s="59">
        <v>0.3</v>
      </c>
      <c r="K103" s="59">
        <v>87.4</v>
      </c>
      <c r="L103" s="59">
        <v>23.32</v>
      </c>
      <c r="M103" s="59">
        <v>56.45</v>
      </c>
      <c r="N103" s="59">
        <v>4.7</v>
      </c>
      <c r="O103" s="59">
        <v>0</v>
      </c>
      <c r="P103" s="59">
        <v>1.1399999999999999</v>
      </c>
      <c r="Q103" s="59">
        <v>21</v>
      </c>
      <c r="R103" s="197"/>
      <c r="S103" s="197"/>
      <c r="T103" s="197"/>
      <c r="U103" s="197"/>
    </row>
    <row r="104" spans="1:33" s="12" customFormat="1" x14ac:dyDescent="0.25">
      <c r="A104" s="200" t="s">
        <v>2552</v>
      </c>
      <c r="B104" s="59">
        <v>41.62</v>
      </c>
      <c r="C104" s="59">
        <v>62.37</v>
      </c>
      <c r="D104" s="59">
        <v>69.540000000000006</v>
      </c>
      <c r="E104" s="59">
        <v>1.58</v>
      </c>
      <c r="F104" s="59">
        <v>2.87</v>
      </c>
      <c r="G104" s="59">
        <v>60.35</v>
      </c>
      <c r="H104" s="59">
        <v>26.1</v>
      </c>
      <c r="I104" s="214" t="s">
        <v>42</v>
      </c>
      <c r="J104" s="59">
        <v>0.1</v>
      </c>
      <c r="K104" s="59">
        <v>348.35</v>
      </c>
      <c r="L104" s="59">
        <v>22.88</v>
      </c>
      <c r="M104" s="59">
        <v>59.26</v>
      </c>
      <c r="N104" s="59">
        <v>5.0999999999999996</v>
      </c>
      <c r="O104" s="59">
        <v>0</v>
      </c>
      <c r="P104" s="59">
        <v>1.19</v>
      </c>
      <c r="Q104" s="59">
        <v>21.35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3.13</v>
      </c>
      <c r="C106" s="66">
        <f>MIN(C9:C104)</f>
        <v>39.19</v>
      </c>
      <c r="D106" s="66">
        <f t="shared" ref="D106:Q106" si="0">MIN(D9:D104)</f>
        <v>27.08</v>
      </c>
      <c r="E106" s="66">
        <f t="shared" si="0"/>
        <v>0.64</v>
      </c>
      <c r="F106" s="66">
        <f t="shared" si="0"/>
        <v>0.36</v>
      </c>
      <c r="G106" s="66">
        <f t="shared" si="0"/>
        <v>12.55</v>
      </c>
      <c r="H106" s="66">
        <f t="shared" si="0"/>
        <v>9.84</v>
      </c>
      <c r="I106" s="66">
        <f t="shared" si="0"/>
        <v>0.57999999999999996</v>
      </c>
      <c r="J106" s="66">
        <f t="shared" si="0"/>
        <v>0</v>
      </c>
      <c r="K106" s="66">
        <f t="shared" si="0"/>
        <v>2.33</v>
      </c>
      <c r="L106" s="66">
        <f t="shared" si="0"/>
        <v>18.45</v>
      </c>
      <c r="M106" s="66">
        <f t="shared" si="0"/>
        <v>29.33</v>
      </c>
      <c r="N106" s="66">
        <f t="shared" si="0"/>
        <v>3.7</v>
      </c>
      <c r="O106" s="66">
        <f t="shared" si="0"/>
        <v>0</v>
      </c>
      <c r="P106" s="66">
        <f t="shared" si="0"/>
        <v>0.38</v>
      </c>
      <c r="Q106" s="66">
        <f t="shared" si="0"/>
        <v>0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78.58</v>
      </c>
      <c r="C107" s="65">
        <f t="shared" ref="C107:Q107" si="1">MAX(C9:C104)</f>
        <v>105.03</v>
      </c>
      <c r="D107" s="65">
        <f t="shared" si="1"/>
        <v>99.95</v>
      </c>
      <c r="E107" s="65">
        <f t="shared" si="1"/>
        <v>28.55</v>
      </c>
      <c r="F107" s="65">
        <f t="shared" si="1"/>
        <v>29.92</v>
      </c>
      <c r="G107" s="65">
        <f t="shared" si="1"/>
        <v>141.34</v>
      </c>
      <c r="H107" s="65">
        <f t="shared" si="1"/>
        <v>42.54</v>
      </c>
      <c r="I107" s="65">
        <f t="shared" si="1"/>
        <v>1.03</v>
      </c>
      <c r="J107" s="65">
        <f t="shared" si="1"/>
        <v>1.19</v>
      </c>
      <c r="K107" s="65">
        <f t="shared" si="1"/>
        <v>358.36</v>
      </c>
      <c r="L107" s="65">
        <f t="shared" si="1"/>
        <v>31.5</v>
      </c>
      <c r="M107" s="65">
        <f t="shared" si="1"/>
        <v>79.67</v>
      </c>
      <c r="N107" s="65">
        <f t="shared" si="1"/>
        <v>890</v>
      </c>
      <c r="O107" s="65">
        <f t="shared" si="1"/>
        <v>0</v>
      </c>
      <c r="P107" s="65">
        <f t="shared" si="1"/>
        <v>1.81</v>
      </c>
      <c r="Q107" s="65">
        <f t="shared" si="1"/>
        <v>68.17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37.638117647058841</v>
      </c>
      <c r="C108" s="66">
        <f t="shared" ref="C108:Q108" si="2">AVERAGE(C9:C104)</f>
        <v>63.470823529411739</v>
      </c>
      <c r="D108" s="66">
        <f t="shared" si="2"/>
        <v>66.951764705882383</v>
      </c>
      <c r="E108" s="66">
        <f t="shared" si="2"/>
        <v>2.9349333333333334</v>
      </c>
      <c r="F108" s="66">
        <f t="shared" si="2"/>
        <v>4.793218390804598</v>
      </c>
      <c r="G108" s="66">
        <f t="shared" si="2"/>
        <v>71.976666666666674</v>
      </c>
      <c r="H108" s="66">
        <f t="shared" si="2"/>
        <v>27.001954022988507</v>
      </c>
      <c r="I108" s="66">
        <f t="shared" si="2"/>
        <v>0.7444642857142858</v>
      </c>
      <c r="J108" s="66">
        <f t="shared" si="2"/>
        <v>0.2949425287356322</v>
      </c>
      <c r="K108" s="66">
        <f t="shared" si="2"/>
        <v>214.73471264367814</v>
      </c>
      <c r="L108" s="66">
        <f t="shared" si="2"/>
        <v>24.926896551724148</v>
      </c>
      <c r="M108" s="66">
        <f t="shared" si="2"/>
        <v>53.377126436781595</v>
      </c>
      <c r="N108" s="66">
        <f t="shared" si="2"/>
        <v>216.13563218390809</v>
      </c>
      <c r="O108" s="66">
        <f t="shared" si="2"/>
        <v>0</v>
      </c>
      <c r="P108" s="66">
        <f t="shared" si="2"/>
        <v>1.0532558139534884</v>
      </c>
      <c r="Q108" s="66">
        <f t="shared" si="2"/>
        <v>44.429166666666667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24.11838631250702</v>
      </c>
      <c r="C109" s="66">
        <f t="shared" ref="C109:Q109" si="3">STDEV(C9:C104)</f>
        <v>10.380040394884933</v>
      </c>
      <c r="D109" s="66">
        <f t="shared" si="3"/>
        <v>19.198123679180661</v>
      </c>
      <c r="E109" s="66">
        <f t="shared" si="3"/>
        <v>3.0542435580208247</v>
      </c>
      <c r="F109" s="66">
        <f t="shared" si="3"/>
        <v>5.0323612041426617</v>
      </c>
      <c r="G109" s="66">
        <f t="shared" si="3"/>
        <v>27.314930480083287</v>
      </c>
      <c r="H109" s="66">
        <f t="shared" si="3"/>
        <v>7.632345922252938</v>
      </c>
      <c r="I109" s="66">
        <f t="shared" si="3"/>
        <v>0.12952949320671819</v>
      </c>
      <c r="J109" s="66">
        <f t="shared" si="3"/>
        <v>0.27721569791459399</v>
      </c>
      <c r="K109" s="66">
        <f t="shared" si="3"/>
        <v>91.923869838782366</v>
      </c>
      <c r="L109" s="66">
        <f t="shared" si="3"/>
        <v>4.4574563375092531</v>
      </c>
      <c r="M109" s="66">
        <f t="shared" si="3"/>
        <v>16.518517228070447</v>
      </c>
      <c r="N109" s="66">
        <f t="shared" si="3"/>
        <v>321.31337886324349</v>
      </c>
      <c r="O109" s="66">
        <f t="shared" si="3"/>
        <v>0</v>
      </c>
      <c r="P109" s="66">
        <f t="shared" si="3"/>
        <v>0.36757853697972243</v>
      </c>
      <c r="Q109" s="66">
        <f t="shared" si="3"/>
        <v>19.022084705050204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COUNT(B9:B104)+11</f>
        <v>96</v>
      </c>
      <c r="C110" s="65">
        <f>COUNT(C9:C104)+11</f>
        <v>96</v>
      </c>
      <c r="D110" s="65">
        <f>COUNT(D9:D104)+11</f>
        <v>96</v>
      </c>
      <c r="E110" s="65">
        <f>COUNT(E9:E104)+21</f>
        <v>96</v>
      </c>
      <c r="F110" s="65">
        <f>COUNT(F9:F104)+9</f>
        <v>96</v>
      </c>
      <c r="G110" s="65">
        <f>COUNT(G9:G104)+9</f>
        <v>96</v>
      </c>
      <c r="H110" s="65">
        <f>COUNT(H9:H104)+9</f>
        <v>96</v>
      </c>
      <c r="I110" s="65">
        <f>COUNT(I9:I104)+40</f>
        <v>96</v>
      </c>
      <c r="J110" s="65">
        <f>COUNT(J9:J104)+9</f>
        <v>96</v>
      </c>
      <c r="K110" s="65">
        <f>COUNT(K9:K104)+9</f>
        <v>96</v>
      </c>
      <c r="L110" s="65">
        <f>COUNT(L9:L104)+9</f>
        <v>96</v>
      </c>
      <c r="M110" s="65">
        <f>COUNT(M9:M104)+9</f>
        <v>96</v>
      </c>
      <c r="N110" s="65">
        <f>COUNT(N9:N104)+9</f>
        <v>96</v>
      </c>
      <c r="O110" s="65">
        <f>COUNT(O9:O104)+10</f>
        <v>96</v>
      </c>
      <c r="P110" s="65">
        <f>COUNT(P9:P104)+10</f>
        <v>96</v>
      </c>
      <c r="Q110" s="65">
        <f>COUNT(Q9:Q104)+12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4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&gt;90%</v>
      </c>
      <c r="O111" s="13" t="str">
        <f t="shared" si="4"/>
        <v>&gt;90%</v>
      </c>
      <c r="P111" s="13" t="str">
        <f t="shared" si="4"/>
        <v>&gt;90%</v>
      </c>
      <c r="Q111" s="13" t="str">
        <f t="shared" si="4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5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OK</v>
      </c>
      <c r="O112" s="13" t="str">
        <f t="shared" si="5"/>
        <v>OK</v>
      </c>
      <c r="P112" s="13" t="str">
        <f t="shared" si="5"/>
        <v>OK</v>
      </c>
      <c r="Q112" s="13" t="str">
        <f t="shared" si="5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25-03-2023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2553</v>
      </c>
      <c r="B9" s="59">
        <v>41.65</v>
      </c>
      <c r="C9" s="59">
        <v>59.46</v>
      </c>
      <c r="D9" s="59">
        <v>67.959999999999994</v>
      </c>
      <c r="E9" s="59">
        <v>3.13</v>
      </c>
      <c r="F9" s="59">
        <v>1.86</v>
      </c>
      <c r="G9" s="59">
        <v>59.3</v>
      </c>
      <c r="H9" s="59">
        <v>25.99</v>
      </c>
      <c r="I9" s="209" t="s">
        <v>36</v>
      </c>
      <c r="J9" s="59">
        <v>0.08</v>
      </c>
      <c r="K9" s="59">
        <v>62.39</v>
      </c>
      <c r="L9" s="59">
        <v>22.16</v>
      </c>
      <c r="M9" s="59">
        <v>62.95</v>
      </c>
      <c r="N9" s="59">
        <v>5.0999999999999996</v>
      </c>
      <c r="O9" s="59">
        <v>0</v>
      </c>
      <c r="P9" s="59">
        <v>1.18</v>
      </c>
      <c r="Q9" s="59">
        <v>18.2</v>
      </c>
      <c r="R9" s="197"/>
      <c r="S9" s="197"/>
      <c r="T9" s="197"/>
      <c r="U9" s="197"/>
    </row>
    <row r="10" spans="1:21" s="12" customFormat="1" x14ac:dyDescent="0.25">
      <c r="A10" s="200" t="s">
        <v>2554</v>
      </c>
      <c r="B10" s="59">
        <v>41.32</v>
      </c>
      <c r="C10" s="59">
        <v>60.44</v>
      </c>
      <c r="D10" s="59">
        <v>68.239999999999995</v>
      </c>
      <c r="E10" s="59">
        <v>3.38</v>
      </c>
      <c r="F10" s="59">
        <v>1.63</v>
      </c>
      <c r="G10" s="59">
        <v>59.3</v>
      </c>
      <c r="H10" s="59">
        <v>25.99</v>
      </c>
      <c r="I10" s="209" t="s">
        <v>36</v>
      </c>
      <c r="J10" s="59">
        <v>0.08</v>
      </c>
      <c r="K10" s="59">
        <v>316.94</v>
      </c>
      <c r="L10" s="59">
        <v>22.09</v>
      </c>
      <c r="M10" s="59">
        <v>62.1</v>
      </c>
      <c r="N10" s="59">
        <v>4.7</v>
      </c>
      <c r="O10" s="59">
        <v>0</v>
      </c>
      <c r="P10" s="59">
        <v>1.1599999999999999</v>
      </c>
      <c r="Q10" s="59">
        <v>17.46</v>
      </c>
      <c r="R10" s="197"/>
      <c r="S10" s="197"/>
      <c r="T10" s="197"/>
      <c r="U10" s="197"/>
    </row>
    <row r="11" spans="1:21" s="12" customFormat="1" x14ac:dyDescent="0.25">
      <c r="A11" s="200" t="s">
        <v>2555</v>
      </c>
      <c r="B11" s="59">
        <v>41.55</v>
      </c>
      <c r="C11" s="59">
        <v>62.64</v>
      </c>
      <c r="D11" s="59">
        <v>69.63</v>
      </c>
      <c r="E11" s="59">
        <v>3.34</v>
      </c>
      <c r="F11" s="59">
        <v>1.47</v>
      </c>
      <c r="G11" s="59">
        <v>59.3</v>
      </c>
      <c r="H11" s="59">
        <v>25.99</v>
      </c>
      <c r="I11" s="209" t="s">
        <v>36</v>
      </c>
      <c r="J11" s="59">
        <v>0.17</v>
      </c>
      <c r="K11" s="59">
        <v>343.89</v>
      </c>
      <c r="L11" s="59">
        <v>21.78</v>
      </c>
      <c r="M11" s="59">
        <v>64.81</v>
      </c>
      <c r="N11" s="59">
        <v>4.9000000000000004</v>
      </c>
      <c r="O11" s="59">
        <v>0</v>
      </c>
      <c r="P11" s="59">
        <v>1.1299999999999999</v>
      </c>
      <c r="Q11" s="59">
        <v>16.04</v>
      </c>
      <c r="R11" s="197"/>
      <c r="S11" s="197"/>
      <c r="T11" s="197"/>
      <c r="U11" s="197"/>
    </row>
    <row r="12" spans="1:21" s="12" customFormat="1" x14ac:dyDescent="0.25">
      <c r="A12" s="200" t="s">
        <v>2556</v>
      </c>
      <c r="B12" s="59">
        <v>41.68</v>
      </c>
      <c r="C12" s="59">
        <v>64.459999999999994</v>
      </c>
      <c r="D12" s="59">
        <v>70.739999999999995</v>
      </c>
      <c r="E12" s="59">
        <v>3.28</v>
      </c>
      <c r="F12" s="59">
        <v>1.31</v>
      </c>
      <c r="G12" s="59">
        <v>68.63</v>
      </c>
      <c r="H12" s="59">
        <v>25.2</v>
      </c>
      <c r="I12" s="209" t="s">
        <v>36</v>
      </c>
      <c r="J12" s="59">
        <v>0.1</v>
      </c>
      <c r="K12" s="59">
        <v>320.85000000000002</v>
      </c>
      <c r="L12" s="59">
        <v>21.4</v>
      </c>
      <c r="M12" s="59">
        <v>66.47</v>
      </c>
      <c r="N12" s="59">
        <v>4.9000000000000004</v>
      </c>
      <c r="O12" s="59">
        <v>0</v>
      </c>
      <c r="P12" s="59">
        <v>1.1200000000000001</v>
      </c>
      <c r="Q12" s="59">
        <v>17.25</v>
      </c>
      <c r="R12" s="197"/>
      <c r="S12" s="197"/>
      <c r="T12" s="197"/>
      <c r="U12" s="197"/>
    </row>
    <row r="13" spans="1:21" s="12" customFormat="1" x14ac:dyDescent="0.25">
      <c r="A13" s="200" t="s">
        <v>2557</v>
      </c>
      <c r="B13" s="59">
        <v>40.85</v>
      </c>
      <c r="C13" s="59">
        <v>62.94</v>
      </c>
      <c r="D13" s="59">
        <v>69.23</v>
      </c>
      <c r="E13" s="59">
        <v>2.96</v>
      </c>
      <c r="F13" s="59">
        <v>1.39</v>
      </c>
      <c r="G13" s="59">
        <v>68.95</v>
      </c>
      <c r="H13" s="59">
        <v>25.17</v>
      </c>
      <c r="I13" s="209" t="s">
        <v>36</v>
      </c>
      <c r="J13" s="59">
        <v>0.09</v>
      </c>
      <c r="K13" s="59">
        <v>236.85</v>
      </c>
      <c r="L13" s="59">
        <v>21.47</v>
      </c>
      <c r="M13" s="59">
        <v>62.55</v>
      </c>
      <c r="N13" s="59">
        <v>4.8</v>
      </c>
      <c r="O13" s="59">
        <v>0</v>
      </c>
      <c r="P13" s="59">
        <v>1.05</v>
      </c>
      <c r="Q13" s="59">
        <v>16.13</v>
      </c>
      <c r="R13" s="197"/>
      <c r="S13" s="197"/>
      <c r="T13" s="197"/>
      <c r="U13" s="197"/>
    </row>
    <row r="14" spans="1:21" s="12" customFormat="1" x14ac:dyDescent="0.25">
      <c r="A14" s="200" t="s">
        <v>2558</v>
      </c>
      <c r="B14" s="59">
        <v>40.32</v>
      </c>
      <c r="C14" s="59">
        <v>61.9</v>
      </c>
      <c r="D14" s="59">
        <v>68.23</v>
      </c>
      <c r="E14" s="59">
        <v>2.92</v>
      </c>
      <c r="F14" s="59">
        <v>1.29</v>
      </c>
      <c r="G14" s="59">
        <v>68.95</v>
      </c>
      <c r="H14" s="59">
        <v>25.17</v>
      </c>
      <c r="I14" s="209" t="s">
        <v>36</v>
      </c>
      <c r="J14" s="59">
        <v>0.14000000000000001</v>
      </c>
      <c r="K14" s="59">
        <v>3.39</v>
      </c>
      <c r="L14" s="59">
        <v>21.32</v>
      </c>
      <c r="M14" s="59">
        <v>66.09</v>
      </c>
      <c r="N14" s="59">
        <v>4.8</v>
      </c>
      <c r="O14" s="59">
        <v>0</v>
      </c>
      <c r="P14" s="59">
        <v>1.03</v>
      </c>
      <c r="Q14" s="59">
        <v>13.74</v>
      </c>
      <c r="R14" s="197"/>
      <c r="S14" s="197"/>
      <c r="T14" s="197"/>
      <c r="U14" s="197"/>
    </row>
    <row r="15" spans="1:21" s="12" customFormat="1" x14ac:dyDescent="0.25">
      <c r="A15" s="200" t="s">
        <v>2559</v>
      </c>
      <c r="B15" s="59">
        <v>38.14</v>
      </c>
      <c r="C15" s="59">
        <v>55.8</v>
      </c>
      <c r="D15" s="59">
        <v>63.12</v>
      </c>
      <c r="E15" s="59">
        <v>2.57</v>
      </c>
      <c r="F15" s="59">
        <v>1.38</v>
      </c>
      <c r="G15" s="59">
        <v>68.95</v>
      </c>
      <c r="H15" s="59">
        <v>25.17</v>
      </c>
      <c r="I15" s="209" t="s">
        <v>36</v>
      </c>
      <c r="J15" s="59">
        <v>0.22</v>
      </c>
      <c r="K15" s="59">
        <v>358.89</v>
      </c>
      <c r="L15" s="59">
        <v>20.98</v>
      </c>
      <c r="M15" s="59">
        <v>68.430000000000007</v>
      </c>
      <c r="N15" s="59">
        <v>4.8</v>
      </c>
      <c r="O15" s="59">
        <v>0</v>
      </c>
      <c r="P15" s="59">
        <v>0.98</v>
      </c>
      <c r="Q15" s="59">
        <v>6.28</v>
      </c>
      <c r="R15" s="197"/>
      <c r="S15" s="197"/>
      <c r="T15" s="197"/>
      <c r="U15" s="197"/>
    </row>
    <row r="16" spans="1:21" s="12" customFormat="1" x14ac:dyDescent="0.25">
      <c r="A16" s="200" t="s">
        <v>2560</v>
      </c>
      <c r="B16" s="59">
        <v>37.479999999999997</v>
      </c>
      <c r="C16" s="59">
        <v>56.35</v>
      </c>
      <c r="D16" s="59">
        <v>62.9</v>
      </c>
      <c r="E16" s="59">
        <v>2.84</v>
      </c>
      <c r="F16" s="59">
        <v>2.09</v>
      </c>
      <c r="G16" s="59">
        <v>70.37</v>
      </c>
      <c r="H16" s="59">
        <v>25.28</v>
      </c>
      <c r="I16" s="209" t="s">
        <v>36</v>
      </c>
      <c r="J16" s="59">
        <v>0.05</v>
      </c>
      <c r="K16" s="59">
        <v>288.25</v>
      </c>
      <c r="L16" s="59">
        <v>20.91</v>
      </c>
      <c r="M16" s="59">
        <v>65.89</v>
      </c>
      <c r="N16" s="59">
        <v>4.5</v>
      </c>
      <c r="O16" s="59">
        <v>0</v>
      </c>
      <c r="P16" s="59">
        <v>0.95</v>
      </c>
      <c r="Q16" s="59">
        <v>9.69</v>
      </c>
      <c r="R16" s="197"/>
      <c r="S16" s="197"/>
      <c r="T16" s="197"/>
      <c r="U16" s="197"/>
    </row>
    <row r="17" spans="1:21" s="12" customFormat="1" x14ac:dyDescent="0.25">
      <c r="A17" s="200" t="s">
        <v>2561</v>
      </c>
      <c r="B17" s="59">
        <v>34.11</v>
      </c>
      <c r="C17" s="59">
        <v>62.7</v>
      </c>
      <c r="D17" s="59">
        <v>63.7</v>
      </c>
      <c r="E17" s="59">
        <v>2.84</v>
      </c>
      <c r="F17" s="59">
        <v>2.2599999999999998</v>
      </c>
      <c r="G17" s="59">
        <v>70.44</v>
      </c>
      <c r="H17" s="59">
        <v>25.34</v>
      </c>
      <c r="I17" s="209" t="s">
        <v>36</v>
      </c>
      <c r="J17" s="59">
        <v>0.12</v>
      </c>
      <c r="K17" s="59">
        <v>248.68</v>
      </c>
      <c r="L17" s="59">
        <v>21.57</v>
      </c>
      <c r="M17" s="59">
        <v>62.76</v>
      </c>
      <c r="N17" s="59">
        <v>4.3</v>
      </c>
      <c r="O17" s="59">
        <v>0</v>
      </c>
      <c r="P17" s="59">
        <v>0.91</v>
      </c>
      <c r="Q17" s="59">
        <v>12.45</v>
      </c>
      <c r="R17" s="197"/>
      <c r="S17" s="197"/>
      <c r="T17" s="197"/>
      <c r="U17" s="197"/>
    </row>
    <row r="18" spans="1:21" s="12" customFormat="1" x14ac:dyDescent="0.25">
      <c r="A18" s="200" t="s">
        <v>2562</v>
      </c>
      <c r="B18" s="59">
        <v>36.479999999999997</v>
      </c>
      <c r="C18" s="59">
        <v>59.67</v>
      </c>
      <c r="D18" s="59">
        <v>63.92</v>
      </c>
      <c r="E18" s="59">
        <v>2.89</v>
      </c>
      <c r="F18" s="59">
        <v>1.87</v>
      </c>
      <c r="G18" s="59">
        <v>70.44</v>
      </c>
      <c r="H18" s="59">
        <v>25.34</v>
      </c>
      <c r="I18" s="209" t="s">
        <v>36</v>
      </c>
      <c r="J18" s="59">
        <v>0.03</v>
      </c>
      <c r="K18" s="59">
        <v>334.57</v>
      </c>
      <c r="L18" s="59">
        <v>21.03</v>
      </c>
      <c r="M18" s="59">
        <v>67.27</v>
      </c>
      <c r="N18" s="59">
        <v>5.0999999999999996</v>
      </c>
      <c r="O18" s="59">
        <v>0</v>
      </c>
      <c r="P18" s="59">
        <v>0.93</v>
      </c>
      <c r="Q18" s="59">
        <v>11.11</v>
      </c>
      <c r="R18" s="197"/>
      <c r="S18" s="197"/>
      <c r="T18" s="197"/>
      <c r="U18" s="197"/>
    </row>
    <row r="19" spans="1:21" s="12" customFormat="1" x14ac:dyDescent="0.25">
      <c r="A19" s="200" t="s">
        <v>2563</v>
      </c>
      <c r="B19" s="59">
        <v>36.979999999999997</v>
      </c>
      <c r="C19" s="59">
        <v>60.44</v>
      </c>
      <c r="D19" s="59">
        <v>64.75</v>
      </c>
      <c r="E19" s="59">
        <v>2.83</v>
      </c>
      <c r="F19" s="59">
        <v>1.5</v>
      </c>
      <c r="G19" s="59">
        <v>70.44</v>
      </c>
      <c r="H19" s="59">
        <v>25.34</v>
      </c>
      <c r="I19" s="209" t="s">
        <v>36</v>
      </c>
      <c r="J19" s="59">
        <v>0.15</v>
      </c>
      <c r="K19" s="59">
        <v>342.96</v>
      </c>
      <c r="L19" s="59">
        <v>20.79</v>
      </c>
      <c r="M19" s="59">
        <v>69.540000000000006</v>
      </c>
      <c r="N19" s="59">
        <v>4.9000000000000004</v>
      </c>
      <c r="O19" s="59">
        <v>0</v>
      </c>
      <c r="P19" s="59">
        <v>0.97</v>
      </c>
      <c r="Q19" s="59">
        <v>14.02</v>
      </c>
      <c r="R19" s="197"/>
      <c r="S19" s="197"/>
      <c r="T19" s="197"/>
      <c r="U19" s="197"/>
    </row>
    <row r="20" spans="1:21" s="12" customFormat="1" x14ac:dyDescent="0.25">
      <c r="A20" s="200" t="s">
        <v>2564</v>
      </c>
      <c r="B20" s="59">
        <v>39.369999999999997</v>
      </c>
      <c r="C20" s="59">
        <v>54.31</v>
      </c>
      <c r="D20" s="59">
        <v>63.29</v>
      </c>
      <c r="E20" s="59">
        <v>2.93</v>
      </c>
      <c r="F20" s="59">
        <v>1.4</v>
      </c>
      <c r="G20" s="59">
        <v>59.48</v>
      </c>
      <c r="H20" s="59">
        <v>23.54</v>
      </c>
      <c r="I20" s="209" t="s">
        <v>36</v>
      </c>
      <c r="J20" s="59">
        <v>0.09</v>
      </c>
      <c r="K20" s="59">
        <v>20.9</v>
      </c>
      <c r="L20" s="59">
        <v>20.37</v>
      </c>
      <c r="M20" s="59">
        <v>70.790000000000006</v>
      </c>
      <c r="N20" s="59">
        <v>5</v>
      </c>
      <c r="O20" s="59">
        <v>0</v>
      </c>
      <c r="P20" s="59">
        <v>0.96</v>
      </c>
      <c r="Q20" s="59">
        <v>14.6</v>
      </c>
      <c r="R20" s="197"/>
      <c r="S20" s="197"/>
      <c r="T20" s="197"/>
      <c r="U20" s="197"/>
    </row>
    <row r="21" spans="1:21" s="12" customFormat="1" x14ac:dyDescent="0.25">
      <c r="A21" s="200" t="s">
        <v>2565</v>
      </c>
      <c r="B21" s="59">
        <v>42.7</v>
      </c>
      <c r="C21" s="59">
        <v>54.67</v>
      </c>
      <c r="D21" s="59">
        <v>66.150000000000006</v>
      </c>
      <c r="E21" s="59">
        <v>3.08</v>
      </c>
      <c r="F21" s="59">
        <v>1.22</v>
      </c>
      <c r="G21" s="59">
        <v>58.97</v>
      </c>
      <c r="H21" s="59">
        <v>23.48</v>
      </c>
      <c r="I21" s="209" t="s">
        <v>36</v>
      </c>
      <c r="J21" s="59">
        <v>0.11</v>
      </c>
      <c r="K21" s="59">
        <v>355.47</v>
      </c>
      <c r="L21" s="59">
        <v>20.27</v>
      </c>
      <c r="M21" s="59">
        <v>71.86</v>
      </c>
      <c r="N21" s="59">
        <v>4.8</v>
      </c>
      <c r="O21" s="59">
        <v>0</v>
      </c>
      <c r="P21" s="59">
        <v>0.94</v>
      </c>
      <c r="Q21" s="59">
        <v>16.600000000000001</v>
      </c>
      <c r="R21" s="197"/>
      <c r="S21" s="197"/>
      <c r="T21" s="197"/>
      <c r="U21" s="197"/>
    </row>
    <row r="22" spans="1:21" s="12" customFormat="1" x14ac:dyDescent="0.25">
      <c r="A22" s="200" t="s">
        <v>2566</v>
      </c>
      <c r="B22" s="59">
        <v>43.4</v>
      </c>
      <c r="C22" s="59">
        <v>50.49</v>
      </c>
      <c r="D22" s="59">
        <v>64.41</v>
      </c>
      <c r="E22" s="59">
        <v>2.83</v>
      </c>
      <c r="F22" s="59">
        <v>1.59</v>
      </c>
      <c r="G22" s="59">
        <v>58.97</v>
      </c>
      <c r="H22" s="59">
        <v>23.48</v>
      </c>
      <c r="I22" s="209" t="s">
        <v>36</v>
      </c>
      <c r="J22" s="59">
        <v>0.12</v>
      </c>
      <c r="K22" s="59">
        <v>94.07</v>
      </c>
      <c r="L22" s="59">
        <v>20.27</v>
      </c>
      <c r="M22" s="59">
        <v>72.14</v>
      </c>
      <c r="N22" s="59">
        <v>4.7</v>
      </c>
      <c r="O22" s="59">
        <v>0</v>
      </c>
      <c r="P22" s="59">
        <v>0.95</v>
      </c>
      <c r="Q22" s="59">
        <v>14.47</v>
      </c>
      <c r="R22" s="197"/>
      <c r="S22" s="197"/>
      <c r="T22" s="197"/>
      <c r="U22" s="197"/>
    </row>
    <row r="23" spans="1:21" s="12" customFormat="1" x14ac:dyDescent="0.25">
      <c r="A23" s="200" t="s">
        <v>2567</v>
      </c>
      <c r="B23" s="59">
        <v>45.91</v>
      </c>
      <c r="C23" s="59">
        <v>47.33</v>
      </c>
      <c r="D23" s="59">
        <v>64.680000000000007</v>
      </c>
      <c r="E23" s="59">
        <v>3.19</v>
      </c>
      <c r="F23" s="59">
        <v>1.83</v>
      </c>
      <c r="G23" s="59">
        <v>58.97</v>
      </c>
      <c r="H23" s="59">
        <v>23.48</v>
      </c>
      <c r="I23" s="209" t="s">
        <v>36</v>
      </c>
      <c r="J23" s="59">
        <v>0.06</v>
      </c>
      <c r="K23" s="59">
        <v>76.8</v>
      </c>
      <c r="L23" s="59">
        <v>20.350000000000001</v>
      </c>
      <c r="M23" s="59">
        <v>71.959999999999994</v>
      </c>
      <c r="N23" s="59">
        <v>4.5</v>
      </c>
      <c r="O23" s="59">
        <v>0</v>
      </c>
      <c r="P23" s="59">
        <v>0.94</v>
      </c>
      <c r="Q23" s="59">
        <v>13.61</v>
      </c>
      <c r="R23" s="197"/>
      <c r="S23" s="197"/>
      <c r="T23" s="197"/>
      <c r="U23" s="197"/>
    </row>
    <row r="24" spans="1:21" s="12" customFormat="1" x14ac:dyDescent="0.25">
      <c r="A24" s="200" t="s">
        <v>2568</v>
      </c>
      <c r="B24" s="59">
        <v>46.27</v>
      </c>
      <c r="C24" s="59">
        <v>49</v>
      </c>
      <c r="D24" s="59">
        <v>65.89</v>
      </c>
      <c r="E24" s="59">
        <v>1.62</v>
      </c>
      <c r="F24" s="59">
        <v>1.57</v>
      </c>
      <c r="G24" s="59">
        <v>86.72</v>
      </c>
      <c r="H24" s="59">
        <v>26.56</v>
      </c>
      <c r="I24" s="209" t="s">
        <v>36</v>
      </c>
      <c r="J24" s="59">
        <v>0.1</v>
      </c>
      <c r="K24" s="59">
        <v>353.92</v>
      </c>
      <c r="L24" s="59">
        <v>20.07</v>
      </c>
      <c r="M24" s="59">
        <v>74.36</v>
      </c>
      <c r="N24" s="59">
        <v>4.7</v>
      </c>
      <c r="O24" s="59">
        <v>0</v>
      </c>
      <c r="P24" s="59">
        <v>0.93</v>
      </c>
      <c r="Q24" s="59">
        <v>14.32</v>
      </c>
      <c r="R24" s="197"/>
      <c r="S24" s="197"/>
      <c r="T24" s="197"/>
      <c r="U24" s="197"/>
    </row>
    <row r="25" spans="1:21" s="12" customFormat="1" x14ac:dyDescent="0.25">
      <c r="A25" s="200" t="s">
        <v>2569</v>
      </c>
      <c r="B25" s="59">
        <v>48.11</v>
      </c>
      <c r="C25" s="59">
        <v>50.93</v>
      </c>
      <c r="D25" s="59">
        <v>68.430000000000007</v>
      </c>
      <c r="E25" s="59">
        <v>3.03</v>
      </c>
      <c r="F25" s="59">
        <v>1.54</v>
      </c>
      <c r="G25" s="59">
        <v>88.02</v>
      </c>
      <c r="H25" s="59">
        <v>26.66</v>
      </c>
      <c r="I25" s="209" t="s">
        <v>36</v>
      </c>
      <c r="J25" s="59">
        <v>0.08</v>
      </c>
      <c r="K25" s="59">
        <v>290.14</v>
      </c>
      <c r="L25" s="59">
        <v>19.899999999999999</v>
      </c>
      <c r="M25" s="59">
        <v>73.67</v>
      </c>
      <c r="N25" s="59">
        <v>4.9000000000000004</v>
      </c>
      <c r="O25" s="59">
        <v>0</v>
      </c>
      <c r="P25" s="59">
        <v>0.94</v>
      </c>
      <c r="Q25" s="59">
        <v>14.73</v>
      </c>
      <c r="R25" s="197"/>
      <c r="S25" s="197"/>
      <c r="T25" s="197"/>
      <c r="U25" s="197"/>
    </row>
    <row r="26" spans="1:21" s="12" customFormat="1" x14ac:dyDescent="0.25">
      <c r="A26" s="200" t="s">
        <v>2570</v>
      </c>
      <c r="B26" s="59">
        <v>49.56</v>
      </c>
      <c r="C26" s="59">
        <v>52.87</v>
      </c>
      <c r="D26" s="59">
        <v>70.66</v>
      </c>
      <c r="E26" s="59">
        <v>2.74</v>
      </c>
      <c r="F26" s="59">
        <v>1.37</v>
      </c>
      <c r="G26" s="59">
        <v>88.02</v>
      </c>
      <c r="H26" s="59">
        <v>26.66</v>
      </c>
      <c r="I26" s="209" t="s">
        <v>36</v>
      </c>
      <c r="J26" s="59">
        <v>0.02</v>
      </c>
      <c r="K26" s="59">
        <v>309.02</v>
      </c>
      <c r="L26" s="59">
        <v>20.02</v>
      </c>
      <c r="M26" s="59">
        <v>72.37</v>
      </c>
      <c r="N26" s="59">
        <v>4.5999999999999996</v>
      </c>
      <c r="O26" s="59">
        <v>0</v>
      </c>
      <c r="P26" s="59">
        <v>0.93</v>
      </c>
      <c r="Q26" s="59">
        <v>14.73</v>
      </c>
      <c r="R26" s="197"/>
      <c r="S26" s="197"/>
      <c r="T26" s="197"/>
      <c r="U26" s="197"/>
    </row>
    <row r="27" spans="1:21" s="12" customFormat="1" x14ac:dyDescent="0.25">
      <c r="A27" s="200" t="s">
        <v>2571</v>
      </c>
      <c r="B27" s="59">
        <v>51.25</v>
      </c>
      <c r="C27" s="59">
        <v>54.89</v>
      </c>
      <c r="D27" s="59">
        <v>73.13</v>
      </c>
      <c r="E27" s="59">
        <v>2.92</v>
      </c>
      <c r="F27" s="59">
        <v>1.32</v>
      </c>
      <c r="G27" s="59">
        <v>88.02</v>
      </c>
      <c r="H27" s="59">
        <v>26.66</v>
      </c>
      <c r="I27" s="209" t="s">
        <v>36</v>
      </c>
      <c r="J27" s="59">
        <v>7.0000000000000007E-2</v>
      </c>
      <c r="K27" s="59">
        <v>227.55</v>
      </c>
      <c r="L27" s="59">
        <v>20.05</v>
      </c>
      <c r="M27" s="59">
        <v>71.89</v>
      </c>
      <c r="N27" s="59">
        <v>4.7</v>
      </c>
      <c r="O27" s="59">
        <v>0</v>
      </c>
      <c r="P27" s="59">
        <v>0.92</v>
      </c>
      <c r="Q27" s="59">
        <v>15.1</v>
      </c>
      <c r="R27" s="197"/>
      <c r="S27" s="197"/>
      <c r="T27" s="197"/>
      <c r="U27" s="197"/>
    </row>
    <row r="28" spans="1:21" s="12" customFormat="1" x14ac:dyDescent="0.25">
      <c r="A28" s="200" t="s">
        <v>2572</v>
      </c>
      <c r="B28" s="59">
        <v>53.04</v>
      </c>
      <c r="C28" s="59">
        <v>57.33</v>
      </c>
      <c r="D28" s="59">
        <v>75.91</v>
      </c>
      <c r="E28" s="59">
        <v>2.96</v>
      </c>
      <c r="F28" s="59">
        <v>1.2</v>
      </c>
      <c r="G28" s="59">
        <v>101.44</v>
      </c>
      <c r="H28" s="59">
        <v>30.18</v>
      </c>
      <c r="I28" s="209" t="s">
        <v>36</v>
      </c>
      <c r="J28" s="59">
        <v>0.1</v>
      </c>
      <c r="K28" s="59">
        <v>345.94</v>
      </c>
      <c r="L28" s="59">
        <v>19.95</v>
      </c>
      <c r="M28" s="59">
        <v>74.319999999999993</v>
      </c>
      <c r="N28" s="59">
        <v>4.8</v>
      </c>
      <c r="O28" s="59">
        <v>0</v>
      </c>
      <c r="P28" s="59">
        <v>0.91</v>
      </c>
      <c r="Q28" s="59">
        <v>18.440000000000001</v>
      </c>
      <c r="R28" s="197"/>
      <c r="S28" s="197"/>
      <c r="T28" s="197"/>
      <c r="U28" s="197"/>
    </row>
    <row r="29" spans="1:21" s="12" customFormat="1" x14ac:dyDescent="0.25">
      <c r="A29" s="200" t="s">
        <v>2573</v>
      </c>
      <c r="B29" s="59">
        <v>66.34</v>
      </c>
      <c r="C29" s="59">
        <v>52.06</v>
      </c>
      <c r="D29" s="59">
        <v>83.67</v>
      </c>
      <c r="E29" s="59">
        <v>3</v>
      </c>
      <c r="F29" s="59">
        <v>1.21</v>
      </c>
      <c r="G29" s="59">
        <v>102.07</v>
      </c>
      <c r="H29" s="59">
        <v>30.3</v>
      </c>
      <c r="I29" s="209" t="s">
        <v>36</v>
      </c>
      <c r="J29" s="59">
        <v>0.12</v>
      </c>
      <c r="K29" s="59">
        <v>348.91</v>
      </c>
      <c r="L29" s="59">
        <v>19.63</v>
      </c>
      <c r="M29" s="59">
        <v>76.239999999999995</v>
      </c>
      <c r="N29" s="59">
        <v>4.8</v>
      </c>
      <c r="O29" s="59">
        <v>0</v>
      </c>
      <c r="P29" s="59">
        <v>0.94</v>
      </c>
      <c r="Q29" s="59">
        <v>10.82</v>
      </c>
      <c r="R29" s="197"/>
      <c r="S29" s="197"/>
      <c r="T29" s="197"/>
      <c r="U29" s="197"/>
    </row>
    <row r="30" spans="1:21" s="12" customFormat="1" x14ac:dyDescent="0.25">
      <c r="A30" s="200" t="s">
        <v>2574</v>
      </c>
      <c r="B30" s="59">
        <v>68.58</v>
      </c>
      <c r="C30" s="59">
        <v>57.06</v>
      </c>
      <c r="D30" s="59">
        <v>88.23</v>
      </c>
      <c r="E30" s="59">
        <v>2.9</v>
      </c>
      <c r="F30" s="59">
        <v>1.1399999999999999</v>
      </c>
      <c r="G30" s="59">
        <v>102.07</v>
      </c>
      <c r="H30" s="59">
        <v>30.3</v>
      </c>
      <c r="I30" s="209" t="s">
        <v>36</v>
      </c>
      <c r="J30" s="59">
        <v>0.09</v>
      </c>
      <c r="K30" s="59">
        <v>116.66</v>
      </c>
      <c r="L30" s="59">
        <v>19.62</v>
      </c>
      <c r="M30" s="59">
        <v>76.319999999999993</v>
      </c>
      <c r="N30" s="59">
        <v>4.7</v>
      </c>
      <c r="O30" s="59">
        <v>0</v>
      </c>
      <c r="P30" s="59">
        <v>0.97</v>
      </c>
      <c r="Q30" s="59">
        <v>13.6</v>
      </c>
      <c r="R30" s="197"/>
      <c r="S30" s="197"/>
      <c r="T30" s="197"/>
      <c r="U30" s="197"/>
    </row>
    <row r="31" spans="1:21" s="12" customFormat="1" x14ac:dyDescent="0.25">
      <c r="A31" s="200" t="s">
        <v>2575</v>
      </c>
      <c r="B31" s="59">
        <v>70.819999999999993</v>
      </c>
      <c r="C31" s="59">
        <v>55.72</v>
      </c>
      <c r="D31" s="59">
        <v>89.29</v>
      </c>
      <c r="E31" s="59">
        <v>2.6</v>
      </c>
      <c r="F31" s="59">
        <v>1.1100000000000001</v>
      </c>
      <c r="G31" s="59">
        <v>102.07</v>
      </c>
      <c r="H31" s="59">
        <v>30.3</v>
      </c>
      <c r="I31" s="209" t="s">
        <v>36</v>
      </c>
      <c r="J31" s="59">
        <v>0.08</v>
      </c>
      <c r="K31" s="59">
        <v>318.44</v>
      </c>
      <c r="L31" s="59">
        <v>19.98</v>
      </c>
      <c r="M31" s="59">
        <v>75.39</v>
      </c>
      <c r="N31" s="59">
        <v>4.5</v>
      </c>
      <c r="O31" s="59">
        <v>0</v>
      </c>
      <c r="P31" s="59">
        <v>0.93</v>
      </c>
      <c r="Q31" s="59">
        <v>17.3</v>
      </c>
      <c r="R31" s="197"/>
      <c r="S31" s="197"/>
      <c r="T31" s="197"/>
      <c r="U31" s="197"/>
    </row>
    <row r="32" spans="1:21" s="12" customFormat="1" x14ac:dyDescent="0.25">
      <c r="A32" s="200" t="s">
        <v>2576</v>
      </c>
      <c r="B32" s="59">
        <v>67.81</v>
      </c>
      <c r="C32" s="59">
        <v>59.69</v>
      </c>
      <c r="D32" s="59">
        <v>89.06</v>
      </c>
      <c r="E32" s="59">
        <v>3.02</v>
      </c>
      <c r="F32" s="59">
        <v>1.29</v>
      </c>
      <c r="G32" s="59">
        <v>124.17</v>
      </c>
      <c r="H32" s="59">
        <v>35.69</v>
      </c>
      <c r="I32" s="209" t="s">
        <v>36</v>
      </c>
      <c r="J32" s="59">
        <v>7.0000000000000007E-2</v>
      </c>
      <c r="K32" s="59">
        <v>272.11</v>
      </c>
      <c r="L32" s="59">
        <v>19.71</v>
      </c>
      <c r="M32" s="59">
        <v>75.38</v>
      </c>
      <c r="N32" s="59">
        <v>7.1</v>
      </c>
      <c r="O32" s="59">
        <v>0</v>
      </c>
      <c r="P32" s="59">
        <v>0.93</v>
      </c>
      <c r="Q32" s="59">
        <v>21.27</v>
      </c>
      <c r="R32" s="197"/>
      <c r="S32" s="197"/>
      <c r="T32" s="197"/>
      <c r="U32" s="197"/>
    </row>
    <row r="33" spans="1:21" s="12" customFormat="1" x14ac:dyDescent="0.25">
      <c r="A33" s="200" t="s">
        <v>2577</v>
      </c>
      <c r="B33" s="59">
        <v>62.56</v>
      </c>
      <c r="C33" s="59">
        <v>57.48</v>
      </c>
      <c r="D33" s="59">
        <v>83.63</v>
      </c>
      <c r="E33" s="59">
        <v>3.08</v>
      </c>
      <c r="F33" s="59">
        <v>1.35</v>
      </c>
      <c r="G33" s="59">
        <v>124.93</v>
      </c>
      <c r="H33" s="59">
        <v>35.880000000000003</v>
      </c>
      <c r="I33" s="209" t="s">
        <v>36</v>
      </c>
      <c r="J33" s="59">
        <v>0.27</v>
      </c>
      <c r="K33" s="59">
        <v>238.76</v>
      </c>
      <c r="L33" s="59">
        <v>20.190000000000001</v>
      </c>
      <c r="M33" s="59">
        <v>72.36</v>
      </c>
      <c r="N33" s="59">
        <v>16.2</v>
      </c>
      <c r="O33" s="59">
        <v>0</v>
      </c>
      <c r="P33" s="59">
        <v>0.92</v>
      </c>
      <c r="Q33" s="59">
        <v>18.97</v>
      </c>
      <c r="R33" s="197"/>
      <c r="S33" s="197"/>
      <c r="T33" s="197"/>
      <c r="U33" s="197"/>
    </row>
    <row r="34" spans="1:21" s="12" customFormat="1" x14ac:dyDescent="0.25">
      <c r="A34" s="200" t="s">
        <v>2578</v>
      </c>
      <c r="B34" s="59">
        <v>64.12</v>
      </c>
      <c r="C34" s="59">
        <v>59.81</v>
      </c>
      <c r="D34" s="59">
        <v>86.17</v>
      </c>
      <c r="E34" s="59">
        <v>3.14</v>
      </c>
      <c r="F34" s="59">
        <v>1.58</v>
      </c>
      <c r="G34" s="59">
        <v>124.93</v>
      </c>
      <c r="H34" s="59">
        <v>35.880000000000003</v>
      </c>
      <c r="I34" s="209" t="s">
        <v>36</v>
      </c>
      <c r="J34" s="59">
        <v>0.53</v>
      </c>
      <c r="K34" s="59">
        <v>171.32</v>
      </c>
      <c r="L34" s="59">
        <v>20.74</v>
      </c>
      <c r="M34" s="59">
        <v>70.06</v>
      </c>
      <c r="N34" s="59">
        <v>36</v>
      </c>
      <c r="O34" s="59">
        <v>0</v>
      </c>
      <c r="P34" s="59">
        <v>0.92</v>
      </c>
      <c r="Q34" s="59">
        <v>22.49</v>
      </c>
      <c r="R34" s="197"/>
      <c r="S34" s="197"/>
      <c r="T34" s="197"/>
      <c r="U34" s="197"/>
    </row>
    <row r="35" spans="1:21" s="12" customFormat="1" x14ac:dyDescent="0.25">
      <c r="A35" s="200" t="s">
        <v>2579</v>
      </c>
      <c r="B35" s="59">
        <v>65.88</v>
      </c>
      <c r="C35" s="59">
        <v>57.04</v>
      </c>
      <c r="D35" s="59">
        <v>86.05</v>
      </c>
      <c r="E35" s="59">
        <v>3.09</v>
      </c>
      <c r="F35" s="59">
        <v>1.64</v>
      </c>
      <c r="G35" s="59">
        <v>124.93</v>
      </c>
      <c r="H35" s="59">
        <v>35.880000000000003</v>
      </c>
      <c r="I35" s="209" t="s">
        <v>36</v>
      </c>
      <c r="J35" s="59">
        <v>0.25</v>
      </c>
      <c r="K35" s="59">
        <v>145.72</v>
      </c>
      <c r="L35" s="59">
        <v>21.19</v>
      </c>
      <c r="M35" s="59">
        <v>68.81</v>
      </c>
      <c r="N35" s="59">
        <v>68.400000000000006</v>
      </c>
      <c r="O35" s="59">
        <v>0</v>
      </c>
      <c r="P35" s="59">
        <v>0.92</v>
      </c>
      <c r="Q35" s="59">
        <v>19.27</v>
      </c>
      <c r="R35" s="197"/>
      <c r="S35" s="197"/>
      <c r="T35" s="197"/>
      <c r="U35" s="197"/>
    </row>
    <row r="36" spans="1:21" s="12" customFormat="1" x14ac:dyDescent="0.25">
      <c r="A36" s="200" t="s">
        <v>2580</v>
      </c>
      <c r="B36" s="59">
        <v>66.319999999999993</v>
      </c>
      <c r="C36" s="59">
        <v>60.99</v>
      </c>
      <c r="D36" s="59">
        <v>88.58</v>
      </c>
      <c r="E36" s="59">
        <v>2.96</v>
      </c>
      <c r="F36" s="59">
        <v>1.65</v>
      </c>
      <c r="G36" s="59">
        <v>80.099999999999994</v>
      </c>
      <c r="H36" s="59">
        <v>32.92</v>
      </c>
      <c r="I36" s="209" t="s">
        <v>36</v>
      </c>
      <c r="J36" s="59">
        <v>0.32</v>
      </c>
      <c r="K36" s="59">
        <v>96.07</v>
      </c>
      <c r="L36" s="59">
        <v>21.81</v>
      </c>
      <c r="M36" s="59">
        <v>66.819999999999993</v>
      </c>
      <c r="N36" s="59">
        <v>108.6</v>
      </c>
      <c r="O36" s="59">
        <v>0</v>
      </c>
      <c r="P36" s="59">
        <v>0.92</v>
      </c>
      <c r="Q36" s="59">
        <v>25.88</v>
      </c>
      <c r="R36" s="197"/>
      <c r="S36" s="197"/>
      <c r="T36" s="197"/>
      <c r="U36" s="197"/>
    </row>
    <row r="37" spans="1:21" s="12" customFormat="1" x14ac:dyDescent="0.25">
      <c r="A37" s="200" t="s">
        <v>2581</v>
      </c>
      <c r="B37" s="59">
        <v>64.680000000000007</v>
      </c>
      <c r="C37" s="59">
        <v>58.21</v>
      </c>
      <c r="D37" s="59">
        <v>85.73</v>
      </c>
      <c r="E37" s="59">
        <v>3.14</v>
      </c>
      <c r="F37" s="59">
        <v>1.57</v>
      </c>
      <c r="G37" s="59">
        <v>78.010000000000005</v>
      </c>
      <c r="H37" s="59">
        <v>32.79</v>
      </c>
      <c r="I37" s="209" t="s">
        <v>36</v>
      </c>
      <c r="J37" s="59">
        <v>0.45</v>
      </c>
      <c r="K37" s="59">
        <v>116.21</v>
      </c>
      <c r="L37" s="59">
        <v>22.53</v>
      </c>
      <c r="M37" s="59">
        <v>64.47</v>
      </c>
      <c r="N37" s="59">
        <v>149.6</v>
      </c>
      <c r="O37" s="59">
        <v>0</v>
      </c>
      <c r="P37" s="59">
        <v>0.85</v>
      </c>
      <c r="Q37" s="59">
        <v>23.82</v>
      </c>
      <c r="R37" s="197"/>
      <c r="S37" s="197"/>
      <c r="T37" s="197"/>
      <c r="U37" s="197"/>
    </row>
    <row r="38" spans="1:21" s="12" customFormat="1" x14ac:dyDescent="0.25">
      <c r="A38" s="200" t="s">
        <v>2582</v>
      </c>
      <c r="B38" s="59">
        <v>61.37</v>
      </c>
      <c r="C38" s="59">
        <v>55.58</v>
      </c>
      <c r="D38" s="59">
        <v>81.63</v>
      </c>
      <c r="E38" s="59">
        <v>3.18</v>
      </c>
      <c r="F38" s="59">
        <v>1.56</v>
      </c>
      <c r="G38" s="59">
        <v>78.010000000000005</v>
      </c>
      <c r="H38" s="59">
        <v>32.79</v>
      </c>
      <c r="I38" s="209" t="s">
        <v>36</v>
      </c>
      <c r="J38" s="59">
        <v>0.72</v>
      </c>
      <c r="K38" s="59">
        <v>107.88</v>
      </c>
      <c r="L38" s="59">
        <v>22.95</v>
      </c>
      <c r="M38" s="59">
        <v>62.14</v>
      </c>
      <c r="N38" s="59">
        <v>195.7</v>
      </c>
      <c r="O38" s="59">
        <v>0</v>
      </c>
      <c r="P38" s="59">
        <v>0.88</v>
      </c>
      <c r="Q38" s="59">
        <v>20.78</v>
      </c>
      <c r="R38" s="197"/>
      <c r="S38" s="197"/>
      <c r="T38" s="197"/>
      <c r="U38" s="197"/>
    </row>
    <row r="39" spans="1:21" s="12" customFormat="1" x14ac:dyDescent="0.25">
      <c r="A39" s="200" t="s">
        <v>2583</v>
      </c>
      <c r="B39" s="59">
        <v>56.96</v>
      </c>
      <c r="C39" s="59">
        <v>55.48</v>
      </c>
      <c r="D39" s="59">
        <v>78.040000000000006</v>
      </c>
      <c r="E39" s="59">
        <v>3.12</v>
      </c>
      <c r="F39" s="59">
        <v>1.51</v>
      </c>
      <c r="G39" s="59">
        <v>78.010000000000005</v>
      </c>
      <c r="H39" s="59">
        <v>32.79</v>
      </c>
      <c r="I39" s="209" t="s">
        <v>36</v>
      </c>
      <c r="J39" s="59">
        <v>0.4</v>
      </c>
      <c r="K39" s="59">
        <v>212.28</v>
      </c>
      <c r="L39" s="59">
        <v>23.8</v>
      </c>
      <c r="M39" s="59">
        <v>58.82</v>
      </c>
      <c r="N39" s="59">
        <v>250.8</v>
      </c>
      <c r="O39" s="59">
        <v>0</v>
      </c>
      <c r="P39" s="59">
        <v>0.87</v>
      </c>
      <c r="Q39" s="59">
        <v>19.010000000000002</v>
      </c>
      <c r="R39" s="197"/>
      <c r="S39" s="197"/>
      <c r="T39" s="197"/>
      <c r="U39" s="197"/>
    </row>
    <row r="40" spans="1:21" s="12" customFormat="1" x14ac:dyDescent="0.25">
      <c r="A40" s="200" t="s">
        <v>2584</v>
      </c>
      <c r="B40" s="59">
        <v>52.29</v>
      </c>
      <c r="C40" s="59">
        <v>58.28</v>
      </c>
      <c r="D40" s="59">
        <v>75.84</v>
      </c>
      <c r="E40" s="59">
        <v>1.22</v>
      </c>
      <c r="F40" s="59">
        <v>1.68</v>
      </c>
      <c r="G40" s="59">
        <v>53.27</v>
      </c>
      <c r="H40" s="59">
        <v>29.55</v>
      </c>
      <c r="I40" s="209" t="s">
        <v>36</v>
      </c>
      <c r="J40" s="59">
        <v>0.21</v>
      </c>
      <c r="K40" s="59">
        <v>170.67</v>
      </c>
      <c r="L40" s="59">
        <v>25.13</v>
      </c>
      <c r="M40" s="59">
        <v>54.4</v>
      </c>
      <c r="N40" s="59">
        <v>306.10000000000002</v>
      </c>
      <c r="O40" s="59">
        <v>0</v>
      </c>
      <c r="P40" s="59">
        <v>0.86</v>
      </c>
      <c r="Q40" s="59">
        <v>18.489999999999998</v>
      </c>
      <c r="R40" s="197"/>
      <c r="S40" s="197"/>
      <c r="T40" s="197"/>
      <c r="U40" s="197"/>
    </row>
    <row r="41" spans="1:21" s="12" customFormat="1" x14ac:dyDescent="0.25">
      <c r="A41" s="200" t="s">
        <v>2585</v>
      </c>
      <c r="B41" s="59">
        <v>46.78</v>
      </c>
      <c r="C41" s="59">
        <v>56.68</v>
      </c>
      <c r="D41" s="59">
        <v>70.540000000000006</v>
      </c>
      <c r="E41" s="59">
        <v>2.46</v>
      </c>
      <c r="F41" s="59">
        <v>1.84</v>
      </c>
      <c r="G41" s="59">
        <v>52.42</v>
      </c>
      <c r="H41" s="59">
        <v>29.44</v>
      </c>
      <c r="I41" s="209" t="s">
        <v>36</v>
      </c>
      <c r="J41" s="59">
        <v>0.2</v>
      </c>
      <c r="K41" s="59">
        <v>130.82</v>
      </c>
      <c r="L41" s="59">
        <v>26.19</v>
      </c>
      <c r="M41" s="59">
        <v>51.96</v>
      </c>
      <c r="N41" s="59">
        <v>359.8</v>
      </c>
      <c r="O41" s="59">
        <v>0</v>
      </c>
      <c r="P41" s="59">
        <v>0.84</v>
      </c>
      <c r="Q41" s="59">
        <v>15.85</v>
      </c>
      <c r="R41" s="197"/>
      <c r="S41" s="197"/>
      <c r="T41" s="197"/>
      <c r="U41" s="197"/>
    </row>
    <row r="42" spans="1:21" s="12" customFormat="1" x14ac:dyDescent="0.25">
      <c r="A42" s="200" t="s">
        <v>2586</v>
      </c>
      <c r="B42" s="59">
        <v>44.14</v>
      </c>
      <c r="C42" s="59">
        <v>58.08</v>
      </c>
      <c r="D42" s="59">
        <v>69.19</v>
      </c>
      <c r="E42" s="59">
        <v>2.1</v>
      </c>
      <c r="F42" s="59">
        <v>1.74</v>
      </c>
      <c r="G42" s="59">
        <v>52.42</v>
      </c>
      <c r="H42" s="59">
        <v>29.44</v>
      </c>
      <c r="I42" s="209" t="s">
        <v>36</v>
      </c>
      <c r="J42" s="59">
        <v>0.54</v>
      </c>
      <c r="K42" s="59">
        <v>198.39</v>
      </c>
      <c r="L42" s="59">
        <v>26.09</v>
      </c>
      <c r="M42" s="59">
        <v>52.08</v>
      </c>
      <c r="N42" s="59">
        <v>412.4</v>
      </c>
      <c r="O42" s="59">
        <v>0</v>
      </c>
      <c r="P42" s="59">
        <v>0.84</v>
      </c>
      <c r="Q42" s="59">
        <v>13.99</v>
      </c>
      <c r="R42" s="197"/>
      <c r="S42" s="197"/>
      <c r="T42" s="197"/>
      <c r="U42" s="197"/>
    </row>
    <row r="43" spans="1:21" s="12" customFormat="1" x14ac:dyDescent="0.25">
      <c r="A43" s="200" t="s">
        <v>2587</v>
      </c>
      <c r="B43" s="59">
        <v>34.729999999999997</v>
      </c>
      <c r="C43" s="59">
        <v>54.21</v>
      </c>
      <c r="D43" s="59">
        <v>59.51</v>
      </c>
      <c r="E43" s="59">
        <v>2.54</v>
      </c>
      <c r="F43" s="59">
        <v>5.05</v>
      </c>
      <c r="G43" s="59">
        <v>52.42</v>
      </c>
      <c r="H43" s="59">
        <v>29.44</v>
      </c>
      <c r="I43" s="209" t="s">
        <v>36</v>
      </c>
      <c r="J43" s="59">
        <v>0.65</v>
      </c>
      <c r="K43" s="59">
        <v>109.17</v>
      </c>
      <c r="L43" s="59">
        <v>26.42</v>
      </c>
      <c r="M43" s="59">
        <v>50.94</v>
      </c>
      <c r="N43" s="59">
        <v>478.8</v>
      </c>
      <c r="O43" s="59">
        <v>0</v>
      </c>
      <c r="P43" s="59">
        <v>0.82</v>
      </c>
      <c r="Q43" s="59">
        <v>6.84</v>
      </c>
      <c r="R43" s="197"/>
      <c r="S43" s="197"/>
      <c r="T43" s="197"/>
      <c r="U43" s="197"/>
    </row>
    <row r="44" spans="1:21" s="12" customFormat="1" x14ac:dyDescent="0.25">
      <c r="A44" s="200" t="s">
        <v>2588</v>
      </c>
      <c r="B44" s="59">
        <v>33.909999999999997</v>
      </c>
      <c r="C44" s="59">
        <v>58.76</v>
      </c>
      <c r="D44" s="59">
        <v>61.37</v>
      </c>
      <c r="E44" s="59">
        <v>3.13</v>
      </c>
      <c r="F44" s="59">
        <v>6.52</v>
      </c>
      <c r="G44" s="59">
        <v>60.42</v>
      </c>
      <c r="H44" s="59">
        <v>29.33</v>
      </c>
      <c r="I44" s="209" t="s">
        <v>36</v>
      </c>
      <c r="J44" s="59">
        <v>0.79</v>
      </c>
      <c r="K44" s="59">
        <v>109.02</v>
      </c>
      <c r="L44" s="59">
        <v>26.72</v>
      </c>
      <c r="M44" s="59">
        <v>50.35</v>
      </c>
      <c r="N44" s="59">
        <v>538.79999999999995</v>
      </c>
      <c r="O44" s="59">
        <v>0</v>
      </c>
      <c r="P44" s="59">
        <v>0.83</v>
      </c>
      <c r="Q44" s="59">
        <v>8.02</v>
      </c>
      <c r="R44" s="197"/>
      <c r="S44" s="197"/>
      <c r="T44" s="197"/>
      <c r="U44" s="197"/>
    </row>
    <row r="45" spans="1:21" s="12" customFormat="1" x14ac:dyDescent="0.25">
      <c r="A45" s="200" t="s">
        <v>2589</v>
      </c>
      <c r="B45" s="59">
        <v>30.71</v>
      </c>
      <c r="C45" s="59">
        <v>58.43</v>
      </c>
      <c r="D45" s="59">
        <v>58.62</v>
      </c>
      <c r="E45" s="59">
        <v>3.63</v>
      </c>
      <c r="F45" s="59">
        <v>7.71</v>
      </c>
      <c r="G45" s="59">
        <v>60.7</v>
      </c>
      <c r="H45" s="59">
        <v>29.32</v>
      </c>
      <c r="I45" s="209" t="s">
        <v>36</v>
      </c>
      <c r="J45" s="59">
        <v>0.5</v>
      </c>
      <c r="K45" s="59">
        <v>108.59</v>
      </c>
      <c r="L45" s="59">
        <v>27.8</v>
      </c>
      <c r="M45" s="59">
        <v>45.39</v>
      </c>
      <c r="N45" s="59">
        <v>587.4</v>
      </c>
      <c r="O45" s="59">
        <v>0</v>
      </c>
      <c r="P45" s="59">
        <v>0.81</v>
      </c>
      <c r="Q45" s="59">
        <v>8.4</v>
      </c>
      <c r="R45" s="197"/>
      <c r="S45" s="197"/>
      <c r="T45" s="197"/>
      <c r="U45" s="197"/>
    </row>
    <row r="46" spans="1:21" s="12" customFormat="1" x14ac:dyDescent="0.25">
      <c r="A46" s="200" t="s">
        <v>2590</v>
      </c>
      <c r="B46" s="59">
        <v>30.23</v>
      </c>
      <c r="C46" s="59">
        <v>59.11</v>
      </c>
      <c r="D46" s="59">
        <v>58.6</v>
      </c>
      <c r="E46" s="59">
        <v>4.55</v>
      </c>
      <c r="F46" s="59">
        <v>8.09</v>
      </c>
      <c r="G46" s="59">
        <v>60.7</v>
      </c>
      <c r="H46" s="59">
        <v>29.32</v>
      </c>
      <c r="I46" s="209" t="s">
        <v>36</v>
      </c>
      <c r="J46" s="59">
        <v>0.53</v>
      </c>
      <c r="K46" s="59">
        <v>85.16</v>
      </c>
      <c r="L46" s="59">
        <v>29.53</v>
      </c>
      <c r="M46" s="59">
        <v>41.95</v>
      </c>
      <c r="N46" s="59">
        <v>626.29999999999995</v>
      </c>
      <c r="O46" s="59">
        <v>0</v>
      </c>
      <c r="P46" s="59">
        <v>0.82</v>
      </c>
      <c r="Q46" s="59">
        <v>9.24</v>
      </c>
      <c r="R46" s="197"/>
      <c r="S46" s="197"/>
      <c r="T46" s="197"/>
      <c r="U46" s="197"/>
    </row>
    <row r="47" spans="1:21" s="12" customFormat="1" x14ac:dyDescent="0.25">
      <c r="A47" s="200" t="s">
        <v>2591</v>
      </c>
      <c r="B47" s="59">
        <v>28.46</v>
      </c>
      <c r="C47" s="59">
        <v>59.76</v>
      </c>
      <c r="D47" s="59">
        <v>57.54</v>
      </c>
      <c r="E47" s="59">
        <v>3.91</v>
      </c>
      <c r="F47" s="59">
        <v>8.58</v>
      </c>
      <c r="G47" s="59">
        <v>60.7</v>
      </c>
      <c r="H47" s="59">
        <v>29.32</v>
      </c>
      <c r="I47" s="209" t="s">
        <v>36</v>
      </c>
      <c r="J47" s="59">
        <v>0.23</v>
      </c>
      <c r="K47" s="59">
        <v>72.53</v>
      </c>
      <c r="L47" s="59">
        <v>30.09</v>
      </c>
      <c r="M47" s="59">
        <v>40.479999999999997</v>
      </c>
      <c r="N47" s="59">
        <v>671.1</v>
      </c>
      <c r="O47" s="59">
        <v>0</v>
      </c>
      <c r="P47" s="59">
        <v>0.83</v>
      </c>
      <c r="Q47" s="59">
        <v>9.4600000000000009</v>
      </c>
      <c r="R47" s="197"/>
      <c r="S47" s="197"/>
      <c r="T47" s="197"/>
      <c r="U47" s="197"/>
    </row>
    <row r="48" spans="1:21" s="12" customFormat="1" x14ac:dyDescent="0.25">
      <c r="A48" s="200" t="s">
        <v>2592</v>
      </c>
      <c r="B48" s="59">
        <v>25.08</v>
      </c>
      <c r="C48" s="59">
        <v>52.49</v>
      </c>
      <c r="D48" s="59">
        <v>50.82</v>
      </c>
      <c r="E48" s="59">
        <v>3.77</v>
      </c>
      <c r="F48" s="59">
        <v>7.93</v>
      </c>
      <c r="G48" s="59">
        <v>57.85</v>
      </c>
      <c r="H48" s="59">
        <v>28.88</v>
      </c>
      <c r="I48" s="209" t="s">
        <v>36</v>
      </c>
      <c r="J48" s="59">
        <v>0.74</v>
      </c>
      <c r="K48" s="59">
        <v>179.78</v>
      </c>
      <c r="L48" s="59">
        <v>29.27</v>
      </c>
      <c r="M48" s="59">
        <v>40.93</v>
      </c>
      <c r="N48" s="59">
        <v>718.9</v>
      </c>
      <c r="O48" s="59">
        <v>0</v>
      </c>
      <c r="P48" s="59">
        <v>0.8</v>
      </c>
      <c r="Q48" s="59">
        <v>4.5599999999999996</v>
      </c>
      <c r="R48" s="197"/>
      <c r="S48" s="197"/>
      <c r="T48" s="197"/>
      <c r="U48" s="197"/>
    </row>
    <row r="49" spans="1:21" s="12" customFormat="1" x14ac:dyDescent="0.25">
      <c r="A49" s="200" t="s">
        <v>2593</v>
      </c>
      <c r="B49" s="59">
        <v>22.7</v>
      </c>
      <c r="C49" s="59">
        <v>67.209999999999994</v>
      </c>
      <c r="D49" s="59">
        <v>57.03</v>
      </c>
      <c r="E49" s="59">
        <v>3.28</v>
      </c>
      <c r="F49" s="59">
        <v>7.95</v>
      </c>
      <c r="G49" s="59">
        <v>57.75</v>
      </c>
      <c r="H49" s="59">
        <v>28.86</v>
      </c>
      <c r="I49" s="209" t="s">
        <v>36</v>
      </c>
      <c r="J49" s="59">
        <v>0.26</v>
      </c>
      <c r="K49" s="59">
        <v>212.86</v>
      </c>
      <c r="L49" s="59">
        <v>30.5</v>
      </c>
      <c r="M49" s="59">
        <v>38.42</v>
      </c>
      <c r="N49" s="59">
        <v>735.3</v>
      </c>
      <c r="O49" s="59">
        <v>0</v>
      </c>
      <c r="P49" s="59">
        <v>0.8</v>
      </c>
      <c r="Q49" s="59">
        <v>10.91</v>
      </c>
      <c r="R49" s="197"/>
      <c r="S49" s="197"/>
      <c r="T49" s="197"/>
      <c r="U49" s="197"/>
    </row>
    <row r="50" spans="1:21" s="12" customFormat="1" x14ac:dyDescent="0.25">
      <c r="A50" s="200" t="s">
        <v>2594</v>
      </c>
      <c r="B50" s="59">
        <v>9.51</v>
      </c>
      <c r="C50" s="59">
        <v>45.05</v>
      </c>
      <c r="D50" s="59">
        <v>34.229999999999997</v>
      </c>
      <c r="E50" s="59">
        <v>4.87</v>
      </c>
      <c r="F50" s="59">
        <v>32.28</v>
      </c>
      <c r="G50" s="59">
        <v>57.75</v>
      </c>
      <c r="H50" s="59">
        <v>28.86</v>
      </c>
      <c r="I50" s="209" t="s">
        <v>36</v>
      </c>
      <c r="J50" s="59">
        <v>0.21</v>
      </c>
      <c r="K50" s="59">
        <v>262.01</v>
      </c>
      <c r="L50" s="59">
        <v>30.21</v>
      </c>
      <c r="M50" s="59">
        <v>39.479999999999997</v>
      </c>
      <c r="N50" s="59">
        <v>766.4</v>
      </c>
      <c r="O50" s="59">
        <v>0</v>
      </c>
      <c r="P50" s="59">
        <v>0.71</v>
      </c>
      <c r="Q50" s="59">
        <v>0.14000000000000001</v>
      </c>
      <c r="R50" s="197"/>
      <c r="S50" s="197"/>
      <c r="T50" s="197"/>
      <c r="U50" s="197"/>
    </row>
    <row r="51" spans="1:21" s="12" customFormat="1" x14ac:dyDescent="0.25">
      <c r="A51" s="200" t="s">
        <v>2595</v>
      </c>
      <c r="B51" s="59">
        <v>4.6399999999999997</v>
      </c>
      <c r="C51" s="59">
        <v>60.73</v>
      </c>
      <c r="D51" s="59">
        <v>38.979999999999997</v>
      </c>
      <c r="E51" s="59">
        <v>8.32</v>
      </c>
      <c r="F51" s="59">
        <v>45.57</v>
      </c>
      <c r="G51" s="59">
        <v>57.75</v>
      </c>
      <c r="H51" s="59">
        <v>28.86</v>
      </c>
      <c r="I51" s="59">
        <v>0.08</v>
      </c>
      <c r="J51" s="59">
        <v>0.26</v>
      </c>
      <c r="K51" s="59">
        <v>2.06</v>
      </c>
      <c r="L51" s="59">
        <v>32.770000000000003</v>
      </c>
      <c r="M51" s="59">
        <v>35.880000000000003</v>
      </c>
      <c r="N51" s="59">
        <v>775.1</v>
      </c>
      <c r="O51" s="59">
        <v>0</v>
      </c>
      <c r="P51" s="59">
        <v>0.89</v>
      </c>
      <c r="Q51" s="59">
        <v>0</v>
      </c>
      <c r="R51" s="197"/>
      <c r="S51" s="197"/>
      <c r="T51" s="197"/>
      <c r="U51" s="197"/>
    </row>
    <row r="52" spans="1:21" s="12" customFormat="1" x14ac:dyDescent="0.25">
      <c r="A52" s="200" t="s">
        <v>2596</v>
      </c>
      <c r="B52" s="59">
        <v>2.46</v>
      </c>
      <c r="C52" s="59">
        <v>46.01</v>
      </c>
      <c r="D52" s="59">
        <v>29.11</v>
      </c>
      <c r="E52" s="59">
        <v>12.98</v>
      </c>
      <c r="F52" s="59">
        <v>59.22</v>
      </c>
      <c r="G52" s="59">
        <v>55.9</v>
      </c>
      <c r="H52" s="59">
        <v>26.41</v>
      </c>
      <c r="I52" s="59">
        <v>0.5</v>
      </c>
      <c r="J52" s="59">
        <v>0.43</v>
      </c>
      <c r="K52" s="59">
        <v>180.68</v>
      </c>
      <c r="L52" s="59">
        <v>31.28</v>
      </c>
      <c r="M52" s="59">
        <v>39.43</v>
      </c>
      <c r="N52" s="59">
        <v>809.4</v>
      </c>
      <c r="O52" s="59">
        <v>0</v>
      </c>
      <c r="P52" s="59">
        <v>0.92</v>
      </c>
      <c r="Q52" s="59">
        <v>49.95</v>
      </c>
      <c r="R52" s="197"/>
      <c r="S52" s="197"/>
      <c r="T52" s="197"/>
      <c r="U52" s="197"/>
    </row>
    <row r="53" spans="1:21" s="12" customFormat="1" x14ac:dyDescent="0.25">
      <c r="A53" s="200" t="s">
        <v>2597</v>
      </c>
      <c r="B53" s="59">
        <v>2</v>
      </c>
      <c r="C53" s="59">
        <v>41.09</v>
      </c>
      <c r="D53" s="59">
        <v>26.03</v>
      </c>
      <c r="E53" s="59">
        <v>9.64</v>
      </c>
      <c r="F53" s="59">
        <v>40.54</v>
      </c>
      <c r="G53" s="59">
        <v>55.83</v>
      </c>
      <c r="H53" s="59">
        <v>26.33</v>
      </c>
      <c r="I53" s="59">
        <v>0.5</v>
      </c>
      <c r="J53" s="59">
        <v>0.69</v>
      </c>
      <c r="K53" s="59">
        <v>172.41</v>
      </c>
      <c r="L53" s="59">
        <v>30.38</v>
      </c>
      <c r="M53" s="59">
        <v>41.01</v>
      </c>
      <c r="N53" s="59">
        <v>837.9</v>
      </c>
      <c r="O53" s="59">
        <v>0</v>
      </c>
      <c r="P53" s="59">
        <v>0.77</v>
      </c>
      <c r="Q53" s="59">
        <v>49.67</v>
      </c>
      <c r="R53" s="197"/>
      <c r="S53" s="197"/>
      <c r="T53" s="197"/>
      <c r="U53" s="197"/>
    </row>
    <row r="54" spans="1:21" s="12" customFormat="1" x14ac:dyDescent="0.25">
      <c r="A54" s="200" t="s">
        <v>2598</v>
      </c>
      <c r="B54" s="59">
        <v>3.52</v>
      </c>
      <c r="C54" s="59">
        <v>41.18</v>
      </c>
      <c r="D54" s="59">
        <v>27.29</v>
      </c>
      <c r="E54" s="59">
        <v>5.62</v>
      </c>
      <c r="F54" s="59">
        <v>25.37</v>
      </c>
      <c r="G54" s="59">
        <v>55.83</v>
      </c>
      <c r="H54" s="59">
        <v>26.33</v>
      </c>
      <c r="I54" s="59">
        <v>0.49</v>
      </c>
      <c r="J54" s="59">
        <v>0.37</v>
      </c>
      <c r="K54" s="59">
        <v>21.79</v>
      </c>
      <c r="L54" s="59">
        <v>32.340000000000003</v>
      </c>
      <c r="M54" s="59">
        <v>37.21</v>
      </c>
      <c r="N54" s="59">
        <v>842.6</v>
      </c>
      <c r="O54" s="59">
        <v>0</v>
      </c>
      <c r="P54" s="59">
        <v>0.75</v>
      </c>
      <c r="Q54" s="59">
        <v>42.22</v>
      </c>
      <c r="R54" s="197"/>
      <c r="S54" s="197"/>
      <c r="T54" s="197"/>
      <c r="U54" s="197"/>
    </row>
    <row r="55" spans="1:21" s="12" customFormat="1" x14ac:dyDescent="0.25">
      <c r="A55" s="200" t="s">
        <v>2599</v>
      </c>
      <c r="B55" s="59">
        <v>3.81</v>
      </c>
      <c r="C55" s="59">
        <v>39.01</v>
      </c>
      <c r="D55" s="59">
        <v>26.33</v>
      </c>
      <c r="E55" s="59">
        <v>5.18</v>
      </c>
      <c r="F55" s="59">
        <v>11.8</v>
      </c>
      <c r="G55" s="59">
        <v>55.83</v>
      </c>
      <c r="H55" s="59">
        <v>26.33</v>
      </c>
      <c r="I55" s="209" t="s">
        <v>36</v>
      </c>
      <c r="J55" s="59">
        <v>0.35</v>
      </c>
      <c r="K55" s="59">
        <v>351.83</v>
      </c>
      <c r="L55" s="59">
        <v>33.6</v>
      </c>
      <c r="M55" s="59">
        <v>34.51</v>
      </c>
      <c r="N55" s="59">
        <v>843.1</v>
      </c>
      <c r="O55" s="59">
        <v>0</v>
      </c>
      <c r="P55" s="59">
        <v>0.78</v>
      </c>
      <c r="Q55" s="59">
        <v>36.65</v>
      </c>
      <c r="R55" s="197"/>
      <c r="S55" s="197"/>
      <c r="T55" s="197"/>
      <c r="U55" s="197"/>
    </row>
    <row r="56" spans="1:21" s="12" customFormat="1" x14ac:dyDescent="0.25">
      <c r="A56" s="200" t="s">
        <v>2600</v>
      </c>
      <c r="B56" s="59">
        <v>2.65</v>
      </c>
      <c r="C56" s="59">
        <v>36.54</v>
      </c>
      <c r="D56" s="59">
        <v>24.03</v>
      </c>
      <c r="E56" s="59">
        <v>2.68</v>
      </c>
      <c r="F56" s="59">
        <v>13.9</v>
      </c>
      <c r="G56" s="59">
        <v>41.47</v>
      </c>
      <c r="H56" s="59">
        <v>23.73</v>
      </c>
      <c r="I56" s="59">
        <v>0.39</v>
      </c>
      <c r="J56" s="59">
        <v>0.43</v>
      </c>
      <c r="K56" s="59">
        <v>211.95</v>
      </c>
      <c r="L56" s="59">
        <v>33.08</v>
      </c>
      <c r="M56" s="59">
        <v>34.590000000000003</v>
      </c>
      <c r="N56" s="59">
        <v>854.6</v>
      </c>
      <c r="O56" s="59">
        <v>0</v>
      </c>
      <c r="P56" s="59">
        <v>0.86</v>
      </c>
      <c r="Q56" s="59">
        <v>34.83</v>
      </c>
      <c r="R56" s="197"/>
      <c r="S56" s="197"/>
      <c r="T56" s="197"/>
      <c r="U56" s="197"/>
    </row>
    <row r="57" spans="1:21" s="12" customFormat="1" x14ac:dyDescent="0.25">
      <c r="A57" s="200" t="s">
        <v>2601</v>
      </c>
      <c r="B57" s="59">
        <v>2.09</v>
      </c>
      <c r="C57" s="59">
        <v>35.93</v>
      </c>
      <c r="D57" s="59">
        <v>23.25</v>
      </c>
      <c r="E57" s="59">
        <v>8.17</v>
      </c>
      <c r="F57" s="59">
        <v>25.85</v>
      </c>
      <c r="G57" s="59">
        <v>40.98</v>
      </c>
      <c r="H57" s="59">
        <v>23.64</v>
      </c>
      <c r="I57" s="59">
        <v>0.48</v>
      </c>
      <c r="J57" s="59">
        <v>0.22</v>
      </c>
      <c r="K57" s="59">
        <v>283.8</v>
      </c>
      <c r="L57" s="59">
        <v>32.31</v>
      </c>
      <c r="M57" s="59">
        <v>34.590000000000003</v>
      </c>
      <c r="N57" s="59">
        <v>849.3</v>
      </c>
      <c r="O57" s="59">
        <v>0</v>
      </c>
      <c r="P57" s="59">
        <v>0.89</v>
      </c>
      <c r="Q57" s="59">
        <v>34.81</v>
      </c>
      <c r="R57" s="197"/>
      <c r="S57" s="197"/>
      <c r="T57" s="197"/>
      <c r="U57" s="197"/>
    </row>
    <row r="58" spans="1:21" s="12" customFormat="1" x14ac:dyDescent="0.25">
      <c r="A58" s="200" t="s">
        <v>2602</v>
      </c>
      <c r="B58" s="59">
        <v>2.2799999999999998</v>
      </c>
      <c r="C58" s="59">
        <v>40.82</v>
      </c>
      <c r="D58" s="59">
        <v>26.1</v>
      </c>
      <c r="E58" s="59">
        <v>5.76</v>
      </c>
      <c r="F58" s="59">
        <v>11.65</v>
      </c>
      <c r="G58" s="59">
        <v>40.98</v>
      </c>
      <c r="H58" s="59">
        <v>23.64</v>
      </c>
      <c r="I58" s="59">
        <v>0.48</v>
      </c>
      <c r="J58" s="59">
        <v>0.18</v>
      </c>
      <c r="K58" s="59">
        <v>218.74</v>
      </c>
      <c r="L58" s="59">
        <v>33.020000000000003</v>
      </c>
      <c r="M58" s="59">
        <v>32.94</v>
      </c>
      <c r="N58" s="59">
        <v>859</v>
      </c>
      <c r="O58" s="59">
        <v>0</v>
      </c>
      <c r="P58" s="59">
        <v>0.89</v>
      </c>
      <c r="Q58" s="59">
        <v>40.01</v>
      </c>
      <c r="R58" s="197"/>
      <c r="S58" s="197"/>
      <c r="T58" s="197"/>
      <c r="U58" s="197"/>
    </row>
    <row r="59" spans="1:21" s="12" customFormat="1" x14ac:dyDescent="0.25">
      <c r="A59" s="200" t="s">
        <v>2603</v>
      </c>
      <c r="B59" s="59">
        <v>2.13</v>
      </c>
      <c r="C59" s="59">
        <v>40.35</v>
      </c>
      <c r="D59" s="59">
        <v>25.72</v>
      </c>
      <c r="E59" s="59">
        <v>3.78</v>
      </c>
      <c r="F59" s="59">
        <v>14.45</v>
      </c>
      <c r="G59" s="59">
        <v>40.98</v>
      </c>
      <c r="H59" s="59">
        <v>23.64</v>
      </c>
      <c r="I59" s="59">
        <v>0.48</v>
      </c>
      <c r="J59" s="59">
        <v>0.27</v>
      </c>
      <c r="K59" s="59">
        <v>238.55</v>
      </c>
      <c r="L59" s="59">
        <v>32.729999999999997</v>
      </c>
      <c r="M59" s="59">
        <v>33.35</v>
      </c>
      <c r="N59" s="59">
        <v>845.7</v>
      </c>
      <c r="O59" s="59">
        <v>0</v>
      </c>
      <c r="P59" s="59">
        <v>0.86</v>
      </c>
      <c r="Q59" s="59">
        <v>41.76</v>
      </c>
      <c r="R59" s="197"/>
      <c r="S59" s="197"/>
      <c r="T59" s="197"/>
      <c r="U59" s="197"/>
    </row>
    <row r="60" spans="1:21" s="12" customFormat="1" x14ac:dyDescent="0.25">
      <c r="A60" s="200" t="s">
        <v>2604</v>
      </c>
      <c r="B60" s="59">
        <v>2.31</v>
      </c>
      <c r="C60" s="59">
        <v>35.68</v>
      </c>
      <c r="D60" s="59">
        <v>23.29</v>
      </c>
      <c r="E60" s="59">
        <v>5.94</v>
      </c>
      <c r="F60" s="59">
        <v>21.64</v>
      </c>
      <c r="G60" s="59">
        <v>50.45</v>
      </c>
      <c r="H60" s="59">
        <v>23.56</v>
      </c>
      <c r="I60" s="59">
        <v>0.49</v>
      </c>
      <c r="J60" s="59">
        <v>0.15</v>
      </c>
      <c r="K60" s="59">
        <v>171.15</v>
      </c>
      <c r="L60" s="59">
        <v>32.69</v>
      </c>
      <c r="M60" s="59">
        <v>33.97</v>
      </c>
      <c r="N60" s="59">
        <v>699</v>
      </c>
      <c r="O60" s="59">
        <v>0</v>
      </c>
      <c r="P60" s="59">
        <v>0.83</v>
      </c>
      <c r="Q60" s="59">
        <v>41.46</v>
      </c>
      <c r="R60" s="197"/>
      <c r="S60" s="197"/>
      <c r="T60" s="197"/>
      <c r="U60" s="197"/>
    </row>
    <row r="61" spans="1:21" s="12" customFormat="1" x14ac:dyDescent="0.25">
      <c r="A61" s="200" t="s">
        <v>2605</v>
      </c>
      <c r="B61" s="59">
        <v>2.37</v>
      </c>
      <c r="C61" s="59">
        <v>33.69</v>
      </c>
      <c r="D61" s="59">
        <v>22.23</v>
      </c>
      <c r="E61" s="59">
        <v>4.3600000000000003</v>
      </c>
      <c r="F61" s="59">
        <v>10.53</v>
      </c>
      <c r="G61" s="59">
        <v>50.89</v>
      </c>
      <c r="H61" s="59">
        <v>23.55</v>
      </c>
      <c r="I61" s="59">
        <v>0.51</v>
      </c>
      <c r="J61" s="59">
        <v>0.83</v>
      </c>
      <c r="K61" s="59">
        <v>192.95</v>
      </c>
      <c r="L61" s="59">
        <v>32.090000000000003</v>
      </c>
      <c r="M61" s="59">
        <v>34.94</v>
      </c>
      <c r="N61" s="59">
        <v>809.5</v>
      </c>
      <c r="O61" s="59">
        <v>0</v>
      </c>
      <c r="P61" s="59">
        <v>0.81</v>
      </c>
      <c r="Q61" s="59">
        <v>42.36</v>
      </c>
      <c r="R61" s="197"/>
      <c r="S61" s="197"/>
      <c r="T61" s="197"/>
      <c r="U61" s="197"/>
    </row>
    <row r="62" spans="1:21" s="12" customFormat="1" x14ac:dyDescent="0.25">
      <c r="A62" s="200" t="s">
        <v>2606</v>
      </c>
      <c r="B62" s="59">
        <v>2.19</v>
      </c>
      <c r="C62" s="59">
        <v>35.75</v>
      </c>
      <c r="D62" s="59">
        <v>23.23</v>
      </c>
      <c r="E62" s="59">
        <v>3.49</v>
      </c>
      <c r="F62" s="59">
        <v>13.33</v>
      </c>
      <c r="G62" s="59">
        <v>50.89</v>
      </c>
      <c r="H62" s="59">
        <v>23.55</v>
      </c>
      <c r="I62" s="59">
        <v>0.52</v>
      </c>
      <c r="J62" s="59">
        <v>0.56999999999999995</v>
      </c>
      <c r="K62" s="59">
        <v>211.7</v>
      </c>
      <c r="L62" s="59">
        <v>32.19</v>
      </c>
      <c r="M62" s="59">
        <v>33.78</v>
      </c>
      <c r="N62" s="59">
        <v>825.8</v>
      </c>
      <c r="O62" s="59">
        <v>0</v>
      </c>
      <c r="P62" s="59">
        <v>0.82</v>
      </c>
      <c r="Q62" s="59">
        <v>40.25</v>
      </c>
      <c r="R62" s="197"/>
      <c r="S62" s="197"/>
      <c r="T62" s="197"/>
      <c r="U62" s="197"/>
    </row>
    <row r="63" spans="1:21" s="12" customFormat="1" x14ac:dyDescent="0.25">
      <c r="A63" s="200" t="s">
        <v>2607</v>
      </c>
      <c r="B63" s="59">
        <v>2</v>
      </c>
      <c r="C63" s="59">
        <v>32.659999999999997</v>
      </c>
      <c r="D63" s="59">
        <v>21.37</v>
      </c>
      <c r="E63" s="59">
        <v>4.0199999999999996</v>
      </c>
      <c r="F63" s="59">
        <v>18.53</v>
      </c>
      <c r="G63" s="59">
        <v>50.89</v>
      </c>
      <c r="H63" s="59">
        <v>23.55</v>
      </c>
      <c r="I63" s="59">
        <v>0.53</v>
      </c>
      <c r="J63" s="59">
        <v>0.46</v>
      </c>
      <c r="K63" s="59">
        <v>146.13</v>
      </c>
      <c r="L63" s="59">
        <v>32.07</v>
      </c>
      <c r="M63" s="59">
        <v>32.81</v>
      </c>
      <c r="N63" s="59">
        <v>770</v>
      </c>
      <c r="O63" s="59">
        <v>0</v>
      </c>
      <c r="P63" s="59">
        <v>0.77</v>
      </c>
      <c r="Q63" s="59">
        <v>44.6</v>
      </c>
      <c r="R63" s="197"/>
      <c r="S63" s="197"/>
      <c r="T63" s="197"/>
      <c r="U63" s="197"/>
    </row>
    <row r="64" spans="1:21" s="12" customFormat="1" x14ac:dyDescent="0.25">
      <c r="A64" s="200" t="s">
        <v>2608</v>
      </c>
      <c r="B64" s="59">
        <v>2.0699999999999998</v>
      </c>
      <c r="C64" s="59">
        <v>27.31</v>
      </c>
      <c r="D64" s="59">
        <v>18.47</v>
      </c>
      <c r="E64" s="59">
        <v>5.7</v>
      </c>
      <c r="F64" s="59">
        <v>29.17</v>
      </c>
      <c r="G64" s="59">
        <v>58.55</v>
      </c>
      <c r="H64" s="59">
        <v>20.87</v>
      </c>
      <c r="I64" s="59">
        <v>0.53</v>
      </c>
      <c r="J64" s="59">
        <v>0.16</v>
      </c>
      <c r="K64" s="59">
        <v>72.78</v>
      </c>
      <c r="L64" s="59">
        <v>33.61</v>
      </c>
      <c r="M64" s="59">
        <v>28.36</v>
      </c>
      <c r="N64" s="59">
        <v>779.6</v>
      </c>
      <c r="O64" s="59">
        <v>0</v>
      </c>
      <c r="P64" s="59">
        <v>0.67</v>
      </c>
      <c r="Q64" s="59">
        <v>44.24</v>
      </c>
      <c r="R64" s="197"/>
      <c r="S64" s="197"/>
      <c r="T64" s="197"/>
      <c r="U64" s="197"/>
    </row>
    <row r="65" spans="1:21" s="12" customFormat="1" x14ac:dyDescent="0.25">
      <c r="A65" s="200" t="s">
        <v>2609</v>
      </c>
      <c r="B65" s="59">
        <v>2.89</v>
      </c>
      <c r="C65" s="59">
        <v>30.52</v>
      </c>
      <c r="D65" s="59">
        <v>20.9</v>
      </c>
      <c r="E65" s="59">
        <v>5.27</v>
      </c>
      <c r="F65" s="59">
        <v>12.54</v>
      </c>
      <c r="G65" s="59">
        <v>58.82</v>
      </c>
      <c r="H65" s="59">
        <v>20.75</v>
      </c>
      <c r="I65" s="59">
        <v>0.53</v>
      </c>
      <c r="J65" s="59">
        <v>0.35</v>
      </c>
      <c r="K65" s="59">
        <v>23.39</v>
      </c>
      <c r="L65" s="59">
        <v>34.770000000000003</v>
      </c>
      <c r="M65" s="59">
        <v>25.21</v>
      </c>
      <c r="N65" s="59">
        <v>739.9</v>
      </c>
      <c r="O65" s="59">
        <v>0</v>
      </c>
      <c r="P65" s="59">
        <v>0.73</v>
      </c>
      <c r="Q65" s="59">
        <v>45.84</v>
      </c>
      <c r="R65" s="197"/>
      <c r="S65" s="197"/>
      <c r="T65" s="197"/>
      <c r="U65" s="197"/>
    </row>
    <row r="66" spans="1:21" s="12" customFormat="1" x14ac:dyDescent="0.25">
      <c r="A66" s="200" t="s">
        <v>2610</v>
      </c>
      <c r="B66" s="59">
        <v>3.34</v>
      </c>
      <c r="C66" s="59">
        <v>28.75</v>
      </c>
      <c r="D66" s="59">
        <v>20.29</v>
      </c>
      <c r="E66" s="59">
        <v>3.64</v>
      </c>
      <c r="F66" s="59">
        <v>11.17</v>
      </c>
      <c r="G66" s="59">
        <v>58.82</v>
      </c>
      <c r="H66" s="59">
        <v>20.75</v>
      </c>
      <c r="I66" s="59">
        <v>0.54</v>
      </c>
      <c r="J66" s="59">
        <v>0.28999999999999998</v>
      </c>
      <c r="K66" s="59">
        <v>23.22</v>
      </c>
      <c r="L66" s="59">
        <v>34.93</v>
      </c>
      <c r="M66" s="59">
        <v>23.83</v>
      </c>
      <c r="N66" s="59">
        <v>696</v>
      </c>
      <c r="O66" s="59">
        <v>0</v>
      </c>
      <c r="P66" s="59">
        <v>0.73</v>
      </c>
      <c r="Q66" s="59">
        <v>45.86</v>
      </c>
      <c r="R66" s="197"/>
      <c r="S66" s="197"/>
      <c r="T66" s="197"/>
      <c r="U66" s="197"/>
    </row>
    <row r="67" spans="1:21" s="12" customFormat="1" x14ac:dyDescent="0.25">
      <c r="A67" s="200" t="s">
        <v>2611</v>
      </c>
      <c r="B67" s="59">
        <v>2.5299999999999998</v>
      </c>
      <c r="C67" s="59">
        <v>25.71</v>
      </c>
      <c r="D67" s="59">
        <v>17.96</v>
      </c>
      <c r="E67" s="59">
        <v>3.65</v>
      </c>
      <c r="F67" s="59">
        <v>13.86</v>
      </c>
      <c r="G67" s="59">
        <v>58.82</v>
      </c>
      <c r="H67" s="59">
        <v>20.75</v>
      </c>
      <c r="I67" s="59">
        <v>0.56000000000000005</v>
      </c>
      <c r="J67" s="59">
        <v>0.28999999999999998</v>
      </c>
      <c r="K67" s="59">
        <v>184.78</v>
      </c>
      <c r="L67" s="59">
        <v>33.909999999999997</v>
      </c>
      <c r="M67" s="59">
        <v>24.91</v>
      </c>
      <c r="N67" s="59">
        <v>614.4</v>
      </c>
      <c r="O67" s="59">
        <v>0</v>
      </c>
      <c r="P67" s="59">
        <v>0.7</v>
      </c>
      <c r="Q67" s="59">
        <v>44.9</v>
      </c>
      <c r="R67" s="197"/>
      <c r="S67" s="197"/>
      <c r="T67" s="197"/>
      <c r="U67" s="197"/>
    </row>
    <row r="68" spans="1:21" s="12" customFormat="1" x14ac:dyDescent="0.25">
      <c r="A68" s="200" t="s">
        <v>2612</v>
      </c>
      <c r="B68" s="59">
        <v>2.0499999999999998</v>
      </c>
      <c r="C68" s="59">
        <v>25.78</v>
      </c>
      <c r="D68" s="59">
        <v>17.61</v>
      </c>
      <c r="E68" s="59">
        <v>3.46</v>
      </c>
      <c r="F68" s="59">
        <v>12.54</v>
      </c>
      <c r="G68" s="59">
        <v>46.57</v>
      </c>
      <c r="H68" s="59">
        <v>18.61</v>
      </c>
      <c r="I68" s="59">
        <v>0.56999999999999995</v>
      </c>
      <c r="J68" s="59">
        <v>0.5</v>
      </c>
      <c r="K68" s="59">
        <v>8.3800000000000008</v>
      </c>
      <c r="L68" s="59">
        <v>33.72</v>
      </c>
      <c r="M68" s="59">
        <v>25.72</v>
      </c>
      <c r="N68" s="59">
        <v>424.6</v>
      </c>
      <c r="O68" s="59">
        <v>0</v>
      </c>
      <c r="P68" s="59">
        <v>0.68</v>
      </c>
      <c r="Q68" s="59">
        <v>43.63</v>
      </c>
      <c r="R68" s="197"/>
      <c r="S68" s="197"/>
      <c r="T68" s="197"/>
      <c r="U68" s="197"/>
    </row>
    <row r="69" spans="1:21" s="12" customFormat="1" x14ac:dyDescent="0.25">
      <c r="A69" s="200" t="s">
        <v>2613</v>
      </c>
      <c r="B69" s="59">
        <v>3.32</v>
      </c>
      <c r="C69" s="59">
        <v>29.55</v>
      </c>
      <c r="D69" s="59">
        <v>20.71</v>
      </c>
      <c r="E69" s="59">
        <v>3.22</v>
      </c>
      <c r="F69" s="59">
        <v>14.29</v>
      </c>
      <c r="G69" s="59">
        <v>46.15</v>
      </c>
      <c r="H69" s="59">
        <v>18.53</v>
      </c>
      <c r="I69" s="59">
        <v>0.56999999999999995</v>
      </c>
      <c r="J69" s="59">
        <v>0.45</v>
      </c>
      <c r="K69" s="59">
        <v>11.78</v>
      </c>
      <c r="L69" s="59">
        <v>34.25</v>
      </c>
      <c r="M69" s="59">
        <v>24.11</v>
      </c>
      <c r="N69" s="59">
        <v>233.5</v>
      </c>
      <c r="O69" s="59">
        <v>0</v>
      </c>
      <c r="P69" s="59">
        <v>0.67</v>
      </c>
      <c r="Q69" s="59">
        <v>42.14</v>
      </c>
      <c r="R69" s="197"/>
      <c r="S69" s="197"/>
      <c r="T69" s="197"/>
      <c r="U69" s="197"/>
    </row>
    <row r="70" spans="1:21" s="12" customFormat="1" x14ac:dyDescent="0.25">
      <c r="A70" s="200" t="s">
        <v>2614</v>
      </c>
      <c r="B70" s="59">
        <v>3.13</v>
      </c>
      <c r="C70" s="59">
        <v>28.71</v>
      </c>
      <c r="D70" s="59">
        <v>20.100000000000001</v>
      </c>
      <c r="E70" s="59">
        <v>2.99</v>
      </c>
      <c r="F70" s="59">
        <v>8.27</v>
      </c>
      <c r="G70" s="59">
        <v>46.15</v>
      </c>
      <c r="H70" s="59">
        <v>18.53</v>
      </c>
      <c r="I70" s="59">
        <v>0.56999999999999995</v>
      </c>
      <c r="J70" s="59">
        <v>0.15</v>
      </c>
      <c r="K70" s="59">
        <v>302.37</v>
      </c>
      <c r="L70" s="59">
        <v>32.78</v>
      </c>
      <c r="M70" s="59">
        <v>26.53</v>
      </c>
      <c r="N70" s="59">
        <v>198.7</v>
      </c>
      <c r="O70" s="59">
        <v>0</v>
      </c>
      <c r="P70" s="59">
        <v>0.68</v>
      </c>
      <c r="Q70" s="59">
        <v>41.35</v>
      </c>
      <c r="R70" s="197"/>
      <c r="S70" s="197"/>
      <c r="T70" s="197"/>
      <c r="U70" s="197"/>
    </row>
    <row r="71" spans="1:21" s="12" customFormat="1" x14ac:dyDescent="0.25">
      <c r="A71" s="200" t="s">
        <v>2615</v>
      </c>
      <c r="B71" s="59">
        <v>2.3199999999999998</v>
      </c>
      <c r="C71" s="59">
        <v>31.61</v>
      </c>
      <c r="D71" s="59">
        <v>21.05</v>
      </c>
      <c r="E71" s="59">
        <v>2.11</v>
      </c>
      <c r="F71" s="59">
        <v>5.25</v>
      </c>
      <c r="G71" s="59">
        <v>46.15</v>
      </c>
      <c r="H71" s="59">
        <v>18.53</v>
      </c>
      <c r="I71" s="59">
        <v>0.56999999999999995</v>
      </c>
      <c r="J71" s="59">
        <v>2.48</v>
      </c>
      <c r="K71" s="59">
        <v>354.96</v>
      </c>
      <c r="L71" s="59">
        <v>31.71</v>
      </c>
      <c r="M71" s="59">
        <v>32.75</v>
      </c>
      <c r="N71" s="59">
        <v>242.4</v>
      </c>
      <c r="O71" s="59">
        <v>0</v>
      </c>
      <c r="P71" s="59">
        <v>0.66</v>
      </c>
      <c r="Q71" s="59">
        <v>39.28</v>
      </c>
      <c r="R71" s="197"/>
      <c r="S71" s="197"/>
      <c r="T71" s="197"/>
      <c r="U71" s="197"/>
    </row>
    <row r="72" spans="1:21" s="12" customFormat="1" x14ac:dyDescent="0.25">
      <c r="A72" s="200" t="s">
        <v>2616</v>
      </c>
      <c r="B72" s="59">
        <v>2.2799999999999998</v>
      </c>
      <c r="C72" s="59">
        <v>41.73</v>
      </c>
      <c r="D72" s="59">
        <v>26.59</v>
      </c>
      <c r="E72" s="59">
        <v>0.56000000000000005</v>
      </c>
      <c r="F72" s="59">
        <v>6.47</v>
      </c>
      <c r="G72" s="59">
        <v>53.67</v>
      </c>
      <c r="H72" s="59">
        <v>22.33</v>
      </c>
      <c r="I72" s="59">
        <v>0.56000000000000005</v>
      </c>
      <c r="J72" s="59">
        <v>1.83</v>
      </c>
      <c r="K72" s="59">
        <v>345.16</v>
      </c>
      <c r="L72" s="59">
        <v>31.09</v>
      </c>
      <c r="M72" s="59">
        <v>33.36</v>
      </c>
      <c r="N72" s="59">
        <v>212.7</v>
      </c>
      <c r="O72" s="59">
        <v>0</v>
      </c>
      <c r="P72" s="59">
        <v>0.61</v>
      </c>
      <c r="Q72" s="59">
        <v>41.83</v>
      </c>
      <c r="R72" s="197"/>
      <c r="S72" s="197"/>
      <c r="T72" s="197"/>
      <c r="U72" s="197"/>
    </row>
    <row r="73" spans="1:21" s="12" customFormat="1" x14ac:dyDescent="0.25">
      <c r="A73" s="200" t="s">
        <v>2617</v>
      </c>
      <c r="B73" s="59">
        <v>2.4</v>
      </c>
      <c r="C73" s="59">
        <v>34.74</v>
      </c>
      <c r="D73" s="59">
        <v>22.84</v>
      </c>
      <c r="E73" s="59">
        <v>1.29</v>
      </c>
      <c r="F73" s="59">
        <v>5.39</v>
      </c>
      <c r="G73" s="59">
        <v>53.93</v>
      </c>
      <c r="H73" s="59">
        <v>22.51</v>
      </c>
      <c r="I73" s="59">
        <v>0.55000000000000004</v>
      </c>
      <c r="J73" s="59">
        <v>1.45</v>
      </c>
      <c r="K73" s="59">
        <v>353.51</v>
      </c>
      <c r="L73" s="59">
        <v>30.16</v>
      </c>
      <c r="M73" s="59">
        <v>34.840000000000003</v>
      </c>
      <c r="N73" s="59">
        <v>194.1</v>
      </c>
      <c r="O73" s="59">
        <v>0</v>
      </c>
      <c r="P73" s="59">
        <v>0.57999999999999996</v>
      </c>
      <c r="Q73" s="59">
        <v>41.38</v>
      </c>
      <c r="R73" s="197"/>
      <c r="S73" s="197"/>
      <c r="T73" s="197"/>
      <c r="U73" s="197"/>
    </row>
    <row r="74" spans="1:21" s="12" customFormat="1" x14ac:dyDescent="0.25">
      <c r="A74" s="200" t="s">
        <v>2618</v>
      </c>
      <c r="B74" s="59">
        <v>3.11</v>
      </c>
      <c r="C74" s="59">
        <v>42.21</v>
      </c>
      <c r="D74" s="59">
        <v>27.53</v>
      </c>
      <c r="E74" s="59">
        <v>1.6</v>
      </c>
      <c r="F74" s="59">
        <v>5.95</v>
      </c>
      <c r="G74" s="59">
        <v>53.93</v>
      </c>
      <c r="H74" s="59">
        <v>22.51</v>
      </c>
      <c r="I74" s="59">
        <v>0.54</v>
      </c>
      <c r="J74" s="59">
        <v>1.56</v>
      </c>
      <c r="K74" s="59">
        <v>3.12</v>
      </c>
      <c r="L74" s="59">
        <v>29.52</v>
      </c>
      <c r="M74" s="59">
        <v>37.72</v>
      </c>
      <c r="N74" s="59">
        <v>164.5</v>
      </c>
      <c r="O74" s="59">
        <v>0</v>
      </c>
      <c r="P74" s="59">
        <v>0.54</v>
      </c>
      <c r="Q74" s="59">
        <v>38.6</v>
      </c>
      <c r="R74" s="197"/>
      <c r="S74" s="197"/>
      <c r="T74" s="197"/>
      <c r="U74" s="197"/>
    </row>
    <row r="75" spans="1:21" s="12" customFormat="1" x14ac:dyDescent="0.25">
      <c r="A75" s="200" t="s">
        <v>2619</v>
      </c>
      <c r="B75" s="59">
        <v>3.64</v>
      </c>
      <c r="C75" s="59">
        <v>39.53</v>
      </c>
      <c r="D75" s="59">
        <v>26.48</v>
      </c>
      <c r="E75" s="59">
        <v>1.37</v>
      </c>
      <c r="F75" s="59">
        <v>7.4</v>
      </c>
      <c r="G75" s="59">
        <v>53.93</v>
      </c>
      <c r="H75" s="59">
        <v>22.51</v>
      </c>
      <c r="I75" s="59">
        <v>0.53</v>
      </c>
      <c r="J75" s="59">
        <v>1.57</v>
      </c>
      <c r="K75" s="59">
        <v>354.66</v>
      </c>
      <c r="L75" s="59">
        <v>29.27</v>
      </c>
      <c r="M75" s="59">
        <v>35.619999999999997</v>
      </c>
      <c r="N75" s="59">
        <v>116.3</v>
      </c>
      <c r="O75" s="59">
        <v>0</v>
      </c>
      <c r="P75" s="59">
        <v>0.48</v>
      </c>
      <c r="Q75" s="59">
        <v>41.87</v>
      </c>
      <c r="R75" s="197"/>
      <c r="S75" s="197"/>
      <c r="T75" s="197"/>
      <c r="U75" s="197"/>
    </row>
    <row r="76" spans="1:21" s="12" customFormat="1" x14ac:dyDescent="0.25">
      <c r="A76" s="200" t="s">
        <v>2620</v>
      </c>
      <c r="B76" s="59">
        <v>4.34</v>
      </c>
      <c r="C76" s="59">
        <v>42.3</v>
      </c>
      <c r="D76" s="59">
        <v>28.57</v>
      </c>
      <c r="E76" s="59">
        <v>1.62</v>
      </c>
      <c r="F76" s="59">
        <v>7.83</v>
      </c>
      <c r="G76" s="59">
        <v>46.45</v>
      </c>
      <c r="H76" s="59">
        <v>19.010000000000002</v>
      </c>
      <c r="I76" s="59">
        <v>0.51</v>
      </c>
      <c r="J76" s="59">
        <v>0.5</v>
      </c>
      <c r="K76" s="59">
        <v>352.74</v>
      </c>
      <c r="L76" s="59">
        <v>29.95</v>
      </c>
      <c r="M76" s="59">
        <v>33.74</v>
      </c>
      <c r="N76" s="59">
        <v>113.9</v>
      </c>
      <c r="O76" s="59">
        <v>0</v>
      </c>
      <c r="P76" s="59">
        <v>0.5</v>
      </c>
      <c r="Q76" s="59">
        <v>37.47</v>
      </c>
      <c r="R76" s="197"/>
      <c r="S76" s="197"/>
      <c r="T76" s="197"/>
      <c r="U76" s="197"/>
    </row>
    <row r="77" spans="1:21" s="12" customFormat="1" x14ac:dyDescent="0.25">
      <c r="A77" s="200" t="s">
        <v>2621</v>
      </c>
      <c r="B77" s="59">
        <v>31.89</v>
      </c>
      <c r="C77" s="59">
        <v>61.84</v>
      </c>
      <c r="D77" s="59">
        <v>59.8</v>
      </c>
      <c r="E77" s="59">
        <v>2.0299999999999998</v>
      </c>
      <c r="F77" s="59">
        <v>12.39</v>
      </c>
      <c r="G77" s="59">
        <v>46.19</v>
      </c>
      <c r="H77" s="59">
        <v>19.010000000000002</v>
      </c>
      <c r="I77" s="59">
        <v>0.49</v>
      </c>
      <c r="J77" s="59">
        <v>0.32</v>
      </c>
      <c r="K77" s="59">
        <v>341.89</v>
      </c>
      <c r="L77" s="59">
        <v>29.96</v>
      </c>
      <c r="M77" s="59">
        <v>33.1</v>
      </c>
      <c r="N77" s="59">
        <v>53.7</v>
      </c>
      <c r="O77" s="59">
        <v>0</v>
      </c>
      <c r="P77" s="59">
        <v>0.62</v>
      </c>
      <c r="Q77" s="59">
        <v>40.020000000000003</v>
      </c>
      <c r="R77" s="197"/>
      <c r="S77" s="197"/>
      <c r="T77" s="197"/>
      <c r="U77" s="197"/>
    </row>
    <row r="78" spans="1:21" s="12" customFormat="1" x14ac:dyDescent="0.25">
      <c r="A78" s="200" t="s">
        <v>2622</v>
      </c>
      <c r="B78" s="59">
        <v>13.11</v>
      </c>
      <c r="C78" s="59">
        <v>51.37</v>
      </c>
      <c r="D78" s="59">
        <v>40.61</v>
      </c>
      <c r="E78" s="59">
        <v>2.87</v>
      </c>
      <c r="F78" s="59">
        <v>16.66</v>
      </c>
      <c r="G78" s="59">
        <v>46.19</v>
      </c>
      <c r="H78" s="59">
        <v>19.010000000000002</v>
      </c>
      <c r="I78" s="59">
        <v>0.5</v>
      </c>
      <c r="J78" s="59">
        <v>0.28000000000000003</v>
      </c>
      <c r="K78" s="59">
        <v>342.43</v>
      </c>
      <c r="L78" s="59">
        <v>29.46</v>
      </c>
      <c r="M78" s="59">
        <v>32.479999999999997</v>
      </c>
      <c r="N78" s="59">
        <v>37.1</v>
      </c>
      <c r="O78" s="59">
        <v>0</v>
      </c>
      <c r="P78" s="59">
        <v>0.72</v>
      </c>
      <c r="Q78" s="59">
        <v>39.82</v>
      </c>
      <c r="R78" s="197"/>
      <c r="S78" s="197"/>
      <c r="T78" s="197"/>
      <c r="U78" s="197"/>
    </row>
    <row r="79" spans="1:21" s="12" customFormat="1" x14ac:dyDescent="0.25">
      <c r="A79" s="200" t="s">
        <v>2623</v>
      </c>
      <c r="B79" s="59">
        <v>12.7</v>
      </c>
      <c r="C79" s="59">
        <v>58.02</v>
      </c>
      <c r="D79" s="59">
        <v>43.94</v>
      </c>
      <c r="E79" s="59">
        <v>2.63</v>
      </c>
      <c r="F79" s="59">
        <v>11.68</v>
      </c>
      <c r="G79" s="59">
        <v>46.19</v>
      </c>
      <c r="H79" s="59">
        <v>19.010000000000002</v>
      </c>
      <c r="I79" s="59">
        <v>0.51</v>
      </c>
      <c r="J79" s="59">
        <v>0.39</v>
      </c>
      <c r="K79" s="59">
        <v>2.37</v>
      </c>
      <c r="L79" s="59">
        <v>28.99</v>
      </c>
      <c r="M79" s="59">
        <v>33.380000000000003</v>
      </c>
      <c r="N79" s="59">
        <v>23.6</v>
      </c>
      <c r="O79" s="59">
        <v>0</v>
      </c>
      <c r="P79" s="59">
        <v>0.76</v>
      </c>
      <c r="Q79" s="59">
        <v>38.76</v>
      </c>
      <c r="R79" s="197"/>
      <c r="S79" s="197"/>
      <c r="T79" s="197"/>
      <c r="U79" s="197"/>
    </row>
    <row r="80" spans="1:21" s="12" customFormat="1" x14ac:dyDescent="0.25">
      <c r="A80" s="200" t="s">
        <v>2624</v>
      </c>
      <c r="B80" s="59">
        <v>21.21</v>
      </c>
      <c r="C80" s="59">
        <v>70.31</v>
      </c>
      <c r="D80" s="59">
        <v>57.55</v>
      </c>
      <c r="E80" s="59">
        <v>3.33</v>
      </c>
      <c r="F80" s="59">
        <v>12.76</v>
      </c>
      <c r="G80" s="59">
        <v>57.49</v>
      </c>
      <c r="H80" s="59">
        <v>20.170000000000002</v>
      </c>
      <c r="I80" s="59">
        <v>0.54</v>
      </c>
      <c r="J80" s="59">
        <v>0.31</v>
      </c>
      <c r="K80" s="59">
        <v>29.9</v>
      </c>
      <c r="L80" s="59">
        <v>28.47</v>
      </c>
      <c r="M80" s="59">
        <v>35.08</v>
      </c>
      <c r="N80" s="59">
        <v>15.5</v>
      </c>
      <c r="O80" s="59">
        <v>0</v>
      </c>
      <c r="P80" s="59">
        <v>1.03</v>
      </c>
      <c r="Q80" s="59">
        <v>43.27</v>
      </c>
      <c r="R80" s="197"/>
      <c r="S80" s="197"/>
      <c r="T80" s="197"/>
      <c r="U80" s="197"/>
    </row>
    <row r="81" spans="1:26" s="12" customFormat="1" x14ac:dyDescent="0.25">
      <c r="A81" s="200" t="s">
        <v>2625</v>
      </c>
      <c r="B81" s="59">
        <v>28.59</v>
      </c>
      <c r="C81" s="59">
        <v>70.010000000000005</v>
      </c>
      <c r="D81" s="59">
        <v>63.3</v>
      </c>
      <c r="E81" s="59">
        <v>3.33</v>
      </c>
      <c r="F81" s="59">
        <v>10.19</v>
      </c>
      <c r="G81" s="59">
        <v>57.88</v>
      </c>
      <c r="H81" s="59">
        <v>20.170000000000002</v>
      </c>
      <c r="I81" s="59">
        <v>0.56000000000000005</v>
      </c>
      <c r="J81" s="59">
        <v>0.17</v>
      </c>
      <c r="K81" s="59">
        <v>32.29</v>
      </c>
      <c r="L81" s="59">
        <v>27.99</v>
      </c>
      <c r="M81" s="59">
        <v>37.840000000000003</v>
      </c>
      <c r="N81" s="59">
        <v>7.7</v>
      </c>
      <c r="O81" s="59">
        <v>0</v>
      </c>
      <c r="P81" s="59">
        <v>1.21</v>
      </c>
      <c r="Q81" s="59">
        <v>41.91</v>
      </c>
      <c r="R81" s="197"/>
      <c r="S81" s="197"/>
      <c r="T81" s="197"/>
      <c r="U81" s="197"/>
    </row>
    <row r="82" spans="1:26" s="12" customFormat="1" x14ac:dyDescent="0.25">
      <c r="A82" s="200" t="s">
        <v>2626</v>
      </c>
      <c r="B82" s="59">
        <v>16.53</v>
      </c>
      <c r="C82" s="59">
        <v>73.45</v>
      </c>
      <c r="D82" s="59">
        <v>55.53</v>
      </c>
      <c r="E82" s="59">
        <v>3.72</v>
      </c>
      <c r="F82" s="59">
        <v>12.28</v>
      </c>
      <c r="G82" s="59">
        <v>57.88</v>
      </c>
      <c r="H82" s="59">
        <v>20.170000000000002</v>
      </c>
      <c r="I82" s="59">
        <v>0.6</v>
      </c>
      <c r="J82" s="59">
        <v>0.13</v>
      </c>
      <c r="K82" s="59">
        <v>72.78</v>
      </c>
      <c r="L82" s="59">
        <v>27.86</v>
      </c>
      <c r="M82" s="59">
        <v>35.39</v>
      </c>
      <c r="N82" s="59">
        <v>5.2</v>
      </c>
      <c r="O82" s="59">
        <v>0</v>
      </c>
      <c r="P82" s="59">
        <v>1.1499999999999999</v>
      </c>
      <c r="Q82" s="59">
        <v>39.409999999999997</v>
      </c>
      <c r="R82" s="197"/>
      <c r="S82" s="197"/>
      <c r="T82" s="197"/>
      <c r="U82" s="197"/>
    </row>
    <row r="83" spans="1:26" s="12" customFormat="1" x14ac:dyDescent="0.25">
      <c r="A83" s="200" t="s">
        <v>2627</v>
      </c>
      <c r="B83" s="59">
        <v>17.14</v>
      </c>
      <c r="C83" s="59">
        <v>54.03</v>
      </c>
      <c r="D83" s="59">
        <v>45.3</v>
      </c>
      <c r="E83" s="59">
        <v>3.51</v>
      </c>
      <c r="F83" s="59">
        <v>8.43</v>
      </c>
      <c r="G83" s="59">
        <v>57.88</v>
      </c>
      <c r="H83" s="59">
        <v>20.170000000000002</v>
      </c>
      <c r="I83" s="59">
        <v>0.62</v>
      </c>
      <c r="J83" s="59">
        <v>1.19</v>
      </c>
      <c r="K83" s="59">
        <v>19.62</v>
      </c>
      <c r="L83" s="59">
        <v>27.88</v>
      </c>
      <c r="M83" s="59">
        <v>37.270000000000003</v>
      </c>
      <c r="N83" s="59">
        <v>4.2</v>
      </c>
      <c r="O83" s="59">
        <v>0</v>
      </c>
      <c r="P83" s="59">
        <v>1.1000000000000001</v>
      </c>
      <c r="Q83" s="59">
        <v>38.58</v>
      </c>
      <c r="R83" s="197"/>
      <c r="S83" s="197"/>
      <c r="T83" s="197"/>
      <c r="U83" s="197"/>
    </row>
    <row r="84" spans="1:26" s="12" customFormat="1" x14ac:dyDescent="0.25">
      <c r="A84" s="200" t="s">
        <v>2628</v>
      </c>
      <c r="B84" s="59">
        <v>18.97</v>
      </c>
      <c r="C84" s="59">
        <v>59.26</v>
      </c>
      <c r="D84" s="59">
        <v>49.66</v>
      </c>
      <c r="E84" s="59">
        <v>8.81</v>
      </c>
      <c r="F84" s="59">
        <v>7.67</v>
      </c>
      <c r="G84" s="59">
        <v>71.459999999999994</v>
      </c>
      <c r="H84" s="59">
        <v>23.52</v>
      </c>
      <c r="I84" s="59">
        <v>0.64</v>
      </c>
      <c r="J84" s="59">
        <v>0.76</v>
      </c>
      <c r="K84" s="59">
        <v>17.829999999999998</v>
      </c>
      <c r="L84" s="59">
        <v>27.78</v>
      </c>
      <c r="M84" s="59">
        <v>34.979999999999997</v>
      </c>
      <c r="N84" s="59">
        <v>4.7</v>
      </c>
      <c r="O84" s="59">
        <v>0</v>
      </c>
      <c r="P84" s="59">
        <v>1.07</v>
      </c>
      <c r="Q84" s="59">
        <v>38.299999999999997</v>
      </c>
      <c r="R84" s="197"/>
      <c r="S84" s="197"/>
      <c r="T84" s="197"/>
      <c r="U84" s="197"/>
    </row>
    <row r="85" spans="1:26" s="12" customFormat="1" x14ac:dyDescent="0.25">
      <c r="A85" s="200" t="s">
        <v>2629</v>
      </c>
      <c r="B85" s="59">
        <v>32.020000000000003</v>
      </c>
      <c r="C85" s="59">
        <v>65.97</v>
      </c>
      <c r="D85" s="59">
        <v>63.83</v>
      </c>
      <c r="E85" s="59">
        <v>17.54</v>
      </c>
      <c r="F85" s="59">
        <v>4.34</v>
      </c>
      <c r="G85" s="59">
        <v>71.930000000000007</v>
      </c>
      <c r="H85" s="59">
        <v>23.52</v>
      </c>
      <c r="I85" s="59">
        <v>0.64</v>
      </c>
      <c r="J85" s="59">
        <v>0.47</v>
      </c>
      <c r="K85" s="59">
        <v>22.74</v>
      </c>
      <c r="L85" s="59">
        <v>27.28</v>
      </c>
      <c r="M85" s="59">
        <v>39.22</v>
      </c>
      <c r="N85" s="59">
        <v>5.0999999999999996</v>
      </c>
      <c r="O85" s="59">
        <v>0</v>
      </c>
      <c r="P85" s="59">
        <v>1.39</v>
      </c>
      <c r="Q85" s="59">
        <v>44.8</v>
      </c>
      <c r="R85" s="197"/>
      <c r="S85" s="197"/>
      <c r="T85" s="197"/>
      <c r="U85" s="197"/>
    </row>
    <row r="86" spans="1:26" s="12" customFormat="1" x14ac:dyDescent="0.25">
      <c r="A86" s="200" t="s">
        <v>2630</v>
      </c>
      <c r="B86" s="59">
        <v>22.98</v>
      </c>
      <c r="C86" s="59">
        <v>62.89</v>
      </c>
      <c r="D86" s="59">
        <v>54.87</v>
      </c>
      <c r="E86" s="59">
        <v>11.27</v>
      </c>
      <c r="F86" s="59">
        <v>3.74</v>
      </c>
      <c r="G86" s="59">
        <v>71.930000000000007</v>
      </c>
      <c r="H86" s="59">
        <v>23.52</v>
      </c>
      <c r="I86" s="59">
        <v>0.61</v>
      </c>
      <c r="J86" s="59">
        <v>0.22</v>
      </c>
      <c r="K86" s="59">
        <v>319.02999999999997</v>
      </c>
      <c r="L86" s="59">
        <v>27.04</v>
      </c>
      <c r="M86" s="59">
        <v>40.57</v>
      </c>
      <c r="N86" s="59">
        <v>4.9000000000000004</v>
      </c>
      <c r="O86" s="59">
        <v>0</v>
      </c>
      <c r="P86" s="59">
        <v>1.1599999999999999</v>
      </c>
      <c r="Q86" s="59">
        <v>41.46</v>
      </c>
      <c r="R86" s="197"/>
      <c r="S86" s="197"/>
      <c r="T86" s="197"/>
      <c r="U86" s="197"/>
    </row>
    <row r="87" spans="1:26" s="12" customFormat="1" x14ac:dyDescent="0.25">
      <c r="A87" s="200" t="s">
        <v>2631</v>
      </c>
      <c r="B87" s="59">
        <v>29.21</v>
      </c>
      <c r="C87" s="59">
        <v>65.55</v>
      </c>
      <c r="D87" s="59">
        <v>61.34</v>
      </c>
      <c r="E87" s="59">
        <v>19.93</v>
      </c>
      <c r="F87" s="59">
        <v>5.07</v>
      </c>
      <c r="G87" s="59">
        <v>71.930000000000007</v>
      </c>
      <c r="H87" s="59">
        <v>23.52</v>
      </c>
      <c r="I87" s="59">
        <v>0.62</v>
      </c>
      <c r="J87" s="59">
        <v>0.16</v>
      </c>
      <c r="K87" s="59">
        <v>359.73</v>
      </c>
      <c r="L87" s="59">
        <v>26.6</v>
      </c>
      <c r="M87" s="59">
        <v>42.25</v>
      </c>
      <c r="N87" s="59">
        <v>5.0999999999999996</v>
      </c>
      <c r="O87" s="59">
        <v>0</v>
      </c>
      <c r="P87" s="59">
        <v>1.31</v>
      </c>
      <c r="Q87" s="59">
        <v>40.58</v>
      </c>
      <c r="R87" s="197"/>
      <c r="S87" s="197"/>
      <c r="T87" s="197"/>
      <c r="U87" s="197"/>
    </row>
    <row r="88" spans="1:26" s="12" customFormat="1" x14ac:dyDescent="0.25">
      <c r="A88" s="200" t="s">
        <v>2632</v>
      </c>
      <c r="B88" s="59">
        <v>26.47</v>
      </c>
      <c r="C88" s="59">
        <v>61.14</v>
      </c>
      <c r="D88" s="59">
        <v>56.71</v>
      </c>
      <c r="E88" s="59">
        <v>16.18</v>
      </c>
      <c r="F88" s="59">
        <v>6.65</v>
      </c>
      <c r="G88" s="59">
        <v>97.89</v>
      </c>
      <c r="H88" s="59">
        <v>31.09</v>
      </c>
      <c r="I88" s="59">
        <v>0.62</v>
      </c>
      <c r="J88" s="59">
        <v>0.2</v>
      </c>
      <c r="K88" s="59">
        <v>9.9</v>
      </c>
      <c r="L88" s="59">
        <v>26.37</v>
      </c>
      <c r="M88" s="59">
        <v>43.89</v>
      </c>
      <c r="N88" s="59">
        <v>5</v>
      </c>
      <c r="O88" s="59">
        <v>0</v>
      </c>
      <c r="P88" s="59">
        <v>1.33</v>
      </c>
      <c r="Q88" s="59">
        <v>42.05</v>
      </c>
      <c r="R88" s="197"/>
      <c r="S88" s="197"/>
      <c r="T88" s="197"/>
      <c r="U88" s="197"/>
    </row>
    <row r="89" spans="1:26" s="12" customFormat="1" x14ac:dyDescent="0.25">
      <c r="A89" s="200" t="s">
        <v>2633</v>
      </c>
      <c r="B89" s="59">
        <v>28.65</v>
      </c>
      <c r="C89" s="59">
        <v>63.88</v>
      </c>
      <c r="D89" s="59">
        <v>59.97</v>
      </c>
      <c r="E89" s="59">
        <v>18.61</v>
      </c>
      <c r="F89" s="59">
        <v>7.67</v>
      </c>
      <c r="G89" s="59">
        <v>98.79</v>
      </c>
      <c r="H89" s="59">
        <v>31.09</v>
      </c>
      <c r="I89" s="59">
        <v>0.62</v>
      </c>
      <c r="J89" s="59">
        <v>0.35</v>
      </c>
      <c r="K89" s="59">
        <v>22.66</v>
      </c>
      <c r="L89" s="59">
        <v>26.28</v>
      </c>
      <c r="M89" s="59">
        <v>44.77</v>
      </c>
      <c r="N89" s="59">
        <v>4.8</v>
      </c>
      <c r="O89" s="59">
        <v>0</v>
      </c>
      <c r="P89" s="59">
        <v>1.46</v>
      </c>
      <c r="Q89" s="59">
        <v>41.55</v>
      </c>
      <c r="R89" s="197"/>
      <c r="S89" s="197"/>
      <c r="T89" s="197"/>
      <c r="U89" s="197"/>
    </row>
    <row r="90" spans="1:26" s="12" customFormat="1" x14ac:dyDescent="0.25">
      <c r="A90" s="200" t="s">
        <v>2634</v>
      </c>
      <c r="B90" s="59">
        <v>31.25</v>
      </c>
      <c r="C90" s="59">
        <v>65.44</v>
      </c>
      <c r="D90" s="59">
        <v>62.92</v>
      </c>
      <c r="E90" s="59">
        <v>16.72</v>
      </c>
      <c r="F90" s="59">
        <v>7.43</v>
      </c>
      <c r="G90" s="59">
        <v>98.79</v>
      </c>
      <c r="H90" s="59">
        <v>31.09</v>
      </c>
      <c r="I90" s="59">
        <v>0.64</v>
      </c>
      <c r="J90" s="59">
        <v>0.43</v>
      </c>
      <c r="K90" s="59">
        <v>38.43</v>
      </c>
      <c r="L90" s="59">
        <v>26.2</v>
      </c>
      <c r="M90" s="59">
        <v>45.55</v>
      </c>
      <c r="N90" s="59">
        <v>4.9000000000000004</v>
      </c>
      <c r="O90" s="59">
        <v>0</v>
      </c>
      <c r="P90" s="59">
        <v>1.42</v>
      </c>
      <c r="Q90" s="59">
        <v>42.44</v>
      </c>
      <c r="R90" s="197"/>
      <c r="S90" s="197"/>
      <c r="T90" s="197"/>
      <c r="U90" s="197"/>
    </row>
    <row r="91" spans="1:26" s="12" customFormat="1" x14ac:dyDescent="0.25">
      <c r="A91" s="200" t="s">
        <v>2635</v>
      </c>
      <c r="B91" s="59">
        <v>25.44</v>
      </c>
      <c r="C91" s="59">
        <v>72.12</v>
      </c>
      <c r="D91" s="59">
        <v>61.95</v>
      </c>
      <c r="E91" s="59">
        <v>19.95</v>
      </c>
      <c r="F91" s="59">
        <v>5.62</v>
      </c>
      <c r="G91" s="59">
        <v>98.79</v>
      </c>
      <c r="H91" s="59">
        <v>31.09</v>
      </c>
      <c r="I91" s="59">
        <v>0.65</v>
      </c>
      <c r="J91" s="59">
        <v>0.22</v>
      </c>
      <c r="K91" s="59">
        <v>120.3</v>
      </c>
      <c r="L91" s="59">
        <v>26.15</v>
      </c>
      <c r="M91" s="59">
        <v>45.27</v>
      </c>
      <c r="N91" s="59">
        <v>4.9000000000000004</v>
      </c>
      <c r="O91" s="59">
        <v>0</v>
      </c>
      <c r="P91" s="59">
        <v>1.51</v>
      </c>
      <c r="Q91" s="59">
        <v>43.06</v>
      </c>
      <c r="R91" s="197"/>
      <c r="S91" s="197"/>
      <c r="T91" s="197"/>
      <c r="U91" s="197"/>
    </row>
    <row r="92" spans="1:26" s="12" customFormat="1" x14ac:dyDescent="0.25">
      <c r="A92" s="200" t="s">
        <v>2636</v>
      </c>
      <c r="B92" s="59">
        <v>33.869999999999997</v>
      </c>
      <c r="C92" s="59">
        <v>75.239999999999995</v>
      </c>
      <c r="D92" s="59">
        <v>70.42</v>
      </c>
      <c r="E92" s="59">
        <v>27.95</v>
      </c>
      <c r="F92" s="59">
        <v>5.9</v>
      </c>
      <c r="G92" s="59">
        <v>104.01</v>
      </c>
      <c r="H92" s="59">
        <v>33.799999999999997</v>
      </c>
      <c r="I92" s="59">
        <v>0.68</v>
      </c>
      <c r="J92" s="59">
        <v>0.16</v>
      </c>
      <c r="K92" s="59">
        <v>89.52</v>
      </c>
      <c r="L92" s="59">
        <v>26.24</v>
      </c>
      <c r="M92" s="59">
        <v>45.49</v>
      </c>
      <c r="N92" s="59">
        <v>4.5999999999999996</v>
      </c>
      <c r="O92" s="59">
        <v>0</v>
      </c>
      <c r="P92" s="59">
        <v>1.6</v>
      </c>
      <c r="Q92" s="59">
        <v>44.43</v>
      </c>
      <c r="R92" s="197"/>
      <c r="S92" s="197"/>
      <c r="T92" s="197"/>
      <c r="U92" s="197"/>
    </row>
    <row r="93" spans="1:26" s="12" customFormat="1" x14ac:dyDescent="0.25">
      <c r="A93" s="200" t="s">
        <v>2637</v>
      </c>
      <c r="B93" s="59">
        <v>24.37</v>
      </c>
      <c r="C93" s="59">
        <v>52.01</v>
      </c>
      <c r="D93" s="59">
        <v>49.98</v>
      </c>
      <c r="E93" s="59">
        <v>21.05</v>
      </c>
      <c r="F93" s="59">
        <v>5.91</v>
      </c>
      <c r="G93" s="59">
        <v>104.19</v>
      </c>
      <c r="H93" s="59">
        <v>33.799999999999997</v>
      </c>
      <c r="I93" s="59">
        <v>0.72</v>
      </c>
      <c r="J93" s="59">
        <v>0.52</v>
      </c>
      <c r="K93" s="59">
        <v>110.79</v>
      </c>
      <c r="L93" s="59">
        <v>26.42</v>
      </c>
      <c r="M93" s="59">
        <v>44.48</v>
      </c>
      <c r="N93" s="59">
        <v>4.5</v>
      </c>
      <c r="O93" s="59">
        <v>0</v>
      </c>
      <c r="P93" s="59">
        <v>1.37</v>
      </c>
      <c r="Q93" s="59">
        <v>46.44</v>
      </c>
      <c r="R93" s="197"/>
      <c r="S93" s="197"/>
      <c r="T93" s="197"/>
      <c r="U93" s="197"/>
    </row>
    <row r="94" spans="1:26" s="12" customFormat="1" x14ac:dyDescent="0.25">
      <c r="A94" s="200" t="s">
        <v>2638</v>
      </c>
      <c r="B94" s="59">
        <v>25.47</v>
      </c>
      <c r="C94" s="59">
        <v>56.8</v>
      </c>
      <c r="D94" s="59">
        <v>53.51</v>
      </c>
      <c r="E94" s="59">
        <v>8.6999999999999993</v>
      </c>
      <c r="F94" s="59">
        <v>3.87</v>
      </c>
      <c r="G94" s="59">
        <v>104.19</v>
      </c>
      <c r="H94" s="59">
        <v>33.799999999999997</v>
      </c>
      <c r="I94" s="59">
        <v>0.73</v>
      </c>
      <c r="J94" s="59">
        <v>0.99</v>
      </c>
      <c r="K94" s="59">
        <v>109.96</v>
      </c>
      <c r="L94" s="59">
        <v>26.38</v>
      </c>
      <c r="M94" s="59">
        <v>44.39</v>
      </c>
      <c r="N94" s="59">
        <v>4.5</v>
      </c>
      <c r="O94" s="59">
        <v>0</v>
      </c>
      <c r="P94" s="59">
        <v>1.25</v>
      </c>
      <c r="Q94" s="59">
        <v>49.2</v>
      </c>
      <c r="R94" s="197"/>
      <c r="S94" s="197"/>
      <c r="T94" s="197"/>
      <c r="U94" s="197"/>
    </row>
    <row r="95" spans="1:26" s="12" customFormat="1" x14ac:dyDescent="0.25">
      <c r="A95" s="200" t="s">
        <v>2639</v>
      </c>
      <c r="B95" s="59">
        <v>24.07</v>
      </c>
      <c r="C95" s="59">
        <v>40.5</v>
      </c>
      <c r="D95" s="59">
        <v>43.4</v>
      </c>
      <c r="E95" s="59">
        <v>8.06</v>
      </c>
      <c r="F95" s="59">
        <v>5.86</v>
      </c>
      <c r="G95" s="59">
        <v>104.19</v>
      </c>
      <c r="H95" s="59">
        <v>33.799999999999997</v>
      </c>
      <c r="I95" s="59">
        <v>0.75</v>
      </c>
      <c r="J95" s="59">
        <v>1.27</v>
      </c>
      <c r="K95" s="59">
        <v>114.05</v>
      </c>
      <c r="L95" s="59">
        <v>26.32</v>
      </c>
      <c r="M95" s="59">
        <v>44.35</v>
      </c>
      <c r="N95" s="59">
        <v>4.5999999999999996</v>
      </c>
      <c r="O95" s="59">
        <v>0</v>
      </c>
      <c r="P95" s="59">
        <v>1.21</v>
      </c>
      <c r="Q95" s="59">
        <v>50.44</v>
      </c>
      <c r="R95" s="197"/>
      <c r="S95" s="197"/>
      <c r="T95" s="197"/>
      <c r="U95" s="197"/>
    </row>
    <row r="96" spans="1:26" s="12" customFormat="1" x14ac:dyDescent="0.25">
      <c r="A96" s="200" t="s">
        <v>2640</v>
      </c>
      <c r="B96" s="59">
        <v>23.74</v>
      </c>
      <c r="C96" s="59">
        <v>39.159999999999997</v>
      </c>
      <c r="D96" s="59">
        <v>42.39</v>
      </c>
      <c r="E96" s="59">
        <v>6.36</v>
      </c>
      <c r="F96" s="59">
        <v>5.07</v>
      </c>
      <c r="G96" s="59">
        <v>92.59</v>
      </c>
      <c r="H96" s="59">
        <v>33.01</v>
      </c>
      <c r="I96" s="59">
        <v>0.73</v>
      </c>
      <c r="J96" s="59">
        <v>0.56000000000000005</v>
      </c>
      <c r="K96" s="59">
        <v>162.84</v>
      </c>
      <c r="L96" s="59">
        <v>26.21</v>
      </c>
      <c r="M96" s="59">
        <v>44.34</v>
      </c>
      <c r="N96" s="59">
        <v>4.8</v>
      </c>
      <c r="O96" s="59">
        <v>0</v>
      </c>
      <c r="P96" s="59">
        <v>1.21</v>
      </c>
      <c r="Q96" s="59">
        <v>46.9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2641</v>
      </c>
      <c r="B97" s="59">
        <v>22.03</v>
      </c>
      <c r="C97" s="59">
        <v>48.28</v>
      </c>
      <c r="D97" s="59">
        <v>46.05</v>
      </c>
      <c r="E97" s="59">
        <v>5.26</v>
      </c>
      <c r="F97" s="59">
        <v>5.59</v>
      </c>
      <c r="G97" s="59">
        <v>92.19</v>
      </c>
      <c r="H97" s="59">
        <v>33.01</v>
      </c>
      <c r="I97" s="59">
        <v>0.72</v>
      </c>
      <c r="J97" s="59">
        <v>0.41</v>
      </c>
      <c r="K97" s="59">
        <v>108.68</v>
      </c>
      <c r="L97" s="59">
        <v>25.92</v>
      </c>
      <c r="M97" s="59">
        <v>45.65</v>
      </c>
      <c r="N97" s="59">
        <v>4.9000000000000004</v>
      </c>
      <c r="O97" s="59">
        <v>0</v>
      </c>
      <c r="P97" s="59">
        <v>1.0900000000000001</v>
      </c>
      <c r="Q97" s="59">
        <v>50.83</v>
      </c>
      <c r="R97" s="197"/>
      <c r="S97" s="197"/>
      <c r="T97" s="197"/>
      <c r="U97" s="197"/>
    </row>
    <row r="98" spans="1:33" s="12" customFormat="1" x14ac:dyDescent="0.25">
      <c r="A98" s="200" t="s">
        <v>2642</v>
      </c>
      <c r="B98" s="59">
        <v>17.57</v>
      </c>
      <c r="C98" s="59">
        <v>41.28</v>
      </c>
      <c r="D98" s="59">
        <v>38.61</v>
      </c>
      <c r="E98" s="59">
        <v>7.02</v>
      </c>
      <c r="F98" s="59">
        <v>9.61</v>
      </c>
      <c r="G98" s="59">
        <v>92.19</v>
      </c>
      <c r="H98" s="59">
        <v>33.01</v>
      </c>
      <c r="I98" s="59">
        <v>0.72</v>
      </c>
      <c r="J98" s="59">
        <v>0.32</v>
      </c>
      <c r="K98" s="59">
        <v>124.48</v>
      </c>
      <c r="L98" s="59">
        <v>25.7</v>
      </c>
      <c r="M98" s="59">
        <v>46.35</v>
      </c>
      <c r="N98" s="59">
        <v>4.9000000000000004</v>
      </c>
      <c r="O98" s="59">
        <v>0</v>
      </c>
      <c r="P98" s="59">
        <v>0.96</v>
      </c>
      <c r="Q98" s="59">
        <v>50.18</v>
      </c>
      <c r="R98" s="197"/>
      <c r="S98" s="197"/>
      <c r="T98" s="197"/>
      <c r="U98" s="197"/>
    </row>
    <row r="99" spans="1:33" s="12" customFormat="1" x14ac:dyDescent="0.25">
      <c r="A99" s="200" t="s">
        <v>2643</v>
      </c>
      <c r="B99" s="59">
        <v>19.36</v>
      </c>
      <c r="C99" s="59">
        <v>43.71</v>
      </c>
      <c r="D99" s="59">
        <v>41.39</v>
      </c>
      <c r="E99" s="59">
        <v>5.01</v>
      </c>
      <c r="F99" s="59">
        <v>4.62</v>
      </c>
      <c r="G99" s="59">
        <v>92.19</v>
      </c>
      <c r="H99" s="59">
        <v>33.01</v>
      </c>
      <c r="I99" s="59">
        <v>0.68</v>
      </c>
      <c r="J99" s="59">
        <v>0.71</v>
      </c>
      <c r="K99" s="59">
        <v>200</v>
      </c>
      <c r="L99" s="59">
        <v>25.16</v>
      </c>
      <c r="M99" s="59">
        <v>51.14</v>
      </c>
      <c r="N99" s="59">
        <v>5.3</v>
      </c>
      <c r="O99" s="59">
        <v>0</v>
      </c>
      <c r="P99" s="59">
        <v>1.1000000000000001</v>
      </c>
      <c r="Q99" s="59">
        <v>46.42</v>
      </c>
      <c r="R99" s="197"/>
      <c r="S99" s="197"/>
      <c r="T99" s="197"/>
      <c r="U99" s="197"/>
    </row>
    <row r="100" spans="1:33" s="12" customFormat="1" x14ac:dyDescent="0.25">
      <c r="A100" s="200" t="s">
        <v>2644</v>
      </c>
      <c r="B100" s="59">
        <v>18.170000000000002</v>
      </c>
      <c r="C100" s="59">
        <v>45.93</v>
      </c>
      <c r="D100" s="59">
        <v>41.66</v>
      </c>
      <c r="E100" s="59">
        <v>3.54</v>
      </c>
      <c r="F100" s="59">
        <v>5.64</v>
      </c>
      <c r="G100" s="59">
        <v>81.180000000000007</v>
      </c>
      <c r="H100" s="59">
        <v>29.01</v>
      </c>
      <c r="I100" s="59">
        <v>0.66</v>
      </c>
      <c r="J100" s="59">
        <v>0.35</v>
      </c>
      <c r="K100" s="59">
        <v>231.53</v>
      </c>
      <c r="L100" s="59">
        <v>24.14</v>
      </c>
      <c r="M100" s="59">
        <v>57.87</v>
      </c>
      <c r="N100" s="59">
        <v>5.5</v>
      </c>
      <c r="O100" s="59">
        <v>0</v>
      </c>
      <c r="P100" s="59">
        <v>1.02</v>
      </c>
      <c r="Q100" s="59">
        <v>51.83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2645</v>
      </c>
      <c r="B101" s="59">
        <v>16.88</v>
      </c>
      <c r="C101" s="59">
        <v>40.04</v>
      </c>
      <c r="D101" s="59">
        <v>37.369999999999997</v>
      </c>
      <c r="E101" s="59">
        <v>4.18</v>
      </c>
      <c r="F101" s="59">
        <v>8.24</v>
      </c>
      <c r="G101" s="59">
        <v>80.8</v>
      </c>
      <c r="H101" s="59">
        <v>28.87</v>
      </c>
      <c r="I101" s="59">
        <v>0.69</v>
      </c>
      <c r="J101" s="59">
        <v>0.16</v>
      </c>
      <c r="K101" s="59">
        <v>264.48</v>
      </c>
      <c r="L101" s="59">
        <v>23.48</v>
      </c>
      <c r="M101" s="59">
        <v>60.29</v>
      </c>
      <c r="N101" s="59">
        <v>5.2</v>
      </c>
      <c r="O101" s="59">
        <v>0</v>
      </c>
      <c r="P101" s="59">
        <v>0.92</v>
      </c>
      <c r="Q101" s="59">
        <v>50.92</v>
      </c>
      <c r="R101" s="197"/>
      <c r="S101" s="197"/>
      <c r="T101" s="197"/>
      <c r="U101" s="197"/>
    </row>
    <row r="102" spans="1:33" s="12" customFormat="1" x14ac:dyDescent="0.25">
      <c r="A102" s="200" t="s">
        <v>2646</v>
      </c>
      <c r="B102" s="59">
        <v>14.72</v>
      </c>
      <c r="C102" s="59">
        <v>42.06</v>
      </c>
      <c r="D102" s="59">
        <v>36.76</v>
      </c>
      <c r="E102" s="59">
        <v>3.33</v>
      </c>
      <c r="F102" s="59">
        <v>8.77</v>
      </c>
      <c r="G102" s="59">
        <v>80.8</v>
      </c>
      <c r="H102" s="59">
        <v>28.87</v>
      </c>
      <c r="I102" s="59">
        <v>0.67</v>
      </c>
      <c r="J102" s="59">
        <v>0.18</v>
      </c>
      <c r="K102" s="59">
        <v>242.39</v>
      </c>
      <c r="L102" s="59">
        <v>23.19</v>
      </c>
      <c r="M102" s="59">
        <v>59.24</v>
      </c>
      <c r="N102" s="59">
        <v>4.7</v>
      </c>
      <c r="O102" s="59">
        <v>0</v>
      </c>
      <c r="P102" s="59">
        <v>0.89</v>
      </c>
      <c r="Q102" s="59">
        <v>49.69</v>
      </c>
      <c r="R102" s="197"/>
      <c r="S102" s="197"/>
      <c r="T102" s="197"/>
      <c r="U102" s="197"/>
    </row>
    <row r="103" spans="1:33" s="12" customFormat="1" x14ac:dyDescent="0.25">
      <c r="A103" s="200" t="s">
        <v>2647</v>
      </c>
      <c r="B103" s="59">
        <v>14.62</v>
      </c>
      <c r="C103" s="59">
        <v>39.520000000000003</v>
      </c>
      <c r="D103" s="59">
        <v>35.270000000000003</v>
      </c>
      <c r="E103" s="59">
        <v>3.49</v>
      </c>
      <c r="F103" s="59">
        <v>9.9600000000000009</v>
      </c>
      <c r="G103" s="59">
        <v>80.8</v>
      </c>
      <c r="H103" s="59">
        <v>28.87</v>
      </c>
      <c r="I103" s="59">
        <v>0.62</v>
      </c>
      <c r="J103" s="59">
        <v>0.08</v>
      </c>
      <c r="K103" s="59">
        <v>329</v>
      </c>
      <c r="L103" s="59">
        <v>22.95</v>
      </c>
      <c r="M103" s="59">
        <v>59.84</v>
      </c>
      <c r="N103" s="59">
        <v>4.9000000000000004</v>
      </c>
      <c r="O103" s="59">
        <v>0</v>
      </c>
      <c r="P103" s="59">
        <v>0.85</v>
      </c>
      <c r="Q103" s="59">
        <v>50.59</v>
      </c>
      <c r="R103" s="197"/>
      <c r="S103" s="197"/>
      <c r="T103" s="197"/>
      <c r="U103" s="197"/>
    </row>
    <row r="104" spans="1:33" s="12" customFormat="1" x14ac:dyDescent="0.25">
      <c r="A104" s="200" t="s">
        <v>2648</v>
      </c>
      <c r="B104" s="59">
        <v>16.71</v>
      </c>
      <c r="C104" s="59">
        <v>44.39</v>
      </c>
      <c r="D104" s="59">
        <v>39.64</v>
      </c>
      <c r="E104" s="59">
        <v>1.98</v>
      </c>
      <c r="F104" s="59">
        <v>9.16</v>
      </c>
      <c r="G104" s="59">
        <v>50.74</v>
      </c>
      <c r="H104" s="59">
        <v>25.11</v>
      </c>
      <c r="I104" s="59">
        <v>0.61</v>
      </c>
      <c r="J104" s="59">
        <v>0.13</v>
      </c>
      <c r="K104" s="59">
        <v>48.28</v>
      </c>
      <c r="L104" s="59">
        <v>22.61</v>
      </c>
      <c r="M104" s="59">
        <v>61.58</v>
      </c>
      <c r="N104" s="59">
        <v>4.7</v>
      </c>
      <c r="O104" s="59">
        <v>0</v>
      </c>
      <c r="P104" s="59">
        <v>0.86</v>
      </c>
      <c r="Q104" s="59">
        <v>49.89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</v>
      </c>
      <c r="C106" s="66">
        <f>MIN(C9:C104)</f>
        <v>25.71</v>
      </c>
      <c r="D106" s="66">
        <f t="shared" ref="D106:Q106" si="0">MIN(D9:D104)</f>
        <v>17.61</v>
      </c>
      <c r="E106" s="66">
        <f t="shared" si="0"/>
        <v>0.56000000000000005</v>
      </c>
      <c r="F106" s="66">
        <f t="shared" si="0"/>
        <v>1.1100000000000001</v>
      </c>
      <c r="G106" s="66">
        <f t="shared" si="0"/>
        <v>40.98</v>
      </c>
      <c r="H106" s="66">
        <f t="shared" si="0"/>
        <v>18.53</v>
      </c>
      <c r="I106" s="66">
        <f t="shared" si="0"/>
        <v>0.08</v>
      </c>
      <c r="J106" s="66">
        <f t="shared" si="0"/>
        <v>0.02</v>
      </c>
      <c r="K106" s="66">
        <f t="shared" si="0"/>
        <v>2.06</v>
      </c>
      <c r="L106" s="66">
        <f t="shared" si="0"/>
        <v>19.62</v>
      </c>
      <c r="M106" s="66">
        <f t="shared" si="0"/>
        <v>23.83</v>
      </c>
      <c r="N106" s="66">
        <f t="shared" si="0"/>
        <v>4.2</v>
      </c>
      <c r="O106" s="66">
        <f t="shared" si="0"/>
        <v>0</v>
      </c>
      <c r="P106" s="66">
        <f t="shared" si="0"/>
        <v>0.48</v>
      </c>
      <c r="Q106" s="66">
        <f t="shared" si="0"/>
        <v>0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70.819999999999993</v>
      </c>
      <c r="C107" s="65">
        <f t="shared" ref="C107:Q107" si="1">MAX(C9:C104)</f>
        <v>75.239999999999995</v>
      </c>
      <c r="D107" s="65">
        <f t="shared" si="1"/>
        <v>89.29</v>
      </c>
      <c r="E107" s="65">
        <f t="shared" si="1"/>
        <v>27.95</v>
      </c>
      <c r="F107" s="65">
        <f t="shared" si="1"/>
        <v>59.22</v>
      </c>
      <c r="G107" s="65">
        <f t="shared" si="1"/>
        <v>124.93</v>
      </c>
      <c r="H107" s="65">
        <f t="shared" si="1"/>
        <v>35.880000000000003</v>
      </c>
      <c r="I107" s="65">
        <f t="shared" si="1"/>
        <v>0.75</v>
      </c>
      <c r="J107" s="65">
        <f t="shared" si="1"/>
        <v>2.48</v>
      </c>
      <c r="K107" s="65">
        <f t="shared" si="1"/>
        <v>359.73</v>
      </c>
      <c r="L107" s="65">
        <f t="shared" si="1"/>
        <v>34.93</v>
      </c>
      <c r="M107" s="65">
        <f t="shared" si="1"/>
        <v>76.319999999999993</v>
      </c>
      <c r="N107" s="65">
        <f t="shared" si="1"/>
        <v>859</v>
      </c>
      <c r="O107" s="65">
        <f t="shared" si="1"/>
        <v>0</v>
      </c>
      <c r="P107" s="65">
        <f t="shared" si="1"/>
        <v>1.6</v>
      </c>
      <c r="Q107" s="65">
        <f t="shared" si="1"/>
        <v>51.83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27.330833333333334</v>
      </c>
      <c r="C108" s="66">
        <f t="shared" ref="C108:Q108" si="2">AVERAGE(C9:C104)</f>
        <v>51.123854166666689</v>
      </c>
      <c r="D108" s="66">
        <f t="shared" si="2"/>
        <v>51.855520833333372</v>
      </c>
      <c r="E108" s="66">
        <f t="shared" si="2"/>
        <v>5.2057291666666679</v>
      </c>
      <c r="F108" s="66">
        <f t="shared" si="2"/>
        <v>8.4308333333333305</v>
      </c>
      <c r="G108" s="66">
        <f t="shared" si="2"/>
        <v>69.908958333333317</v>
      </c>
      <c r="H108" s="66">
        <f t="shared" si="2"/>
        <v>26.576979166666685</v>
      </c>
      <c r="I108" s="66">
        <f t="shared" si="2"/>
        <v>0.57396226415094354</v>
      </c>
      <c r="J108" s="66">
        <f t="shared" si="2"/>
        <v>0.39968750000000003</v>
      </c>
      <c r="K108" s="66">
        <f t="shared" si="2"/>
        <v>181.22208333333333</v>
      </c>
      <c r="L108" s="66">
        <f t="shared" si="2"/>
        <v>26.417708333333326</v>
      </c>
      <c r="M108" s="66">
        <f t="shared" si="2"/>
        <v>49.345520833333346</v>
      </c>
      <c r="N108" s="66">
        <f t="shared" si="2"/>
        <v>236.91979166666673</v>
      </c>
      <c r="O108" s="66">
        <f t="shared" si="2"/>
        <v>0</v>
      </c>
      <c r="P108" s="66">
        <f t="shared" si="2"/>
        <v>0.93208333333333293</v>
      </c>
      <c r="Q108" s="66">
        <f t="shared" si="2"/>
        <v>30.300104166666667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20.53683302939363</v>
      </c>
      <c r="C109" s="66">
        <f t="shared" ref="C109:Q109" si="3">STDEV(C9:C104)</f>
        <v>12.019747730936302</v>
      </c>
      <c r="D109" s="66">
        <f t="shared" si="3"/>
        <v>21.215471061408277</v>
      </c>
      <c r="E109" s="66">
        <f t="shared" si="3"/>
        <v>4.9732327185891441</v>
      </c>
      <c r="F109" s="66">
        <f t="shared" si="3"/>
        <v>9.7475456200027644</v>
      </c>
      <c r="G109" s="66">
        <f t="shared" si="3"/>
        <v>21.432462514368812</v>
      </c>
      <c r="H109" s="66">
        <f t="shared" si="3"/>
        <v>4.7370086318802782</v>
      </c>
      <c r="I109" s="66">
        <f t="shared" si="3"/>
        <v>0.10728000069267719</v>
      </c>
      <c r="J109" s="66">
        <f t="shared" si="3"/>
        <v>0.41621212487713133</v>
      </c>
      <c r="K109" s="66">
        <f t="shared" si="3"/>
        <v>119.31308441872072</v>
      </c>
      <c r="L109" s="66">
        <f t="shared" si="3"/>
        <v>4.6929975785131859</v>
      </c>
      <c r="M109" s="66">
        <f t="shared" si="3"/>
        <v>15.824585925890023</v>
      </c>
      <c r="N109" s="66">
        <f t="shared" si="3"/>
        <v>319.43172456222652</v>
      </c>
      <c r="O109" s="66">
        <f t="shared" si="3"/>
        <v>0</v>
      </c>
      <c r="P109" s="66">
        <f t="shared" si="3"/>
        <v>0.21874241841498462</v>
      </c>
      <c r="Q109" s="66">
        <f t="shared" si="3"/>
        <v>15.459342159000004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COUNT(I9:I104)+43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K124" sqref="K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26-03-2023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2649</v>
      </c>
      <c r="B9" s="59">
        <v>16.38</v>
      </c>
      <c r="C9" s="59">
        <v>43.23</v>
      </c>
      <c r="D9" s="59">
        <v>38.74</v>
      </c>
      <c r="E9" s="59">
        <v>2.52</v>
      </c>
      <c r="F9" s="59">
        <v>7.07</v>
      </c>
      <c r="G9" s="59">
        <v>49.7</v>
      </c>
      <c r="H9" s="59">
        <v>25.11</v>
      </c>
      <c r="I9" s="59">
        <v>0.62</v>
      </c>
      <c r="J9" s="59">
        <v>0.15</v>
      </c>
      <c r="K9" s="59">
        <v>352.62</v>
      </c>
      <c r="L9" s="59">
        <v>22.41</v>
      </c>
      <c r="M9" s="59">
        <v>62.02</v>
      </c>
      <c r="N9" s="59">
        <v>4.7</v>
      </c>
      <c r="O9" s="59">
        <v>0</v>
      </c>
      <c r="P9" s="59">
        <v>0.87</v>
      </c>
      <c r="Q9" s="59">
        <v>51</v>
      </c>
      <c r="R9" s="197"/>
      <c r="S9" s="197"/>
      <c r="T9" s="197"/>
      <c r="U9" s="197"/>
    </row>
    <row r="10" spans="1:21" s="12" customFormat="1" x14ac:dyDescent="0.25">
      <c r="A10" s="200" t="s">
        <v>2650</v>
      </c>
      <c r="B10" s="59">
        <v>15</v>
      </c>
      <c r="C10" s="59">
        <v>38.130000000000003</v>
      </c>
      <c r="D10" s="59">
        <v>34.81</v>
      </c>
      <c r="E10" s="59">
        <v>2.56</v>
      </c>
      <c r="F10" s="59">
        <v>10.93</v>
      </c>
      <c r="G10" s="59">
        <v>49.7</v>
      </c>
      <c r="H10" s="59">
        <v>25.11</v>
      </c>
      <c r="I10" s="59">
        <v>0.61</v>
      </c>
      <c r="J10" s="59">
        <v>0.08</v>
      </c>
      <c r="K10" s="59">
        <v>337.36</v>
      </c>
      <c r="L10" s="59">
        <v>22.35</v>
      </c>
      <c r="M10" s="59">
        <v>60.9</v>
      </c>
      <c r="N10" s="59">
        <v>4.7</v>
      </c>
      <c r="O10" s="59">
        <v>0</v>
      </c>
      <c r="P10" s="59">
        <v>0.78</v>
      </c>
      <c r="Q10" s="59">
        <v>51.77</v>
      </c>
      <c r="R10" s="197"/>
      <c r="S10" s="197"/>
      <c r="T10" s="197"/>
      <c r="U10" s="197"/>
    </row>
    <row r="11" spans="1:21" s="12" customFormat="1" x14ac:dyDescent="0.25">
      <c r="A11" s="200" t="s">
        <v>2651</v>
      </c>
      <c r="B11" s="59">
        <v>15.16</v>
      </c>
      <c r="C11" s="59">
        <v>42.48</v>
      </c>
      <c r="D11" s="59">
        <v>37.340000000000003</v>
      </c>
      <c r="E11" s="59">
        <v>2.61</v>
      </c>
      <c r="F11" s="59">
        <v>8.69</v>
      </c>
      <c r="G11" s="59">
        <v>49.7</v>
      </c>
      <c r="H11" s="59">
        <v>25.11</v>
      </c>
      <c r="I11" s="59">
        <v>0.62</v>
      </c>
      <c r="J11" s="59">
        <v>0.11</v>
      </c>
      <c r="K11" s="59">
        <v>299.51</v>
      </c>
      <c r="L11" s="59">
        <v>22.18</v>
      </c>
      <c r="M11" s="59">
        <v>61.12</v>
      </c>
      <c r="N11" s="59">
        <v>4.5</v>
      </c>
      <c r="O11" s="59">
        <v>0</v>
      </c>
      <c r="P11" s="59">
        <v>0.8</v>
      </c>
      <c r="Q11" s="59">
        <v>50.44</v>
      </c>
      <c r="R11" s="197"/>
      <c r="S11" s="197"/>
      <c r="T11" s="197"/>
      <c r="U11" s="197"/>
    </row>
    <row r="12" spans="1:21" s="12" customFormat="1" x14ac:dyDescent="0.25">
      <c r="A12" s="200" t="s">
        <v>2652</v>
      </c>
      <c r="B12" s="59">
        <v>16.190000000000001</v>
      </c>
      <c r="C12" s="59">
        <v>45.3</v>
      </c>
      <c r="D12" s="59">
        <v>39.729999999999997</v>
      </c>
      <c r="E12" s="59">
        <v>2.68</v>
      </c>
      <c r="F12" s="59">
        <v>5.15</v>
      </c>
      <c r="G12" s="59">
        <v>45.84</v>
      </c>
      <c r="H12" s="59">
        <v>22.29</v>
      </c>
      <c r="I12" s="59">
        <v>0.6</v>
      </c>
      <c r="J12" s="59">
        <v>0.08</v>
      </c>
      <c r="K12" s="59">
        <v>348.28</v>
      </c>
      <c r="L12" s="59">
        <v>22.39</v>
      </c>
      <c r="M12" s="59">
        <v>60.02</v>
      </c>
      <c r="N12" s="59">
        <v>4.5</v>
      </c>
      <c r="O12" s="59">
        <v>0</v>
      </c>
      <c r="P12" s="59">
        <v>0.86</v>
      </c>
      <c r="Q12" s="59">
        <v>49.23</v>
      </c>
      <c r="R12" s="197"/>
      <c r="S12" s="197"/>
      <c r="T12" s="197"/>
      <c r="U12" s="197"/>
    </row>
    <row r="13" spans="1:21" s="12" customFormat="1" x14ac:dyDescent="0.25">
      <c r="A13" s="200" t="s">
        <v>2653</v>
      </c>
      <c r="B13" s="59">
        <v>15.53</v>
      </c>
      <c r="C13" s="59">
        <v>35.99</v>
      </c>
      <c r="D13" s="59">
        <v>34.049999999999997</v>
      </c>
      <c r="E13" s="59">
        <v>2.3199999999999998</v>
      </c>
      <c r="F13" s="59">
        <v>6.03</v>
      </c>
      <c r="G13" s="59">
        <v>45.71</v>
      </c>
      <c r="H13" s="59">
        <v>22.29</v>
      </c>
      <c r="I13" s="59">
        <v>0.61</v>
      </c>
      <c r="J13" s="59">
        <v>0.09</v>
      </c>
      <c r="K13" s="59">
        <v>24.59</v>
      </c>
      <c r="L13" s="59">
        <v>21.93</v>
      </c>
      <c r="M13" s="59">
        <v>63.93</v>
      </c>
      <c r="N13" s="59">
        <v>4.9000000000000004</v>
      </c>
      <c r="O13" s="59">
        <v>0</v>
      </c>
      <c r="P13" s="59">
        <v>0.79</v>
      </c>
      <c r="Q13" s="59">
        <v>51.81</v>
      </c>
      <c r="R13" s="197"/>
      <c r="S13" s="197"/>
      <c r="T13" s="197"/>
      <c r="U13" s="197"/>
    </row>
    <row r="14" spans="1:21" s="12" customFormat="1" x14ac:dyDescent="0.25">
      <c r="A14" s="200" t="s">
        <v>2654</v>
      </c>
      <c r="B14" s="59">
        <v>15.37</v>
      </c>
      <c r="C14" s="59">
        <v>41.34</v>
      </c>
      <c r="D14" s="59">
        <v>36.880000000000003</v>
      </c>
      <c r="E14" s="59">
        <v>1.92</v>
      </c>
      <c r="F14" s="59">
        <v>6.05</v>
      </c>
      <c r="G14" s="59">
        <v>45.71</v>
      </c>
      <c r="H14" s="59">
        <v>22.29</v>
      </c>
      <c r="I14" s="59">
        <v>0.63</v>
      </c>
      <c r="J14" s="59">
        <v>7.0000000000000007E-2</v>
      </c>
      <c r="K14" s="59">
        <v>160.32</v>
      </c>
      <c r="L14" s="59">
        <v>21.78</v>
      </c>
      <c r="M14" s="59">
        <v>62.32</v>
      </c>
      <c r="N14" s="59">
        <v>4.5</v>
      </c>
      <c r="O14" s="59">
        <v>0</v>
      </c>
      <c r="P14" s="59">
        <v>0.78</v>
      </c>
      <c r="Q14" s="59">
        <v>50.74</v>
      </c>
      <c r="R14" s="197"/>
      <c r="S14" s="197"/>
      <c r="T14" s="197"/>
      <c r="U14" s="197"/>
    </row>
    <row r="15" spans="1:21" s="12" customFormat="1" x14ac:dyDescent="0.25">
      <c r="A15" s="200" t="s">
        <v>2655</v>
      </c>
      <c r="B15" s="59">
        <v>13.15</v>
      </c>
      <c r="C15" s="59">
        <v>31.93</v>
      </c>
      <c r="D15" s="59">
        <v>29.91</v>
      </c>
      <c r="E15" s="59">
        <v>1.87</v>
      </c>
      <c r="F15" s="59">
        <v>9.35</v>
      </c>
      <c r="G15" s="59">
        <v>45.71</v>
      </c>
      <c r="H15" s="59">
        <v>22.29</v>
      </c>
      <c r="I15" s="59">
        <v>0.63</v>
      </c>
      <c r="J15" s="59">
        <v>0.12</v>
      </c>
      <c r="K15" s="59">
        <v>15.24</v>
      </c>
      <c r="L15" s="59">
        <v>21.84</v>
      </c>
      <c r="M15" s="59">
        <v>63.74</v>
      </c>
      <c r="N15" s="59">
        <v>4.5999999999999996</v>
      </c>
      <c r="O15" s="59">
        <v>0</v>
      </c>
      <c r="P15" s="59">
        <v>0.69</v>
      </c>
      <c r="Q15" s="59">
        <v>50.53</v>
      </c>
      <c r="R15" s="197"/>
      <c r="S15" s="197"/>
      <c r="T15" s="197"/>
      <c r="U15" s="197"/>
    </row>
    <row r="16" spans="1:21" s="12" customFormat="1" x14ac:dyDescent="0.25">
      <c r="A16" s="200" t="s">
        <v>2656</v>
      </c>
      <c r="B16" s="59">
        <v>15.84</v>
      </c>
      <c r="C16" s="59">
        <v>39.53</v>
      </c>
      <c r="D16" s="59">
        <v>36.26</v>
      </c>
      <c r="E16" s="59">
        <v>1.99</v>
      </c>
      <c r="F16" s="59">
        <v>4.16</v>
      </c>
      <c r="G16" s="59">
        <v>40.89</v>
      </c>
      <c r="H16" s="59">
        <v>20.03</v>
      </c>
      <c r="I16" s="59">
        <v>0.61</v>
      </c>
      <c r="J16" s="59">
        <v>0.1</v>
      </c>
      <c r="K16" s="59">
        <v>333.5</v>
      </c>
      <c r="L16" s="59">
        <v>21.5</v>
      </c>
      <c r="M16" s="59">
        <v>65.319999999999993</v>
      </c>
      <c r="N16" s="59">
        <v>4.8</v>
      </c>
      <c r="O16" s="59">
        <v>0</v>
      </c>
      <c r="P16" s="59">
        <v>0.78</v>
      </c>
      <c r="Q16" s="59">
        <v>45.17</v>
      </c>
      <c r="R16" s="197"/>
      <c r="S16" s="197"/>
      <c r="T16" s="197"/>
      <c r="U16" s="197"/>
    </row>
    <row r="17" spans="1:21" s="12" customFormat="1" x14ac:dyDescent="0.25">
      <c r="A17" s="200" t="s">
        <v>2657</v>
      </c>
      <c r="B17" s="59">
        <v>14.49</v>
      </c>
      <c r="C17" s="59">
        <v>38.96</v>
      </c>
      <c r="D17" s="59">
        <v>34.86</v>
      </c>
      <c r="E17" s="59">
        <v>1.63</v>
      </c>
      <c r="F17" s="59">
        <v>6.03</v>
      </c>
      <c r="G17" s="59">
        <v>40.659999999999997</v>
      </c>
      <c r="H17" s="59">
        <v>20.03</v>
      </c>
      <c r="I17" s="59">
        <v>0.6</v>
      </c>
      <c r="J17" s="59">
        <v>0.05</v>
      </c>
      <c r="K17" s="59">
        <v>330.86</v>
      </c>
      <c r="L17" s="59">
        <v>21.41</v>
      </c>
      <c r="M17" s="59">
        <v>64.27</v>
      </c>
      <c r="N17" s="59">
        <v>4.9000000000000004</v>
      </c>
      <c r="O17" s="59">
        <v>0</v>
      </c>
      <c r="P17" s="59">
        <v>0.66</v>
      </c>
      <c r="Q17" s="59">
        <v>51.56</v>
      </c>
      <c r="R17" s="197"/>
      <c r="S17" s="197"/>
      <c r="T17" s="197"/>
      <c r="U17" s="197"/>
    </row>
    <row r="18" spans="1:21" s="12" customFormat="1" x14ac:dyDescent="0.25">
      <c r="A18" s="200" t="s">
        <v>2658</v>
      </c>
      <c r="B18" s="59">
        <v>14.55</v>
      </c>
      <c r="C18" s="59">
        <v>34.75</v>
      </c>
      <c r="D18" s="59">
        <v>32.590000000000003</v>
      </c>
      <c r="E18" s="59">
        <v>1.94</v>
      </c>
      <c r="F18" s="59">
        <v>4.88</v>
      </c>
      <c r="G18" s="59">
        <v>40.659999999999997</v>
      </c>
      <c r="H18" s="59">
        <v>20.03</v>
      </c>
      <c r="I18" s="59">
        <v>0.6</v>
      </c>
      <c r="J18" s="59">
        <v>0.17</v>
      </c>
      <c r="K18" s="59">
        <v>11.36</v>
      </c>
      <c r="L18" s="59">
        <v>21.4</v>
      </c>
      <c r="M18" s="59">
        <v>66.64</v>
      </c>
      <c r="N18" s="59">
        <v>4.7</v>
      </c>
      <c r="O18" s="59">
        <v>0</v>
      </c>
      <c r="P18" s="59">
        <v>0.75</v>
      </c>
      <c r="Q18" s="59">
        <v>44.99</v>
      </c>
      <c r="R18" s="197"/>
      <c r="S18" s="197"/>
      <c r="T18" s="197"/>
      <c r="U18" s="197"/>
    </row>
    <row r="19" spans="1:21" s="12" customFormat="1" x14ac:dyDescent="0.25">
      <c r="A19" s="200" t="s">
        <v>2659</v>
      </c>
      <c r="B19" s="59">
        <v>13.99</v>
      </c>
      <c r="C19" s="59">
        <v>40.57</v>
      </c>
      <c r="D19" s="59">
        <v>35.35</v>
      </c>
      <c r="E19" s="59">
        <v>1.73</v>
      </c>
      <c r="F19" s="59">
        <v>5.26</v>
      </c>
      <c r="G19" s="59">
        <v>40.659999999999997</v>
      </c>
      <c r="H19" s="59">
        <v>20.03</v>
      </c>
      <c r="I19" s="59">
        <v>0.59</v>
      </c>
      <c r="J19" s="59">
        <v>0.03</v>
      </c>
      <c r="K19" s="59">
        <v>9.34</v>
      </c>
      <c r="L19" s="59">
        <v>21.41</v>
      </c>
      <c r="M19" s="59">
        <v>66.709999999999994</v>
      </c>
      <c r="N19" s="59">
        <v>4.8</v>
      </c>
      <c r="O19" s="59">
        <v>0</v>
      </c>
      <c r="P19" s="59">
        <v>0.66</v>
      </c>
      <c r="Q19" s="59">
        <v>50.07</v>
      </c>
      <c r="R19" s="197"/>
      <c r="S19" s="197"/>
      <c r="T19" s="197"/>
      <c r="U19" s="197"/>
    </row>
    <row r="20" spans="1:21" s="12" customFormat="1" x14ac:dyDescent="0.25">
      <c r="A20" s="200" t="s">
        <v>2660</v>
      </c>
      <c r="B20" s="59">
        <v>14.55</v>
      </c>
      <c r="C20" s="59">
        <v>45.5</v>
      </c>
      <c r="D20" s="59">
        <v>38.520000000000003</v>
      </c>
      <c r="E20" s="59">
        <v>2.2000000000000002</v>
      </c>
      <c r="F20" s="59">
        <v>6.26</v>
      </c>
      <c r="G20" s="59">
        <v>52.28</v>
      </c>
      <c r="H20" s="59">
        <v>22.81</v>
      </c>
      <c r="I20" s="59">
        <v>0.59</v>
      </c>
      <c r="J20" s="59">
        <v>0.27</v>
      </c>
      <c r="K20" s="59">
        <v>21.67</v>
      </c>
      <c r="L20" s="59">
        <v>21.71</v>
      </c>
      <c r="M20" s="59">
        <v>64.52</v>
      </c>
      <c r="N20" s="59">
        <v>4.7</v>
      </c>
      <c r="O20" s="59">
        <v>0</v>
      </c>
      <c r="P20" s="59">
        <v>0.65</v>
      </c>
      <c r="Q20" s="59">
        <v>49.04</v>
      </c>
      <c r="R20" s="197"/>
      <c r="S20" s="197"/>
      <c r="T20" s="197"/>
      <c r="U20" s="197"/>
    </row>
    <row r="21" spans="1:21" s="12" customFormat="1" x14ac:dyDescent="0.25">
      <c r="A21" s="200" t="s">
        <v>2661</v>
      </c>
      <c r="B21" s="59">
        <v>14.28</v>
      </c>
      <c r="C21" s="59">
        <v>42.77</v>
      </c>
      <c r="D21" s="59">
        <v>36.799999999999997</v>
      </c>
      <c r="E21" s="59">
        <v>2.04</v>
      </c>
      <c r="F21" s="59">
        <v>8.51</v>
      </c>
      <c r="G21" s="59">
        <v>52.82</v>
      </c>
      <c r="H21" s="59">
        <v>22.81</v>
      </c>
      <c r="I21" s="59">
        <v>0.59</v>
      </c>
      <c r="J21" s="59">
        <v>0.08</v>
      </c>
      <c r="K21" s="59">
        <v>272.79000000000002</v>
      </c>
      <c r="L21" s="59">
        <v>21.96</v>
      </c>
      <c r="M21" s="59">
        <v>61.55</v>
      </c>
      <c r="N21" s="59">
        <v>4.7</v>
      </c>
      <c r="O21" s="59">
        <v>0</v>
      </c>
      <c r="P21" s="59">
        <v>0.63</v>
      </c>
      <c r="Q21" s="59">
        <v>48.73</v>
      </c>
      <c r="R21" s="197"/>
      <c r="S21" s="197"/>
      <c r="T21" s="197"/>
      <c r="U21" s="197"/>
    </row>
    <row r="22" spans="1:21" s="12" customFormat="1" x14ac:dyDescent="0.25">
      <c r="A22" s="200" t="s">
        <v>2662</v>
      </c>
      <c r="B22" s="59">
        <v>14.01</v>
      </c>
      <c r="C22" s="59">
        <v>42.09</v>
      </c>
      <c r="D22" s="59">
        <v>36.21</v>
      </c>
      <c r="E22" s="59">
        <v>1.91</v>
      </c>
      <c r="F22" s="59">
        <v>8.19</v>
      </c>
      <c r="G22" s="59">
        <v>52.82</v>
      </c>
      <c r="H22" s="59">
        <v>22.81</v>
      </c>
      <c r="I22" s="59">
        <v>0.6</v>
      </c>
      <c r="J22" s="59">
        <v>0.11</v>
      </c>
      <c r="K22" s="59">
        <v>88.33</v>
      </c>
      <c r="L22" s="59">
        <v>22.2</v>
      </c>
      <c r="M22" s="59">
        <v>60.11</v>
      </c>
      <c r="N22" s="59">
        <v>4.8</v>
      </c>
      <c r="O22" s="59">
        <v>0</v>
      </c>
      <c r="P22" s="59">
        <v>0.63</v>
      </c>
      <c r="Q22" s="59">
        <v>49</v>
      </c>
      <c r="R22" s="197"/>
      <c r="S22" s="197"/>
      <c r="T22" s="197"/>
      <c r="U22" s="197"/>
    </row>
    <row r="23" spans="1:21" s="12" customFormat="1" x14ac:dyDescent="0.25">
      <c r="A23" s="200" t="s">
        <v>2663</v>
      </c>
      <c r="B23" s="59">
        <v>13.67</v>
      </c>
      <c r="C23" s="59">
        <v>38.85</v>
      </c>
      <c r="D23" s="59">
        <v>34.14</v>
      </c>
      <c r="E23" s="59">
        <v>1.42</v>
      </c>
      <c r="F23" s="59">
        <v>8.14</v>
      </c>
      <c r="G23" s="59">
        <v>52.82</v>
      </c>
      <c r="H23" s="59">
        <v>22.81</v>
      </c>
      <c r="I23" s="59">
        <v>0.59</v>
      </c>
      <c r="J23" s="59">
        <v>0.17</v>
      </c>
      <c r="K23" s="59">
        <v>74.23</v>
      </c>
      <c r="L23" s="59">
        <v>22.13</v>
      </c>
      <c r="M23" s="59">
        <v>60.87</v>
      </c>
      <c r="N23" s="59">
        <v>4.7</v>
      </c>
      <c r="O23" s="59">
        <v>0</v>
      </c>
      <c r="P23" s="59">
        <v>0.61</v>
      </c>
      <c r="Q23" s="59">
        <v>51.49</v>
      </c>
      <c r="R23" s="197"/>
      <c r="S23" s="197"/>
      <c r="T23" s="197"/>
      <c r="U23" s="197"/>
    </row>
    <row r="24" spans="1:21" s="12" customFormat="1" x14ac:dyDescent="0.25">
      <c r="A24" s="200" t="s">
        <v>2664</v>
      </c>
      <c r="B24" s="59">
        <v>16.13</v>
      </c>
      <c r="C24" s="59">
        <v>53.62</v>
      </c>
      <c r="D24" s="59">
        <v>44.27</v>
      </c>
      <c r="E24" s="59">
        <v>1.25</v>
      </c>
      <c r="F24" s="59">
        <v>3.86</v>
      </c>
      <c r="G24" s="59">
        <v>45.82</v>
      </c>
      <c r="H24" s="59">
        <v>21.6</v>
      </c>
      <c r="I24" s="59">
        <v>0.57999999999999996</v>
      </c>
      <c r="J24" s="59">
        <v>7.0000000000000007E-2</v>
      </c>
      <c r="K24" s="59">
        <v>277.95</v>
      </c>
      <c r="L24" s="59">
        <v>21.97</v>
      </c>
      <c r="M24" s="59">
        <v>62.9</v>
      </c>
      <c r="N24" s="59">
        <v>4.9000000000000004</v>
      </c>
      <c r="O24" s="59">
        <v>0</v>
      </c>
      <c r="P24" s="59">
        <v>0.61</v>
      </c>
      <c r="Q24" s="59">
        <v>50.54</v>
      </c>
      <c r="R24" s="197"/>
      <c r="S24" s="197"/>
      <c r="T24" s="197"/>
      <c r="U24" s="197"/>
    </row>
    <row r="25" spans="1:21" s="12" customFormat="1" x14ac:dyDescent="0.25">
      <c r="A25" s="200" t="s">
        <v>2665</v>
      </c>
      <c r="B25" s="59">
        <v>17.05</v>
      </c>
      <c r="C25" s="59">
        <v>46.27</v>
      </c>
      <c r="D25" s="59">
        <v>40.950000000000003</v>
      </c>
      <c r="E25" s="59">
        <v>2.5</v>
      </c>
      <c r="F25" s="59">
        <v>3.79</v>
      </c>
      <c r="G25" s="59">
        <v>45.49</v>
      </c>
      <c r="H25" s="59">
        <v>21.6</v>
      </c>
      <c r="I25" s="59">
        <v>0.59</v>
      </c>
      <c r="J25" s="59">
        <v>0.18</v>
      </c>
      <c r="K25" s="59">
        <v>249.6</v>
      </c>
      <c r="L25" s="59">
        <v>22.15</v>
      </c>
      <c r="M25" s="59">
        <v>61.82</v>
      </c>
      <c r="N25" s="59">
        <v>4.5999999999999996</v>
      </c>
      <c r="O25" s="59">
        <v>0</v>
      </c>
      <c r="P25" s="59">
        <v>0.63</v>
      </c>
      <c r="Q25" s="59">
        <v>48.28</v>
      </c>
      <c r="R25" s="197"/>
      <c r="S25" s="197"/>
      <c r="T25" s="197"/>
      <c r="U25" s="197"/>
    </row>
    <row r="26" spans="1:21" s="12" customFormat="1" x14ac:dyDescent="0.25">
      <c r="A26" s="200" t="s">
        <v>2666</v>
      </c>
      <c r="B26" s="59">
        <v>16.079999999999998</v>
      </c>
      <c r="C26" s="59">
        <v>45.12</v>
      </c>
      <c r="D26" s="59">
        <v>39.54</v>
      </c>
      <c r="E26" s="59">
        <v>2.72</v>
      </c>
      <c r="F26" s="59">
        <v>5.08</v>
      </c>
      <c r="G26" s="59">
        <v>45.49</v>
      </c>
      <c r="H26" s="59">
        <v>21.6</v>
      </c>
      <c r="I26" s="59">
        <v>0.6</v>
      </c>
      <c r="J26" s="59">
        <v>0.26</v>
      </c>
      <c r="K26" s="59">
        <v>354.62</v>
      </c>
      <c r="L26" s="59">
        <v>22.14</v>
      </c>
      <c r="M26" s="59">
        <v>64.95</v>
      </c>
      <c r="N26" s="59">
        <v>5</v>
      </c>
      <c r="O26" s="59">
        <v>0</v>
      </c>
      <c r="P26" s="59">
        <v>0.62</v>
      </c>
      <c r="Q26" s="59">
        <v>51.94</v>
      </c>
      <c r="R26" s="197"/>
      <c r="S26" s="197"/>
      <c r="T26" s="197"/>
      <c r="U26" s="197"/>
    </row>
    <row r="27" spans="1:21" s="12" customFormat="1" x14ac:dyDescent="0.25">
      <c r="A27" s="200" t="s">
        <v>2667</v>
      </c>
      <c r="B27" s="59">
        <v>19.29</v>
      </c>
      <c r="C27" s="59">
        <v>39.08</v>
      </c>
      <c r="D27" s="59">
        <v>38.78</v>
      </c>
      <c r="E27" s="59">
        <v>2.61</v>
      </c>
      <c r="F27" s="59">
        <v>3.19</v>
      </c>
      <c r="G27" s="59">
        <v>45.49</v>
      </c>
      <c r="H27" s="59">
        <v>21.6</v>
      </c>
      <c r="I27" s="59">
        <v>0.6</v>
      </c>
      <c r="J27" s="59">
        <v>0.46</v>
      </c>
      <c r="K27" s="59">
        <v>25.06</v>
      </c>
      <c r="L27" s="59">
        <v>22.04</v>
      </c>
      <c r="M27" s="59">
        <v>64.260000000000005</v>
      </c>
      <c r="N27" s="59">
        <v>4.8</v>
      </c>
      <c r="O27" s="59">
        <v>0</v>
      </c>
      <c r="P27" s="59">
        <v>0.62</v>
      </c>
      <c r="Q27" s="59">
        <v>51.87</v>
      </c>
      <c r="R27" s="197"/>
      <c r="S27" s="197"/>
      <c r="T27" s="197"/>
      <c r="U27" s="197"/>
    </row>
    <row r="28" spans="1:21" s="12" customFormat="1" x14ac:dyDescent="0.25">
      <c r="A28" s="200" t="s">
        <v>2668</v>
      </c>
      <c r="B28" s="59">
        <v>18.850000000000001</v>
      </c>
      <c r="C28" s="59">
        <v>49.5</v>
      </c>
      <c r="D28" s="59">
        <v>44.18</v>
      </c>
      <c r="E28" s="59">
        <v>2.52</v>
      </c>
      <c r="F28" s="59">
        <v>2.86</v>
      </c>
      <c r="G28" s="59">
        <v>49.6</v>
      </c>
      <c r="H28" s="59">
        <v>21.38</v>
      </c>
      <c r="I28" s="59">
        <v>0.61</v>
      </c>
      <c r="J28" s="59">
        <v>0.16</v>
      </c>
      <c r="K28" s="59">
        <v>330.62</v>
      </c>
      <c r="L28" s="59">
        <v>22.12</v>
      </c>
      <c r="M28" s="59">
        <v>62.13</v>
      </c>
      <c r="N28" s="59">
        <v>5</v>
      </c>
      <c r="O28" s="59">
        <v>0</v>
      </c>
      <c r="P28" s="59">
        <v>0.63</v>
      </c>
      <c r="Q28" s="59">
        <v>48.09</v>
      </c>
      <c r="R28" s="197"/>
      <c r="S28" s="197"/>
      <c r="T28" s="197"/>
      <c r="U28" s="197"/>
    </row>
    <row r="29" spans="1:21" s="12" customFormat="1" x14ac:dyDescent="0.25">
      <c r="A29" s="200" t="s">
        <v>2669</v>
      </c>
      <c r="B29" s="59">
        <v>19.190000000000001</v>
      </c>
      <c r="C29" s="59">
        <v>47.45</v>
      </c>
      <c r="D29" s="59">
        <v>43.31</v>
      </c>
      <c r="E29" s="59">
        <v>2.67</v>
      </c>
      <c r="F29" s="59">
        <v>2.2000000000000002</v>
      </c>
      <c r="G29" s="59">
        <v>49.79</v>
      </c>
      <c r="H29" s="59">
        <v>21.38</v>
      </c>
      <c r="I29" s="59">
        <v>0.64</v>
      </c>
      <c r="J29" s="59">
        <v>0.38</v>
      </c>
      <c r="K29" s="59">
        <v>176.34</v>
      </c>
      <c r="L29" s="59">
        <v>21.91</v>
      </c>
      <c r="M29" s="59">
        <v>67.739999999999995</v>
      </c>
      <c r="N29" s="59">
        <v>5.0999999999999996</v>
      </c>
      <c r="O29" s="59">
        <v>0</v>
      </c>
      <c r="P29" s="59">
        <v>0.63</v>
      </c>
      <c r="Q29" s="59">
        <v>48.56</v>
      </c>
      <c r="R29" s="197"/>
      <c r="S29" s="197"/>
      <c r="T29" s="197"/>
      <c r="U29" s="197"/>
    </row>
    <row r="30" spans="1:21" s="12" customFormat="1" x14ac:dyDescent="0.25">
      <c r="A30" s="200" t="s">
        <v>2670</v>
      </c>
      <c r="B30" s="59">
        <v>20.23</v>
      </c>
      <c r="C30" s="59">
        <v>41.78</v>
      </c>
      <c r="D30" s="59">
        <v>41.02</v>
      </c>
      <c r="E30" s="59">
        <v>2.66</v>
      </c>
      <c r="F30" s="59">
        <v>1.65</v>
      </c>
      <c r="G30" s="59">
        <v>49.79</v>
      </c>
      <c r="H30" s="59">
        <v>21.38</v>
      </c>
      <c r="I30" s="59">
        <v>0.65</v>
      </c>
      <c r="J30" s="59">
        <v>0.4</v>
      </c>
      <c r="K30" s="59">
        <v>183.7</v>
      </c>
      <c r="L30" s="59">
        <v>21.87</v>
      </c>
      <c r="M30" s="59">
        <v>68.650000000000006</v>
      </c>
      <c r="N30" s="59">
        <v>5</v>
      </c>
      <c r="O30" s="59">
        <v>0</v>
      </c>
      <c r="P30" s="59">
        <v>0.62</v>
      </c>
      <c r="Q30" s="59">
        <v>52.07</v>
      </c>
      <c r="R30" s="197"/>
      <c r="S30" s="197"/>
      <c r="T30" s="197"/>
      <c r="U30" s="197"/>
    </row>
    <row r="31" spans="1:21" s="12" customFormat="1" x14ac:dyDescent="0.25">
      <c r="A31" s="200" t="s">
        <v>2671</v>
      </c>
      <c r="B31" s="59">
        <v>19.95</v>
      </c>
      <c r="C31" s="59">
        <v>41.2</v>
      </c>
      <c r="D31" s="59">
        <v>40.479999999999997</v>
      </c>
      <c r="E31" s="59">
        <v>2.72</v>
      </c>
      <c r="F31" s="59">
        <v>1.83</v>
      </c>
      <c r="G31" s="59">
        <v>49.79</v>
      </c>
      <c r="H31" s="59">
        <v>21.38</v>
      </c>
      <c r="I31" s="59">
        <v>0.62</v>
      </c>
      <c r="J31" s="59">
        <v>0.39</v>
      </c>
      <c r="K31" s="59">
        <v>178.88</v>
      </c>
      <c r="L31" s="59">
        <v>21.72</v>
      </c>
      <c r="M31" s="59">
        <v>68.72</v>
      </c>
      <c r="N31" s="59">
        <v>5.3</v>
      </c>
      <c r="O31" s="59">
        <v>0</v>
      </c>
      <c r="P31" s="59">
        <v>0.62</v>
      </c>
      <c r="Q31" s="59">
        <v>45.66</v>
      </c>
      <c r="R31" s="197"/>
      <c r="S31" s="197"/>
      <c r="T31" s="197"/>
      <c r="U31" s="197"/>
    </row>
    <row r="32" spans="1:21" s="12" customFormat="1" x14ac:dyDescent="0.25">
      <c r="A32" s="200" t="s">
        <v>2672</v>
      </c>
      <c r="B32" s="59">
        <v>20.22</v>
      </c>
      <c r="C32" s="59">
        <v>42.34</v>
      </c>
      <c r="D32" s="59">
        <v>41.32</v>
      </c>
      <c r="E32" s="59">
        <v>2.17</v>
      </c>
      <c r="F32" s="59">
        <v>1.49</v>
      </c>
      <c r="G32" s="59">
        <v>49.3</v>
      </c>
      <c r="H32" s="59">
        <v>18.36</v>
      </c>
      <c r="I32" s="59">
        <v>0.62</v>
      </c>
      <c r="J32" s="59">
        <v>0.23</v>
      </c>
      <c r="K32" s="59">
        <v>2.95</v>
      </c>
      <c r="L32" s="59">
        <v>21.34</v>
      </c>
      <c r="M32" s="59">
        <v>71.69</v>
      </c>
      <c r="N32" s="59">
        <v>7.4</v>
      </c>
      <c r="O32" s="59">
        <v>0</v>
      </c>
      <c r="P32" s="59">
        <v>0.61</v>
      </c>
      <c r="Q32" s="59">
        <v>50.26</v>
      </c>
      <c r="R32" s="197"/>
      <c r="S32" s="197"/>
      <c r="T32" s="197"/>
      <c r="U32" s="197"/>
    </row>
    <row r="33" spans="1:21" s="12" customFormat="1" x14ac:dyDescent="0.25">
      <c r="A33" s="200" t="s">
        <v>2673</v>
      </c>
      <c r="B33" s="59">
        <v>22.61</v>
      </c>
      <c r="C33" s="59">
        <v>53.17</v>
      </c>
      <c r="D33" s="59">
        <v>49.21</v>
      </c>
      <c r="E33" s="59">
        <v>2.75</v>
      </c>
      <c r="F33" s="59">
        <v>1.73</v>
      </c>
      <c r="G33" s="59">
        <v>49.28</v>
      </c>
      <c r="H33" s="59">
        <v>18.36</v>
      </c>
      <c r="I33" s="59">
        <v>0.62</v>
      </c>
      <c r="J33" s="59">
        <v>0.56999999999999995</v>
      </c>
      <c r="K33" s="59">
        <v>133.24</v>
      </c>
      <c r="L33" s="59">
        <v>21.3</v>
      </c>
      <c r="M33" s="59">
        <v>70.59</v>
      </c>
      <c r="N33" s="59">
        <v>15.2</v>
      </c>
      <c r="O33" s="59">
        <v>0</v>
      </c>
      <c r="P33" s="59">
        <v>0.62</v>
      </c>
      <c r="Q33" s="59">
        <v>46.07</v>
      </c>
      <c r="R33" s="197"/>
      <c r="S33" s="197"/>
      <c r="T33" s="197"/>
      <c r="U33" s="197"/>
    </row>
    <row r="34" spans="1:21" s="12" customFormat="1" x14ac:dyDescent="0.25">
      <c r="A34" s="200" t="s">
        <v>2674</v>
      </c>
      <c r="B34" s="59">
        <v>23.81</v>
      </c>
      <c r="C34" s="59">
        <v>39.119999999999997</v>
      </c>
      <c r="D34" s="59">
        <v>42.42</v>
      </c>
      <c r="E34" s="59">
        <v>3.05</v>
      </c>
      <c r="F34" s="59">
        <v>1.27</v>
      </c>
      <c r="G34" s="59">
        <v>49.28</v>
      </c>
      <c r="H34" s="59">
        <v>18.36</v>
      </c>
      <c r="I34" s="59">
        <v>0.62</v>
      </c>
      <c r="J34" s="59">
        <v>0.12</v>
      </c>
      <c r="K34" s="59">
        <v>276.8</v>
      </c>
      <c r="L34" s="59">
        <v>21.51</v>
      </c>
      <c r="M34" s="59">
        <v>70.75</v>
      </c>
      <c r="N34" s="59">
        <v>36.299999999999997</v>
      </c>
      <c r="O34" s="59">
        <v>0</v>
      </c>
      <c r="P34" s="59">
        <v>0.62</v>
      </c>
      <c r="Q34" s="59">
        <v>50.92</v>
      </c>
      <c r="R34" s="197"/>
      <c r="S34" s="197"/>
      <c r="T34" s="197"/>
      <c r="U34" s="197"/>
    </row>
    <row r="35" spans="1:21" s="12" customFormat="1" x14ac:dyDescent="0.25">
      <c r="A35" s="200" t="s">
        <v>2675</v>
      </c>
      <c r="B35" s="59">
        <v>31.01</v>
      </c>
      <c r="C35" s="59">
        <v>50.84</v>
      </c>
      <c r="D35" s="59">
        <v>54.66</v>
      </c>
      <c r="E35" s="59">
        <v>3.28</v>
      </c>
      <c r="F35" s="59">
        <v>0.4</v>
      </c>
      <c r="G35" s="59">
        <v>49.28</v>
      </c>
      <c r="H35" s="59">
        <v>18.36</v>
      </c>
      <c r="I35" s="59">
        <v>0.62</v>
      </c>
      <c r="J35" s="59">
        <v>0.18</v>
      </c>
      <c r="K35" s="59">
        <v>32.020000000000003</v>
      </c>
      <c r="L35" s="59">
        <v>22.17</v>
      </c>
      <c r="M35" s="59">
        <v>69.41</v>
      </c>
      <c r="N35" s="59">
        <v>67.2</v>
      </c>
      <c r="O35" s="59">
        <v>0</v>
      </c>
      <c r="P35" s="59">
        <v>0.69</v>
      </c>
      <c r="Q35" s="59">
        <v>50.29</v>
      </c>
      <c r="R35" s="197"/>
      <c r="S35" s="197"/>
      <c r="T35" s="197"/>
      <c r="U35" s="197"/>
    </row>
    <row r="36" spans="1:21" s="12" customFormat="1" x14ac:dyDescent="0.25">
      <c r="A36" s="200" t="s">
        <v>2676</v>
      </c>
      <c r="B36" s="59">
        <v>29.13</v>
      </c>
      <c r="C36" s="59">
        <v>50.57</v>
      </c>
      <c r="D36" s="59">
        <v>53.01</v>
      </c>
      <c r="E36" s="59">
        <v>3.08</v>
      </c>
      <c r="F36" s="59">
        <v>1.27</v>
      </c>
      <c r="G36" s="59">
        <v>56.64</v>
      </c>
      <c r="H36" s="59">
        <v>20.440000000000001</v>
      </c>
      <c r="I36" s="59">
        <v>0.61</v>
      </c>
      <c r="J36" s="59">
        <v>0.35</v>
      </c>
      <c r="K36" s="59">
        <v>10.02</v>
      </c>
      <c r="L36" s="59">
        <v>23</v>
      </c>
      <c r="M36" s="59">
        <v>65.78</v>
      </c>
      <c r="N36" s="59">
        <v>102.7</v>
      </c>
      <c r="O36" s="59">
        <v>0</v>
      </c>
      <c r="P36" s="59">
        <v>0.65</v>
      </c>
      <c r="Q36" s="59">
        <v>48.14</v>
      </c>
      <c r="R36" s="197"/>
      <c r="S36" s="197"/>
      <c r="T36" s="197"/>
      <c r="U36" s="197"/>
    </row>
    <row r="37" spans="1:21" s="12" customFormat="1" x14ac:dyDescent="0.25">
      <c r="A37" s="200" t="s">
        <v>2677</v>
      </c>
      <c r="B37" s="59">
        <v>34.25</v>
      </c>
      <c r="C37" s="59">
        <v>35.380000000000003</v>
      </c>
      <c r="D37" s="59">
        <v>48.73</v>
      </c>
      <c r="E37" s="59">
        <v>3.25</v>
      </c>
      <c r="F37" s="59">
        <v>1.78</v>
      </c>
      <c r="G37" s="59">
        <v>56.89</v>
      </c>
      <c r="H37" s="59">
        <v>20.440000000000001</v>
      </c>
      <c r="I37" s="59">
        <v>0.62</v>
      </c>
      <c r="J37" s="59">
        <v>0.2</v>
      </c>
      <c r="K37" s="59">
        <v>337.58</v>
      </c>
      <c r="L37" s="59">
        <v>24.54</v>
      </c>
      <c r="M37" s="59">
        <v>57.67</v>
      </c>
      <c r="N37" s="59">
        <v>127.3</v>
      </c>
      <c r="O37" s="59">
        <v>0</v>
      </c>
      <c r="P37" s="59">
        <v>0.67</v>
      </c>
      <c r="Q37" s="59">
        <v>52.55</v>
      </c>
      <c r="R37" s="197"/>
      <c r="S37" s="197"/>
      <c r="T37" s="197"/>
      <c r="U37" s="197"/>
    </row>
    <row r="38" spans="1:21" s="12" customFormat="1" x14ac:dyDescent="0.25">
      <c r="A38" s="200" t="s">
        <v>2678</v>
      </c>
      <c r="B38" s="59">
        <v>30.35</v>
      </c>
      <c r="C38" s="59">
        <v>57.66</v>
      </c>
      <c r="D38" s="59">
        <v>57.9</v>
      </c>
      <c r="E38" s="59">
        <v>3.39</v>
      </c>
      <c r="F38" s="59">
        <v>1.5</v>
      </c>
      <c r="G38" s="59">
        <v>56.89</v>
      </c>
      <c r="H38" s="59">
        <v>20.440000000000001</v>
      </c>
      <c r="I38" s="59">
        <v>0.63</v>
      </c>
      <c r="J38" s="59">
        <v>0.28999999999999998</v>
      </c>
      <c r="K38" s="59">
        <v>5.09</v>
      </c>
      <c r="L38" s="59">
        <v>25.55</v>
      </c>
      <c r="M38" s="59">
        <v>52.41</v>
      </c>
      <c r="N38" s="59">
        <v>181.2</v>
      </c>
      <c r="O38" s="59">
        <v>0</v>
      </c>
      <c r="P38" s="59">
        <v>0.73</v>
      </c>
      <c r="Q38" s="59">
        <v>50.75</v>
      </c>
      <c r="R38" s="197"/>
      <c r="S38" s="197"/>
      <c r="T38" s="197"/>
      <c r="U38" s="197"/>
    </row>
    <row r="39" spans="1:21" s="12" customFormat="1" x14ac:dyDescent="0.25">
      <c r="A39" s="200" t="s">
        <v>2679</v>
      </c>
      <c r="B39" s="59">
        <v>32.6</v>
      </c>
      <c r="C39" s="59">
        <v>37.76</v>
      </c>
      <c r="D39" s="59">
        <v>48.72</v>
      </c>
      <c r="E39" s="59">
        <v>5.23</v>
      </c>
      <c r="F39" s="59">
        <v>2.77</v>
      </c>
      <c r="G39" s="59">
        <v>56.89</v>
      </c>
      <c r="H39" s="59">
        <v>20.440000000000001</v>
      </c>
      <c r="I39" s="59">
        <v>0.63</v>
      </c>
      <c r="J39" s="59">
        <v>0.36</v>
      </c>
      <c r="K39" s="59">
        <v>355.6</v>
      </c>
      <c r="L39" s="59">
        <v>27.25</v>
      </c>
      <c r="M39" s="59">
        <v>47.1</v>
      </c>
      <c r="N39" s="59">
        <v>250.8</v>
      </c>
      <c r="O39" s="59">
        <v>0</v>
      </c>
      <c r="P39" s="59">
        <v>0.73</v>
      </c>
      <c r="Q39" s="59">
        <v>50.1</v>
      </c>
      <c r="R39" s="197"/>
      <c r="S39" s="197"/>
      <c r="T39" s="197"/>
      <c r="U39" s="197"/>
    </row>
    <row r="40" spans="1:21" s="12" customFormat="1" x14ac:dyDescent="0.25">
      <c r="A40" s="200" t="s">
        <v>2680</v>
      </c>
      <c r="B40" s="59">
        <v>32.29</v>
      </c>
      <c r="C40" s="59">
        <v>62.38</v>
      </c>
      <c r="D40" s="59">
        <v>62.06</v>
      </c>
      <c r="E40" s="59">
        <v>2.1</v>
      </c>
      <c r="F40" s="59">
        <v>1.59</v>
      </c>
      <c r="G40" s="59">
        <v>67.63</v>
      </c>
      <c r="H40" s="59">
        <v>29.41</v>
      </c>
      <c r="I40" s="59">
        <v>0.64</v>
      </c>
      <c r="J40" s="59">
        <v>0.18</v>
      </c>
      <c r="K40" s="59">
        <v>350.35</v>
      </c>
      <c r="L40" s="59">
        <v>28.09</v>
      </c>
      <c r="M40" s="59">
        <v>44.71</v>
      </c>
      <c r="N40" s="59">
        <v>294.89999999999998</v>
      </c>
      <c r="O40" s="59">
        <v>0</v>
      </c>
      <c r="P40" s="59">
        <v>0.73</v>
      </c>
      <c r="Q40" s="59">
        <v>50.51</v>
      </c>
      <c r="R40" s="197"/>
      <c r="S40" s="197"/>
      <c r="T40" s="197"/>
      <c r="U40" s="197"/>
    </row>
    <row r="41" spans="1:21" s="12" customFormat="1" x14ac:dyDescent="0.25">
      <c r="A41" s="200" t="s">
        <v>2681</v>
      </c>
      <c r="B41" s="59">
        <v>31.55</v>
      </c>
      <c r="C41" s="59">
        <v>45.09</v>
      </c>
      <c r="D41" s="59">
        <v>51.92</v>
      </c>
      <c r="E41" s="59">
        <v>3.28</v>
      </c>
      <c r="F41" s="59">
        <v>2.5499999999999998</v>
      </c>
      <c r="G41" s="59">
        <v>68</v>
      </c>
      <c r="H41" s="59">
        <v>29.41</v>
      </c>
      <c r="I41" s="59">
        <v>0.64</v>
      </c>
      <c r="J41" s="59">
        <v>0.12</v>
      </c>
      <c r="K41" s="59">
        <v>210.39</v>
      </c>
      <c r="L41" s="59">
        <v>27.48</v>
      </c>
      <c r="M41" s="59">
        <v>45.75</v>
      </c>
      <c r="N41" s="59">
        <v>360.8</v>
      </c>
      <c r="O41" s="59">
        <v>0</v>
      </c>
      <c r="P41" s="59">
        <v>0.72</v>
      </c>
      <c r="Q41" s="59">
        <v>55.46</v>
      </c>
      <c r="R41" s="197"/>
      <c r="S41" s="197"/>
      <c r="T41" s="197"/>
      <c r="U41" s="197"/>
    </row>
    <row r="42" spans="1:21" s="12" customFormat="1" x14ac:dyDescent="0.25">
      <c r="A42" s="200" t="s">
        <v>2682</v>
      </c>
      <c r="B42" s="59">
        <v>30.12</v>
      </c>
      <c r="C42" s="59">
        <v>32.49</v>
      </c>
      <c r="D42" s="59">
        <v>43.82</v>
      </c>
      <c r="E42" s="59">
        <v>3.73</v>
      </c>
      <c r="F42" s="59">
        <v>4.8099999999999996</v>
      </c>
      <c r="G42" s="59">
        <v>68</v>
      </c>
      <c r="H42" s="59">
        <v>29.41</v>
      </c>
      <c r="I42" s="59">
        <v>0.65</v>
      </c>
      <c r="J42" s="59">
        <v>0.23</v>
      </c>
      <c r="K42" s="59">
        <v>189.12</v>
      </c>
      <c r="L42" s="59">
        <v>28.2</v>
      </c>
      <c r="M42" s="59">
        <v>44.82</v>
      </c>
      <c r="N42" s="59">
        <v>411</v>
      </c>
      <c r="O42" s="59">
        <v>0</v>
      </c>
      <c r="P42" s="59">
        <v>0.74</v>
      </c>
      <c r="Q42" s="59">
        <v>52.99</v>
      </c>
      <c r="R42" s="197"/>
      <c r="S42" s="197"/>
      <c r="T42" s="197"/>
      <c r="U42" s="197"/>
    </row>
    <row r="43" spans="1:21" s="12" customFormat="1" x14ac:dyDescent="0.25">
      <c r="A43" s="200" t="s">
        <v>2683</v>
      </c>
      <c r="B43" s="59">
        <v>29.63</v>
      </c>
      <c r="C43" s="59">
        <v>43.74</v>
      </c>
      <c r="D43" s="59">
        <v>49.64</v>
      </c>
      <c r="E43" s="59">
        <v>3.08</v>
      </c>
      <c r="F43" s="59">
        <v>2.66</v>
      </c>
      <c r="G43" s="59">
        <v>68</v>
      </c>
      <c r="H43" s="59">
        <v>29.41</v>
      </c>
      <c r="I43" s="59">
        <v>0.64</v>
      </c>
      <c r="J43" s="59">
        <v>0.12</v>
      </c>
      <c r="K43" s="59">
        <v>353.81</v>
      </c>
      <c r="L43" s="59">
        <v>28.71</v>
      </c>
      <c r="M43" s="59">
        <v>44.58</v>
      </c>
      <c r="N43" s="59">
        <v>464.6</v>
      </c>
      <c r="O43" s="59">
        <v>0</v>
      </c>
      <c r="P43" s="59">
        <v>0.76</v>
      </c>
      <c r="Q43" s="59">
        <v>46.59</v>
      </c>
      <c r="R43" s="197"/>
      <c r="S43" s="197"/>
      <c r="T43" s="197"/>
      <c r="U43" s="197"/>
    </row>
    <row r="44" spans="1:21" s="12" customFormat="1" x14ac:dyDescent="0.25">
      <c r="A44" s="200" t="s">
        <v>2684</v>
      </c>
      <c r="B44" s="59">
        <v>27.71</v>
      </c>
      <c r="C44" s="59">
        <v>45.22</v>
      </c>
      <c r="D44" s="59">
        <v>48.92</v>
      </c>
      <c r="E44" s="59">
        <v>2.73</v>
      </c>
      <c r="F44" s="59">
        <v>1.92</v>
      </c>
      <c r="G44" s="59">
        <v>68.040000000000006</v>
      </c>
      <c r="H44" s="59">
        <v>26.84</v>
      </c>
      <c r="I44" s="59">
        <v>0.64</v>
      </c>
      <c r="J44" s="59">
        <v>0.09</v>
      </c>
      <c r="K44" s="59">
        <v>352.04</v>
      </c>
      <c r="L44" s="59">
        <v>29.48</v>
      </c>
      <c r="M44" s="59">
        <v>43.14</v>
      </c>
      <c r="N44" s="59">
        <v>519.70000000000005</v>
      </c>
      <c r="O44" s="59">
        <v>0</v>
      </c>
      <c r="P44" s="59">
        <v>0.81</v>
      </c>
      <c r="Q44" s="59">
        <v>51.06</v>
      </c>
      <c r="R44" s="197"/>
      <c r="S44" s="197"/>
      <c r="T44" s="197"/>
      <c r="U44" s="197"/>
    </row>
    <row r="45" spans="1:21" s="12" customFormat="1" x14ac:dyDescent="0.25">
      <c r="A45" s="200" t="s">
        <v>2685</v>
      </c>
      <c r="B45" s="59">
        <v>24.09</v>
      </c>
      <c r="C45" s="59">
        <v>39.6</v>
      </c>
      <c r="D45" s="59">
        <v>42.92</v>
      </c>
      <c r="E45" s="59">
        <v>2.99</v>
      </c>
      <c r="F45" s="59">
        <v>2.16</v>
      </c>
      <c r="G45" s="59">
        <v>68.040000000000006</v>
      </c>
      <c r="H45" s="59">
        <v>26.84</v>
      </c>
      <c r="I45" s="59">
        <v>0.64</v>
      </c>
      <c r="J45" s="59">
        <v>0.13</v>
      </c>
      <c r="K45" s="59">
        <v>285.66000000000003</v>
      </c>
      <c r="L45" s="59">
        <v>28.15</v>
      </c>
      <c r="M45" s="59">
        <v>46.95</v>
      </c>
      <c r="N45" s="59">
        <v>551.6</v>
      </c>
      <c r="O45" s="59">
        <v>0</v>
      </c>
      <c r="P45" s="59">
        <v>0.85</v>
      </c>
      <c r="Q45" s="59">
        <v>45.23</v>
      </c>
      <c r="R45" s="197"/>
      <c r="S45" s="197"/>
      <c r="T45" s="197"/>
      <c r="U45" s="197"/>
    </row>
    <row r="46" spans="1:21" s="12" customFormat="1" x14ac:dyDescent="0.25">
      <c r="A46" s="200" t="s">
        <v>2686</v>
      </c>
      <c r="B46" s="59">
        <v>19.12</v>
      </c>
      <c r="C46" s="59">
        <v>57.42</v>
      </c>
      <c r="D46" s="59">
        <v>48.76</v>
      </c>
      <c r="E46" s="59">
        <v>2.84</v>
      </c>
      <c r="F46" s="59">
        <v>1.51</v>
      </c>
      <c r="G46" s="59">
        <v>68.040000000000006</v>
      </c>
      <c r="H46" s="59">
        <v>26.84</v>
      </c>
      <c r="I46" s="59">
        <v>0.63</v>
      </c>
      <c r="J46" s="59">
        <v>0.28000000000000003</v>
      </c>
      <c r="K46" s="59">
        <v>22.78</v>
      </c>
      <c r="L46" s="59">
        <v>29.9</v>
      </c>
      <c r="M46" s="59">
        <v>43.32</v>
      </c>
      <c r="N46" s="59">
        <v>604.5</v>
      </c>
      <c r="O46" s="59">
        <v>0</v>
      </c>
      <c r="P46" s="59">
        <v>0.89</v>
      </c>
      <c r="Q46" s="59">
        <v>48.96</v>
      </c>
      <c r="R46" s="197"/>
      <c r="S46" s="197"/>
      <c r="T46" s="197"/>
      <c r="U46" s="197"/>
    </row>
    <row r="47" spans="1:21" s="12" customFormat="1" x14ac:dyDescent="0.25">
      <c r="A47" s="200" t="s">
        <v>2687</v>
      </c>
      <c r="B47" s="59">
        <v>14.6</v>
      </c>
      <c r="C47" s="59">
        <v>62.52</v>
      </c>
      <c r="D47" s="59">
        <v>47.96</v>
      </c>
      <c r="E47" s="59">
        <v>2.56</v>
      </c>
      <c r="F47" s="59">
        <v>2.2200000000000002</v>
      </c>
      <c r="G47" s="59">
        <v>68.040000000000006</v>
      </c>
      <c r="H47" s="59">
        <v>26.84</v>
      </c>
      <c r="I47" s="59">
        <v>0.62</v>
      </c>
      <c r="J47" s="59">
        <v>0.34</v>
      </c>
      <c r="K47" s="59">
        <v>346.22</v>
      </c>
      <c r="L47" s="59">
        <v>30.74</v>
      </c>
      <c r="M47" s="59">
        <v>40.54</v>
      </c>
      <c r="N47" s="59">
        <v>633.20000000000005</v>
      </c>
      <c r="O47" s="59">
        <v>0</v>
      </c>
      <c r="P47" s="59">
        <v>0.98</v>
      </c>
      <c r="Q47" s="59">
        <v>43.54</v>
      </c>
      <c r="R47" s="197"/>
      <c r="S47" s="197"/>
      <c r="T47" s="197"/>
      <c r="U47" s="197"/>
    </row>
    <row r="48" spans="1:21" s="12" customFormat="1" x14ac:dyDescent="0.25">
      <c r="A48" s="200" t="s">
        <v>2688</v>
      </c>
      <c r="B48" s="59">
        <v>11.38</v>
      </c>
      <c r="C48" s="59">
        <v>57.69</v>
      </c>
      <c r="D48" s="59">
        <v>42.7</v>
      </c>
      <c r="E48" s="59">
        <v>2.8</v>
      </c>
      <c r="F48" s="59">
        <v>2.7</v>
      </c>
      <c r="G48" s="59">
        <v>64.900000000000006</v>
      </c>
      <c r="H48" s="59">
        <v>26.32</v>
      </c>
      <c r="I48" s="59">
        <v>0.6</v>
      </c>
      <c r="J48" s="59">
        <v>0.47</v>
      </c>
      <c r="K48" s="59">
        <v>1.03</v>
      </c>
      <c r="L48" s="59">
        <v>31.28</v>
      </c>
      <c r="M48" s="59">
        <v>39.39</v>
      </c>
      <c r="N48" s="59">
        <v>651</v>
      </c>
      <c r="O48" s="59">
        <v>0</v>
      </c>
      <c r="P48" s="59">
        <v>1.0900000000000001</v>
      </c>
      <c r="Q48" s="59">
        <v>45.72</v>
      </c>
      <c r="R48" s="197"/>
      <c r="S48" s="197"/>
      <c r="T48" s="197"/>
      <c r="U48" s="197"/>
    </row>
    <row r="49" spans="1:21" s="12" customFormat="1" x14ac:dyDescent="0.25">
      <c r="A49" s="200" t="s">
        <v>2689</v>
      </c>
      <c r="B49" s="59">
        <v>9.39</v>
      </c>
      <c r="C49" s="59">
        <v>72.81</v>
      </c>
      <c r="D49" s="59">
        <v>49.45</v>
      </c>
      <c r="E49" s="59">
        <v>2.62</v>
      </c>
      <c r="F49" s="59">
        <v>2.48</v>
      </c>
      <c r="G49" s="59">
        <v>64.790000000000006</v>
      </c>
      <c r="H49" s="59">
        <v>26.32</v>
      </c>
      <c r="I49" s="59">
        <v>0.59</v>
      </c>
      <c r="J49" s="59">
        <v>0.86</v>
      </c>
      <c r="K49" s="59">
        <v>354.99</v>
      </c>
      <c r="L49" s="59">
        <v>32.65</v>
      </c>
      <c r="M49" s="59">
        <v>37.79</v>
      </c>
      <c r="N49" s="59">
        <v>684.7</v>
      </c>
      <c r="O49" s="59">
        <v>0</v>
      </c>
      <c r="P49" s="59">
        <v>1.1299999999999999</v>
      </c>
      <c r="Q49" s="59">
        <v>41.17</v>
      </c>
      <c r="R49" s="197"/>
      <c r="S49" s="197"/>
      <c r="T49" s="197"/>
      <c r="U49" s="197"/>
    </row>
    <row r="50" spans="1:21" s="12" customFormat="1" x14ac:dyDescent="0.25">
      <c r="A50" s="200" t="s">
        <v>2690</v>
      </c>
      <c r="B50" s="59">
        <v>7.88</v>
      </c>
      <c r="C50" s="59">
        <v>47.52</v>
      </c>
      <c r="D50" s="59">
        <v>34.28</v>
      </c>
      <c r="E50" s="59">
        <v>2.71</v>
      </c>
      <c r="F50" s="59">
        <v>3.58</v>
      </c>
      <c r="G50" s="59">
        <v>64.790000000000006</v>
      </c>
      <c r="H50" s="59">
        <v>26.32</v>
      </c>
      <c r="I50" s="59">
        <v>0.56999999999999995</v>
      </c>
      <c r="J50" s="59">
        <v>0.7</v>
      </c>
      <c r="K50" s="59">
        <v>350.88</v>
      </c>
      <c r="L50" s="59">
        <v>32.68</v>
      </c>
      <c r="M50" s="59">
        <v>38.64</v>
      </c>
      <c r="N50" s="59">
        <v>737.7</v>
      </c>
      <c r="O50" s="59">
        <v>0</v>
      </c>
      <c r="P50" s="59">
        <v>1.1000000000000001</v>
      </c>
      <c r="Q50" s="59">
        <v>44.9</v>
      </c>
      <c r="R50" s="197"/>
      <c r="S50" s="197"/>
      <c r="T50" s="197"/>
      <c r="U50" s="197"/>
    </row>
    <row r="51" spans="1:21" s="12" customFormat="1" x14ac:dyDescent="0.25">
      <c r="A51" s="200" t="s">
        <v>2691</v>
      </c>
      <c r="B51" s="59">
        <v>5.95</v>
      </c>
      <c r="C51" s="59">
        <v>65.239999999999995</v>
      </c>
      <c r="D51" s="59">
        <v>42.51</v>
      </c>
      <c r="E51" s="59">
        <v>2.44</v>
      </c>
      <c r="F51" s="59">
        <v>3.81</v>
      </c>
      <c r="G51" s="59">
        <v>64.790000000000006</v>
      </c>
      <c r="H51" s="59">
        <v>26.32</v>
      </c>
      <c r="I51" s="59">
        <v>0.56000000000000005</v>
      </c>
      <c r="J51" s="59">
        <v>0.36</v>
      </c>
      <c r="K51" s="59">
        <v>11.39</v>
      </c>
      <c r="L51" s="59">
        <v>32.36</v>
      </c>
      <c r="M51" s="59">
        <v>39.5</v>
      </c>
      <c r="N51" s="59">
        <v>763.1</v>
      </c>
      <c r="O51" s="59">
        <v>0</v>
      </c>
      <c r="P51" s="59">
        <v>1.06</v>
      </c>
      <c r="Q51" s="59">
        <v>39.51</v>
      </c>
      <c r="R51" s="197"/>
      <c r="S51" s="197"/>
      <c r="T51" s="197"/>
      <c r="U51" s="197"/>
    </row>
    <row r="52" spans="1:21" s="12" customFormat="1" x14ac:dyDescent="0.25">
      <c r="A52" s="200" t="s">
        <v>2692</v>
      </c>
      <c r="B52" s="59">
        <v>4.79</v>
      </c>
      <c r="C52" s="59">
        <v>46.01</v>
      </c>
      <c r="D52" s="59">
        <v>30.97</v>
      </c>
      <c r="E52" s="59">
        <v>2.4</v>
      </c>
      <c r="F52" s="59">
        <v>3.44</v>
      </c>
      <c r="G52" s="59">
        <v>60.84</v>
      </c>
      <c r="H52" s="59">
        <v>25.25</v>
      </c>
      <c r="I52" s="59">
        <v>0.54</v>
      </c>
      <c r="J52" s="59">
        <v>0.9</v>
      </c>
      <c r="K52" s="59">
        <v>353</v>
      </c>
      <c r="L52" s="59">
        <v>33.04</v>
      </c>
      <c r="M52" s="59">
        <v>39.090000000000003</v>
      </c>
      <c r="N52" s="59">
        <v>787.5</v>
      </c>
      <c r="O52" s="59">
        <v>0</v>
      </c>
      <c r="P52" s="59">
        <v>0.99</v>
      </c>
      <c r="Q52" s="59">
        <v>44.22</v>
      </c>
      <c r="R52" s="197"/>
      <c r="S52" s="197"/>
      <c r="T52" s="197"/>
      <c r="U52" s="197"/>
    </row>
    <row r="53" spans="1:21" s="12" customFormat="1" x14ac:dyDescent="0.25">
      <c r="A53" s="200" t="s">
        <v>2693</v>
      </c>
      <c r="B53" s="59">
        <v>4.63</v>
      </c>
      <c r="C53" s="59">
        <v>52.74</v>
      </c>
      <c r="D53" s="59">
        <v>34.56</v>
      </c>
      <c r="E53" s="59">
        <v>2.57</v>
      </c>
      <c r="F53" s="59">
        <v>3.85</v>
      </c>
      <c r="G53" s="59">
        <v>60.7</v>
      </c>
      <c r="H53" s="59">
        <v>25.25</v>
      </c>
      <c r="I53" s="59">
        <v>0.54</v>
      </c>
      <c r="J53" s="59">
        <v>0.64</v>
      </c>
      <c r="K53" s="59">
        <v>3.42</v>
      </c>
      <c r="L53" s="59">
        <v>34.090000000000003</v>
      </c>
      <c r="M53" s="59">
        <v>36.92</v>
      </c>
      <c r="N53" s="59">
        <v>801.5</v>
      </c>
      <c r="O53" s="59">
        <v>0</v>
      </c>
      <c r="P53" s="59">
        <v>0.95</v>
      </c>
      <c r="Q53" s="59">
        <v>38.29</v>
      </c>
      <c r="R53" s="197"/>
      <c r="S53" s="197"/>
      <c r="T53" s="197"/>
      <c r="U53" s="197"/>
    </row>
    <row r="54" spans="1:21" s="12" customFormat="1" x14ac:dyDescent="0.25">
      <c r="A54" s="200" t="s">
        <v>2694</v>
      </c>
      <c r="B54" s="59">
        <v>4.68</v>
      </c>
      <c r="C54" s="59">
        <v>50.94</v>
      </c>
      <c r="D54" s="59">
        <v>33.61</v>
      </c>
      <c r="E54" s="59">
        <v>2.64</v>
      </c>
      <c r="F54" s="59">
        <v>3.99</v>
      </c>
      <c r="G54" s="59">
        <v>60.7</v>
      </c>
      <c r="H54" s="59">
        <v>25.25</v>
      </c>
      <c r="I54" s="59">
        <v>0.53</v>
      </c>
      <c r="J54" s="59">
        <v>0.64</v>
      </c>
      <c r="K54" s="59">
        <v>4.99</v>
      </c>
      <c r="L54" s="59">
        <v>34.72</v>
      </c>
      <c r="M54" s="59">
        <v>36.340000000000003</v>
      </c>
      <c r="N54" s="59">
        <v>808.2</v>
      </c>
      <c r="O54" s="59">
        <v>0</v>
      </c>
      <c r="P54" s="59">
        <v>0.89</v>
      </c>
      <c r="Q54" s="59">
        <v>44.11</v>
      </c>
      <c r="R54" s="197"/>
      <c r="S54" s="197"/>
      <c r="T54" s="197"/>
      <c r="U54" s="197"/>
    </row>
    <row r="55" spans="1:21" s="12" customFormat="1" x14ac:dyDescent="0.25">
      <c r="A55" s="200" t="s">
        <v>2695</v>
      </c>
      <c r="B55" s="59">
        <v>4.4800000000000004</v>
      </c>
      <c r="C55" s="59">
        <v>55.38</v>
      </c>
      <c r="D55" s="59">
        <v>35.89</v>
      </c>
      <c r="E55" s="59">
        <v>2.27</v>
      </c>
      <c r="F55" s="59">
        <v>3.84</v>
      </c>
      <c r="G55" s="59">
        <v>60.7</v>
      </c>
      <c r="H55" s="59">
        <v>25.25</v>
      </c>
      <c r="I55" s="59">
        <v>0.53</v>
      </c>
      <c r="J55" s="59">
        <v>0.46</v>
      </c>
      <c r="K55" s="59">
        <v>8.65</v>
      </c>
      <c r="L55" s="59">
        <v>34.08</v>
      </c>
      <c r="M55" s="59">
        <v>36.840000000000003</v>
      </c>
      <c r="N55" s="59">
        <v>866.2</v>
      </c>
      <c r="O55" s="59">
        <v>0</v>
      </c>
      <c r="P55" s="59">
        <v>0.87</v>
      </c>
      <c r="Q55" s="59">
        <v>41.32</v>
      </c>
      <c r="R55" s="197"/>
      <c r="S55" s="197"/>
      <c r="T55" s="197"/>
      <c r="U55" s="197"/>
    </row>
    <row r="56" spans="1:21" s="12" customFormat="1" x14ac:dyDescent="0.25">
      <c r="A56" s="200" t="s">
        <v>2696</v>
      </c>
      <c r="B56" s="59">
        <v>3.97</v>
      </c>
      <c r="C56" s="59">
        <v>44.15</v>
      </c>
      <c r="D56" s="59">
        <v>29.29</v>
      </c>
      <c r="E56" s="59">
        <v>0.88</v>
      </c>
      <c r="F56" s="59">
        <v>3.73</v>
      </c>
      <c r="G56" s="59">
        <v>55.36</v>
      </c>
      <c r="H56" s="59">
        <v>21.34</v>
      </c>
      <c r="I56" s="59">
        <v>0.53</v>
      </c>
      <c r="J56" s="59">
        <v>0.61</v>
      </c>
      <c r="K56" s="59">
        <v>1.55</v>
      </c>
      <c r="L56" s="59">
        <v>34.89</v>
      </c>
      <c r="M56" s="59">
        <v>34.85</v>
      </c>
      <c r="N56" s="59">
        <v>810.3</v>
      </c>
      <c r="O56" s="59">
        <v>0</v>
      </c>
      <c r="P56" s="59">
        <v>0.83</v>
      </c>
      <c r="Q56" s="59">
        <v>44.48</v>
      </c>
      <c r="R56" s="197"/>
      <c r="S56" s="197"/>
      <c r="T56" s="197"/>
      <c r="U56" s="197"/>
    </row>
    <row r="57" spans="1:21" s="12" customFormat="1" x14ac:dyDescent="0.25">
      <c r="A57" s="200" t="s">
        <v>2697</v>
      </c>
      <c r="B57" s="59">
        <v>3.57</v>
      </c>
      <c r="C57" s="59">
        <v>33.840000000000003</v>
      </c>
      <c r="D57" s="59">
        <v>23.28</v>
      </c>
      <c r="E57" s="59">
        <v>2.06</v>
      </c>
      <c r="F57" s="59">
        <v>4.74</v>
      </c>
      <c r="G57" s="59">
        <v>55.18</v>
      </c>
      <c r="H57" s="59">
        <v>21.34</v>
      </c>
      <c r="I57" s="59">
        <v>0.52</v>
      </c>
      <c r="J57" s="59">
        <v>0.57999999999999996</v>
      </c>
      <c r="K57" s="59">
        <v>3.82</v>
      </c>
      <c r="L57" s="59">
        <v>34.369999999999997</v>
      </c>
      <c r="M57" s="59">
        <v>36.06</v>
      </c>
      <c r="N57" s="59">
        <v>801</v>
      </c>
      <c r="O57" s="59">
        <v>0</v>
      </c>
      <c r="P57" s="59">
        <v>0.79</v>
      </c>
      <c r="Q57" s="59">
        <v>42.12</v>
      </c>
      <c r="R57" s="197"/>
      <c r="S57" s="197"/>
      <c r="T57" s="197"/>
      <c r="U57" s="197"/>
    </row>
    <row r="58" spans="1:21" s="12" customFormat="1" x14ac:dyDescent="0.25">
      <c r="A58" s="200" t="s">
        <v>2698</v>
      </c>
      <c r="B58" s="59">
        <v>3.35</v>
      </c>
      <c r="C58" s="59">
        <v>30.95</v>
      </c>
      <c r="D58" s="59">
        <v>21.51</v>
      </c>
      <c r="E58" s="59">
        <v>1.77</v>
      </c>
      <c r="F58" s="59">
        <v>4.5599999999999996</v>
      </c>
      <c r="G58" s="59">
        <v>55.18</v>
      </c>
      <c r="H58" s="59">
        <v>21.34</v>
      </c>
      <c r="I58" s="59">
        <v>0.52</v>
      </c>
      <c r="J58" s="59">
        <v>0.33</v>
      </c>
      <c r="K58" s="59">
        <v>0.73</v>
      </c>
      <c r="L58" s="59">
        <v>32.83</v>
      </c>
      <c r="M58" s="59">
        <v>38.4</v>
      </c>
      <c r="N58" s="59">
        <v>362.8</v>
      </c>
      <c r="O58" s="59">
        <v>0</v>
      </c>
      <c r="P58" s="59">
        <v>0.77</v>
      </c>
      <c r="Q58" s="59">
        <v>38.630000000000003</v>
      </c>
      <c r="R58" s="197"/>
      <c r="S58" s="197"/>
      <c r="T58" s="197"/>
      <c r="U58" s="197"/>
    </row>
    <row r="59" spans="1:21" s="12" customFormat="1" x14ac:dyDescent="0.25">
      <c r="A59" s="200" t="s">
        <v>2699</v>
      </c>
      <c r="B59" s="59">
        <v>3.12</v>
      </c>
      <c r="C59" s="59">
        <v>30.81</v>
      </c>
      <c r="D59" s="59">
        <v>21.25</v>
      </c>
      <c r="E59" s="59">
        <v>2.2400000000000002</v>
      </c>
      <c r="F59" s="59">
        <v>6.83</v>
      </c>
      <c r="G59" s="59">
        <v>55.18</v>
      </c>
      <c r="H59" s="59">
        <v>21.34</v>
      </c>
      <c r="I59" s="59">
        <v>0.51</v>
      </c>
      <c r="J59" s="59">
        <v>0.34</v>
      </c>
      <c r="K59" s="59">
        <v>355.76</v>
      </c>
      <c r="L59" s="59">
        <v>31.9</v>
      </c>
      <c r="M59" s="59">
        <v>40.1</v>
      </c>
      <c r="N59" s="59">
        <v>310.89999999999998</v>
      </c>
      <c r="O59" s="59">
        <v>0</v>
      </c>
      <c r="P59" s="59">
        <v>0.76</v>
      </c>
      <c r="Q59" s="59">
        <v>36.99</v>
      </c>
      <c r="R59" s="197"/>
      <c r="S59" s="197"/>
      <c r="T59" s="197"/>
      <c r="U59" s="197"/>
    </row>
    <row r="60" spans="1:21" s="12" customFormat="1" x14ac:dyDescent="0.25">
      <c r="A60" s="200" t="s">
        <v>2700</v>
      </c>
      <c r="B60" s="59">
        <v>5.69</v>
      </c>
      <c r="C60" s="59">
        <v>30.87</v>
      </c>
      <c r="D60" s="59">
        <v>23.34</v>
      </c>
      <c r="E60" s="59">
        <v>1.91</v>
      </c>
      <c r="F60" s="59">
        <v>8.82</v>
      </c>
      <c r="G60" s="59">
        <v>46.46</v>
      </c>
      <c r="H60" s="59">
        <v>18.64</v>
      </c>
      <c r="I60" s="59">
        <v>0.51</v>
      </c>
      <c r="J60" s="59">
        <v>0.69</v>
      </c>
      <c r="K60" s="59">
        <v>357.94</v>
      </c>
      <c r="L60" s="59">
        <v>32.44</v>
      </c>
      <c r="M60" s="59">
        <v>39.869999999999997</v>
      </c>
      <c r="N60" s="59">
        <v>340.6</v>
      </c>
      <c r="O60" s="59">
        <v>0</v>
      </c>
      <c r="P60" s="59">
        <v>0.77</v>
      </c>
      <c r="Q60" s="59">
        <v>35.369999999999997</v>
      </c>
      <c r="R60" s="197"/>
      <c r="S60" s="197"/>
      <c r="T60" s="197"/>
      <c r="U60" s="197"/>
    </row>
    <row r="61" spans="1:21" s="12" customFormat="1" x14ac:dyDescent="0.25">
      <c r="A61" s="200" t="s">
        <v>2701</v>
      </c>
      <c r="B61" s="59">
        <v>4.3499999999999996</v>
      </c>
      <c r="C61" s="59">
        <v>36.64</v>
      </c>
      <c r="D61" s="59">
        <v>25.45</v>
      </c>
      <c r="E61" s="59">
        <v>2.34</v>
      </c>
      <c r="F61" s="59">
        <v>6.62</v>
      </c>
      <c r="G61" s="59">
        <v>46.16</v>
      </c>
      <c r="H61" s="59">
        <v>18.64</v>
      </c>
      <c r="I61" s="59">
        <v>0.51</v>
      </c>
      <c r="J61" s="59">
        <v>0.36</v>
      </c>
      <c r="K61" s="59">
        <v>358.84</v>
      </c>
      <c r="L61" s="59">
        <v>32.700000000000003</v>
      </c>
      <c r="M61" s="59">
        <v>37.4</v>
      </c>
      <c r="N61" s="59">
        <v>244.9</v>
      </c>
      <c r="O61" s="59">
        <v>0</v>
      </c>
      <c r="P61" s="59">
        <v>0.74</v>
      </c>
      <c r="Q61" s="59">
        <v>34.92</v>
      </c>
      <c r="R61" s="197"/>
      <c r="S61" s="197"/>
      <c r="T61" s="197"/>
      <c r="U61" s="197"/>
    </row>
    <row r="62" spans="1:21" s="12" customFormat="1" x14ac:dyDescent="0.25">
      <c r="A62" s="200" t="s">
        <v>2702</v>
      </c>
      <c r="B62" s="59">
        <v>4.43</v>
      </c>
      <c r="C62" s="59">
        <v>60.51</v>
      </c>
      <c r="D62" s="59">
        <v>38.68</v>
      </c>
      <c r="E62" s="59">
        <v>2.13</v>
      </c>
      <c r="F62" s="59">
        <v>9.2100000000000009</v>
      </c>
      <c r="G62" s="59">
        <v>46.16</v>
      </c>
      <c r="H62" s="59">
        <v>18.64</v>
      </c>
      <c r="I62" s="59">
        <v>0.51</v>
      </c>
      <c r="J62" s="59">
        <v>0.32</v>
      </c>
      <c r="K62" s="59">
        <v>10.6</v>
      </c>
      <c r="L62" s="59">
        <v>32.39</v>
      </c>
      <c r="M62" s="59">
        <v>37.36</v>
      </c>
      <c r="N62" s="59">
        <v>585.6</v>
      </c>
      <c r="O62" s="59">
        <v>0</v>
      </c>
      <c r="P62" s="59">
        <v>0.77</v>
      </c>
      <c r="Q62" s="59">
        <v>37.64</v>
      </c>
      <c r="R62" s="197"/>
      <c r="S62" s="197"/>
      <c r="T62" s="197"/>
      <c r="U62" s="197"/>
    </row>
    <row r="63" spans="1:21" s="12" customFormat="1" x14ac:dyDescent="0.25">
      <c r="A63" s="200" t="s">
        <v>2703</v>
      </c>
      <c r="B63" s="59">
        <v>4.4000000000000004</v>
      </c>
      <c r="C63" s="59">
        <v>36.82</v>
      </c>
      <c r="D63" s="59">
        <v>25.58</v>
      </c>
      <c r="E63" s="59">
        <v>2.58</v>
      </c>
      <c r="F63" s="59">
        <v>6.5</v>
      </c>
      <c r="G63" s="59">
        <v>46.16</v>
      </c>
      <c r="H63" s="59">
        <v>18.64</v>
      </c>
      <c r="I63" s="59">
        <v>0.51</v>
      </c>
      <c r="J63" s="59">
        <v>0.4</v>
      </c>
      <c r="K63" s="59">
        <v>9.84</v>
      </c>
      <c r="L63" s="59">
        <v>34.270000000000003</v>
      </c>
      <c r="M63" s="59">
        <v>33.29</v>
      </c>
      <c r="N63" s="59">
        <v>763.9</v>
      </c>
      <c r="O63" s="59">
        <v>0</v>
      </c>
      <c r="P63" s="59">
        <v>0.75</v>
      </c>
      <c r="Q63" s="59">
        <v>39.72</v>
      </c>
      <c r="R63" s="197"/>
      <c r="S63" s="197"/>
      <c r="T63" s="197"/>
      <c r="U63" s="197"/>
    </row>
    <row r="64" spans="1:21" s="12" customFormat="1" x14ac:dyDescent="0.25">
      <c r="A64" s="200" t="s">
        <v>2704</v>
      </c>
      <c r="B64" s="59">
        <v>5.48</v>
      </c>
      <c r="C64" s="59">
        <v>52.05</v>
      </c>
      <c r="D64" s="59">
        <v>34.86</v>
      </c>
      <c r="E64" s="59">
        <v>2.89</v>
      </c>
      <c r="F64" s="59">
        <v>7.68</v>
      </c>
      <c r="G64" s="59">
        <v>43.04</v>
      </c>
      <c r="H64" s="59">
        <v>18.78</v>
      </c>
      <c r="I64" s="59">
        <v>0.51</v>
      </c>
      <c r="J64" s="59">
        <v>0.65</v>
      </c>
      <c r="K64" s="59">
        <v>6.52</v>
      </c>
      <c r="L64" s="59">
        <v>34.590000000000003</v>
      </c>
      <c r="M64" s="59">
        <v>32.96</v>
      </c>
      <c r="N64" s="59">
        <v>722.7</v>
      </c>
      <c r="O64" s="59">
        <v>0</v>
      </c>
      <c r="P64" s="59">
        <v>0.76</v>
      </c>
      <c r="Q64" s="59">
        <v>35.840000000000003</v>
      </c>
      <c r="R64" s="197"/>
      <c r="S64" s="197"/>
      <c r="T64" s="197"/>
      <c r="U64" s="197"/>
    </row>
    <row r="65" spans="1:21" s="12" customFormat="1" x14ac:dyDescent="0.25">
      <c r="A65" s="200" t="s">
        <v>2705</v>
      </c>
      <c r="B65" s="59">
        <v>3.66</v>
      </c>
      <c r="C65" s="59">
        <v>40.590000000000003</v>
      </c>
      <c r="D65" s="59">
        <v>27.08</v>
      </c>
      <c r="E65" s="59">
        <v>3.53</v>
      </c>
      <c r="F65" s="59">
        <v>14.04</v>
      </c>
      <c r="G65" s="59">
        <v>42.93</v>
      </c>
      <c r="H65" s="59">
        <v>18.78</v>
      </c>
      <c r="I65" s="59">
        <v>0.51</v>
      </c>
      <c r="J65" s="59">
        <v>0.48</v>
      </c>
      <c r="K65" s="59">
        <v>4</v>
      </c>
      <c r="L65" s="59">
        <v>35.15</v>
      </c>
      <c r="M65" s="59">
        <v>31.3</v>
      </c>
      <c r="N65" s="59">
        <v>565.79999999999995</v>
      </c>
      <c r="O65" s="59">
        <v>0</v>
      </c>
      <c r="P65" s="59">
        <v>0.74</v>
      </c>
      <c r="Q65" s="59">
        <v>41.19</v>
      </c>
      <c r="R65" s="197"/>
      <c r="S65" s="197"/>
      <c r="T65" s="197"/>
      <c r="U65" s="197"/>
    </row>
    <row r="66" spans="1:21" s="12" customFormat="1" x14ac:dyDescent="0.25">
      <c r="A66" s="200" t="s">
        <v>2706</v>
      </c>
      <c r="B66" s="59">
        <v>3.45</v>
      </c>
      <c r="C66" s="59">
        <v>30.92</v>
      </c>
      <c r="D66" s="59">
        <v>21.57</v>
      </c>
      <c r="E66" s="59">
        <v>3.74</v>
      </c>
      <c r="F66" s="59">
        <v>11.37</v>
      </c>
      <c r="G66" s="59">
        <v>42.93</v>
      </c>
      <c r="H66" s="59">
        <v>18.78</v>
      </c>
      <c r="I66" s="59">
        <v>0.52</v>
      </c>
      <c r="J66" s="59">
        <v>0.27</v>
      </c>
      <c r="K66" s="59">
        <v>341.28</v>
      </c>
      <c r="L66" s="59">
        <v>34.770000000000003</v>
      </c>
      <c r="M66" s="59">
        <v>31.85</v>
      </c>
      <c r="N66" s="59">
        <v>616.79999999999995</v>
      </c>
      <c r="O66" s="59">
        <v>0</v>
      </c>
      <c r="P66" s="59">
        <v>0.74</v>
      </c>
      <c r="Q66" s="59">
        <v>39.619999999999997</v>
      </c>
      <c r="R66" s="197"/>
      <c r="S66" s="197"/>
      <c r="T66" s="197"/>
      <c r="U66" s="197"/>
    </row>
    <row r="67" spans="1:21" s="12" customFormat="1" x14ac:dyDescent="0.25">
      <c r="A67" s="200" t="s">
        <v>2707</v>
      </c>
      <c r="B67" s="59">
        <v>3.12</v>
      </c>
      <c r="C67" s="59">
        <v>57.47</v>
      </c>
      <c r="D67" s="59">
        <v>35.96</v>
      </c>
      <c r="E67" s="59">
        <v>3.23</v>
      </c>
      <c r="F67" s="59">
        <v>6.33</v>
      </c>
      <c r="G67" s="59">
        <v>42.93</v>
      </c>
      <c r="H67" s="59">
        <v>18.78</v>
      </c>
      <c r="I67" s="59">
        <v>0.52</v>
      </c>
      <c r="J67" s="59">
        <v>0.37</v>
      </c>
      <c r="K67" s="59">
        <v>246.06</v>
      </c>
      <c r="L67" s="59">
        <v>32.520000000000003</v>
      </c>
      <c r="M67" s="59">
        <v>33.92</v>
      </c>
      <c r="N67" s="59">
        <v>587.29999999999995</v>
      </c>
      <c r="O67" s="59">
        <v>0</v>
      </c>
      <c r="P67" s="59">
        <v>0.73</v>
      </c>
      <c r="Q67" s="59">
        <v>37.99</v>
      </c>
      <c r="R67" s="197"/>
      <c r="S67" s="197"/>
      <c r="T67" s="197"/>
      <c r="U67" s="197"/>
    </row>
    <row r="68" spans="1:21" s="12" customFormat="1" x14ac:dyDescent="0.25">
      <c r="A68" s="200" t="s">
        <v>2708</v>
      </c>
      <c r="B68" s="59">
        <v>2.98</v>
      </c>
      <c r="C68" s="59">
        <v>37.28</v>
      </c>
      <c r="D68" s="59">
        <v>24.7</v>
      </c>
      <c r="E68" s="59">
        <v>2.9</v>
      </c>
      <c r="F68" s="59">
        <v>11.38</v>
      </c>
      <c r="G68" s="59">
        <v>42.22</v>
      </c>
      <c r="H68" s="59">
        <v>18.5</v>
      </c>
      <c r="I68" s="59">
        <v>0.53</v>
      </c>
      <c r="J68" s="59">
        <v>0.4</v>
      </c>
      <c r="K68" s="59">
        <v>9.86</v>
      </c>
      <c r="L68" s="59">
        <v>33.21</v>
      </c>
      <c r="M68" s="59">
        <v>33.81</v>
      </c>
      <c r="N68" s="59">
        <v>447.4</v>
      </c>
      <c r="O68" s="59">
        <v>0</v>
      </c>
      <c r="P68" s="59">
        <v>0.71</v>
      </c>
      <c r="Q68" s="59">
        <v>41.56</v>
      </c>
      <c r="R68" s="197"/>
      <c r="S68" s="197"/>
      <c r="T68" s="197"/>
      <c r="U68" s="197"/>
    </row>
    <row r="69" spans="1:21" s="12" customFormat="1" x14ac:dyDescent="0.25">
      <c r="A69" s="200" t="s">
        <v>2709</v>
      </c>
      <c r="B69" s="59">
        <v>3.08</v>
      </c>
      <c r="C69" s="59">
        <v>36.520000000000003</v>
      </c>
      <c r="D69" s="59">
        <v>24.36</v>
      </c>
      <c r="E69" s="59">
        <v>3.49</v>
      </c>
      <c r="F69" s="59">
        <v>9.6199999999999992</v>
      </c>
      <c r="G69" s="59">
        <v>42.19</v>
      </c>
      <c r="H69" s="59">
        <v>18.489999999999998</v>
      </c>
      <c r="I69" s="59">
        <v>0.52</v>
      </c>
      <c r="J69" s="59">
        <v>0.19</v>
      </c>
      <c r="K69" s="59">
        <v>262.44</v>
      </c>
      <c r="L69" s="59">
        <v>32.479999999999997</v>
      </c>
      <c r="M69" s="59">
        <v>34.729999999999997</v>
      </c>
      <c r="N69" s="59">
        <v>336.6</v>
      </c>
      <c r="O69" s="59">
        <v>0</v>
      </c>
      <c r="P69" s="59">
        <v>0.72</v>
      </c>
      <c r="Q69" s="59">
        <v>38.93</v>
      </c>
      <c r="R69" s="197"/>
      <c r="S69" s="197"/>
      <c r="T69" s="197"/>
      <c r="U69" s="197"/>
    </row>
    <row r="70" spans="1:21" s="12" customFormat="1" x14ac:dyDescent="0.25">
      <c r="A70" s="200" t="s">
        <v>2710</v>
      </c>
      <c r="B70" s="59">
        <v>4.96</v>
      </c>
      <c r="C70" s="59">
        <v>38.39</v>
      </c>
      <c r="D70" s="59">
        <v>26.9</v>
      </c>
      <c r="E70" s="59">
        <v>3.96</v>
      </c>
      <c r="F70" s="59">
        <v>7.3</v>
      </c>
      <c r="G70" s="59">
        <v>42.19</v>
      </c>
      <c r="H70" s="59">
        <v>18.489999999999998</v>
      </c>
      <c r="I70" s="59">
        <v>0.51</v>
      </c>
      <c r="J70" s="59">
        <v>0.48</v>
      </c>
      <c r="K70" s="59">
        <v>233.46</v>
      </c>
      <c r="L70" s="59">
        <v>33.29</v>
      </c>
      <c r="M70" s="59">
        <v>33.630000000000003</v>
      </c>
      <c r="N70" s="59">
        <v>336.1</v>
      </c>
      <c r="O70" s="59">
        <v>0</v>
      </c>
      <c r="P70" s="59">
        <v>0.72</v>
      </c>
      <c r="Q70" s="59">
        <v>43.38</v>
      </c>
      <c r="R70" s="197"/>
      <c r="S70" s="197"/>
      <c r="T70" s="197"/>
      <c r="U70" s="197"/>
    </row>
    <row r="71" spans="1:21" s="12" customFormat="1" x14ac:dyDescent="0.25">
      <c r="A71" s="200" t="s">
        <v>2711</v>
      </c>
      <c r="B71" s="59">
        <v>2.98</v>
      </c>
      <c r="C71" s="59">
        <v>31.4</v>
      </c>
      <c r="D71" s="59">
        <v>21.46</v>
      </c>
      <c r="E71" s="59">
        <v>2.88</v>
      </c>
      <c r="F71" s="59">
        <v>5.25</v>
      </c>
      <c r="G71" s="59">
        <v>42.19</v>
      </c>
      <c r="H71" s="59">
        <v>18.489999999999998</v>
      </c>
      <c r="I71" s="59">
        <v>0.52</v>
      </c>
      <c r="J71" s="59">
        <v>2.58</v>
      </c>
      <c r="K71" s="59">
        <v>188.52</v>
      </c>
      <c r="L71" s="59">
        <v>29.49</v>
      </c>
      <c r="M71" s="59">
        <v>40.159999999999997</v>
      </c>
      <c r="N71" s="59">
        <v>365.6</v>
      </c>
      <c r="O71" s="59">
        <v>0</v>
      </c>
      <c r="P71" s="59">
        <v>0.67</v>
      </c>
      <c r="Q71" s="59">
        <v>40.159999999999997</v>
      </c>
      <c r="R71" s="197"/>
      <c r="S71" s="197"/>
      <c r="T71" s="197"/>
      <c r="U71" s="197"/>
    </row>
    <row r="72" spans="1:21" s="12" customFormat="1" x14ac:dyDescent="0.25">
      <c r="A72" s="200" t="s">
        <v>2712</v>
      </c>
      <c r="B72" s="59">
        <v>2.38</v>
      </c>
      <c r="C72" s="59">
        <v>27.4</v>
      </c>
      <c r="D72" s="59">
        <v>18.77</v>
      </c>
      <c r="E72" s="59">
        <v>1.31</v>
      </c>
      <c r="F72" s="59">
        <v>5.7</v>
      </c>
      <c r="G72" s="59">
        <v>44.13</v>
      </c>
      <c r="H72" s="59">
        <v>18.38</v>
      </c>
      <c r="I72" s="59">
        <v>0.52</v>
      </c>
      <c r="J72" s="59">
        <v>2.12</v>
      </c>
      <c r="K72" s="59">
        <v>188.15</v>
      </c>
      <c r="L72" s="59">
        <v>29.01</v>
      </c>
      <c r="M72" s="59">
        <v>41.38</v>
      </c>
      <c r="N72" s="59">
        <v>172.5</v>
      </c>
      <c r="O72" s="59">
        <v>0</v>
      </c>
      <c r="P72" s="59">
        <v>0.61</v>
      </c>
      <c r="Q72" s="59">
        <v>34.43</v>
      </c>
      <c r="R72" s="197"/>
      <c r="S72" s="197"/>
      <c r="T72" s="197"/>
      <c r="U72" s="197"/>
    </row>
    <row r="73" spans="1:21" s="12" customFormat="1" x14ac:dyDescent="0.25">
      <c r="A73" s="200" t="s">
        <v>2713</v>
      </c>
      <c r="B73" s="59">
        <v>2.2400000000000002</v>
      </c>
      <c r="C73" s="59">
        <v>25.56</v>
      </c>
      <c r="D73" s="59">
        <v>17.64</v>
      </c>
      <c r="E73" s="59">
        <v>2.2200000000000002</v>
      </c>
      <c r="F73" s="59">
        <v>5.8</v>
      </c>
      <c r="G73" s="59">
        <v>44.19</v>
      </c>
      <c r="H73" s="59">
        <v>18.37</v>
      </c>
      <c r="I73" s="59">
        <v>0.5</v>
      </c>
      <c r="J73" s="59">
        <v>2.52</v>
      </c>
      <c r="K73" s="59">
        <v>180.17</v>
      </c>
      <c r="L73" s="59">
        <v>29.19</v>
      </c>
      <c r="M73" s="59">
        <v>42.29</v>
      </c>
      <c r="N73" s="59">
        <v>176.6</v>
      </c>
      <c r="O73" s="59">
        <v>0</v>
      </c>
      <c r="P73" s="59">
        <v>0.57999999999999996</v>
      </c>
      <c r="Q73" s="59">
        <v>32.97</v>
      </c>
      <c r="R73" s="197"/>
      <c r="S73" s="197"/>
      <c r="T73" s="197"/>
      <c r="U73" s="197"/>
    </row>
    <row r="74" spans="1:21" s="12" customFormat="1" x14ac:dyDescent="0.25">
      <c r="A74" s="200" t="s">
        <v>2714</v>
      </c>
      <c r="B74" s="59">
        <v>2.16</v>
      </c>
      <c r="C74" s="59">
        <v>24.04</v>
      </c>
      <c r="D74" s="59">
        <v>16.739999999999998</v>
      </c>
      <c r="E74" s="59">
        <v>1.71</v>
      </c>
      <c r="F74" s="59">
        <v>5.73</v>
      </c>
      <c r="G74" s="59">
        <v>44.19</v>
      </c>
      <c r="H74" s="59">
        <v>18.37</v>
      </c>
      <c r="I74" s="59">
        <v>0.51</v>
      </c>
      <c r="J74" s="59">
        <v>2.2400000000000002</v>
      </c>
      <c r="K74" s="59">
        <v>187.82</v>
      </c>
      <c r="L74" s="59">
        <v>29.32</v>
      </c>
      <c r="M74" s="59">
        <v>40.270000000000003</v>
      </c>
      <c r="N74" s="59">
        <v>128.9</v>
      </c>
      <c r="O74" s="59">
        <v>0</v>
      </c>
      <c r="P74" s="59">
        <v>0.55000000000000004</v>
      </c>
      <c r="Q74" s="59">
        <v>31</v>
      </c>
      <c r="R74" s="197"/>
      <c r="S74" s="197"/>
      <c r="T74" s="197"/>
      <c r="U74" s="197"/>
    </row>
    <row r="75" spans="1:21" s="12" customFormat="1" x14ac:dyDescent="0.25">
      <c r="A75" s="200" t="s">
        <v>2715</v>
      </c>
      <c r="B75" s="59">
        <v>2.16</v>
      </c>
      <c r="C75" s="59">
        <v>23.4</v>
      </c>
      <c r="D75" s="59">
        <v>16.39</v>
      </c>
      <c r="E75" s="59">
        <v>2.25</v>
      </c>
      <c r="F75" s="59">
        <v>7.59</v>
      </c>
      <c r="G75" s="59">
        <v>44.19</v>
      </c>
      <c r="H75" s="59">
        <v>18.37</v>
      </c>
      <c r="I75" s="59">
        <v>0.5</v>
      </c>
      <c r="J75" s="59">
        <v>1.74</v>
      </c>
      <c r="K75" s="59">
        <v>179.65</v>
      </c>
      <c r="L75" s="59">
        <v>29.41</v>
      </c>
      <c r="M75" s="59">
        <v>39.67</v>
      </c>
      <c r="N75" s="59">
        <v>100.5</v>
      </c>
      <c r="O75" s="59">
        <v>0</v>
      </c>
      <c r="P75" s="59">
        <v>0.52</v>
      </c>
      <c r="Q75" s="59">
        <v>30.04</v>
      </c>
      <c r="R75" s="197"/>
      <c r="S75" s="197"/>
      <c r="T75" s="197"/>
      <c r="U75" s="197"/>
    </row>
    <row r="76" spans="1:21" s="12" customFormat="1" x14ac:dyDescent="0.25">
      <c r="A76" s="200" t="s">
        <v>2716</v>
      </c>
      <c r="B76" s="59">
        <v>2.39</v>
      </c>
      <c r="C76" s="59">
        <v>58.04</v>
      </c>
      <c r="D76" s="59">
        <v>35.69</v>
      </c>
      <c r="E76" s="59">
        <v>1.89</v>
      </c>
      <c r="F76" s="59">
        <v>7.04</v>
      </c>
      <c r="G76" s="59">
        <v>41.29</v>
      </c>
      <c r="H76" s="59">
        <v>18.579999999999998</v>
      </c>
      <c r="I76" s="59">
        <v>0.49</v>
      </c>
      <c r="J76" s="59">
        <v>1.36</v>
      </c>
      <c r="K76" s="59">
        <v>185.9</v>
      </c>
      <c r="L76" s="59">
        <v>29.08</v>
      </c>
      <c r="M76" s="59">
        <v>40.07</v>
      </c>
      <c r="N76" s="59">
        <v>76.5</v>
      </c>
      <c r="O76" s="59">
        <v>0</v>
      </c>
      <c r="P76" s="59">
        <v>0.5</v>
      </c>
      <c r="Q76" s="59">
        <v>32.590000000000003</v>
      </c>
      <c r="R76" s="197"/>
      <c r="S76" s="197"/>
      <c r="T76" s="197"/>
      <c r="U76" s="197"/>
    </row>
    <row r="77" spans="1:21" s="12" customFormat="1" x14ac:dyDescent="0.25">
      <c r="A77" s="200" t="s">
        <v>2717</v>
      </c>
      <c r="B77" s="59">
        <v>2.59</v>
      </c>
      <c r="C77" s="59">
        <v>51.14</v>
      </c>
      <c r="D77" s="59">
        <v>32.04</v>
      </c>
      <c r="E77" s="59">
        <v>2.1</v>
      </c>
      <c r="F77" s="59">
        <v>14.71</v>
      </c>
      <c r="G77" s="59">
        <v>41.19</v>
      </c>
      <c r="H77" s="59">
        <v>18.59</v>
      </c>
      <c r="I77" s="59">
        <v>0.49</v>
      </c>
      <c r="J77" s="59">
        <v>0.74</v>
      </c>
      <c r="K77" s="59">
        <v>148.94</v>
      </c>
      <c r="L77" s="59">
        <v>28.54</v>
      </c>
      <c r="M77" s="59">
        <v>42.11</v>
      </c>
      <c r="N77" s="59">
        <v>71.8</v>
      </c>
      <c r="O77" s="59">
        <v>0</v>
      </c>
      <c r="P77" s="59">
        <v>0.47</v>
      </c>
      <c r="Q77" s="59">
        <v>36.26</v>
      </c>
      <c r="R77" s="197"/>
      <c r="S77" s="197"/>
      <c r="T77" s="197"/>
      <c r="U77" s="197"/>
    </row>
    <row r="78" spans="1:21" s="12" customFormat="1" x14ac:dyDescent="0.25">
      <c r="A78" s="200" t="s">
        <v>2718</v>
      </c>
      <c r="B78" s="59">
        <v>3.25</v>
      </c>
      <c r="C78" s="59">
        <v>47.63</v>
      </c>
      <c r="D78" s="59">
        <v>30.63</v>
      </c>
      <c r="E78" s="59">
        <v>2.92</v>
      </c>
      <c r="F78" s="59">
        <v>12.92</v>
      </c>
      <c r="G78" s="59">
        <v>41.19</v>
      </c>
      <c r="H78" s="59">
        <v>18.59</v>
      </c>
      <c r="I78" s="59">
        <v>0.48</v>
      </c>
      <c r="J78" s="59">
        <v>0.54</v>
      </c>
      <c r="K78" s="59">
        <v>173.87</v>
      </c>
      <c r="L78" s="59">
        <v>28.24</v>
      </c>
      <c r="M78" s="59">
        <v>42.15</v>
      </c>
      <c r="N78" s="59">
        <v>41.9</v>
      </c>
      <c r="O78" s="59">
        <v>0</v>
      </c>
      <c r="P78" s="59">
        <v>0.46</v>
      </c>
      <c r="Q78" s="59">
        <v>37.700000000000003</v>
      </c>
      <c r="R78" s="197"/>
      <c r="S78" s="197"/>
      <c r="T78" s="197"/>
      <c r="U78" s="197"/>
    </row>
    <row r="79" spans="1:21" s="12" customFormat="1" x14ac:dyDescent="0.25">
      <c r="A79" s="200" t="s">
        <v>2719</v>
      </c>
      <c r="B79" s="59">
        <v>3.36</v>
      </c>
      <c r="C79" s="59">
        <v>43.13</v>
      </c>
      <c r="D79" s="59">
        <v>28.24</v>
      </c>
      <c r="E79" s="59">
        <v>2.37</v>
      </c>
      <c r="F79" s="59">
        <v>10.3</v>
      </c>
      <c r="G79" s="59">
        <v>41.19</v>
      </c>
      <c r="H79" s="59">
        <v>18.59</v>
      </c>
      <c r="I79" s="59">
        <v>0.49</v>
      </c>
      <c r="J79" s="59">
        <v>0.86</v>
      </c>
      <c r="K79" s="59">
        <v>189.68</v>
      </c>
      <c r="L79" s="59">
        <v>27.74</v>
      </c>
      <c r="M79" s="59">
        <v>40.81</v>
      </c>
      <c r="N79" s="59">
        <v>25.5</v>
      </c>
      <c r="O79" s="59">
        <v>0</v>
      </c>
      <c r="P79" s="59">
        <v>0.46</v>
      </c>
      <c r="Q79" s="59">
        <v>39.840000000000003</v>
      </c>
      <c r="R79" s="197"/>
      <c r="S79" s="197"/>
      <c r="T79" s="197"/>
      <c r="U79" s="197"/>
    </row>
    <row r="80" spans="1:21" s="12" customFormat="1" x14ac:dyDescent="0.25">
      <c r="A80" s="200" t="s">
        <v>2720</v>
      </c>
      <c r="B80" s="59">
        <v>3.85</v>
      </c>
      <c r="C80" s="59">
        <v>50.47</v>
      </c>
      <c r="D80" s="59">
        <v>32.68</v>
      </c>
      <c r="E80" s="59">
        <v>2.25</v>
      </c>
      <c r="F80" s="59">
        <v>6.55</v>
      </c>
      <c r="G80" s="59">
        <v>36.9</v>
      </c>
      <c r="H80" s="59">
        <v>16.47</v>
      </c>
      <c r="I80" s="59">
        <v>0.5</v>
      </c>
      <c r="J80" s="59">
        <v>1.27</v>
      </c>
      <c r="K80" s="59">
        <v>187.75</v>
      </c>
      <c r="L80" s="59">
        <v>27.54</v>
      </c>
      <c r="M80" s="59">
        <v>41.18</v>
      </c>
      <c r="N80" s="59">
        <v>20.6</v>
      </c>
      <c r="O80" s="59">
        <v>0</v>
      </c>
      <c r="P80" s="59">
        <v>0.46</v>
      </c>
      <c r="Q80" s="59">
        <v>39.700000000000003</v>
      </c>
      <c r="R80" s="197"/>
      <c r="S80" s="197"/>
      <c r="T80" s="197"/>
      <c r="U80" s="197"/>
    </row>
    <row r="81" spans="1:26" s="12" customFormat="1" x14ac:dyDescent="0.25">
      <c r="A81" s="200" t="s">
        <v>2721</v>
      </c>
      <c r="B81" s="59">
        <v>3.89</v>
      </c>
      <c r="C81" s="59">
        <v>45.12</v>
      </c>
      <c r="D81" s="59">
        <v>29.76</v>
      </c>
      <c r="E81" s="59">
        <v>1.93</v>
      </c>
      <c r="F81" s="59">
        <v>7.21</v>
      </c>
      <c r="G81" s="59">
        <v>36.75</v>
      </c>
      <c r="H81" s="59">
        <v>16.440000000000001</v>
      </c>
      <c r="I81" s="59">
        <v>0.51</v>
      </c>
      <c r="J81" s="59">
        <v>1.02</v>
      </c>
      <c r="K81" s="59">
        <v>186.62</v>
      </c>
      <c r="L81" s="59">
        <v>27.07</v>
      </c>
      <c r="M81" s="59">
        <v>42.15</v>
      </c>
      <c r="N81" s="59">
        <v>10</v>
      </c>
      <c r="O81" s="59">
        <v>0</v>
      </c>
      <c r="P81" s="59">
        <v>0.47</v>
      </c>
      <c r="Q81" s="59">
        <v>38.64</v>
      </c>
      <c r="R81" s="197"/>
      <c r="S81" s="197"/>
      <c r="T81" s="197"/>
      <c r="U81" s="197"/>
    </row>
    <row r="82" spans="1:26" s="12" customFormat="1" x14ac:dyDescent="0.25">
      <c r="A82" s="200" t="s">
        <v>2722</v>
      </c>
      <c r="B82" s="59">
        <v>3.59</v>
      </c>
      <c r="C82" s="59">
        <v>38.909999999999997</v>
      </c>
      <c r="D82" s="59">
        <v>26.1</v>
      </c>
      <c r="E82" s="59">
        <v>2.1800000000000002</v>
      </c>
      <c r="F82" s="59">
        <v>12.32</v>
      </c>
      <c r="G82" s="59">
        <v>36.75</v>
      </c>
      <c r="H82" s="59">
        <v>16.440000000000001</v>
      </c>
      <c r="I82" s="59">
        <v>0.53</v>
      </c>
      <c r="J82" s="59">
        <v>0.54</v>
      </c>
      <c r="K82" s="59">
        <v>165.63</v>
      </c>
      <c r="L82" s="59">
        <v>26.52</v>
      </c>
      <c r="M82" s="59">
        <v>43.06</v>
      </c>
      <c r="N82" s="59">
        <v>5.6</v>
      </c>
      <c r="O82" s="59">
        <v>0</v>
      </c>
      <c r="P82" s="59">
        <v>0.45</v>
      </c>
      <c r="Q82" s="59">
        <v>40.76</v>
      </c>
      <c r="R82" s="197"/>
      <c r="S82" s="197"/>
      <c r="T82" s="197"/>
      <c r="U82" s="197"/>
    </row>
    <row r="83" spans="1:26" s="12" customFormat="1" x14ac:dyDescent="0.25">
      <c r="A83" s="200" t="s">
        <v>2723</v>
      </c>
      <c r="B83" s="59">
        <v>11.2</v>
      </c>
      <c r="C83" s="59">
        <v>44.46</v>
      </c>
      <c r="D83" s="59">
        <v>35.26</v>
      </c>
      <c r="E83" s="59">
        <v>2.54</v>
      </c>
      <c r="F83" s="59">
        <v>12.62</v>
      </c>
      <c r="G83" s="59">
        <v>36.75</v>
      </c>
      <c r="H83" s="59">
        <v>16.440000000000001</v>
      </c>
      <c r="I83" s="59">
        <v>0.53</v>
      </c>
      <c r="J83" s="59">
        <v>0.94</v>
      </c>
      <c r="K83" s="59">
        <v>20.39</v>
      </c>
      <c r="L83" s="59">
        <v>26.36</v>
      </c>
      <c r="M83" s="59">
        <v>44.43</v>
      </c>
      <c r="N83" s="59">
        <v>4.7</v>
      </c>
      <c r="O83" s="59">
        <v>0</v>
      </c>
      <c r="P83" s="59">
        <v>0.67</v>
      </c>
      <c r="Q83" s="59">
        <v>39.36</v>
      </c>
      <c r="R83" s="197"/>
      <c r="S83" s="197"/>
      <c r="T83" s="197"/>
      <c r="U83" s="197"/>
    </row>
    <row r="84" spans="1:26" s="12" customFormat="1" x14ac:dyDescent="0.25">
      <c r="A84" s="200" t="s">
        <v>2724</v>
      </c>
      <c r="B84" s="59">
        <v>6.69</v>
      </c>
      <c r="C84" s="59">
        <v>43.23</v>
      </c>
      <c r="D84" s="59">
        <v>30.96</v>
      </c>
      <c r="E84" s="59">
        <v>2.94</v>
      </c>
      <c r="F84" s="59">
        <v>6.83</v>
      </c>
      <c r="G84" s="59">
        <v>35.369999999999997</v>
      </c>
      <c r="H84" s="59">
        <v>16.59</v>
      </c>
      <c r="I84" s="59">
        <v>0.51</v>
      </c>
      <c r="J84" s="59">
        <v>2.73</v>
      </c>
      <c r="K84" s="59">
        <v>23.13</v>
      </c>
      <c r="L84" s="59">
        <v>24.89</v>
      </c>
      <c r="M84" s="59">
        <v>51.25</v>
      </c>
      <c r="N84" s="59">
        <v>8.4</v>
      </c>
      <c r="O84" s="59">
        <v>0</v>
      </c>
      <c r="P84" s="59">
        <v>0.51</v>
      </c>
      <c r="Q84" s="59">
        <v>42.94</v>
      </c>
      <c r="R84" s="197"/>
      <c r="S84" s="197"/>
      <c r="T84" s="197"/>
      <c r="U84" s="197"/>
    </row>
    <row r="85" spans="1:26" s="12" customFormat="1" x14ac:dyDescent="0.25">
      <c r="A85" s="200" t="s">
        <v>2725</v>
      </c>
      <c r="B85" s="59">
        <v>6.15</v>
      </c>
      <c r="C85" s="59">
        <v>36.61</v>
      </c>
      <c r="D85" s="59">
        <v>26.88</v>
      </c>
      <c r="E85" s="59">
        <v>2.36</v>
      </c>
      <c r="F85" s="59">
        <v>5.54</v>
      </c>
      <c r="G85" s="59">
        <v>35.32</v>
      </c>
      <c r="H85" s="59">
        <v>16.600000000000001</v>
      </c>
      <c r="I85" s="59">
        <v>0.52</v>
      </c>
      <c r="J85" s="59">
        <v>1.93</v>
      </c>
      <c r="K85" s="59">
        <v>21.53</v>
      </c>
      <c r="L85" s="59">
        <v>22.79</v>
      </c>
      <c r="M85" s="59">
        <v>62.34</v>
      </c>
      <c r="N85" s="59">
        <v>7.6</v>
      </c>
      <c r="O85" s="59">
        <v>0</v>
      </c>
      <c r="P85" s="59">
        <v>0.52</v>
      </c>
      <c r="Q85" s="59">
        <v>39.340000000000003</v>
      </c>
      <c r="R85" s="197"/>
      <c r="S85" s="197"/>
      <c r="T85" s="197"/>
      <c r="U85" s="197"/>
    </row>
    <row r="86" spans="1:26" s="12" customFormat="1" x14ac:dyDescent="0.25">
      <c r="A86" s="200" t="s">
        <v>2726</v>
      </c>
      <c r="B86" s="59">
        <v>6.1</v>
      </c>
      <c r="C86" s="59">
        <v>44.37</v>
      </c>
      <c r="D86" s="59">
        <v>31.12</v>
      </c>
      <c r="E86" s="59">
        <v>2.75</v>
      </c>
      <c r="F86" s="59">
        <v>4.9000000000000004</v>
      </c>
      <c r="G86" s="59">
        <v>35.32</v>
      </c>
      <c r="H86" s="59">
        <v>16.600000000000001</v>
      </c>
      <c r="I86" s="59">
        <v>0.53</v>
      </c>
      <c r="J86" s="59">
        <v>1.03</v>
      </c>
      <c r="K86" s="59">
        <v>31.93</v>
      </c>
      <c r="L86" s="59">
        <v>21.87</v>
      </c>
      <c r="M86" s="59">
        <v>67.62</v>
      </c>
      <c r="N86" s="59">
        <v>5.8</v>
      </c>
      <c r="O86" s="59">
        <v>0</v>
      </c>
      <c r="P86" s="59">
        <v>0.59</v>
      </c>
      <c r="Q86" s="59">
        <v>42.94</v>
      </c>
      <c r="R86" s="197"/>
      <c r="S86" s="197"/>
      <c r="T86" s="197"/>
      <c r="U86" s="197"/>
    </row>
    <row r="87" spans="1:26" s="12" customFormat="1" x14ac:dyDescent="0.25">
      <c r="A87" s="200" t="s">
        <v>2727</v>
      </c>
      <c r="B87" s="59">
        <v>6.13</v>
      </c>
      <c r="C87" s="59">
        <v>38.65</v>
      </c>
      <c r="D87" s="59">
        <v>27.99</v>
      </c>
      <c r="E87" s="59">
        <v>2.67</v>
      </c>
      <c r="F87" s="59">
        <v>4.72</v>
      </c>
      <c r="G87" s="59">
        <v>35.32</v>
      </c>
      <c r="H87" s="59">
        <v>16.600000000000001</v>
      </c>
      <c r="I87" s="59">
        <v>0.53</v>
      </c>
      <c r="J87" s="59">
        <v>0.78</v>
      </c>
      <c r="K87" s="59">
        <v>51.56</v>
      </c>
      <c r="L87" s="59">
        <v>21.39</v>
      </c>
      <c r="M87" s="59">
        <v>70.48</v>
      </c>
      <c r="N87" s="59">
        <v>5.0999999999999996</v>
      </c>
      <c r="O87" s="59">
        <v>0</v>
      </c>
      <c r="P87" s="59">
        <v>0.6</v>
      </c>
      <c r="Q87" s="59">
        <v>39.19</v>
      </c>
      <c r="R87" s="197"/>
      <c r="S87" s="197"/>
      <c r="T87" s="197"/>
      <c r="U87" s="197"/>
    </row>
    <row r="88" spans="1:26" s="12" customFormat="1" x14ac:dyDescent="0.25">
      <c r="A88" s="200" t="s">
        <v>2728</v>
      </c>
      <c r="B88" s="59">
        <v>7.36</v>
      </c>
      <c r="C88" s="59">
        <v>37.450000000000003</v>
      </c>
      <c r="D88" s="59">
        <v>28.31</v>
      </c>
      <c r="E88" s="59">
        <v>1.54</v>
      </c>
      <c r="F88" s="59">
        <v>4.76</v>
      </c>
      <c r="G88" s="59">
        <v>117.66</v>
      </c>
      <c r="H88" s="59">
        <v>20.350000000000001</v>
      </c>
      <c r="I88" s="59">
        <v>0.53</v>
      </c>
      <c r="J88" s="59">
        <v>0.6</v>
      </c>
      <c r="K88" s="59">
        <v>67.12</v>
      </c>
      <c r="L88" s="59">
        <v>21.47</v>
      </c>
      <c r="M88" s="59">
        <v>69.06</v>
      </c>
      <c r="N88" s="59">
        <v>4.5999999999999996</v>
      </c>
      <c r="O88" s="59">
        <v>0</v>
      </c>
      <c r="P88" s="59">
        <v>0.61</v>
      </c>
      <c r="Q88" s="59">
        <v>43.26</v>
      </c>
      <c r="R88" s="197"/>
      <c r="S88" s="197"/>
      <c r="T88" s="197"/>
      <c r="U88" s="197"/>
    </row>
    <row r="89" spans="1:26" s="12" customFormat="1" x14ac:dyDescent="0.25">
      <c r="A89" s="200" t="s">
        <v>2729</v>
      </c>
      <c r="B89" s="59">
        <v>6.37</v>
      </c>
      <c r="C89" s="59">
        <v>37.1</v>
      </c>
      <c r="D89" s="59">
        <v>27.32</v>
      </c>
      <c r="E89" s="59">
        <v>2.2999999999999998</v>
      </c>
      <c r="F89" s="59">
        <v>3.74</v>
      </c>
      <c r="G89" s="59">
        <v>120.49</v>
      </c>
      <c r="H89" s="59">
        <v>20.350000000000001</v>
      </c>
      <c r="I89" s="59">
        <v>0.53</v>
      </c>
      <c r="J89" s="59">
        <v>1.07</v>
      </c>
      <c r="K89" s="59">
        <v>222.27</v>
      </c>
      <c r="L89" s="59">
        <v>21.77</v>
      </c>
      <c r="M89" s="59">
        <v>68.98</v>
      </c>
      <c r="N89" s="59">
        <v>4.5999999999999996</v>
      </c>
      <c r="O89" s="59">
        <v>0</v>
      </c>
      <c r="P89" s="59">
        <v>0.6</v>
      </c>
      <c r="Q89" s="59">
        <v>40.56</v>
      </c>
      <c r="R89" s="197"/>
      <c r="S89" s="197"/>
      <c r="T89" s="197"/>
      <c r="U89" s="197"/>
    </row>
    <row r="90" spans="1:26" s="12" customFormat="1" x14ac:dyDescent="0.25">
      <c r="A90" s="200" t="s">
        <v>2730</v>
      </c>
      <c r="B90" s="59">
        <v>4.37</v>
      </c>
      <c r="C90" s="59">
        <v>45.49</v>
      </c>
      <c r="D90" s="59">
        <v>30.36</v>
      </c>
      <c r="E90" s="59">
        <v>2.2200000000000002</v>
      </c>
      <c r="F90" s="59">
        <v>3.33</v>
      </c>
      <c r="G90" s="59">
        <v>120.49</v>
      </c>
      <c r="H90" s="59">
        <v>20.350000000000001</v>
      </c>
      <c r="I90" s="59">
        <v>0.52</v>
      </c>
      <c r="J90" s="59">
        <v>1</v>
      </c>
      <c r="K90" s="59">
        <v>210.73</v>
      </c>
      <c r="L90" s="59">
        <v>20.7</v>
      </c>
      <c r="M90" s="59">
        <v>79.3</v>
      </c>
      <c r="N90" s="59">
        <v>4.2</v>
      </c>
      <c r="O90" s="59">
        <v>0</v>
      </c>
      <c r="P90" s="59">
        <v>0.56999999999999995</v>
      </c>
      <c r="Q90" s="59">
        <v>40.07</v>
      </c>
      <c r="R90" s="197"/>
      <c r="S90" s="197"/>
      <c r="T90" s="197"/>
      <c r="U90" s="197"/>
    </row>
    <row r="91" spans="1:26" s="12" customFormat="1" x14ac:dyDescent="0.25">
      <c r="A91" s="200" t="s">
        <v>2731</v>
      </c>
      <c r="B91" s="59">
        <v>3.85</v>
      </c>
      <c r="C91" s="59">
        <v>49</v>
      </c>
      <c r="D91" s="59">
        <v>31.88</v>
      </c>
      <c r="E91" s="59">
        <v>1.82</v>
      </c>
      <c r="F91" s="59">
        <v>3.26</v>
      </c>
      <c r="G91" s="59">
        <v>120.49</v>
      </c>
      <c r="H91" s="59">
        <v>20.350000000000001</v>
      </c>
      <c r="I91" s="59">
        <v>0.53</v>
      </c>
      <c r="J91" s="59">
        <v>0.91</v>
      </c>
      <c r="K91" s="59">
        <v>186.08</v>
      </c>
      <c r="L91" s="59">
        <v>20.64</v>
      </c>
      <c r="M91" s="59">
        <v>79.540000000000006</v>
      </c>
      <c r="N91" s="59">
        <v>4.8</v>
      </c>
      <c r="O91" s="59">
        <v>0</v>
      </c>
      <c r="P91" s="59">
        <v>0.56000000000000005</v>
      </c>
      <c r="Q91" s="59">
        <v>38.76</v>
      </c>
      <c r="R91" s="197"/>
      <c r="S91" s="197"/>
      <c r="T91" s="197"/>
      <c r="U91" s="197"/>
    </row>
    <row r="92" spans="1:26" s="12" customFormat="1" x14ac:dyDescent="0.25">
      <c r="A92" s="200" t="s">
        <v>2732</v>
      </c>
      <c r="B92" s="59">
        <v>4.18</v>
      </c>
      <c r="C92" s="59">
        <v>46.21</v>
      </c>
      <c r="D92" s="59">
        <v>30.6</v>
      </c>
      <c r="E92" s="59">
        <v>2.0299999999999998</v>
      </c>
      <c r="F92" s="59">
        <v>4.12</v>
      </c>
      <c r="G92" s="59">
        <v>39.92</v>
      </c>
      <c r="H92" s="59">
        <v>18.45</v>
      </c>
      <c r="I92" s="59">
        <v>0.52</v>
      </c>
      <c r="J92" s="59">
        <v>1.29</v>
      </c>
      <c r="K92" s="59">
        <v>110.04</v>
      </c>
      <c r="L92" s="59">
        <v>20.82</v>
      </c>
      <c r="M92" s="59">
        <v>77.2</v>
      </c>
      <c r="N92" s="59">
        <v>4.4000000000000004</v>
      </c>
      <c r="O92" s="59">
        <v>0</v>
      </c>
      <c r="P92" s="59">
        <v>0.56000000000000005</v>
      </c>
      <c r="Q92" s="59">
        <v>38.200000000000003</v>
      </c>
      <c r="R92" s="197"/>
      <c r="S92" s="197"/>
      <c r="T92" s="197"/>
      <c r="U92" s="197"/>
    </row>
    <row r="93" spans="1:26" s="12" customFormat="1" x14ac:dyDescent="0.25">
      <c r="A93" s="200" t="s">
        <v>2733</v>
      </c>
      <c r="B93" s="59">
        <v>4.9000000000000004</v>
      </c>
      <c r="C93" s="59">
        <v>43.7</v>
      </c>
      <c r="D93" s="59">
        <v>29.78</v>
      </c>
      <c r="E93" s="59">
        <v>1.67</v>
      </c>
      <c r="F93" s="59">
        <v>3.01</v>
      </c>
      <c r="G93" s="59">
        <v>37.15</v>
      </c>
      <c r="H93" s="59">
        <v>18.39</v>
      </c>
      <c r="I93" s="59">
        <v>0.52</v>
      </c>
      <c r="J93" s="59">
        <v>1.23</v>
      </c>
      <c r="K93" s="59">
        <v>102.25</v>
      </c>
      <c r="L93" s="59">
        <v>20.97</v>
      </c>
      <c r="M93" s="59">
        <v>76</v>
      </c>
      <c r="N93" s="59">
        <v>4.5</v>
      </c>
      <c r="O93" s="59">
        <v>0</v>
      </c>
      <c r="P93" s="59">
        <v>0.56000000000000005</v>
      </c>
      <c r="Q93" s="59">
        <v>40.659999999999997</v>
      </c>
      <c r="R93" s="197"/>
      <c r="S93" s="197"/>
      <c r="T93" s="197"/>
      <c r="U93" s="197"/>
    </row>
    <row r="94" spans="1:26" s="12" customFormat="1" x14ac:dyDescent="0.25">
      <c r="A94" s="200" t="s">
        <v>2734</v>
      </c>
      <c r="B94" s="59">
        <v>5.4</v>
      </c>
      <c r="C94" s="59">
        <v>40.58</v>
      </c>
      <c r="D94" s="59">
        <v>28.47</v>
      </c>
      <c r="E94" s="59">
        <v>2.34</v>
      </c>
      <c r="F94" s="59">
        <v>2.7</v>
      </c>
      <c r="G94" s="59">
        <v>37.15</v>
      </c>
      <c r="H94" s="59">
        <v>18.39</v>
      </c>
      <c r="I94" s="59">
        <v>0.52</v>
      </c>
      <c r="J94" s="59">
        <v>1.95</v>
      </c>
      <c r="K94" s="59">
        <v>111.43</v>
      </c>
      <c r="L94" s="59">
        <v>20.79</v>
      </c>
      <c r="M94" s="59">
        <v>75.52</v>
      </c>
      <c r="N94" s="59">
        <v>4.5999999999999996</v>
      </c>
      <c r="O94" s="59">
        <v>0</v>
      </c>
      <c r="P94" s="59">
        <v>0.56000000000000005</v>
      </c>
      <c r="Q94" s="59">
        <v>42.33</v>
      </c>
      <c r="R94" s="197"/>
      <c r="S94" s="197"/>
      <c r="T94" s="197"/>
      <c r="U94" s="197"/>
    </row>
    <row r="95" spans="1:26" s="12" customFormat="1" x14ac:dyDescent="0.25">
      <c r="A95" s="200" t="s">
        <v>2735</v>
      </c>
      <c r="B95" s="59">
        <v>5.65</v>
      </c>
      <c r="C95" s="59">
        <v>39.200000000000003</v>
      </c>
      <c r="D95" s="59">
        <v>27.91</v>
      </c>
      <c r="E95" s="59">
        <v>2.0299999999999998</v>
      </c>
      <c r="F95" s="59">
        <v>2.5099999999999998</v>
      </c>
      <c r="G95" s="59">
        <v>37.15</v>
      </c>
      <c r="H95" s="59">
        <v>18.39</v>
      </c>
      <c r="I95" s="59">
        <v>0.52</v>
      </c>
      <c r="J95" s="59">
        <v>2.13</v>
      </c>
      <c r="K95" s="59">
        <v>112.95</v>
      </c>
      <c r="L95" s="59">
        <v>20.91</v>
      </c>
      <c r="M95" s="59">
        <v>74.150000000000006</v>
      </c>
      <c r="N95" s="59">
        <v>4.3</v>
      </c>
      <c r="O95" s="59">
        <v>0</v>
      </c>
      <c r="P95" s="59">
        <v>0.54</v>
      </c>
      <c r="Q95" s="59">
        <v>44.26</v>
      </c>
      <c r="R95" s="197"/>
      <c r="S95" s="197"/>
      <c r="T95" s="197"/>
      <c r="U95" s="197"/>
    </row>
    <row r="96" spans="1:26" s="12" customFormat="1" x14ac:dyDescent="0.25">
      <c r="A96" s="200" t="s">
        <v>2736</v>
      </c>
      <c r="B96" s="59">
        <v>5.73</v>
      </c>
      <c r="C96" s="59">
        <v>38.090000000000003</v>
      </c>
      <c r="D96" s="59">
        <v>27.36</v>
      </c>
      <c r="E96" s="59">
        <v>2.1</v>
      </c>
      <c r="F96" s="59">
        <v>2.33</v>
      </c>
      <c r="G96" s="59">
        <v>24.01</v>
      </c>
      <c r="H96" s="59">
        <v>15.29</v>
      </c>
      <c r="I96" s="59">
        <v>0.54</v>
      </c>
      <c r="J96" s="59">
        <v>2.1</v>
      </c>
      <c r="K96" s="59">
        <v>117.05</v>
      </c>
      <c r="L96" s="59">
        <v>20.77</v>
      </c>
      <c r="M96" s="59">
        <v>75.400000000000006</v>
      </c>
      <c r="N96" s="59">
        <v>4.7</v>
      </c>
      <c r="O96" s="59">
        <v>0</v>
      </c>
      <c r="P96" s="59">
        <v>0.53</v>
      </c>
      <c r="Q96" s="59">
        <v>45.65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2737</v>
      </c>
      <c r="B97" s="59">
        <v>5.83</v>
      </c>
      <c r="C97" s="59">
        <v>38.69</v>
      </c>
      <c r="D97" s="59">
        <v>27.77</v>
      </c>
      <c r="E97" s="59">
        <v>2.33</v>
      </c>
      <c r="F97" s="59">
        <v>2.59</v>
      </c>
      <c r="G97" s="59">
        <v>23.56</v>
      </c>
      <c r="H97" s="59">
        <v>15.19</v>
      </c>
      <c r="I97" s="59">
        <v>0.55000000000000004</v>
      </c>
      <c r="J97" s="59">
        <v>1.52</v>
      </c>
      <c r="K97" s="59">
        <v>110</v>
      </c>
      <c r="L97" s="59">
        <v>20.8</v>
      </c>
      <c r="M97" s="59">
        <v>74.91</v>
      </c>
      <c r="N97" s="59">
        <v>4.5</v>
      </c>
      <c r="O97" s="59">
        <v>0</v>
      </c>
      <c r="P97" s="59">
        <v>0.52</v>
      </c>
      <c r="Q97" s="59">
        <v>44.57</v>
      </c>
      <c r="R97" s="197"/>
      <c r="S97" s="197"/>
      <c r="T97" s="197"/>
      <c r="U97" s="197"/>
    </row>
    <row r="98" spans="1:33" s="12" customFormat="1" x14ac:dyDescent="0.25">
      <c r="A98" s="200" t="s">
        <v>2738</v>
      </c>
      <c r="B98" s="59">
        <v>5.94</v>
      </c>
      <c r="C98" s="59">
        <v>38.24</v>
      </c>
      <c r="D98" s="59">
        <v>27.61</v>
      </c>
      <c r="E98" s="59">
        <v>2.12</v>
      </c>
      <c r="F98" s="59">
        <v>2.7</v>
      </c>
      <c r="G98" s="59">
        <v>23.56</v>
      </c>
      <c r="H98" s="59">
        <v>15.19</v>
      </c>
      <c r="I98" s="59">
        <v>0.52</v>
      </c>
      <c r="J98" s="59">
        <v>1.07</v>
      </c>
      <c r="K98" s="59">
        <v>115.02</v>
      </c>
      <c r="L98" s="59">
        <v>20.98</v>
      </c>
      <c r="M98" s="59">
        <v>73.209999999999994</v>
      </c>
      <c r="N98" s="59">
        <v>4.3</v>
      </c>
      <c r="O98" s="59">
        <v>0</v>
      </c>
      <c r="P98" s="59">
        <v>0.51</v>
      </c>
      <c r="Q98" s="59">
        <v>44.62</v>
      </c>
      <c r="R98" s="197"/>
      <c r="S98" s="197"/>
      <c r="T98" s="197"/>
      <c r="U98" s="197"/>
    </row>
    <row r="99" spans="1:33" s="12" customFormat="1" x14ac:dyDescent="0.25">
      <c r="A99" s="200" t="s">
        <v>2739</v>
      </c>
      <c r="B99" s="59">
        <v>6</v>
      </c>
      <c r="C99" s="59">
        <v>32.74</v>
      </c>
      <c r="D99" s="59">
        <v>24.62</v>
      </c>
      <c r="E99" s="59">
        <v>2.19</v>
      </c>
      <c r="F99" s="59">
        <v>2.69</v>
      </c>
      <c r="G99" s="59">
        <v>23.56</v>
      </c>
      <c r="H99" s="59">
        <v>15.19</v>
      </c>
      <c r="I99" s="59">
        <v>0.52</v>
      </c>
      <c r="J99" s="59">
        <v>1.54</v>
      </c>
      <c r="K99" s="59">
        <v>116.56</v>
      </c>
      <c r="L99" s="59">
        <v>20.9</v>
      </c>
      <c r="M99" s="59">
        <v>72.69</v>
      </c>
      <c r="N99" s="59">
        <v>4.4000000000000004</v>
      </c>
      <c r="O99" s="59">
        <v>0</v>
      </c>
      <c r="P99" s="59">
        <v>0.5</v>
      </c>
      <c r="Q99" s="59">
        <v>47.47</v>
      </c>
      <c r="R99" s="197"/>
      <c r="S99" s="197"/>
      <c r="T99" s="197"/>
      <c r="U99" s="197"/>
    </row>
    <row r="100" spans="1:33" s="12" customFormat="1" x14ac:dyDescent="0.25">
      <c r="A100" s="200" t="s">
        <v>2740</v>
      </c>
      <c r="B100" s="59">
        <v>6.06</v>
      </c>
      <c r="C100" s="59">
        <v>38.979999999999997</v>
      </c>
      <c r="D100" s="59">
        <v>28.11</v>
      </c>
      <c r="E100" s="59">
        <v>2.02</v>
      </c>
      <c r="F100" s="59">
        <v>2</v>
      </c>
      <c r="G100" s="59">
        <v>24.85</v>
      </c>
      <c r="H100" s="59">
        <v>14.44</v>
      </c>
      <c r="I100" s="59">
        <v>0.52</v>
      </c>
      <c r="J100" s="59">
        <v>1.1599999999999999</v>
      </c>
      <c r="K100" s="59">
        <v>98.81</v>
      </c>
      <c r="L100" s="59">
        <v>20.88</v>
      </c>
      <c r="M100" s="59">
        <v>73.11</v>
      </c>
      <c r="N100" s="59">
        <v>4.5</v>
      </c>
      <c r="O100" s="59">
        <v>0</v>
      </c>
      <c r="P100" s="59">
        <v>0.5</v>
      </c>
      <c r="Q100" s="59">
        <v>44.39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2741</v>
      </c>
      <c r="B101" s="59">
        <v>6.14</v>
      </c>
      <c r="C101" s="59">
        <v>33.68</v>
      </c>
      <c r="D101" s="59">
        <v>25.25</v>
      </c>
      <c r="E101" s="59">
        <v>2</v>
      </c>
      <c r="F101" s="59">
        <v>2.57</v>
      </c>
      <c r="G101" s="59">
        <v>24.9</v>
      </c>
      <c r="H101" s="59">
        <v>14.42</v>
      </c>
      <c r="I101" s="59">
        <v>0.52</v>
      </c>
      <c r="J101" s="59">
        <v>1.01</v>
      </c>
      <c r="K101" s="59">
        <v>72.63</v>
      </c>
      <c r="L101" s="59">
        <v>20.94</v>
      </c>
      <c r="M101" s="59">
        <v>72.319999999999993</v>
      </c>
      <c r="N101" s="59">
        <v>4.5</v>
      </c>
      <c r="O101" s="59">
        <v>0</v>
      </c>
      <c r="P101" s="59">
        <v>0.48</v>
      </c>
      <c r="Q101" s="59">
        <v>47.17</v>
      </c>
      <c r="R101" s="197"/>
      <c r="S101" s="197"/>
      <c r="T101" s="197"/>
      <c r="U101" s="197"/>
    </row>
    <row r="102" spans="1:33" s="12" customFormat="1" x14ac:dyDescent="0.25">
      <c r="A102" s="200" t="s">
        <v>2742</v>
      </c>
      <c r="B102" s="59">
        <v>6.29</v>
      </c>
      <c r="C102" s="59">
        <v>35.159999999999997</v>
      </c>
      <c r="D102" s="59">
        <v>26.19</v>
      </c>
      <c r="E102" s="59">
        <v>2.15</v>
      </c>
      <c r="F102" s="59">
        <v>2.65</v>
      </c>
      <c r="G102" s="59">
        <v>24.9</v>
      </c>
      <c r="H102" s="59">
        <v>14.42</v>
      </c>
      <c r="I102" s="59">
        <v>0.52</v>
      </c>
      <c r="J102" s="59">
        <v>1.3</v>
      </c>
      <c r="K102" s="59">
        <v>19.25</v>
      </c>
      <c r="L102" s="59">
        <v>20.91</v>
      </c>
      <c r="M102" s="59">
        <v>71.94</v>
      </c>
      <c r="N102" s="59">
        <v>4.7</v>
      </c>
      <c r="O102" s="59">
        <v>0</v>
      </c>
      <c r="P102" s="59">
        <v>0.48</v>
      </c>
      <c r="Q102" s="59">
        <v>46.79</v>
      </c>
      <c r="R102" s="197"/>
      <c r="S102" s="197"/>
      <c r="T102" s="197"/>
      <c r="U102" s="197"/>
    </row>
    <row r="103" spans="1:33" s="12" customFormat="1" x14ac:dyDescent="0.25">
      <c r="A103" s="200" t="s">
        <v>2743</v>
      </c>
      <c r="B103" s="59">
        <v>6.23</v>
      </c>
      <c r="C103" s="59">
        <v>32.75</v>
      </c>
      <c r="D103" s="59">
        <v>24.81</v>
      </c>
      <c r="E103" s="59">
        <v>2.3199999999999998</v>
      </c>
      <c r="F103" s="59">
        <v>3.48</v>
      </c>
      <c r="G103" s="59">
        <v>24.9</v>
      </c>
      <c r="H103" s="59">
        <v>14.42</v>
      </c>
      <c r="I103" s="59">
        <v>0.52</v>
      </c>
      <c r="J103" s="59">
        <v>1.39</v>
      </c>
      <c r="K103" s="59">
        <v>22.02</v>
      </c>
      <c r="L103" s="59">
        <v>20.61</v>
      </c>
      <c r="M103" s="59">
        <v>73.680000000000007</v>
      </c>
      <c r="N103" s="59">
        <v>5.2</v>
      </c>
      <c r="O103" s="59">
        <v>0</v>
      </c>
      <c r="P103" s="59">
        <v>0.47</v>
      </c>
      <c r="Q103" s="59">
        <v>45.04</v>
      </c>
      <c r="R103" s="197"/>
      <c r="S103" s="197"/>
      <c r="T103" s="197"/>
      <c r="U103" s="197"/>
    </row>
    <row r="104" spans="1:33" s="12" customFormat="1" x14ac:dyDescent="0.25">
      <c r="A104" s="200" t="s">
        <v>2744</v>
      </c>
      <c r="B104" s="59">
        <v>5.85</v>
      </c>
      <c r="C104" s="59">
        <v>34.07</v>
      </c>
      <c r="D104" s="59">
        <v>25.23</v>
      </c>
      <c r="E104" s="59">
        <v>1.07</v>
      </c>
      <c r="F104" s="59">
        <v>5.33</v>
      </c>
      <c r="G104" s="59">
        <v>31.08</v>
      </c>
      <c r="H104" s="59">
        <v>14.02</v>
      </c>
      <c r="I104" s="59">
        <v>0.52</v>
      </c>
      <c r="J104" s="59">
        <v>1.73</v>
      </c>
      <c r="K104" s="59">
        <v>19.78</v>
      </c>
      <c r="L104" s="59">
        <v>20.39</v>
      </c>
      <c r="M104" s="59">
        <v>74.02</v>
      </c>
      <c r="N104" s="59">
        <v>4.8</v>
      </c>
      <c r="O104" s="59">
        <v>0</v>
      </c>
      <c r="P104" s="59">
        <v>0.47</v>
      </c>
      <c r="Q104" s="59">
        <v>45.06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2.16</v>
      </c>
      <c r="C106" s="66">
        <f>MIN(C9:C104)</f>
        <v>23.4</v>
      </c>
      <c r="D106" s="66">
        <f t="shared" ref="D106:Q106" si="0">MIN(D9:D104)</f>
        <v>16.39</v>
      </c>
      <c r="E106" s="66">
        <f t="shared" si="0"/>
        <v>0.88</v>
      </c>
      <c r="F106" s="66">
        <f t="shared" si="0"/>
        <v>0.4</v>
      </c>
      <c r="G106" s="66">
        <f t="shared" si="0"/>
        <v>23.56</v>
      </c>
      <c r="H106" s="66">
        <f t="shared" si="0"/>
        <v>14.02</v>
      </c>
      <c r="I106" s="66">
        <f t="shared" si="0"/>
        <v>0.48</v>
      </c>
      <c r="J106" s="66">
        <f t="shared" si="0"/>
        <v>0.03</v>
      </c>
      <c r="K106" s="66">
        <f t="shared" si="0"/>
        <v>0.73</v>
      </c>
      <c r="L106" s="66">
        <f t="shared" si="0"/>
        <v>20.39</v>
      </c>
      <c r="M106" s="66">
        <f t="shared" si="0"/>
        <v>31.3</v>
      </c>
      <c r="N106" s="66">
        <f t="shared" si="0"/>
        <v>4.2</v>
      </c>
      <c r="O106" s="66">
        <f t="shared" si="0"/>
        <v>0</v>
      </c>
      <c r="P106" s="66">
        <f t="shared" si="0"/>
        <v>0.45</v>
      </c>
      <c r="Q106" s="66">
        <f t="shared" si="0"/>
        <v>30.04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34.25</v>
      </c>
      <c r="C107" s="65">
        <f t="shared" ref="C107:Q107" si="1">MAX(C9:C104)</f>
        <v>72.81</v>
      </c>
      <c r="D107" s="65">
        <f t="shared" si="1"/>
        <v>62.06</v>
      </c>
      <c r="E107" s="65">
        <f t="shared" si="1"/>
        <v>5.23</v>
      </c>
      <c r="F107" s="65">
        <f t="shared" si="1"/>
        <v>14.71</v>
      </c>
      <c r="G107" s="65">
        <f t="shared" si="1"/>
        <v>120.49</v>
      </c>
      <c r="H107" s="65">
        <f t="shared" si="1"/>
        <v>29.41</v>
      </c>
      <c r="I107" s="65">
        <f t="shared" si="1"/>
        <v>0.65</v>
      </c>
      <c r="J107" s="65">
        <f t="shared" si="1"/>
        <v>2.73</v>
      </c>
      <c r="K107" s="65">
        <f t="shared" si="1"/>
        <v>358.84</v>
      </c>
      <c r="L107" s="65">
        <f t="shared" si="1"/>
        <v>35.15</v>
      </c>
      <c r="M107" s="65">
        <f t="shared" si="1"/>
        <v>79.540000000000006</v>
      </c>
      <c r="N107" s="65">
        <f t="shared" si="1"/>
        <v>866.2</v>
      </c>
      <c r="O107" s="65">
        <f t="shared" si="1"/>
        <v>0</v>
      </c>
      <c r="P107" s="65">
        <f t="shared" si="1"/>
        <v>1.1299999999999999</v>
      </c>
      <c r="Q107" s="65">
        <f t="shared" si="1"/>
        <v>55.46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11.271562500000003</v>
      </c>
      <c r="C108" s="66">
        <f t="shared" ref="C108:Q108" si="2">AVERAGE(C9:C104)</f>
        <v>42.724687499999987</v>
      </c>
      <c r="D108" s="66">
        <f t="shared" si="2"/>
        <v>34.358333333333341</v>
      </c>
      <c r="E108" s="66">
        <f t="shared" si="2"/>
        <v>2.4387499999999998</v>
      </c>
      <c r="F108" s="66">
        <f t="shared" si="2"/>
        <v>5.1740624999999998</v>
      </c>
      <c r="G108" s="66">
        <f t="shared" si="2"/>
        <v>49.892812499999984</v>
      </c>
      <c r="H108" s="66">
        <f t="shared" si="2"/>
        <v>20.53</v>
      </c>
      <c r="I108" s="66">
        <f t="shared" si="2"/>
        <v>0.56072916666666728</v>
      </c>
      <c r="J108" s="66">
        <f t="shared" si="2"/>
        <v>0.70010416666666675</v>
      </c>
      <c r="K108" s="66">
        <f t="shared" si="2"/>
        <v>157.67416666666668</v>
      </c>
      <c r="L108" s="66">
        <f t="shared" si="2"/>
        <v>26.06593749999999</v>
      </c>
      <c r="M108" s="66">
        <f t="shared" si="2"/>
        <v>54.280312500000001</v>
      </c>
      <c r="N108" s="66">
        <f t="shared" si="2"/>
        <v>208.08749999999989</v>
      </c>
      <c r="O108" s="66">
        <f t="shared" si="2"/>
        <v>0</v>
      </c>
      <c r="P108" s="66">
        <f t="shared" si="2"/>
        <v>0.67927083333333371</v>
      </c>
      <c r="Q108" s="66">
        <f t="shared" si="2"/>
        <v>44.170208333333335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8.9543224878884722</v>
      </c>
      <c r="C109" s="66">
        <f t="shared" ref="C109:Q109" si="3">STDEV(C9:C104)</f>
        <v>9.2322189786496498</v>
      </c>
      <c r="D109" s="66">
        <f t="shared" si="3"/>
        <v>9.5907233322146848</v>
      </c>
      <c r="E109" s="66">
        <f t="shared" si="3"/>
        <v>0.64499245201622069</v>
      </c>
      <c r="F109" s="66">
        <f t="shared" si="3"/>
        <v>3.1782797658067876</v>
      </c>
      <c r="G109" s="66">
        <f t="shared" si="3"/>
        <v>18.632838510381337</v>
      </c>
      <c r="H109" s="66">
        <f t="shared" si="3"/>
        <v>3.7724957535464423</v>
      </c>
      <c r="I109" s="66">
        <f t="shared" si="3"/>
        <v>5.0643122703808281E-2</v>
      </c>
      <c r="J109" s="66">
        <f t="shared" si="3"/>
        <v>0.65970088084902734</v>
      </c>
      <c r="K109" s="66">
        <f t="shared" si="3"/>
        <v>128.32298075900977</v>
      </c>
      <c r="L109" s="66">
        <f t="shared" si="3"/>
        <v>5.0116209328919208</v>
      </c>
      <c r="M109" s="66">
        <f t="shared" si="3"/>
        <v>15.025391663386282</v>
      </c>
      <c r="N109" s="66">
        <f t="shared" si="3"/>
        <v>280.20878353188903</v>
      </c>
      <c r="O109" s="66">
        <f t="shared" si="3"/>
        <v>0</v>
      </c>
      <c r="P109" s="66">
        <f t="shared" si="3"/>
        <v>0.15461493624088096</v>
      </c>
      <c r="Q109" s="66">
        <f t="shared" si="3"/>
        <v>5.7284885448758249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G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ref="H110:Q110" si="5">COUNT(H9:H104)</f>
        <v>96</v>
      </c>
      <c r="I110" s="65">
        <f t="shared" si="5"/>
        <v>96</v>
      </c>
      <c r="J110" s="65">
        <f t="shared" si="5"/>
        <v>96</v>
      </c>
      <c r="K110" s="65">
        <f t="shared" si="5"/>
        <v>96</v>
      </c>
      <c r="L110" s="65">
        <f t="shared" si="5"/>
        <v>96</v>
      </c>
      <c r="M110" s="65">
        <f t="shared" si="5"/>
        <v>96</v>
      </c>
      <c r="N110" s="65">
        <f t="shared" si="5"/>
        <v>96</v>
      </c>
      <c r="O110" s="65">
        <f t="shared" si="5"/>
        <v>96</v>
      </c>
      <c r="P110" s="65">
        <f t="shared" si="5"/>
        <v>96</v>
      </c>
      <c r="Q110" s="65">
        <f t="shared" si="5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/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27-03-2023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2745</v>
      </c>
      <c r="B9" s="59">
        <v>6.08</v>
      </c>
      <c r="C9" s="59">
        <v>40.82</v>
      </c>
      <c r="D9" s="59">
        <v>29.14</v>
      </c>
      <c r="E9" s="59">
        <v>1.7</v>
      </c>
      <c r="F9" s="59">
        <v>2.38</v>
      </c>
      <c r="G9" s="59">
        <v>31.37</v>
      </c>
      <c r="H9" s="59">
        <v>14</v>
      </c>
      <c r="I9" s="59">
        <v>0.51</v>
      </c>
      <c r="J9" s="59">
        <v>1.28</v>
      </c>
      <c r="K9" s="59">
        <v>25.99</v>
      </c>
      <c r="L9" s="59">
        <v>20.079999999999998</v>
      </c>
      <c r="M9" s="59">
        <v>77.010000000000005</v>
      </c>
      <c r="N9" s="59">
        <v>5.0999999999999996</v>
      </c>
      <c r="O9" s="59">
        <v>0</v>
      </c>
      <c r="P9" s="59">
        <v>0.51</v>
      </c>
      <c r="Q9" s="59">
        <v>46.12</v>
      </c>
      <c r="R9" s="197"/>
      <c r="S9" s="197"/>
      <c r="T9" s="197"/>
      <c r="U9" s="197"/>
    </row>
    <row r="10" spans="1:21" s="12" customFormat="1" x14ac:dyDescent="0.25">
      <c r="A10" s="200" t="s">
        <v>2746</v>
      </c>
      <c r="B10" s="59">
        <v>6.49</v>
      </c>
      <c r="C10" s="59">
        <v>47.02</v>
      </c>
      <c r="D10" s="59">
        <v>32.89</v>
      </c>
      <c r="E10" s="59">
        <v>1.98</v>
      </c>
      <c r="F10" s="59">
        <v>2.02</v>
      </c>
      <c r="G10" s="59">
        <v>31.37</v>
      </c>
      <c r="H10" s="59">
        <v>14</v>
      </c>
      <c r="I10" s="59">
        <v>0.51</v>
      </c>
      <c r="J10" s="59">
        <v>1.05</v>
      </c>
      <c r="K10" s="59">
        <v>22.43</v>
      </c>
      <c r="L10" s="59">
        <v>19.88</v>
      </c>
      <c r="M10" s="59">
        <v>77.459999999999994</v>
      </c>
      <c r="N10" s="59">
        <v>4.7</v>
      </c>
      <c r="O10" s="59">
        <v>0</v>
      </c>
      <c r="P10" s="59">
        <v>0.53</v>
      </c>
      <c r="Q10" s="59">
        <v>44.74</v>
      </c>
      <c r="R10" s="197"/>
      <c r="S10" s="197"/>
      <c r="T10" s="197"/>
      <c r="U10" s="197"/>
    </row>
    <row r="11" spans="1:21" s="12" customFormat="1" x14ac:dyDescent="0.25">
      <c r="A11" s="200" t="s">
        <v>2747</v>
      </c>
      <c r="B11" s="59">
        <v>6.92</v>
      </c>
      <c r="C11" s="59">
        <v>45.19</v>
      </c>
      <c r="D11" s="59">
        <v>32.229999999999997</v>
      </c>
      <c r="E11" s="59">
        <v>2.19</v>
      </c>
      <c r="F11" s="59">
        <v>2.36</v>
      </c>
      <c r="G11" s="59">
        <v>31.37</v>
      </c>
      <c r="H11" s="59">
        <v>14</v>
      </c>
      <c r="I11" s="59">
        <v>0.52</v>
      </c>
      <c r="J11" s="59">
        <v>0.65</v>
      </c>
      <c r="K11" s="59">
        <v>44.24</v>
      </c>
      <c r="L11" s="59">
        <v>19.96</v>
      </c>
      <c r="M11" s="59">
        <v>74.64</v>
      </c>
      <c r="N11" s="59">
        <v>4.4000000000000004</v>
      </c>
      <c r="O11" s="59">
        <v>0</v>
      </c>
      <c r="P11" s="59">
        <v>0.52</v>
      </c>
      <c r="Q11" s="59">
        <v>43.58</v>
      </c>
      <c r="R11" s="197"/>
      <c r="S11" s="197"/>
      <c r="T11" s="197"/>
      <c r="U11" s="197"/>
    </row>
    <row r="12" spans="1:21" s="12" customFormat="1" x14ac:dyDescent="0.25">
      <c r="A12" s="200" t="s">
        <v>2748</v>
      </c>
      <c r="B12" s="59">
        <v>7.44</v>
      </c>
      <c r="C12" s="59">
        <v>45.54</v>
      </c>
      <c r="D12" s="59">
        <v>32.840000000000003</v>
      </c>
      <c r="E12" s="59">
        <v>2.19</v>
      </c>
      <c r="F12" s="59">
        <v>2.52</v>
      </c>
      <c r="G12" s="59">
        <v>43.55</v>
      </c>
      <c r="H12" s="59">
        <v>15.07</v>
      </c>
      <c r="I12" s="59">
        <v>0.51</v>
      </c>
      <c r="J12" s="59">
        <v>0.75</v>
      </c>
      <c r="K12" s="59">
        <v>58.78</v>
      </c>
      <c r="L12" s="59">
        <v>20.21</v>
      </c>
      <c r="M12" s="59">
        <v>72.11</v>
      </c>
      <c r="N12" s="59">
        <v>4.2</v>
      </c>
      <c r="O12" s="59">
        <v>0</v>
      </c>
      <c r="P12" s="59">
        <v>0.5</v>
      </c>
      <c r="Q12" s="59">
        <v>43.55</v>
      </c>
      <c r="R12" s="197"/>
      <c r="S12" s="197"/>
      <c r="T12" s="197"/>
      <c r="U12" s="197"/>
    </row>
    <row r="13" spans="1:21" s="12" customFormat="1" x14ac:dyDescent="0.25">
      <c r="A13" s="200" t="s">
        <v>2749</v>
      </c>
      <c r="B13" s="59">
        <v>7.89</v>
      </c>
      <c r="C13" s="59">
        <v>44.72</v>
      </c>
      <c r="D13" s="59">
        <v>32.75</v>
      </c>
      <c r="E13" s="59">
        <v>1.95</v>
      </c>
      <c r="F13" s="59">
        <v>2.5</v>
      </c>
      <c r="G13" s="59">
        <v>43.97</v>
      </c>
      <c r="H13" s="59">
        <v>15.1</v>
      </c>
      <c r="I13" s="59">
        <v>0.51</v>
      </c>
      <c r="J13" s="59">
        <v>0.87</v>
      </c>
      <c r="K13" s="59">
        <v>106.79</v>
      </c>
      <c r="L13" s="59">
        <v>20.350000000000001</v>
      </c>
      <c r="M13" s="59">
        <v>71.27</v>
      </c>
      <c r="N13" s="59">
        <v>4.3</v>
      </c>
      <c r="O13" s="59">
        <v>0</v>
      </c>
      <c r="P13" s="59">
        <v>0.47</v>
      </c>
      <c r="Q13" s="59">
        <v>45.48</v>
      </c>
      <c r="R13" s="197"/>
      <c r="S13" s="197"/>
      <c r="T13" s="197"/>
      <c r="U13" s="197"/>
    </row>
    <row r="14" spans="1:21" s="12" customFormat="1" x14ac:dyDescent="0.25">
      <c r="A14" s="200" t="s">
        <v>2750</v>
      </c>
      <c r="B14" s="59">
        <v>8.41</v>
      </c>
      <c r="C14" s="59">
        <v>42.26</v>
      </c>
      <c r="D14" s="59">
        <v>31.81</v>
      </c>
      <c r="E14" s="59">
        <v>2.09</v>
      </c>
      <c r="F14" s="59">
        <v>2</v>
      </c>
      <c r="G14" s="59">
        <v>43.97</v>
      </c>
      <c r="H14" s="59">
        <v>15.1</v>
      </c>
      <c r="I14" s="59">
        <v>0.51</v>
      </c>
      <c r="J14" s="59">
        <v>1.72</v>
      </c>
      <c r="K14" s="59">
        <v>113.37</v>
      </c>
      <c r="L14" s="59">
        <v>20.57</v>
      </c>
      <c r="M14" s="59">
        <v>68.72</v>
      </c>
      <c r="N14" s="59">
        <v>3.9</v>
      </c>
      <c r="O14" s="59">
        <v>0</v>
      </c>
      <c r="P14" s="59">
        <v>0.49</v>
      </c>
      <c r="Q14" s="59">
        <v>47.88</v>
      </c>
      <c r="R14" s="197"/>
      <c r="S14" s="197"/>
      <c r="T14" s="197"/>
      <c r="U14" s="197"/>
    </row>
    <row r="15" spans="1:21" s="12" customFormat="1" x14ac:dyDescent="0.25">
      <c r="A15" s="200" t="s">
        <v>2751</v>
      </c>
      <c r="B15" s="59">
        <v>8.6</v>
      </c>
      <c r="C15" s="59">
        <v>45.4</v>
      </c>
      <c r="D15" s="59">
        <v>33.69</v>
      </c>
      <c r="E15" s="59">
        <v>1.82</v>
      </c>
      <c r="F15" s="59">
        <v>2.21</v>
      </c>
      <c r="G15" s="59">
        <v>43.97</v>
      </c>
      <c r="H15" s="59">
        <v>15.1</v>
      </c>
      <c r="I15" s="59">
        <v>0.51</v>
      </c>
      <c r="J15" s="59">
        <v>1.38</v>
      </c>
      <c r="K15" s="59">
        <v>112.87</v>
      </c>
      <c r="L15" s="59">
        <v>20.64</v>
      </c>
      <c r="M15" s="59">
        <v>67.42</v>
      </c>
      <c r="N15" s="59">
        <v>4.5</v>
      </c>
      <c r="O15" s="59">
        <v>0</v>
      </c>
      <c r="P15" s="59">
        <v>0.48</v>
      </c>
      <c r="Q15" s="59">
        <v>48.22</v>
      </c>
      <c r="R15" s="197"/>
      <c r="S15" s="197"/>
      <c r="T15" s="197"/>
      <c r="U15" s="197"/>
    </row>
    <row r="16" spans="1:21" s="12" customFormat="1" x14ac:dyDescent="0.25">
      <c r="A16" s="200" t="s">
        <v>2752</v>
      </c>
      <c r="B16" s="59">
        <v>8.76</v>
      </c>
      <c r="C16" s="59">
        <v>47.6</v>
      </c>
      <c r="D16" s="59">
        <v>35.04</v>
      </c>
      <c r="E16" s="59">
        <v>1.88</v>
      </c>
      <c r="F16" s="59">
        <v>2</v>
      </c>
      <c r="G16" s="59">
        <v>23.64</v>
      </c>
      <c r="H16" s="59">
        <v>13.45</v>
      </c>
      <c r="I16" s="59">
        <v>0.52</v>
      </c>
      <c r="J16" s="59">
        <v>0.81</v>
      </c>
      <c r="K16" s="59">
        <v>98.09</v>
      </c>
      <c r="L16" s="59">
        <v>20.68</v>
      </c>
      <c r="M16" s="59">
        <v>66.430000000000007</v>
      </c>
      <c r="N16" s="59">
        <v>4.7</v>
      </c>
      <c r="O16" s="59">
        <v>0</v>
      </c>
      <c r="P16" s="59">
        <v>0.48</v>
      </c>
      <c r="Q16" s="59">
        <v>46.2</v>
      </c>
      <c r="R16" s="197"/>
      <c r="S16" s="197"/>
      <c r="T16" s="197"/>
      <c r="U16" s="197"/>
    </row>
    <row r="17" spans="1:21" s="12" customFormat="1" x14ac:dyDescent="0.25">
      <c r="A17" s="200" t="s">
        <v>2753</v>
      </c>
      <c r="B17" s="59">
        <v>8.9700000000000006</v>
      </c>
      <c r="C17" s="59">
        <v>37.85</v>
      </c>
      <c r="D17" s="59">
        <v>29.82</v>
      </c>
      <c r="E17" s="59">
        <v>1.91</v>
      </c>
      <c r="F17" s="59">
        <v>2.08</v>
      </c>
      <c r="G17" s="59">
        <v>22.94</v>
      </c>
      <c r="H17" s="59">
        <v>13.39</v>
      </c>
      <c r="I17" s="59">
        <v>0.52</v>
      </c>
      <c r="J17" s="59">
        <v>0.9</v>
      </c>
      <c r="K17" s="59">
        <v>108.01</v>
      </c>
      <c r="L17" s="59">
        <v>20.53</v>
      </c>
      <c r="M17" s="59">
        <v>69.33</v>
      </c>
      <c r="N17" s="59">
        <v>4.7</v>
      </c>
      <c r="O17" s="59">
        <v>0</v>
      </c>
      <c r="P17" s="59">
        <v>0.46</v>
      </c>
      <c r="Q17" s="59">
        <v>52.12</v>
      </c>
      <c r="R17" s="197"/>
      <c r="S17" s="197"/>
      <c r="T17" s="197"/>
      <c r="U17" s="197"/>
    </row>
    <row r="18" spans="1:21" s="12" customFormat="1" x14ac:dyDescent="0.25">
      <c r="A18" s="200" t="s">
        <v>2754</v>
      </c>
      <c r="B18" s="59">
        <v>8.9600000000000009</v>
      </c>
      <c r="C18" s="59">
        <v>30.38</v>
      </c>
      <c r="D18" s="59">
        <v>25.69</v>
      </c>
      <c r="E18" s="59">
        <v>1.95</v>
      </c>
      <c r="F18" s="59">
        <v>2.02</v>
      </c>
      <c r="G18" s="59">
        <v>22.94</v>
      </c>
      <c r="H18" s="59">
        <v>13.39</v>
      </c>
      <c r="I18" s="59">
        <v>0.52</v>
      </c>
      <c r="J18" s="59">
        <v>1.17</v>
      </c>
      <c r="K18" s="59">
        <v>112.92</v>
      </c>
      <c r="L18" s="59">
        <v>20.41</v>
      </c>
      <c r="M18" s="59">
        <v>69.319999999999993</v>
      </c>
      <c r="N18" s="59">
        <v>4.4000000000000004</v>
      </c>
      <c r="O18" s="59">
        <v>0</v>
      </c>
      <c r="P18" s="59">
        <v>0.46</v>
      </c>
      <c r="Q18" s="59">
        <v>46.46</v>
      </c>
      <c r="R18" s="197"/>
      <c r="S18" s="197"/>
      <c r="T18" s="197"/>
      <c r="U18" s="197"/>
    </row>
    <row r="19" spans="1:21" s="12" customFormat="1" x14ac:dyDescent="0.25">
      <c r="A19" s="200" t="s">
        <v>2755</v>
      </c>
      <c r="B19" s="59">
        <v>8.8699999999999992</v>
      </c>
      <c r="C19" s="59">
        <v>32.35</v>
      </c>
      <c r="D19" s="59">
        <v>26.71</v>
      </c>
      <c r="E19" s="59">
        <v>1.52</v>
      </c>
      <c r="F19" s="59">
        <v>1.68</v>
      </c>
      <c r="G19" s="59">
        <v>22.94</v>
      </c>
      <c r="H19" s="59">
        <v>13.39</v>
      </c>
      <c r="I19" s="59">
        <v>0.52</v>
      </c>
      <c r="J19" s="59">
        <v>0.98</v>
      </c>
      <c r="K19" s="59">
        <v>111.14</v>
      </c>
      <c r="L19" s="59">
        <v>20.51</v>
      </c>
      <c r="M19" s="59">
        <v>68.3</v>
      </c>
      <c r="N19" s="59">
        <v>4.4000000000000004</v>
      </c>
      <c r="O19" s="59">
        <v>0</v>
      </c>
      <c r="P19" s="59">
        <v>0.44</v>
      </c>
      <c r="Q19" s="59">
        <v>51.32</v>
      </c>
      <c r="R19" s="197"/>
      <c r="S19" s="197"/>
      <c r="T19" s="197"/>
      <c r="U19" s="197"/>
    </row>
    <row r="20" spans="1:21" s="12" customFormat="1" x14ac:dyDescent="0.25">
      <c r="A20" s="200" t="s">
        <v>2756</v>
      </c>
      <c r="B20" s="59">
        <v>8.75</v>
      </c>
      <c r="C20" s="59">
        <v>32.32</v>
      </c>
      <c r="D20" s="59">
        <v>26.59</v>
      </c>
      <c r="E20" s="59">
        <v>1.75</v>
      </c>
      <c r="F20" s="59">
        <v>1.9</v>
      </c>
      <c r="G20" s="59">
        <v>27.25</v>
      </c>
      <c r="H20" s="59">
        <v>10.41</v>
      </c>
      <c r="I20" s="59">
        <v>0.52</v>
      </c>
      <c r="J20" s="59">
        <v>1.92</v>
      </c>
      <c r="K20" s="59">
        <v>118.88</v>
      </c>
      <c r="L20" s="59">
        <v>20.56</v>
      </c>
      <c r="M20" s="59">
        <v>68.63</v>
      </c>
      <c r="N20" s="59">
        <v>4.4000000000000004</v>
      </c>
      <c r="O20" s="59">
        <v>0</v>
      </c>
      <c r="P20" s="59">
        <v>0.45</v>
      </c>
      <c r="Q20" s="59">
        <v>45.37</v>
      </c>
      <c r="R20" s="197"/>
      <c r="S20" s="197"/>
      <c r="T20" s="197"/>
      <c r="U20" s="197"/>
    </row>
    <row r="21" spans="1:21" s="12" customFormat="1" x14ac:dyDescent="0.25">
      <c r="A21" s="200" t="s">
        <v>2757</v>
      </c>
      <c r="B21" s="59">
        <v>8.6999999999999993</v>
      </c>
      <c r="C21" s="59">
        <v>35.18</v>
      </c>
      <c r="D21" s="59">
        <v>28.13</v>
      </c>
      <c r="E21" s="59">
        <v>2.0299999999999998</v>
      </c>
      <c r="F21" s="59">
        <v>1.79</v>
      </c>
      <c r="G21" s="59">
        <v>27.4</v>
      </c>
      <c r="H21" s="59">
        <v>10.27</v>
      </c>
      <c r="I21" s="59">
        <v>0.52</v>
      </c>
      <c r="J21" s="59">
        <v>2.23</v>
      </c>
      <c r="K21" s="59">
        <v>112.17</v>
      </c>
      <c r="L21" s="59">
        <v>20.53</v>
      </c>
      <c r="M21" s="59">
        <v>68.44</v>
      </c>
      <c r="N21" s="59">
        <v>4.4000000000000004</v>
      </c>
      <c r="O21" s="59">
        <v>0</v>
      </c>
      <c r="P21" s="59">
        <v>0.42</v>
      </c>
      <c r="Q21" s="59">
        <v>51.47</v>
      </c>
      <c r="R21" s="197"/>
      <c r="S21" s="197"/>
      <c r="T21" s="197"/>
      <c r="U21" s="197"/>
    </row>
    <row r="22" spans="1:21" s="12" customFormat="1" x14ac:dyDescent="0.25">
      <c r="A22" s="200" t="s">
        <v>2758</v>
      </c>
      <c r="B22" s="59">
        <v>8.49</v>
      </c>
      <c r="C22" s="59">
        <v>37.65</v>
      </c>
      <c r="D22" s="59">
        <v>29.33</v>
      </c>
      <c r="E22" s="59">
        <v>2.0099999999999998</v>
      </c>
      <c r="F22" s="59">
        <v>1.69</v>
      </c>
      <c r="G22" s="59">
        <v>27.4</v>
      </c>
      <c r="H22" s="59">
        <v>10.27</v>
      </c>
      <c r="I22" s="59">
        <v>0.52</v>
      </c>
      <c r="J22" s="59">
        <v>1.78</v>
      </c>
      <c r="K22" s="59">
        <v>103.41</v>
      </c>
      <c r="L22" s="59">
        <v>20.49</v>
      </c>
      <c r="M22" s="59">
        <v>68.03</v>
      </c>
      <c r="N22" s="59">
        <v>4.5999999999999996</v>
      </c>
      <c r="O22" s="59">
        <v>0</v>
      </c>
      <c r="P22" s="59">
        <v>0.42</v>
      </c>
      <c r="Q22" s="59">
        <v>48.94</v>
      </c>
      <c r="R22" s="197"/>
      <c r="S22" s="197"/>
      <c r="T22" s="197"/>
      <c r="U22" s="197"/>
    </row>
    <row r="23" spans="1:21" s="12" customFormat="1" x14ac:dyDescent="0.25">
      <c r="A23" s="200" t="s">
        <v>2759</v>
      </c>
      <c r="B23" s="59">
        <v>8.43</v>
      </c>
      <c r="C23" s="59">
        <v>34.39</v>
      </c>
      <c r="D23" s="59">
        <v>27.48</v>
      </c>
      <c r="E23" s="59">
        <v>1.79</v>
      </c>
      <c r="F23" s="59">
        <v>2</v>
      </c>
      <c r="G23" s="59">
        <v>27.4</v>
      </c>
      <c r="H23" s="59">
        <v>10.27</v>
      </c>
      <c r="I23" s="59">
        <v>0.52</v>
      </c>
      <c r="J23" s="59">
        <v>1.1100000000000001</v>
      </c>
      <c r="K23" s="59">
        <v>106.36</v>
      </c>
      <c r="L23" s="59">
        <v>20.48</v>
      </c>
      <c r="M23" s="59">
        <v>67.44</v>
      </c>
      <c r="N23" s="59">
        <v>4.5</v>
      </c>
      <c r="O23" s="59">
        <v>0</v>
      </c>
      <c r="P23" s="59">
        <v>0.4</v>
      </c>
      <c r="Q23" s="59">
        <v>50.47</v>
      </c>
      <c r="R23" s="197"/>
      <c r="S23" s="197"/>
      <c r="T23" s="197"/>
      <c r="U23" s="197"/>
    </row>
    <row r="24" spans="1:21" s="12" customFormat="1" x14ac:dyDescent="0.25">
      <c r="A24" s="200" t="s">
        <v>2760</v>
      </c>
      <c r="B24" s="59">
        <v>8.48</v>
      </c>
      <c r="C24" s="59">
        <v>33.99</v>
      </c>
      <c r="D24" s="59">
        <v>27.3</v>
      </c>
      <c r="E24" s="59">
        <v>1.21</v>
      </c>
      <c r="F24" s="59">
        <v>2.31</v>
      </c>
      <c r="G24" s="59">
        <v>24.45</v>
      </c>
      <c r="H24" s="59">
        <v>12.57</v>
      </c>
      <c r="I24" s="59">
        <v>0.51</v>
      </c>
      <c r="J24" s="59">
        <v>1.01</v>
      </c>
      <c r="K24" s="59">
        <v>103</v>
      </c>
      <c r="L24" s="59">
        <v>20.58</v>
      </c>
      <c r="M24" s="59">
        <v>66.03</v>
      </c>
      <c r="N24" s="59">
        <v>4.5</v>
      </c>
      <c r="O24" s="59">
        <v>0</v>
      </c>
      <c r="P24" s="59">
        <v>0.39</v>
      </c>
      <c r="Q24" s="59">
        <v>47.77</v>
      </c>
      <c r="R24" s="197"/>
      <c r="S24" s="197"/>
      <c r="T24" s="197"/>
      <c r="U24" s="197"/>
    </row>
    <row r="25" spans="1:21" s="12" customFormat="1" x14ac:dyDescent="0.25">
      <c r="A25" s="200" t="s">
        <v>2761</v>
      </c>
      <c r="B25" s="59">
        <v>8.5299999999999994</v>
      </c>
      <c r="C25" s="59">
        <v>34.630000000000003</v>
      </c>
      <c r="D25" s="59">
        <v>27.69</v>
      </c>
      <c r="E25" s="59">
        <v>1.87</v>
      </c>
      <c r="F25" s="59">
        <v>2.74</v>
      </c>
      <c r="G25" s="59">
        <v>24.32</v>
      </c>
      <c r="H25" s="59">
        <v>12.67</v>
      </c>
      <c r="I25" s="59">
        <v>0.51</v>
      </c>
      <c r="J25" s="59">
        <v>0.45</v>
      </c>
      <c r="K25" s="59">
        <v>124.26</v>
      </c>
      <c r="L25" s="59">
        <v>20.55</v>
      </c>
      <c r="M25" s="59">
        <v>66.05</v>
      </c>
      <c r="N25" s="59">
        <v>4.7</v>
      </c>
      <c r="O25" s="59">
        <v>0</v>
      </c>
      <c r="P25" s="59">
        <v>0.39</v>
      </c>
      <c r="Q25" s="59">
        <v>48.98</v>
      </c>
      <c r="R25" s="197"/>
      <c r="S25" s="197"/>
      <c r="T25" s="197"/>
      <c r="U25" s="197"/>
    </row>
    <row r="26" spans="1:21" s="12" customFormat="1" x14ac:dyDescent="0.25">
      <c r="A26" s="200" t="s">
        <v>2762</v>
      </c>
      <c r="B26" s="59">
        <v>8.9700000000000006</v>
      </c>
      <c r="C26" s="59">
        <v>34.07</v>
      </c>
      <c r="D26" s="59">
        <v>27.74</v>
      </c>
      <c r="E26" s="59">
        <v>2</v>
      </c>
      <c r="F26" s="59">
        <v>2.42</v>
      </c>
      <c r="G26" s="59">
        <v>24.32</v>
      </c>
      <c r="H26" s="59">
        <v>12.67</v>
      </c>
      <c r="I26" s="59">
        <v>0.51</v>
      </c>
      <c r="J26" s="59">
        <v>0.54</v>
      </c>
      <c r="K26" s="59">
        <v>200.06</v>
      </c>
      <c r="L26" s="59">
        <v>20.32</v>
      </c>
      <c r="M26" s="59">
        <v>67.489999999999995</v>
      </c>
      <c r="N26" s="59">
        <v>4.7</v>
      </c>
      <c r="O26" s="59">
        <v>0</v>
      </c>
      <c r="P26" s="59">
        <v>0.39</v>
      </c>
      <c r="Q26" s="59">
        <v>47.95</v>
      </c>
      <c r="R26" s="197"/>
      <c r="S26" s="197"/>
      <c r="T26" s="197"/>
      <c r="U26" s="197"/>
    </row>
    <row r="27" spans="1:21" s="12" customFormat="1" x14ac:dyDescent="0.25">
      <c r="A27" s="200" t="s">
        <v>2763</v>
      </c>
      <c r="B27" s="59">
        <v>9.36</v>
      </c>
      <c r="C27" s="59">
        <v>34.43</v>
      </c>
      <c r="D27" s="59">
        <v>28.25</v>
      </c>
      <c r="E27" s="59">
        <v>2.38</v>
      </c>
      <c r="F27" s="59">
        <v>2.14</v>
      </c>
      <c r="G27" s="59">
        <v>24.32</v>
      </c>
      <c r="H27" s="59">
        <v>12.67</v>
      </c>
      <c r="I27" s="59">
        <v>0.51</v>
      </c>
      <c r="J27" s="59">
        <v>0.16</v>
      </c>
      <c r="K27" s="59">
        <v>198.34</v>
      </c>
      <c r="L27" s="59">
        <v>20.170000000000002</v>
      </c>
      <c r="M27" s="59">
        <v>68.03</v>
      </c>
      <c r="N27" s="59">
        <v>4.7</v>
      </c>
      <c r="O27" s="59">
        <v>0</v>
      </c>
      <c r="P27" s="59">
        <v>0.39</v>
      </c>
      <c r="Q27" s="59">
        <v>47.3</v>
      </c>
      <c r="R27" s="197"/>
      <c r="S27" s="197"/>
      <c r="T27" s="197"/>
      <c r="U27" s="197"/>
    </row>
    <row r="28" spans="1:21" s="12" customFormat="1" x14ac:dyDescent="0.25">
      <c r="A28" s="200" t="s">
        <v>2764</v>
      </c>
      <c r="B28" s="59">
        <v>9.82</v>
      </c>
      <c r="C28" s="59">
        <v>35.17</v>
      </c>
      <c r="D28" s="59">
        <v>29.02</v>
      </c>
      <c r="E28" s="59">
        <v>1.96</v>
      </c>
      <c r="F28" s="59">
        <v>1.92</v>
      </c>
      <c r="G28" s="59">
        <v>22.13</v>
      </c>
      <c r="H28" s="59">
        <v>10.46</v>
      </c>
      <c r="I28" s="59">
        <v>0.51</v>
      </c>
      <c r="J28" s="59">
        <v>0.54</v>
      </c>
      <c r="K28" s="59">
        <v>192.86</v>
      </c>
      <c r="L28" s="59">
        <v>20.149999999999999</v>
      </c>
      <c r="M28" s="59">
        <v>68.52</v>
      </c>
      <c r="N28" s="59">
        <v>4.5999999999999996</v>
      </c>
      <c r="O28" s="59">
        <v>0</v>
      </c>
      <c r="P28" s="59">
        <v>0.38</v>
      </c>
      <c r="Q28" s="59">
        <v>47.36</v>
      </c>
      <c r="R28" s="197"/>
      <c r="S28" s="197"/>
      <c r="T28" s="197"/>
      <c r="U28" s="197"/>
    </row>
    <row r="29" spans="1:21" s="12" customFormat="1" x14ac:dyDescent="0.25">
      <c r="A29" s="200" t="s">
        <v>2765</v>
      </c>
      <c r="B29" s="59">
        <v>10.17</v>
      </c>
      <c r="C29" s="59">
        <v>34.549999999999997</v>
      </c>
      <c r="D29" s="59">
        <v>28.96</v>
      </c>
      <c r="E29" s="59">
        <v>1.83</v>
      </c>
      <c r="F29" s="59">
        <v>1.99</v>
      </c>
      <c r="G29" s="59">
        <v>22.03</v>
      </c>
      <c r="H29" s="59">
        <v>10.38</v>
      </c>
      <c r="I29" s="59">
        <v>0.52</v>
      </c>
      <c r="J29" s="59">
        <v>0.16</v>
      </c>
      <c r="K29" s="59">
        <v>214.69</v>
      </c>
      <c r="L29" s="59">
        <v>20.100000000000001</v>
      </c>
      <c r="M29" s="59">
        <v>69.180000000000007</v>
      </c>
      <c r="N29" s="59">
        <v>4.9000000000000004</v>
      </c>
      <c r="O29" s="59">
        <v>0</v>
      </c>
      <c r="P29" s="59">
        <v>0.38</v>
      </c>
      <c r="Q29" s="59">
        <v>47.59</v>
      </c>
      <c r="R29" s="197"/>
      <c r="S29" s="197"/>
      <c r="T29" s="197"/>
      <c r="U29" s="197"/>
    </row>
    <row r="30" spans="1:21" s="12" customFormat="1" x14ac:dyDescent="0.25">
      <c r="A30" s="200" t="s">
        <v>2766</v>
      </c>
      <c r="B30" s="59">
        <v>10.51</v>
      </c>
      <c r="C30" s="59">
        <v>35.020000000000003</v>
      </c>
      <c r="D30" s="59">
        <v>29.5</v>
      </c>
      <c r="E30" s="59">
        <v>1.79</v>
      </c>
      <c r="F30" s="59">
        <v>1.82</v>
      </c>
      <c r="G30" s="59">
        <v>22.03</v>
      </c>
      <c r="H30" s="59">
        <v>10.38</v>
      </c>
      <c r="I30" s="59">
        <v>0.52</v>
      </c>
      <c r="J30" s="59">
        <v>0.16</v>
      </c>
      <c r="K30" s="59">
        <v>263.81</v>
      </c>
      <c r="L30" s="59">
        <v>19.739999999999998</v>
      </c>
      <c r="M30" s="59">
        <v>72.17</v>
      </c>
      <c r="N30" s="59">
        <v>4.9000000000000004</v>
      </c>
      <c r="O30" s="59">
        <v>0</v>
      </c>
      <c r="P30" s="59">
        <v>0.38</v>
      </c>
      <c r="Q30" s="59">
        <v>46.23</v>
      </c>
      <c r="R30" s="197"/>
      <c r="S30" s="197"/>
      <c r="T30" s="197"/>
      <c r="U30" s="197"/>
    </row>
    <row r="31" spans="1:21" s="12" customFormat="1" x14ac:dyDescent="0.25">
      <c r="A31" s="200" t="s">
        <v>2767</v>
      </c>
      <c r="B31" s="59">
        <v>10.7</v>
      </c>
      <c r="C31" s="59">
        <v>41.67</v>
      </c>
      <c r="D31" s="59">
        <v>33.31</v>
      </c>
      <c r="E31" s="59">
        <v>2.21</v>
      </c>
      <c r="F31" s="59">
        <v>1.58</v>
      </c>
      <c r="G31" s="59">
        <v>22.03</v>
      </c>
      <c r="H31" s="59">
        <v>10.38</v>
      </c>
      <c r="I31" s="59">
        <v>0.52</v>
      </c>
      <c r="J31" s="59">
        <v>0.24</v>
      </c>
      <c r="K31" s="59">
        <v>239.6</v>
      </c>
      <c r="L31" s="59">
        <v>19.59</v>
      </c>
      <c r="M31" s="59">
        <v>74</v>
      </c>
      <c r="N31" s="59">
        <v>4.8</v>
      </c>
      <c r="O31" s="59">
        <v>0</v>
      </c>
      <c r="P31" s="59">
        <v>0.37</v>
      </c>
      <c r="Q31" s="59">
        <v>47.25</v>
      </c>
      <c r="R31" s="197"/>
      <c r="S31" s="197"/>
      <c r="T31" s="197"/>
      <c r="U31" s="197"/>
    </row>
    <row r="32" spans="1:21" s="12" customFormat="1" x14ac:dyDescent="0.25">
      <c r="A32" s="200" t="s">
        <v>2768</v>
      </c>
      <c r="B32" s="59">
        <v>10.64</v>
      </c>
      <c r="C32" s="59">
        <v>36.6</v>
      </c>
      <c r="D32" s="59">
        <v>30.47</v>
      </c>
      <c r="E32" s="59">
        <v>1.36</v>
      </c>
      <c r="F32" s="59">
        <v>1.52</v>
      </c>
      <c r="G32" s="59">
        <v>12.44</v>
      </c>
      <c r="H32" s="59">
        <v>9.14</v>
      </c>
      <c r="I32" s="59">
        <v>0.54</v>
      </c>
      <c r="J32" s="59">
        <v>0.04</v>
      </c>
      <c r="K32" s="59">
        <v>99.05</v>
      </c>
      <c r="L32" s="59">
        <v>19.48</v>
      </c>
      <c r="M32" s="59">
        <v>76.680000000000007</v>
      </c>
      <c r="N32" s="59">
        <v>6.7</v>
      </c>
      <c r="O32" s="59">
        <v>0</v>
      </c>
      <c r="P32" s="59">
        <v>0.37</v>
      </c>
      <c r="Q32" s="59">
        <v>43.16</v>
      </c>
      <c r="R32" s="197"/>
      <c r="S32" s="197"/>
      <c r="T32" s="197"/>
      <c r="U32" s="197"/>
    </row>
    <row r="33" spans="1:21" s="12" customFormat="1" x14ac:dyDescent="0.25">
      <c r="A33" s="200" t="s">
        <v>2769</v>
      </c>
      <c r="B33" s="59">
        <v>10.9</v>
      </c>
      <c r="C33" s="59">
        <v>37.29</v>
      </c>
      <c r="D33" s="59">
        <v>31.06</v>
      </c>
      <c r="E33" s="59">
        <v>2.13</v>
      </c>
      <c r="F33" s="59">
        <v>1.51</v>
      </c>
      <c r="G33" s="59">
        <v>12.11</v>
      </c>
      <c r="H33" s="59">
        <v>9.1</v>
      </c>
      <c r="I33" s="59">
        <v>0.55000000000000004</v>
      </c>
      <c r="J33" s="59">
        <v>0.12</v>
      </c>
      <c r="K33" s="59">
        <v>24.97</v>
      </c>
      <c r="L33" s="59">
        <v>19.25</v>
      </c>
      <c r="M33" s="59">
        <v>79.38</v>
      </c>
      <c r="N33" s="59">
        <v>13.7</v>
      </c>
      <c r="O33" s="59">
        <v>0</v>
      </c>
      <c r="P33" s="59">
        <v>0.38</v>
      </c>
      <c r="Q33" s="59">
        <v>44.75</v>
      </c>
      <c r="R33" s="197"/>
      <c r="S33" s="197"/>
      <c r="T33" s="197"/>
      <c r="U33" s="197"/>
    </row>
    <row r="34" spans="1:21" s="12" customFormat="1" x14ac:dyDescent="0.25">
      <c r="A34" s="200" t="s">
        <v>2770</v>
      </c>
      <c r="B34" s="59">
        <v>11.42</v>
      </c>
      <c r="C34" s="59">
        <v>38.03</v>
      </c>
      <c r="D34" s="59">
        <v>31.89</v>
      </c>
      <c r="E34" s="59">
        <v>1.68</v>
      </c>
      <c r="F34" s="59">
        <v>1.27</v>
      </c>
      <c r="G34" s="59">
        <v>12.11</v>
      </c>
      <c r="H34" s="59">
        <v>9.1</v>
      </c>
      <c r="I34" s="59">
        <v>0.53</v>
      </c>
      <c r="J34" s="59">
        <v>0.11</v>
      </c>
      <c r="K34" s="59">
        <v>24.31</v>
      </c>
      <c r="L34" s="59">
        <v>19.12</v>
      </c>
      <c r="M34" s="59">
        <v>80.680000000000007</v>
      </c>
      <c r="N34" s="59">
        <v>36.799999999999997</v>
      </c>
      <c r="O34" s="59">
        <v>0</v>
      </c>
      <c r="P34" s="59">
        <v>0.38</v>
      </c>
      <c r="Q34" s="59">
        <v>47.35</v>
      </c>
      <c r="R34" s="197"/>
      <c r="S34" s="197"/>
      <c r="T34" s="197"/>
      <c r="U34" s="197"/>
    </row>
    <row r="35" spans="1:21" s="12" customFormat="1" x14ac:dyDescent="0.25">
      <c r="A35" s="200" t="s">
        <v>2771</v>
      </c>
      <c r="B35" s="59">
        <v>12.14</v>
      </c>
      <c r="C35" s="59">
        <v>36.94</v>
      </c>
      <c r="D35" s="59">
        <v>31.86</v>
      </c>
      <c r="E35" s="59">
        <v>1.96</v>
      </c>
      <c r="F35" s="59">
        <v>1.48</v>
      </c>
      <c r="G35" s="59">
        <v>12.11</v>
      </c>
      <c r="H35" s="59">
        <v>9.1</v>
      </c>
      <c r="I35" s="59">
        <v>0.55000000000000004</v>
      </c>
      <c r="J35" s="59">
        <v>0.3</v>
      </c>
      <c r="K35" s="59">
        <v>30.22</v>
      </c>
      <c r="L35" s="59">
        <v>19.55</v>
      </c>
      <c r="M35" s="59">
        <v>78.900000000000006</v>
      </c>
      <c r="N35" s="59">
        <v>67.8</v>
      </c>
      <c r="O35" s="59">
        <v>0</v>
      </c>
      <c r="P35" s="59">
        <v>0.39</v>
      </c>
      <c r="Q35" s="59">
        <v>44.45</v>
      </c>
      <c r="R35" s="197"/>
      <c r="S35" s="197"/>
      <c r="T35" s="197"/>
      <c r="U35" s="197"/>
    </row>
    <row r="36" spans="1:21" s="12" customFormat="1" x14ac:dyDescent="0.25">
      <c r="A36" s="200" t="s">
        <v>2772</v>
      </c>
      <c r="B36" s="59">
        <v>12.85</v>
      </c>
      <c r="C36" s="59">
        <v>33.51</v>
      </c>
      <c r="D36" s="59">
        <v>30.54</v>
      </c>
      <c r="E36" s="59">
        <v>1.63</v>
      </c>
      <c r="F36" s="59">
        <v>1.64</v>
      </c>
      <c r="G36" s="59">
        <v>29.74</v>
      </c>
      <c r="H36" s="59">
        <v>11.35</v>
      </c>
      <c r="I36" s="59">
        <v>0.54</v>
      </c>
      <c r="J36" s="59">
        <v>0.13</v>
      </c>
      <c r="K36" s="59">
        <v>81.28</v>
      </c>
      <c r="L36" s="59">
        <v>20.149999999999999</v>
      </c>
      <c r="M36" s="59">
        <v>75.83</v>
      </c>
      <c r="N36" s="59">
        <v>109.8</v>
      </c>
      <c r="O36" s="59">
        <v>0</v>
      </c>
      <c r="P36" s="59">
        <v>0.4</v>
      </c>
      <c r="Q36" s="59">
        <v>43.54</v>
      </c>
      <c r="R36" s="197"/>
      <c r="S36" s="197"/>
      <c r="T36" s="197"/>
      <c r="U36" s="197"/>
    </row>
    <row r="37" spans="1:21" s="12" customFormat="1" x14ac:dyDescent="0.25">
      <c r="A37" s="200" t="s">
        <v>2773</v>
      </c>
      <c r="B37" s="59">
        <v>13.93</v>
      </c>
      <c r="C37" s="59">
        <v>39.6</v>
      </c>
      <c r="D37" s="59">
        <v>34.770000000000003</v>
      </c>
      <c r="E37" s="59">
        <v>1.8</v>
      </c>
      <c r="F37" s="59">
        <v>1.66</v>
      </c>
      <c r="G37" s="59">
        <v>30.56</v>
      </c>
      <c r="H37" s="59">
        <v>11.35</v>
      </c>
      <c r="I37" s="59">
        <v>0.51</v>
      </c>
      <c r="J37" s="59">
        <v>0.26</v>
      </c>
      <c r="K37" s="59">
        <v>43.54</v>
      </c>
      <c r="L37" s="59">
        <v>21.75</v>
      </c>
      <c r="M37" s="59">
        <v>69.209999999999994</v>
      </c>
      <c r="N37" s="59">
        <v>162.19999999999999</v>
      </c>
      <c r="O37" s="59">
        <v>0</v>
      </c>
      <c r="P37" s="59">
        <v>0.38</v>
      </c>
      <c r="Q37" s="59">
        <v>44.75</v>
      </c>
      <c r="R37" s="197"/>
      <c r="S37" s="197"/>
      <c r="T37" s="197"/>
      <c r="U37" s="197"/>
    </row>
    <row r="38" spans="1:21" s="12" customFormat="1" x14ac:dyDescent="0.25">
      <c r="A38" s="200" t="s">
        <v>2774</v>
      </c>
      <c r="B38" s="59">
        <v>14.93</v>
      </c>
      <c r="C38" s="59">
        <v>42.41</v>
      </c>
      <c r="D38" s="59">
        <v>37.119999999999997</v>
      </c>
      <c r="E38" s="59">
        <v>2.09</v>
      </c>
      <c r="F38" s="59">
        <v>2.11</v>
      </c>
      <c r="G38" s="59">
        <v>30.56</v>
      </c>
      <c r="H38" s="59">
        <v>11.35</v>
      </c>
      <c r="I38" s="59">
        <v>0.52</v>
      </c>
      <c r="J38" s="59">
        <v>0.87</v>
      </c>
      <c r="K38" s="59">
        <v>115.44</v>
      </c>
      <c r="L38" s="59">
        <v>21.73</v>
      </c>
      <c r="M38" s="59">
        <v>68.739999999999995</v>
      </c>
      <c r="N38" s="59">
        <v>224</v>
      </c>
      <c r="O38" s="59">
        <v>0</v>
      </c>
      <c r="P38" s="59">
        <v>0.41</v>
      </c>
      <c r="Q38" s="59">
        <v>44.28</v>
      </c>
      <c r="R38" s="197"/>
      <c r="S38" s="197"/>
      <c r="T38" s="197"/>
      <c r="U38" s="197"/>
    </row>
    <row r="39" spans="1:21" s="12" customFormat="1" x14ac:dyDescent="0.25">
      <c r="A39" s="200" t="s">
        <v>2775</v>
      </c>
      <c r="B39" s="59">
        <v>15.04</v>
      </c>
      <c r="C39" s="59">
        <v>37.94</v>
      </c>
      <c r="D39" s="59">
        <v>34.74</v>
      </c>
      <c r="E39" s="59">
        <v>2.33</v>
      </c>
      <c r="F39" s="59">
        <v>2.1</v>
      </c>
      <c r="G39" s="59">
        <v>30.56</v>
      </c>
      <c r="H39" s="59">
        <v>11.35</v>
      </c>
      <c r="I39" s="59">
        <v>0.53</v>
      </c>
      <c r="J39" s="59">
        <v>0.79</v>
      </c>
      <c r="K39" s="59">
        <v>109.19</v>
      </c>
      <c r="L39" s="59">
        <v>22.05</v>
      </c>
      <c r="M39" s="59">
        <v>66.02</v>
      </c>
      <c r="N39" s="59">
        <v>277.10000000000002</v>
      </c>
      <c r="O39" s="59">
        <v>0</v>
      </c>
      <c r="P39" s="59">
        <v>0.41</v>
      </c>
      <c r="Q39" s="59">
        <v>45.55</v>
      </c>
      <c r="R39" s="197"/>
      <c r="S39" s="197"/>
      <c r="T39" s="197"/>
      <c r="U39" s="197"/>
    </row>
    <row r="40" spans="1:21" s="12" customFormat="1" x14ac:dyDescent="0.25">
      <c r="A40" s="200" t="s">
        <v>2776</v>
      </c>
      <c r="B40" s="59">
        <v>15.04</v>
      </c>
      <c r="C40" s="59">
        <v>36.520000000000003</v>
      </c>
      <c r="D40" s="59">
        <v>33.96</v>
      </c>
      <c r="E40" s="59">
        <v>0.79</v>
      </c>
      <c r="F40" s="59">
        <v>2.54</v>
      </c>
      <c r="G40" s="59">
        <v>33.619999999999997</v>
      </c>
      <c r="H40" s="59">
        <v>13.49</v>
      </c>
      <c r="I40" s="59">
        <v>0.53</v>
      </c>
      <c r="J40" s="59">
        <v>0.99</v>
      </c>
      <c r="K40" s="59">
        <v>114.61</v>
      </c>
      <c r="L40" s="59">
        <v>22.58</v>
      </c>
      <c r="M40" s="59">
        <v>63.96</v>
      </c>
      <c r="N40" s="59">
        <v>334.7</v>
      </c>
      <c r="O40" s="59">
        <v>0</v>
      </c>
      <c r="P40" s="59">
        <v>0.42</v>
      </c>
      <c r="Q40" s="59">
        <v>46.26</v>
      </c>
      <c r="R40" s="197"/>
      <c r="S40" s="197"/>
      <c r="T40" s="197"/>
      <c r="U40" s="197"/>
    </row>
    <row r="41" spans="1:21" s="12" customFormat="1" x14ac:dyDescent="0.25">
      <c r="A41" s="200" t="s">
        <v>2777</v>
      </c>
      <c r="B41" s="59">
        <v>14.82</v>
      </c>
      <c r="C41" s="59">
        <v>35.659999999999997</v>
      </c>
      <c r="D41" s="59">
        <v>33.31</v>
      </c>
      <c r="E41" s="59">
        <v>2.13</v>
      </c>
      <c r="F41" s="59">
        <v>2.34</v>
      </c>
      <c r="G41" s="59">
        <v>33.76</v>
      </c>
      <c r="H41" s="59">
        <v>13.83</v>
      </c>
      <c r="I41" s="59">
        <v>0.53</v>
      </c>
      <c r="J41" s="59">
        <v>0.65</v>
      </c>
      <c r="K41" s="59">
        <v>109.8</v>
      </c>
      <c r="L41" s="59">
        <v>22.81</v>
      </c>
      <c r="M41" s="59">
        <v>63.61</v>
      </c>
      <c r="N41" s="59">
        <v>394.3</v>
      </c>
      <c r="O41" s="59">
        <v>0</v>
      </c>
      <c r="P41" s="59">
        <v>0.41</v>
      </c>
      <c r="Q41" s="59">
        <v>46.69</v>
      </c>
      <c r="R41" s="197"/>
      <c r="S41" s="197"/>
      <c r="T41" s="197"/>
      <c r="U41" s="197"/>
    </row>
    <row r="42" spans="1:21" s="12" customFormat="1" x14ac:dyDescent="0.25">
      <c r="A42" s="200" t="s">
        <v>2778</v>
      </c>
      <c r="B42" s="59">
        <v>14.53</v>
      </c>
      <c r="C42" s="59">
        <v>35.340000000000003</v>
      </c>
      <c r="D42" s="59">
        <v>32.9</v>
      </c>
      <c r="E42" s="59">
        <v>2.09</v>
      </c>
      <c r="F42" s="59">
        <v>2.64</v>
      </c>
      <c r="G42" s="59">
        <v>33.76</v>
      </c>
      <c r="H42" s="59">
        <v>13.83</v>
      </c>
      <c r="I42" s="59">
        <v>0.53</v>
      </c>
      <c r="J42" s="59">
        <v>0.19</v>
      </c>
      <c r="K42" s="59">
        <v>92.62</v>
      </c>
      <c r="L42" s="59">
        <v>24.45</v>
      </c>
      <c r="M42" s="59">
        <v>58.92</v>
      </c>
      <c r="N42" s="59">
        <v>438.3</v>
      </c>
      <c r="O42" s="59">
        <v>0</v>
      </c>
      <c r="P42" s="59">
        <v>0.42</v>
      </c>
      <c r="Q42" s="59">
        <v>47.94</v>
      </c>
      <c r="R42" s="197"/>
      <c r="S42" s="197"/>
      <c r="T42" s="197"/>
      <c r="U42" s="197"/>
    </row>
    <row r="43" spans="1:21" s="12" customFormat="1" x14ac:dyDescent="0.25">
      <c r="A43" s="200" t="s">
        <v>2779</v>
      </c>
      <c r="B43" s="59">
        <v>14.21</v>
      </c>
      <c r="C43" s="59">
        <v>34.75</v>
      </c>
      <c r="D43" s="59">
        <v>32.31</v>
      </c>
      <c r="E43" s="59">
        <v>2.54</v>
      </c>
      <c r="F43" s="59">
        <v>3.32</v>
      </c>
      <c r="G43" s="59">
        <v>33.76</v>
      </c>
      <c r="H43" s="59">
        <v>13.83</v>
      </c>
      <c r="I43" s="59">
        <v>0.53</v>
      </c>
      <c r="J43" s="59">
        <v>0.15</v>
      </c>
      <c r="K43" s="59">
        <v>28.22</v>
      </c>
      <c r="L43" s="59">
        <v>25.64</v>
      </c>
      <c r="M43" s="59">
        <v>55.77</v>
      </c>
      <c r="N43" s="59">
        <v>498.1</v>
      </c>
      <c r="O43" s="59">
        <v>0</v>
      </c>
      <c r="P43" s="59">
        <v>0.42</v>
      </c>
      <c r="Q43" s="59">
        <v>48.88</v>
      </c>
      <c r="R43" s="197"/>
      <c r="S43" s="197"/>
      <c r="T43" s="197"/>
      <c r="U43" s="197"/>
    </row>
    <row r="44" spans="1:21" s="12" customFormat="1" x14ac:dyDescent="0.25">
      <c r="A44" s="200" t="s">
        <v>2780</v>
      </c>
      <c r="B44" s="59">
        <v>14.65</v>
      </c>
      <c r="C44" s="59">
        <v>39.049999999999997</v>
      </c>
      <c r="D44" s="59">
        <v>35.04</v>
      </c>
      <c r="E44" s="59">
        <v>2.68</v>
      </c>
      <c r="F44" s="59">
        <v>4.18</v>
      </c>
      <c r="G44" s="59">
        <v>32.68</v>
      </c>
      <c r="H44" s="59">
        <v>12.78</v>
      </c>
      <c r="I44" s="59">
        <v>0.54</v>
      </c>
      <c r="J44" s="59">
        <v>0.43</v>
      </c>
      <c r="K44" s="59">
        <v>59.4</v>
      </c>
      <c r="L44" s="59">
        <v>27.48</v>
      </c>
      <c r="M44" s="59">
        <v>50.97</v>
      </c>
      <c r="N44" s="59">
        <v>562.79999999999995</v>
      </c>
      <c r="O44" s="59">
        <v>0</v>
      </c>
      <c r="P44" s="59">
        <v>0.44</v>
      </c>
      <c r="Q44" s="59">
        <v>45.59</v>
      </c>
      <c r="R44" s="197"/>
      <c r="S44" s="197"/>
      <c r="T44" s="197"/>
      <c r="U44" s="197"/>
    </row>
    <row r="45" spans="1:21" s="12" customFormat="1" x14ac:dyDescent="0.25">
      <c r="A45" s="200" t="s">
        <v>2781</v>
      </c>
      <c r="B45" s="59">
        <v>14.79</v>
      </c>
      <c r="C45" s="59">
        <v>40.340000000000003</v>
      </c>
      <c r="D45" s="59">
        <v>35.86</v>
      </c>
      <c r="E45" s="59">
        <v>2.21</v>
      </c>
      <c r="F45" s="59">
        <v>3.38</v>
      </c>
      <c r="G45" s="59">
        <v>32.630000000000003</v>
      </c>
      <c r="H45" s="59">
        <v>12.71</v>
      </c>
      <c r="I45" s="59">
        <v>0.54</v>
      </c>
      <c r="J45" s="59">
        <v>0.61</v>
      </c>
      <c r="K45" s="59">
        <v>69.75</v>
      </c>
      <c r="L45" s="59">
        <v>26.25</v>
      </c>
      <c r="M45" s="59">
        <v>55.02</v>
      </c>
      <c r="N45" s="59">
        <v>614.5</v>
      </c>
      <c r="O45" s="59">
        <v>0</v>
      </c>
      <c r="P45" s="59">
        <v>0.44</v>
      </c>
      <c r="Q45" s="59">
        <v>48.21</v>
      </c>
      <c r="R45" s="197"/>
      <c r="S45" s="197"/>
      <c r="T45" s="197"/>
      <c r="U45" s="197"/>
    </row>
    <row r="46" spans="1:21" s="12" customFormat="1" x14ac:dyDescent="0.25">
      <c r="A46" s="200" t="s">
        <v>2782</v>
      </c>
      <c r="B46" s="59">
        <v>13.78</v>
      </c>
      <c r="C46" s="59">
        <v>32.549999999999997</v>
      </c>
      <c r="D46" s="59">
        <v>30.75</v>
      </c>
      <c r="E46" s="59">
        <v>1.86</v>
      </c>
      <c r="F46" s="59">
        <v>3.83</v>
      </c>
      <c r="G46" s="59">
        <v>32.630000000000003</v>
      </c>
      <c r="H46" s="59">
        <v>12.71</v>
      </c>
      <c r="I46" s="59">
        <v>0.55000000000000004</v>
      </c>
      <c r="J46" s="59">
        <v>0.41</v>
      </c>
      <c r="K46" s="59">
        <v>106.79</v>
      </c>
      <c r="L46" s="59">
        <v>27.39</v>
      </c>
      <c r="M46" s="59">
        <v>51.07</v>
      </c>
      <c r="N46" s="59">
        <v>660.6</v>
      </c>
      <c r="O46" s="59">
        <v>0</v>
      </c>
      <c r="P46" s="59">
        <v>0.45</v>
      </c>
      <c r="Q46" s="59">
        <v>50.22</v>
      </c>
      <c r="R46" s="197"/>
      <c r="S46" s="197"/>
      <c r="T46" s="197"/>
      <c r="U46" s="197"/>
    </row>
    <row r="47" spans="1:21" s="12" customFormat="1" x14ac:dyDescent="0.25">
      <c r="A47" s="200" t="s">
        <v>2783</v>
      </c>
      <c r="B47" s="59">
        <v>12.36</v>
      </c>
      <c r="C47" s="59">
        <v>31.9</v>
      </c>
      <c r="D47" s="59">
        <v>29.25</v>
      </c>
      <c r="E47" s="59">
        <v>2.17</v>
      </c>
      <c r="F47" s="59">
        <v>3.46</v>
      </c>
      <c r="G47" s="59">
        <v>32.630000000000003</v>
      </c>
      <c r="H47" s="59">
        <v>12.71</v>
      </c>
      <c r="I47" s="59">
        <v>0.56000000000000005</v>
      </c>
      <c r="J47" s="59">
        <v>0.99</v>
      </c>
      <c r="K47" s="59">
        <v>124.08</v>
      </c>
      <c r="L47" s="59">
        <v>26.1</v>
      </c>
      <c r="M47" s="59">
        <v>53.94</v>
      </c>
      <c r="N47" s="59">
        <v>724.1</v>
      </c>
      <c r="O47" s="59">
        <v>0</v>
      </c>
      <c r="P47" s="59">
        <v>0.46</v>
      </c>
      <c r="Q47" s="59">
        <v>44.19</v>
      </c>
      <c r="R47" s="197"/>
      <c r="S47" s="197"/>
      <c r="T47" s="197"/>
      <c r="U47" s="197"/>
    </row>
    <row r="48" spans="1:21" s="12" customFormat="1" x14ac:dyDescent="0.25">
      <c r="A48" s="200" t="s">
        <v>2784</v>
      </c>
      <c r="B48" s="59">
        <v>6.09</v>
      </c>
      <c r="C48" s="59">
        <v>42.24</v>
      </c>
      <c r="D48" s="59">
        <v>29.94</v>
      </c>
      <c r="E48" s="59">
        <v>2.87</v>
      </c>
      <c r="F48" s="59">
        <v>26.8</v>
      </c>
      <c r="G48" s="59">
        <v>21.95</v>
      </c>
      <c r="H48" s="59">
        <v>12.5</v>
      </c>
      <c r="I48" s="59">
        <v>0.55000000000000004</v>
      </c>
      <c r="J48" s="59">
        <v>1.1100000000000001</v>
      </c>
      <c r="K48" s="59">
        <v>112.11</v>
      </c>
      <c r="L48" s="59">
        <v>26.07</v>
      </c>
      <c r="M48" s="59">
        <v>54.16</v>
      </c>
      <c r="N48" s="59">
        <v>760.2</v>
      </c>
      <c r="O48" s="59">
        <v>0</v>
      </c>
      <c r="P48" s="59">
        <v>0.44</v>
      </c>
      <c r="Q48" s="59">
        <v>43.67</v>
      </c>
      <c r="R48" s="197"/>
      <c r="S48" s="197"/>
      <c r="T48" s="197"/>
      <c r="U48" s="197"/>
    </row>
    <row r="49" spans="1:21" s="12" customFormat="1" x14ac:dyDescent="0.25">
      <c r="A49" s="200" t="s">
        <v>2785</v>
      </c>
      <c r="B49" s="59">
        <v>2.44</v>
      </c>
      <c r="C49" s="59">
        <v>33.619999999999997</v>
      </c>
      <c r="D49" s="59">
        <v>22.25</v>
      </c>
      <c r="E49" s="59">
        <v>2.11</v>
      </c>
      <c r="F49" s="59">
        <v>19.62</v>
      </c>
      <c r="G49" s="59">
        <v>21.58</v>
      </c>
      <c r="H49" s="59">
        <v>12.49</v>
      </c>
      <c r="I49" s="59">
        <v>0.53</v>
      </c>
      <c r="J49" s="59">
        <v>0.7</v>
      </c>
      <c r="K49" s="59">
        <v>140.36000000000001</v>
      </c>
      <c r="L49" s="59">
        <v>27.65</v>
      </c>
      <c r="M49" s="59">
        <v>50.13</v>
      </c>
      <c r="N49" s="59">
        <v>789.3</v>
      </c>
      <c r="O49" s="59">
        <v>0</v>
      </c>
      <c r="P49" s="59">
        <v>0.41</v>
      </c>
      <c r="Q49" s="59">
        <v>36.39</v>
      </c>
      <c r="R49" s="197"/>
      <c r="S49" s="197"/>
      <c r="T49" s="197"/>
      <c r="U49" s="197"/>
    </row>
    <row r="50" spans="1:21" s="12" customFormat="1" x14ac:dyDescent="0.25">
      <c r="A50" s="200" t="s">
        <v>2786</v>
      </c>
      <c r="B50" s="59">
        <v>2.74</v>
      </c>
      <c r="C50" s="59">
        <v>31.67</v>
      </c>
      <c r="D50" s="59">
        <v>21.41</v>
      </c>
      <c r="E50" s="59">
        <v>1.95</v>
      </c>
      <c r="F50" s="59">
        <v>11.01</v>
      </c>
      <c r="G50" s="59">
        <v>21.58</v>
      </c>
      <c r="H50" s="59">
        <v>12.49</v>
      </c>
      <c r="I50" s="59">
        <v>0.48</v>
      </c>
      <c r="J50" s="59">
        <v>0.3</v>
      </c>
      <c r="K50" s="59">
        <v>63.55</v>
      </c>
      <c r="L50" s="59">
        <v>29.02</v>
      </c>
      <c r="M50" s="59">
        <v>47.13</v>
      </c>
      <c r="N50" s="59">
        <v>803.9</v>
      </c>
      <c r="O50" s="59">
        <v>0</v>
      </c>
      <c r="P50" s="59">
        <v>0.42</v>
      </c>
      <c r="Q50" s="59">
        <v>32.79</v>
      </c>
      <c r="R50" s="197"/>
      <c r="S50" s="197"/>
      <c r="T50" s="197"/>
      <c r="U50" s="197"/>
    </row>
    <row r="51" spans="1:21" s="12" customFormat="1" x14ac:dyDescent="0.25">
      <c r="A51" s="200" t="s">
        <v>2787</v>
      </c>
      <c r="B51" s="59">
        <v>4.22</v>
      </c>
      <c r="C51" s="59">
        <v>34.22</v>
      </c>
      <c r="D51" s="59">
        <v>24.01</v>
      </c>
      <c r="E51" s="59">
        <v>1.92</v>
      </c>
      <c r="F51" s="59">
        <v>10.78</v>
      </c>
      <c r="G51" s="59">
        <v>21.58</v>
      </c>
      <c r="H51" s="59">
        <v>12.49</v>
      </c>
      <c r="I51" s="59">
        <v>0.45</v>
      </c>
      <c r="J51" s="59">
        <v>0.5</v>
      </c>
      <c r="K51" s="59">
        <v>130.91</v>
      </c>
      <c r="L51" s="59">
        <v>29.68</v>
      </c>
      <c r="M51" s="59">
        <v>44.36</v>
      </c>
      <c r="N51" s="59">
        <v>832.3</v>
      </c>
      <c r="O51" s="59">
        <v>0</v>
      </c>
      <c r="P51" s="59">
        <v>0.43</v>
      </c>
      <c r="Q51" s="59">
        <v>32.33</v>
      </c>
      <c r="R51" s="197"/>
      <c r="S51" s="197"/>
      <c r="T51" s="197"/>
      <c r="U51" s="197"/>
    </row>
    <row r="52" spans="1:21" s="12" customFormat="1" x14ac:dyDescent="0.25">
      <c r="A52" s="200" t="s">
        <v>2788</v>
      </c>
      <c r="B52" s="59">
        <v>4.76</v>
      </c>
      <c r="C52" s="59">
        <v>40.33</v>
      </c>
      <c r="D52" s="59">
        <v>27.82</v>
      </c>
      <c r="E52" s="59">
        <v>0.19</v>
      </c>
      <c r="F52" s="59">
        <v>11.37</v>
      </c>
      <c r="G52" s="59">
        <v>21.58</v>
      </c>
      <c r="H52" s="59">
        <v>12.49</v>
      </c>
      <c r="I52" s="59">
        <v>0.45</v>
      </c>
      <c r="J52" s="59">
        <v>0.22</v>
      </c>
      <c r="K52" s="59">
        <v>114.15</v>
      </c>
      <c r="L52" s="59">
        <v>30.28</v>
      </c>
      <c r="M52" s="59">
        <v>42.8</v>
      </c>
      <c r="N52" s="59">
        <v>851.5</v>
      </c>
      <c r="O52" s="59">
        <v>0</v>
      </c>
      <c r="P52" s="59">
        <v>0.45</v>
      </c>
      <c r="Q52" s="59">
        <v>37.15</v>
      </c>
      <c r="R52" s="197"/>
      <c r="S52" s="197"/>
      <c r="T52" s="197"/>
      <c r="U52" s="197"/>
    </row>
    <row r="53" spans="1:21" s="12" customFormat="1" x14ac:dyDescent="0.25">
      <c r="A53" s="200" t="s">
        <v>2789</v>
      </c>
      <c r="B53" s="59">
        <v>4.1500000000000004</v>
      </c>
      <c r="C53" s="59">
        <v>33.130000000000003</v>
      </c>
      <c r="D53" s="59">
        <v>23.36</v>
      </c>
      <c r="E53" s="59">
        <v>0.01</v>
      </c>
      <c r="F53" s="59">
        <v>7.69</v>
      </c>
      <c r="G53" s="59">
        <v>21.58</v>
      </c>
      <c r="H53" s="59">
        <v>12.49</v>
      </c>
      <c r="I53" s="59">
        <v>0.46</v>
      </c>
      <c r="J53" s="59">
        <v>0.1</v>
      </c>
      <c r="K53" s="59">
        <v>165.04</v>
      </c>
      <c r="L53" s="59">
        <v>31.52</v>
      </c>
      <c r="M53" s="59">
        <v>40.159999999999997</v>
      </c>
      <c r="N53" s="59">
        <v>871.7</v>
      </c>
      <c r="O53" s="59">
        <v>0</v>
      </c>
      <c r="P53" s="59">
        <v>0.45</v>
      </c>
      <c r="Q53" s="59">
        <v>39.14</v>
      </c>
      <c r="R53" s="197"/>
      <c r="S53" s="197"/>
      <c r="T53" s="197"/>
      <c r="U53" s="197"/>
    </row>
    <row r="54" spans="1:21" s="12" customFormat="1" x14ac:dyDescent="0.25">
      <c r="A54" s="200" t="s">
        <v>2790</v>
      </c>
      <c r="B54" s="59">
        <v>3.55</v>
      </c>
      <c r="C54" s="59">
        <v>39.049999999999997</v>
      </c>
      <c r="D54" s="59">
        <v>26.13</v>
      </c>
      <c r="E54" s="59">
        <v>52.42</v>
      </c>
      <c r="F54" s="59">
        <v>12.95</v>
      </c>
      <c r="G54" s="59">
        <v>21.58</v>
      </c>
      <c r="H54" s="59">
        <v>12.49</v>
      </c>
      <c r="I54" s="59">
        <v>0.47</v>
      </c>
      <c r="J54" s="59">
        <v>0.84</v>
      </c>
      <c r="K54" s="59">
        <v>167.85</v>
      </c>
      <c r="L54" s="59">
        <v>30.15</v>
      </c>
      <c r="M54" s="59">
        <v>42.49</v>
      </c>
      <c r="N54" s="59">
        <v>892.7</v>
      </c>
      <c r="O54" s="59">
        <v>0</v>
      </c>
      <c r="P54" s="59">
        <v>0.42</v>
      </c>
      <c r="Q54" s="59">
        <v>38.04</v>
      </c>
      <c r="R54" s="197"/>
      <c r="S54" s="197"/>
      <c r="T54" s="197"/>
      <c r="U54" s="197"/>
    </row>
    <row r="55" spans="1:21" s="12" customFormat="1" x14ac:dyDescent="0.25">
      <c r="A55" s="200" t="s">
        <v>2791</v>
      </c>
      <c r="B55" s="59">
        <v>2.95</v>
      </c>
      <c r="C55" s="59">
        <v>31.06</v>
      </c>
      <c r="D55" s="59">
        <v>21.25</v>
      </c>
      <c r="E55" s="59">
        <v>157.94999999999999</v>
      </c>
      <c r="F55" s="59">
        <v>15.47</v>
      </c>
      <c r="G55" s="59">
        <v>21.58</v>
      </c>
      <c r="H55" s="59">
        <v>12.49</v>
      </c>
      <c r="I55" s="59">
        <v>0.48</v>
      </c>
      <c r="J55" s="59">
        <v>0.7</v>
      </c>
      <c r="K55" s="59">
        <v>190.26</v>
      </c>
      <c r="L55" s="59">
        <v>29.85</v>
      </c>
      <c r="M55" s="59">
        <v>43.97</v>
      </c>
      <c r="N55" s="59">
        <v>896.2</v>
      </c>
      <c r="O55" s="59">
        <v>0</v>
      </c>
      <c r="P55" s="59">
        <v>0.43</v>
      </c>
      <c r="Q55" s="59">
        <v>44.58</v>
      </c>
      <c r="R55" s="197"/>
      <c r="S55" s="197"/>
      <c r="T55" s="197"/>
      <c r="U55" s="197"/>
    </row>
    <row r="56" spans="1:21" s="12" customFormat="1" x14ac:dyDescent="0.25">
      <c r="A56" s="200" t="s">
        <v>2792</v>
      </c>
      <c r="B56" s="59">
        <v>2.58</v>
      </c>
      <c r="C56" s="59">
        <v>24.41</v>
      </c>
      <c r="D56" s="59">
        <v>17.28</v>
      </c>
      <c r="E56" s="59">
        <v>6.74</v>
      </c>
      <c r="F56" s="59">
        <v>14.46</v>
      </c>
      <c r="G56" s="59">
        <v>21.58</v>
      </c>
      <c r="H56" s="59">
        <v>12.49</v>
      </c>
      <c r="I56" s="59">
        <v>0.49</v>
      </c>
      <c r="J56" s="59">
        <v>0.8</v>
      </c>
      <c r="K56" s="59">
        <v>164.16</v>
      </c>
      <c r="L56" s="59">
        <v>29.6</v>
      </c>
      <c r="M56" s="59">
        <v>45.33</v>
      </c>
      <c r="N56" s="59">
        <v>897.7</v>
      </c>
      <c r="O56" s="59">
        <v>0</v>
      </c>
      <c r="P56" s="59">
        <v>0.4</v>
      </c>
      <c r="Q56" s="59">
        <v>43.93</v>
      </c>
      <c r="R56" s="197"/>
      <c r="S56" s="197"/>
      <c r="T56" s="197"/>
      <c r="U56" s="197"/>
    </row>
    <row r="57" spans="1:21" s="12" customFormat="1" x14ac:dyDescent="0.25">
      <c r="A57" s="200" t="s">
        <v>2793</v>
      </c>
      <c r="B57" s="59">
        <v>2.3199999999999998</v>
      </c>
      <c r="C57" s="59">
        <v>22.72</v>
      </c>
      <c r="D57" s="59">
        <v>16.14</v>
      </c>
      <c r="E57" s="59">
        <v>3.67</v>
      </c>
      <c r="F57" s="59">
        <v>14.16</v>
      </c>
      <c r="G57" s="59">
        <v>21.58</v>
      </c>
      <c r="H57" s="59">
        <v>12.49</v>
      </c>
      <c r="I57" s="59">
        <v>0.5</v>
      </c>
      <c r="J57" s="59">
        <v>0.28999999999999998</v>
      </c>
      <c r="K57" s="59">
        <v>225.18</v>
      </c>
      <c r="L57" s="59">
        <v>30.39</v>
      </c>
      <c r="M57" s="59">
        <v>43.38</v>
      </c>
      <c r="N57" s="59">
        <v>899.3</v>
      </c>
      <c r="O57" s="59">
        <v>0</v>
      </c>
      <c r="P57" s="59">
        <v>1.57</v>
      </c>
      <c r="Q57" s="59">
        <v>41.94</v>
      </c>
      <c r="R57" s="197"/>
      <c r="S57" s="197"/>
      <c r="T57" s="197"/>
      <c r="U57" s="197"/>
    </row>
    <row r="58" spans="1:21" s="12" customFormat="1" x14ac:dyDescent="0.25">
      <c r="A58" s="200" t="s">
        <v>2794</v>
      </c>
      <c r="B58" s="59">
        <v>5.41</v>
      </c>
      <c r="C58" s="59">
        <v>25.45</v>
      </c>
      <c r="D58" s="59">
        <v>20.12</v>
      </c>
      <c r="E58" s="59">
        <v>5.17</v>
      </c>
      <c r="F58" s="59">
        <v>24.55</v>
      </c>
      <c r="G58" s="59">
        <v>0.25</v>
      </c>
      <c r="H58" s="59">
        <v>0.28999999999999998</v>
      </c>
      <c r="I58" s="59">
        <v>0.52</v>
      </c>
      <c r="J58" s="59">
        <v>0.34</v>
      </c>
      <c r="K58" s="59">
        <v>32.96</v>
      </c>
      <c r="L58" s="59">
        <v>31.96</v>
      </c>
      <c r="M58" s="59">
        <v>40.14</v>
      </c>
      <c r="N58" s="59">
        <v>890.4</v>
      </c>
      <c r="O58" s="59">
        <v>0</v>
      </c>
      <c r="P58" s="59">
        <v>0.37</v>
      </c>
      <c r="Q58" s="59">
        <v>40.35</v>
      </c>
      <c r="R58" s="197"/>
      <c r="S58" s="197"/>
      <c r="T58" s="197"/>
      <c r="U58" s="197"/>
    </row>
    <row r="59" spans="1:21" s="12" customFormat="1" x14ac:dyDescent="0.25">
      <c r="A59" s="200" t="s">
        <v>2795</v>
      </c>
      <c r="B59" s="59">
        <v>2.88</v>
      </c>
      <c r="C59" s="59">
        <v>31.5</v>
      </c>
      <c r="D59" s="59">
        <v>21.44</v>
      </c>
      <c r="E59" s="59">
        <v>3.69</v>
      </c>
      <c r="F59" s="59">
        <v>6.48</v>
      </c>
      <c r="G59" s="213" t="s">
        <v>40</v>
      </c>
      <c r="H59" s="213" t="s">
        <v>40</v>
      </c>
      <c r="I59" s="59">
        <v>0.51</v>
      </c>
      <c r="J59" s="59">
        <v>0.46</v>
      </c>
      <c r="K59" s="59">
        <v>133.62</v>
      </c>
      <c r="L59" s="59">
        <v>30.98</v>
      </c>
      <c r="M59" s="59">
        <v>42.07</v>
      </c>
      <c r="N59" s="59">
        <v>841.3</v>
      </c>
      <c r="O59" s="59">
        <v>0</v>
      </c>
      <c r="P59" s="59">
        <v>0.43</v>
      </c>
      <c r="Q59" s="59">
        <v>40.67</v>
      </c>
      <c r="R59" s="197"/>
      <c r="S59" s="197"/>
      <c r="T59" s="197"/>
      <c r="U59" s="197"/>
    </row>
    <row r="60" spans="1:21" s="12" customFormat="1" x14ac:dyDescent="0.25">
      <c r="A60" s="200" t="s">
        <v>2796</v>
      </c>
      <c r="B60" s="59">
        <v>2.8</v>
      </c>
      <c r="C60" s="59">
        <v>28.01</v>
      </c>
      <c r="D60" s="59">
        <v>19.440000000000001</v>
      </c>
      <c r="E60" s="59">
        <v>3.23</v>
      </c>
      <c r="F60" s="59">
        <v>10.42</v>
      </c>
      <c r="G60" s="213" t="s">
        <v>40</v>
      </c>
      <c r="H60" s="213" t="s">
        <v>40</v>
      </c>
      <c r="I60" s="59">
        <v>0.51</v>
      </c>
      <c r="J60" s="59">
        <v>0.79</v>
      </c>
      <c r="K60" s="59">
        <v>86.03</v>
      </c>
      <c r="L60" s="59">
        <v>30.47</v>
      </c>
      <c r="M60" s="59">
        <v>43.81</v>
      </c>
      <c r="N60" s="59">
        <v>835.9</v>
      </c>
      <c r="O60" s="59">
        <v>0</v>
      </c>
      <c r="P60" s="59">
        <v>0.41</v>
      </c>
      <c r="Q60" s="59">
        <v>45.15</v>
      </c>
      <c r="R60" s="197"/>
      <c r="S60" s="197"/>
      <c r="T60" s="197"/>
      <c r="U60" s="197"/>
    </row>
    <row r="61" spans="1:21" s="12" customFormat="1" x14ac:dyDescent="0.25">
      <c r="A61" s="200" t="s">
        <v>2797</v>
      </c>
      <c r="B61" s="59">
        <v>2.77</v>
      </c>
      <c r="C61" s="59">
        <v>23.91</v>
      </c>
      <c r="D61" s="59">
        <v>17.149999999999999</v>
      </c>
      <c r="E61" s="59">
        <v>2.9</v>
      </c>
      <c r="F61" s="59">
        <v>10.3</v>
      </c>
      <c r="G61" s="213" t="s">
        <v>40</v>
      </c>
      <c r="H61" s="213" t="s">
        <v>40</v>
      </c>
      <c r="I61" s="59">
        <v>0.52</v>
      </c>
      <c r="J61" s="59">
        <v>0.13</v>
      </c>
      <c r="K61" s="59">
        <v>350.72</v>
      </c>
      <c r="L61" s="59">
        <v>32.729999999999997</v>
      </c>
      <c r="M61" s="59">
        <v>37.74</v>
      </c>
      <c r="N61" s="59">
        <v>824.6</v>
      </c>
      <c r="O61" s="59">
        <v>0</v>
      </c>
      <c r="P61" s="59">
        <v>0.43</v>
      </c>
      <c r="Q61" s="59">
        <v>43.15</v>
      </c>
      <c r="R61" s="197"/>
      <c r="S61" s="197"/>
      <c r="T61" s="197"/>
      <c r="U61" s="197"/>
    </row>
    <row r="62" spans="1:21" s="12" customFormat="1" x14ac:dyDescent="0.25">
      <c r="A62" s="200" t="s">
        <v>2798</v>
      </c>
      <c r="B62" s="59">
        <v>2.54</v>
      </c>
      <c r="C62" s="59">
        <v>22.26</v>
      </c>
      <c r="D62" s="59">
        <v>16.059999999999999</v>
      </c>
      <c r="E62" s="59">
        <v>3.82</v>
      </c>
      <c r="F62" s="59">
        <v>8.8000000000000007</v>
      </c>
      <c r="G62" s="59">
        <v>39.520000000000003</v>
      </c>
      <c r="H62" s="59">
        <v>19.22</v>
      </c>
      <c r="I62" s="59">
        <v>0.51</v>
      </c>
      <c r="J62" s="59">
        <v>0.17</v>
      </c>
      <c r="K62" s="59">
        <v>298.39</v>
      </c>
      <c r="L62" s="59">
        <v>32.49</v>
      </c>
      <c r="M62" s="59">
        <v>38.07</v>
      </c>
      <c r="N62" s="59">
        <v>821</v>
      </c>
      <c r="O62" s="59">
        <v>0</v>
      </c>
      <c r="P62" s="59">
        <v>0.45</v>
      </c>
      <c r="Q62" s="59">
        <v>40.799999999999997</v>
      </c>
      <c r="R62" s="197"/>
      <c r="S62" s="197"/>
      <c r="T62" s="197"/>
      <c r="U62" s="197"/>
    </row>
    <row r="63" spans="1:21" s="12" customFormat="1" x14ac:dyDescent="0.25">
      <c r="A63" s="200" t="s">
        <v>2799</v>
      </c>
      <c r="B63" s="59">
        <v>4.33</v>
      </c>
      <c r="C63" s="59">
        <v>23.4</v>
      </c>
      <c r="D63" s="59">
        <v>18.13</v>
      </c>
      <c r="E63" s="59">
        <v>3.24</v>
      </c>
      <c r="F63" s="59">
        <v>9.8000000000000007</v>
      </c>
      <c r="G63" s="59">
        <v>39.520000000000003</v>
      </c>
      <c r="H63" s="59">
        <v>19.22</v>
      </c>
      <c r="I63" s="59">
        <v>0.51</v>
      </c>
      <c r="J63" s="59">
        <v>0.38</v>
      </c>
      <c r="K63" s="59">
        <v>157.24</v>
      </c>
      <c r="L63" s="59">
        <v>32.299999999999997</v>
      </c>
      <c r="M63" s="59">
        <v>35.46</v>
      </c>
      <c r="N63" s="59">
        <v>796.9</v>
      </c>
      <c r="O63" s="59">
        <v>0</v>
      </c>
      <c r="P63" s="59">
        <v>0.46</v>
      </c>
      <c r="Q63" s="59">
        <v>40.200000000000003</v>
      </c>
      <c r="R63" s="197"/>
      <c r="S63" s="197"/>
      <c r="T63" s="197"/>
      <c r="U63" s="197"/>
    </row>
    <row r="64" spans="1:21" s="12" customFormat="1" x14ac:dyDescent="0.25">
      <c r="A64" s="200" t="s">
        <v>2800</v>
      </c>
      <c r="B64" s="59">
        <v>3.99</v>
      </c>
      <c r="C64" s="59">
        <v>26.25</v>
      </c>
      <c r="D64" s="59">
        <v>19.43</v>
      </c>
      <c r="E64" s="59">
        <v>2.91</v>
      </c>
      <c r="F64" s="59">
        <v>9.99</v>
      </c>
      <c r="G64" s="59">
        <v>39.520000000000003</v>
      </c>
      <c r="H64" s="59">
        <v>19.22</v>
      </c>
      <c r="I64" s="59">
        <v>0.52</v>
      </c>
      <c r="J64" s="59">
        <v>1.1000000000000001</v>
      </c>
      <c r="K64" s="59">
        <v>191.65</v>
      </c>
      <c r="L64" s="59">
        <v>31.46</v>
      </c>
      <c r="M64" s="59">
        <v>35.659999999999997</v>
      </c>
      <c r="N64" s="59">
        <v>774.5</v>
      </c>
      <c r="O64" s="59">
        <v>0</v>
      </c>
      <c r="P64" s="59">
        <v>0.44</v>
      </c>
      <c r="Q64" s="59">
        <v>39.49</v>
      </c>
      <c r="R64" s="197"/>
      <c r="S64" s="197"/>
      <c r="T64" s="197"/>
      <c r="U64" s="197"/>
    </row>
    <row r="65" spans="1:21" s="12" customFormat="1" x14ac:dyDescent="0.25">
      <c r="A65" s="200" t="s">
        <v>2801</v>
      </c>
      <c r="B65" s="59">
        <v>2.54</v>
      </c>
      <c r="C65" s="59">
        <v>22.25</v>
      </c>
      <c r="D65" s="59">
        <v>16.059999999999999</v>
      </c>
      <c r="E65" s="59">
        <v>2.96</v>
      </c>
      <c r="F65" s="59">
        <v>10.44</v>
      </c>
      <c r="G65" s="59">
        <v>39.520000000000003</v>
      </c>
      <c r="H65" s="59">
        <v>19.22</v>
      </c>
      <c r="I65" s="59">
        <v>0.52</v>
      </c>
      <c r="J65" s="59">
        <v>0.62</v>
      </c>
      <c r="K65" s="59">
        <v>192.17</v>
      </c>
      <c r="L65" s="59">
        <v>31.34</v>
      </c>
      <c r="M65" s="59">
        <v>34.36</v>
      </c>
      <c r="N65" s="59">
        <v>718.6</v>
      </c>
      <c r="O65" s="59">
        <v>0</v>
      </c>
      <c r="P65" s="59">
        <v>0.43</v>
      </c>
      <c r="Q65" s="59">
        <v>39.43</v>
      </c>
      <c r="R65" s="197"/>
      <c r="S65" s="197"/>
      <c r="T65" s="197"/>
      <c r="U65" s="197"/>
    </row>
    <row r="66" spans="1:21" s="12" customFormat="1" x14ac:dyDescent="0.25">
      <c r="A66" s="200" t="s">
        <v>2802</v>
      </c>
      <c r="B66" s="59">
        <v>2.12</v>
      </c>
      <c r="C66" s="59">
        <v>33.33</v>
      </c>
      <c r="D66" s="59">
        <v>21.83</v>
      </c>
      <c r="E66" s="59">
        <v>2.69</v>
      </c>
      <c r="F66" s="59">
        <v>8.43</v>
      </c>
      <c r="G66" s="59">
        <v>35.770000000000003</v>
      </c>
      <c r="H66" s="59">
        <v>15.8</v>
      </c>
      <c r="I66" s="59">
        <v>0.54</v>
      </c>
      <c r="J66" s="59">
        <v>1.06</v>
      </c>
      <c r="K66" s="59">
        <v>162.68</v>
      </c>
      <c r="L66" s="59">
        <v>30.73</v>
      </c>
      <c r="M66" s="59">
        <v>32.549999999999997</v>
      </c>
      <c r="N66" s="59">
        <v>525.29999999999995</v>
      </c>
      <c r="O66" s="59">
        <v>0</v>
      </c>
      <c r="P66" s="59">
        <v>0.42</v>
      </c>
      <c r="Q66" s="59">
        <v>37.96</v>
      </c>
      <c r="R66" s="197"/>
      <c r="S66" s="197"/>
      <c r="T66" s="197"/>
      <c r="U66" s="197"/>
    </row>
    <row r="67" spans="1:21" s="12" customFormat="1" x14ac:dyDescent="0.25">
      <c r="A67" s="200" t="s">
        <v>2803</v>
      </c>
      <c r="B67" s="59">
        <v>2.2400000000000002</v>
      </c>
      <c r="C67" s="59">
        <v>33.61</v>
      </c>
      <c r="D67" s="59">
        <v>22.09</v>
      </c>
      <c r="E67" s="59">
        <v>3.58</v>
      </c>
      <c r="F67" s="59">
        <v>17.72</v>
      </c>
      <c r="G67" s="59">
        <v>35.6</v>
      </c>
      <c r="H67" s="59">
        <v>15.64</v>
      </c>
      <c r="I67" s="59">
        <v>0.54</v>
      </c>
      <c r="J67" s="59">
        <v>1.07</v>
      </c>
      <c r="K67" s="59">
        <v>186.61</v>
      </c>
      <c r="L67" s="59">
        <v>30.53</v>
      </c>
      <c r="M67" s="59">
        <v>28.79</v>
      </c>
      <c r="N67" s="59">
        <v>193.7</v>
      </c>
      <c r="O67" s="59">
        <v>0</v>
      </c>
      <c r="P67" s="59">
        <v>0.4</v>
      </c>
      <c r="Q67" s="59">
        <v>40.93</v>
      </c>
      <c r="R67" s="197"/>
      <c r="S67" s="197"/>
      <c r="T67" s="197"/>
      <c r="U67" s="197"/>
    </row>
    <row r="68" spans="1:21" s="12" customFormat="1" x14ac:dyDescent="0.25">
      <c r="A68" s="200" t="s">
        <v>2804</v>
      </c>
      <c r="B68" s="59">
        <v>148.47999999999999</v>
      </c>
      <c r="C68" s="59">
        <v>11.48</v>
      </c>
      <c r="D68" s="59">
        <v>159.96</v>
      </c>
      <c r="E68" s="59">
        <v>3.96</v>
      </c>
      <c r="F68" s="59">
        <v>18.09</v>
      </c>
      <c r="G68" s="59">
        <v>35.6</v>
      </c>
      <c r="H68" s="59">
        <v>15.64</v>
      </c>
      <c r="I68" s="59">
        <v>0.52</v>
      </c>
      <c r="J68" s="59">
        <v>0.59</v>
      </c>
      <c r="K68" s="59">
        <v>217.06</v>
      </c>
      <c r="L68" s="59">
        <v>30.16</v>
      </c>
      <c r="M68" s="59">
        <v>30.48</v>
      </c>
      <c r="N68" s="59">
        <v>200.4</v>
      </c>
      <c r="O68" s="59">
        <v>0</v>
      </c>
      <c r="P68" s="59">
        <v>0.42</v>
      </c>
      <c r="Q68" s="59">
        <v>43.46</v>
      </c>
      <c r="R68" s="197"/>
      <c r="S68" s="197"/>
      <c r="T68" s="197"/>
      <c r="U68" s="197"/>
    </row>
    <row r="69" spans="1:21" s="12" customFormat="1" x14ac:dyDescent="0.25">
      <c r="A69" s="200" t="s">
        <v>2805</v>
      </c>
      <c r="B69" s="59">
        <v>168.06</v>
      </c>
      <c r="C69" s="59">
        <v>12.4</v>
      </c>
      <c r="D69" s="59">
        <v>180.46</v>
      </c>
      <c r="E69" s="59">
        <v>5.9</v>
      </c>
      <c r="F69" s="59">
        <v>25.22</v>
      </c>
      <c r="G69" s="59">
        <v>35.6</v>
      </c>
      <c r="H69" s="59">
        <v>15.64</v>
      </c>
      <c r="I69" s="59">
        <v>0.51</v>
      </c>
      <c r="J69" s="59">
        <v>0.49</v>
      </c>
      <c r="K69" s="59">
        <v>202.99</v>
      </c>
      <c r="L69" s="59">
        <v>30.61</v>
      </c>
      <c r="M69" s="59">
        <v>29.51</v>
      </c>
      <c r="N69" s="59">
        <v>283.60000000000002</v>
      </c>
      <c r="O69" s="59">
        <v>0</v>
      </c>
      <c r="P69" s="59">
        <v>0.42</v>
      </c>
      <c r="Q69" s="59">
        <v>43.76</v>
      </c>
      <c r="R69" s="197"/>
      <c r="S69" s="197"/>
      <c r="T69" s="197"/>
      <c r="U69" s="197"/>
    </row>
    <row r="70" spans="1:21" s="12" customFormat="1" x14ac:dyDescent="0.25">
      <c r="A70" s="200" t="s">
        <v>2806</v>
      </c>
      <c r="B70" s="59">
        <v>182.8</v>
      </c>
      <c r="C70" s="59">
        <v>13.15</v>
      </c>
      <c r="D70" s="59">
        <v>195.95</v>
      </c>
      <c r="E70" s="59">
        <v>6.57</v>
      </c>
      <c r="F70" s="59">
        <v>22.4</v>
      </c>
      <c r="G70" s="59">
        <v>26.92</v>
      </c>
      <c r="H70" s="59">
        <v>12.98</v>
      </c>
      <c r="I70" s="59">
        <v>0.5</v>
      </c>
      <c r="J70" s="59">
        <v>0.51</v>
      </c>
      <c r="K70" s="59">
        <v>224.3</v>
      </c>
      <c r="L70" s="59">
        <v>30.81</v>
      </c>
      <c r="M70" s="59">
        <v>31.33</v>
      </c>
      <c r="N70" s="59">
        <v>218.5</v>
      </c>
      <c r="O70" s="59">
        <v>0</v>
      </c>
      <c r="P70" s="59">
        <v>0.44</v>
      </c>
      <c r="Q70" s="59">
        <v>44.51</v>
      </c>
      <c r="R70" s="197"/>
      <c r="S70" s="197"/>
      <c r="T70" s="197"/>
      <c r="U70" s="197"/>
    </row>
    <row r="71" spans="1:21" s="12" customFormat="1" x14ac:dyDescent="0.25">
      <c r="A71" s="200" t="s">
        <v>2807</v>
      </c>
      <c r="B71" s="59">
        <v>4.4400000000000004</v>
      </c>
      <c r="C71" s="59">
        <v>33.909999999999997</v>
      </c>
      <c r="D71" s="59">
        <v>24.02</v>
      </c>
      <c r="E71" s="59">
        <v>7.49</v>
      </c>
      <c r="F71" s="59">
        <v>32.99</v>
      </c>
      <c r="G71" s="59">
        <v>26.52</v>
      </c>
      <c r="H71" s="59">
        <v>12.86</v>
      </c>
      <c r="I71" s="59">
        <v>0.5</v>
      </c>
      <c r="J71" s="59">
        <v>0.3</v>
      </c>
      <c r="K71" s="59">
        <v>7.5</v>
      </c>
      <c r="L71" s="59">
        <v>31.72</v>
      </c>
      <c r="M71" s="59">
        <v>32.39</v>
      </c>
      <c r="N71" s="59">
        <v>177.7</v>
      </c>
      <c r="O71" s="59">
        <v>0</v>
      </c>
      <c r="P71" s="59">
        <v>0.55000000000000004</v>
      </c>
      <c r="Q71" s="59">
        <v>43.45</v>
      </c>
      <c r="R71" s="197"/>
      <c r="S71" s="197"/>
      <c r="T71" s="197"/>
      <c r="U71" s="197"/>
    </row>
    <row r="72" spans="1:21" s="12" customFormat="1" x14ac:dyDescent="0.25">
      <c r="A72" s="200" t="s">
        <v>2808</v>
      </c>
      <c r="B72" s="59">
        <v>4.41</v>
      </c>
      <c r="C72" s="59">
        <v>32.5</v>
      </c>
      <c r="D72" s="59">
        <v>23.21</v>
      </c>
      <c r="E72" s="59">
        <v>5.65</v>
      </c>
      <c r="F72" s="59">
        <v>30.82</v>
      </c>
      <c r="G72" s="59">
        <v>26.52</v>
      </c>
      <c r="H72" s="59">
        <v>12.86</v>
      </c>
      <c r="I72" s="59">
        <v>0.5</v>
      </c>
      <c r="J72" s="59">
        <v>0.21</v>
      </c>
      <c r="K72" s="59">
        <v>6.34</v>
      </c>
      <c r="L72" s="59">
        <v>31.98</v>
      </c>
      <c r="M72" s="59">
        <v>31.16</v>
      </c>
      <c r="N72" s="59">
        <v>157</v>
      </c>
      <c r="O72" s="59">
        <v>0</v>
      </c>
      <c r="P72" s="59">
        <v>0.57999999999999996</v>
      </c>
      <c r="Q72" s="59">
        <v>41.28</v>
      </c>
      <c r="R72" s="197"/>
      <c r="S72" s="197"/>
      <c r="T72" s="197"/>
      <c r="U72" s="197"/>
    </row>
    <row r="73" spans="1:21" s="12" customFormat="1" x14ac:dyDescent="0.25">
      <c r="A73" s="200" t="s">
        <v>2809</v>
      </c>
      <c r="B73" s="59">
        <v>4.04</v>
      </c>
      <c r="C73" s="59">
        <v>32.96</v>
      </c>
      <c r="D73" s="59">
        <v>23.17</v>
      </c>
      <c r="E73" s="59">
        <v>8.66</v>
      </c>
      <c r="F73" s="59">
        <v>20.61</v>
      </c>
      <c r="G73" s="59">
        <v>26.52</v>
      </c>
      <c r="H73" s="59">
        <v>12.86</v>
      </c>
      <c r="I73" s="59">
        <v>0.53</v>
      </c>
      <c r="J73" s="59">
        <v>0.7</v>
      </c>
      <c r="K73" s="59">
        <v>178.12</v>
      </c>
      <c r="L73" s="59">
        <v>31.2</v>
      </c>
      <c r="M73" s="59">
        <v>31</v>
      </c>
      <c r="N73" s="59">
        <v>145.19999999999999</v>
      </c>
      <c r="O73" s="59">
        <v>0</v>
      </c>
      <c r="P73" s="59">
        <v>0.57999999999999996</v>
      </c>
      <c r="Q73" s="59">
        <v>39.369999999999997</v>
      </c>
      <c r="R73" s="197"/>
      <c r="S73" s="197"/>
      <c r="T73" s="197"/>
      <c r="U73" s="197"/>
    </row>
    <row r="74" spans="1:21" s="12" customFormat="1" x14ac:dyDescent="0.25">
      <c r="A74" s="200" t="s">
        <v>2810</v>
      </c>
      <c r="B74" s="59">
        <v>2.77</v>
      </c>
      <c r="C74" s="59">
        <v>30.1</v>
      </c>
      <c r="D74" s="59">
        <v>20.58</v>
      </c>
      <c r="E74" s="59">
        <v>4.66</v>
      </c>
      <c r="F74" s="59">
        <v>12.97</v>
      </c>
      <c r="G74" s="59">
        <v>39.42</v>
      </c>
      <c r="H74" s="59">
        <v>16.239999999999998</v>
      </c>
      <c r="I74" s="59">
        <v>0.56000000000000005</v>
      </c>
      <c r="J74" s="59">
        <v>0.56000000000000005</v>
      </c>
      <c r="K74" s="59">
        <v>231.88</v>
      </c>
      <c r="L74" s="59">
        <v>30.67</v>
      </c>
      <c r="M74" s="59">
        <v>31.59</v>
      </c>
      <c r="N74" s="59">
        <v>102.6</v>
      </c>
      <c r="O74" s="59">
        <v>0</v>
      </c>
      <c r="P74" s="59">
        <v>0.55000000000000004</v>
      </c>
      <c r="Q74" s="59">
        <v>39.5</v>
      </c>
      <c r="R74" s="197"/>
      <c r="S74" s="197"/>
      <c r="T74" s="197"/>
      <c r="U74" s="197"/>
    </row>
    <row r="75" spans="1:21" s="12" customFormat="1" x14ac:dyDescent="0.25">
      <c r="A75" s="200" t="s">
        <v>2811</v>
      </c>
      <c r="B75" s="59">
        <v>2.52</v>
      </c>
      <c r="C75" s="59">
        <v>26.4</v>
      </c>
      <c r="D75" s="59">
        <v>18.329999999999998</v>
      </c>
      <c r="E75" s="59">
        <v>3.63</v>
      </c>
      <c r="F75" s="59">
        <v>15.49</v>
      </c>
      <c r="G75" s="59">
        <v>40.020000000000003</v>
      </c>
      <c r="H75" s="59">
        <v>16.41</v>
      </c>
      <c r="I75" s="59">
        <v>0.59</v>
      </c>
      <c r="J75" s="59">
        <v>0.21</v>
      </c>
      <c r="K75" s="59">
        <v>275.31</v>
      </c>
      <c r="L75" s="59">
        <v>30.5</v>
      </c>
      <c r="M75" s="59">
        <v>31.86</v>
      </c>
      <c r="N75" s="59">
        <v>109.1</v>
      </c>
      <c r="O75" s="59">
        <v>0</v>
      </c>
      <c r="P75" s="59">
        <v>0.54</v>
      </c>
      <c r="Q75" s="59">
        <v>39.97</v>
      </c>
      <c r="R75" s="197"/>
      <c r="S75" s="197"/>
      <c r="T75" s="197"/>
      <c r="U75" s="197"/>
    </row>
    <row r="76" spans="1:21" s="12" customFormat="1" x14ac:dyDescent="0.25">
      <c r="A76" s="200" t="s">
        <v>2812</v>
      </c>
      <c r="B76" s="59">
        <v>2.97</v>
      </c>
      <c r="C76" s="59">
        <v>29.48</v>
      </c>
      <c r="D76" s="59">
        <v>20.39</v>
      </c>
      <c r="E76" s="59">
        <v>4.66</v>
      </c>
      <c r="F76" s="59">
        <v>16.010000000000002</v>
      </c>
      <c r="G76" s="59">
        <v>40.020000000000003</v>
      </c>
      <c r="H76" s="59">
        <v>16.41</v>
      </c>
      <c r="I76" s="59">
        <v>0.64</v>
      </c>
      <c r="J76" s="59">
        <v>0.17</v>
      </c>
      <c r="K76" s="59">
        <v>279.73</v>
      </c>
      <c r="L76" s="59">
        <v>30.51</v>
      </c>
      <c r="M76" s="59">
        <v>31.24</v>
      </c>
      <c r="N76" s="59">
        <v>79.7</v>
      </c>
      <c r="O76" s="59">
        <v>0</v>
      </c>
      <c r="P76" s="59">
        <v>0.56000000000000005</v>
      </c>
      <c r="Q76" s="59">
        <v>39.56</v>
      </c>
      <c r="R76" s="197"/>
      <c r="S76" s="197"/>
      <c r="T76" s="197"/>
      <c r="U76" s="197"/>
    </row>
    <row r="77" spans="1:21" s="12" customFormat="1" x14ac:dyDescent="0.25">
      <c r="A77" s="200" t="s">
        <v>2813</v>
      </c>
      <c r="B77" s="59">
        <v>5.56</v>
      </c>
      <c r="C77" s="59">
        <v>29.03</v>
      </c>
      <c r="D77" s="59">
        <v>22.22</v>
      </c>
      <c r="E77" s="59">
        <v>3.22</v>
      </c>
      <c r="F77" s="59">
        <v>9.02</v>
      </c>
      <c r="G77" s="59">
        <v>40.020000000000003</v>
      </c>
      <c r="H77" s="59">
        <v>16.41</v>
      </c>
      <c r="I77" s="59">
        <v>0.63</v>
      </c>
      <c r="J77" s="59">
        <v>0.12</v>
      </c>
      <c r="K77" s="59">
        <v>305.04000000000002</v>
      </c>
      <c r="L77" s="59">
        <v>30.56</v>
      </c>
      <c r="M77" s="59">
        <v>28.7</v>
      </c>
      <c r="N77" s="59">
        <v>64.400000000000006</v>
      </c>
      <c r="O77" s="59">
        <v>0</v>
      </c>
      <c r="P77" s="59">
        <v>0.6</v>
      </c>
      <c r="Q77" s="59">
        <v>39.299999999999997</v>
      </c>
      <c r="R77" s="197"/>
      <c r="S77" s="197"/>
      <c r="T77" s="197"/>
      <c r="U77" s="197"/>
    </row>
    <row r="78" spans="1:21" s="12" customFormat="1" x14ac:dyDescent="0.25">
      <c r="A78" s="200" t="s">
        <v>2814</v>
      </c>
      <c r="B78" s="59">
        <v>3.6</v>
      </c>
      <c r="C78" s="59">
        <v>33.18</v>
      </c>
      <c r="D78" s="59">
        <v>22.94</v>
      </c>
      <c r="E78" s="59">
        <v>4.74</v>
      </c>
      <c r="F78" s="59">
        <v>21.77</v>
      </c>
      <c r="G78" s="59">
        <v>34.76</v>
      </c>
      <c r="H78" s="59">
        <v>14.13</v>
      </c>
      <c r="I78" s="59">
        <v>0.61</v>
      </c>
      <c r="J78" s="59">
        <v>0.27</v>
      </c>
      <c r="K78" s="59">
        <v>239.02</v>
      </c>
      <c r="L78" s="59">
        <v>30.31</v>
      </c>
      <c r="M78" s="59">
        <v>30.49</v>
      </c>
      <c r="N78" s="59">
        <v>50.9</v>
      </c>
      <c r="O78" s="59">
        <v>0</v>
      </c>
      <c r="P78" s="59">
        <v>0.59</v>
      </c>
      <c r="Q78" s="59">
        <v>39.24</v>
      </c>
      <c r="R78" s="197"/>
      <c r="S78" s="197"/>
      <c r="T78" s="197"/>
      <c r="U78" s="197"/>
    </row>
    <row r="79" spans="1:21" s="12" customFormat="1" x14ac:dyDescent="0.25">
      <c r="A79" s="200" t="s">
        <v>2815</v>
      </c>
      <c r="B79" s="59">
        <v>4.9800000000000004</v>
      </c>
      <c r="C79" s="59">
        <v>33.04</v>
      </c>
      <c r="D79" s="59">
        <v>23.97</v>
      </c>
      <c r="E79" s="59">
        <v>5.1100000000000003</v>
      </c>
      <c r="F79" s="59">
        <v>14.77</v>
      </c>
      <c r="G79" s="59">
        <v>34.520000000000003</v>
      </c>
      <c r="H79" s="59">
        <v>14.05</v>
      </c>
      <c r="I79" s="59">
        <v>0.62</v>
      </c>
      <c r="J79" s="59">
        <v>0.14000000000000001</v>
      </c>
      <c r="K79" s="59">
        <v>265.29000000000002</v>
      </c>
      <c r="L79" s="59">
        <v>30.09</v>
      </c>
      <c r="M79" s="59">
        <v>30.51</v>
      </c>
      <c r="N79" s="59">
        <v>34.299999999999997</v>
      </c>
      <c r="O79" s="59">
        <v>0</v>
      </c>
      <c r="P79" s="59">
        <v>0.68</v>
      </c>
      <c r="Q79" s="59">
        <v>38.58</v>
      </c>
      <c r="R79" s="197"/>
      <c r="S79" s="197"/>
      <c r="T79" s="197"/>
      <c r="U79" s="197"/>
    </row>
    <row r="80" spans="1:21" s="12" customFormat="1" x14ac:dyDescent="0.25">
      <c r="A80" s="200" t="s">
        <v>2816</v>
      </c>
      <c r="B80" s="59">
        <v>3.03</v>
      </c>
      <c r="C80" s="59">
        <v>45.27</v>
      </c>
      <c r="D80" s="59">
        <v>29.16</v>
      </c>
      <c r="E80" s="59">
        <v>5.44</v>
      </c>
      <c r="F80" s="59">
        <v>254.33</v>
      </c>
      <c r="G80" s="59">
        <v>34.520000000000003</v>
      </c>
      <c r="H80" s="59">
        <v>14.05</v>
      </c>
      <c r="I80" s="59">
        <v>0.6</v>
      </c>
      <c r="J80" s="59">
        <v>0.41</v>
      </c>
      <c r="K80" s="59">
        <v>206.05</v>
      </c>
      <c r="L80" s="59">
        <v>29.58</v>
      </c>
      <c r="M80" s="59">
        <v>33.68</v>
      </c>
      <c r="N80" s="59">
        <v>18.2</v>
      </c>
      <c r="O80" s="59">
        <v>0</v>
      </c>
      <c r="P80" s="59">
        <v>0.61</v>
      </c>
      <c r="Q80" s="59">
        <v>35.24</v>
      </c>
      <c r="R80" s="197"/>
      <c r="S80" s="197"/>
      <c r="T80" s="197"/>
      <c r="U80" s="197"/>
    </row>
    <row r="81" spans="1:26" s="12" customFormat="1" x14ac:dyDescent="0.25">
      <c r="A81" s="200" t="s">
        <v>2817</v>
      </c>
      <c r="B81" s="59">
        <v>2.19</v>
      </c>
      <c r="C81" s="59">
        <v>45.31</v>
      </c>
      <c r="D81" s="59">
        <v>28.5</v>
      </c>
      <c r="E81" s="59">
        <v>6.23</v>
      </c>
      <c r="F81" s="59">
        <v>335.4</v>
      </c>
      <c r="G81" s="59">
        <v>34.520000000000003</v>
      </c>
      <c r="H81" s="59">
        <v>14.05</v>
      </c>
      <c r="I81" s="59">
        <v>0.59</v>
      </c>
      <c r="J81" s="59">
        <v>0.17</v>
      </c>
      <c r="K81" s="59">
        <v>244.43</v>
      </c>
      <c r="L81" s="59">
        <v>29.04</v>
      </c>
      <c r="M81" s="59">
        <v>34.5</v>
      </c>
      <c r="N81" s="59">
        <v>8.6999999999999993</v>
      </c>
      <c r="O81" s="59">
        <v>0</v>
      </c>
      <c r="P81" s="59">
        <v>0.63</v>
      </c>
      <c r="Q81" s="59">
        <v>38.200000000000003</v>
      </c>
      <c r="R81" s="197"/>
      <c r="S81" s="197"/>
      <c r="T81" s="197"/>
      <c r="U81" s="197"/>
    </row>
    <row r="82" spans="1:26" s="12" customFormat="1" x14ac:dyDescent="0.25">
      <c r="A82" s="200" t="s">
        <v>2818</v>
      </c>
      <c r="B82" s="59">
        <v>58.9</v>
      </c>
      <c r="C82" s="59">
        <v>91.25</v>
      </c>
      <c r="D82" s="59">
        <v>99.34</v>
      </c>
      <c r="E82" s="59">
        <v>6.79</v>
      </c>
      <c r="F82" s="59">
        <v>7.5</v>
      </c>
      <c r="G82" s="59">
        <v>38.07</v>
      </c>
      <c r="H82" s="59">
        <v>14.9</v>
      </c>
      <c r="I82" s="59">
        <v>0.56000000000000005</v>
      </c>
      <c r="J82" s="59">
        <v>0.14000000000000001</v>
      </c>
      <c r="K82" s="59">
        <v>339.64</v>
      </c>
      <c r="L82" s="59">
        <v>28.33</v>
      </c>
      <c r="M82" s="59">
        <v>38.39</v>
      </c>
      <c r="N82" s="59">
        <v>5.7</v>
      </c>
      <c r="O82" s="59">
        <v>0</v>
      </c>
      <c r="P82" s="59">
        <v>1.61</v>
      </c>
      <c r="Q82" s="59">
        <v>33.5</v>
      </c>
      <c r="R82" s="197"/>
      <c r="S82" s="197"/>
      <c r="T82" s="197"/>
      <c r="U82" s="197"/>
    </row>
    <row r="83" spans="1:26" s="12" customFormat="1" x14ac:dyDescent="0.25">
      <c r="A83" s="200" t="s">
        <v>2819</v>
      </c>
      <c r="B83" s="59">
        <v>61.75</v>
      </c>
      <c r="C83" s="59">
        <v>91.8</v>
      </c>
      <c r="D83" s="59">
        <v>101.92</v>
      </c>
      <c r="E83" s="59">
        <v>6.21</v>
      </c>
      <c r="F83" s="59">
        <v>6.07</v>
      </c>
      <c r="G83" s="59">
        <v>38.24</v>
      </c>
      <c r="H83" s="59">
        <v>15.08</v>
      </c>
      <c r="I83" s="59">
        <v>0.56999999999999995</v>
      </c>
      <c r="J83" s="59">
        <v>0.14000000000000001</v>
      </c>
      <c r="K83" s="59">
        <v>7.86</v>
      </c>
      <c r="L83" s="59">
        <v>27.38</v>
      </c>
      <c r="M83" s="59">
        <v>42.97</v>
      </c>
      <c r="N83" s="59">
        <v>5.2</v>
      </c>
      <c r="O83" s="59">
        <v>0</v>
      </c>
      <c r="P83" s="59">
        <v>2.02</v>
      </c>
      <c r="Q83" s="59">
        <v>33.11</v>
      </c>
      <c r="R83" s="197"/>
      <c r="S83" s="197"/>
      <c r="T83" s="197"/>
      <c r="U83" s="197"/>
    </row>
    <row r="84" spans="1:26" s="12" customFormat="1" x14ac:dyDescent="0.25">
      <c r="A84" s="200" t="s">
        <v>2820</v>
      </c>
      <c r="B84" s="59">
        <v>51.72</v>
      </c>
      <c r="C84" s="59">
        <v>87.13</v>
      </c>
      <c r="D84" s="59">
        <v>91.28</v>
      </c>
      <c r="E84" s="59">
        <v>5.97</v>
      </c>
      <c r="F84" s="59">
        <v>4.21</v>
      </c>
      <c r="G84" s="59">
        <v>38.24</v>
      </c>
      <c r="H84" s="59">
        <v>15.08</v>
      </c>
      <c r="I84" s="59">
        <v>0.72</v>
      </c>
      <c r="J84" s="59">
        <v>0.22</v>
      </c>
      <c r="K84" s="59">
        <v>14.16</v>
      </c>
      <c r="L84" s="59">
        <v>26.74</v>
      </c>
      <c r="M84" s="59">
        <v>45.32</v>
      </c>
      <c r="N84" s="59">
        <v>5.0999999999999996</v>
      </c>
      <c r="O84" s="59">
        <v>0</v>
      </c>
      <c r="P84" s="59">
        <v>2.15</v>
      </c>
      <c r="Q84" s="59">
        <v>33.04</v>
      </c>
      <c r="R84" s="197"/>
      <c r="S84" s="197"/>
      <c r="T84" s="197"/>
      <c r="U84" s="197"/>
    </row>
    <row r="85" spans="1:26" s="12" customFormat="1" x14ac:dyDescent="0.25">
      <c r="A85" s="200" t="s">
        <v>2821</v>
      </c>
      <c r="B85" s="59">
        <v>71.73</v>
      </c>
      <c r="C85" s="59">
        <v>109.89</v>
      </c>
      <c r="D85" s="59">
        <v>119.48</v>
      </c>
      <c r="E85" s="59">
        <v>6.35</v>
      </c>
      <c r="F85" s="59">
        <v>3.5</v>
      </c>
      <c r="G85" s="59">
        <v>38.24</v>
      </c>
      <c r="H85" s="59">
        <v>15.08</v>
      </c>
      <c r="I85" s="59">
        <v>0.79</v>
      </c>
      <c r="J85" s="59">
        <v>0.09</v>
      </c>
      <c r="K85" s="59">
        <v>347.25</v>
      </c>
      <c r="L85" s="59">
        <v>26.36</v>
      </c>
      <c r="M85" s="59">
        <v>44.46</v>
      </c>
      <c r="N85" s="59">
        <v>4.8</v>
      </c>
      <c r="O85" s="59">
        <v>0</v>
      </c>
      <c r="P85" s="59">
        <v>2.57</v>
      </c>
      <c r="Q85" s="59">
        <v>34.369999999999997</v>
      </c>
      <c r="R85" s="197"/>
      <c r="S85" s="197"/>
      <c r="T85" s="197"/>
      <c r="U85" s="197"/>
    </row>
    <row r="86" spans="1:26" s="12" customFormat="1" x14ac:dyDescent="0.25">
      <c r="A86" s="200" t="s">
        <v>2822</v>
      </c>
      <c r="B86" s="59">
        <v>61.91</v>
      </c>
      <c r="C86" s="59">
        <v>102.07</v>
      </c>
      <c r="D86" s="59">
        <v>107.72</v>
      </c>
      <c r="E86" s="59">
        <v>6.48</v>
      </c>
      <c r="F86" s="59">
        <v>6.03</v>
      </c>
      <c r="G86" s="59">
        <v>63.19</v>
      </c>
      <c r="H86" s="59">
        <v>21.55</v>
      </c>
      <c r="I86" s="59">
        <v>0.89</v>
      </c>
      <c r="J86" s="59">
        <v>0.19</v>
      </c>
      <c r="K86" s="59">
        <v>359.9</v>
      </c>
      <c r="L86" s="59">
        <v>26.53</v>
      </c>
      <c r="M86" s="59">
        <v>41.28</v>
      </c>
      <c r="N86" s="59">
        <v>4.0999999999999996</v>
      </c>
      <c r="O86" s="59">
        <v>0</v>
      </c>
      <c r="P86" s="59">
        <v>2.42</v>
      </c>
      <c r="Q86" s="59">
        <v>42.7</v>
      </c>
      <c r="R86" s="197"/>
      <c r="S86" s="197"/>
      <c r="T86" s="197"/>
      <c r="U86" s="197"/>
    </row>
    <row r="87" spans="1:26" s="12" customFormat="1" x14ac:dyDescent="0.25">
      <c r="A87" s="200" t="s">
        <v>2823</v>
      </c>
      <c r="B87" s="59">
        <v>60.11</v>
      </c>
      <c r="C87" s="59">
        <v>91.75</v>
      </c>
      <c r="D87" s="59">
        <v>100.58</v>
      </c>
      <c r="E87" s="59">
        <v>5.59</v>
      </c>
      <c r="F87" s="59">
        <v>7.45</v>
      </c>
      <c r="G87" s="59">
        <v>64.349999999999994</v>
      </c>
      <c r="H87" s="59">
        <v>21.85</v>
      </c>
      <c r="I87" s="59">
        <v>0.98</v>
      </c>
      <c r="J87" s="59">
        <v>0.25</v>
      </c>
      <c r="K87" s="59">
        <v>356.88</v>
      </c>
      <c r="L87" s="59">
        <v>26.68</v>
      </c>
      <c r="M87" s="59">
        <v>40.01</v>
      </c>
      <c r="N87" s="59">
        <v>4.2</v>
      </c>
      <c r="O87" s="59">
        <v>0</v>
      </c>
      <c r="P87" s="59">
        <v>2.37</v>
      </c>
      <c r="Q87" s="59">
        <v>38.64</v>
      </c>
      <c r="R87" s="197"/>
      <c r="S87" s="197"/>
      <c r="T87" s="197"/>
      <c r="U87" s="197"/>
    </row>
    <row r="88" spans="1:26" s="12" customFormat="1" x14ac:dyDescent="0.25">
      <c r="A88" s="200" t="s">
        <v>2824</v>
      </c>
      <c r="B88" s="59">
        <v>63.76</v>
      </c>
      <c r="C88" s="59">
        <v>87.73</v>
      </c>
      <c r="D88" s="59">
        <v>101.29</v>
      </c>
      <c r="E88" s="59">
        <v>2.5499999999999998</v>
      </c>
      <c r="F88" s="59">
        <v>6.69</v>
      </c>
      <c r="G88" s="59">
        <v>64.349999999999994</v>
      </c>
      <c r="H88" s="59">
        <v>21.85</v>
      </c>
      <c r="I88" s="59">
        <v>0.92</v>
      </c>
      <c r="J88" s="59">
        <v>0.2</v>
      </c>
      <c r="K88" s="59">
        <v>13.21</v>
      </c>
      <c r="L88" s="59">
        <v>26.19</v>
      </c>
      <c r="M88" s="59">
        <v>41.88</v>
      </c>
      <c r="N88" s="59">
        <v>4.5</v>
      </c>
      <c r="O88" s="59">
        <v>0</v>
      </c>
      <c r="P88" s="59">
        <v>2.52</v>
      </c>
      <c r="Q88" s="59">
        <v>43.25</v>
      </c>
      <c r="R88" s="197"/>
      <c r="S88" s="197"/>
      <c r="T88" s="197"/>
      <c r="U88" s="197"/>
    </row>
    <row r="89" spans="1:26" s="12" customFormat="1" x14ac:dyDescent="0.25">
      <c r="A89" s="200" t="s">
        <v>2825</v>
      </c>
      <c r="B89" s="59">
        <v>52.42</v>
      </c>
      <c r="C89" s="59">
        <v>76.540000000000006</v>
      </c>
      <c r="D89" s="59">
        <v>86.01</v>
      </c>
      <c r="E89" s="59">
        <v>4.9400000000000004</v>
      </c>
      <c r="F89" s="59">
        <v>7.28</v>
      </c>
      <c r="G89" s="59">
        <v>64.349999999999994</v>
      </c>
      <c r="H89" s="59">
        <v>21.85</v>
      </c>
      <c r="I89" s="59">
        <v>0.92</v>
      </c>
      <c r="J89" s="59">
        <v>0.06</v>
      </c>
      <c r="K89" s="59">
        <v>9.06</v>
      </c>
      <c r="L89" s="59">
        <v>25.76</v>
      </c>
      <c r="M89" s="59">
        <v>43.05</v>
      </c>
      <c r="N89" s="59">
        <v>4.8</v>
      </c>
      <c r="O89" s="59">
        <v>0</v>
      </c>
      <c r="P89" s="59">
        <v>2.25</v>
      </c>
      <c r="Q89" s="59">
        <v>45.41</v>
      </c>
      <c r="R89" s="197"/>
      <c r="S89" s="197"/>
      <c r="T89" s="197"/>
      <c r="U89" s="197"/>
    </row>
    <row r="90" spans="1:26" s="12" customFormat="1" x14ac:dyDescent="0.25">
      <c r="A90" s="200" t="s">
        <v>2826</v>
      </c>
      <c r="B90" s="59">
        <v>54.7</v>
      </c>
      <c r="C90" s="59">
        <v>84.62</v>
      </c>
      <c r="D90" s="59">
        <v>92.31</v>
      </c>
      <c r="E90" s="59">
        <v>6.18</v>
      </c>
      <c r="F90" s="59">
        <v>6.57</v>
      </c>
      <c r="G90" s="59">
        <v>79.8</v>
      </c>
      <c r="H90" s="59">
        <v>23.48</v>
      </c>
      <c r="I90" s="59">
        <v>0.87</v>
      </c>
      <c r="J90" s="59">
        <v>0.03</v>
      </c>
      <c r="K90" s="59">
        <v>12.46</v>
      </c>
      <c r="L90" s="59">
        <v>25.41</v>
      </c>
      <c r="M90" s="59">
        <v>42.17</v>
      </c>
      <c r="N90" s="59">
        <v>4.7</v>
      </c>
      <c r="O90" s="59">
        <v>0</v>
      </c>
      <c r="P90" s="59">
        <v>2.2000000000000002</v>
      </c>
      <c r="Q90" s="59">
        <v>42.83</v>
      </c>
      <c r="R90" s="197"/>
      <c r="S90" s="197"/>
      <c r="T90" s="197"/>
      <c r="U90" s="197"/>
    </row>
    <row r="91" spans="1:26" s="12" customFormat="1" x14ac:dyDescent="0.25">
      <c r="A91" s="200" t="s">
        <v>2827</v>
      </c>
      <c r="B91" s="59">
        <v>66.760000000000005</v>
      </c>
      <c r="C91" s="59">
        <v>78.959999999999994</v>
      </c>
      <c r="D91" s="59">
        <v>98.85</v>
      </c>
      <c r="E91" s="59">
        <v>6.2</v>
      </c>
      <c r="F91" s="59">
        <v>5.24</v>
      </c>
      <c r="G91" s="59">
        <v>80.52</v>
      </c>
      <c r="H91" s="59">
        <v>23.83</v>
      </c>
      <c r="I91" s="59">
        <v>0.83</v>
      </c>
      <c r="J91" s="59">
        <v>0.22</v>
      </c>
      <c r="K91" s="59">
        <v>67.86</v>
      </c>
      <c r="L91" s="59">
        <v>25.27</v>
      </c>
      <c r="M91" s="59">
        <v>42.75</v>
      </c>
      <c r="N91" s="59">
        <v>4.3</v>
      </c>
      <c r="O91" s="59">
        <v>0</v>
      </c>
      <c r="P91" s="59">
        <v>2.48</v>
      </c>
      <c r="Q91" s="59">
        <v>39</v>
      </c>
      <c r="R91" s="197"/>
      <c r="S91" s="197"/>
      <c r="T91" s="197"/>
      <c r="U91" s="197"/>
    </row>
    <row r="92" spans="1:26" s="12" customFormat="1" x14ac:dyDescent="0.25">
      <c r="A92" s="200" t="s">
        <v>2828</v>
      </c>
      <c r="B92" s="59">
        <v>67.19</v>
      </c>
      <c r="C92" s="59">
        <v>77.959999999999994</v>
      </c>
      <c r="D92" s="59">
        <v>98.65</v>
      </c>
      <c r="E92" s="59">
        <v>5.95</v>
      </c>
      <c r="F92" s="59">
        <v>4.29</v>
      </c>
      <c r="G92" s="59">
        <v>80.52</v>
      </c>
      <c r="H92" s="59">
        <v>23.83</v>
      </c>
      <c r="I92" s="59">
        <v>0.92</v>
      </c>
      <c r="J92" s="59">
        <v>7.0000000000000007E-2</v>
      </c>
      <c r="K92" s="59">
        <v>95.46</v>
      </c>
      <c r="L92" s="59">
        <v>25.2</v>
      </c>
      <c r="M92" s="59">
        <v>41.13</v>
      </c>
      <c r="N92" s="59">
        <v>4.5999999999999996</v>
      </c>
      <c r="O92" s="59">
        <v>0</v>
      </c>
      <c r="P92" s="59">
        <v>2.4900000000000002</v>
      </c>
      <c r="Q92" s="59">
        <v>37.11</v>
      </c>
      <c r="R92" s="197"/>
      <c r="S92" s="197"/>
      <c r="T92" s="197"/>
      <c r="U92" s="197"/>
    </row>
    <row r="93" spans="1:26" s="12" customFormat="1" x14ac:dyDescent="0.25">
      <c r="A93" s="200" t="s">
        <v>2829</v>
      </c>
      <c r="B93" s="59">
        <v>56.09</v>
      </c>
      <c r="C93" s="59">
        <v>81.19</v>
      </c>
      <c r="D93" s="59">
        <v>91.53</v>
      </c>
      <c r="E93" s="59">
        <v>4.4400000000000004</v>
      </c>
      <c r="F93" s="59">
        <v>3.73</v>
      </c>
      <c r="G93" s="59">
        <v>80.52</v>
      </c>
      <c r="H93" s="59">
        <v>23.83</v>
      </c>
      <c r="I93" s="59">
        <v>0.99</v>
      </c>
      <c r="J93" s="59">
        <v>0.04</v>
      </c>
      <c r="K93" s="59">
        <v>250.77</v>
      </c>
      <c r="L93" s="59">
        <v>24.7</v>
      </c>
      <c r="M93" s="59">
        <v>42.14</v>
      </c>
      <c r="N93" s="59">
        <v>4.8</v>
      </c>
      <c r="O93" s="59">
        <v>0</v>
      </c>
      <c r="P93" s="59">
        <v>2.19</v>
      </c>
      <c r="Q93" s="59">
        <v>41.48</v>
      </c>
      <c r="R93" s="197"/>
      <c r="S93" s="197"/>
      <c r="T93" s="197"/>
      <c r="U93" s="197"/>
    </row>
    <row r="94" spans="1:26" s="12" customFormat="1" x14ac:dyDescent="0.25">
      <c r="A94" s="200" t="s">
        <v>2830</v>
      </c>
      <c r="B94" s="59">
        <v>108.1</v>
      </c>
      <c r="C94" s="59">
        <v>77.06</v>
      </c>
      <c r="D94" s="59">
        <v>130.96</v>
      </c>
      <c r="E94" s="59">
        <v>5.35</v>
      </c>
      <c r="F94" s="59">
        <v>3.2</v>
      </c>
      <c r="G94" s="59">
        <v>85.01</v>
      </c>
      <c r="H94" s="59">
        <v>26.2</v>
      </c>
      <c r="I94" s="59">
        <v>0.96</v>
      </c>
      <c r="J94" s="59">
        <v>0.21</v>
      </c>
      <c r="K94" s="59">
        <v>57.3</v>
      </c>
      <c r="L94" s="59">
        <v>24.25</v>
      </c>
      <c r="M94" s="59">
        <v>47.23</v>
      </c>
      <c r="N94" s="59">
        <v>4.5999999999999996</v>
      </c>
      <c r="O94" s="59">
        <v>0</v>
      </c>
      <c r="P94" s="59">
        <v>2.78</v>
      </c>
      <c r="Q94" s="59">
        <v>39.26</v>
      </c>
      <c r="R94" s="197"/>
      <c r="S94" s="197"/>
      <c r="T94" s="197"/>
      <c r="U94" s="197"/>
    </row>
    <row r="95" spans="1:26" s="12" customFormat="1" x14ac:dyDescent="0.25">
      <c r="A95" s="200" t="s">
        <v>2831</v>
      </c>
      <c r="B95" s="59">
        <v>118.74</v>
      </c>
      <c r="C95" s="59">
        <v>90.11</v>
      </c>
      <c r="D95" s="59">
        <v>146.69</v>
      </c>
      <c r="E95" s="59">
        <v>6.37</v>
      </c>
      <c r="F95" s="59">
        <v>3.2</v>
      </c>
      <c r="G95" s="59">
        <v>85.22</v>
      </c>
      <c r="H95" s="59">
        <v>26.2</v>
      </c>
      <c r="I95" s="59">
        <v>0.92</v>
      </c>
      <c r="J95" s="59">
        <v>0.09</v>
      </c>
      <c r="K95" s="59">
        <v>63.15</v>
      </c>
      <c r="L95" s="59">
        <v>24.21</v>
      </c>
      <c r="M95" s="59">
        <v>44.8</v>
      </c>
      <c r="N95" s="59">
        <v>4.7</v>
      </c>
      <c r="O95" s="59">
        <v>0</v>
      </c>
      <c r="P95" s="59">
        <v>2.8</v>
      </c>
      <c r="Q95" s="59">
        <v>34.82</v>
      </c>
      <c r="R95" s="197"/>
      <c r="S95" s="197"/>
      <c r="T95" s="197"/>
      <c r="U95" s="197"/>
    </row>
    <row r="96" spans="1:26" s="12" customFormat="1" x14ac:dyDescent="0.25">
      <c r="A96" s="200" t="s">
        <v>2832</v>
      </c>
      <c r="B96" s="59">
        <v>112.83</v>
      </c>
      <c r="C96" s="59">
        <v>81.02</v>
      </c>
      <c r="D96" s="59">
        <v>136.93</v>
      </c>
      <c r="E96" s="59">
        <v>5.28</v>
      </c>
      <c r="F96" s="59">
        <v>3.04</v>
      </c>
      <c r="G96" s="59">
        <v>85.22</v>
      </c>
      <c r="H96" s="59">
        <v>26.2</v>
      </c>
      <c r="I96" s="59">
        <v>0.97</v>
      </c>
      <c r="J96" s="59">
        <v>0.09</v>
      </c>
      <c r="K96" s="59">
        <v>336.39</v>
      </c>
      <c r="L96" s="59">
        <v>23.55</v>
      </c>
      <c r="M96" s="59">
        <v>49.14</v>
      </c>
      <c r="N96" s="59">
        <v>4.7</v>
      </c>
      <c r="O96" s="59">
        <v>0</v>
      </c>
      <c r="P96" s="59">
        <v>2.77</v>
      </c>
      <c r="Q96" s="59">
        <v>36.9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2833</v>
      </c>
      <c r="B97" s="59">
        <v>132.44999999999999</v>
      </c>
      <c r="C97" s="59">
        <v>87.61</v>
      </c>
      <c r="D97" s="59">
        <v>156.31</v>
      </c>
      <c r="E97" s="59">
        <v>5.0199999999999996</v>
      </c>
      <c r="F97" s="59">
        <v>2.9</v>
      </c>
      <c r="G97" s="59">
        <v>85.22</v>
      </c>
      <c r="H97" s="59">
        <v>26.2</v>
      </c>
      <c r="I97" s="59">
        <v>1.07</v>
      </c>
      <c r="J97" s="59">
        <v>0.05</v>
      </c>
      <c r="K97" s="59">
        <v>137.26</v>
      </c>
      <c r="L97" s="59">
        <v>23.01</v>
      </c>
      <c r="M97" s="59">
        <v>49.97</v>
      </c>
      <c r="N97" s="59">
        <v>4.7</v>
      </c>
      <c r="O97" s="59">
        <v>0</v>
      </c>
      <c r="P97" s="59">
        <v>2.72</v>
      </c>
      <c r="Q97" s="59">
        <v>38.03</v>
      </c>
      <c r="R97" s="197"/>
      <c r="S97" s="197"/>
      <c r="T97" s="197"/>
      <c r="U97" s="197"/>
    </row>
    <row r="98" spans="1:33" s="12" customFormat="1" x14ac:dyDescent="0.25">
      <c r="A98" s="200" t="s">
        <v>2834</v>
      </c>
      <c r="B98" s="59">
        <v>172.34</v>
      </c>
      <c r="C98" s="59">
        <v>87.91</v>
      </c>
      <c r="D98" s="59">
        <v>188.46</v>
      </c>
      <c r="E98" s="59">
        <v>5.37</v>
      </c>
      <c r="F98" s="59">
        <v>2.88</v>
      </c>
      <c r="G98" s="59">
        <v>110.53</v>
      </c>
      <c r="H98" s="59">
        <v>32.659999999999997</v>
      </c>
      <c r="I98" s="59">
        <v>1.19</v>
      </c>
      <c r="J98" s="59">
        <v>0.04</v>
      </c>
      <c r="K98" s="59">
        <v>2.77</v>
      </c>
      <c r="L98" s="59">
        <v>22.73</v>
      </c>
      <c r="M98" s="59">
        <v>52.25</v>
      </c>
      <c r="N98" s="59">
        <v>4.8</v>
      </c>
      <c r="O98" s="59">
        <v>0</v>
      </c>
      <c r="P98" s="59">
        <v>2.77</v>
      </c>
      <c r="Q98" s="59">
        <v>35.299999999999997</v>
      </c>
      <c r="R98" s="197"/>
      <c r="S98" s="197"/>
      <c r="T98" s="197"/>
      <c r="U98" s="197"/>
    </row>
    <row r="99" spans="1:33" s="12" customFormat="1" x14ac:dyDescent="0.25">
      <c r="A99" s="200" t="s">
        <v>2835</v>
      </c>
      <c r="B99" s="59">
        <v>129.88</v>
      </c>
      <c r="C99" s="59">
        <v>68.739999999999995</v>
      </c>
      <c r="D99" s="59">
        <v>143.83000000000001</v>
      </c>
      <c r="E99" s="59">
        <v>4.76</v>
      </c>
      <c r="F99" s="59">
        <v>2.94</v>
      </c>
      <c r="G99" s="59">
        <v>111.7</v>
      </c>
      <c r="H99" s="59">
        <v>32.659999999999997</v>
      </c>
      <c r="I99" s="59">
        <v>1.18</v>
      </c>
      <c r="J99" s="59">
        <v>0.06</v>
      </c>
      <c r="K99" s="59">
        <v>32.799999999999997</v>
      </c>
      <c r="L99" s="59">
        <v>22.49</v>
      </c>
      <c r="M99" s="59">
        <v>52.29</v>
      </c>
      <c r="N99" s="59">
        <v>4.5</v>
      </c>
      <c r="O99" s="59">
        <v>0</v>
      </c>
      <c r="P99" s="59">
        <v>2.68</v>
      </c>
      <c r="Q99" s="59">
        <v>41.14</v>
      </c>
      <c r="R99" s="197"/>
      <c r="S99" s="197"/>
      <c r="T99" s="197"/>
      <c r="U99" s="197"/>
    </row>
    <row r="100" spans="1:33" s="12" customFormat="1" x14ac:dyDescent="0.25">
      <c r="A100" s="200" t="s">
        <v>2836</v>
      </c>
      <c r="B100" s="59">
        <v>137.21</v>
      </c>
      <c r="C100" s="59">
        <v>70.98</v>
      </c>
      <c r="D100" s="59">
        <v>150.94</v>
      </c>
      <c r="E100" s="59">
        <v>4.7</v>
      </c>
      <c r="F100" s="59">
        <v>2.96</v>
      </c>
      <c r="G100" s="59">
        <v>111.7</v>
      </c>
      <c r="H100" s="59">
        <v>32.659999999999997</v>
      </c>
      <c r="I100" s="59">
        <v>1.0900000000000001</v>
      </c>
      <c r="J100" s="59">
        <v>0.14000000000000001</v>
      </c>
      <c r="K100" s="59">
        <v>344.1</v>
      </c>
      <c r="L100" s="59">
        <v>22.39</v>
      </c>
      <c r="M100" s="59">
        <v>53.44</v>
      </c>
      <c r="N100" s="59">
        <v>4.4000000000000004</v>
      </c>
      <c r="O100" s="59">
        <v>0</v>
      </c>
      <c r="P100" s="59">
        <v>2.56</v>
      </c>
      <c r="Q100" s="59">
        <v>41.38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2837</v>
      </c>
      <c r="B101" s="59">
        <v>105.22</v>
      </c>
      <c r="C101" s="59">
        <v>64.47</v>
      </c>
      <c r="D101" s="59">
        <v>121.69</v>
      </c>
      <c r="E101" s="59">
        <v>4.09</v>
      </c>
      <c r="F101" s="59">
        <v>2.91</v>
      </c>
      <c r="G101" s="59">
        <v>111.7</v>
      </c>
      <c r="H101" s="59">
        <v>32.659999999999997</v>
      </c>
      <c r="I101" s="59">
        <v>1.08</v>
      </c>
      <c r="J101" s="59">
        <v>0.15</v>
      </c>
      <c r="K101" s="59">
        <v>5.47</v>
      </c>
      <c r="L101" s="59">
        <v>21.83</v>
      </c>
      <c r="M101" s="59">
        <v>58.3</v>
      </c>
      <c r="N101" s="59">
        <v>4.8</v>
      </c>
      <c r="O101" s="59">
        <v>0</v>
      </c>
      <c r="P101" s="59">
        <v>2.61</v>
      </c>
      <c r="Q101" s="59">
        <v>43.97</v>
      </c>
      <c r="R101" s="197"/>
      <c r="S101" s="197"/>
      <c r="T101" s="197"/>
      <c r="U101" s="197"/>
    </row>
    <row r="102" spans="1:33" s="12" customFormat="1" x14ac:dyDescent="0.25">
      <c r="A102" s="200" t="s">
        <v>2838</v>
      </c>
      <c r="B102" s="59">
        <v>108.75</v>
      </c>
      <c r="C102" s="59">
        <v>66.44</v>
      </c>
      <c r="D102" s="59">
        <v>125.62</v>
      </c>
      <c r="E102" s="59">
        <v>3.42</v>
      </c>
      <c r="F102" s="59">
        <v>2.99</v>
      </c>
      <c r="G102" s="59">
        <v>117.12</v>
      </c>
      <c r="H102" s="59">
        <v>37.42</v>
      </c>
      <c r="I102" s="59">
        <v>1.07</v>
      </c>
      <c r="J102" s="59">
        <v>0.05</v>
      </c>
      <c r="K102" s="59">
        <v>308.77</v>
      </c>
      <c r="L102" s="59">
        <v>21.76</v>
      </c>
      <c r="M102" s="59">
        <v>57.09</v>
      </c>
      <c r="N102" s="59">
        <v>4.5</v>
      </c>
      <c r="O102" s="59">
        <v>0</v>
      </c>
      <c r="P102" s="59">
        <v>2.57</v>
      </c>
      <c r="Q102" s="59">
        <v>43.54</v>
      </c>
      <c r="R102" s="197"/>
      <c r="S102" s="197"/>
      <c r="T102" s="197"/>
      <c r="U102" s="197"/>
    </row>
    <row r="103" spans="1:33" s="12" customFormat="1" x14ac:dyDescent="0.25">
      <c r="A103" s="200" t="s">
        <v>2839</v>
      </c>
      <c r="B103" s="59">
        <v>126.2</v>
      </c>
      <c r="C103" s="59">
        <v>56.29</v>
      </c>
      <c r="D103" s="59">
        <v>134.01</v>
      </c>
      <c r="E103" s="59">
        <v>3.44</v>
      </c>
      <c r="F103" s="59">
        <v>2.78</v>
      </c>
      <c r="G103" s="59">
        <v>117.37</v>
      </c>
      <c r="H103" s="59">
        <v>37.64</v>
      </c>
      <c r="I103" s="59">
        <v>1.0900000000000001</v>
      </c>
      <c r="J103" s="59">
        <v>0.05</v>
      </c>
      <c r="K103" s="59">
        <v>4.28</v>
      </c>
      <c r="L103" s="59">
        <v>21.43</v>
      </c>
      <c r="M103" s="59">
        <v>59.01</v>
      </c>
      <c r="N103" s="59">
        <v>4.8</v>
      </c>
      <c r="O103" s="59">
        <v>0</v>
      </c>
      <c r="P103" s="59">
        <v>2.5299999999999998</v>
      </c>
      <c r="Q103" s="59">
        <v>48.51</v>
      </c>
      <c r="R103" s="197"/>
      <c r="S103" s="197"/>
      <c r="T103" s="197"/>
      <c r="U103" s="197"/>
    </row>
    <row r="104" spans="1:33" s="12" customFormat="1" x14ac:dyDescent="0.25">
      <c r="A104" s="200" t="s">
        <v>2840</v>
      </c>
      <c r="B104" s="59">
        <v>121.74</v>
      </c>
      <c r="C104" s="59">
        <v>48.24</v>
      </c>
      <c r="D104" s="59">
        <v>125.99</v>
      </c>
      <c r="E104" s="59">
        <v>2.14</v>
      </c>
      <c r="F104" s="59">
        <v>2.72</v>
      </c>
      <c r="G104" s="59">
        <v>117.37</v>
      </c>
      <c r="H104" s="59">
        <v>37.64</v>
      </c>
      <c r="I104" s="59">
        <v>1.0900000000000001</v>
      </c>
      <c r="J104" s="59">
        <v>0.35</v>
      </c>
      <c r="K104" s="59">
        <v>216.17</v>
      </c>
      <c r="L104" s="59">
        <v>21.76</v>
      </c>
      <c r="M104" s="59">
        <v>54.04</v>
      </c>
      <c r="N104" s="59">
        <v>2.9</v>
      </c>
      <c r="O104" s="59">
        <v>0</v>
      </c>
      <c r="P104" s="59">
        <v>2.4900000000000002</v>
      </c>
      <c r="Q104" s="59">
        <v>45.96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2.12</v>
      </c>
      <c r="C106" s="66">
        <f>MIN(C9:C104)</f>
        <v>11.48</v>
      </c>
      <c r="D106" s="66">
        <f t="shared" ref="D106:Q106" si="0">MIN(D9:D104)</f>
        <v>16.059999999999999</v>
      </c>
      <c r="E106" s="66">
        <f t="shared" si="0"/>
        <v>0.01</v>
      </c>
      <c r="F106" s="66">
        <f t="shared" si="0"/>
        <v>1.27</v>
      </c>
      <c r="G106" s="66">
        <f t="shared" si="0"/>
        <v>0.25</v>
      </c>
      <c r="H106" s="66">
        <f t="shared" si="0"/>
        <v>0.28999999999999998</v>
      </c>
      <c r="I106" s="66">
        <f t="shared" si="0"/>
        <v>0.45</v>
      </c>
      <c r="J106" s="66">
        <f t="shared" si="0"/>
        <v>0.03</v>
      </c>
      <c r="K106" s="66">
        <f t="shared" si="0"/>
        <v>2.77</v>
      </c>
      <c r="L106" s="66">
        <f t="shared" si="0"/>
        <v>19.12</v>
      </c>
      <c r="M106" s="66">
        <f t="shared" si="0"/>
        <v>28.7</v>
      </c>
      <c r="N106" s="66">
        <f t="shared" si="0"/>
        <v>2.9</v>
      </c>
      <c r="O106" s="66">
        <f t="shared" si="0"/>
        <v>0</v>
      </c>
      <c r="P106" s="66">
        <f t="shared" si="0"/>
        <v>0.37</v>
      </c>
      <c r="Q106" s="66">
        <f t="shared" si="0"/>
        <v>32.33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182.8</v>
      </c>
      <c r="C107" s="65">
        <f t="shared" ref="C107:Q107" si="1">MAX(C9:C104)</f>
        <v>109.89</v>
      </c>
      <c r="D107" s="65">
        <f t="shared" si="1"/>
        <v>195.95</v>
      </c>
      <c r="E107" s="65">
        <f t="shared" si="1"/>
        <v>157.94999999999999</v>
      </c>
      <c r="F107" s="65">
        <f t="shared" si="1"/>
        <v>335.4</v>
      </c>
      <c r="G107" s="65">
        <f t="shared" si="1"/>
        <v>117.37</v>
      </c>
      <c r="H107" s="65">
        <f t="shared" si="1"/>
        <v>37.64</v>
      </c>
      <c r="I107" s="65">
        <f t="shared" si="1"/>
        <v>1.19</v>
      </c>
      <c r="J107" s="65">
        <f t="shared" si="1"/>
        <v>2.23</v>
      </c>
      <c r="K107" s="65">
        <f t="shared" si="1"/>
        <v>359.9</v>
      </c>
      <c r="L107" s="65">
        <f t="shared" si="1"/>
        <v>32.729999999999997</v>
      </c>
      <c r="M107" s="65">
        <f t="shared" si="1"/>
        <v>80.680000000000007</v>
      </c>
      <c r="N107" s="65">
        <f t="shared" si="1"/>
        <v>899.3</v>
      </c>
      <c r="O107" s="65">
        <f t="shared" si="1"/>
        <v>0</v>
      </c>
      <c r="P107" s="65">
        <f t="shared" si="1"/>
        <v>2.8</v>
      </c>
      <c r="Q107" s="65">
        <f t="shared" si="1"/>
        <v>52.12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32.521874999999994</v>
      </c>
      <c r="C108" s="66">
        <f t="shared" ref="C108:Q108" si="2">AVERAGE(C9:C104)</f>
        <v>45.218958333333326</v>
      </c>
      <c r="D108" s="66">
        <f t="shared" si="2"/>
        <v>53.920104166666654</v>
      </c>
      <c r="E108" s="66">
        <f t="shared" si="2"/>
        <v>5.5519791666666691</v>
      </c>
      <c r="F108" s="66">
        <f t="shared" si="2"/>
        <v>13.325625000000002</v>
      </c>
      <c r="G108" s="66">
        <f t="shared" si="2"/>
        <v>41.749139784946209</v>
      </c>
      <c r="H108" s="66">
        <f t="shared" si="2"/>
        <v>16.189032258064522</v>
      </c>
      <c r="I108" s="66">
        <f t="shared" si="2"/>
        <v>0.62562500000000021</v>
      </c>
      <c r="J108" s="66">
        <f t="shared" si="2"/>
        <v>0.50375000000000025</v>
      </c>
      <c r="K108" s="66">
        <f t="shared" si="2"/>
        <v>142.26052083333329</v>
      </c>
      <c r="L108" s="66">
        <f t="shared" si="2"/>
        <v>25.351666666666659</v>
      </c>
      <c r="M108" s="66">
        <f t="shared" si="2"/>
        <v>52.07114583333334</v>
      </c>
      <c r="N108" s="66">
        <f t="shared" si="2"/>
        <v>236.5</v>
      </c>
      <c r="O108" s="66">
        <f t="shared" si="2"/>
        <v>0</v>
      </c>
      <c r="P108" s="66">
        <f t="shared" si="2"/>
        <v>0.94416666666666671</v>
      </c>
      <c r="Q108" s="66">
        <f t="shared" si="2"/>
        <v>42.759583333333332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46.661701489776959</v>
      </c>
      <c r="C109" s="66">
        <f t="shared" ref="C109:Q109" si="3">STDEV(C9:C104)</f>
        <v>22.224036749200746</v>
      </c>
      <c r="D109" s="66">
        <f t="shared" si="3"/>
        <v>47.523778170174808</v>
      </c>
      <c r="E109" s="66">
        <f t="shared" si="3"/>
        <v>16.596104655185716</v>
      </c>
      <c r="F109" s="66">
        <f t="shared" si="3"/>
        <v>42.325911506645916</v>
      </c>
      <c r="G109" s="66">
        <f t="shared" si="3"/>
        <v>27.400557779784236</v>
      </c>
      <c r="H109" s="66">
        <f t="shared" si="3"/>
        <v>6.9498655076940095</v>
      </c>
      <c r="I109" s="66">
        <f t="shared" si="3"/>
        <v>0.19846682077205818</v>
      </c>
      <c r="J109" s="66">
        <f t="shared" si="3"/>
        <v>0.4619005361148194</v>
      </c>
      <c r="K109" s="66">
        <f t="shared" si="3"/>
        <v>99.090727691660106</v>
      </c>
      <c r="L109" s="66">
        <f t="shared" si="3"/>
        <v>4.4568198874054072</v>
      </c>
      <c r="M109" s="66">
        <f t="shared" si="3"/>
        <v>15.437670799893256</v>
      </c>
      <c r="N109" s="66">
        <f t="shared" si="3"/>
        <v>329.37053330637559</v>
      </c>
      <c r="O109" s="66">
        <f t="shared" si="3"/>
        <v>0</v>
      </c>
      <c r="P109" s="66">
        <f t="shared" si="3"/>
        <v>0.87514048997459948</v>
      </c>
      <c r="Q109" s="66">
        <f t="shared" si="3"/>
        <v>4.6802680797412162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96</v>
      </c>
      <c r="H110" s="65">
        <f>COUNT(H9:H104)+3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28-03-2023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3" t="s">
        <v>243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2841</v>
      </c>
      <c r="B9" s="59">
        <v>102.41</v>
      </c>
      <c r="C9" s="59">
        <v>44.08</v>
      </c>
      <c r="D9" s="59">
        <v>108.2</v>
      </c>
      <c r="E9" s="59">
        <v>3.84</v>
      </c>
      <c r="F9" s="59">
        <v>3.4</v>
      </c>
      <c r="G9" s="59">
        <v>117.37</v>
      </c>
      <c r="H9" s="59">
        <v>37.64</v>
      </c>
      <c r="I9" s="59">
        <v>1.1000000000000001</v>
      </c>
      <c r="J9" s="59">
        <v>0.4</v>
      </c>
      <c r="K9" s="59">
        <v>225.94</v>
      </c>
      <c r="L9" s="59">
        <v>23.36</v>
      </c>
      <c r="M9" s="59">
        <v>42.42</v>
      </c>
      <c r="N9" s="59">
        <v>3</v>
      </c>
      <c r="O9" s="59">
        <v>0</v>
      </c>
      <c r="P9" s="59">
        <v>2.39</v>
      </c>
      <c r="Q9" s="59">
        <v>44.46</v>
      </c>
      <c r="R9" s="197"/>
      <c r="S9" s="197"/>
      <c r="T9" s="197"/>
      <c r="U9" s="197"/>
    </row>
    <row r="10" spans="1:21" s="12" customFormat="1" x14ac:dyDescent="0.25">
      <c r="A10" s="200" t="s">
        <v>2842</v>
      </c>
      <c r="B10" s="59">
        <v>96.47</v>
      </c>
      <c r="C10" s="59">
        <v>36.64</v>
      </c>
      <c r="D10" s="59">
        <v>99.32</v>
      </c>
      <c r="E10" s="59">
        <v>4.25</v>
      </c>
      <c r="F10" s="59">
        <v>5.01</v>
      </c>
      <c r="G10" s="59">
        <v>124.46</v>
      </c>
      <c r="H10" s="59">
        <v>37.44</v>
      </c>
      <c r="I10" s="59">
        <v>1.1000000000000001</v>
      </c>
      <c r="J10" s="59">
        <v>0.38</v>
      </c>
      <c r="K10" s="59">
        <v>193.1</v>
      </c>
      <c r="L10" s="59">
        <v>22.74</v>
      </c>
      <c r="M10" s="59">
        <v>45.51</v>
      </c>
      <c r="N10" s="59">
        <v>4.2</v>
      </c>
      <c r="O10" s="59">
        <v>0</v>
      </c>
      <c r="P10" s="59">
        <v>2.2200000000000002</v>
      </c>
      <c r="Q10" s="59">
        <v>46.98</v>
      </c>
      <c r="R10" s="197"/>
      <c r="S10" s="197"/>
      <c r="T10" s="197"/>
      <c r="U10" s="197"/>
    </row>
    <row r="11" spans="1:21" s="12" customFormat="1" x14ac:dyDescent="0.25">
      <c r="A11" s="200" t="s">
        <v>2843</v>
      </c>
      <c r="B11" s="59">
        <v>89.27</v>
      </c>
      <c r="C11" s="59">
        <v>43.54</v>
      </c>
      <c r="D11" s="59">
        <v>97.36</v>
      </c>
      <c r="E11" s="59">
        <v>3.89</v>
      </c>
      <c r="F11" s="59">
        <v>4.16</v>
      </c>
      <c r="G11" s="59">
        <v>124.79</v>
      </c>
      <c r="H11" s="59">
        <v>37.44</v>
      </c>
      <c r="I11" s="59">
        <v>1.05</v>
      </c>
      <c r="J11" s="59">
        <v>0.12</v>
      </c>
      <c r="K11" s="59">
        <v>103.99</v>
      </c>
      <c r="L11" s="59">
        <v>22.32</v>
      </c>
      <c r="M11" s="59">
        <v>47.86</v>
      </c>
      <c r="N11" s="59">
        <v>4.7</v>
      </c>
      <c r="O11" s="59">
        <v>0</v>
      </c>
      <c r="P11" s="59">
        <v>2.11</v>
      </c>
      <c r="Q11" s="59">
        <v>46.78</v>
      </c>
      <c r="R11" s="197"/>
      <c r="S11" s="197"/>
      <c r="T11" s="197"/>
      <c r="U11" s="197"/>
    </row>
    <row r="12" spans="1:21" s="12" customFormat="1" x14ac:dyDescent="0.25">
      <c r="A12" s="200" t="s">
        <v>2844</v>
      </c>
      <c r="B12" s="59">
        <v>84.13</v>
      </c>
      <c r="C12" s="59">
        <v>34.450000000000003</v>
      </c>
      <c r="D12" s="59">
        <v>88.22</v>
      </c>
      <c r="E12" s="59">
        <v>3.97</v>
      </c>
      <c r="F12" s="59">
        <v>5.37</v>
      </c>
      <c r="G12" s="59">
        <v>124.79</v>
      </c>
      <c r="H12" s="59">
        <v>37.44</v>
      </c>
      <c r="I12" s="59">
        <v>1.04</v>
      </c>
      <c r="J12" s="59">
        <v>0.08</v>
      </c>
      <c r="K12" s="59">
        <v>42.43</v>
      </c>
      <c r="L12" s="59">
        <v>21.82</v>
      </c>
      <c r="M12" s="59">
        <v>49.85</v>
      </c>
      <c r="N12" s="59">
        <v>4.4000000000000004</v>
      </c>
      <c r="O12" s="59">
        <v>0</v>
      </c>
      <c r="P12" s="59">
        <v>1.98</v>
      </c>
      <c r="Q12" s="59">
        <v>48.72</v>
      </c>
      <c r="R12" s="197"/>
      <c r="S12" s="197"/>
      <c r="T12" s="197"/>
      <c r="U12" s="197"/>
    </row>
    <row r="13" spans="1:21" s="12" customFormat="1" x14ac:dyDescent="0.25">
      <c r="A13" s="200" t="s">
        <v>2845</v>
      </c>
      <c r="B13" s="59">
        <v>85.53</v>
      </c>
      <c r="C13" s="59">
        <v>33.380000000000003</v>
      </c>
      <c r="D13" s="59">
        <v>88.76</v>
      </c>
      <c r="E13" s="59">
        <v>3.47</v>
      </c>
      <c r="F13" s="59">
        <v>4.07</v>
      </c>
      <c r="G13" s="59">
        <v>124.79</v>
      </c>
      <c r="H13" s="59">
        <v>37.44</v>
      </c>
      <c r="I13" s="59">
        <v>1.05</v>
      </c>
      <c r="J13" s="59">
        <v>0.48</v>
      </c>
      <c r="K13" s="59">
        <v>85.16</v>
      </c>
      <c r="L13" s="59">
        <v>21.78</v>
      </c>
      <c r="M13" s="59">
        <v>51.09</v>
      </c>
      <c r="N13" s="59">
        <v>3.7</v>
      </c>
      <c r="O13" s="59">
        <v>0</v>
      </c>
      <c r="P13" s="59">
        <v>1.95</v>
      </c>
      <c r="Q13" s="59">
        <v>44.31</v>
      </c>
      <c r="R13" s="197"/>
      <c r="S13" s="197"/>
      <c r="T13" s="197"/>
      <c r="U13" s="197"/>
    </row>
    <row r="14" spans="1:21" s="12" customFormat="1" x14ac:dyDescent="0.25">
      <c r="A14" s="200" t="s">
        <v>2846</v>
      </c>
      <c r="B14" s="59">
        <v>81.319999999999993</v>
      </c>
      <c r="C14" s="59">
        <v>34.020000000000003</v>
      </c>
      <c r="D14" s="59">
        <v>85.72</v>
      </c>
      <c r="E14" s="59">
        <v>3.5</v>
      </c>
      <c r="F14" s="59">
        <v>4.55</v>
      </c>
      <c r="G14" s="59">
        <v>100.56</v>
      </c>
      <c r="H14" s="59">
        <v>29.59</v>
      </c>
      <c r="I14" s="59">
        <v>0.93</v>
      </c>
      <c r="J14" s="59">
        <v>0.3</v>
      </c>
      <c r="K14" s="59">
        <v>70.83</v>
      </c>
      <c r="L14" s="59">
        <v>21.73</v>
      </c>
      <c r="M14" s="59">
        <v>53.56</v>
      </c>
      <c r="N14" s="59">
        <v>4.5</v>
      </c>
      <c r="O14" s="59">
        <v>0</v>
      </c>
      <c r="P14" s="59">
        <v>2.0099999999999998</v>
      </c>
      <c r="Q14" s="59">
        <v>46.43</v>
      </c>
      <c r="R14" s="197"/>
      <c r="S14" s="197"/>
      <c r="T14" s="197"/>
      <c r="U14" s="197"/>
    </row>
    <row r="15" spans="1:21" s="12" customFormat="1" x14ac:dyDescent="0.25">
      <c r="A15" s="200" t="s">
        <v>2847</v>
      </c>
      <c r="B15" s="59">
        <v>79.25</v>
      </c>
      <c r="C15" s="59">
        <v>32.26</v>
      </c>
      <c r="D15" s="59">
        <v>83.09</v>
      </c>
      <c r="E15" s="59">
        <v>3.11</v>
      </c>
      <c r="F15" s="59">
        <v>4.58</v>
      </c>
      <c r="G15" s="59">
        <v>99.43</v>
      </c>
      <c r="H15" s="59">
        <v>29.59</v>
      </c>
      <c r="I15" s="59">
        <v>0.99</v>
      </c>
      <c r="J15" s="59">
        <v>0.18</v>
      </c>
      <c r="K15" s="59">
        <v>53.31</v>
      </c>
      <c r="L15" s="59">
        <v>20.72</v>
      </c>
      <c r="M15" s="59">
        <v>57.89</v>
      </c>
      <c r="N15" s="59">
        <v>5.0999999999999996</v>
      </c>
      <c r="O15" s="59">
        <v>0</v>
      </c>
      <c r="P15" s="59">
        <v>1.91</v>
      </c>
      <c r="Q15" s="59">
        <v>47.01</v>
      </c>
      <c r="R15" s="197"/>
      <c r="S15" s="197"/>
      <c r="T15" s="197"/>
      <c r="U15" s="197"/>
    </row>
    <row r="16" spans="1:21" s="12" customFormat="1" x14ac:dyDescent="0.25">
      <c r="A16" s="200" t="s">
        <v>2848</v>
      </c>
      <c r="B16" s="59">
        <v>74.45</v>
      </c>
      <c r="C16" s="59">
        <v>33.67</v>
      </c>
      <c r="D16" s="59">
        <v>80.03</v>
      </c>
      <c r="E16" s="59">
        <v>3.43</v>
      </c>
      <c r="F16" s="59">
        <v>4.24</v>
      </c>
      <c r="G16" s="59">
        <v>99.43</v>
      </c>
      <c r="H16" s="59">
        <v>29.59</v>
      </c>
      <c r="I16" s="59">
        <v>1.04</v>
      </c>
      <c r="J16" s="59">
        <v>0.11</v>
      </c>
      <c r="K16" s="59">
        <v>309.91000000000003</v>
      </c>
      <c r="L16" s="59">
        <v>20.13</v>
      </c>
      <c r="M16" s="59">
        <v>58.98</v>
      </c>
      <c r="N16" s="59">
        <v>4.5</v>
      </c>
      <c r="O16" s="59">
        <v>0</v>
      </c>
      <c r="P16" s="59">
        <v>1.85</v>
      </c>
      <c r="Q16" s="59">
        <v>46.67</v>
      </c>
      <c r="R16" s="197"/>
      <c r="S16" s="197"/>
      <c r="T16" s="197"/>
      <c r="U16" s="197"/>
    </row>
    <row r="17" spans="1:21" s="12" customFormat="1" x14ac:dyDescent="0.25">
      <c r="A17" s="200" t="s">
        <v>2849</v>
      </c>
      <c r="B17" s="59">
        <v>70.08</v>
      </c>
      <c r="C17" s="59">
        <v>35.770000000000003</v>
      </c>
      <c r="D17" s="59">
        <v>77.680000000000007</v>
      </c>
      <c r="E17" s="59">
        <v>3.44</v>
      </c>
      <c r="F17" s="59">
        <v>4.9800000000000004</v>
      </c>
      <c r="G17" s="59">
        <v>99.43</v>
      </c>
      <c r="H17" s="59">
        <v>29.59</v>
      </c>
      <c r="I17" s="59">
        <v>1.03</v>
      </c>
      <c r="J17" s="59">
        <v>0.04</v>
      </c>
      <c r="K17" s="59">
        <v>356.14</v>
      </c>
      <c r="L17" s="59">
        <v>20.7</v>
      </c>
      <c r="M17" s="59">
        <v>54.5</v>
      </c>
      <c r="N17" s="59">
        <v>4.5</v>
      </c>
      <c r="O17" s="59">
        <v>0</v>
      </c>
      <c r="P17" s="59">
        <v>1.74</v>
      </c>
      <c r="Q17" s="59">
        <v>46.49</v>
      </c>
      <c r="R17" s="197"/>
      <c r="S17" s="197"/>
      <c r="T17" s="197"/>
      <c r="U17" s="197"/>
    </row>
    <row r="18" spans="1:21" s="12" customFormat="1" x14ac:dyDescent="0.25">
      <c r="A18" s="200" t="s">
        <v>2850</v>
      </c>
      <c r="B18" s="59">
        <v>65.83</v>
      </c>
      <c r="C18" s="59">
        <v>39.1</v>
      </c>
      <c r="D18" s="59">
        <v>76.11</v>
      </c>
      <c r="E18" s="59">
        <v>3.46</v>
      </c>
      <c r="F18" s="59">
        <v>3.75</v>
      </c>
      <c r="G18" s="59">
        <v>81.77</v>
      </c>
      <c r="H18" s="59">
        <v>27.36</v>
      </c>
      <c r="I18" s="59">
        <v>1</v>
      </c>
      <c r="J18" s="59">
        <v>0.05</v>
      </c>
      <c r="K18" s="59">
        <v>254.88</v>
      </c>
      <c r="L18" s="59">
        <v>20.41</v>
      </c>
      <c r="M18" s="59">
        <v>55.99</v>
      </c>
      <c r="N18" s="59">
        <v>4.5</v>
      </c>
      <c r="O18" s="59">
        <v>0</v>
      </c>
      <c r="P18" s="59">
        <v>1.68</v>
      </c>
      <c r="Q18" s="59">
        <v>46.41</v>
      </c>
      <c r="R18" s="197"/>
      <c r="S18" s="197"/>
      <c r="T18" s="197"/>
      <c r="U18" s="197"/>
    </row>
    <row r="19" spans="1:21" s="12" customFormat="1" x14ac:dyDescent="0.25">
      <c r="A19" s="200" t="s">
        <v>2851</v>
      </c>
      <c r="B19" s="59">
        <v>66.349999999999994</v>
      </c>
      <c r="C19" s="59">
        <v>35.64</v>
      </c>
      <c r="D19" s="59">
        <v>74.62</v>
      </c>
      <c r="E19" s="59">
        <v>3.24</v>
      </c>
      <c r="F19" s="59">
        <v>3.47</v>
      </c>
      <c r="G19" s="59">
        <v>80.95</v>
      </c>
      <c r="H19" s="59">
        <v>27.36</v>
      </c>
      <c r="I19" s="59">
        <v>0.97</v>
      </c>
      <c r="J19" s="59">
        <v>0.09</v>
      </c>
      <c r="K19" s="59">
        <v>76.33</v>
      </c>
      <c r="L19" s="59">
        <v>20.079999999999998</v>
      </c>
      <c r="M19" s="59">
        <v>60.14</v>
      </c>
      <c r="N19" s="59">
        <v>4.7</v>
      </c>
      <c r="O19" s="59">
        <v>0</v>
      </c>
      <c r="P19" s="59">
        <v>1.67</v>
      </c>
      <c r="Q19" s="59">
        <v>46.54</v>
      </c>
      <c r="R19" s="197"/>
      <c r="S19" s="197"/>
      <c r="T19" s="197"/>
      <c r="U19" s="197"/>
    </row>
    <row r="20" spans="1:21" s="12" customFormat="1" x14ac:dyDescent="0.25">
      <c r="A20" s="200" t="s">
        <v>2852</v>
      </c>
      <c r="B20" s="59">
        <v>66.58</v>
      </c>
      <c r="C20" s="59">
        <v>37.07</v>
      </c>
      <c r="D20" s="59">
        <v>75.59</v>
      </c>
      <c r="E20" s="59">
        <v>2.94</v>
      </c>
      <c r="F20" s="59">
        <v>2.56</v>
      </c>
      <c r="G20" s="59">
        <v>80.95</v>
      </c>
      <c r="H20" s="59">
        <v>27.36</v>
      </c>
      <c r="I20" s="59">
        <v>0.95</v>
      </c>
      <c r="J20" s="59">
        <v>0.39</v>
      </c>
      <c r="K20" s="59">
        <v>0.49</v>
      </c>
      <c r="L20" s="59">
        <v>20.03</v>
      </c>
      <c r="M20" s="59">
        <v>62.28</v>
      </c>
      <c r="N20" s="59">
        <v>4.4000000000000004</v>
      </c>
      <c r="O20" s="59">
        <v>0</v>
      </c>
      <c r="P20" s="59">
        <v>1.7</v>
      </c>
      <c r="Q20" s="59">
        <v>45</v>
      </c>
      <c r="R20" s="197"/>
      <c r="S20" s="197"/>
      <c r="T20" s="197"/>
      <c r="U20" s="197"/>
    </row>
    <row r="21" spans="1:21" s="12" customFormat="1" x14ac:dyDescent="0.25">
      <c r="A21" s="200" t="s">
        <v>2853</v>
      </c>
      <c r="B21" s="59">
        <v>66.98</v>
      </c>
      <c r="C21" s="59">
        <v>41.58</v>
      </c>
      <c r="D21" s="59">
        <v>78.400000000000006</v>
      </c>
      <c r="E21" s="59">
        <v>2.88</v>
      </c>
      <c r="F21" s="59">
        <v>2.52</v>
      </c>
      <c r="G21" s="59">
        <v>80.95</v>
      </c>
      <c r="H21" s="59">
        <v>27.36</v>
      </c>
      <c r="I21" s="59">
        <v>0.94</v>
      </c>
      <c r="J21" s="59">
        <v>0.09</v>
      </c>
      <c r="K21" s="59">
        <v>118.61</v>
      </c>
      <c r="L21" s="59">
        <v>20.05</v>
      </c>
      <c r="M21" s="59">
        <v>60.71</v>
      </c>
      <c r="N21" s="59">
        <v>3.7</v>
      </c>
      <c r="O21" s="59">
        <v>0</v>
      </c>
      <c r="P21" s="59">
        <v>1.62</v>
      </c>
      <c r="Q21" s="59">
        <v>50.33</v>
      </c>
      <c r="R21" s="197"/>
      <c r="S21" s="197"/>
      <c r="T21" s="197"/>
      <c r="U21" s="197"/>
    </row>
    <row r="22" spans="1:21" s="12" customFormat="1" x14ac:dyDescent="0.25">
      <c r="A22" s="200" t="s">
        <v>2854</v>
      </c>
      <c r="B22" s="59">
        <v>62.95</v>
      </c>
      <c r="C22" s="59">
        <v>34.090000000000003</v>
      </c>
      <c r="D22" s="59">
        <v>71.03</v>
      </c>
      <c r="E22" s="59">
        <v>3.22</v>
      </c>
      <c r="F22" s="59">
        <v>3.24</v>
      </c>
      <c r="G22" s="59">
        <v>70.14</v>
      </c>
      <c r="H22" s="59">
        <v>27.63</v>
      </c>
      <c r="I22" s="59">
        <v>0.97</v>
      </c>
      <c r="J22" s="59">
        <v>0.1</v>
      </c>
      <c r="K22" s="59">
        <v>212.33</v>
      </c>
      <c r="L22" s="59">
        <v>20.329999999999998</v>
      </c>
      <c r="M22" s="59">
        <v>59.04</v>
      </c>
      <c r="N22" s="59">
        <v>4.3</v>
      </c>
      <c r="O22" s="59">
        <v>0</v>
      </c>
      <c r="P22" s="59">
        <v>1.58</v>
      </c>
      <c r="Q22" s="59">
        <v>44</v>
      </c>
      <c r="R22" s="197"/>
      <c r="S22" s="197"/>
      <c r="T22" s="197"/>
      <c r="U22" s="197"/>
    </row>
    <row r="23" spans="1:21" s="12" customFormat="1" x14ac:dyDescent="0.25">
      <c r="A23" s="200" t="s">
        <v>2855</v>
      </c>
      <c r="B23" s="59">
        <v>62.49</v>
      </c>
      <c r="C23" s="59">
        <v>36.450000000000003</v>
      </c>
      <c r="D23" s="59">
        <v>71.97</v>
      </c>
      <c r="E23" s="59">
        <v>2.86</v>
      </c>
      <c r="F23" s="59">
        <v>2.68</v>
      </c>
      <c r="G23" s="59">
        <v>69.64</v>
      </c>
      <c r="H23" s="59">
        <v>27.63</v>
      </c>
      <c r="I23" s="59">
        <v>0.95</v>
      </c>
      <c r="J23" s="59">
        <v>0.24</v>
      </c>
      <c r="K23" s="59">
        <v>38.229999999999997</v>
      </c>
      <c r="L23" s="59">
        <v>19.98</v>
      </c>
      <c r="M23" s="59">
        <v>60.88</v>
      </c>
      <c r="N23" s="59">
        <v>4.9000000000000004</v>
      </c>
      <c r="O23" s="59">
        <v>0</v>
      </c>
      <c r="P23" s="59">
        <v>1.52</v>
      </c>
      <c r="Q23" s="59">
        <v>48.6</v>
      </c>
      <c r="R23" s="197"/>
      <c r="S23" s="197"/>
      <c r="T23" s="197"/>
      <c r="U23" s="197"/>
    </row>
    <row r="24" spans="1:21" s="12" customFormat="1" x14ac:dyDescent="0.25">
      <c r="A24" s="200" t="s">
        <v>2856</v>
      </c>
      <c r="B24" s="59">
        <v>60.37</v>
      </c>
      <c r="C24" s="59">
        <v>35.520000000000003</v>
      </c>
      <c r="D24" s="59">
        <v>69.760000000000005</v>
      </c>
      <c r="E24" s="59">
        <v>1.07</v>
      </c>
      <c r="F24" s="59">
        <v>2.77</v>
      </c>
      <c r="G24" s="59">
        <v>69.64</v>
      </c>
      <c r="H24" s="59">
        <v>27.63</v>
      </c>
      <c r="I24" s="59">
        <v>0.92</v>
      </c>
      <c r="J24" s="59">
        <v>7.0000000000000007E-2</v>
      </c>
      <c r="K24" s="59">
        <v>80.05</v>
      </c>
      <c r="L24" s="59">
        <v>20.13</v>
      </c>
      <c r="M24" s="59">
        <v>55.83</v>
      </c>
      <c r="N24" s="59">
        <v>4.4000000000000004</v>
      </c>
      <c r="O24" s="59">
        <v>0</v>
      </c>
      <c r="P24" s="59">
        <v>1.5</v>
      </c>
      <c r="Q24" s="59">
        <v>42.85</v>
      </c>
      <c r="R24" s="197"/>
      <c r="S24" s="197"/>
      <c r="T24" s="197"/>
      <c r="U24" s="197"/>
    </row>
    <row r="25" spans="1:21" s="12" customFormat="1" x14ac:dyDescent="0.25">
      <c r="A25" s="200" t="s">
        <v>2857</v>
      </c>
      <c r="B25" s="59">
        <v>57.02</v>
      </c>
      <c r="C25" s="59">
        <v>36.22</v>
      </c>
      <c r="D25" s="59">
        <v>67.45</v>
      </c>
      <c r="E25" s="59">
        <v>1.57</v>
      </c>
      <c r="F25" s="59">
        <v>2.91</v>
      </c>
      <c r="G25" s="59">
        <v>69.64</v>
      </c>
      <c r="H25" s="59">
        <v>27.63</v>
      </c>
      <c r="I25" s="59">
        <v>0.93</v>
      </c>
      <c r="J25" s="59">
        <v>0.11</v>
      </c>
      <c r="K25" s="59">
        <v>104.21</v>
      </c>
      <c r="L25" s="59">
        <v>20.04</v>
      </c>
      <c r="M25" s="59">
        <v>56.08</v>
      </c>
      <c r="N25" s="59">
        <v>4.5999999999999996</v>
      </c>
      <c r="O25" s="59">
        <v>0</v>
      </c>
      <c r="P25" s="59">
        <v>1.42</v>
      </c>
      <c r="Q25" s="59">
        <v>47.31</v>
      </c>
      <c r="R25" s="197"/>
      <c r="S25" s="197"/>
      <c r="T25" s="197"/>
      <c r="U25" s="197"/>
    </row>
    <row r="26" spans="1:21" s="12" customFormat="1" x14ac:dyDescent="0.25">
      <c r="A26" s="200" t="s">
        <v>2858</v>
      </c>
      <c r="B26" s="59">
        <v>57.21</v>
      </c>
      <c r="C26" s="59">
        <v>37.14</v>
      </c>
      <c r="D26" s="59">
        <v>68.12</v>
      </c>
      <c r="E26" s="59">
        <v>1.63</v>
      </c>
      <c r="F26" s="59">
        <v>2.54</v>
      </c>
      <c r="G26" s="59">
        <v>64.77</v>
      </c>
      <c r="H26" s="59">
        <v>24.5</v>
      </c>
      <c r="I26" s="59">
        <v>0.91</v>
      </c>
      <c r="J26" s="59">
        <v>0.81</v>
      </c>
      <c r="K26" s="59">
        <v>171.1</v>
      </c>
      <c r="L26" s="59">
        <v>20.59</v>
      </c>
      <c r="M26" s="59">
        <v>54.76</v>
      </c>
      <c r="N26" s="59">
        <v>2.2999999999999998</v>
      </c>
      <c r="O26" s="59">
        <v>0</v>
      </c>
      <c r="P26" s="59">
        <v>1.44</v>
      </c>
      <c r="Q26" s="59">
        <v>43.41</v>
      </c>
      <c r="R26" s="197"/>
      <c r="S26" s="197"/>
      <c r="T26" s="197"/>
      <c r="U26" s="197"/>
    </row>
    <row r="27" spans="1:21" s="12" customFormat="1" x14ac:dyDescent="0.25">
      <c r="A27" s="200" t="s">
        <v>2859</v>
      </c>
      <c r="B27" s="59">
        <v>56.76</v>
      </c>
      <c r="C27" s="59">
        <v>36.01</v>
      </c>
      <c r="D27" s="59">
        <v>67.13</v>
      </c>
      <c r="E27" s="59">
        <v>1.32</v>
      </c>
      <c r="F27" s="59">
        <v>2.77</v>
      </c>
      <c r="G27" s="59">
        <v>64.540000000000006</v>
      </c>
      <c r="H27" s="59">
        <v>24.5</v>
      </c>
      <c r="I27" s="59">
        <v>0.88</v>
      </c>
      <c r="J27" s="59">
        <v>0.38</v>
      </c>
      <c r="K27" s="59">
        <v>176.88</v>
      </c>
      <c r="L27" s="59">
        <v>21.15</v>
      </c>
      <c r="M27" s="59">
        <v>53.45</v>
      </c>
      <c r="N27" s="59">
        <v>4.2</v>
      </c>
      <c r="O27" s="59">
        <v>0</v>
      </c>
      <c r="P27" s="59">
        <v>1.37</v>
      </c>
      <c r="Q27" s="59">
        <v>44.27</v>
      </c>
      <c r="R27" s="197"/>
      <c r="S27" s="197"/>
      <c r="T27" s="197"/>
      <c r="U27" s="197"/>
    </row>
    <row r="28" spans="1:21" s="12" customFormat="1" x14ac:dyDescent="0.25">
      <c r="A28" s="200" t="s">
        <v>2860</v>
      </c>
      <c r="B28" s="59">
        <v>55.52</v>
      </c>
      <c r="C28" s="59">
        <v>36.119999999999997</v>
      </c>
      <c r="D28" s="59">
        <v>66.2</v>
      </c>
      <c r="E28" s="59">
        <v>1.52</v>
      </c>
      <c r="F28" s="59">
        <v>2.6</v>
      </c>
      <c r="G28" s="59">
        <v>64.540000000000006</v>
      </c>
      <c r="H28" s="59">
        <v>24.5</v>
      </c>
      <c r="I28" s="59">
        <v>0.89</v>
      </c>
      <c r="J28" s="59">
        <v>0.18</v>
      </c>
      <c r="K28" s="59">
        <v>350.27</v>
      </c>
      <c r="L28" s="59">
        <v>20.04</v>
      </c>
      <c r="M28" s="59">
        <v>60.51</v>
      </c>
      <c r="N28" s="59">
        <v>5.5</v>
      </c>
      <c r="O28" s="59">
        <v>0</v>
      </c>
      <c r="P28" s="59">
        <v>1.34</v>
      </c>
      <c r="Q28" s="59">
        <v>45.68</v>
      </c>
      <c r="R28" s="197"/>
      <c r="S28" s="197"/>
      <c r="T28" s="197"/>
      <c r="U28" s="197"/>
    </row>
    <row r="29" spans="1:21" s="12" customFormat="1" x14ac:dyDescent="0.25">
      <c r="A29" s="200" t="s">
        <v>2861</v>
      </c>
      <c r="B29" s="59">
        <v>56.77</v>
      </c>
      <c r="C29" s="59">
        <v>35.93</v>
      </c>
      <c r="D29" s="59">
        <v>67.099999999999994</v>
      </c>
      <c r="E29" s="59">
        <v>1.69</v>
      </c>
      <c r="F29" s="59">
        <v>2.59</v>
      </c>
      <c r="G29" s="59">
        <v>64.540000000000006</v>
      </c>
      <c r="H29" s="59">
        <v>24.5</v>
      </c>
      <c r="I29" s="59">
        <v>0.85</v>
      </c>
      <c r="J29" s="59">
        <v>0.16</v>
      </c>
      <c r="K29" s="59">
        <v>337.83</v>
      </c>
      <c r="L29" s="59">
        <v>19.309999999999999</v>
      </c>
      <c r="M29" s="59">
        <v>64.94</v>
      </c>
      <c r="N29" s="59">
        <v>5</v>
      </c>
      <c r="O29" s="59">
        <v>0</v>
      </c>
      <c r="P29" s="59">
        <v>1.33</v>
      </c>
      <c r="Q29" s="59">
        <v>45.44</v>
      </c>
      <c r="R29" s="197"/>
      <c r="S29" s="197"/>
      <c r="T29" s="197"/>
      <c r="U29" s="197"/>
    </row>
    <row r="30" spans="1:21" s="12" customFormat="1" x14ac:dyDescent="0.25">
      <c r="A30" s="200" t="s">
        <v>2862</v>
      </c>
      <c r="B30" s="59">
        <v>58.12</v>
      </c>
      <c r="C30" s="59">
        <v>36.51</v>
      </c>
      <c r="D30" s="59">
        <v>68.5</v>
      </c>
      <c r="E30" s="59">
        <v>1.61</v>
      </c>
      <c r="F30" s="59">
        <v>2.4900000000000002</v>
      </c>
      <c r="G30" s="59">
        <v>66.62</v>
      </c>
      <c r="H30" s="59">
        <v>27.64</v>
      </c>
      <c r="I30" s="59">
        <v>0.83</v>
      </c>
      <c r="J30" s="59">
        <v>0.18</v>
      </c>
      <c r="K30" s="59">
        <v>255.16</v>
      </c>
      <c r="L30" s="59">
        <v>19.05</v>
      </c>
      <c r="M30" s="59">
        <v>65.790000000000006</v>
      </c>
      <c r="N30" s="59">
        <v>4.5</v>
      </c>
      <c r="O30" s="59">
        <v>0</v>
      </c>
      <c r="P30" s="59">
        <v>1.32</v>
      </c>
      <c r="Q30" s="59">
        <v>44.8</v>
      </c>
      <c r="R30" s="197"/>
      <c r="S30" s="197"/>
      <c r="T30" s="197"/>
      <c r="U30" s="197"/>
    </row>
    <row r="31" spans="1:21" s="12" customFormat="1" x14ac:dyDescent="0.25">
      <c r="A31" s="200" t="s">
        <v>2863</v>
      </c>
      <c r="B31" s="59">
        <v>58.24</v>
      </c>
      <c r="C31" s="59">
        <v>36.43</v>
      </c>
      <c r="D31" s="59">
        <v>68.55</v>
      </c>
      <c r="E31" s="59">
        <v>1.65</v>
      </c>
      <c r="F31" s="59">
        <v>2.4700000000000002</v>
      </c>
      <c r="G31" s="59">
        <v>66.709999999999994</v>
      </c>
      <c r="H31" s="59">
        <v>27.78</v>
      </c>
      <c r="I31" s="59">
        <v>0.85</v>
      </c>
      <c r="J31" s="59">
        <v>7.0000000000000007E-2</v>
      </c>
      <c r="K31" s="59">
        <v>345.32</v>
      </c>
      <c r="L31" s="59">
        <v>18.98</v>
      </c>
      <c r="M31" s="59">
        <v>67.069999999999993</v>
      </c>
      <c r="N31" s="59">
        <v>5.2</v>
      </c>
      <c r="O31" s="59">
        <v>0</v>
      </c>
      <c r="P31" s="59">
        <v>1.3</v>
      </c>
      <c r="Q31" s="59">
        <v>45.27</v>
      </c>
      <c r="R31" s="197"/>
      <c r="S31" s="197"/>
      <c r="T31" s="197"/>
      <c r="U31" s="197"/>
    </row>
    <row r="32" spans="1:21" s="12" customFormat="1" x14ac:dyDescent="0.25">
      <c r="A32" s="200" t="s">
        <v>2864</v>
      </c>
      <c r="B32" s="59">
        <v>61.67</v>
      </c>
      <c r="C32" s="59">
        <v>40.19</v>
      </c>
      <c r="D32" s="59">
        <v>73.37</v>
      </c>
      <c r="E32" s="59">
        <v>2.19</v>
      </c>
      <c r="F32" s="59">
        <v>2.39</v>
      </c>
      <c r="G32" s="59">
        <v>66.709999999999994</v>
      </c>
      <c r="H32" s="59">
        <v>27.78</v>
      </c>
      <c r="I32" s="59">
        <v>0.83</v>
      </c>
      <c r="J32" s="59">
        <v>7.0000000000000007E-2</v>
      </c>
      <c r="K32" s="59">
        <v>86.09</v>
      </c>
      <c r="L32" s="59">
        <v>18.78</v>
      </c>
      <c r="M32" s="59">
        <v>68.069999999999993</v>
      </c>
      <c r="N32" s="59">
        <v>7.7</v>
      </c>
      <c r="O32" s="59">
        <v>0</v>
      </c>
      <c r="P32" s="59">
        <v>1.29</v>
      </c>
      <c r="Q32" s="59">
        <v>45.84</v>
      </c>
      <c r="R32" s="197"/>
      <c r="S32" s="197"/>
      <c r="T32" s="197"/>
      <c r="U32" s="197"/>
    </row>
    <row r="33" spans="1:21" s="12" customFormat="1" x14ac:dyDescent="0.25">
      <c r="A33" s="200" t="s">
        <v>2865</v>
      </c>
      <c r="B33" s="59">
        <v>65.790000000000006</v>
      </c>
      <c r="C33" s="59">
        <v>38.04</v>
      </c>
      <c r="D33" s="59">
        <v>75.489999999999995</v>
      </c>
      <c r="E33" s="59">
        <v>1.83</v>
      </c>
      <c r="F33" s="59">
        <v>2.54</v>
      </c>
      <c r="G33" s="59">
        <v>66.709999999999994</v>
      </c>
      <c r="H33" s="59">
        <v>27.78</v>
      </c>
      <c r="I33" s="59">
        <v>0.87</v>
      </c>
      <c r="J33" s="59">
        <v>0.17</v>
      </c>
      <c r="K33" s="59">
        <v>262.01</v>
      </c>
      <c r="L33" s="59">
        <v>18.97</v>
      </c>
      <c r="M33" s="59">
        <v>68.040000000000006</v>
      </c>
      <c r="N33" s="59">
        <v>19</v>
      </c>
      <c r="O33" s="59">
        <v>0</v>
      </c>
      <c r="P33" s="59">
        <v>1.27</v>
      </c>
      <c r="Q33" s="59">
        <v>45.85</v>
      </c>
      <c r="R33" s="197"/>
      <c r="S33" s="197"/>
      <c r="T33" s="197"/>
      <c r="U33" s="197"/>
    </row>
    <row r="34" spans="1:21" s="12" customFormat="1" x14ac:dyDescent="0.25">
      <c r="A34" s="200" t="s">
        <v>2866</v>
      </c>
      <c r="B34" s="59">
        <v>68.23</v>
      </c>
      <c r="C34" s="59">
        <v>40.36</v>
      </c>
      <c r="D34" s="59">
        <v>78.73</v>
      </c>
      <c r="E34" s="59">
        <v>1.98</v>
      </c>
      <c r="F34" s="59">
        <v>2.69</v>
      </c>
      <c r="G34" s="59">
        <v>72.34</v>
      </c>
      <c r="H34" s="59">
        <v>26.86</v>
      </c>
      <c r="I34" s="59">
        <v>0.85</v>
      </c>
      <c r="J34" s="59">
        <v>0.15</v>
      </c>
      <c r="K34" s="59">
        <v>3.84</v>
      </c>
      <c r="L34" s="59">
        <v>19.12</v>
      </c>
      <c r="M34" s="59">
        <v>70.12</v>
      </c>
      <c r="N34" s="59">
        <v>44.1</v>
      </c>
      <c r="O34" s="59">
        <v>0</v>
      </c>
      <c r="P34" s="59">
        <v>1.27</v>
      </c>
      <c r="Q34" s="59">
        <v>45.77</v>
      </c>
      <c r="R34" s="197"/>
      <c r="S34" s="197"/>
      <c r="T34" s="197"/>
      <c r="U34" s="197"/>
    </row>
    <row r="35" spans="1:21" s="12" customFormat="1" x14ac:dyDescent="0.25">
      <c r="A35" s="200" t="s">
        <v>2867</v>
      </c>
      <c r="B35" s="59">
        <v>74.86</v>
      </c>
      <c r="C35" s="59">
        <v>42.34</v>
      </c>
      <c r="D35" s="59">
        <v>85.14</v>
      </c>
      <c r="E35" s="59">
        <v>1.92</v>
      </c>
      <c r="F35" s="59">
        <v>2.79</v>
      </c>
      <c r="G35" s="59">
        <v>72.599999999999994</v>
      </c>
      <c r="H35" s="59">
        <v>26.82</v>
      </c>
      <c r="I35" s="59">
        <v>0.81</v>
      </c>
      <c r="J35" s="59">
        <v>0.16</v>
      </c>
      <c r="K35" s="59">
        <v>28.64</v>
      </c>
      <c r="L35" s="59">
        <v>20.059999999999999</v>
      </c>
      <c r="M35" s="59">
        <v>67.87</v>
      </c>
      <c r="N35" s="59">
        <v>81.5</v>
      </c>
      <c r="O35" s="59">
        <v>0</v>
      </c>
      <c r="P35" s="59">
        <v>1.29</v>
      </c>
      <c r="Q35" s="59">
        <v>49.05</v>
      </c>
      <c r="R35" s="197"/>
      <c r="S35" s="197"/>
      <c r="T35" s="197"/>
      <c r="U35" s="197"/>
    </row>
    <row r="36" spans="1:21" s="12" customFormat="1" x14ac:dyDescent="0.25">
      <c r="A36" s="200" t="s">
        <v>2868</v>
      </c>
      <c r="B36" s="59">
        <v>78.19</v>
      </c>
      <c r="C36" s="59">
        <v>46.69</v>
      </c>
      <c r="D36" s="59">
        <v>90.21</v>
      </c>
      <c r="E36" s="59">
        <v>2.09</v>
      </c>
      <c r="F36" s="59">
        <v>2.66</v>
      </c>
      <c r="G36" s="59">
        <v>72.599999999999994</v>
      </c>
      <c r="H36" s="59">
        <v>26.82</v>
      </c>
      <c r="I36" s="59">
        <v>0.81</v>
      </c>
      <c r="J36" s="59">
        <v>0.02</v>
      </c>
      <c r="K36" s="59">
        <v>146.12</v>
      </c>
      <c r="L36" s="59">
        <v>21.93</v>
      </c>
      <c r="M36" s="59">
        <v>59.05</v>
      </c>
      <c r="N36" s="59">
        <v>129.30000000000001</v>
      </c>
      <c r="O36" s="59">
        <v>0</v>
      </c>
      <c r="P36" s="59">
        <v>1.32</v>
      </c>
      <c r="Q36" s="59">
        <v>47.38</v>
      </c>
      <c r="R36" s="197"/>
      <c r="S36" s="197"/>
      <c r="T36" s="197"/>
      <c r="U36" s="197"/>
    </row>
    <row r="37" spans="1:21" s="12" customFormat="1" x14ac:dyDescent="0.25">
      <c r="A37" s="200" t="s">
        <v>2869</v>
      </c>
      <c r="B37" s="59">
        <v>79.81</v>
      </c>
      <c r="C37" s="59">
        <v>50.36</v>
      </c>
      <c r="D37" s="59">
        <v>93.54</v>
      </c>
      <c r="E37" s="59">
        <v>1.77</v>
      </c>
      <c r="F37" s="59">
        <v>2.79</v>
      </c>
      <c r="G37" s="59">
        <v>72.599999999999994</v>
      </c>
      <c r="H37" s="59">
        <v>26.82</v>
      </c>
      <c r="I37" s="59">
        <v>0.85</v>
      </c>
      <c r="J37" s="59">
        <v>0.22</v>
      </c>
      <c r="K37" s="59">
        <v>9.8699999999999992</v>
      </c>
      <c r="L37" s="59">
        <v>23.88</v>
      </c>
      <c r="M37" s="59">
        <v>55.27</v>
      </c>
      <c r="N37" s="59">
        <v>179</v>
      </c>
      <c r="O37" s="59">
        <v>0</v>
      </c>
      <c r="P37" s="59">
        <v>1.29</v>
      </c>
      <c r="Q37" s="59">
        <v>47.13</v>
      </c>
      <c r="R37" s="197"/>
      <c r="S37" s="197"/>
      <c r="T37" s="197"/>
      <c r="U37" s="197"/>
    </row>
    <row r="38" spans="1:21" s="12" customFormat="1" x14ac:dyDescent="0.25">
      <c r="A38" s="200" t="s">
        <v>2870</v>
      </c>
      <c r="B38" s="59">
        <v>81.5</v>
      </c>
      <c r="C38" s="59">
        <v>48.64</v>
      </c>
      <c r="D38" s="59">
        <v>93.94</v>
      </c>
      <c r="E38" s="59">
        <v>1.91</v>
      </c>
      <c r="F38" s="59">
        <v>2.86</v>
      </c>
      <c r="G38" s="59">
        <v>99.49</v>
      </c>
      <c r="H38" s="59">
        <v>33.81</v>
      </c>
      <c r="I38" s="59">
        <v>0.9</v>
      </c>
      <c r="J38" s="59">
        <v>0.27</v>
      </c>
      <c r="K38" s="59">
        <v>349.88</v>
      </c>
      <c r="L38" s="59">
        <v>25.92</v>
      </c>
      <c r="M38" s="59">
        <v>49.95</v>
      </c>
      <c r="N38" s="59">
        <v>224.3</v>
      </c>
      <c r="O38" s="59">
        <v>0</v>
      </c>
      <c r="P38" s="59">
        <v>1.35</v>
      </c>
      <c r="Q38" s="59">
        <v>48.64</v>
      </c>
      <c r="R38" s="197"/>
      <c r="S38" s="197"/>
      <c r="T38" s="197"/>
      <c r="U38" s="197"/>
    </row>
    <row r="39" spans="1:21" s="12" customFormat="1" x14ac:dyDescent="0.25">
      <c r="A39" s="200" t="s">
        <v>2871</v>
      </c>
      <c r="B39" s="59">
        <v>79.650000000000006</v>
      </c>
      <c r="C39" s="59">
        <v>49.59</v>
      </c>
      <c r="D39" s="59">
        <v>92.98</v>
      </c>
      <c r="E39" s="59">
        <v>2.02</v>
      </c>
      <c r="F39" s="59">
        <v>2.83</v>
      </c>
      <c r="G39" s="59">
        <v>100.74</v>
      </c>
      <c r="H39" s="59">
        <v>34.14</v>
      </c>
      <c r="I39" s="59">
        <v>0.9</v>
      </c>
      <c r="J39" s="59">
        <v>0.22</v>
      </c>
      <c r="K39" s="59">
        <v>356.82</v>
      </c>
      <c r="L39" s="59">
        <v>27.4</v>
      </c>
      <c r="M39" s="59">
        <v>44.44</v>
      </c>
      <c r="N39" s="59">
        <v>269.60000000000002</v>
      </c>
      <c r="O39" s="59">
        <v>0</v>
      </c>
      <c r="P39" s="59">
        <v>1.38</v>
      </c>
      <c r="Q39" s="59">
        <v>48.45</v>
      </c>
      <c r="R39" s="197"/>
      <c r="S39" s="197"/>
      <c r="T39" s="197"/>
      <c r="U39" s="197"/>
    </row>
    <row r="40" spans="1:21" s="12" customFormat="1" x14ac:dyDescent="0.25">
      <c r="A40" s="200" t="s">
        <v>2872</v>
      </c>
      <c r="B40" s="59">
        <v>78.290000000000006</v>
      </c>
      <c r="C40" s="59">
        <v>45.86</v>
      </c>
      <c r="D40" s="59">
        <v>89.83</v>
      </c>
      <c r="E40" s="59">
        <v>1.1599999999999999</v>
      </c>
      <c r="F40" s="59">
        <v>3.08</v>
      </c>
      <c r="G40" s="59">
        <v>100.74</v>
      </c>
      <c r="H40" s="59">
        <v>34.14</v>
      </c>
      <c r="I40" s="59">
        <v>0.87</v>
      </c>
      <c r="J40" s="59">
        <v>0.16</v>
      </c>
      <c r="K40" s="59">
        <v>243.53</v>
      </c>
      <c r="L40" s="59">
        <v>25.31</v>
      </c>
      <c r="M40" s="59">
        <v>48.39</v>
      </c>
      <c r="N40" s="59">
        <v>324.5</v>
      </c>
      <c r="O40" s="59">
        <v>0</v>
      </c>
      <c r="P40" s="59">
        <v>1.43</v>
      </c>
      <c r="Q40" s="59">
        <v>45.11</v>
      </c>
      <c r="R40" s="197"/>
      <c r="S40" s="197"/>
      <c r="T40" s="197"/>
      <c r="U40" s="197"/>
    </row>
    <row r="41" spans="1:21" s="12" customFormat="1" x14ac:dyDescent="0.25">
      <c r="A41" s="200" t="s">
        <v>2873</v>
      </c>
      <c r="B41" s="59">
        <v>76.53</v>
      </c>
      <c r="C41" s="59">
        <v>51.85</v>
      </c>
      <c r="D41" s="59">
        <v>91.73</v>
      </c>
      <c r="E41" s="59">
        <v>2.52</v>
      </c>
      <c r="F41" s="59">
        <v>2.93</v>
      </c>
      <c r="G41" s="59">
        <v>100.74</v>
      </c>
      <c r="H41" s="59">
        <v>34.14</v>
      </c>
      <c r="I41" s="59">
        <v>0.87</v>
      </c>
      <c r="J41" s="59">
        <v>0.39</v>
      </c>
      <c r="K41" s="59">
        <v>4.5999999999999996</v>
      </c>
      <c r="L41" s="59">
        <v>27.83</v>
      </c>
      <c r="M41" s="59">
        <v>42.64</v>
      </c>
      <c r="N41" s="59">
        <v>379</v>
      </c>
      <c r="O41" s="59">
        <v>0</v>
      </c>
      <c r="P41" s="59">
        <v>1.46</v>
      </c>
      <c r="Q41" s="59">
        <v>49.21</v>
      </c>
      <c r="R41" s="197"/>
      <c r="S41" s="197"/>
      <c r="T41" s="197"/>
      <c r="U41" s="197"/>
    </row>
    <row r="42" spans="1:21" s="12" customFormat="1" x14ac:dyDescent="0.25">
      <c r="A42" s="200" t="s">
        <v>2874</v>
      </c>
      <c r="B42" s="59">
        <v>71.83</v>
      </c>
      <c r="C42" s="59">
        <v>62.3</v>
      </c>
      <c r="D42" s="59">
        <v>93.72</v>
      </c>
      <c r="E42" s="59">
        <v>3.51</v>
      </c>
      <c r="F42" s="59">
        <v>4.16</v>
      </c>
      <c r="G42" s="59">
        <v>192.07</v>
      </c>
      <c r="H42" s="59">
        <v>49.8</v>
      </c>
      <c r="I42" s="59">
        <v>0.91</v>
      </c>
      <c r="J42" s="59">
        <v>0.47</v>
      </c>
      <c r="K42" s="59">
        <v>5.96</v>
      </c>
      <c r="L42" s="59">
        <v>30.04</v>
      </c>
      <c r="M42" s="59">
        <v>37.36</v>
      </c>
      <c r="N42" s="59">
        <v>431.7</v>
      </c>
      <c r="O42" s="59">
        <v>0</v>
      </c>
      <c r="P42" s="59">
        <v>1.52</v>
      </c>
      <c r="Q42" s="59">
        <v>43.86</v>
      </c>
      <c r="R42" s="197"/>
      <c r="S42" s="197"/>
      <c r="T42" s="197"/>
      <c r="U42" s="197"/>
    </row>
    <row r="43" spans="1:21" s="12" customFormat="1" x14ac:dyDescent="0.25">
      <c r="A43" s="200" t="s">
        <v>2875</v>
      </c>
      <c r="B43" s="59">
        <v>63.19</v>
      </c>
      <c r="C43" s="59">
        <v>63.79</v>
      </c>
      <c r="D43" s="59">
        <v>87.62</v>
      </c>
      <c r="E43" s="59">
        <v>7.62</v>
      </c>
      <c r="F43" s="59">
        <v>9.66</v>
      </c>
      <c r="G43" s="59">
        <v>196.32</v>
      </c>
      <c r="H43" s="59">
        <v>50.52</v>
      </c>
      <c r="I43" s="59">
        <v>0.86</v>
      </c>
      <c r="J43" s="59">
        <v>0.56999999999999995</v>
      </c>
      <c r="K43" s="59">
        <v>17.89</v>
      </c>
      <c r="L43" s="59">
        <v>31.02</v>
      </c>
      <c r="M43" s="59">
        <v>33.65</v>
      </c>
      <c r="N43" s="59">
        <v>473.9</v>
      </c>
      <c r="O43" s="59">
        <v>0</v>
      </c>
      <c r="P43" s="59">
        <v>1.7</v>
      </c>
      <c r="Q43" s="59">
        <v>47.1</v>
      </c>
      <c r="R43" s="197"/>
      <c r="S43" s="197"/>
      <c r="T43" s="197"/>
      <c r="U43" s="197"/>
    </row>
    <row r="44" spans="1:21" s="12" customFormat="1" x14ac:dyDescent="0.25">
      <c r="A44" s="200" t="s">
        <v>2876</v>
      </c>
      <c r="B44" s="59">
        <v>63.21</v>
      </c>
      <c r="C44" s="59">
        <v>57.31</v>
      </c>
      <c r="D44" s="59">
        <v>84.06</v>
      </c>
      <c r="E44" s="59">
        <v>7.31</v>
      </c>
      <c r="F44" s="59">
        <v>7.26</v>
      </c>
      <c r="G44" s="59">
        <v>196.32</v>
      </c>
      <c r="H44" s="59">
        <v>50.52</v>
      </c>
      <c r="I44" s="59">
        <v>0.81</v>
      </c>
      <c r="J44" s="59">
        <v>0.55000000000000004</v>
      </c>
      <c r="K44" s="59">
        <v>15.58</v>
      </c>
      <c r="L44" s="59">
        <v>31.7</v>
      </c>
      <c r="M44" s="59">
        <v>32.549999999999997</v>
      </c>
      <c r="N44" s="59">
        <v>507.4</v>
      </c>
      <c r="O44" s="59">
        <v>0</v>
      </c>
      <c r="P44" s="59">
        <v>1.65</v>
      </c>
      <c r="Q44" s="59">
        <v>49.94</v>
      </c>
      <c r="R44" s="197"/>
      <c r="S44" s="197"/>
      <c r="T44" s="197"/>
      <c r="U44" s="197"/>
    </row>
    <row r="45" spans="1:21" s="12" customFormat="1" x14ac:dyDescent="0.25">
      <c r="A45" s="200" t="s">
        <v>2877</v>
      </c>
      <c r="B45" s="59">
        <v>54.07</v>
      </c>
      <c r="C45" s="59">
        <v>66.510000000000005</v>
      </c>
      <c r="D45" s="59">
        <v>81.81</v>
      </c>
      <c r="E45" s="59">
        <v>8.76</v>
      </c>
      <c r="F45" s="59">
        <v>13.92</v>
      </c>
      <c r="G45" s="59">
        <v>196.32</v>
      </c>
      <c r="H45" s="59">
        <v>50.52</v>
      </c>
      <c r="I45" s="59">
        <v>0.8</v>
      </c>
      <c r="J45" s="59">
        <v>0.5</v>
      </c>
      <c r="K45" s="59">
        <v>19.16</v>
      </c>
      <c r="L45" s="59">
        <v>31.88</v>
      </c>
      <c r="M45" s="59">
        <v>31.89</v>
      </c>
      <c r="N45" s="59">
        <v>533.79999999999995</v>
      </c>
      <c r="O45" s="59">
        <v>0</v>
      </c>
      <c r="P45" s="59">
        <v>1.7</v>
      </c>
      <c r="Q45" s="59">
        <v>47.82</v>
      </c>
      <c r="R45" s="197"/>
      <c r="S45" s="197"/>
      <c r="T45" s="197"/>
      <c r="U45" s="197"/>
    </row>
    <row r="46" spans="1:21" s="12" customFormat="1" x14ac:dyDescent="0.25">
      <c r="A46" s="200" t="s">
        <v>2878</v>
      </c>
      <c r="B46" s="59">
        <v>52.99</v>
      </c>
      <c r="C46" s="59">
        <v>64.91</v>
      </c>
      <c r="D46" s="59">
        <v>80.06</v>
      </c>
      <c r="E46" s="59">
        <v>10.4</v>
      </c>
      <c r="F46" s="59">
        <v>9.9499999999999993</v>
      </c>
      <c r="G46" s="59">
        <v>196.32</v>
      </c>
      <c r="H46" s="59">
        <v>113.46</v>
      </c>
      <c r="I46" s="59">
        <v>0.81</v>
      </c>
      <c r="J46" s="59">
        <v>0.36</v>
      </c>
      <c r="K46" s="59">
        <v>354.38</v>
      </c>
      <c r="L46" s="59">
        <v>32.74</v>
      </c>
      <c r="M46" s="59">
        <v>30.42</v>
      </c>
      <c r="N46" s="59">
        <v>574.70000000000005</v>
      </c>
      <c r="O46" s="59">
        <v>0</v>
      </c>
      <c r="P46" s="59">
        <v>1.69</v>
      </c>
      <c r="Q46" s="59">
        <v>48.24</v>
      </c>
      <c r="R46" s="197"/>
      <c r="S46" s="197"/>
      <c r="T46" s="197"/>
      <c r="U46" s="197"/>
    </row>
    <row r="47" spans="1:21" s="12" customFormat="1" x14ac:dyDescent="0.25">
      <c r="A47" s="200" t="s">
        <v>2879</v>
      </c>
      <c r="B47" s="59">
        <v>50.54</v>
      </c>
      <c r="C47" s="59">
        <v>59.33</v>
      </c>
      <c r="D47" s="59">
        <v>75.010000000000005</v>
      </c>
      <c r="E47" s="59">
        <v>7.06</v>
      </c>
      <c r="F47" s="59">
        <v>7.29</v>
      </c>
      <c r="G47" s="59">
        <v>267.45</v>
      </c>
      <c r="H47" s="59">
        <v>116.39</v>
      </c>
      <c r="I47" s="59">
        <v>0.79</v>
      </c>
      <c r="J47" s="59">
        <v>0.16</v>
      </c>
      <c r="K47" s="59">
        <v>282.13</v>
      </c>
      <c r="L47" s="59">
        <v>31.41</v>
      </c>
      <c r="M47" s="59">
        <v>31.48</v>
      </c>
      <c r="N47" s="59">
        <v>583.70000000000005</v>
      </c>
      <c r="O47" s="59">
        <v>0</v>
      </c>
      <c r="P47" s="59">
        <v>1.7</v>
      </c>
      <c r="Q47" s="59">
        <v>51.59</v>
      </c>
      <c r="R47" s="197"/>
      <c r="S47" s="197"/>
      <c r="T47" s="197"/>
      <c r="U47" s="197"/>
    </row>
    <row r="48" spans="1:21" s="12" customFormat="1" x14ac:dyDescent="0.25">
      <c r="A48" s="200" t="s">
        <v>2880</v>
      </c>
      <c r="B48" s="59">
        <v>40.92</v>
      </c>
      <c r="C48" s="59">
        <v>67.069999999999993</v>
      </c>
      <c r="D48" s="59">
        <v>71.569999999999993</v>
      </c>
      <c r="E48" s="59">
        <v>5.84</v>
      </c>
      <c r="F48" s="59">
        <v>7.54</v>
      </c>
      <c r="G48" s="59">
        <v>267.45</v>
      </c>
      <c r="H48" s="59">
        <v>116.39</v>
      </c>
      <c r="I48" s="59">
        <v>0.8</v>
      </c>
      <c r="J48" s="59">
        <v>0.34</v>
      </c>
      <c r="K48" s="59">
        <v>248.75</v>
      </c>
      <c r="L48" s="59">
        <v>29.03</v>
      </c>
      <c r="M48" s="59">
        <v>34.29</v>
      </c>
      <c r="N48" s="59">
        <v>654.9</v>
      </c>
      <c r="O48" s="59">
        <v>0</v>
      </c>
      <c r="P48" s="59">
        <v>1.64</v>
      </c>
      <c r="Q48" s="59">
        <v>45.76</v>
      </c>
      <c r="R48" s="197"/>
      <c r="S48" s="197"/>
      <c r="T48" s="197"/>
      <c r="U48" s="197"/>
    </row>
    <row r="49" spans="1:21" s="12" customFormat="1" x14ac:dyDescent="0.25">
      <c r="A49" s="200" t="s">
        <v>2881</v>
      </c>
      <c r="B49" s="59">
        <v>4.59</v>
      </c>
      <c r="C49" s="59">
        <v>67.680000000000007</v>
      </c>
      <c r="D49" s="59">
        <v>42.77</v>
      </c>
      <c r="E49" s="59">
        <v>10.53</v>
      </c>
      <c r="F49" s="59">
        <v>58.9</v>
      </c>
      <c r="G49" s="59">
        <v>267.45</v>
      </c>
      <c r="H49" s="59">
        <v>116.39</v>
      </c>
      <c r="I49" s="59">
        <v>0.83</v>
      </c>
      <c r="J49" s="59">
        <v>0.62</v>
      </c>
      <c r="K49" s="59">
        <v>233.91</v>
      </c>
      <c r="L49" s="59">
        <v>28.52</v>
      </c>
      <c r="M49" s="59">
        <v>33.869999999999997</v>
      </c>
      <c r="N49" s="59">
        <v>725.8</v>
      </c>
      <c r="O49" s="59">
        <v>0</v>
      </c>
      <c r="P49" s="59">
        <v>1</v>
      </c>
      <c r="Q49" s="59">
        <v>42.57</v>
      </c>
      <c r="R49" s="197"/>
      <c r="S49" s="197"/>
      <c r="T49" s="197"/>
      <c r="U49" s="197"/>
    </row>
    <row r="50" spans="1:21" s="12" customFormat="1" x14ac:dyDescent="0.25">
      <c r="A50" s="200" t="s">
        <v>2882</v>
      </c>
      <c r="B50" s="59">
        <v>2.67</v>
      </c>
      <c r="C50" s="59">
        <v>50.52</v>
      </c>
      <c r="D50" s="59">
        <v>31.77</v>
      </c>
      <c r="E50" s="59">
        <v>14.33</v>
      </c>
      <c r="F50" s="59">
        <v>59.84</v>
      </c>
      <c r="G50" s="59">
        <v>140.08000000000001</v>
      </c>
      <c r="H50" s="59">
        <v>62.3</v>
      </c>
      <c r="I50" s="59">
        <v>0.73</v>
      </c>
      <c r="J50" s="59">
        <v>0.37</v>
      </c>
      <c r="K50" s="59">
        <v>212.23</v>
      </c>
      <c r="L50" s="59">
        <v>29.36</v>
      </c>
      <c r="M50" s="59">
        <v>32.81</v>
      </c>
      <c r="N50" s="59">
        <v>782.5</v>
      </c>
      <c r="O50" s="59">
        <v>0</v>
      </c>
      <c r="P50" s="59">
        <v>0.87</v>
      </c>
      <c r="Q50" s="59">
        <v>36.69</v>
      </c>
      <c r="R50" s="197"/>
      <c r="S50" s="197"/>
      <c r="T50" s="197"/>
      <c r="U50" s="197"/>
    </row>
    <row r="51" spans="1:21" s="12" customFormat="1" x14ac:dyDescent="0.25">
      <c r="A51" s="200" t="s">
        <v>2883</v>
      </c>
      <c r="B51" s="59">
        <v>2.57</v>
      </c>
      <c r="C51" s="59">
        <v>42.06</v>
      </c>
      <c r="D51" s="59">
        <v>27.01</v>
      </c>
      <c r="E51" s="59">
        <v>7.1</v>
      </c>
      <c r="F51" s="59">
        <v>24.48</v>
      </c>
      <c r="G51" s="59">
        <v>140.08000000000001</v>
      </c>
      <c r="H51" s="59">
        <v>59.78</v>
      </c>
      <c r="I51" s="59">
        <v>0.53</v>
      </c>
      <c r="J51" s="59">
        <v>0.08</v>
      </c>
      <c r="K51" s="59">
        <v>335.08</v>
      </c>
      <c r="L51" s="59">
        <v>31.76</v>
      </c>
      <c r="M51" s="59">
        <v>27.88</v>
      </c>
      <c r="N51" s="59">
        <v>802.7</v>
      </c>
      <c r="O51" s="59">
        <v>0</v>
      </c>
      <c r="P51" s="59">
        <v>0.89</v>
      </c>
      <c r="Q51" s="59">
        <v>30.83</v>
      </c>
      <c r="R51" s="197"/>
      <c r="S51" s="197"/>
      <c r="T51" s="197"/>
      <c r="U51" s="197"/>
    </row>
    <row r="52" spans="1:21" s="12" customFormat="1" x14ac:dyDescent="0.25">
      <c r="A52" s="200" t="s">
        <v>2884</v>
      </c>
      <c r="B52" s="59">
        <v>2.77</v>
      </c>
      <c r="C52" s="59">
        <v>38.020000000000003</v>
      </c>
      <c r="D52" s="59">
        <v>24.94</v>
      </c>
      <c r="E52" s="59">
        <v>4.37</v>
      </c>
      <c r="F52" s="59">
        <v>12.76</v>
      </c>
      <c r="G52" s="59">
        <v>140.08000000000001</v>
      </c>
      <c r="H52" s="59">
        <v>59.78</v>
      </c>
      <c r="I52" s="59">
        <v>0.45</v>
      </c>
      <c r="J52" s="59">
        <v>0.08</v>
      </c>
      <c r="K52" s="59">
        <v>313.11</v>
      </c>
      <c r="L52" s="59">
        <v>31.92</v>
      </c>
      <c r="M52" s="59">
        <v>27.79</v>
      </c>
      <c r="N52" s="59">
        <v>807.9</v>
      </c>
      <c r="O52" s="59">
        <v>0</v>
      </c>
      <c r="P52" s="59">
        <v>0.9</v>
      </c>
      <c r="Q52" s="59">
        <v>29.38</v>
      </c>
      <c r="R52" s="197"/>
      <c r="S52" s="197"/>
      <c r="T52" s="197"/>
      <c r="U52" s="197"/>
    </row>
    <row r="53" spans="1:21" s="12" customFormat="1" x14ac:dyDescent="0.25">
      <c r="A53" s="200" t="s">
        <v>2885</v>
      </c>
      <c r="B53" s="59">
        <v>3.03</v>
      </c>
      <c r="C53" s="59">
        <v>35.86</v>
      </c>
      <c r="D53" s="59">
        <v>23.97</v>
      </c>
      <c r="E53" s="59">
        <v>5.01</v>
      </c>
      <c r="F53" s="59">
        <v>14.19</v>
      </c>
      <c r="G53" s="59">
        <v>140.08000000000001</v>
      </c>
      <c r="H53" s="59">
        <v>59.78</v>
      </c>
      <c r="I53" s="59">
        <v>0.46</v>
      </c>
      <c r="J53" s="59">
        <v>0.12</v>
      </c>
      <c r="K53" s="59">
        <v>77.05</v>
      </c>
      <c r="L53" s="59">
        <v>32.83</v>
      </c>
      <c r="M53" s="59">
        <v>26.29</v>
      </c>
      <c r="N53" s="59">
        <v>843</v>
      </c>
      <c r="O53" s="59">
        <v>0</v>
      </c>
      <c r="P53" s="59">
        <v>0.94</v>
      </c>
      <c r="Q53" s="59">
        <v>31.06</v>
      </c>
      <c r="R53" s="197"/>
      <c r="S53" s="197"/>
      <c r="T53" s="197"/>
      <c r="U53" s="197"/>
    </row>
    <row r="54" spans="1:21" s="12" customFormat="1" x14ac:dyDescent="0.25">
      <c r="A54" s="200" t="s">
        <v>2886</v>
      </c>
      <c r="B54" s="59">
        <v>3.67</v>
      </c>
      <c r="C54" s="59">
        <v>35.57</v>
      </c>
      <c r="D54" s="59">
        <v>24.32</v>
      </c>
      <c r="E54" s="59">
        <v>4.07</v>
      </c>
      <c r="F54" s="59">
        <v>9.4499999999999993</v>
      </c>
      <c r="G54" s="59">
        <v>111.74</v>
      </c>
      <c r="H54" s="59">
        <v>47.16</v>
      </c>
      <c r="I54" s="59">
        <v>0.48</v>
      </c>
      <c r="J54" s="59">
        <v>0.32</v>
      </c>
      <c r="K54" s="59">
        <v>152.47</v>
      </c>
      <c r="L54" s="59">
        <v>33.520000000000003</v>
      </c>
      <c r="M54" s="59">
        <v>24.82</v>
      </c>
      <c r="N54" s="59">
        <v>865.9</v>
      </c>
      <c r="O54" s="59">
        <v>0</v>
      </c>
      <c r="P54" s="59">
        <v>0.95</v>
      </c>
      <c r="Q54" s="59">
        <v>32.18</v>
      </c>
      <c r="R54" s="197"/>
      <c r="S54" s="197"/>
      <c r="T54" s="197"/>
      <c r="U54" s="197"/>
    </row>
    <row r="55" spans="1:21" s="12" customFormat="1" x14ac:dyDescent="0.25">
      <c r="A55" s="200" t="s">
        <v>2887</v>
      </c>
      <c r="B55" s="59">
        <v>3.15</v>
      </c>
      <c r="C55" s="59">
        <v>32.090000000000003</v>
      </c>
      <c r="D55" s="59">
        <v>21.98</v>
      </c>
      <c r="E55" s="59">
        <v>4.32</v>
      </c>
      <c r="F55" s="59">
        <v>15.59</v>
      </c>
      <c r="G55" s="59">
        <v>110.42</v>
      </c>
      <c r="H55" s="59">
        <v>46.57</v>
      </c>
      <c r="I55" s="59">
        <v>0.48</v>
      </c>
      <c r="J55" s="59">
        <v>1.08</v>
      </c>
      <c r="K55" s="59">
        <v>172.81</v>
      </c>
      <c r="L55" s="59">
        <v>31.22</v>
      </c>
      <c r="M55" s="59">
        <v>24.92</v>
      </c>
      <c r="N55" s="59">
        <v>879.9</v>
      </c>
      <c r="O55" s="59">
        <v>0</v>
      </c>
      <c r="P55" s="59">
        <v>0.93</v>
      </c>
      <c r="Q55" s="59">
        <v>33.22</v>
      </c>
      <c r="R55" s="197"/>
      <c r="S55" s="197"/>
      <c r="T55" s="197"/>
      <c r="U55" s="197"/>
    </row>
    <row r="56" spans="1:21" s="12" customFormat="1" x14ac:dyDescent="0.25">
      <c r="A56" s="200" t="s">
        <v>2888</v>
      </c>
      <c r="B56" s="59">
        <v>3.68</v>
      </c>
      <c r="C56" s="59">
        <v>33.06</v>
      </c>
      <c r="D56" s="59">
        <v>22.94</v>
      </c>
      <c r="E56" s="59">
        <v>3.55</v>
      </c>
      <c r="F56" s="59">
        <v>21.59</v>
      </c>
      <c r="G56" s="59">
        <v>110.42</v>
      </c>
      <c r="H56" s="59">
        <v>46.57</v>
      </c>
      <c r="I56" s="59">
        <v>0.49</v>
      </c>
      <c r="J56" s="59">
        <v>0.72</v>
      </c>
      <c r="K56" s="59">
        <v>172.68</v>
      </c>
      <c r="L56" s="59">
        <v>31.45</v>
      </c>
      <c r="M56" s="59">
        <v>22.72</v>
      </c>
      <c r="N56" s="59">
        <v>885.7</v>
      </c>
      <c r="O56" s="59">
        <v>0</v>
      </c>
      <c r="P56" s="59">
        <v>0.88</v>
      </c>
      <c r="Q56" s="59">
        <v>33.229999999999997</v>
      </c>
      <c r="R56" s="197"/>
      <c r="S56" s="197"/>
      <c r="T56" s="197"/>
      <c r="U56" s="197"/>
    </row>
    <row r="57" spans="1:21" s="12" customFormat="1" x14ac:dyDescent="0.25">
      <c r="A57" s="200" t="s">
        <v>2889</v>
      </c>
      <c r="B57" s="59">
        <v>4.22</v>
      </c>
      <c r="C57" s="59">
        <v>37.71</v>
      </c>
      <c r="D57" s="59">
        <v>25.94</v>
      </c>
      <c r="E57" s="59">
        <v>5.34</v>
      </c>
      <c r="F57" s="59">
        <v>21.15</v>
      </c>
      <c r="G57" s="59">
        <v>110.42</v>
      </c>
      <c r="H57" s="59">
        <v>46.57</v>
      </c>
      <c r="I57" s="59">
        <v>0.5</v>
      </c>
      <c r="J57" s="59">
        <v>0.48</v>
      </c>
      <c r="K57" s="59">
        <v>184.39</v>
      </c>
      <c r="L57" s="59">
        <v>32.18</v>
      </c>
      <c r="M57" s="59">
        <v>22.51</v>
      </c>
      <c r="N57" s="59">
        <v>899</v>
      </c>
      <c r="O57" s="59">
        <v>0</v>
      </c>
      <c r="P57" s="59">
        <v>0.86</v>
      </c>
      <c r="Q57" s="59">
        <v>33.74</v>
      </c>
      <c r="R57" s="197"/>
      <c r="S57" s="197"/>
      <c r="T57" s="197"/>
      <c r="U57" s="197"/>
    </row>
    <row r="58" spans="1:21" s="12" customFormat="1" x14ac:dyDescent="0.25">
      <c r="A58" s="200" t="s">
        <v>2890</v>
      </c>
      <c r="B58" s="59">
        <v>3.65</v>
      </c>
      <c r="C58" s="59">
        <v>34.33</v>
      </c>
      <c r="D58" s="59">
        <v>23.62</v>
      </c>
      <c r="E58" s="59">
        <v>9.83</v>
      </c>
      <c r="F58" s="59">
        <v>31.81</v>
      </c>
      <c r="G58" s="59">
        <v>46.75</v>
      </c>
      <c r="H58" s="59">
        <v>22.72</v>
      </c>
      <c r="I58" s="59">
        <v>0.51</v>
      </c>
      <c r="J58" s="59">
        <v>0.44</v>
      </c>
      <c r="K58" s="59">
        <v>149.97999999999999</v>
      </c>
      <c r="L58" s="59">
        <v>32.93</v>
      </c>
      <c r="M58" s="59">
        <v>20.96</v>
      </c>
      <c r="N58" s="59">
        <v>896.5</v>
      </c>
      <c r="O58" s="59">
        <v>0</v>
      </c>
      <c r="P58" s="59">
        <v>0.77</v>
      </c>
      <c r="Q58" s="59">
        <v>34.32</v>
      </c>
      <c r="R58" s="197"/>
      <c r="S58" s="197"/>
      <c r="T58" s="197"/>
      <c r="U58" s="197"/>
    </row>
    <row r="59" spans="1:21" s="12" customFormat="1" x14ac:dyDescent="0.25">
      <c r="A59" s="200" t="s">
        <v>2891</v>
      </c>
      <c r="B59" s="59">
        <v>3.25</v>
      </c>
      <c r="C59" s="59">
        <v>34.729999999999997</v>
      </c>
      <c r="D59" s="59">
        <v>23.51</v>
      </c>
      <c r="E59" s="59">
        <v>8.52</v>
      </c>
      <c r="F59" s="59">
        <v>38.409999999999997</v>
      </c>
      <c r="G59" s="59">
        <v>43.79</v>
      </c>
      <c r="H59" s="59">
        <v>21.57</v>
      </c>
      <c r="I59" s="59">
        <v>0.52</v>
      </c>
      <c r="J59" s="59">
        <v>0.23</v>
      </c>
      <c r="K59" s="59">
        <v>163.19</v>
      </c>
      <c r="L59" s="59">
        <v>32.49</v>
      </c>
      <c r="M59" s="59">
        <v>21.92</v>
      </c>
      <c r="N59" s="59">
        <v>848.2</v>
      </c>
      <c r="O59" s="59">
        <v>0</v>
      </c>
      <c r="P59" s="59">
        <v>0.75</v>
      </c>
      <c r="Q59" s="59">
        <v>35.299999999999997</v>
      </c>
      <c r="R59" s="197"/>
      <c r="S59" s="197"/>
      <c r="T59" s="197"/>
      <c r="U59" s="197"/>
    </row>
    <row r="60" spans="1:21" s="12" customFormat="1" x14ac:dyDescent="0.25">
      <c r="A60" s="200" t="s">
        <v>2892</v>
      </c>
      <c r="B60" s="59">
        <v>3.19</v>
      </c>
      <c r="C60" s="59">
        <v>37.46</v>
      </c>
      <c r="D60" s="59">
        <v>24.97</v>
      </c>
      <c r="E60" s="59">
        <v>6.81</v>
      </c>
      <c r="F60" s="59">
        <v>17.54</v>
      </c>
      <c r="G60" s="59">
        <v>43.79</v>
      </c>
      <c r="H60" s="59">
        <v>21.57</v>
      </c>
      <c r="I60" s="59">
        <v>0.53</v>
      </c>
      <c r="J60" s="59">
        <v>0.98</v>
      </c>
      <c r="K60" s="59">
        <v>196.73</v>
      </c>
      <c r="L60" s="59">
        <v>32.520000000000003</v>
      </c>
      <c r="M60" s="59">
        <v>20.309999999999999</v>
      </c>
      <c r="N60" s="59">
        <v>863.2</v>
      </c>
      <c r="O60" s="59">
        <v>0</v>
      </c>
      <c r="P60" s="59">
        <v>0.79</v>
      </c>
      <c r="Q60" s="59">
        <v>36.43</v>
      </c>
      <c r="R60" s="197"/>
      <c r="S60" s="197"/>
      <c r="T60" s="197"/>
      <c r="U60" s="197"/>
    </row>
    <row r="61" spans="1:21" s="12" customFormat="1" x14ac:dyDescent="0.25">
      <c r="A61" s="200" t="s">
        <v>2893</v>
      </c>
      <c r="B61" s="59">
        <v>3.05</v>
      </c>
      <c r="C61" s="59">
        <v>35.17</v>
      </c>
      <c r="D61" s="59">
        <v>23.6</v>
      </c>
      <c r="E61" s="59">
        <v>4.6500000000000004</v>
      </c>
      <c r="F61" s="59">
        <v>23.18</v>
      </c>
      <c r="G61" s="59">
        <v>43.79</v>
      </c>
      <c r="H61" s="59">
        <v>21.57</v>
      </c>
      <c r="I61" s="59">
        <v>0.56999999999999995</v>
      </c>
      <c r="J61" s="59">
        <v>0.91</v>
      </c>
      <c r="K61" s="59">
        <v>127.92</v>
      </c>
      <c r="L61" s="59">
        <v>32.04</v>
      </c>
      <c r="M61" s="59">
        <v>20.68</v>
      </c>
      <c r="N61" s="59">
        <v>829.1</v>
      </c>
      <c r="O61" s="59">
        <v>0</v>
      </c>
      <c r="P61" s="59">
        <v>0.72</v>
      </c>
      <c r="Q61" s="59">
        <v>37.08</v>
      </c>
      <c r="R61" s="197"/>
      <c r="S61" s="197"/>
      <c r="T61" s="197"/>
      <c r="U61" s="197"/>
    </row>
    <row r="62" spans="1:21" s="12" customFormat="1" x14ac:dyDescent="0.25">
      <c r="A62" s="200" t="s">
        <v>2894</v>
      </c>
      <c r="B62" s="59">
        <v>3.63</v>
      </c>
      <c r="C62" s="59">
        <v>34.380000000000003</v>
      </c>
      <c r="D62" s="59">
        <v>23.62</v>
      </c>
      <c r="E62" s="59">
        <v>6.7</v>
      </c>
      <c r="F62" s="59">
        <v>20.87</v>
      </c>
      <c r="G62" s="59">
        <v>54.36</v>
      </c>
      <c r="H62" s="59">
        <v>28.77</v>
      </c>
      <c r="I62" s="59">
        <v>0.59</v>
      </c>
      <c r="J62" s="59">
        <v>0.24</v>
      </c>
      <c r="K62" s="59">
        <v>235.77</v>
      </c>
      <c r="L62" s="59">
        <v>33.369999999999997</v>
      </c>
      <c r="M62" s="59">
        <v>19.59</v>
      </c>
      <c r="N62" s="59">
        <v>801.5</v>
      </c>
      <c r="O62" s="59">
        <v>0</v>
      </c>
      <c r="P62" s="59">
        <v>0.76</v>
      </c>
      <c r="Q62" s="59">
        <v>37.47</v>
      </c>
      <c r="R62" s="197"/>
      <c r="S62" s="197"/>
      <c r="T62" s="197"/>
      <c r="U62" s="197"/>
    </row>
    <row r="63" spans="1:21" s="12" customFormat="1" x14ac:dyDescent="0.25">
      <c r="A63" s="200" t="s">
        <v>2895</v>
      </c>
      <c r="B63" s="59">
        <v>3.39</v>
      </c>
      <c r="C63" s="59">
        <v>42.23</v>
      </c>
      <c r="D63" s="59">
        <v>27.76</v>
      </c>
      <c r="E63" s="59">
        <v>3.26</v>
      </c>
      <c r="F63" s="59">
        <v>13.18</v>
      </c>
      <c r="G63" s="59">
        <v>54.85</v>
      </c>
      <c r="H63" s="59">
        <v>30.82</v>
      </c>
      <c r="I63" s="59">
        <v>0.61</v>
      </c>
      <c r="J63" s="59">
        <v>1</v>
      </c>
      <c r="K63" s="59">
        <v>181.19</v>
      </c>
      <c r="L63" s="59">
        <v>32.96</v>
      </c>
      <c r="M63" s="59">
        <v>16.86</v>
      </c>
      <c r="N63" s="59">
        <v>775.6</v>
      </c>
      <c r="O63" s="59">
        <v>0</v>
      </c>
      <c r="P63" s="59">
        <v>0.76</v>
      </c>
      <c r="Q63" s="59">
        <v>36.17</v>
      </c>
      <c r="R63" s="197"/>
      <c r="S63" s="197"/>
      <c r="T63" s="197"/>
      <c r="U63" s="197"/>
    </row>
    <row r="64" spans="1:21" s="12" customFormat="1" x14ac:dyDescent="0.25">
      <c r="A64" s="200" t="s">
        <v>2896</v>
      </c>
      <c r="B64" s="59">
        <v>3.14</v>
      </c>
      <c r="C64" s="59">
        <v>43.69</v>
      </c>
      <c r="D64" s="59">
        <v>28.37</v>
      </c>
      <c r="E64" s="59">
        <v>2.95</v>
      </c>
      <c r="F64" s="59">
        <v>12.33</v>
      </c>
      <c r="G64" s="59">
        <v>54.85</v>
      </c>
      <c r="H64" s="59">
        <v>30.82</v>
      </c>
      <c r="I64" s="59">
        <v>0.61</v>
      </c>
      <c r="J64" s="59">
        <v>1.31</v>
      </c>
      <c r="K64" s="59">
        <v>163.51</v>
      </c>
      <c r="L64" s="59">
        <v>32.549999999999997</v>
      </c>
      <c r="M64" s="59">
        <v>13.42</v>
      </c>
      <c r="N64" s="59">
        <v>716.4</v>
      </c>
      <c r="O64" s="59">
        <v>0</v>
      </c>
      <c r="P64" s="59">
        <v>0.71</v>
      </c>
      <c r="Q64" s="59">
        <v>43.6</v>
      </c>
      <c r="R64" s="197"/>
      <c r="S64" s="197"/>
      <c r="T64" s="197"/>
      <c r="U64" s="197"/>
    </row>
    <row r="65" spans="1:21" s="12" customFormat="1" x14ac:dyDescent="0.25">
      <c r="A65" s="200" t="s">
        <v>2897</v>
      </c>
      <c r="B65" s="59">
        <v>2.65</v>
      </c>
      <c r="C65" s="59">
        <v>32.42</v>
      </c>
      <c r="D65" s="59">
        <v>21.75</v>
      </c>
      <c r="E65" s="59">
        <v>2.91</v>
      </c>
      <c r="F65" s="59">
        <v>14.93</v>
      </c>
      <c r="G65" s="59">
        <v>54.85</v>
      </c>
      <c r="H65" s="59">
        <v>30.82</v>
      </c>
      <c r="I65" s="59">
        <v>0.66</v>
      </c>
      <c r="J65" s="59">
        <v>0.84</v>
      </c>
      <c r="K65" s="59">
        <v>200.94</v>
      </c>
      <c r="L65" s="59">
        <v>33.04</v>
      </c>
      <c r="M65" s="59">
        <v>13.19</v>
      </c>
      <c r="N65" s="59">
        <v>657.4</v>
      </c>
      <c r="O65" s="59">
        <v>0</v>
      </c>
      <c r="P65" s="59">
        <v>0.59</v>
      </c>
      <c r="Q65" s="59">
        <v>42.86</v>
      </c>
      <c r="R65" s="197"/>
      <c r="S65" s="197"/>
      <c r="T65" s="197"/>
      <c r="U65" s="197"/>
    </row>
    <row r="66" spans="1:21" s="12" customFormat="1" x14ac:dyDescent="0.25">
      <c r="A66" s="200" t="s">
        <v>2898</v>
      </c>
      <c r="B66" s="59">
        <v>2.56</v>
      </c>
      <c r="C66" s="59">
        <v>30.91</v>
      </c>
      <c r="D66" s="59">
        <v>20.85</v>
      </c>
      <c r="E66" s="59">
        <v>2.38</v>
      </c>
      <c r="F66" s="59">
        <v>15.06</v>
      </c>
      <c r="G66" s="59">
        <v>26.81</v>
      </c>
      <c r="H66" s="59">
        <v>4.7699999999999996</v>
      </c>
      <c r="I66" s="59">
        <v>0.66</v>
      </c>
      <c r="J66" s="59">
        <v>0.78</v>
      </c>
      <c r="K66" s="59">
        <v>178.61</v>
      </c>
      <c r="L66" s="59">
        <v>32.86</v>
      </c>
      <c r="M66" s="59">
        <v>13.56</v>
      </c>
      <c r="N66" s="59">
        <v>596.20000000000005</v>
      </c>
      <c r="O66" s="59">
        <v>0</v>
      </c>
      <c r="P66" s="59">
        <v>0.54</v>
      </c>
      <c r="Q66" s="59">
        <v>40.36</v>
      </c>
      <c r="R66" s="197"/>
      <c r="S66" s="197"/>
      <c r="T66" s="197"/>
      <c r="U66" s="197"/>
    </row>
    <row r="67" spans="1:21" s="12" customFormat="1" x14ac:dyDescent="0.25">
      <c r="A67" s="200" t="s">
        <v>2899</v>
      </c>
      <c r="B67" s="59">
        <v>2.64</v>
      </c>
      <c r="C67" s="59">
        <v>30.22</v>
      </c>
      <c r="D67" s="59">
        <v>20.54</v>
      </c>
      <c r="E67" s="59">
        <v>2.72</v>
      </c>
      <c r="F67" s="59">
        <v>18.02</v>
      </c>
      <c r="G67" s="59">
        <v>25.5</v>
      </c>
      <c r="H67" s="59">
        <v>3.56</v>
      </c>
      <c r="I67" s="59">
        <v>0.6</v>
      </c>
      <c r="J67" s="59">
        <v>0.9</v>
      </c>
      <c r="K67" s="59">
        <v>173.45</v>
      </c>
      <c r="L67" s="59">
        <v>32.53</v>
      </c>
      <c r="M67" s="59">
        <v>15.1</v>
      </c>
      <c r="N67" s="59">
        <v>576.29999999999995</v>
      </c>
      <c r="O67" s="59">
        <v>0</v>
      </c>
      <c r="P67" s="59">
        <v>0.5</v>
      </c>
      <c r="Q67" s="59">
        <v>39.94</v>
      </c>
      <c r="R67" s="197"/>
      <c r="S67" s="197"/>
      <c r="T67" s="197"/>
      <c r="U67" s="197"/>
    </row>
    <row r="68" spans="1:21" s="12" customFormat="1" x14ac:dyDescent="0.25">
      <c r="A68" s="200" t="s">
        <v>2900</v>
      </c>
      <c r="B68" s="59">
        <v>2.62</v>
      </c>
      <c r="C68" s="59">
        <v>33.57</v>
      </c>
      <c r="D68" s="59">
        <v>22.37</v>
      </c>
      <c r="E68" s="59">
        <v>3.3</v>
      </c>
      <c r="F68" s="59">
        <v>19.649999999999999</v>
      </c>
      <c r="G68" s="59">
        <v>25.5</v>
      </c>
      <c r="H68" s="59">
        <v>3.56</v>
      </c>
      <c r="I68" s="59">
        <v>0.57999999999999996</v>
      </c>
      <c r="J68" s="59">
        <v>0.62</v>
      </c>
      <c r="K68" s="59">
        <v>178.9</v>
      </c>
      <c r="L68" s="59">
        <v>32.619999999999997</v>
      </c>
      <c r="M68" s="59">
        <v>16.309999999999999</v>
      </c>
      <c r="N68" s="59">
        <v>462.4</v>
      </c>
      <c r="O68" s="59">
        <v>0</v>
      </c>
      <c r="P68" s="59">
        <v>0.48</v>
      </c>
      <c r="Q68" s="59">
        <v>38.700000000000003</v>
      </c>
      <c r="R68" s="197"/>
      <c r="S68" s="197"/>
      <c r="T68" s="197"/>
      <c r="U68" s="197"/>
    </row>
    <row r="69" spans="1:21" s="12" customFormat="1" x14ac:dyDescent="0.25">
      <c r="A69" s="200" t="s">
        <v>2901</v>
      </c>
      <c r="B69" s="59">
        <v>2.81</v>
      </c>
      <c r="C69" s="59">
        <v>33.03</v>
      </c>
      <c r="D69" s="59">
        <v>22.22</v>
      </c>
      <c r="E69" s="59">
        <v>3.94</v>
      </c>
      <c r="F69" s="59">
        <v>22.5</v>
      </c>
      <c r="G69" s="59">
        <v>25.5</v>
      </c>
      <c r="H69" s="59">
        <v>3.56</v>
      </c>
      <c r="I69" s="59">
        <v>0.56999999999999995</v>
      </c>
      <c r="J69" s="59">
        <v>0.21</v>
      </c>
      <c r="K69" s="59">
        <v>147.31</v>
      </c>
      <c r="L69" s="59">
        <v>32.659999999999997</v>
      </c>
      <c r="M69" s="59">
        <v>16.3</v>
      </c>
      <c r="N69" s="59">
        <v>429.3</v>
      </c>
      <c r="O69" s="59">
        <v>0</v>
      </c>
      <c r="P69" s="59">
        <v>0.46</v>
      </c>
      <c r="Q69" s="59">
        <v>40.99</v>
      </c>
      <c r="R69" s="197"/>
      <c r="S69" s="197"/>
      <c r="T69" s="197"/>
      <c r="U69" s="197"/>
    </row>
    <row r="70" spans="1:21" s="12" customFormat="1" x14ac:dyDescent="0.25">
      <c r="A70" s="200" t="s">
        <v>2902</v>
      </c>
      <c r="B70" s="59">
        <v>2.98</v>
      </c>
      <c r="C70" s="59">
        <v>34.89</v>
      </c>
      <c r="D70" s="59">
        <v>23.39</v>
      </c>
      <c r="E70" s="59">
        <v>2.84</v>
      </c>
      <c r="F70" s="59">
        <v>15.74</v>
      </c>
      <c r="G70" s="59">
        <v>34.9</v>
      </c>
      <c r="H70" s="59">
        <v>3.44</v>
      </c>
      <c r="I70" s="59">
        <v>0.56000000000000005</v>
      </c>
      <c r="J70" s="59">
        <v>0.59</v>
      </c>
      <c r="K70" s="59">
        <v>228.75</v>
      </c>
      <c r="L70" s="59">
        <v>33.14</v>
      </c>
      <c r="M70" s="59">
        <v>15.5</v>
      </c>
      <c r="N70" s="59">
        <v>264.39999999999998</v>
      </c>
      <c r="O70" s="59">
        <v>0</v>
      </c>
      <c r="P70" s="59">
        <v>0.46</v>
      </c>
      <c r="Q70" s="59">
        <v>39.81</v>
      </c>
      <c r="R70" s="197"/>
      <c r="S70" s="197"/>
      <c r="T70" s="197"/>
      <c r="U70" s="197"/>
    </row>
    <row r="71" spans="1:21" s="12" customFormat="1" x14ac:dyDescent="0.25">
      <c r="A71" s="200" t="s">
        <v>2903</v>
      </c>
      <c r="B71" s="59">
        <v>3.02</v>
      </c>
      <c r="C71" s="59">
        <v>38.92</v>
      </c>
      <c r="D71" s="59">
        <v>25.64</v>
      </c>
      <c r="E71" s="59">
        <v>2.44</v>
      </c>
      <c r="F71" s="59">
        <v>10.54</v>
      </c>
      <c r="G71" s="59">
        <v>35.340000000000003</v>
      </c>
      <c r="H71" s="59">
        <v>3.44</v>
      </c>
      <c r="I71" s="59">
        <v>0.56000000000000005</v>
      </c>
      <c r="J71" s="59">
        <v>0.08</v>
      </c>
      <c r="K71" s="59">
        <v>13.11</v>
      </c>
      <c r="L71" s="59">
        <v>33.520000000000003</v>
      </c>
      <c r="M71" s="59">
        <v>14.16</v>
      </c>
      <c r="N71" s="59">
        <v>201.8</v>
      </c>
      <c r="O71" s="59">
        <v>0</v>
      </c>
      <c r="P71" s="59">
        <v>0.47</v>
      </c>
      <c r="Q71" s="59">
        <v>39.69</v>
      </c>
      <c r="R71" s="197"/>
      <c r="S71" s="197"/>
      <c r="T71" s="197"/>
      <c r="U71" s="197"/>
    </row>
    <row r="72" spans="1:21" s="12" customFormat="1" x14ac:dyDescent="0.25">
      <c r="A72" s="200" t="s">
        <v>2904</v>
      </c>
      <c r="B72" s="59">
        <v>2.98</v>
      </c>
      <c r="C72" s="59">
        <v>45.57</v>
      </c>
      <c r="D72" s="59">
        <v>29.28</v>
      </c>
      <c r="E72" s="59">
        <v>1.75</v>
      </c>
      <c r="F72" s="59">
        <v>10.76</v>
      </c>
      <c r="G72" s="209" t="s">
        <v>36</v>
      </c>
      <c r="H72" s="209" t="s">
        <v>36</v>
      </c>
      <c r="I72" s="59">
        <v>0.56999999999999995</v>
      </c>
      <c r="J72" s="59">
        <v>0.26</v>
      </c>
      <c r="K72" s="59">
        <v>9.91</v>
      </c>
      <c r="L72" s="59">
        <v>33.26</v>
      </c>
      <c r="M72" s="59">
        <v>14.29</v>
      </c>
      <c r="N72" s="59">
        <v>243.6</v>
      </c>
      <c r="O72" s="59">
        <v>0</v>
      </c>
      <c r="P72" s="59">
        <v>0.47</v>
      </c>
      <c r="Q72" s="59">
        <v>37.979999999999997</v>
      </c>
      <c r="R72" s="197"/>
      <c r="S72" s="197"/>
      <c r="T72" s="197"/>
      <c r="U72" s="197"/>
    </row>
    <row r="73" spans="1:21" s="12" customFormat="1" x14ac:dyDescent="0.25">
      <c r="A73" s="200" t="s">
        <v>2905</v>
      </c>
      <c r="B73" s="59">
        <v>4</v>
      </c>
      <c r="C73" s="59">
        <v>51.73</v>
      </c>
      <c r="D73" s="59">
        <v>33.5</v>
      </c>
      <c r="E73" s="59">
        <v>1.69</v>
      </c>
      <c r="F73" s="59">
        <v>9.16</v>
      </c>
      <c r="G73" s="209" t="s">
        <v>36</v>
      </c>
      <c r="H73" s="209" t="s">
        <v>36</v>
      </c>
      <c r="I73" s="59">
        <v>0.57999999999999996</v>
      </c>
      <c r="J73" s="59">
        <v>0.24</v>
      </c>
      <c r="K73" s="59">
        <v>349.36</v>
      </c>
      <c r="L73" s="59">
        <v>32.799999999999997</v>
      </c>
      <c r="M73" s="59">
        <v>14.98</v>
      </c>
      <c r="N73" s="59">
        <v>132.9</v>
      </c>
      <c r="O73" s="59">
        <v>0</v>
      </c>
      <c r="P73" s="59">
        <v>0.47</v>
      </c>
      <c r="Q73" s="59">
        <v>36.67</v>
      </c>
      <c r="R73" s="197"/>
      <c r="S73" s="197"/>
      <c r="T73" s="197"/>
      <c r="U73" s="197"/>
    </row>
    <row r="74" spans="1:21" s="12" customFormat="1" x14ac:dyDescent="0.25">
      <c r="A74" s="200" t="s">
        <v>2906</v>
      </c>
      <c r="B74" s="59">
        <v>4.08</v>
      </c>
      <c r="C74" s="59">
        <v>53.62</v>
      </c>
      <c r="D74" s="59">
        <v>34.6</v>
      </c>
      <c r="E74" s="59">
        <v>1.87</v>
      </c>
      <c r="F74" s="59">
        <v>8.94</v>
      </c>
      <c r="G74" s="209" t="s">
        <v>36</v>
      </c>
      <c r="H74" s="209" t="s">
        <v>36</v>
      </c>
      <c r="I74" s="59">
        <v>0.57999999999999996</v>
      </c>
      <c r="J74" s="59">
        <v>0.26</v>
      </c>
      <c r="K74" s="59">
        <v>35.54</v>
      </c>
      <c r="L74" s="59">
        <v>32.56</v>
      </c>
      <c r="M74" s="59">
        <v>13.94</v>
      </c>
      <c r="N74" s="59">
        <v>105.1</v>
      </c>
      <c r="O74" s="59">
        <v>0</v>
      </c>
      <c r="P74" s="59">
        <v>0.47</v>
      </c>
      <c r="Q74" s="59">
        <v>36.15</v>
      </c>
      <c r="R74" s="197"/>
      <c r="S74" s="197"/>
      <c r="T74" s="197"/>
      <c r="U74" s="197"/>
    </row>
    <row r="75" spans="1:21" s="12" customFormat="1" x14ac:dyDescent="0.25">
      <c r="A75" s="200" t="s">
        <v>2907</v>
      </c>
      <c r="B75" s="59">
        <v>3.79</v>
      </c>
      <c r="C75" s="59">
        <v>52.46</v>
      </c>
      <c r="D75" s="59">
        <v>33.729999999999997</v>
      </c>
      <c r="E75" s="59">
        <v>1.84</v>
      </c>
      <c r="F75" s="59">
        <v>10.38</v>
      </c>
      <c r="G75" s="59">
        <v>55.7</v>
      </c>
      <c r="H75" s="59">
        <v>28.54</v>
      </c>
      <c r="I75" s="59">
        <v>0.56000000000000005</v>
      </c>
      <c r="J75" s="59">
        <v>0.35</v>
      </c>
      <c r="K75" s="59">
        <v>260.27999999999997</v>
      </c>
      <c r="L75" s="59">
        <v>31.98</v>
      </c>
      <c r="M75" s="59">
        <v>14.2</v>
      </c>
      <c r="N75" s="59">
        <v>97.7</v>
      </c>
      <c r="O75" s="59">
        <v>0</v>
      </c>
      <c r="P75" s="59">
        <v>0.46</v>
      </c>
      <c r="Q75" s="59">
        <v>36.049999999999997</v>
      </c>
      <c r="R75" s="197"/>
      <c r="S75" s="197"/>
      <c r="T75" s="197"/>
      <c r="U75" s="197"/>
    </row>
    <row r="76" spans="1:21" s="12" customFormat="1" x14ac:dyDescent="0.25">
      <c r="A76" s="200" t="s">
        <v>2908</v>
      </c>
      <c r="B76" s="59">
        <v>3.94</v>
      </c>
      <c r="C76" s="59">
        <v>55.31</v>
      </c>
      <c r="D76" s="59">
        <v>35.42</v>
      </c>
      <c r="E76" s="59">
        <v>1.86</v>
      </c>
      <c r="F76" s="59">
        <v>11.2</v>
      </c>
      <c r="G76" s="59">
        <v>56.97</v>
      </c>
      <c r="H76" s="59">
        <v>29.19</v>
      </c>
      <c r="I76" s="59">
        <v>0.55000000000000004</v>
      </c>
      <c r="J76" s="59">
        <v>0.33</v>
      </c>
      <c r="K76" s="59">
        <v>19.239999999999998</v>
      </c>
      <c r="L76" s="59">
        <v>31.81</v>
      </c>
      <c r="M76" s="59">
        <v>15.81</v>
      </c>
      <c r="N76" s="59">
        <v>73.5</v>
      </c>
      <c r="O76" s="59">
        <v>0</v>
      </c>
      <c r="P76" s="59">
        <v>0.46</v>
      </c>
      <c r="Q76" s="59">
        <v>35.270000000000003</v>
      </c>
      <c r="R76" s="197"/>
      <c r="S76" s="197"/>
      <c r="T76" s="197"/>
      <c r="U76" s="197"/>
    </row>
    <row r="77" spans="1:21" s="12" customFormat="1" x14ac:dyDescent="0.25">
      <c r="A77" s="200" t="s">
        <v>2909</v>
      </c>
      <c r="B77" s="59">
        <v>4.45</v>
      </c>
      <c r="C77" s="59">
        <v>56.31</v>
      </c>
      <c r="D77" s="59">
        <v>36.380000000000003</v>
      </c>
      <c r="E77" s="59">
        <v>1.92</v>
      </c>
      <c r="F77" s="59">
        <v>10.7</v>
      </c>
      <c r="G77" s="59">
        <v>56.97</v>
      </c>
      <c r="H77" s="59">
        <v>29.19</v>
      </c>
      <c r="I77" s="59">
        <v>0.53</v>
      </c>
      <c r="J77" s="59">
        <v>0.27</v>
      </c>
      <c r="K77" s="59">
        <v>23.27</v>
      </c>
      <c r="L77" s="59">
        <v>31.44</v>
      </c>
      <c r="M77" s="59">
        <v>16.63</v>
      </c>
      <c r="N77" s="59">
        <v>62.4</v>
      </c>
      <c r="O77" s="59">
        <v>0</v>
      </c>
      <c r="P77" s="59">
        <v>0.48</v>
      </c>
      <c r="Q77" s="59">
        <v>35.270000000000003</v>
      </c>
      <c r="R77" s="197"/>
      <c r="S77" s="197"/>
      <c r="T77" s="197"/>
      <c r="U77" s="197"/>
    </row>
    <row r="78" spans="1:21" s="12" customFormat="1" x14ac:dyDescent="0.25">
      <c r="A78" s="200" t="s">
        <v>2910</v>
      </c>
      <c r="B78" s="59">
        <v>5.88</v>
      </c>
      <c r="C78" s="59">
        <v>64.27</v>
      </c>
      <c r="D78" s="59">
        <v>41.93</v>
      </c>
      <c r="E78" s="59">
        <v>2</v>
      </c>
      <c r="F78" s="59">
        <v>10.220000000000001</v>
      </c>
      <c r="G78" s="59">
        <v>56.97</v>
      </c>
      <c r="H78" s="59">
        <v>29.19</v>
      </c>
      <c r="I78" s="59">
        <v>0.52</v>
      </c>
      <c r="J78" s="59">
        <v>0.18</v>
      </c>
      <c r="K78" s="59">
        <v>36.83</v>
      </c>
      <c r="L78" s="59">
        <v>31.2</v>
      </c>
      <c r="M78" s="59">
        <v>17.100000000000001</v>
      </c>
      <c r="N78" s="59">
        <v>47.1</v>
      </c>
      <c r="O78" s="59">
        <v>0</v>
      </c>
      <c r="P78" s="59">
        <v>0.5</v>
      </c>
      <c r="Q78" s="59">
        <v>37.270000000000003</v>
      </c>
      <c r="R78" s="197"/>
      <c r="S78" s="197"/>
      <c r="T78" s="197"/>
      <c r="U78" s="197"/>
    </row>
    <row r="79" spans="1:21" s="12" customFormat="1" x14ac:dyDescent="0.25">
      <c r="A79" s="200" t="s">
        <v>2911</v>
      </c>
      <c r="B79" s="59">
        <v>10.119999999999999</v>
      </c>
      <c r="C79" s="59">
        <v>71.48</v>
      </c>
      <c r="D79" s="59">
        <v>49.3</v>
      </c>
      <c r="E79" s="59">
        <v>2.56</v>
      </c>
      <c r="F79" s="59">
        <v>12.64</v>
      </c>
      <c r="G79" s="59">
        <v>46.7</v>
      </c>
      <c r="H79" s="59">
        <v>20.45</v>
      </c>
      <c r="I79" s="59">
        <v>0.52</v>
      </c>
      <c r="J79" s="59">
        <v>0.25</v>
      </c>
      <c r="K79" s="59">
        <v>5.43</v>
      </c>
      <c r="L79" s="59">
        <v>30.55</v>
      </c>
      <c r="M79" s="59">
        <v>18.7</v>
      </c>
      <c r="N79" s="59">
        <v>32.6</v>
      </c>
      <c r="O79" s="59">
        <v>0</v>
      </c>
      <c r="P79" s="59">
        <v>0.56000000000000005</v>
      </c>
      <c r="Q79" s="59">
        <v>39.130000000000003</v>
      </c>
      <c r="R79" s="197"/>
      <c r="S79" s="197"/>
      <c r="T79" s="197"/>
      <c r="U79" s="197"/>
    </row>
    <row r="80" spans="1:21" s="12" customFormat="1" x14ac:dyDescent="0.25">
      <c r="A80" s="200" t="s">
        <v>2912</v>
      </c>
      <c r="B80" s="59">
        <v>11.76</v>
      </c>
      <c r="C80" s="59">
        <v>78.319999999999993</v>
      </c>
      <c r="D80" s="59">
        <v>54.39</v>
      </c>
      <c r="E80" s="59">
        <v>2.86</v>
      </c>
      <c r="F80" s="59">
        <v>17.010000000000002</v>
      </c>
      <c r="G80" s="59">
        <v>46.47</v>
      </c>
      <c r="H80" s="59">
        <v>18.989999999999998</v>
      </c>
      <c r="I80" s="59">
        <v>0.52</v>
      </c>
      <c r="J80" s="59">
        <v>0.16</v>
      </c>
      <c r="K80" s="59">
        <v>341.91</v>
      </c>
      <c r="L80" s="59">
        <v>29.8</v>
      </c>
      <c r="M80" s="59">
        <v>20.46</v>
      </c>
      <c r="N80" s="59">
        <v>18.7</v>
      </c>
      <c r="O80" s="59">
        <v>0</v>
      </c>
      <c r="P80" s="59">
        <v>0.73</v>
      </c>
      <c r="Q80" s="59">
        <v>39.880000000000003</v>
      </c>
      <c r="R80" s="197"/>
      <c r="S80" s="197"/>
      <c r="T80" s="197"/>
      <c r="U80" s="197"/>
    </row>
    <row r="81" spans="1:26" s="12" customFormat="1" x14ac:dyDescent="0.25">
      <c r="A81" s="200" t="s">
        <v>2913</v>
      </c>
      <c r="B81" s="59">
        <v>34.840000000000003</v>
      </c>
      <c r="C81" s="59">
        <v>105.11</v>
      </c>
      <c r="D81" s="59">
        <v>87.69</v>
      </c>
      <c r="E81" s="59">
        <v>4.87</v>
      </c>
      <c r="F81" s="59">
        <v>11.14</v>
      </c>
      <c r="G81" s="59">
        <v>46.47</v>
      </c>
      <c r="H81" s="59">
        <v>18.989999999999998</v>
      </c>
      <c r="I81" s="59">
        <v>0.5</v>
      </c>
      <c r="J81" s="59">
        <v>0.09</v>
      </c>
      <c r="K81" s="59">
        <v>337.1</v>
      </c>
      <c r="L81" s="59">
        <v>29.27</v>
      </c>
      <c r="M81" s="59">
        <v>21.05</v>
      </c>
      <c r="N81" s="59">
        <v>8.5</v>
      </c>
      <c r="O81" s="59">
        <v>0</v>
      </c>
      <c r="P81" s="59">
        <v>1.08</v>
      </c>
      <c r="Q81" s="59">
        <v>36.43</v>
      </c>
      <c r="R81" s="197"/>
      <c r="S81" s="197"/>
      <c r="T81" s="197"/>
      <c r="U81" s="197"/>
    </row>
    <row r="82" spans="1:26" s="12" customFormat="1" x14ac:dyDescent="0.25">
      <c r="A82" s="200" t="s">
        <v>2914</v>
      </c>
      <c r="B82" s="59">
        <v>35</v>
      </c>
      <c r="C82" s="59">
        <v>117.15</v>
      </c>
      <c r="D82" s="59">
        <v>94.46</v>
      </c>
      <c r="E82" s="59">
        <v>5.6</v>
      </c>
      <c r="F82" s="59">
        <v>5.95</v>
      </c>
      <c r="G82" s="59">
        <v>46.47</v>
      </c>
      <c r="H82" s="59">
        <v>18.989999999999998</v>
      </c>
      <c r="I82" s="59">
        <v>0.52</v>
      </c>
      <c r="J82" s="59">
        <v>0.14000000000000001</v>
      </c>
      <c r="K82" s="59">
        <v>86.53</v>
      </c>
      <c r="L82" s="59">
        <v>28.48</v>
      </c>
      <c r="M82" s="59">
        <v>23.07</v>
      </c>
      <c r="N82" s="59">
        <v>5.2</v>
      </c>
      <c r="O82" s="59">
        <v>0</v>
      </c>
      <c r="P82" s="59">
        <v>1.33</v>
      </c>
      <c r="Q82" s="59">
        <v>35.28</v>
      </c>
      <c r="R82" s="197"/>
      <c r="S82" s="197"/>
      <c r="T82" s="197"/>
      <c r="U82" s="197"/>
    </row>
    <row r="83" spans="1:26" s="12" customFormat="1" x14ac:dyDescent="0.25">
      <c r="A83" s="200" t="s">
        <v>2915</v>
      </c>
      <c r="B83" s="59">
        <v>29.38</v>
      </c>
      <c r="C83" s="59">
        <v>118.62</v>
      </c>
      <c r="D83" s="59">
        <v>90.76</v>
      </c>
      <c r="E83" s="59">
        <v>5.15</v>
      </c>
      <c r="F83" s="59">
        <v>5.01</v>
      </c>
      <c r="G83" s="59">
        <v>56.69</v>
      </c>
      <c r="H83" s="59">
        <v>37.75</v>
      </c>
      <c r="I83" s="59">
        <v>0.57999999999999996</v>
      </c>
      <c r="J83" s="59">
        <v>0.14000000000000001</v>
      </c>
      <c r="K83" s="59">
        <v>108.92</v>
      </c>
      <c r="L83" s="59">
        <v>27.84</v>
      </c>
      <c r="M83" s="59">
        <v>25.54</v>
      </c>
      <c r="N83" s="59">
        <v>4.7</v>
      </c>
      <c r="O83" s="59">
        <v>0</v>
      </c>
      <c r="P83" s="59">
        <v>1.1399999999999999</v>
      </c>
      <c r="Q83" s="59">
        <v>35.869999999999997</v>
      </c>
      <c r="R83" s="197"/>
      <c r="S83" s="197"/>
      <c r="T83" s="197"/>
      <c r="U83" s="197"/>
    </row>
    <row r="84" spans="1:26" s="12" customFormat="1" x14ac:dyDescent="0.25">
      <c r="A84" s="200" t="s">
        <v>2916</v>
      </c>
      <c r="B84" s="59">
        <v>83.2</v>
      </c>
      <c r="C84" s="59">
        <v>119.16</v>
      </c>
      <c r="D84" s="59">
        <v>134.22</v>
      </c>
      <c r="E84" s="59">
        <v>5.23</v>
      </c>
      <c r="F84" s="59">
        <v>4.04</v>
      </c>
      <c r="G84" s="59">
        <v>56.93</v>
      </c>
      <c r="H84" s="59">
        <v>38.18</v>
      </c>
      <c r="I84" s="59">
        <v>0.67</v>
      </c>
      <c r="J84" s="59">
        <v>0.08</v>
      </c>
      <c r="K84" s="59">
        <v>336.44</v>
      </c>
      <c r="L84" s="59">
        <v>27.37</v>
      </c>
      <c r="M84" s="59">
        <v>28.73</v>
      </c>
      <c r="N84" s="59">
        <v>5</v>
      </c>
      <c r="O84" s="59">
        <v>0</v>
      </c>
      <c r="P84" s="59">
        <v>1.7</v>
      </c>
      <c r="Q84" s="59">
        <v>32.51</v>
      </c>
      <c r="R84" s="197"/>
      <c r="S84" s="197"/>
      <c r="T84" s="197"/>
      <c r="U84" s="197"/>
    </row>
    <row r="85" spans="1:26" s="12" customFormat="1" x14ac:dyDescent="0.25">
      <c r="A85" s="200" t="s">
        <v>2917</v>
      </c>
      <c r="B85" s="59">
        <v>64.489999999999995</v>
      </c>
      <c r="C85" s="59">
        <v>116.51</v>
      </c>
      <c r="D85" s="59">
        <v>117.76</v>
      </c>
      <c r="E85" s="59">
        <v>5.19</v>
      </c>
      <c r="F85" s="59">
        <v>3.57</v>
      </c>
      <c r="G85" s="59">
        <v>56.93</v>
      </c>
      <c r="H85" s="59">
        <v>38.18</v>
      </c>
      <c r="I85" s="59">
        <v>0.72</v>
      </c>
      <c r="J85" s="59">
        <v>0.28000000000000003</v>
      </c>
      <c r="K85" s="59">
        <v>90.58</v>
      </c>
      <c r="L85" s="59">
        <v>26.74</v>
      </c>
      <c r="M85" s="59">
        <v>31.35</v>
      </c>
      <c r="N85" s="59">
        <v>4.7</v>
      </c>
      <c r="O85" s="59">
        <v>0</v>
      </c>
      <c r="P85" s="59">
        <v>1.26</v>
      </c>
      <c r="Q85" s="59">
        <v>31.7</v>
      </c>
      <c r="R85" s="197"/>
      <c r="S85" s="197"/>
      <c r="T85" s="197"/>
      <c r="U85" s="197"/>
    </row>
    <row r="86" spans="1:26" s="12" customFormat="1" x14ac:dyDescent="0.25">
      <c r="A86" s="200" t="s">
        <v>2918</v>
      </c>
      <c r="B86" s="59">
        <v>112.94</v>
      </c>
      <c r="C86" s="59">
        <v>124.04</v>
      </c>
      <c r="D86" s="59">
        <v>160.76</v>
      </c>
      <c r="E86" s="59">
        <v>4.96</v>
      </c>
      <c r="F86" s="59">
        <v>4.29</v>
      </c>
      <c r="G86" s="59">
        <v>56.93</v>
      </c>
      <c r="H86" s="59">
        <v>38.18</v>
      </c>
      <c r="I86" s="59">
        <v>0.78</v>
      </c>
      <c r="J86" s="59">
        <v>0.22</v>
      </c>
      <c r="K86" s="59">
        <v>92.96</v>
      </c>
      <c r="L86" s="59">
        <v>26.31</v>
      </c>
      <c r="M86" s="59">
        <v>36.049999999999997</v>
      </c>
      <c r="N86" s="59">
        <v>4.7</v>
      </c>
      <c r="O86" s="59">
        <v>0</v>
      </c>
      <c r="P86" s="59">
        <v>1.37</v>
      </c>
      <c r="Q86" s="59">
        <v>33.200000000000003</v>
      </c>
      <c r="R86" s="197"/>
      <c r="S86" s="197"/>
      <c r="T86" s="197"/>
      <c r="U86" s="197"/>
    </row>
    <row r="87" spans="1:26" s="12" customFormat="1" x14ac:dyDescent="0.25">
      <c r="A87" s="200" t="s">
        <v>2919</v>
      </c>
      <c r="B87" s="59">
        <v>192.43</v>
      </c>
      <c r="C87" s="59">
        <v>138.19999999999999</v>
      </c>
      <c r="D87" s="59">
        <v>232.32</v>
      </c>
      <c r="E87" s="59">
        <v>5.4</v>
      </c>
      <c r="F87" s="59">
        <v>3.79</v>
      </c>
      <c r="G87" s="59">
        <v>137.19</v>
      </c>
      <c r="H87" s="59">
        <v>42.56</v>
      </c>
      <c r="I87" s="59">
        <v>0.82</v>
      </c>
      <c r="J87" s="59">
        <v>0.08</v>
      </c>
      <c r="K87" s="59">
        <v>129.58000000000001</v>
      </c>
      <c r="L87" s="59">
        <v>25.8</v>
      </c>
      <c r="M87" s="59">
        <v>35.68</v>
      </c>
      <c r="N87" s="59">
        <v>4.8</v>
      </c>
      <c r="O87" s="59">
        <v>0</v>
      </c>
      <c r="P87" s="59">
        <v>1.6</v>
      </c>
      <c r="Q87" s="59">
        <v>26.75</v>
      </c>
      <c r="R87" s="197"/>
      <c r="S87" s="197"/>
      <c r="T87" s="197"/>
      <c r="U87" s="197"/>
    </row>
    <row r="88" spans="1:26" s="12" customFormat="1" x14ac:dyDescent="0.25">
      <c r="A88" s="200" t="s">
        <v>2920</v>
      </c>
      <c r="B88" s="59">
        <v>124.46</v>
      </c>
      <c r="C88" s="59">
        <v>123.92</v>
      </c>
      <c r="D88" s="59">
        <v>169.93</v>
      </c>
      <c r="E88" s="59">
        <v>4.3099999999999996</v>
      </c>
      <c r="F88" s="59">
        <v>3.3</v>
      </c>
      <c r="G88" s="59">
        <v>139.01</v>
      </c>
      <c r="H88" s="59">
        <v>42.67</v>
      </c>
      <c r="I88" s="59">
        <v>0.85</v>
      </c>
      <c r="J88" s="59">
        <v>0.11</v>
      </c>
      <c r="K88" s="59">
        <v>265.47000000000003</v>
      </c>
      <c r="L88" s="59">
        <v>25.76</v>
      </c>
      <c r="M88" s="59">
        <v>35.21</v>
      </c>
      <c r="N88" s="59">
        <v>4.5</v>
      </c>
      <c r="O88" s="59">
        <v>0</v>
      </c>
      <c r="P88" s="59">
        <v>2.0699999999999998</v>
      </c>
      <c r="Q88" s="59">
        <v>32.590000000000003</v>
      </c>
      <c r="R88" s="197"/>
      <c r="S88" s="197"/>
      <c r="T88" s="197"/>
      <c r="U88" s="197"/>
    </row>
    <row r="89" spans="1:26" s="12" customFormat="1" x14ac:dyDescent="0.25">
      <c r="A89" s="200" t="s">
        <v>2921</v>
      </c>
      <c r="B89" s="59">
        <v>144.52000000000001</v>
      </c>
      <c r="C89" s="59">
        <v>112.92</v>
      </c>
      <c r="D89" s="59">
        <v>179.95</v>
      </c>
      <c r="E89" s="59">
        <v>6.82</v>
      </c>
      <c r="F89" s="59">
        <v>3.76</v>
      </c>
      <c r="G89" s="59">
        <v>139.01</v>
      </c>
      <c r="H89" s="59">
        <v>42.67</v>
      </c>
      <c r="I89" s="59">
        <v>0.97</v>
      </c>
      <c r="J89" s="59">
        <v>0.12</v>
      </c>
      <c r="K89" s="59">
        <v>352.28</v>
      </c>
      <c r="L89" s="59">
        <v>25.2</v>
      </c>
      <c r="M89" s="59">
        <v>40.159999999999997</v>
      </c>
      <c r="N89" s="59">
        <v>4.8</v>
      </c>
      <c r="O89" s="59">
        <v>0</v>
      </c>
      <c r="P89" s="59">
        <v>2.97</v>
      </c>
      <c r="Q89" s="59">
        <v>33.78</v>
      </c>
      <c r="R89" s="197"/>
      <c r="S89" s="197"/>
      <c r="T89" s="197"/>
      <c r="U89" s="197"/>
    </row>
    <row r="90" spans="1:26" s="12" customFormat="1" x14ac:dyDescent="0.25">
      <c r="A90" s="200" t="s">
        <v>2922</v>
      </c>
      <c r="B90" s="59">
        <v>130.08000000000001</v>
      </c>
      <c r="C90" s="59">
        <v>115.95</v>
      </c>
      <c r="D90" s="59">
        <v>170.04</v>
      </c>
      <c r="E90" s="59">
        <v>6.55</v>
      </c>
      <c r="F90" s="59">
        <v>3.85</v>
      </c>
      <c r="G90" s="59">
        <v>139.01</v>
      </c>
      <c r="H90" s="59">
        <v>42.67</v>
      </c>
      <c r="I90" s="59">
        <v>1.07</v>
      </c>
      <c r="J90" s="59">
        <v>0.19</v>
      </c>
      <c r="K90" s="59">
        <v>23.21</v>
      </c>
      <c r="L90" s="59">
        <v>24.78</v>
      </c>
      <c r="M90" s="59">
        <v>43.99</v>
      </c>
      <c r="N90" s="59">
        <v>4.7</v>
      </c>
      <c r="O90" s="59">
        <v>0</v>
      </c>
      <c r="P90" s="59">
        <v>3.35</v>
      </c>
      <c r="Q90" s="59">
        <v>36.93</v>
      </c>
      <c r="R90" s="197"/>
      <c r="S90" s="197"/>
      <c r="T90" s="197"/>
      <c r="U90" s="197"/>
    </row>
    <row r="91" spans="1:26" s="12" customFormat="1" x14ac:dyDescent="0.25">
      <c r="A91" s="200" t="s">
        <v>2923</v>
      </c>
      <c r="B91" s="59">
        <v>122.3</v>
      </c>
      <c r="C91" s="59">
        <v>98.73</v>
      </c>
      <c r="D91" s="59">
        <v>154.30000000000001</v>
      </c>
      <c r="E91" s="59">
        <v>6.21</v>
      </c>
      <c r="F91" s="59">
        <v>3.8</v>
      </c>
      <c r="G91" s="59">
        <v>185.8</v>
      </c>
      <c r="H91" s="59">
        <v>51.02</v>
      </c>
      <c r="I91" s="59">
        <v>1.23</v>
      </c>
      <c r="J91" s="59">
        <v>0.12</v>
      </c>
      <c r="K91" s="59">
        <v>45.97</v>
      </c>
      <c r="L91" s="59">
        <v>24.34</v>
      </c>
      <c r="M91" s="59">
        <v>45.49</v>
      </c>
      <c r="N91" s="59">
        <v>4.5999999999999996</v>
      </c>
      <c r="O91" s="59">
        <v>0</v>
      </c>
      <c r="P91" s="59">
        <v>3.07</v>
      </c>
      <c r="Q91" s="59">
        <v>39.43</v>
      </c>
      <c r="R91" s="197"/>
      <c r="S91" s="197"/>
      <c r="T91" s="197"/>
      <c r="U91" s="197"/>
    </row>
    <row r="92" spans="1:26" s="12" customFormat="1" x14ac:dyDescent="0.25">
      <c r="A92" s="200" t="s">
        <v>2924</v>
      </c>
      <c r="B92" s="59">
        <v>133.49</v>
      </c>
      <c r="C92" s="59">
        <v>103.15</v>
      </c>
      <c r="D92" s="59">
        <v>165.72</v>
      </c>
      <c r="E92" s="59">
        <v>6.04</v>
      </c>
      <c r="F92" s="59">
        <v>4.01</v>
      </c>
      <c r="G92" s="59">
        <v>186.86</v>
      </c>
      <c r="H92" s="59">
        <v>51.21</v>
      </c>
      <c r="I92" s="59">
        <v>1.38</v>
      </c>
      <c r="J92" s="59">
        <v>0.06</v>
      </c>
      <c r="K92" s="59">
        <v>343.28</v>
      </c>
      <c r="L92" s="59">
        <v>24.53</v>
      </c>
      <c r="M92" s="59">
        <v>42.83</v>
      </c>
      <c r="N92" s="59">
        <v>4.4000000000000004</v>
      </c>
      <c r="O92" s="59">
        <v>0</v>
      </c>
      <c r="P92" s="59">
        <v>3.19</v>
      </c>
      <c r="Q92" s="59">
        <v>42.03</v>
      </c>
      <c r="R92" s="197"/>
      <c r="S92" s="197"/>
      <c r="T92" s="197"/>
      <c r="U92" s="197"/>
    </row>
    <row r="93" spans="1:26" s="12" customFormat="1" x14ac:dyDescent="0.25">
      <c r="A93" s="200" t="s">
        <v>2925</v>
      </c>
      <c r="B93" s="59">
        <v>143.28</v>
      </c>
      <c r="C93" s="59">
        <v>96.01</v>
      </c>
      <c r="D93" s="59">
        <v>169.63</v>
      </c>
      <c r="E93" s="59">
        <v>5.92</v>
      </c>
      <c r="F93" s="59">
        <v>3.85</v>
      </c>
      <c r="G93" s="59">
        <v>186.86</v>
      </c>
      <c r="H93" s="59">
        <v>51.21</v>
      </c>
      <c r="I93" s="59">
        <v>1.45</v>
      </c>
      <c r="J93" s="59">
        <v>0.15</v>
      </c>
      <c r="K93" s="59">
        <v>352.31</v>
      </c>
      <c r="L93" s="59">
        <v>24.44</v>
      </c>
      <c r="M93" s="59">
        <v>43.29</v>
      </c>
      <c r="N93" s="59">
        <v>4.7</v>
      </c>
      <c r="O93" s="59">
        <v>0</v>
      </c>
      <c r="P93" s="59">
        <v>2.98</v>
      </c>
      <c r="Q93" s="59">
        <v>43.27</v>
      </c>
      <c r="R93" s="197"/>
      <c r="S93" s="197"/>
      <c r="T93" s="197"/>
      <c r="U93" s="197"/>
    </row>
    <row r="94" spans="1:26" s="12" customFormat="1" x14ac:dyDescent="0.25">
      <c r="A94" s="200" t="s">
        <v>2926</v>
      </c>
      <c r="B94" s="59">
        <v>163.66</v>
      </c>
      <c r="C94" s="59">
        <v>103.98</v>
      </c>
      <c r="D94" s="59">
        <v>190.37</v>
      </c>
      <c r="E94" s="59">
        <v>6.19</v>
      </c>
      <c r="F94" s="59">
        <v>3.64</v>
      </c>
      <c r="G94" s="59">
        <v>186.86</v>
      </c>
      <c r="H94" s="59">
        <v>51.21</v>
      </c>
      <c r="I94" s="59">
        <v>1.4</v>
      </c>
      <c r="J94" s="59">
        <v>0.09</v>
      </c>
      <c r="K94" s="59">
        <v>87.74</v>
      </c>
      <c r="L94" s="59">
        <v>24.14</v>
      </c>
      <c r="M94" s="59">
        <v>44.14</v>
      </c>
      <c r="N94" s="59">
        <v>4.2</v>
      </c>
      <c r="O94" s="59">
        <v>0</v>
      </c>
      <c r="P94" s="59">
        <v>3.62</v>
      </c>
      <c r="Q94" s="59">
        <v>42.58</v>
      </c>
      <c r="R94" s="197"/>
      <c r="S94" s="197"/>
      <c r="T94" s="197"/>
      <c r="U94" s="197"/>
    </row>
    <row r="95" spans="1:26" s="12" customFormat="1" x14ac:dyDescent="0.25">
      <c r="A95" s="200" t="s">
        <v>2927</v>
      </c>
      <c r="B95" s="59">
        <v>189.52</v>
      </c>
      <c r="C95" s="59">
        <v>105.57</v>
      </c>
      <c r="D95" s="59">
        <v>211.99</v>
      </c>
      <c r="E95" s="59">
        <v>5.81</v>
      </c>
      <c r="F95" s="59">
        <v>3.39</v>
      </c>
      <c r="G95" s="59">
        <v>198.71</v>
      </c>
      <c r="H95" s="59">
        <v>59.45</v>
      </c>
      <c r="I95" s="59">
        <v>1.48</v>
      </c>
      <c r="J95" s="59">
        <v>0.2</v>
      </c>
      <c r="K95" s="59">
        <v>86.61</v>
      </c>
      <c r="L95" s="59">
        <v>24.55</v>
      </c>
      <c r="M95" s="59">
        <v>43.39</v>
      </c>
      <c r="N95" s="59">
        <v>4</v>
      </c>
      <c r="O95" s="59">
        <v>0</v>
      </c>
      <c r="P95" s="59">
        <v>3.26</v>
      </c>
      <c r="Q95" s="59">
        <v>41.76</v>
      </c>
      <c r="R95" s="197"/>
      <c r="S95" s="197"/>
      <c r="T95" s="197"/>
      <c r="U95" s="197"/>
    </row>
    <row r="96" spans="1:26" s="12" customFormat="1" x14ac:dyDescent="0.25">
      <c r="A96" s="200" t="s">
        <v>2928</v>
      </c>
      <c r="B96" s="59">
        <v>200.4</v>
      </c>
      <c r="C96" s="59">
        <v>97.09</v>
      </c>
      <c r="D96" s="59">
        <v>216.03</v>
      </c>
      <c r="E96" s="59">
        <v>5.87</v>
      </c>
      <c r="F96" s="59">
        <v>3.56</v>
      </c>
      <c r="G96" s="59">
        <v>198.98</v>
      </c>
      <c r="H96" s="59">
        <v>59.69</v>
      </c>
      <c r="I96" s="59">
        <v>1.49</v>
      </c>
      <c r="J96" s="59">
        <v>0.13</v>
      </c>
      <c r="K96" s="59">
        <v>2.4900000000000002</v>
      </c>
      <c r="L96" s="59">
        <v>23.85</v>
      </c>
      <c r="M96" s="59">
        <v>49.18</v>
      </c>
      <c r="N96" s="59">
        <v>5.0999999999999996</v>
      </c>
      <c r="O96" s="59">
        <v>0</v>
      </c>
      <c r="P96" s="59">
        <v>3.99</v>
      </c>
      <c r="Q96" s="59">
        <v>42.4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2929</v>
      </c>
      <c r="B97" s="59">
        <v>199.99</v>
      </c>
      <c r="C97" s="59">
        <v>96.68</v>
      </c>
      <c r="D97" s="59">
        <v>215.47</v>
      </c>
      <c r="E97" s="59">
        <v>5.71</v>
      </c>
      <c r="F97" s="59">
        <v>3.63</v>
      </c>
      <c r="G97" s="59">
        <v>198.98</v>
      </c>
      <c r="H97" s="59">
        <v>59.69</v>
      </c>
      <c r="I97" s="59">
        <v>1.55</v>
      </c>
      <c r="J97" s="59">
        <v>0.05</v>
      </c>
      <c r="K97" s="59">
        <v>285.10000000000002</v>
      </c>
      <c r="L97" s="59">
        <v>23.66</v>
      </c>
      <c r="M97" s="59">
        <v>47.19</v>
      </c>
      <c r="N97" s="59">
        <v>4.4000000000000004</v>
      </c>
      <c r="O97" s="59">
        <v>0</v>
      </c>
      <c r="P97" s="59">
        <v>3.88</v>
      </c>
      <c r="Q97" s="59">
        <v>48.15</v>
      </c>
      <c r="R97" s="197"/>
      <c r="S97" s="197"/>
      <c r="T97" s="197"/>
      <c r="U97" s="197"/>
    </row>
    <row r="98" spans="1:33" s="12" customFormat="1" x14ac:dyDescent="0.25">
      <c r="A98" s="200" t="s">
        <v>2930</v>
      </c>
      <c r="B98" s="59">
        <v>201.45</v>
      </c>
      <c r="C98" s="59">
        <v>95.37</v>
      </c>
      <c r="D98" s="59">
        <v>215.92</v>
      </c>
      <c r="E98" s="59">
        <v>5.63</v>
      </c>
      <c r="F98" s="59">
        <v>3.18</v>
      </c>
      <c r="G98" s="59">
        <v>198.98</v>
      </c>
      <c r="H98" s="59">
        <v>59.69</v>
      </c>
      <c r="I98" s="59">
        <v>1.69</v>
      </c>
      <c r="J98" s="59">
        <v>0.16</v>
      </c>
      <c r="K98" s="59">
        <v>92.3</v>
      </c>
      <c r="L98" s="59">
        <v>23.84</v>
      </c>
      <c r="M98" s="59">
        <v>47.23</v>
      </c>
      <c r="N98" s="59">
        <v>4.2</v>
      </c>
      <c r="O98" s="59">
        <v>0</v>
      </c>
      <c r="P98" s="59">
        <v>3.68</v>
      </c>
      <c r="Q98" s="59">
        <v>46.19</v>
      </c>
      <c r="R98" s="197"/>
      <c r="S98" s="197"/>
      <c r="T98" s="197"/>
      <c r="U98" s="197"/>
    </row>
    <row r="99" spans="1:33" s="12" customFormat="1" x14ac:dyDescent="0.25">
      <c r="A99" s="200" t="s">
        <v>2931</v>
      </c>
      <c r="B99" s="59">
        <v>208.85</v>
      </c>
      <c r="C99" s="59">
        <v>92.08</v>
      </c>
      <c r="D99" s="59">
        <v>220.04</v>
      </c>
      <c r="E99" s="59">
        <v>6.07</v>
      </c>
      <c r="F99" s="59">
        <v>3.11</v>
      </c>
      <c r="G99" s="59">
        <v>209.89</v>
      </c>
      <c r="H99" s="59">
        <v>64.599999999999994</v>
      </c>
      <c r="I99" s="59">
        <v>1.67</v>
      </c>
      <c r="J99" s="59">
        <v>0.12</v>
      </c>
      <c r="K99" s="59">
        <v>78.650000000000006</v>
      </c>
      <c r="L99" s="59">
        <v>23.3</v>
      </c>
      <c r="M99" s="59">
        <v>52.87</v>
      </c>
      <c r="N99" s="59">
        <v>4.9000000000000004</v>
      </c>
      <c r="O99" s="59">
        <v>0</v>
      </c>
      <c r="P99" s="59">
        <v>4.09</v>
      </c>
      <c r="Q99" s="59">
        <v>47.37</v>
      </c>
      <c r="R99" s="197"/>
      <c r="S99" s="197"/>
      <c r="T99" s="197"/>
      <c r="U99" s="197"/>
    </row>
    <row r="100" spans="1:33" s="12" customFormat="1" x14ac:dyDescent="0.25">
      <c r="A100" s="200" t="s">
        <v>2932</v>
      </c>
      <c r="B100" s="59">
        <v>238.67</v>
      </c>
      <c r="C100" s="59">
        <v>100.45</v>
      </c>
      <c r="D100" s="59">
        <v>248.57</v>
      </c>
      <c r="E100" s="59">
        <v>6.31</v>
      </c>
      <c r="F100" s="59">
        <v>3.31</v>
      </c>
      <c r="G100" s="59">
        <v>210.13</v>
      </c>
      <c r="H100" s="59">
        <v>64.599999999999994</v>
      </c>
      <c r="I100" s="59">
        <v>1.67</v>
      </c>
      <c r="J100" s="59">
        <v>0.11</v>
      </c>
      <c r="K100" s="59">
        <v>249.92</v>
      </c>
      <c r="L100" s="59">
        <v>22.95</v>
      </c>
      <c r="M100" s="59">
        <v>52.67</v>
      </c>
      <c r="N100" s="59">
        <v>4.8</v>
      </c>
      <c r="O100" s="59">
        <v>0</v>
      </c>
      <c r="P100" s="59">
        <v>4.3600000000000003</v>
      </c>
      <c r="Q100" s="59">
        <v>46.26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2933</v>
      </c>
      <c r="B101" s="59">
        <v>229.37</v>
      </c>
      <c r="C101" s="59">
        <v>97.25</v>
      </c>
      <c r="D101" s="59">
        <v>239.35</v>
      </c>
      <c r="E101" s="59">
        <v>6.58</v>
      </c>
      <c r="F101" s="59">
        <v>3.5</v>
      </c>
      <c r="G101" s="59">
        <v>210.13</v>
      </c>
      <c r="H101" s="59">
        <v>64.599999999999994</v>
      </c>
      <c r="I101" s="59">
        <v>1.84</v>
      </c>
      <c r="J101" s="59">
        <v>0.11</v>
      </c>
      <c r="K101" s="59">
        <v>272.33999999999997</v>
      </c>
      <c r="L101" s="59">
        <v>22.88</v>
      </c>
      <c r="M101" s="59">
        <v>53.39</v>
      </c>
      <c r="N101" s="59">
        <v>4.5999999999999996</v>
      </c>
      <c r="O101" s="59">
        <v>0</v>
      </c>
      <c r="P101" s="59">
        <v>4.2300000000000004</v>
      </c>
      <c r="Q101" s="59">
        <v>47.67</v>
      </c>
      <c r="R101" s="197"/>
      <c r="S101" s="197"/>
      <c r="T101" s="197"/>
      <c r="U101" s="197"/>
    </row>
    <row r="102" spans="1:33" s="12" customFormat="1" x14ac:dyDescent="0.25">
      <c r="A102" s="200" t="s">
        <v>2934</v>
      </c>
      <c r="B102" s="59">
        <v>230.42</v>
      </c>
      <c r="C102" s="59">
        <v>97.49</v>
      </c>
      <c r="D102" s="59">
        <v>240.32</v>
      </c>
      <c r="E102" s="59">
        <v>6.59</v>
      </c>
      <c r="F102" s="59">
        <v>3.37</v>
      </c>
      <c r="G102" s="59">
        <v>210.13</v>
      </c>
      <c r="H102" s="59">
        <v>64.599999999999994</v>
      </c>
      <c r="I102" s="59">
        <v>1.95</v>
      </c>
      <c r="J102" s="59">
        <v>0.06</v>
      </c>
      <c r="K102" s="59">
        <v>329.53</v>
      </c>
      <c r="L102" s="59">
        <v>22.7</v>
      </c>
      <c r="M102" s="59">
        <v>55.05</v>
      </c>
      <c r="N102" s="59">
        <v>4.7</v>
      </c>
      <c r="O102" s="59">
        <v>0</v>
      </c>
      <c r="P102" s="59">
        <v>4.45</v>
      </c>
      <c r="Q102" s="59">
        <v>49.89</v>
      </c>
      <c r="R102" s="197"/>
      <c r="S102" s="197"/>
      <c r="T102" s="197"/>
      <c r="U102" s="197"/>
    </row>
    <row r="103" spans="1:33" s="12" customFormat="1" x14ac:dyDescent="0.25">
      <c r="A103" s="200" t="s">
        <v>2935</v>
      </c>
      <c r="B103" s="59">
        <v>224.7</v>
      </c>
      <c r="C103" s="59">
        <v>98.66</v>
      </c>
      <c r="D103" s="59">
        <v>236.38</v>
      </c>
      <c r="E103" s="59">
        <v>6.34</v>
      </c>
      <c r="F103" s="59">
        <v>3.27</v>
      </c>
      <c r="G103" s="59">
        <v>199.87</v>
      </c>
      <c r="H103" s="59">
        <v>63.72</v>
      </c>
      <c r="I103" s="59">
        <v>1.97</v>
      </c>
      <c r="J103" s="59">
        <v>0.08</v>
      </c>
      <c r="K103" s="59">
        <v>56.85</v>
      </c>
      <c r="L103" s="59">
        <v>22.35</v>
      </c>
      <c r="M103" s="59">
        <v>56.1</v>
      </c>
      <c r="N103" s="59">
        <v>4.8</v>
      </c>
      <c r="O103" s="59">
        <v>0</v>
      </c>
      <c r="P103" s="59">
        <v>4.46</v>
      </c>
      <c r="Q103" s="59">
        <v>50.87</v>
      </c>
      <c r="R103" s="197"/>
      <c r="S103" s="197"/>
      <c r="T103" s="197"/>
      <c r="U103" s="197"/>
    </row>
    <row r="104" spans="1:33" s="12" customFormat="1" x14ac:dyDescent="0.25">
      <c r="A104" s="200" t="s">
        <v>2936</v>
      </c>
      <c r="B104" s="59">
        <v>205.89</v>
      </c>
      <c r="C104" s="59">
        <v>82.81</v>
      </c>
      <c r="D104" s="59">
        <v>212.55</v>
      </c>
      <c r="E104" s="59">
        <v>2.31</v>
      </c>
      <c r="F104" s="59">
        <v>3.35</v>
      </c>
      <c r="G104" s="59">
        <v>199.63</v>
      </c>
      <c r="H104" s="59">
        <v>63.7</v>
      </c>
      <c r="I104" s="59">
        <v>2</v>
      </c>
      <c r="J104" s="59">
        <v>0.1</v>
      </c>
      <c r="K104" s="59">
        <v>251.82</v>
      </c>
      <c r="L104" s="59">
        <v>22.72</v>
      </c>
      <c r="M104" s="59">
        <v>55.43</v>
      </c>
      <c r="N104" s="59">
        <v>4</v>
      </c>
      <c r="O104" s="59">
        <v>0</v>
      </c>
      <c r="P104" s="59">
        <v>4.05</v>
      </c>
      <c r="Q104" s="59">
        <v>54.38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2.56</v>
      </c>
      <c r="C106" s="66">
        <f>MIN(C9:C104)</f>
        <v>30.22</v>
      </c>
      <c r="D106" s="66">
        <f t="shared" ref="D106:Q106" si="0">MIN(D9:D104)</f>
        <v>20.54</v>
      </c>
      <c r="E106" s="66">
        <f t="shared" si="0"/>
        <v>1.07</v>
      </c>
      <c r="F106" s="66">
        <f t="shared" si="0"/>
        <v>2.39</v>
      </c>
      <c r="G106" s="66">
        <f t="shared" si="0"/>
        <v>25.5</v>
      </c>
      <c r="H106" s="66">
        <f t="shared" si="0"/>
        <v>3.44</v>
      </c>
      <c r="I106" s="66">
        <f t="shared" si="0"/>
        <v>0.45</v>
      </c>
      <c r="J106" s="66">
        <f t="shared" si="0"/>
        <v>0.02</v>
      </c>
      <c r="K106" s="66">
        <f t="shared" si="0"/>
        <v>0.49</v>
      </c>
      <c r="L106" s="66">
        <f t="shared" si="0"/>
        <v>18.78</v>
      </c>
      <c r="M106" s="66">
        <f t="shared" si="0"/>
        <v>13.19</v>
      </c>
      <c r="N106" s="66">
        <f t="shared" si="0"/>
        <v>2.2999999999999998</v>
      </c>
      <c r="O106" s="66">
        <f t="shared" si="0"/>
        <v>0</v>
      </c>
      <c r="P106" s="66">
        <f t="shared" si="0"/>
        <v>0.46</v>
      </c>
      <c r="Q106" s="66">
        <f t="shared" si="0"/>
        <v>26.75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238.67</v>
      </c>
      <c r="C107" s="65">
        <f t="shared" ref="C107:Q107" si="1">MAX(C9:C104)</f>
        <v>138.19999999999999</v>
      </c>
      <c r="D107" s="65">
        <f t="shared" si="1"/>
        <v>248.57</v>
      </c>
      <c r="E107" s="65">
        <f t="shared" si="1"/>
        <v>14.33</v>
      </c>
      <c r="F107" s="65">
        <f t="shared" si="1"/>
        <v>59.84</v>
      </c>
      <c r="G107" s="65">
        <f t="shared" si="1"/>
        <v>267.45</v>
      </c>
      <c r="H107" s="65">
        <f t="shared" si="1"/>
        <v>116.39</v>
      </c>
      <c r="I107" s="65">
        <f t="shared" si="1"/>
        <v>2</v>
      </c>
      <c r="J107" s="65">
        <f t="shared" si="1"/>
        <v>1.31</v>
      </c>
      <c r="K107" s="65">
        <f t="shared" si="1"/>
        <v>356.82</v>
      </c>
      <c r="L107" s="65">
        <f t="shared" si="1"/>
        <v>33.520000000000003</v>
      </c>
      <c r="M107" s="65">
        <f t="shared" si="1"/>
        <v>70.12</v>
      </c>
      <c r="N107" s="65">
        <f t="shared" si="1"/>
        <v>899</v>
      </c>
      <c r="O107" s="65">
        <f t="shared" si="1"/>
        <v>0</v>
      </c>
      <c r="P107" s="65">
        <f t="shared" si="1"/>
        <v>4.46</v>
      </c>
      <c r="Q107" s="65">
        <f t="shared" si="1"/>
        <v>54.38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67.944062500000001</v>
      </c>
      <c r="C108" s="66">
        <f t="shared" ref="C108:Q108" si="2">AVERAGE(C9:C104)</f>
        <v>59.28385416666665</v>
      </c>
      <c r="D108" s="66">
        <f t="shared" si="2"/>
        <v>88.944062499999987</v>
      </c>
      <c r="E108" s="66">
        <f t="shared" si="2"/>
        <v>4.2638541666666665</v>
      </c>
      <c r="F108" s="66">
        <f t="shared" si="2"/>
        <v>9.1401041666666618</v>
      </c>
      <c r="G108" s="66">
        <f t="shared" si="2"/>
        <v>109.3069892473118</v>
      </c>
      <c r="H108" s="66">
        <f t="shared" si="2"/>
        <v>39.2163440860215</v>
      </c>
      <c r="I108" s="66">
        <f t="shared" si="2"/>
        <v>0.88302083333333348</v>
      </c>
      <c r="J108" s="66">
        <f t="shared" si="2"/>
        <v>0.29249999999999987</v>
      </c>
      <c r="K108" s="66">
        <f t="shared" si="2"/>
        <v>166.98531250000005</v>
      </c>
      <c r="L108" s="66">
        <f t="shared" si="2"/>
        <v>26.538333333333327</v>
      </c>
      <c r="M108" s="66">
        <f t="shared" si="2"/>
        <v>38.971562499999983</v>
      </c>
      <c r="N108" s="66">
        <f t="shared" si="2"/>
        <v>238.10625000000005</v>
      </c>
      <c r="O108" s="66">
        <f t="shared" si="2"/>
        <v>0</v>
      </c>
      <c r="P108" s="66">
        <f t="shared" si="2"/>
        <v>1.6318750000000002</v>
      </c>
      <c r="Q108" s="66">
        <f t="shared" si="2"/>
        <v>41.886249999999997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65.474460823778259</v>
      </c>
      <c r="C109" s="66">
        <f t="shared" ref="C109:Q109" si="3">STDEV(C9:C104)</f>
        <v>29.859653975144344</v>
      </c>
      <c r="D109" s="66">
        <f t="shared" si="3"/>
        <v>64.069918741425724</v>
      </c>
      <c r="E109" s="66">
        <f t="shared" si="3"/>
        <v>2.4289349495272798</v>
      </c>
      <c r="F109" s="66">
        <f t="shared" si="3"/>
        <v>10.22724467651212</v>
      </c>
      <c r="G109" s="66">
        <f t="shared" si="3"/>
        <v>63.38363846939874</v>
      </c>
      <c r="H109" s="66">
        <f t="shared" si="3"/>
        <v>22.517951620533029</v>
      </c>
      <c r="I109" s="66">
        <f t="shared" si="3"/>
        <v>0.3670970609974728</v>
      </c>
      <c r="J109" s="66">
        <f t="shared" si="3"/>
        <v>0.26693977243053035</v>
      </c>
      <c r="K109" s="66">
        <f t="shared" si="3"/>
        <v>116.12963707995624</v>
      </c>
      <c r="L109" s="66">
        <f t="shared" si="3"/>
        <v>5.0349255295107991</v>
      </c>
      <c r="M109" s="66">
        <f t="shared" si="3"/>
        <v>17.278324804772371</v>
      </c>
      <c r="N109" s="66">
        <f t="shared" si="3"/>
        <v>320.46983331631913</v>
      </c>
      <c r="O109" s="66">
        <f t="shared" si="3"/>
        <v>0</v>
      </c>
      <c r="P109" s="66">
        <f t="shared" si="3"/>
        <v>1.0719213566007726</v>
      </c>
      <c r="Q109" s="66">
        <f t="shared" si="3"/>
        <v>6.0515593901598113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96</v>
      </c>
      <c r="H110" s="65">
        <f>COUNT(H9:H104)+3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D1" zoomScaleNormal="100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29-03-2023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243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2937</v>
      </c>
      <c r="B9" s="59">
        <v>206.04</v>
      </c>
      <c r="C9" s="59">
        <v>81.93</v>
      </c>
      <c r="D9" s="59">
        <v>212.18</v>
      </c>
      <c r="E9" s="59">
        <v>4.07</v>
      </c>
      <c r="F9" s="59">
        <v>3.28</v>
      </c>
      <c r="G9" s="59">
        <v>199.63</v>
      </c>
      <c r="H9" s="59">
        <v>63.7</v>
      </c>
      <c r="I9" s="59">
        <v>2.0499999999999998</v>
      </c>
      <c r="J9" s="59">
        <v>0.16</v>
      </c>
      <c r="K9" s="59">
        <v>353.45</v>
      </c>
      <c r="L9" s="59">
        <v>22.19</v>
      </c>
      <c r="M9" s="59">
        <v>57.85</v>
      </c>
      <c r="N9" s="59">
        <v>4.8</v>
      </c>
      <c r="O9" s="59">
        <v>0</v>
      </c>
      <c r="P9" s="59">
        <v>4.01</v>
      </c>
      <c r="Q9" s="59">
        <v>54.39</v>
      </c>
      <c r="R9" s="197"/>
      <c r="S9" s="197"/>
      <c r="T9" s="197"/>
      <c r="U9" s="197"/>
    </row>
    <row r="10" spans="1:21" s="12" customFormat="1" x14ac:dyDescent="0.25">
      <c r="A10" s="200" t="s">
        <v>2938</v>
      </c>
      <c r="B10" s="59">
        <v>177.71</v>
      </c>
      <c r="C10" s="59">
        <v>72.89</v>
      </c>
      <c r="D10" s="59">
        <v>184.48</v>
      </c>
      <c r="E10" s="59">
        <v>3.78</v>
      </c>
      <c r="F10" s="59">
        <v>3.33</v>
      </c>
      <c r="G10" s="59">
        <v>199.63</v>
      </c>
      <c r="H10" s="59">
        <v>63.7</v>
      </c>
      <c r="I10" s="59">
        <v>1.97</v>
      </c>
      <c r="J10" s="59">
        <v>0.2</v>
      </c>
      <c r="K10" s="59">
        <v>252.6</v>
      </c>
      <c r="L10" s="59">
        <v>22.3</v>
      </c>
      <c r="M10" s="59">
        <v>53.09</v>
      </c>
      <c r="N10" s="59">
        <v>4.3</v>
      </c>
      <c r="O10" s="59">
        <v>0</v>
      </c>
      <c r="P10" s="59">
        <v>3.57</v>
      </c>
      <c r="Q10" s="59">
        <v>58.89</v>
      </c>
      <c r="R10" s="197"/>
      <c r="S10" s="197"/>
      <c r="T10" s="197"/>
      <c r="U10" s="197"/>
    </row>
    <row r="11" spans="1:21" s="12" customFormat="1" x14ac:dyDescent="0.25">
      <c r="A11" s="200" t="s">
        <v>2939</v>
      </c>
      <c r="B11" s="59">
        <v>171.02</v>
      </c>
      <c r="C11" s="59">
        <v>61.31</v>
      </c>
      <c r="D11" s="59">
        <v>172.72</v>
      </c>
      <c r="E11" s="59">
        <v>3.53</v>
      </c>
      <c r="F11" s="59">
        <v>3.31</v>
      </c>
      <c r="G11" s="59">
        <v>178.62</v>
      </c>
      <c r="H11" s="59">
        <v>65.5</v>
      </c>
      <c r="I11" s="59">
        <v>1.88</v>
      </c>
      <c r="J11" s="59">
        <v>0.15</v>
      </c>
      <c r="K11" s="59">
        <v>334.38</v>
      </c>
      <c r="L11" s="59">
        <v>22.3</v>
      </c>
      <c r="M11" s="59">
        <v>52.75</v>
      </c>
      <c r="N11" s="59">
        <v>4.5999999999999996</v>
      </c>
      <c r="O11" s="59">
        <v>0</v>
      </c>
      <c r="P11" s="59">
        <v>3.42</v>
      </c>
      <c r="Q11" s="59">
        <v>64.209999999999994</v>
      </c>
      <c r="R11" s="197"/>
      <c r="S11" s="197"/>
      <c r="T11" s="197"/>
      <c r="U11" s="197"/>
    </row>
    <row r="12" spans="1:21" s="12" customFormat="1" x14ac:dyDescent="0.25">
      <c r="A12" s="200" t="s">
        <v>2940</v>
      </c>
      <c r="B12" s="59">
        <v>171.67</v>
      </c>
      <c r="C12" s="59">
        <v>60.13</v>
      </c>
      <c r="D12" s="59">
        <v>172.59</v>
      </c>
      <c r="E12" s="59">
        <v>3.68</v>
      </c>
      <c r="F12" s="59">
        <v>3.2</v>
      </c>
      <c r="G12" s="59">
        <v>178.14</v>
      </c>
      <c r="H12" s="59">
        <v>65.55</v>
      </c>
      <c r="I12" s="59">
        <v>1.76</v>
      </c>
      <c r="J12" s="59">
        <v>0.14000000000000001</v>
      </c>
      <c r="K12" s="59">
        <v>354.46</v>
      </c>
      <c r="L12" s="59">
        <v>21.72</v>
      </c>
      <c r="M12" s="59">
        <v>54.07</v>
      </c>
      <c r="N12" s="59">
        <v>5</v>
      </c>
      <c r="O12" s="59">
        <v>0</v>
      </c>
      <c r="P12" s="59">
        <v>3.42</v>
      </c>
      <c r="Q12" s="59">
        <v>61.09</v>
      </c>
      <c r="R12" s="197"/>
      <c r="S12" s="197"/>
      <c r="T12" s="197"/>
      <c r="U12" s="197"/>
    </row>
    <row r="13" spans="1:21" s="12" customFormat="1" x14ac:dyDescent="0.25">
      <c r="A13" s="200" t="s">
        <v>2941</v>
      </c>
      <c r="B13" s="59">
        <v>175.89</v>
      </c>
      <c r="C13" s="59">
        <v>62.92</v>
      </c>
      <c r="D13" s="59">
        <v>177.52</v>
      </c>
      <c r="E13" s="59">
        <v>3.29</v>
      </c>
      <c r="F13" s="59">
        <v>3.06</v>
      </c>
      <c r="G13" s="59">
        <v>178.14</v>
      </c>
      <c r="H13" s="59">
        <v>65.55</v>
      </c>
      <c r="I13" s="59">
        <v>1.74</v>
      </c>
      <c r="J13" s="59">
        <v>0.1</v>
      </c>
      <c r="K13" s="59">
        <v>341.6</v>
      </c>
      <c r="L13" s="59">
        <v>21.42</v>
      </c>
      <c r="M13" s="59">
        <v>51.1</v>
      </c>
      <c r="N13" s="59">
        <v>4.9000000000000004</v>
      </c>
      <c r="O13" s="59">
        <v>0</v>
      </c>
      <c r="P13" s="59">
        <v>3.16</v>
      </c>
      <c r="Q13" s="59">
        <v>55.39</v>
      </c>
      <c r="R13" s="197"/>
      <c r="S13" s="197"/>
      <c r="T13" s="197"/>
      <c r="U13" s="197"/>
    </row>
    <row r="14" spans="1:21" s="12" customFormat="1" x14ac:dyDescent="0.25">
      <c r="A14" s="200" t="s">
        <v>2942</v>
      </c>
      <c r="B14" s="59">
        <v>145.25</v>
      </c>
      <c r="C14" s="59">
        <v>51.28</v>
      </c>
      <c r="D14" s="59">
        <v>146.52000000000001</v>
      </c>
      <c r="E14" s="59">
        <v>2.63</v>
      </c>
      <c r="F14" s="59">
        <v>4.01</v>
      </c>
      <c r="G14" s="59">
        <v>178.14</v>
      </c>
      <c r="H14" s="59">
        <v>65.55</v>
      </c>
      <c r="I14" s="59">
        <v>1.63</v>
      </c>
      <c r="J14" s="59">
        <v>0.12</v>
      </c>
      <c r="K14" s="59">
        <v>353.38</v>
      </c>
      <c r="L14" s="59">
        <v>21.39</v>
      </c>
      <c r="M14" s="59">
        <v>46.79</v>
      </c>
      <c r="N14" s="59">
        <v>4.2</v>
      </c>
      <c r="O14" s="59">
        <v>0</v>
      </c>
      <c r="P14" s="59">
        <v>2.81</v>
      </c>
      <c r="Q14" s="59">
        <v>60.43</v>
      </c>
      <c r="R14" s="197"/>
      <c r="S14" s="197"/>
      <c r="T14" s="197"/>
      <c r="U14" s="197"/>
    </row>
    <row r="15" spans="1:21" s="12" customFormat="1" x14ac:dyDescent="0.25">
      <c r="A15" s="200" t="s">
        <v>2943</v>
      </c>
      <c r="B15" s="59">
        <v>152.05000000000001</v>
      </c>
      <c r="C15" s="59">
        <v>67.11</v>
      </c>
      <c r="D15" s="59">
        <v>160.71</v>
      </c>
      <c r="E15" s="59">
        <v>3.21</v>
      </c>
      <c r="F15" s="59">
        <v>4.54</v>
      </c>
      <c r="G15" s="59">
        <v>127.34</v>
      </c>
      <c r="H15" s="59">
        <v>57.66</v>
      </c>
      <c r="I15" s="59">
        <v>1.45</v>
      </c>
      <c r="J15" s="59">
        <v>0.13</v>
      </c>
      <c r="K15" s="59">
        <v>358.45</v>
      </c>
      <c r="L15" s="59">
        <v>21.73</v>
      </c>
      <c r="M15" s="59">
        <v>44.33</v>
      </c>
      <c r="N15" s="59">
        <v>4.5</v>
      </c>
      <c r="O15" s="59">
        <v>0</v>
      </c>
      <c r="P15" s="59">
        <v>2.93</v>
      </c>
      <c r="Q15" s="59">
        <v>52.74</v>
      </c>
      <c r="R15" s="197"/>
      <c r="S15" s="197"/>
      <c r="T15" s="197"/>
      <c r="U15" s="197"/>
    </row>
    <row r="16" spans="1:21" s="12" customFormat="1" x14ac:dyDescent="0.25">
      <c r="A16" s="200" t="s">
        <v>2944</v>
      </c>
      <c r="B16" s="59">
        <v>144.66999999999999</v>
      </c>
      <c r="C16" s="59">
        <v>51.8</v>
      </c>
      <c r="D16" s="59">
        <v>146.34</v>
      </c>
      <c r="E16" s="59">
        <v>2.93</v>
      </c>
      <c r="F16" s="59">
        <v>4.96</v>
      </c>
      <c r="G16" s="59">
        <v>126.19</v>
      </c>
      <c r="H16" s="59">
        <v>57.48</v>
      </c>
      <c r="I16" s="59">
        <v>1.39</v>
      </c>
      <c r="J16" s="59">
        <v>0.17</v>
      </c>
      <c r="K16" s="59">
        <v>328.36</v>
      </c>
      <c r="L16" s="59">
        <v>21.83</v>
      </c>
      <c r="M16" s="59">
        <v>45.75</v>
      </c>
      <c r="N16" s="59">
        <v>4.3</v>
      </c>
      <c r="O16" s="59">
        <v>0</v>
      </c>
      <c r="P16" s="59">
        <v>2.76</v>
      </c>
      <c r="Q16" s="59">
        <v>55.65</v>
      </c>
      <c r="R16" s="197"/>
      <c r="S16" s="197"/>
      <c r="T16" s="197"/>
      <c r="U16" s="197"/>
    </row>
    <row r="17" spans="1:21" s="12" customFormat="1" x14ac:dyDescent="0.25">
      <c r="A17" s="200" t="s">
        <v>2945</v>
      </c>
      <c r="B17" s="59">
        <v>137.1</v>
      </c>
      <c r="C17" s="59">
        <v>60.27</v>
      </c>
      <c r="D17" s="59">
        <v>144.94999999999999</v>
      </c>
      <c r="E17" s="59">
        <v>2.59</v>
      </c>
      <c r="F17" s="59">
        <v>4.74</v>
      </c>
      <c r="G17" s="59">
        <v>126.19</v>
      </c>
      <c r="H17" s="59">
        <v>57.48</v>
      </c>
      <c r="I17" s="59">
        <v>1.33</v>
      </c>
      <c r="J17" s="59">
        <v>7.0000000000000007E-2</v>
      </c>
      <c r="K17" s="59">
        <v>199.02</v>
      </c>
      <c r="L17" s="59">
        <v>21.68</v>
      </c>
      <c r="M17" s="59">
        <v>45.34</v>
      </c>
      <c r="N17" s="59">
        <v>3.8</v>
      </c>
      <c r="O17" s="59">
        <v>0</v>
      </c>
      <c r="P17" s="59">
        <v>2.67</v>
      </c>
      <c r="Q17" s="59">
        <v>53.99</v>
      </c>
      <c r="R17" s="197"/>
      <c r="S17" s="197"/>
      <c r="T17" s="197"/>
      <c r="U17" s="197"/>
    </row>
    <row r="18" spans="1:21" s="12" customFormat="1" x14ac:dyDescent="0.25">
      <c r="A18" s="200" t="s">
        <v>2946</v>
      </c>
      <c r="B18" s="59">
        <v>132.35</v>
      </c>
      <c r="C18" s="59">
        <v>54</v>
      </c>
      <c r="D18" s="59">
        <v>137.68</v>
      </c>
      <c r="E18" s="59">
        <v>2.88</v>
      </c>
      <c r="F18" s="59">
        <v>5.37</v>
      </c>
      <c r="G18" s="59">
        <v>126.19</v>
      </c>
      <c r="H18" s="59">
        <v>57.48</v>
      </c>
      <c r="I18" s="59">
        <v>1.28</v>
      </c>
      <c r="J18" s="59">
        <v>0.11</v>
      </c>
      <c r="K18" s="59">
        <v>311.81</v>
      </c>
      <c r="L18" s="59">
        <v>21.52</v>
      </c>
      <c r="M18" s="59">
        <v>45.69</v>
      </c>
      <c r="N18" s="59">
        <v>4.8</v>
      </c>
      <c r="O18" s="59">
        <v>0</v>
      </c>
      <c r="P18" s="59">
        <v>2.5099999999999998</v>
      </c>
      <c r="Q18" s="59">
        <v>52.19</v>
      </c>
      <c r="R18" s="197"/>
      <c r="S18" s="197"/>
      <c r="T18" s="197"/>
      <c r="U18" s="197"/>
    </row>
    <row r="19" spans="1:21" s="12" customFormat="1" x14ac:dyDescent="0.25">
      <c r="A19" s="200" t="s">
        <v>2947</v>
      </c>
      <c r="B19" s="59">
        <v>118.99</v>
      </c>
      <c r="C19" s="59">
        <v>53.14</v>
      </c>
      <c r="D19" s="59">
        <v>126.49</v>
      </c>
      <c r="E19" s="59">
        <v>2.23</v>
      </c>
      <c r="F19" s="59">
        <v>6.01</v>
      </c>
      <c r="G19" s="59">
        <v>83.02</v>
      </c>
      <c r="H19" s="59">
        <v>46.8</v>
      </c>
      <c r="I19" s="59">
        <v>1.28</v>
      </c>
      <c r="J19" s="59">
        <v>0.05</v>
      </c>
      <c r="K19" s="59">
        <v>157.01</v>
      </c>
      <c r="L19" s="59">
        <v>21.73</v>
      </c>
      <c r="M19" s="59">
        <v>44.54</v>
      </c>
      <c r="N19" s="59">
        <v>4.5</v>
      </c>
      <c r="O19" s="59">
        <v>0</v>
      </c>
      <c r="P19" s="59">
        <v>2.38</v>
      </c>
      <c r="Q19" s="59">
        <v>52.96</v>
      </c>
      <c r="R19" s="197"/>
      <c r="S19" s="197"/>
      <c r="T19" s="197"/>
      <c r="U19" s="197"/>
    </row>
    <row r="20" spans="1:21" s="12" customFormat="1" x14ac:dyDescent="0.25">
      <c r="A20" s="200" t="s">
        <v>2948</v>
      </c>
      <c r="B20" s="59">
        <v>131.77000000000001</v>
      </c>
      <c r="C20" s="59">
        <v>55.99</v>
      </c>
      <c r="D20" s="59">
        <v>138.31</v>
      </c>
      <c r="E20" s="59">
        <v>2.7</v>
      </c>
      <c r="F20" s="59">
        <v>4.91</v>
      </c>
      <c r="G20" s="59">
        <v>82.04</v>
      </c>
      <c r="H20" s="59">
        <v>46.8</v>
      </c>
      <c r="I20" s="59">
        <v>1.22</v>
      </c>
      <c r="J20" s="59">
        <v>0.25</v>
      </c>
      <c r="K20" s="59">
        <v>334.07</v>
      </c>
      <c r="L20" s="59">
        <v>21.08</v>
      </c>
      <c r="M20" s="59">
        <v>50.21</v>
      </c>
      <c r="N20" s="59">
        <v>5</v>
      </c>
      <c r="O20" s="59">
        <v>0</v>
      </c>
      <c r="P20" s="59">
        <v>2.6</v>
      </c>
      <c r="Q20" s="59">
        <v>51.45</v>
      </c>
      <c r="R20" s="197"/>
      <c r="S20" s="197"/>
      <c r="T20" s="197"/>
      <c r="U20" s="197"/>
    </row>
    <row r="21" spans="1:21" s="12" customFormat="1" x14ac:dyDescent="0.25">
      <c r="A21" s="200" t="s">
        <v>2949</v>
      </c>
      <c r="B21" s="59">
        <v>122.28</v>
      </c>
      <c r="C21" s="59">
        <v>54.84</v>
      </c>
      <c r="D21" s="59">
        <v>130.06</v>
      </c>
      <c r="E21" s="59">
        <v>2.62</v>
      </c>
      <c r="F21" s="59">
        <v>4.1100000000000003</v>
      </c>
      <c r="G21" s="59">
        <v>82.04</v>
      </c>
      <c r="H21" s="59">
        <v>46.8</v>
      </c>
      <c r="I21" s="59">
        <v>1.2</v>
      </c>
      <c r="J21" s="59">
        <v>0.3</v>
      </c>
      <c r="K21" s="59">
        <v>19.77</v>
      </c>
      <c r="L21" s="59">
        <v>20.170000000000002</v>
      </c>
      <c r="M21" s="59">
        <v>54.41</v>
      </c>
      <c r="N21" s="59">
        <v>4.4000000000000004</v>
      </c>
      <c r="O21" s="59">
        <v>0</v>
      </c>
      <c r="P21" s="59">
        <v>2.44</v>
      </c>
      <c r="Q21" s="59">
        <v>52.25</v>
      </c>
      <c r="R21" s="197"/>
      <c r="S21" s="197"/>
      <c r="T21" s="197"/>
      <c r="U21" s="197"/>
    </row>
    <row r="22" spans="1:21" s="12" customFormat="1" x14ac:dyDescent="0.25">
      <c r="A22" s="200" t="s">
        <v>2950</v>
      </c>
      <c r="B22" s="59">
        <v>119.18</v>
      </c>
      <c r="C22" s="59">
        <v>55.51</v>
      </c>
      <c r="D22" s="59">
        <v>127.95</v>
      </c>
      <c r="E22" s="59">
        <v>2.36</v>
      </c>
      <c r="F22" s="59">
        <v>5.07</v>
      </c>
      <c r="G22" s="59">
        <v>82.04</v>
      </c>
      <c r="H22" s="59">
        <v>46.8</v>
      </c>
      <c r="I22" s="59">
        <v>1.22</v>
      </c>
      <c r="J22" s="59">
        <v>0.49</v>
      </c>
      <c r="K22" s="59">
        <v>10.94</v>
      </c>
      <c r="L22" s="59">
        <v>20.399999999999999</v>
      </c>
      <c r="M22" s="59">
        <v>51.61</v>
      </c>
      <c r="N22" s="59">
        <v>4.3</v>
      </c>
      <c r="O22" s="59">
        <v>0</v>
      </c>
      <c r="P22" s="59">
        <v>2.34</v>
      </c>
      <c r="Q22" s="59">
        <v>50.36</v>
      </c>
      <c r="R22" s="197"/>
      <c r="S22" s="197"/>
      <c r="T22" s="197"/>
      <c r="U22" s="197"/>
    </row>
    <row r="23" spans="1:21" s="12" customFormat="1" x14ac:dyDescent="0.25">
      <c r="A23" s="200" t="s">
        <v>2951</v>
      </c>
      <c r="B23" s="59">
        <v>117.22</v>
      </c>
      <c r="C23" s="59">
        <v>58.73</v>
      </c>
      <c r="D23" s="59">
        <v>128.16</v>
      </c>
      <c r="E23" s="59">
        <v>2.61</v>
      </c>
      <c r="F23" s="59">
        <v>4.03</v>
      </c>
      <c r="G23" s="59">
        <v>60.86</v>
      </c>
      <c r="H23" s="59">
        <v>37.57</v>
      </c>
      <c r="I23" s="59">
        <v>1.22</v>
      </c>
      <c r="J23" s="59">
        <v>0.76</v>
      </c>
      <c r="K23" s="59">
        <v>355.61</v>
      </c>
      <c r="L23" s="59">
        <v>20.27</v>
      </c>
      <c r="M23" s="59">
        <v>52.54</v>
      </c>
      <c r="N23" s="59">
        <v>3.8</v>
      </c>
      <c r="O23" s="59">
        <v>0</v>
      </c>
      <c r="P23" s="59">
        <v>2.36</v>
      </c>
      <c r="Q23" s="59">
        <v>50.44</v>
      </c>
      <c r="R23" s="197"/>
      <c r="S23" s="197"/>
      <c r="T23" s="197"/>
      <c r="U23" s="197"/>
    </row>
    <row r="24" spans="1:21" s="12" customFormat="1" x14ac:dyDescent="0.25">
      <c r="A24" s="200" t="s">
        <v>2952</v>
      </c>
      <c r="B24" s="59">
        <v>111.4</v>
      </c>
      <c r="C24" s="59">
        <v>55.99</v>
      </c>
      <c r="D24" s="59">
        <v>121.98</v>
      </c>
      <c r="E24" s="59">
        <v>1.63</v>
      </c>
      <c r="F24" s="59">
        <v>3.09</v>
      </c>
      <c r="G24" s="59">
        <v>60.37</v>
      </c>
      <c r="H24" s="59">
        <v>37.57</v>
      </c>
      <c r="I24" s="59">
        <v>1.1599999999999999</v>
      </c>
      <c r="J24" s="59">
        <v>0.25</v>
      </c>
      <c r="K24" s="59">
        <v>340.99</v>
      </c>
      <c r="L24" s="59">
        <v>20.21</v>
      </c>
      <c r="M24" s="59">
        <v>54.58</v>
      </c>
      <c r="N24" s="59">
        <v>4.8</v>
      </c>
      <c r="O24" s="59">
        <v>0</v>
      </c>
      <c r="P24" s="59">
        <v>2.2999999999999998</v>
      </c>
      <c r="Q24" s="59">
        <v>51.04</v>
      </c>
      <c r="R24" s="197"/>
      <c r="S24" s="197"/>
      <c r="T24" s="197"/>
      <c r="U24" s="197"/>
    </row>
    <row r="25" spans="1:21" s="12" customFormat="1" x14ac:dyDescent="0.25">
      <c r="A25" s="200" t="s">
        <v>2953</v>
      </c>
      <c r="B25" s="59">
        <v>115.78</v>
      </c>
      <c r="C25" s="59">
        <v>56.42</v>
      </c>
      <c r="D25" s="59">
        <v>125.72</v>
      </c>
      <c r="E25" s="59">
        <v>2.0299999999999998</v>
      </c>
      <c r="F25" s="59">
        <v>3.13</v>
      </c>
      <c r="G25" s="59">
        <v>60.37</v>
      </c>
      <c r="H25" s="59">
        <v>37.57</v>
      </c>
      <c r="I25" s="59">
        <v>1.17</v>
      </c>
      <c r="J25" s="59">
        <v>0.18</v>
      </c>
      <c r="K25" s="59">
        <v>359.39</v>
      </c>
      <c r="L25" s="59">
        <v>19.98</v>
      </c>
      <c r="M25" s="59">
        <v>55.9</v>
      </c>
      <c r="N25" s="59">
        <v>4.7</v>
      </c>
      <c r="O25" s="59">
        <v>0</v>
      </c>
      <c r="P25" s="59">
        <v>2.31</v>
      </c>
      <c r="Q25" s="59">
        <v>52.82</v>
      </c>
      <c r="R25" s="197"/>
      <c r="S25" s="197"/>
      <c r="T25" s="197"/>
      <c r="U25" s="197"/>
    </row>
    <row r="26" spans="1:21" s="12" customFormat="1" x14ac:dyDescent="0.25">
      <c r="A26" s="200" t="s">
        <v>2954</v>
      </c>
      <c r="B26" s="59">
        <v>106.69</v>
      </c>
      <c r="C26" s="59">
        <v>44.31</v>
      </c>
      <c r="D26" s="59">
        <v>111.75</v>
      </c>
      <c r="E26" s="59">
        <v>3.07</v>
      </c>
      <c r="F26" s="59">
        <v>3.11</v>
      </c>
      <c r="G26" s="59">
        <v>60.37</v>
      </c>
      <c r="H26" s="59">
        <v>37.57</v>
      </c>
      <c r="I26" s="59">
        <v>1.23</v>
      </c>
      <c r="J26" s="59">
        <v>0.19</v>
      </c>
      <c r="K26" s="59">
        <v>231.4</v>
      </c>
      <c r="L26" s="59">
        <v>20.11</v>
      </c>
      <c r="M26" s="59">
        <v>54.84</v>
      </c>
      <c r="N26" s="59">
        <v>4.5</v>
      </c>
      <c r="O26" s="59">
        <v>0</v>
      </c>
      <c r="P26" s="59">
        <v>2.2200000000000002</v>
      </c>
      <c r="Q26" s="59">
        <v>53.82</v>
      </c>
      <c r="R26" s="197"/>
      <c r="S26" s="197"/>
      <c r="T26" s="197"/>
      <c r="U26" s="197"/>
    </row>
    <row r="27" spans="1:21" s="12" customFormat="1" x14ac:dyDescent="0.25">
      <c r="A27" s="200" t="s">
        <v>2955</v>
      </c>
      <c r="B27" s="59">
        <v>108.69</v>
      </c>
      <c r="C27" s="59">
        <v>62.79</v>
      </c>
      <c r="D27" s="59">
        <v>123.55</v>
      </c>
      <c r="E27" s="59">
        <v>2.71</v>
      </c>
      <c r="F27" s="59">
        <v>2.86</v>
      </c>
      <c r="G27" s="59">
        <v>156.16999999999999</v>
      </c>
      <c r="H27" s="59">
        <v>50.53</v>
      </c>
      <c r="I27" s="59">
        <v>1.26</v>
      </c>
      <c r="J27" s="59">
        <v>0.16</v>
      </c>
      <c r="K27" s="59">
        <v>275.93</v>
      </c>
      <c r="L27" s="59">
        <v>20.49</v>
      </c>
      <c r="M27" s="59">
        <v>55.57</v>
      </c>
      <c r="N27" s="59">
        <v>4.4000000000000004</v>
      </c>
      <c r="O27" s="59">
        <v>0</v>
      </c>
      <c r="P27" s="59">
        <v>2.2400000000000002</v>
      </c>
      <c r="Q27" s="59">
        <v>47.61</v>
      </c>
      <c r="R27" s="197"/>
      <c r="S27" s="197"/>
      <c r="T27" s="197"/>
      <c r="U27" s="197"/>
    </row>
    <row r="28" spans="1:21" s="12" customFormat="1" x14ac:dyDescent="0.25">
      <c r="A28" s="200" t="s">
        <v>2956</v>
      </c>
      <c r="B28" s="59">
        <v>107.01</v>
      </c>
      <c r="C28" s="59">
        <v>56.96</v>
      </c>
      <c r="D28" s="59">
        <v>118.99</v>
      </c>
      <c r="E28" s="59">
        <v>2.56</v>
      </c>
      <c r="F28" s="59">
        <v>2.87</v>
      </c>
      <c r="G28" s="59">
        <v>158.35</v>
      </c>
      <c r="H28" s="59">
        <v>50.53</v>
      </c>
      <c r="I28" s="59">
        <v>1.1100000000000001</v>
      </c>
      <c r="J28" s="59">
        <v>0.19</v>
      </c>
      <c r="K28" s="59">
        <v>283.14999999999998</v>
      </c>
      <c r="L28" s="59">
        <v>20.11</v>
      </c>
      <c r="M28" s="59">
        <v>57.62</v>
      </c>
      <c r="N28" s="59">
        <v>4.4000000000000004</v>
      </c>
      <c r="O28" s="59">
        <v>0</v>
      </c>
      <c r="P28" s="59">
        <v>2.2000000000000002</v>
      </c>
      <c r="Q28" s="59">
        <v>48.65</v>
      </c>
      <c r="R28" s="197"/>
      <c r="S28" s="197"/>
      <c r="T28" s="197"/>
      <c r="U28" s="197"/>
    </row>
    <row r="29" spans="1:21" s="12" customFormat="1" x14ac:dyDescent="0.25">
      <c r="A29" s="200" t="s">
        <v>2957</v>
      </c>
      <c r="B29" s="59">
        <v>106.9</v>
      </c>
      <c r="C29" s="59">
        <v>53.62</v>
      </c>
      <c r="D29" s="59">
        <v>117.06</v>
      </c>
      <c r="E29" s="59">
        <v>2.75</v>
      </c>
      <c r="F29" s="59">
        <v>2.84</v>
      </c>
      <c r="G29" s="59">
        <v>158.35</v>
      </c>
      <c r="H29" s="59">
        <v>50.53</v>
      </c>
      <c r="I29" s="59">
        <v>1.17</v>
      </c>
      <c r="J29" s="59">
        <v>0.08</v>
      </c>
      <c r="K29" s="59">
        <v>349.57</v>
      </c>
      <c r="L29" s="59">
        <v>19.54</v>
      </c>
      <c r="M29" s="59">
        <v>60.97</v>
      </c>
      <c r="N29" s="59">
        <v>5.0999999999999996</v>
      </c>
      <c r="O29" s="59">
        <v>0</v>
      </c>
      <c r="P29" s="59">
        <v>2.16</v>
      </c>
      <c r="Q29" s="59">
        <v>49.22</v>
      </c>
      <c r="R29" s="197"/>
      <c r="S29" s="197"/>
      <c r="T29" s="197"/>
      <c r="U29" s="197"/>
    </row>
    <row r="30" spans="1:21" s="12" customFormat="1" x14ac:dyDescent="0.25">
      <c r="A30" s="200" t="s">
        <v>2958</v>
      </c>
      <c r="B30" s="59">
        <v>114.09</v>
      </c>
      <c r="C30" s="59">
        <v>57.11</v>
      </c>
      <c r="D30" s="59">
        <v>124.75</v>
      </c>
      <c r="E30" s="59">
        <v>2.68</v>
      </c>
      <c r="F30" s="59">
        <v>2.86</v>
      </c>
      <c r="G30" s="59">
        <v>158.35</v>
      </c>
      <c r="H30" s="59">
        <v>50.53</v>
      </c>
      <c r="I30" s="59">
        <v>1.25</v>
      </c>
      <c r="J30" s="59">
        <v>0.13</v>
      </c>
      <c r="K30" s="59">
        <v>332.71</v>
      </c>
      <c r="L30" s="59">
        <v>19.57</v>
      </c>
      <c r="M30" s="59">
        <v>62.07</v>
      </c>
      <c r="N30" s="59">
        <v>4.5999999999999996</v>
      </c>
      <c r="O30" s="59">
        <v>0</v>
      </c>
      <c r="P30" s="59">
        <v>2.17</v>
      </c>
      <c r="Q30" s="59">
        <v>50.5</v>
      </c>
      <c r="R30" s="197"/>
      <c r="S30" s="197"/>
      <c r="T30" s="197"/>
      <c r="U30" s="197"/>
    </row>
    <row r="31" spans="1:21" s="12" customFormat="1" x14ac:dyDescent="0.25">
      <c r="A31" s="200" t="s">
        <v>2959</v>
      </c>
      <c r="B31" s="59">
        <v>112.42</v>
      </c>
      <c r="C31" s="59">
        <v>61.08</v>
      </c>
      <c r="D31" s="59">
        <v>125.61</v>
      </c>
      <c r="E31" s="59">
        <v>2.27</v>
      </c>
      <c r="F31" s="59">
        <v>2.88</v>
      </c>
      <c r="G31" s="59">
        <v>230.44</v>
      </c>
      <c r="H31" s="59">
        <v>73.83</v>
      </c>
      <c r="I31" s="59">
        <v>1.21</v>
      </c>
      <c r="J31" s="59">
        <v>0.25</v>
      </c>
      <c r="K31" s="59">
        <v>26.45</v>
      </c>
      <c r="L31" s="59">
        <v>19.190000000000001</v>
      </c>
      <c r="M31" s="59">
        <v>64.53</v>
      </c>
      <c r="N31" s="59">
        <v>5.0999999999999996</v>
      </c>
      <c r="O31" s="59">
        <v>0</v>
      </c>
      <c r="P31" s="59">
        <v>2.16</v>
      </c>
      <c r="Q31" s="59">
        <v>46.44</v>
      </c>
      <c r="R31" s="197"/>
      <c r="S31" s="197"/>
      <c r="T31" s="197"/>
      <c r="U31" s="197"/>
    </row>
    <row r="32" spans="1:21" s="12" customFormat="1" x14ac:dyDescent="0.25">
      <c r="A32" s="200" t="s">
        <v>2960</v>
      </c>
      <c r="B32" s="59">
        <v>108.13</v>
      </c>
      <c r="C32" s="59">
        <v>59.95</v>
      </c>
      <c r="D32" s="59">
        <v>121.54</v>
      </c>
      <c r="E32" s="59">
        <v>3.01</v>
      </c>
      <c r="F32" s="59">
        <v>2.94</v>
      </c>
      <c r="G32" s="59">
        <v>232.07</v>
      </c>
      <c r="H32" s="59">
        <v>76.16</v>
      </c>
      <c r="I32" s="59">
        <v>1.2</v>
      </c>
      <c r="J32" s="59">
        <v>0.16</v>
      </c>
      <c r="K32" s="59">
        <v>355.09</v>
      </c>
      <c r="L32" s="59">
        <v>19.600000000000001</v>
      </c>
      <c r="M32" s="59">
        <v>64.010000000000005</v>
      </c>
      <c r="N32" s="59">
        <v>6.8</v>
      </c>
      <c r="O32" s="59">
        <v>0</v>
      </c>
      <c r="P32" s="59">
        <v>2.13</v>
      </c>
      <c r="Q32" s="59">
        <v>49.87</v>
      </c>
      <c r="R32" s="197"/>
      <c r="S32" s="197"/>
      <c r="T32" s="197"/>
      <c r="U32" s="197"/>
    </row>
    <row r="33" spans="1:21" s="12" customFormat="1" x14ac:dyDescent="0.25">
      <c r="A33" s="200" t="s">
        <v>2961</v>
      </c>
      <c r="B33" s="59">
        <v>101.86</v>
      </c>
      <c r="C33" s="59">
        <v>57.61</v>
      </c>
      <c r="D33" s="59">
        <v>115.22</v>
      </c>
      <c r="E33" s="59">
        <v>3.77</v>
      </c>
      <c r="F33" s="59">
        <v>3.3</v>
      </c>
      <c r="G33" s="59">
        <v>232.07</v>
      </c>
      <c r="H33" s="59">
        <v>76.16</v>
      </c>
      <c r="I33" s="59">
        <v>1.19</v>
      </c>
      <c r="J33" s="59">
        <v>0.38</v>
      </c>
      <c r="K33" s="59">
        <v>25.39</v>
      </c>
      <c r="L33" s="59">
        <v>20.77</v>
      </c>
      <c r="M33" s="59">
        <v>52.92</v>
      </c>
      <c r="N33" s="59">
        <v>16.8</v>
      </c>
      <c r="O33" s="59">
        <v>0</v>
      </c>
      <c r="P33" s="59">
        <v>2.08</v>
      </c>
      <c r="Q33" s="59">
        <v>49.14</v>
      </c>
      <c r="R33" s="197"/>
      <c r="S33" s="197"/>
      <c r="T33" s="197"/>
      <c r="U33" s="197"/>
    </row>
    <row r="34" spans="1:21" s="12" customFormat="1" x14ac:dyDescent="0.25">
      <c r="A34" s="200" t="s">
        <v>2962</v>
      </c>
      <c r="B34" s="59">
        <v>99.02</v>
      </c>
      <c r="C34" s="59">
        <v>56.49</v>
      </c>
      <c r="D34" s="59">
        <v>112.32</v>
      </c>
      <c r="E34" s="59">
        <v>5.27</v>
      </c>
      <c r="F34" s="59">
        <v>3.43</v>
      </c>
      <c r="G34" s="59">
        <v>232.07</v>
      </c>
      <c r="H34" s="59">
        <v>76.16</v>
      </c>
      <c r="I34" s="59">
        <v>1.1000000000000001</v>
      </c>
      <c r="J34" s="59">
        <v>0.15</v>
      </c>
      <c r="K34" s="59">
        <v>304.33</v>
      </c>
      <c r="L34" s="59">
        <v>20.81</v>
      </c>
      <c r="M34" s="59">
        <v>53.86</v>
      </c>
      <c r="N34" s="59">
        <v>38.6</v>
      </c>
      <c r="O34" s="59">
        <v>0</v>
      </c>
      <c r="P34" s="59">
        <v>2.0099999999999998</v>
      </c>
      <c r="Q34" s="59">
        <v>49.21</v>
      </c>
      <c r="R34" s="197"/>
      <c r="S34" s="197"/>
      <c r="T34" s="197"/>
      <c r="U34" s="197"/>
    </row>
    <row r="35" spans="1:21" s="12" customFormat="1" x14ac:dyDescent="0.25">
      <c r="A35" s="200" t="s">
        <v>2963</v>
      </c>
      <c r="B35" s="59">
        <v>95.02</v>
      </c>
      <c r="C35" s="59">
        <v>61.49</v>
      </c>
      <c r="D35" s="59">
        <v>111.88</v>
      </c>
      <c r="E35" s="59">
        <v>4.28</v>
      </c>
      <c r="F35" s="59">
        <v>3.72</v>
      </c>
      <c r="G35" s="59">
        <v>219.54</v>
      </c>
      <c r="H35" s="59">
        <v>80.290000000000006</v>
      </c>
      <c r="I35" s="59">
        <v>1.02</v>
      </c>
      <c r="J35" s="59">
        <v>0.19</v>
      </c>
      <c r="K35" s="59">
        <v>355.02</v>
      </c>
      <c r="L35" s="59">
        <v>21.13</v>
      </c>
      <c r="M35" s="59">
        <v>56.99</v>
      </c>
      <c r="N35" s="59">
        <v>67</v>
      </c>
      <c r="O35" s="59">
        <v>0</v>
      </c>
      <c r="P35" s="59">
        <v>2.0299999999999998</v>
      </c>
      <c r="Q35" s="59">
        <v>48.46</v>
      </c>
      <c r="R35" s="197"/>
      <c r="S35" s="197"/>
      <c r="T35" s="197"/>
      <c r="U35" s="197"/>
    </row>
    <row r="36" spans="1:21" s="12" customFormat="1" x14ac:dyDescent="0.25">
      <c r="A36" s="200" t="s">
        <v>2964</v>
      </c>
      <c r="B36" s="59">
        <v>100.04</v>
      </c>
      <c r="C36" s="59">
        <v>58.97</v>
      </c>
      <c r="D36" s="59">
        <v>114.51</v>
      </c>
      <c r="E36" s="59">
        <v>3.19</v>
      </c>
      <c r="F36" s="59">
        <v>3.5</v>
      </c>
      <c r="G36" s="59">
        <v>219.26</v>
      </c>
      <c r="H36" s="59">
        <v>80.39</v>
      </c>
      <c r="I36" s="59">
        <v>1.08</v>
      </c>
      <c r="J36" s="59">
        <v>0.53</v>
      </c>
      <c r="K36" s="59">
        <v>12.43</v>
      </c>
      <c r="L36" s="59">
        <v>21.99</v>
      </c>
      <c r="M36" s="59">
        <v>53.96</v>
      </c>
      <c r="N36" s="59">
        <v>105.8</v>
      </c>
      <c r="O36" s="59">
        <v>0</v>
      </c>
      <c r="P36" s="59">
        <v>2.0699999999999998</v>
      </c>
      <c r="Q36" s="59">
        <v>48.88</v>
      </c>
      <c r="R36" s="197"/>
      <c r="S36" s="197"/>
      <c r="T36" s="197"/>
      <c r="U36" s="197"/>
    </row>
    <row r="37" spans="1:21" s="12" customFormat="1" x14ac:dyDescent="0.25">
      <c r="A37" s="200" t="s">
        <v>2965</v>
      </c>
      <c r="B37" s="59">
        <v>101.24</v>
      </c>
      <c r="C37" s="59">
        <v>58.87</v>
      </c>
      <c r="D37" s="59">
        <v>115.42</v>
      </c>
      <c r="E37" s="59">
        <v>3.29</v>
      </c>
      <c r="F37" s="59">
        <v>3.16</v>
      </c>
      <c r="G37" s="59">
        <v>219.26</v>
      </c>
      <c r="H37" s="59">
        <v>80.39</v>
      </c>
      <c r="I37" s="59">
        <v>1.0900000000000001</v>
      </c>
      <c r="J37" s="59">
        <v>0.53</v>
      </c>
      <c r="K37" s="59">
        <v>355.8</v>
      </c>
      <c r="L37" s="59">
        <v>23.3</v>
      </c>
      <c r="M37" s="59">
        <v>50.17</v>
      </c>
      <c r="N37" s="59">
        <v>149.9</v>
      </c>
      <c r="O37" s="59">
        <v>0</v>
      </c>
      <c r="P37" s="59">
        <v>2.1</v>
      </c>
      <c r="Q37" s="59">
        <v>48.6</v>
      </c>
      <c r="R37" s="197"/>
      <c r="S37" s="197"/>
      <c r="T37" s="197"/>
      <c r="U37" s="197"/>
    </row>
    <row r="38" spans="1:21" s="12" customFormat="1" x14ac:dyDescent="0.25">
      <c r="A38" s="200" t="s">
        <v>2966</v>
      </c>
      <c r="B38" s="59">
        <v>97.71</v>
      </c>
      <c r="C38" s="59">
        <v>57.61</v>
      </c>
      <c r="D38" s="59">
        <v>111.89</v>
      </c>
      <c r="E38" s="59">
        <v>3.26</v>
      </c>
      <c r="F38" s="59">
        <v>2.78</v>
      </c>
      <c r="G38" s="59">
        <v>219.26</v>
      </c>
      <c r="H38" s="59">
        <v>80.39</v>
      </c>
      <c r="I38" s="59">
        <v>1.1000000000000001</v>
      </c>
      <c r="J38" s="59">
        <v>0.43</v>
      </c>
      <c r="K38" s="59">
        <v>4.95</v>
      </c>
      <c r="L38" s="59">
        <v>24.9</v>
      </c>
      <c r="M38" s="59">
        <v>46.76</v>
      </c>
      <c r="N38" s="59">
        <v>194.2</v>
      </c>
      <c r="O38" s="59">
        <v>0</v>
      </c>
      <c r="P38" s="59">
        <v>2.19</v>
      </c>
      <c r="Q38" s="59">
        <v>48.83</v>
      </c>
      <c r="R38" s="197"/>
      <c r="S38" s="197"/>
      <c r="T38" s="197"/>
      <c r="U38" s="197"/>
    </row>
    <row r="39" spans="1:21" s="12" customFormat="1" x14ac:dyDescent="0.25">
      <c r="A39" s="200" t="s">
        <v>2967</v>
      </c>
      <c r="B39" s="59">
        <v>95.13</v>
      </c>
      <c r="C39" s="59">
        <v>60.11</v>
      </c>
      <c r="D39" s="59">
        <v>111.2</v>
      </c>
      <c r="E39" s="59">
        <v>2.75</v>
      </c>
      <c r="F39" s="59">
        <v>3.36</v>
      </c>
      <c r="G39" s="59">
        <v>205.45</v>
      </c>
      <c r="H39" s="59">
        <v>81.459999999999994</v>
      </c>
      <c r="I39" s="59">
        <v>1.0900000000000001</v>
      </c>
      <c r="J39" s="59">
        <v>0.67</v>
      </c>
      <c r="K39" s="59">
        <v>21.44</v>
      </c>
      <c r="L39" s="59">
        <v>26.29</v>
      </c>
      <c r="M39" s="59">
        <v>43.25</v>
      </c>
      <c r="N39" s="59">
        <v>242.1</v>
      </c>
      <c r="O39" s="59">
        <v>0</v>
      </c>
      <c r="P39" s="59">
        <v>2.17</v>
      </c>
      <c r="Q39" s="59">
        <v>50.68</v>
      </c>
      <c r="R39" s="197"/>
      <c r="S39" s="197"/>
      <c r="T39" s="197"/>
      <c r="U39" s="197"/>
    </row>
    <row r="40" spans="1:21" s="12" customFormat="1" x14ac:dyDescent="0.25">
      <c r="A40" s="200" t="s">
        <v>2968</v>
      </c>
      <c r="B40" s="59">
        <v>95.1</v>
      </c>
      <c r="C40" s="59">
        <v>45.52</v>
      </c>
      <c r="D40" s="59">
        <v>103.13</v>
      </c>
      <c r="E40" s="59">
        <v>2.21</v>
      </c>
      <c r="F40" s="59">
        <v>2.89</v>
      </c>
      <c r="G40" s="59">
        <v>205.14</v>
      </c>
      <c r="H40" s="59">
        <v>81.48</v>
      </c>
      <c r="I40" s="59">
        <v>1.07</v>
      </c>
      <c r="J40" s="59">
        <v>0.7</v>
      </c>
      <c r="K40" s="59">
        <v>11.34</v>
      </c>
      <c r="L40" s="59">
        <v>27.34</v>
      </c>
      <c r="M40" s="59">
        <v>41.25</v>
      </c>
      <c r="N40" s="59">
        <v>285.2</v>
      </c>
      <c r="O40" s="59">
        <v>0</v>
      </c>
      <c r="P40" s="59">
        <v>2.16</v>
      </c>
      <c r="Q40" s="59">
        <v>53.56</v>
      </c>
      <c r="R40" s="197"/>
      <c r="S40" s="197"/>
      <c r="T40" s="197"/>
      <c r="U40" s="197"/>
    </row>
    <row r="41" spans="1:21" s="12" customFormat="1" x14ac:dyDescent="0.25">
      <c r="A41" s="200" t="s">
        <v>2969</v>
      </c>
      <c r="B41" s="59">
        <v>91.32</v>
      </c>
      <c r="C41" s="59">
        <v>53.71</v>
      </c>
      <c r="D41" s="59">
        <v>104.62</v>
      </c>
      <c r="E41" s="59">
        <v>4.28</v>
      </c>
      <c r="F41" s="59">
        <v>2.9</v>
      </c>
      <c r="G41" s="59">
        <v>205.14</v>
      </c>
      <c r="H41" s="59">
        <v>81.48</v>
      </c>
      <c r="I41" s="59">
        <v>1.05</v>
      </c>
      <c r="J41" s="59">
        <v>0.7</v>
      </c>
      <c r="K41" s="59">
        <v>12.04</v>
      </c>
      <c r="L41" s="59">
        <v>28.38</v>
      </c>
      <c r="M41" s="59">
        <v>39.090000000000003</v>
      </c>
      <c r="N41" s="59">
        <v>337.5</v>
      </c>
      <c r="O41" s="59">
        <v>0</v>
      </c>
      <c r="P41" s="59">
        <v>2.13</v>
      </c>
      <c r="Q41" s="59">
        <v>47.07</v>
      </c>
      <c r="R41" s="197"/>
      <c r="S41" s="197"/>
      <c r="T41" s="197"/>
      <c r="U41" s="197"/>
    </row>
    <row r="42" spans="1:21" s="12" customFormat="1" x14ac:dyDescent="0.25">
      <c r="A42" s="200" t="s">
        <v>2970</v>
      </c>
      <c r="B42" s="59">
        <v>85.87</v>
      </c>
      <c r="C42" s="59">
        <v>54.31</v>
      </c>
      <c r="D42" s="59">
        <v>100.57</v>
      </c>
      <c r="E42" s="59">
        <v>5.23</v>
      </c>
      <c r="F42" s="59">
        <v>2.97</v>
      </c>
      <c r="G42" s="59">
        <v>205.14</v>
      </c>
      <c r="H42" s="59">
        <v>81.48</v>
      </c>
      <c r="I42" s="59">
        <v>1.04</v>
      </c>
      <c r="J42" s="59">
        <v>0.91</v>
      </c>
      <c r="K42" s="59">
        <v>22.05</v>
      </c>
      <c r="L42" s="59">
        <v>29.37</v>
      </c>
      <c r="M42" s="59">
        <v>35.86</v>
      </c>
      <c r="N42" s="59">
        <v>386.2</v>
      </c>
      <c r="O42" s="59">
        <v>0</v>
      </c>
      <c r="P42" s="59">
        <v>2.09</v>
      </c>
      <c r="Q42" s="59">
        <v>51.29</v>
      </c>
      <c r="R42" s="197"/>
      <c r="S42" s="197"/>
      <c r="T42" s="197"/>
      <c r="U42" s="197"/>
    </row>
    <row r="43" spans="1:21" s="12" customFormat="1" x14ac:dyDescent="0.25">
      <c r="A43" s="200" t="s">
        <v>2971</v>
      </c>
      <c r="B43" s="59">
        <v>81.489999999999995</v>
      </c>
      <c r="C43" s="59">
        <v>69.12</v>
      </c>
      <c r="D43" s="59">
        <v>105.23</v>
      </c>
      <c r="E43" s="59">
        <v>5.2</v>
      </c>
      <c r="F43" s="59">
        <v>3.65</v>
      </c>
      <c r="G43" s="59">
        <v>208.08</v>
      </c>
      <c r="H43" s="59">
        <v>76.66</v>
      </c>
      <c r="I43" s="59">
        <v>1.01</v>
      </c>
      <c r="J43" s="59">
        <v>1.25</v>
      </c>
      <c r="K43" s="59">
        <v>22.48</v>
      </c>
      <c r="L43" s="59">
        <v>29.52</v>
      </c>
      <c r="M43" s="59">
        <v>32.700000000000003</v>
      </c>
      <c r="N43" s="59">
        <v>445.3</v>
      </c>
      <c r="O43" s="59">
        <v>0</v>
      </c>
      <c r="P43" s="59">
        <v>2.02</v>
      </c>
      <c r="Q43" s="59">
        <v>45.5</v>
      </c>
      <c r="R43" s="197"/>
      <c r="S43" s="197"/>
      <c r="T43" s="197"/>
      <c r="U43" s="197"/>
    </row>
    <row r="44" spans="1:21" s="12" customFormat="1" x14ac:dyDescent="0.25">
      <c r="A44" s="200" t="s">
        <v>2972</v>
      </c>
      <c r="B44" s="59">
        <v>77.81</v>
      </c>
      <c r="C44" s="59">
        <v>61.19</v>
      </c>
      <c r="D44" s="59">
        <v>97.91</v>
      </c>
      <c r="E44" s="59">
        <v>5.24</v>
      </c>
      <c r="F44" s="59">
        <v>3.82</v>
      </c>
      <c r="G44" s="59">
        <v>208.15</v>
      </c>
      <c r="H44" s="59">
        <v>76.66</v>
      </c>
      <c r="I44" s="59">
        <v>0.98</v>
      </c>
      <c r="J44" s="59">
        <v>1.37</v>
      </c>
      <c r="K44" s="59">
        <v>21.1</v>
      </c>
      <c r="L44" s="59">
        <v>30.37</v>
      </c>
      <c r="M44" s="59">
        <v>30.98</v>
      </c>
      <c r="N44" s="59">
        <v>498.5</v>
      </c>
      <c r="O44" s="59">
        <v>0</v>
      </c>
      <c r="P44" s="59">
        <v>1.98</v>
      </c>
      <c r="Q44" s="59">
        <v>48.24</v>
      </c>
      <c r="R44" s="197"/>
      <c r="S44" s="197"/>
      <c r="T44" s="197"/>
      <c r="U44" s="197"/>
    </row>
    <row r="45" spans="1:21" s="12" customFormat="1" x14ac:dyDescent="0.25">
      <c r="A45" s="200" t="s">
        <v>2973</v>
      </c>
      <c r="B45" s="59">
        <v>69.62</v>
      </c>
      <c r="C45" s="59">
        <v>71.16</v>
      </c>
      <c r="D45" s="59">
        <v>96.84</v>
      </c>
      <c r="E45" s="59">
        <v>5.92</v>
      </c>
      <c r="F45" s="59">
        <v>4.8</v>
      </c>
      <c r="G45" s="59">
        <v>208.15</v>
      </c>
      <c r="H45" s="59">
        <v>76.66</v>
      </c>
      <c r="I45" s="59">
        <v>0.95</v>
      </c>
      <c r="J45" s="59">
        <v>1.04</v>
      </c>
      <c r="K45" s="59">
        <v>24.54</v>
      </c>
      <c r="L45" s="59">
        <v>31.45</v>
      </c>
      <c r="M45" s="59">
        <v>29.91</v>
      </c>
      <c r="N45" s="59">
        <v>544.6</v>
      </c>
      <c r="O45" s="59">
        <v>0</v>
      </c>
      <c r="P45" s="59">
        <v>1.91</v>
      </c>
      <c r="Q45" s="59">
        <v>48.87</v>
      </c>
      <c r="R45" s="197"/>
      <c r="S45" s="197"/>
      <c r="T45" s="197"/>
      <c r="U45" s="197"/>
    </row>
    <row r="46" spans="1:21" s="12" customFormat="1" x14ac:dyDescent="0.25">
      <c r="A46" s="200" t="s">
        <v>2974</v>
      </c>
      <c r="B46" s="59">
        <v>62.84</v>
      </c>
      <c r="C46" s="59">
        <v>62.27</v>
      </c>
      <c r="D46" s="59">
        <v>86.5</v>
      </c>
      <c r="E46" s="59">
        <v>9.56</v>
      </c>
      <c r="F46" s="59">
        <v>6.92</v>
      </c>
      <c r="G46" s="59">
        <v>208.15</v>
      </c>
      <c r="H46" s="59">
        <v>76.66</v>
      </c>
      <c r="I46" s="59">
        <v>0.91</v>
      </c>
      <c r="J46" s="59">
        <v>0.74</v>
      </c>
      <c r="K46" s="59">
        <v>12.7</v>
      </c>
      <c r="L46" s="59">
        <v>32.32</v>
      </c>
      <c r="M46" s="59">
        <v>28.89</v>
      </c>
      <c r="N46" s="59">
        <v>584.29999999999995</v>
      </c>
      <c r="O46" s="59">
        <v>0</v>
      </c>
      <c r="P46" s="59">
        <v>1.85</v>
      </c>
      <c r="Q46" s="59">
        <v>48.3</v>
      </c>
      <c r="R46" s="197"/>
      <c r="S46" s="197"/>
      <c r="T46" s="197"/>
      <c r="U46" s="197"/>
    </row>
    <row r="47" spans="1:21" s="12" customFormat="1" x14ac:dyDescent="0.25">
      <c r="A47" s="200" t="s">
        <v>2975</v>
      </c>
      <c r="B47" s="59">
        <v>54.47</v>
      </c>
      <c r="C47" s="59">
        <v>65.39</v>
      </c>
      <c r="D47" s="59">
        <v>81.510000000000005</v>
      </c>
      <c r="E47" s="59">
        <v>22.95</v>
      </c>
      <c r="F47" s="59">
        <v>13.37</v>
      </c>
      <c r="G47" s="59">
        <v>159.72999999999999</v>
      </c>
      <c r="H47" s="59">
        <v>66.23</v>
      </c>
      <c r="I47" s="59">
        <v>0.87</v>
      </c>
      <c r="J47" s="59">
        <v>0.18</v>
      </c>
      <c r="K47" s="59">
        <v>63.13</v>
      </c>
      <c r="L47" s="59">
        <v>32.22</v>
      </c>
      <c r="M47" s="59">
        <v>28.41</v>
      </c>
      <c r="N47" s="59">
        <v>618.6</v>
      </c>
      <c r="O47" s="59">
        <v>0</v>
      </c>
      <c r="P47" s="59">
        <v>1.69</v>
      </c>
      <c r="Q47" s="59">
        <v>46.47</v>
      </c>
      <c r="R47" s="197"/>
      <c r="S47" s="197"/>
      <c r="T47" s="197"/>
      <c r="U47" s="197"/>
    </row>
    <row r="48" spans="1:21" s="12" customFormat="1" x14ac:dyDescent="0.25">
      <c r="A48" s="200" t="s">
        <v>2976</v>
      </c>
      <c r="B48" s="59">
        <v>49.92</v>
      </c>
      <c r="C48" s="59">
        <v>75.78</v>
      </c>
      <c r="D48" s="59">
        <v>83.6</v>
      </c>
      <c r="E48" s="59">
        <v>25.93</v>
      </c>
      <c r="F48" s="59">
        <v>15.06</v>
      </c>
      <c r="G48" s="59">
        <v>158.63</v>
      </c>
      <c r="H48" s="59">
        <v>66.23</v>
      </c>
      <c r="I48" s="59">
        <v>0.8</v>
      </c>
      <c r="J48" s="59">
        <v>0.45</v>
      </c>
      <c r="K48" s="59">
        <v>38.56</v>
      </c>
      <c r="L48" s="59">
        <v>31.25</v>
      </c>
      <c r="M48" s="59">
        <v>30.23</v>
      </c>
      <c r="N48" s="59">
        <v>639.5</v>
      </c>
      <c r="O48" s="59">
        <v>0</v>
      </c>
      <c r="P48" s="59">
        <v>1.72</v>
      </c>
      <c r="Q48" s="59">
        <v>45.44</v>
      </c>
      <c r="R48" s="197"/>
      <c r="S48" s="197"/>
      <c r="T48" s="197"/>
      <c r="U48" s="197"/>
    </row>
    <row r="49" spans="1:21" s="12" customFormat="1" x14ac:dyDescent="0.25">
      <c r="A49" s="200" t="s">
        <v>2977</v>
      </c>
      <c r="B49" s="59">
        <v>54.52</v>
      </c>
      <c r="C49" s="59">
        <v>78.55</v>
      </c>
      <c r="D49" s="59">
        <v>88.82</v>
      </c>
      <c r="E49" s="59">
        <v>22.71</v>
      </c>
      <c r="F49" s="59">
        <v>10.4</v>
      </c>
      <c r="G49" s="59">
        <v>158.63</v>
      </c>
      <c r="H49" s="59">
        <v>66.23</v>
      </c>
      <c r="I49" s="59">
        <v>0.71</v>
      </c>
      <c r="J49" s="59">
        <v>0.47</v>
      </c>
      <c r="K49" s="59">
        <v>21.14</v>
      </c>
      <c r="L49" s="59">
        <v>33.450000000000003</v>
      </c>
      <c r="M49" s="59">
        <v>26.89</v>
      </c>
      <c r="N49" s="59">
        <v>660.5</v>
      </c>
      <c r="O49" s="59">
        <v>0</v>
      </c>
      <c r="P49" s="59">
        <v>1.81</v>
      </c>
      <c r="Q49" s="59">
        <v>45.16</v>
      </c>
      <c r="R49" s="197"/>
      <c r="S49" s="197"/>
      <c r="T49" s="197"/>
      <c r="U49" s="197"/>
    </row>
    <row r="50" spans="1:21" s="12" customFormat="1" x14ac:dyDescent="0.25">
      <c r="A50" s="200" t="s">
        <v>2978</v>
      </c>
      <c r="B50" s="59">
        <v>52.08</v>
      </c>
      <c r="C50" s="59">
        <v>78.7</v>
      </c>
      <c r="D50" s="59">
        <v>86.94</v>
      </c>
      <c r="E50" s="59">
        <v>15.1</v>
      </c>
      <c r="F50" s="59">
        <v>7.21</v>
      </c>
      <c r="G50" s="59">
        <v>158.63</v>
      </c>
      <c r="H50" s="59">
        <v>66.23</v>
      </c>
      <c r="I50" s="59">
        <v>0.72</v>
      </c>
      <c r="J50" s="59">
        <v>0.56000000000000005</v>
      </c>
      <c r="K50" s="59">
        <v>4.95</v>
      </c>
      <c r="L50" s="59">
        <v>34.29</v>
      </c>
      <c r="M50" s="59">
        <v>26.73</v>
      </c>
      <c r="N50" s="59">
        <v>693.2</v>
      </c>
      <c r="O50" s="59">
        <v>0</v>
      </c>
      <c r="P50" s="59">
        <v>1.81</v>
      </c>
      <c r="Q50" s="59">
        <v>46.04</v>
      </c>
      <c r="R50" s="197"/>
      <c r="S50" s="197"/>
      <c r="T50" s="197"/>
      <c r="U50" s="197"/>
    </row>
    <row r="51" spans="1:21" s="12" customFormat="1" x14ac:dyDescent="0.25">
      <c r="A51" s="200" t="s">
        <v>2979</v>
      </c>
      <c r="B51" s="59">
        <v>48.29</v>
      </c>
      <c r="C51" s="59">
        <v>75.98</v>
      </c>
      <c r="D51" s="59">
        <v>82.4</v>
      </c>
      <c r="E51" s="59">
        <v>12.39</v>
      </c>
      <c r="F51" s="59">
        <v>8.82</v>
      </c>
      <c r="G51" s="59">
        <v>159.34</v>
      </c>
      <c r="H51" s="59">
        <v>65.31</v>
      </c>
      <c r="I51" s="59">
        <v>0.78</v>
      </c>
      <c r="J51" s="59">
        <v>0.65</v>
      </c>
      <c r="K51" s="59">
        <v>8.35</v>
      </c>
      <c r="L51" s="59">
        <v>35.47</v>
      </c>
      <c r="M51" s="59">
        <v>25.08</v>
      </c>
      <c r="N51" s="59">
        <v>747.2</v>
      </c>
      <c r="O51" s="59">
        <v>0</v>
      </c>
      <c r="P51" s="59">
        <v>1.76</v>
      </c>
      <c r="Q51" s="59">
        <v>46.79</v>
      </c>
      <c r="R51" s="197"/>
      <c r="S51" s="197"/>
      <c r="T51" s="197"/>
      <c r="U51" s="197"/>
    </row>
    <row r="52" spans="1:21" s="12" customFormat="1" x14ac:dyDescent="0.25">
      <c r="A52" s="200" t="s">
        <v>2980</v>
      </c>
      <c r="B52" s="59">
        <v>44.25</v>
      </c>
      <c r="C52" s="59">
        <v>73.239999999999995</v>
      </c>
      <c r="D52" s="59">
        <v>77.650000000000006</v>
      </c>
      <c r="E52" s="59">
        <v>10.9</v>
      </c>
      <c r="F52" s="59">
        <v>8.49</v>
      </c>
      <c r="G52" s="59">
        <v>159.36000000000001</v>
      </c>
      <c r="H52" s="59">
        <v>65.290000000000006</v>
      </c>
      <c r="I52" s="59">
        <v>0.87</v>
      </c>
      <c r="J52" s="59">
        <v>0.8</v>
      </c>
      <c r="K52" s="59">
        <v>19</v>
      </c>
      <c r="L52" s="59">
        <v>34.75</v>
      </c>
      <c r="M52" s="59">
        <v>26.96</v>
      </c>
      <c r="N52" s="59">
        <v>795.8</v>
      </c>
      <c r="O52" s="59">
        <v>0</v>
      </c>
      <c r="P52" s="59">
        <v>1.69</v>
      </c>
      <c r="Q52" s="59">
        <v>46.23</v>
      </c>
      <c r="R52" s="197"/>
      <c r="S52" s="197"/>
      <c r="T52" s="197"/>
      <c r="U52" s="197"/>
    </row>
    <row r="53" spans="1:21" s="12" customFormat="1" x14ac:dyDescent="0.25">
      <c r="A53" s="200" t="s">
        <v>2981</v>
      </c>
      <c r="B53" s="59">
        <v>36.65</v>
      </c>
      <c r="C53" s="59">
        <v>70.09</v>
      </c>
      <c r="D53" s="59">
        <v>69.81</v>
      </c>
      <c r="E53" s="59">
        <v>11.09</v>
      </c>
      <c r="F53" s="59">
        <v>10.93</v>
      </c>
      <c r="G53" s="59">
        <v>159.36000000000001</v>
      </c>
      <c r="H53" s="59">
        <v>65.290000000000006</v>
      </c>
      <c r="I53" s="59">
        <v>0.83</v>
      </c>
      <c r="J53" s="59">
        <v>0.19</v>
      </c>
      <c r="K53" s="59">
        <v>0.01</v>
      </c>
      <c r="L53" s="59">
        <v>33.15</v>
      </c>
      <c r="M53" s="59">
        <v>30.5</v>
      </c>
      <c r="N53" s="59">
        <v>805.3</v>
      </c>
      <c r="O53" s="59">
        <v>0</v>
      </c>
      <c r="P53" s="59">
        <v>1.57</v>
      </c>
      <c r="Q53" s="59">
        <v>46.63</v>
      </c>
      <c r="R53" s="197"/>
      <c r="S53" s="197"/>
      <c r="T53" s="197"/>
      <c r="U53" s="197"/>
    </row>
    <row r="54" spans="1:21" s="12" customFormat="1" x14ac:dyDescent="0.25">
      <c r="A54" s="200" t="s">
        <v>2982</v>
      </c>
      <c r="B54" s="59">
        <v>36.880000000000003</v>
      </c>
      <c r="C54" s="59">
        <v>67.14</v>
      </c>
      <c r="D54" s="59">
        <v>68.36</v>
      </c>
      <c r="E54" s="59">
        <v>6.9</v>
      </c>
      <c r="F54" s="59">
        <v>5.71</v>
      </c>
      <c r="G54" s="59">
        <v>159.36000000000001</v>
      </c>
      <c r="H54" s="59">
        <v>65.290000000000006</v>
      </c>
      <c r="I54" s="59">
        <v>0.79</v>
      </c>
      <c r="J54" s="59">
        <v>0.55000000000000004</v>
      </c>
      <c r="K54" s="59">
        <v>8.4499999999999993</v>
      </c>
      <c r="L54" s="59">
        <v>34.46</v>
      </c>
      <c r="M54" s="59">
        <v>29.53</v>
      </c>
      <c r="N54" s="59">
        <v>827.4</v>
      </c>
      <c r="O54" s="59">
        <v>0</v>
      </c>
      <c r="P54" s="59">
        <v>1.57</v>
      </c>
      <c r="Q54" s="59">
        <v>49.85</v>
      </c>
      <c r="R54" s="197"/>
      <c r="S54" s="197"/>
      <c r="T54" s="197"/>
      <c r="U54" s="197"/>
    </row>
    <row r="55" spans="1:21" s="12" customFormat="1" x14ac:dyDescent="0.25">
      <c r="A55" s="200" t="s">
        <v>2983</v>
      </c>
      <c r="B55" s="59">
        <v>31.31</v>
      </c>
      <c r="C55" s="59">
        <v>68.91</v>
      </c>
      <c r="D55" s="59">
        <v>64.88</v>
      </c>
      <c r="E55" s="59">
        <v>6.56</v>
      </c>
      <c r="F55" s="59">
        <v>7.04</v>
      </c>
      <c r="G55" s="59">
        <v>78.459999999999994</v>
      </c>
      <c r="H55" s="59">
        <v>49.77</v>
      </c>
      <c r="I55" s="59">
        <v>0.84</v>
      </c>
      <c r="J55" s="59">
        <v>0.49</v>
      </c>
      <c r="K55" s="59">
        <v>1.31</v>
      </c>
      <c r="L55" s="59">
        <v>34.82</v>
      </c>
      <c r="M55" s="59">
        <v>28.69</v>
      </c>
      <c r="N55" s="59">
        <v>832.9</v>
      </c>
      <c r="O55" s="59">
        <v>0</v>
      </c>
      <c r="P55" s="59">
        <v>1.51</v>
      </c>
      <c r="Q55" s="59">
        <v>48.28</v>
      </c>
      <c r="R55" s="197"/>
      <c r="S55" s="197"/>
      <c r="T55" s="197"/>
      <c r="U55" s="197"/>
    </row>
    <row r="56" spans="1:21" s="12" customFormat="1" x14ac:dyDescent="0.25">
      <c r="A56" s="200" t="s">
        <v>2984</v>
      </c>
      <c r="B56" s="59">
        <v>27.45</v>
      </c>
      <c r="C56" s="59">
        <v>67.03</v>
      </c>
      <c r="D56" s="59">
        <v>60.74</v>
      </c>
      <c r="E56" s="59">
        <v>2.2999999999999998</v>
      </c>
      <c r="F56" s="59">
        <v>5.98</v>
      </c>
      <c r="G56" s="59">
        <v>76.62</v>
      </c>
      <c r="H56" s="59">
        <v>49.42</v>
      </c>
      <c r="I56" s="59">
        <v>0.82</v>
      </c>
      <c r="J56" s="59">
        <v>0.51</v>
      </c>
      <c r="K56" s="59">
        <v>12.02</v>
      </c>
      <c r="L56" s="59">
        <v>35.28</v>
      </c>
      <c r="M56" s="59">
        <v>28.7</v>
      </c>
      <c r="N56" s="59">
        <v>835</v>
      </c>
      <c r="O56" s="59">
        <v>0</v>
      </c>
      <c r="P56" s="59">
        <v>1.46</v>
      </c>
      <c r="Q56" s="59">
        <v>47.93</v>
      </c>
      <c r="R56" s="197"/>
      <c r="S56" s="197"/>
      <c r="T56" s="197"/>
      <c r="U56" s="197"/>
    </row>
    <row r="57" spans="1:21" s="12" customFormat="1" x14ac:dyDescent="0.25">
      <c r="A57" s="200" t="s">
        <v>2985</v>
      </c>
      <c r="B57" s="59">
        <v>22.5</v>
      </c>
      <c r="C57" s="59">
        <v>68.930000000000007</v>
      </c>
      <c r="D57" s="59">
        <v>57.82</v>
      </c>
      <c r="E57" s="59">
        <v>4.8600000000000003</v>
      </c>
      <c r="F57" s="59">
        <v>7.7</v>
      </c>
      <c r="G57" s="59">
        <v>76.62</v>
      </c>
      <c r="H57" s="59">
        <v>49.42</v>
      </c>
      <c r="I57" s="59">
        <v>0.75</v>
      </c>
      <c r="J57" s="59">
        <v>0.31</v>
      </c>
      <c r="K57" s="59">
        <v>21.37</v>
      </c>
      <c r="L57" s="59">
        <v>34.96</v>
      </c>
      <c r="M57" s="59">
        <v>29.24</v>
      </c>
      <c r="N57" s="59">
        <v>829</v>
      </c>
      <c r="O57" s="59">
        <v>0</v>
      </c>
      <c r="P57" s="59">
        <v>1.36</v>
      </c>
      <c r="Q57" s="59">
        <v>46.16</v>
      </c>
      <c r="R57" s="197"/>
      <c r="S57" s="197"/>
      <c r="T57" s="197"/>
      <c r="U57" s="197"/>
    </row>
    <row r="58" spans="1:21" s="12" customFormat="1" x14ac:dyDescent="0.25">
      <c r="A58" s="200" t="s">
        <v>2986</v>
      </c>
      <c r="B58" s="59">
        <v>17.440000000000001</v>
      </c>
      <c r="C58" s="59">
        <v>64.989999999999995</v>
      </c>
      <c r="D58" s="59">
        <v>51.6</v>
      </c>
      <c r="E58" s="59">
        <v>5.09</v>
      </c>
      <c r="F58" s="59">
        <v>7.04</v>
      </c>
      <c r="G58" s="59">
        <v>76.62</v>
      </c>
      <c r="H58" s="59">
        <v>49.42</v>
      </c>
      <c r="I58" s="59">
        <v>0.74</v>
      </c>
      <c r="J58" s="59">
        <v>0.65</v>
      </c>
      <c r="K58" s="59">
        <v>23.1</v>
      </c>
      <c r="L58" s="59">
        <v>34.93</v>
      </c>
      <c r="M58" s="59">
        <v>29.05</v>
      </c>
      <c r="N58" s="59">
        <v>819.9</v>
      </c>
      <c r="O58" s="59">
        <v>0</v>
      </c>
      <c r="P58" s="59">
        <v>1.32</v>
      </c>
      <c r="Q58" s="59">
        <v>47.04</v>
      </c>
      <c r="R58" s="197"/>
      <c r="S58" s="197"/>
      <c r="T58" s="197"/>
      <c r="U58" s="197"/>
    </row>
    <row r="59" spans="1:21" s="12" customFormat="1" x14ac:dyDescent="0.25">
      <c r="A59" s="200" t="s">
        <v>2987</v>
      </c>
      <c r="B59" s="59">
        <v>14.05</v>
      </c>
      <c r="C59" s="59">
        <v>71.739999999999995</v>
      </c>
      <c r="D59" s="59">
        <v>52.6</v>
      </c>
      <c r="E59" s="59">
        <v>4.6100000000000003</v>
      </c>
      <c r="F59" s="59">
        <v>5.41</v>
      </c>
      <c r="G59" s="59">
        <v>59.35</v>
      </c>
      <c r="H59" s="59">
        <v>41.07</v>
      </c>
      <c r="I59" s="59">
        <v>0.74</v>
      </c>
      <c r="J59" s="59">
        <v>0.91</v>
      </c>
      <c r="K59" s="59">
        <v>356.9</v>
      </c>
      <c r="L59" s="59">
        <v>35.58</v>
      </c>
      <c r="M59" s="59">
        <v>28.87</v>
      </c>
      <c r="N59" s="59">
        <v>797.9</v>
      </c>
      <c r="O59" s="59">
        <v>0</v>
      </c>
      <c r="P59" s="59">
        <v>1.27</v>
      </c>
      <c r="Q59" s="59">
        <v>44.73</v>
      </c>
      <c r="R59" s="197"/>
      <c r="S59" s="197"/>
      <c r="T59" s="197"/>
      <c r="U59" s="197"/>
    </row>
    <row r="60" spans="1:21" s="12" customFormat="1" x14ac:dyDescent="0.25">
      <c r="A60" s="200" t="s">
        <v>2988</v>
      </c>
      <c r="B60" s="59">
        <v>10.07</v>
      </c>
      <c r="C60" s="59">
        <v>68.06</v>
      </c>
      <c r="D60" s="59">
        <v>47.37</v>
      </c>
      <c r="E60" s="59">
        <v>4.42</v>
      </c>
      <c r="F60" s="59">
        <v>10.75</v>
      </c>
      <c r="G60" s="59">
        <v>58.96</v>
      </c>
      <c r="H60" s="59">
        <v>40.880000000000003</v>
      </c>
      <c r="I60" s="59">
        <v>0.73</v>
      </c>
      <c r="J60" s="59">
        <v>0.39</v>
      </c>
      <c r="K60" s="59">
        <v>337.5</v>
      </c>
      <c r="L60" s="59">
        <v>35.76</v>
      </c>
      <c r="M60" s="59">
        <v>27.53</v>
      </c>
      <c r="N60" s="59">
        <v>785.3</v>
      </c>
      <c r="O60" s="59">
        <v>0</v>
      </c>
      <c r="P60" s="59">
        <v>1.2</v>
      </c>
      <c r="Q60" s="59">
        <v>45.46</v>
      </c>
      <c r="R60" s="197"/>
      <c r="S60" s="197"/>
      <c r="T60" s="197"/>
      <c r="U60" s="197"/>
    </row>
    <row r="61" spans="1:21" s="12" customFormat="1" x14ac:dyDescent="0.25">
      <c r="A61" s="200" t="s">
        <v>2989</v>
      </c>
      <c r="B61" s="59">
        <v>7.18</v>
      </c>
      <c r="C61" s="59">
        <v>68.02</v>
      </c>
      <c r="D61" s="59">
        <v>45.03</v>
      </c>
      <c r="E61" s="59">
        <v>4.96</v>
      </c>
      <c r="F61" s="59">
        <v>9.11</v>
      </c>
      <c r="G61" s="59">
        <v>58.96</v>
      </c>
      <c r="H61" s="59">
        <v>40.880000000000003</v>
      </c>
      <c r="I61" s="59">
        <v>0.69</v>
      </c>
      <c r="J61" s="59">
        <v>0.34</v>
      </c>
      <c r="K61" s="59">
        <v>254.58</v>
      </c>
      <c r="L61" s="59">
        <v>33.22</v>
      </c>
      <c r="M61" s="59">
        <v>29.19</v>
      </c>
      <c r="N61" s="59">
        <v>788.5</v>
      </c>
      <c r="O61" s="59">
        <v>0</v>
      </c>
      <c r="P61" s="59">
        <v>1.19</v>
      </c>
      <c r="Q61" s="59">
        <v>43.28</v>
      </c>
      <c r="R61" s="197"/>
      <c r="S61" s="197"/>
      <c r="T61" s="197"/>
      <c r="U61" s="197"/>
    </row>
    <row r="62" spans="1:21" s="12" customFormat="1" x14ac:dyDescent="0.25">
      <c r="A62" s="200" t="s">
        <v>2990</v>
      </c>
      <c r="B62" s="59">
        <v>5.33</v>
      </c>
      <c r="C62" s="59">
        <v>70.11</v>
      </c>
      <c r="D62" s="59">
        <v>44.71</v>
      </c>
      <c r="E62" s="59">
        <v>3.97</v>
      </c>
      <c r="F62" s="59">
        <v>9.65</v>
      </c>
      <c r="G62" s="59">
        <v>58.96</v>
      </c>
      <c r="H62" s="59">
        <v>40.880000000000003</v>
      </c>
      <c r="I62" s="59">
        <v>0.66</v>
      </c>
      <c r="J62" s="59">
        <v>0.33</v>
      </c>
      <c r="K62" s="59">
        <v>323.02</v>
      </c>
      <c r="L62" s="59">
        <v>34.119999999999997</v>
      </c>
      <c r="M62" s="59">
        <v>28.84</v>
      </c>
      <c r="N62" s="59">
        <v>755.3</v>
      </c>
      <c r="O62" s="59">
        <v>0</v>
      </c>
      <c r="P62" s="59">
        <v>1.18</v>
      </c>
      <c r="Q62" s="59">
        <v>42.23</v>
      </c>
      <c r="R62" s="197"/>
      <c r="S62" s="197"/>
      <c r="T62" s="197"/>
      <c r="U62" s="197"/>
    </row>
    <row r="63" spans="1:21" s="12" customFormat="1" x14ac:dyDescent="0.25">
      <c r="A63" s="200" t="s">
        <v>2991</v>
      </c>
      <c r="B63" s="59">
        <v>5.0599999999999996</v>
      </c>
      <c r="C63" s="59">
        <v>67.25</v>
      </c>
      <c r="D63" s="59">
        <v>42.91</v>
      </c>
      <c r="E63" s="59">
        <v>3.83</v>
      </c>
      <c r="F63" s="59">
        <v>12.96</v>
      </c>
      <c r="G63" s="59">
        <v>53.01</v>
      </c>
      <c r="H63" s="59">
        <v>31.01</v>
      </c>
      <c r="I63" s="59">
        <v>0.66</v>
      </c>
      <c r="J63" s="59">
        <v>0.09</v>
      </c>
      <c r="K63" s="59">
        <v>136.37</v>
      </c>
      <c r="L63" s="59">
        <v>34.020000000000003</v>
      </c>
      <c r="M63" s="59">
        <v>28.94</v>
      </c>
      <c r="N63" s="59">
        <v>717.8</v>
      </c>
      <c r="O63" s="59">
        <v>0</v>
      </c>
      <c r="P63" s="59">
        <v>1.0900000000000001</v>
      </c>
      <c r="Q63" s="59">
        <v>40.78</v>
      </c>
      <c r="R63" s="197"/>
      <c r="S63" s="197"/>
      <c r="T63" s="197"/>
      <c r="U63" s="197"/>
    </row>
    <row r="64" spans="1:21" s="12" customFormat="1" x14ac:dyDescent="0.25">
      <c r="A64" s="200" t="s">
        <v>2992</v>
      </c>
      <c r="B64" s="59">
        <v>4.5199999999999996</v>
      </c>
      <c r="C64" s="59">
        <v>64.08</v>
      </c>
      <c r="D64" s="59">
        <v>40.729999999999997</v>
      </c>
      <c r="E64" s="59">
        <v>3.46</v>
      </c>
      <c r="F64" s="59">
        <v>10.32</v>
      </c>
      <c r="G64" s="59">
        <v>52.87</v>
      </c>
      <c r="H64" s="59">
        <v>30.78</v>
      </c>
      <c r="I64" s="59">
        <v>0.65</v>
      </c>
      <c r="J64" s="59">
        <v>0.34</v>
      </c>
      <c r="K64" s="59">
        <v>8.2100000000000009</v>
      </c>
      <c r="L64" s="59">
        <v>34.26</v>
      </c>
      <c r="M64" s="59">
        <v>28.92</v>
      </c>
      <c r="N64" s="59">
        <v>645.4</v>
      </c>
      <c r="O64" s="59">
        <v>0</v>
      </c>
      <c r="P64" s="59">
        <v>1.06</v>
      </c>
      <c r="Q64" s="59">
        <v>40.94</v>
      </c>
      <c r="R64" s="197"/>
      <c r="S64" s="197"/>
      <c r="T64" s="197"/>
      <c r="U64" s="197"/>
    </row>
    <row r="65" spans="1:21" s="12" customFormat="1" x14ac:dyDescent="0.25">
      <c r="A65" s="200" t="s">
        <v>2993</v>
      </c>
      <c r="B65" s="59">
        <v>4.17</v>
      </c>
      <c r="C65" s="59">
        <v>59.57</v>
      </c>
      <c r="D65" s="59">
        <v>37.96</v>
      </c>
      <c r="E65" s="59">
        <v>4.01</v>
      </c>
      <c r="F65" s="59">
        <v>18.420000000000002</v>
      </c>
      <c r="G65" s="59">
        <v>52.87</v>
      </c>
      <c r="H65" s="59">
        <v>30.78</v>
      </c>
      <c r="I65" s="59">
        <v>0.61</v>
      </c>
      <c r="J65" s="59">
        <v>0.75</v>
      </c>
      <c r="K65" s="59">
        <v>18.12</v>
      </c>
      <c r="L65" s="59">
        <v>35.86</v>
      </c>
      <c r="M65" s="59">
        <v>26.26</v>
      </c>
      <c r="N65" s="59">
        <v>674.1</v>
      </c>
      <c r="O65" s="59">
        <v>0</v>
      </c>
      <c r="P65" s="59">
        <v>0.97</v>
      </c>
      <c r="Q65" s="59">
        <v>39.549999999999997</v>
      </c>
      <c r="R65" s="197"/>
      <c r="S65" s="197"/>
      <c r="T65" s="197"/>
      <c r="U65" s="197"/>
    </row>
    <row r="66" spans="1:21" s="12" customFormat="1" x14ac:dyDescent="0.25">
      <c r="A66" s="200" t="s">
        <v>2994</v>
      </c>
      <c r="B66" s="59">
        <v>5.21</v>
      </c>
      <c r="C66" s="59">
        <v>54.25</v>
      </c>
      <c r="D66" s="59">
        <v>35.86</v>
      </c>
      <c r="E66" s="59">
        <v>4.45</v>
      </c>
      <c r="F66" s="59">
        <v>19.34</v>
      </c>
      <c r="G66" s="59">
        <v>52.87</v>
      </c>
      <c r="H66" s="59">
        <v>30.78</v>
      </c>
      <c r="I66" s="59">
        <v>0.59</v>
      </c>
      <c r="J66" s="59">
        <v>0.38</v>
      </c>
      <c r="K66" s="59">
        <v>240.27</v>
      </c>
      <c r="L66" s="59">
        <v>34.69</v>
      </c>
      <c r="M66" s="59">
        <v>25.88</v>
      </c>
      <c r="N66" s="59">
        <v>636</v>
      </c>
      <c r="O66" s="59">
        <v>0</v>
      </c>
      <c r="P66" s="59">
        <v>0.92</v>
      </c>
      <c r="Q66" s="59">
        <v>41.03</v>
      </c>
      <c r="R66" s="197"/>
      <c r="S66" s="197"/>
      <c r="T66" s="197"/>
      <c r="U66" s="197"/>
    </row>
    <row r="67" spans="1:21" s="12" customFormat="1" x14ac:dyDescent="0.25">
      <c r="A67" s="200" t="s">
        <v>2995</v>
      </c>
      <c r="B67" s="59">
        <v>3.98</v>
      </c>
      <c r="C67" s="59">
        <v>50.97</v>
      </c>
      <c r="D67" s="59">
        <v>33.06</v>
      </c>
      <c r="E67" s="59">
        <v>4.49</v>
      </c>
      <c r="F67" s="59">
        <v>13.59</v>
      </c>
      <c r="G67" s="59">
        <v>54.98</v>
      </c>
      <c r="H67" s="59">
        <v>21.58</v>
      </c>
      <c r="I67" s="59">
        <v>0.56999999999999995</v>
      </c>
      <c r="J67" s="59">
        <v>0.48</v>
      </c>
      <c r="K67" s="59">
        <v>225.69</v>
      </c>
      <c r="L67" s="59">
        <v>33.1</v>
      </c>
      <c r="M67" s="59">
        <v>26.83</v>
      </c>
      <c r="N67" s="59">
        <v>566.79999999999995</v>
      </c>
      <c r="O67" s="59">
        <v>0</v>
      </c>
      <c r="P67" s="59">
        <v>0.88</v>
      </c>
      <c r="Q67" s="59">
        <v>42.07</v>
      </c>
      <c r="R67" s="197"/>
      <c r="S67" s="197"/>
      <c r="T67" s="197"/>
      <c r="U67" s="197"/>
    </row>
    <row r="68" spans="1:21" s="12" customFormat="1" x14ac:dyDescent="0.25">
      <c r="A68" s="200" t="s">
        <v>2996</v>
      </c>
      <c r="B68" s="59">
        <v>3.84</v>
      </c>
      <c r="C68" s="59">
        <v>50.46</v>
      </c>
      <c r="D68" s="59">
        <v>32.67</v>
      </c>
      <c r="E68" s="59">
        <v>4.1900000000000004</v>
      </c>
      <c r="F68" s="59">
        <v>18.66</v>
      </c>
      <c r="G68" s="59">
        <v>55.03</v>
      </c>
      <c r="H68" s="59">
        <v>21.37</v>
      </c>
      <c r="I68" s="59">
        <v>0.57999999999999996</v>
      </c>
      <c r="J68" s="59">
        <v>0.2</v>
      </c>
      <c r="K68" s="59">
        <v>217.24</v>
      </c>
      <c r="L68" s="59">
        <v>32.72</v>
      </c>
      <c r="M68" s="59">
        <v>27.16</v>
      </c>
      <c r="N68" s="59">
        <v>446.1</v>
      </c>
      <c r="O68" s="59">
        <v>0</v>
      </c>
      <c r="P68" s="59">
        <v>0.83</v>
      </c>
      <c r="Q68" s="59">
        <v>44.15</v>
      </c>
      <c r="R68" s="197"/>
      <c r="S68" s="197"/>
      <c r="T68" s="197"/>
      <c r="U68" s="197"/>
    </row>
    <row r="69" spans="1:21" s="12" customFormat="1" x14ac:dyDescent="0.25">
      <c r="A69" s="200" t="s">
        <v>2997</v>
      </c>
      <c r="B69" s="59">
        <v>4.12</v>
      </c>
      <c r="C69" s="59">
        <v>51.56</v>
      </c>
      <c r="D69" s="59">
        <v>33.5</v>
      </c>
      <c r="E69" s="59">
        <v>3.97</v>
      </c>
      <c r="F69" s="59">
        <v>21.12</v>
      </c>
      <c r="G69" s="59">
        <v>55.03</v>
      </c>
      <c r="H69" s="59">
        <v>21.37</v>
      </c>
      <c r="I69" s="59">
        <v>0.63</v>
      </c>
      <c r="J69" s="59">
        <v>0.53</v>
      </c>
      <c r="K69" s="59">
        <v>195.18</v>
      </c>
      <c r="L69" s="59">
        <v>32.5</v>
      </c>
      <c r="M69" s="59">
        <v>28.42</v>
      </c>
      <c r="N69" s="59">
        <v>458</v>
      </c>
      <c r="O69" s="59">
        <v>0</v>
      </c>
      <c r="P69" s="59">
        <v>0.75</v>
      </c>
      <c r="Q69" s="59">
        <v>44.47</v>
      </c>
      <c r="R69" s="197"/>
      <c r="S69" s="197"/>
      <c r="T69" s="197"/>
      <c r="U69" s="197"/>
    </row>
    <row r="70" spans="1:21" s="12" customFormat="1" x14ac:dyDescent="0.25">
      <c r="A70" s="200" t="s">
        <v>2998</v>
      </c>
      <c r="B70" s="59">
        <v>5.15</v>
      </c>
      <c r="C70" s="59">
        <v>51.61</v>
      </c>
      <c r="D70" s="59">
        <v>34.36</v>
      </c>
      <c r="E70" s="59">
        <v>4.51</v>
      </c>
      <c r="F70" s="59">
        <v>19.260000000000002</v>
      </c>
      <c r="G70" s="59">
        <v>55.03</v>
      </c>
      <c r="H70" s="59">
        <v>21.37</v>
      </c>
      <c r="I70" s="59">
        <v>0.6</v>
      </c>
      <c r="J70" s="59">
        <v>0.26</v>
      </c>
      <c r="K70" s="59">
        <v>175.15</v>
      </c>
      <c r="L70" s="59">
        <v>33.119999999999997</v>
      </c>
      <c r="M70" s="59">
        <v>28.04</v>
      </c>
      <c r="N70" s="59">
        <v>260.3</v>
      </c>
      <c r="O70" s="59">
        <v>0</v>
      </c>
      <c r="P70" s="59">
        <v>0.75</v>
      </c>
      <c r="Q70" s="59">
        <v>45.75</v>
      </c>
      <c r="R70" s="197"/>
      <c r="S70" s="197"/>
      <c r="T70" s="197"/>
      <c r="U70" s="197"/>
    </row>
    <row r="71" spans="1:21" s="12" customFormat="1" x14ac:dyDescent="0.25">
      <c r="A71" s="200" t="s">
        <v>2999</v>
      </c>
      <c r="B71" s="59">
        <v>3.86</v>
      </c>
      <c r="C71" s="59">
        <v>52.25</v>
      </c>
      <c r="D71" s="59">
        <v>33.67</v>
      </c>
      <c r="E71" s="59">
        <v>4</v>
      </c>
      <c r="F71" s="59">
        <v>16.41</v>
      </c>
      <c r="G71" s="59">
        <v>41.34</v>
      </c>
      <c r="H71" s="59">
        <v>21.71</v>
      </c>
      <c r="I71" s="59">
        <v>0.55000000000000004</v>
      </c>
      <c r="J71" s="59">
        <v>0.71</v>
      </c>
      <c r="K71" s="59">
        <v>184.11</v>
      </c>
      <c r="L71" s="59">
        <v>32.880000000000003</v>
      </c>
      <c r="M71" s="59">
        <v>27.57</v>
      </c>
      <c r="N71" s="59">
        <v>227.1</v>
      </c>
      <c r="O71" s="59">
        <v>0</v>
      </c>
      <c r="P71" s="59">
        <v>0.74</v>
      </c>
      <c r="Q71" s="59">
        <v>44.95</v>
      </c>
      <c r="R71" s="197"/>
      <c r="S71" s="197"/>
      <c r="T71" s="197"/>
      <c r="U71" s="197"/>
    </row>
    <row r="72" spans="1:21" s="12" customFormat="1" x14ac:dyDescent="0.25">
      <c r="A72" s="200" t="s">
        <v>3000</v>
      </c>
      <c r="B72" s="59">
        <v>3.53</v>
      </c>
      <c r="C72" s="59">
        <v>52.75</v>
      </c>
      <c r="D72" s="59">
        <v>33.68</v>
      </c>
      <c r="E72" s="59">
        <v>1.64</v>
      </c>
      <c r="F72" s="59">
        <v>12.16</v>
      </c>
      <c r="G72" s="59">
        <v>41.03</v>
      </c>
      <c r="H72" s="59">
        <v>21.71</v>
      </c>
      <c r="I72" s="59">
        <v>0.56000000000000005</v>
      </c>
      <c r="J72" s="59">
        <v>1.27</v>
      </c>
      <c r="K72" s="59">
        <v>182.22</v>
      </c>
      <c r="L72" s="59">
        <v>32.08</v>
      </c>
      <c r="M72" s="59">
        <v>28.35</v>
      </c>
      <c r="N72" s="59">
        <v>255.8</v>
      </c>
      <c r="O72" s="59">
        <v>0</v>
      </c>
      <c r="P72" s="59">
        <v>0.74</v>
      </c>
      <c r="Q72" s="59">
        <v>45.13</v>
      </c>
      <c r="R72" s="197"/>
      <c r="S72" s="197"/>
      <c r="T72" s="197"/>
      <c r="U72" s="197"/>
    </row>
    <row r="73" spans="1:21" s="12" customFormat="1" x14ac:dyDescent="0.25">
      <c r="A73" s="200" t="s">
        <v>3001</v>
      </c>
      <c r="B73" s="59">
        <v>3.34</v>
      </c>
      <c r="C73" s="59">
        <v>49.26</v>
      </c>
      <c r="D73" s="59">
        <v>31.61</v>
      </c>
      <c r="E73" s="59">
        <v>3.48</v>
      </c>
      <c r="F73" s="59">
        <v>19.5</v>
      </c>
      <c r="G73" s="59">
        <v>41.03</v>
      </c>
      <c r="H73" s="59">
        <v>21.71</v>
      </c>
      <c r="I73" s="59">
        <v>0.59</v>
      </c>
      <c r="J73" s="59">
        <v>1.01</v>
      </c>
      <c r="K73" s="59">
        <v>178.56</v>
      </c>
      <c r="L73" s="59">
        <v>31.89</v>
      </c>
      <c r="M73" s="59">
        <v>28.46</v>
      </c>
      <c r="N73" s="59">
        <v>147</v>
      </c>
      <c r="O73" s="59">
        <v>0</v>
      </c>
      <c r="P73" s="59">
        <v>0.67</v>
      </c>
      <c r="Q73" s="59">
        <v>44.84</v>
      </c>
      <c r="R73" s="197"/>
      <c r="S73" s="197"/>
      <c r="T73" s="197"/>
      <c r="U73" s="197"/>
    </row>
    <row r="74" spans="1:21" s="12" customFormat="1" x14ac:dyDescent="0.25">
      <c r="A74" s="200" t="s">
        <v>3002</v>
      </c>
      <c r="B74" s="59">
        <v>3.36</v>
      </c>
      <c r="C74" s="59">
        <v>50.63</v>
      </c>
      <c r="D74" s="59">
        <v>32.380000000000003</v>
      </c>
      <c r="E74" s="59">
        <v>2.5</v>
      </c>
      <c r="F74" s="59">
        <v>11.34</v>
      </c>
      <c r="G74" s="59">
        <v>41.03</v>
      </c>
      <c r="H74" s="59">
        <v>21.71</v>
      </c>
      <c r="I74" s="59">
        <v>0.6</v>
      </c>
      <c r="J74" s="59">
        <v>1.23</v>
      </c>
      <c r="K74" s="59">
        <v>178.73</v>
      </c>
      <c r="L74" s="59">
        <v>31.69</v>
      </c>
      <c r="M74" s="59">
        <v>27.97</v>
      </c>
      <c r="N74" s="59">
        <v>122.3</v>
      </c>
      <c r="O74" s="59">
        <v>0</v>
      </c>
      <c r="P74" s="59">
        <v>0.69</v>
      </c>
      <c r="Q74" s="59">
        <v>45.59</v>
      </c>
      <c r="R74" s="197"/>
      <c r="S74" s="197"/>
      <c r="T74" s="197"/>
      <c r="U74" s="197"/>
    </row>
    <row r="75" spans="1:21" s="12" customFormat="1" x14ac:dyDescent="0.25">
      <c r="A75" s="200" t="s">
        <v>3003</v>
      </c>
      <c r="B75" s="59">
        <v>3.35</v>
      </c>
      <c r="C75" s="59">
        <v>44.89</v>
      </c>
      <c r="D75" s="59">
        <v>29.2</v>
      </c>
      <c r="E75" s="59">
        <v>4.8600000000000003</v>
      </c>
      <c r="F75" s="59">
        <v>33.4</v>
      </c>
      <c r="G75" s="59">
        <v>40.11</v>
      </c>
      <c r="H75" s="59">
        <v>15.87</v>
      </c>
      <c r="I75" s="59">
        <v>0.57999999999999996</v>
      </c>
      <c r="J75" s="59">
        <v>0.62</v>
      </c>
      <c r="K75" s="59">
        <v>188.64</v>
      </c>
      <c r="L75" s="59">
        <v>31.75</v>
      </c>
      <c r="M75" s="59">
        <v>28.16</v>
      </c>
      <c r="N75" s="59">
        <v>121.3</v>
      </c>
      <c r="O75" s="59">
        <v>0</v>
      </c>
      <c r="P75" s="59">
        <v>0.56000000000000005</v>
      </c>
      <c r="Q75" s="59">
        <v>44.36</v>
      </c>
      <c r="R75" s="197"/>
      <c r="S75" s="197"/>
      <c r="T75" s="197"/>
      <c r="U75" s="197"/>
    </row>
    <row r="76" spans="1:21" s="12" customFormat="1" x14ac:dyDescent="0.25">
      <c r="A76" s="200" t="s">
        <v>3004</v>
      </c>
      <c r="B76" s="59">
        <v>3.48</v>
      </c>
      <c r="C76" s="59">
        <v>43.1</v>
      </c>
      <c r="D76" s="59">
        <v>28.32</v>
      </c>
      <c r="E76" s="59">
        <v>4.34</v>
      </c>
      <c r="F76" s="59">
        <v>37.49</v>
      </c>
      <c r="G76" s="59">
        <v>40.090000000000003</v>
      </c>
      <c r="H76" s="59">
        <v>15.74</v>
      </c>
      <c r="I76" s="59">
        <v>0.56999999999999995</v>
      </c>
      <c r="J76" s="59">
        <v>0.61</v>
      </c>
      <c r="K76" s="59">
        <v>210.56</v>
      </c>
      <c r="L76" s="59">
        <v>31.68</v>
      </c>
      <c r="M76" s="59">
        <v>27.98</v>
      </c>
      <c r="N76" s="59">
        <v>98.8</v>
      </c>
      <c r="O76" s="59">
        <v>0</v>
      </c>
      <c r="P76" s="59">
        <v>0.56999999999999995</v>
      </c>
      <c r="Q76" s="59">
        <v>43.61</v>
      </c>
      <c r="R76" s="197"/>
      <c r="S76" s="197"/>
      <c r="T76" s="197"/>
      <c r="U76" s="197"/>
    </row>
    <row r="77" spans="1:21" s="12" customFormat="1" x14ac:dyDescent="0.25">
      <c r="A77" s="200" t="s">
        <v>3005</v>
      </c>
      <c r="B77" s="59">
        <v>3.74</v>
      </c>
      <c r="C77" s="59">
        <v>40.67</v>
      </c>
      <c r="D77" s="59">
        <v>27.18</v>
      </c>
      <c r="E77" s="59">
        <v>3.6</v>
      </c>
      <c r="F77" s="59">
        <v>14.97</v>
      </c>
      <c r="G77" s="59">
        <v>40.090000000000003</v>
      </c>
      <c r="H77" s="59">
        <v>15.74</v>
      </c>
      <c r="I77" s="59">
        <v>0.55000000000000004</v>
      </c>
      <c r="J77" s="59">
        <v>1.82</v>
      </c>
      <c r="K77" s="59">
        <v>7.62</v>
      </c>
      <c r="L77" s="59">
        <v>30.84</v>
      </c>
      <c r="M77" s="59">
        <v>29.94</v>
      </c>
      <c r="N77" s="59">
        <v>83.8</v>
      </c>
      <c r="O77" s="59">
        <v>0</v>
      </c>
      <c r="P77" s="59">
        <v>0.62</v>
      </c>
      <c r="Q77" s="59">
        <v>43.43</v>
      </c>
      <c r="R77" s="197"/>
      <c r="S77" s="197"/>
      <c r="T77" s="197"/>
      <c r="U77" s="197"/>
    </row>
    <row r="78" spans="1:21" s="12" customFormat="1" x14ac:dyDescent="0.25">
      <c r="A78" s="200" t="s">
        <v>3006</v>
      </c>
      <c r="B78" s="59">
        <v>4.29</v>
      </c>
      <c r="C78" s="59">
        <v>46.26</v>
      </c>
      <c r="D78" s="59">
        <v>30.71</v>
      </c>
      <c r="E78" s="59">
        <v>2.2799999999999998</v>
      </c>
      <c r="F78" s="59">
        <v>7.18</v>
      </c>
      <c r="G78" s="59">
        <v>40.090000000000003</v>
      </c>
      <c r="H78" s="59">
        <v>15.74</v>
      </c>
      <c r="I78" s="59">
        <v>0.56000000000000005</v>
      </c>
      <c r="J78" s="59">
        <v>1.63</v>
      </c>
      <c r="K78" s="59">
        <v>14.51</v>
      </c>
      <c r="L78" s="59">
        <v>29.34</v>
      </c>
      <c r="M78" s="59">
        <v>30.85</v>
      </c>
      <c r="N78" s="59">
        <v>62.1</v>
      </c>
      <c r="O78" s="59">
        <v>0</v>
      </c>
      <c r="P78" s="59">
        <v>0.64</v>
      </c>
      <c r="Q78" s="59">
        <v>40.090000000000003</v>
      </c>
      <c r="R78" s="197"/>
      <c r="S78" s="197"/>
      <c r="T78" s="197"/>
      <c r="U78" s="197"/>
    </row>
    <row r="79" spans="1:21" s="12" customFormat="1" x14ac:dyDescent="0.25">
      <c r="A79" s="200" t="s">
        <v>3007</v>
      </c>
      <c r="B79" s="59">
        <v>6.42</v>
      </c>
      <c r="C79" s="59">
        <v>50.67</v>
      </c>
      <c r="D79" s="59">
        <v>34.85</v>
      </c>
      <c r="E79" s="59">
        <v>2.65</v>
      </c>
      <c r="F79" s="59">
        <v>8.2100000000000009</v>
      </c>
      <c r="G79" s="59">
        <v>82.19</v>
      </c>
      <c r="H79" s="59">
        <v>21.83</v>
      </c>
      <c r="I79" s="59">
        <v>0.57999999999999996</v>
      </c>
      <c r="J79" s="59">
        <v>2.3199999999999998</v>
      </c>
      <c r="K79" s="59">
        <v>24.03</v>
      </c>
      <c r="L79" s="59">
        <v>28.86</v>
      </c>
      <c r="M79" s="59">
        <v>32.85</v>
      </c>
      <c r="N79" s="59">
        <v>34.9</v>
      </c>
      <c r="O79" s="59">
        <v>0</v>
      </c>
      <c r="P79" s="59">
        <v>0.64</v>
      </c>
      <c r="Q79" s="59">
        <v>40.08</v>
      </c>
      <c r="R79" s="197"/>
      <c r="S79" s="197"/>
      <c r="T79" s="197"/>
      <c r="U79" s="197"/>
    </row>
    <row r="80" spans="1:21" s="12" customFormat="1" x14ac:dyDescent="0.25">
      <c r="A80" s="200" t="s">
        <v>3008</v>
      </c>
      <c r="B80" s="59">
        <v>7.36</v>
      </c>
      <c r="C80" s="59">
        <v>55.85</v>
      </c>
      <c r="D80" s="59">
        <v>38.46</v>
      </c>
      <c r="E80" s="59">
        <v>3.61</v>
      </c>
      <c r="F80" s="59">
        <v>11.58</v>
      </c>
      <c r="G80" s="59">
        <v>83.15</v>
      </c>
      <c r="H80" s="59">
        <v>21.97</v>
      </c>
      <c r="I80" s="59">
        <v>0.61</v>
      </c>
      <c r="J80" s="59">
        <v>1.35</v>
      </c>
      <c r="K80" s="59">
        <v>23.79</v>
      </c>
      <c r="L80" s="59">
        <v>27.9</v>
      </c>
      <c r="M80" s="59">
        <v>35.799999999999997</v>
      </c>
      <c r="N80" s="59">
        <v>18.5</v>
      </c>
      <c r="O80" s="59">
        <v>0</v>
      </c>
      <c r="P80" s="59">
        <v>0.69</v>
      </c>
      <c r="Q80" s="59">
        <v>39.64</v>
      </c>
      <c r="R80" s="197"/>
      <c r="S80" s="197"/>
      <c r="T80" s="197"/>
      <c r="U80" s="197"/>
    </row>
    <row r="81" spans="1:26" s="12" customFormat="1" x14ac:dyDescent="0.25">
      <c r="A81" s="200" t="s">
        <v>3009</v>
      </c>
      <c r="B81" s="59">
        <v>22.7</v>
      </c>
      <c r="C81" s="59">
        <v>72.2</v>
      </c>
      <c r="D81" s="59">
        <v>59.79</v>
      </c>
      <c r="E81" s="59">
        <v>8.2799999999999994</v>
      </c>
      <c r="F81" s="59">
        <v>14.73</v>
      </c>
      <c r="G81" s="59">
        <v>83.15</v>
      </c>
      <c r="H81" s="59">
        <v>21.97</v>
      </c>
      <c r="I81" s="59">
        <v>0.57999999999999996</v>
      </c>
      <c r="J81" s="59">
        <v>0.45</v>
      </c>
      <c r="K81" s="59">
        <v>32.86</v>
      </c>
      <c r="L81" s="59">
        <v>27.74</v>
      </c>
      <c r="M81" s="59">
        <v>34.32</v>
      </c>
      <c r="N81" s="59">
        <v>8.6</v>
      </c>
      <c r="O81" s="59">
        <v>0</v>
      </c>
      <c r="P81" s="59">
        <v>0.99</v>
      </c>
      <c r="Q81" s="59">
        <v>37.82</v>
      </c>
      <c r="R81" s="197"/>
      <c r="S81" s="197"/>
      <c r="T81" s="197"/>
      <c r="U81" s="197"/>
    </row>
    <row r="82" spans="1:26" s="12" customFormat="1" x14ac:dyDescent="0.25">
      <c r="A82" s="200" t="s">
        <v>3010</v>
      </c>
      <c r="B82" s="59">
        <v>15.31</v>
      </c>
      <c r="C82" s="59">
        <v>70.239999999999995</v>
      </c>
      <c r="D82" s="59">
        <v>52.78</v>
      </c>
      <c r="E82" s="59">
        <v>8.17</v>
      </c>
      <c r="F82" s="59">
        <v>12.39</v>
      </c>
      <c r="G82" s="59">
        <v>83.15</v>
      </c>
      <c r="H82" s="59">
        <v>21.97</v>
      </c>
      <c r="I82" s="59">
        <v>0.56000000000000005</v>
      </c>
      <c r="J82" s="59">
        <v>0.3</v>
      </c>
      <c r="K82" s="59">
        <v>16.48</v>
      </c>
      <c r="L82" s="59">
        <v>27.62</v>
      </c>
      <c r="M82" s="59">
        <v>34.619999999999997</v>
      </c>
      <c r="N82" s="59">
        <v>4.9000000000000004</v>
      </c>
      <c r="O82" s="59">
        <v>0</v>
      </c>
      <c r="P82" s="59">
        <v>1.0900000000000001</v>
      </c>
      <c r="Q82" s="59">
        <v>40.97</v>
      </c>
      <c r="R82" s="197"/>
      <c r="S82" s="197"/>
      <c r="T82" s="197"/>
      <c r="U82" s="197"/>
    </row>
    <row r="83" spans="1:26" s="12" customFormat="1" x14ac:dyDescent="0.25">
      <c r="A83" s="200" t="s">
        <v>3011</v>
      </c>
      <c r="B83" s="59">
        <v>11.86</v>
      </c>
      <c r="C83" s="59">
        <v>59.44</v>
      </c>
      <c r="D83" s="59">
        <v>44.05</v>
      </c>
      <c r="E83" s="59">
        <v>5.34</v>
      </c>
      <c r="F83" s="59">
        <v>11.61</v>
      </c>
      <c r="G83" s="59">
        <v>75.42</v>
      </c>
      <c r="H83" s="59">
        <v>20.83</v>
      </c>
      <c r="I83" s="59">
        <v>0.56000000000000005</v>
      </c>
      <c r="J83" s="59">
        <v>0.35</v>
      </c>
      <c r="K83" s="59">
        <v>76.59</v>
      </c>
      <c r="L83" s="59">
        <v>27.35</v>
      </c>
      <c r="M83" s="59">
        <v>36.42</v>
      </c>
      <c r="N83" s="59">
        <v>4.0999999999999996</v>
      </c>
      <c r="O83" s="59">
        <v>0</v>
      </c>
      <c r="P83" s="59">
        <v>0.99</v>
      </c>
      <c r="Q83" s="59">
        <v>44.07</v>
      </c>
      <c r="R83" s="197"/>
      <c r="S83" s="197"/>
      <c r="T83" s="197"/>
      <c r="U83" s="197"/>
    </row>
    <row r="84" spans="1:26" s="12" customFormat="1" x14ac:dyDescent="0.25">
      <c r="A84" s="200" t="s">
        <v>3012</v>
      </c>
      <c r="B84" s="59">
        <v>25.72</v>
      </c>
      <c r="C84" s="59">
        <v>80.06</v>
      </c>
      <c r="D84" s="59">
        <v>66.55</v>
      </c>
      <c r="E84" s="59">
        <v>7.66</v>
      </c>
      <c r="F84" s="59">
        <v>12.14</v>
      </c>
      <c r="G84" s="59">
        <v>75.25</v>
      </c>
      <c r="H84" s="59">
        <v>20.8</v>
      </c>
      <c r="I84" s="59">
        <v>0.59</v>
      </c>
      <c r="J84" s="59">
        <v>0.32</v>
      </c>
      <c r="K84" s="59">
        <v>27.06</v>
      </c>
      <c r="L84" s="59">
        <v>27.49</v>
      </c>
      <c r="M84" s="59">
        <v>36.14</v>
      </c>
      <c r="N84" s="59">
        <v>4.8</v>
      </c>
      <c r="O84" s="59">
        <v>0</v>
      </c>
      <c r="P84" s="59">
        <v>1.44</v>
      </c>
      <c r="Q84" s="59">
        <v>42.02</v>
      </c>
      <c r="R84" s="197"/>
      <c r="S84" s="197"/>
      <c r="T84" s="197"/>
      <c r="U84" s="197"/>
    </row>
    <row r="85" spans="1:26" s="12" customFormat="1" x14ac:dyDescent="0.25">
      <c r="A85" s="200" t="s">
        <v>3013</v>
      </c>
      <c r="B85" s="59">
        <v>17.68</v>
      </c>
      <c r="C85" s="59">
        <v>75.959999999999994</v>
      </c>
      <c r="D85" s="59">
        <v>57.84</v>
      </c>
      <c r="E85" s="59">
        <v>9.06</v>
      </c>
      <c r="F85" s="59">
        <v>12.16</v>
      </c>
      <c r="G85" s="59">
        <v>75.25</v>
      </c>
      <c r="H85" s="59">
        <v>20.8</v>
      </c>
      <c r="I85" s="59">
        <v>0.62</v>
      </c>
      <c r="J85" s="59">
        <v>0.32</v>
      </c>
      <c r="K85" s="59">
        <v>97.86</v>
      </c>
      <c r="L85" s="59">
        <v>27.19</v>
      </c>
      <c r="M85" s="59">
        <v>36.5</v>
      </c>
      <c r="N85" s="59">
        <v>4.3</v>
      </c>
      <c r="O85" s="59">
        <v>0</v>
      </c>
      <c r="P85" s="59">
        <v>1.32</v>
      </c>
      <c r="Q85" s="59">
        <v>42.45</v>
      </c>
      <c r="R85" s="197"/>
      <c r="S85" s="197"/>
      <c r="T85" s="197"/>
      <c r="U85" s="197"/>
    </row>
    <row r="86" spans="1:26" s="12" customFormat="1" x14ac:dyDescent="0.25">
      <c r="A86" s="200" t="s">
        <v>3014</v>
      </c>
      <c r="B86" s="59">
        <v>20.14</v>
      </c>
      <c r="C86" s="59">
        <v>80.88</v>
      </c>
      <c r="D86" s="59">
        <v>62.53</v>
      </c>
      <c r="E86" s="59">
        <v>12.15</v>
      </c>
      <c r="F86" s="59">
        <v>11.74</v>
      </c>
      <c r="G86" s="59">
        <v>75.25</v>
      </c>
      <c r="H86" s="59">
        <v>20.8</v>
      </c>
      <c r="I86" s="59">
        <v>0.65</v>
      </c>
      <c r="J86" s="59">
        <v>0.3</v>
      </c>
      <c r="K86" s="59">
        <v>54.44</v>
      </c>
      <c r="L86" s="59">
        <v>27.25</v>
      </c>
      <c r="M86" s="59">
        <v>36</v>
      </c>
      <c r="N86" s="59">
        <v>4.5</v>
      </c>
      <c r="O86" s="59">
        <v>0</v>
      </c>
      <c r="P86" s="59">
        <v>1.38</v>
      </c>
      <c r="Q86" s="59">
        <v>42</v>
      </c>
      <c r="R86" s="197"/>
      <c r="S86" s="197"/>
      <c r="T86" s="197"/>
      <c r="U86" s="197"/>
    </row>
    <row r="87" spans="1:26" s="12" customFormat="1" x14ac:dyDescent="0.25">
      <c r="A87" s="200" t="s">
        <v>3015</v>
      </c>
      <c r="B87" s="59">
        <v>24.27</v>
      </c>
      <c r="C87" s="59">
        <v>82.29</v>
      </c>
      <c r="D87" s="59">
        <v>66.62</v>
      </c>
      <c r="E87" s="59">
        <v>10.17</v>
      </c>
      <c r="F87" s="59">
        <v>6.74</v>
      </c>
      <c r="G87" s="59">
        <v>85.87</v>
      </c>
      <c r="H87" s="59">
        <v>27.09</v>
      </c>
      <c r="I87" s="59">
        <v>0.65</v>
      </c>
      <c r="J87" s="59">
        <v>0.28999999999999998</v>
      </c>
      <c r="K87" s="59">
        <v>69.37</v>
      </c>
      <c r="L87" s="59">
        <v>27.11</v>
      </c>
      <c r="M87" s="59">
        <v>38.520000000000003</v>
      </c>
      <c r="N87" s="59">
        <v>4.5999999999999996</v>
      </c>
      <c r="O87" s="59">
        <v>0</v>
      </c>
      <c r="P87" s="59">
        <v>1.47</v>
      </c>
      <c r="Q87" s="59">
        <v>39.549999999999997</v>
      </c>
      <c r="R87" s="197"/>
      <c r="S87" s="197"/>
      <c r="T87" s="197"/>
      <c r="U87" s="197"/>
    </row>
    <row r="88" spans="1:26" s="12" customFormat="1" x14ac:dyDescent="0.25">
      <c r="A88" s="200" t="s">
        <v>3016</v>
      </c>
      <c r="B88" s="59">
        <v>21.63</v>
      </c>
      <c r="C88" s="59">
        <v>73.75</v>
      </c>
      <c r="D88" s="59">
        <v>59.79</v>
      </c>
      <c r="E88" s="59">
        <v>4.4000000000000004</v>
      </c>
      <c r="F88" s="59">
        <v>6.63</v>
      </c>
      <c r="G88" s="59">
        <v>86.11</v>
      </c>
      <c r="H88" s="59">
        <v>27.23</v>
      </c>
      <c r="I88" s="59">
        <v>0.66</v>
      </c>
      <c r="J88" s="59">
        <v>0.89</v>
      </c>
      <c r="K88" s="59">
        <v>126.76</v>
      </c>
      <c r="L88" s="59">
        <v>26.94</v>
      </c>
      <c r="M88" s="59">
        <v>41.23</v>
      </c>
      <c r="N88" s="59">
        <v>3.9</v>
      </c>
      <c r="O88" s="59">
        <v>0</v>
      </c>
      <c r="P88" s="59">
        <v>1.43</v>
      </c>
      <c r="Q88" s="59">
        <v>41.35</v>
      </c>
      <c r="R88" s="197"/>
      <c r="S88" s="197"/>
      <c r="T88" s="197"/>
      <c r="U88" s="197"/>
    </row>
    <row r="89" spans="1:26" s="12" customFormat="1" x14ac:dyDescent="0.25">
      <c r="A89" s="200" t="s">
        <v>3017</v>
      </c>
      <c r="B89" s="59">
        <v>19.29</v>
      </c>
      <c r="C89" s="59">
        <v>66.099999999999994</v>
      </c>
      <c r="D89" s="59">
        <v>53.69</v>
      </c>
      <c r="E89" s="59">
        <v>4.41</v>
      </c>
      <c r="F89" s="59">
        <v>5.92</v>
      </c>
      <c r="G89" s="59">
        <v>86.11</v>
      </c>
      <c r="H89" s="59">
        <v>27.23</v>
      </c>
      <c r="I89" s="59">
        <v>0.71</v>
      </c>
      <c r="J89" s="59">
        <v>1.37</v>
      </c>
      <c r="K89" s="59">
        <v>128.63999999999999</v>
      </c>
      <c r="L89" s="59">
        <v>27.57</v>
      </c>
      <c r="M89" s="59">
        <v>38.36</v>
      </c>
      <c r="N89" s="59">
        <v>3.5</v>
      </c>
      <c r="O89" s="59">
        <v>0</v>
      </c>
      <c r="P89" s="59">
        <v>1.24</v>
      </c>
      <c r="Q89" s="59">
        <v>42.46</v>
      </c>
      <c r="R89" s="197"/>
      <c r="S89" s="197"/>
      <c r="T89" s="197"/>
      <c r="U89" s="197"/>
    </row>
    <row r="90" spans="1:26" s="12" customFormat="1" x14ac:dyDescent="0.25">
      <c r="A90" s="200" t="s">
        <v>3018</v>
      </c>
      <c r="B90" s="59">
        <v>17.100000000000001</v>
      </c>
      <c r="C90" s="59">
        <v>66.930000000000007</v>
      </c>
      <c r="D90" s="59">
        <v>52.39</v>
      </c>
      <c r="E90" s="59">
        <v>6.45</v>
      </c>
      <c r="F90" s="59">
        <v>8.4700000000000006</v>
      </c>
      <c r="G90" s="59">
        <v>86.11</v>
      </c>
      <c r="H90" s="59">
        <v>27.23</v>
      </c>
      <c r="I90" s="59">
        <v>0.73</v>
      </c>
      <c r="J90" s="59">
        <v>0.38</v>
      </c>
      <c r="K90" s="59">
        <v>91.42</v>
      </c>
      <c r="L90" s="59">
        <v>26.98</v>
      </c>
      <c r="M90" s="59">
        <v>42.75</v>
      </c>
      <c r="N90" s="59">
        <v>5.2</v>
      </c>
      <c r="O90" s="59">
        <v>0</v>
      </c>
      <c r="P90" s="59">
        <v>1.4</v>
      </c>
      <c r="Q90" s="59">
        <v>43.12</v>
      </c>
      <c r="R90" s="197"/>
      <c r="S90" s="197"/>
      <c r="T90" s="197"/>
      <c r="U90" s="197"/>
    </row>
    <row r="91" spans="1:26" s="12" customFormat="1" x14ac:dyDescent="0.25">
      <c r="A91" s="200" t="s">
        <v>3019</v>
      </c>
      <c r="B91" s="59">
        <v>23.26</v>
      </c>
      <c r="C91" s="59">
        <v>76.86</v>
      </c>
      <c r="D91" s="59">
        <v>62.82</v>
      </c>
      <c r="E91" s="59">
        <v>10.46</v>
      </c>
      <c r="F91" s="59">
        <v>9.31</v>
      </c>
      <c r="G91" s="59">
        <v>85.32</v>
      </c>
      <c r="H91" s="59">
        <v>31.67</v>
      </c>
      <c r="I91" s="59">
        <v>0.76</v>
      </c>
      <c r="J91" s="59">
        <v>0.67</v>
      </c>
      <c r="K91" s="59">
        <v>121.69</v>
      </c>
      <c r="L91" s="59">
        <v>27.25</v>
      </c>
      <c r="M91" s="59">
        <v>40.83</v>
      </c>
      <c r="N91" s="59">
        <v>4.3</v>
      </c>
      <c r="O91" s="59">
        <v>0</v>
      </c>
      <c r="P91" s="59">
        <v>1.6</v>
      </c>
      <c r="Q91" s="59">
        <v>43.4</v>
      </c>
      <c r="R91" s="197"/>
      <c r="S91" s="197"/>
      <c r="T91" s="197"/>
      <c r="U91" s="197"/>
    </row>
    <row r="92" spans="1:26" s="12" customFormat="1" x14ac:dyDescent="0.25">
      <c r="A92" s="200" t="s">
        <v>3020</v>
      </c>
      <c r="B92" s="59">
        <v>23.3</v>
      </c>
      <c r="C92" s="59">
        <v>76.02</v>
      </c>
      <c r="D92" s="59">
        <v>62.38</v>
      </c>
      <c r="E92" s="59">
        <v>9.77</v>
      </c>
      <c r="F92" s="59">
        <v>3.64</v>
      </c>
      <c r="G92" s="59">
        <v>85.3</v>
      </c>
      <c r="H92" s="59">
        <v>31.77</v>
      </c>
      <c r="I92" s="59">
        <v>0.74</v>
      </c>
      <c r="J92" s="59">
        <v>0.41</v>
      </c>
      <c r="K92" s="59">
        <v>95.04</v>
      </c>
      <c r="L92" s="59">
        <v>26.54</v>
      </c>
      <c r="M92" s="59">
        <v>47.21</v>
      </c>
      <c r="N92" s="59">
        <v>5.6</v>
      </c>
      <c r="O92" s="59">
        <v>0</v>
      </c>
      <c r="P92" s="59">
        <v>1.87</v>
      </c>
      <c r="Q92" s="59">
        <v>42.58</v>
      </c>
      <c r="R92" s="197"/>
      <c r="S92" s="197"/>
      <c r="T92" s="197"/>
      <c r="U92" s="197"/>
    </row>
    <row r="93" spans="1:26" s="12" customFormat="1" x14ac:dyDescent="0.25">
      <c r="A93" s="200" t="s">
        <v>3021</v>
      </c>
      <c r="B93" s="59">
        <v>38.43</v>
      </c>
      <c r="C93" s="59">
        <v>79.91</v>
      </c>
      <c r="D93" s="59">
        <v>76.66</v>
      </c>
      <c r="E93" s="59">
        <v>9.9</v>
      </c>
      <c r="F93" s="59">
        <v>5.23</v>
      </c>
      <c r="G93" s="59">
        <v>85.3</v>
      </c>
      <c r="H93" s="59">
        <v>31.77</v>
      </c>
      <c r="I93" s="59">
        <v>0.73</v>
      </c>
      <c r="J93" s="59">
        <v>0.37</v>
      </c>
      <c r="K93" s="59">
        <v>144.47</v>
      </c>
      <c r="L93" s="59">
        <v>26.68</v>
      </c>
      <c r="M93" s="59">
        <v>44.17</v>
      </c>
      <c r="N93" s="59">
        <v>4.4000000000000004</v>
      </c>
      <c r="O93" s="59">
        <v>0</v>
      </c>
      <c r="P93" s="59">
        <v>1.95</v>
      </c>
      <c r="Q93" s="59">
        <v>43.65</v>
      </c>
      <c r="R93" s="197"/>
      <c r="S93" s="197"/>
      <c r="T93" s="197"/>
      <c r="U93" s="197"/>
    </row>
    <row r="94" spans="1:26" s="12" customFormat="1" x14ac:dyDescent="0.25">
      <c r="A94" s="200" t="s">
        <v>3022</v>
      </c>
      <c r="B94" s="59">
        <v>22.26</v>
      </c>
      <c r="C94" s="59">
        <v>66.17</v>
      </c>
      <c r="D94" s="59">
        <v>56.11</v>
      </c>
      <c r="E94" s="59">
        <v>6.88</v>
      </c>
      <c r="F94" s="59">
        <v>2.79</v>
      </c>
      <c r="G94" s="59">
        <v>85.3</v>
      </c>
      <c r="H94" s="59">
        <v>31.77</v>
      </c>
      <c r="I94" s="59">
        <v>0.79</v>
      </c>
      <c r="J94" s="59">
        <v>1.5</v>
      </c>
      <c r="K94" s="59">
        <v>204.06</v>
      </c>
      <c r="L94" s="59">
        <v>26.03</v>
      </c>
      <c r="M94" s="59">
        <v>44.84</v>
      </c>
      <c r="N94" s="59">
        <v>5</v>
      </c>
      <c r="O94" s="59">
        <v>0</v>
      </c>
      <c r="P94" s="59">
        <v>1.49</v>
      </c>
      <c r="Q94" s="59">
        <v>44.24</v>
      </c>
      <c r="R94" s="197"/>
      <c r="S94" s="197"/>
      <c r="T94" s="197"/>
      <c r="U94" s="197"/>
    </row>
    <row r="95" spans="1:26" s="12" customFormat="1" x14ac:dyDescent="0.25">
      <c r="A95" s="200" t="s">
        <v>3023</v>
      </c>
      <c r="B95" s="59">
        <v>19.86</v>
      </c>
      <c r="C95" s="59">
        <v>57.94</v>
      </c>
      <c r="D95" s="59">
        <v>49.65</v>
      </c>
      <c r="E95" s="59">
        <v>3.87</v>
      </c>
      <c r="F95" s="59">
        <v>4.6100000000000003</v>
      </c>
      <c r="G95" s="59">
        <v>94.06</v>
      </c>
      <c r="H95" s="59">
        <v>32.51</v>
      </c>
      <c r="I95" s="59">
        <v>0.84</v>
      </c>
      <c r="J95" s="59">
        <v>1.35</v>
      </c>
      <c r="K95" s="59">
        <v>191.3</v>
      </c>
      <c r="L95" s="59">
        <v>26.02</v>
      </c>
      <c r="M95" s="59">
        <v>42.24</v>
      </c>
      <c r="N95" s="59">
        <v>4.4000000000000004</v>
      </c>
      <c r="O95" s="59">
        <v>0</v>
      </c>
      <c r="P95" s="59">
        <v>1.38</v>
      </c>
      <c r="Q95" s="59">
        <v>44.92</v>
      </c>
      <c r="R95" s="197"/>
      <c r="S95" s="197"/>
      <c r="T95" s="197"/>
      <c r="U95" s="197"/>
    </row>
    <row r="96" spans="1:26" s="12" customFormat="1" x14ac:dyDescent="0.25">
      <c r="A96" s="200" t="s">
        <v>3024</v>
      </c>
      <c r="B96" s="59">
        <v>17.86</v>
      </c>
      <c r="C96" s="59">
        <v>56.58</v>
      </c>
      <c r="D96" s="59">
        <v>47.29</v>
      </c>
      <c r="E96" s="59">
        <v>4.0999999999999996</v>
      </c>
      <c r="F96" s="59">
        <v>6.24</v>
      </c>
      <c r="G96" s="59">
        <v>94.25</v>
      </c>
      <c r="H96" s="59">
        <v>32.520000000000003</v>
      </c>
      <c r="I96" s="59">
        <v>0.89</v>
      </c>
      <c r="J96" s="59">
        <v>1.34</v>
      </c>
      <c r="K96" s="59">
        <v>188.49</v>
      </c>
      <c r="L96" s="59">
        <v>26.34</v>
      </c>
      <c r="M96" s="59">
        <v>41.29</v>
      </c>
      <c r="N96" s="59">
        <v>4.4000000000000004</v>
      </c>
      <c r="O96" s="59">
        <v>0</v>
      </c>
      <c r="P96" s="59">
        <v>1.3</v>
      </c>
      <c r="Q96" s="59">
        <v>45.01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3025</v>
      </c>
      <c r="B97" s="59">
        <v>16.510000000000002</v>
      </c>
      <c r="C97" s="59">
        <v>48.27</v>
      </c>
      <c r="D97" s="59">
        <v>41.61</v>
      </c>
      <c r="E97" s="59">
        <v>3.05</v>
      </c>
      <c r="F97" s="59">
        <v>5.36</v>
      </c>
      <c r="G97" s="59">
        <v>94.25</v>
      </c>
      <c r="H97" s="59">
        <v>32.520000000000003</v>
      </c>
      <c r="I97" s="59">
        <v>0.79</v>
      </c>
      <c r="J97" s="59">
        <v>2.19</v>
      </c>
      <c r="K97" s="59">
        <v>191.39</v>
      </c>
      <c r="L97" s="59">
        <v>25.88</v>
      </c>
      <c r="M97" s="59">
        <v>45.1</v>
      </c>
      <c r="N97" s="59">
        <v>5.6</v>
      </c>
      <c r="O97" s="59">
        <v>0</v>
      </c>
      <c r="P97" s="59">
        <v>1.28</v>
      </c>
      <c r="Q97" s="59">
        <v>48.85</v>
      </c>
      <c r="R97" s="197"/>
      <c r="S97" s="197"/>
      <c r="T97" s="197"/>
      <c r="U97" s="197"/>
    </row>
    <row r="98" spans="1:33" s="12" customFormat="1" x14ac:dyDescent="0.25">
      <c r="A98" s="200" t="s">
        <v>3026</v>
      </c>
      <c r="B98" s="59">
        <v>13.11</v>
      </c>
      <c r="C98" s="59">
        <v>41.87</v>
      </c>
      <c r="D98" s="59">
        <v>35.369999999999997</v>
      </c>
      <c r="E98" s="59">
        <v>2.29</v>
      </c>
      <c r="F98" s="59">
        <v>5.09</v>
      </c>
      <c r="G98" s="59">
        <v>94.25</v>
      </c>
      <c r="H98" s="59">
        <v>32.520000000000003</v>
      </c>
      <c r="I98" s="59">
        <v>0.78</v>
      </c>
      <c r="J98" s="59">
        <v>1.99</v>
      </c>
      <c r="K98" s="59">
        <v>191.07</v>
      </c>
      <c r="L98" s="59">
        <v>25.55</v>
      </c>
      <c r="M98" s="59">
        <v>46.65</v>
      </c>
      <c r="N98" s="59">
        <v>5</v>
      </c>
      <c r="O98" s="59">
        <v>0</v>
      </c>
      <c r="P98" s="59">
        <v>1.19</v>
      </c>
      <c r="Q98" s="59">
        <v>47.01</v>
      </c>
      <c r="R98" s="197"/>
      <c r="S98" s="197"/>
      <c r="T98" s="197"/>
      <c r="U98" s="197"/>
    </row>
    <row r="99" spans="1:33" s="12" customFormat="1" x14ac:dyDescent="0.25">
      <c r="A99" s="200" t="s">
        <v>3027</v>
      </c>
      <c r="B99" s="59">
        <v>9.3000000000000007</v>
      </c>
      <c r="C99" s="59">
        <v>57.04</v>
      </c>
      <c r="D99" s="59">
        <v>40.68</v>
      </c>
      <c r="E99" s="59">
        <v>2.48</v>
      </c>
      <c r="F99" s="59">
        <v>5.5</v>
      </c>
      <c r="G99" s="59">
        <v>56.68</v>
      </c>
      <c r="H99" s="59">
        <v>27.88</v>
      </c>
      <c r="I99" s="59">
        <v>0.76</v>
      </c>
      <c r="J99" s="59">
        <v>1.7</v>
      </c>
      <c r="K99" s="59">
        <v>191.43</v>
      </c>
      <c r="L99" s="59">
        <v>25.65</v>
      </c>
      <c r="M99" s="59">
        <v>44.71</v>
      </c>
      <c r="N99" s="59">
        <v>4.7</v>
      </c>
      <c r="O99" s="59">
        <v>0</v>
      </c>
      <c r="P99" s="59">
        <v>1.1200000000000001</v>
      </c>
      <c r="Q99" s="59">
        <v>41.31</v>
      </c>
      <c r="R99" s="197"/>
      <c r="S99" s="197"/>
      <c r="T99" s="197"/>
      <c r="U99" s="197"/>
    </row>
    <row r="100" spans="1:33" s="12" customFormat="1" x14ac:dyDescent="0.25">
      <c r="A100" s="200" t="s">
        <v>3028</v>
      </c>
      <c r="B100" s="59">
        <v>7.05</v>
      </c>
      <c r="C100" s="59">
        <v>50.81</v>
      </c>
      <c r="D100" s="59">
        <v>35.43</v>
      </c>
      <c r="E100" s="59">
        <v>2.0699999999999998</v>
      </c>
      <c r="F100" s="59">
        <v>5.5</v>
      </c>
      <c r="G100" s="59">
        <v>55.83</v>
      </c>
      <c r="H100" s="59">
        <v>27.77</v>
      </c>
      <c r="I100" s="59">
        <v>0.73</v>
      </c>
      <c r="J100" s="59">
        <v>1.42</v>
      </c>
      <c r="K100" s="59">
        <v>215.42</v>
      </c>
      <c r="L100" s="59">
        <v>25.56</v>
      </c>
      <c r="M100" s="59">
        <v>45.37</v>
      </c>
      <c r="N100" s="59">
        <v>5.3</v>
      </c>
      <c r="O100" s="59">
        <v>0</v>
      </c>
      <c r="P100" s="59">
        <v>1.04</v>
      </c>
      <c r="Q100" s="59">
        <v>44.73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3029</v>
      </c>
      <c r="B101" s="59">
        <v>4.8899999999999997</v>
      </c>
      <c r="C101" s="59">
        <v>40.07</v>
      </c>
      <c r="D101" s="59">
        <v>27.78</v>
      </c>
      <c r="E101" s="59">
        <v>1.89</v>
      </c>
      <c r="F101" s="59">
        <v>7.58</v>
      </c>
      <c r="G101" s="59">
        <v>55.83</v>
      </c>
      <c r="H101" s="59">
        <v>27.77</v>
      </c>
      <c r="I101" s="59">
        <v>0.71</v>
      </c>
      <c r="J101" s="59">
        <v>1.23</v>
      </c>
      <c r="K101" s="59">
        <v>228.09</v>
      </c>
      <c r="L101" s="59">
        <v>24.51</v>
      </c>
      <c r="M101" s="59">
        <v>53.27</v>
      </c>
      <c r="N101" s="59">
        <v>6.9</v>
      </c>
      <c r="O101" s="59">
        <v>0</v>
      </c>
      <c r="P101" s="59">
        <v>0.94</v>
      </c>
      <c r="Q101" s="59">
        <v>42.57</v>
      </c>
      <c r="R101" s="197"/>
      <c r="S101" s="197"/>
      <c r="T101" s="197"/>
      <c r="U101" s="197"/>
    </row>
    <row r="102" spans="1:33" s="12" customFormat="1" x14ac:dyDescent="0.25">
      <c r="A102" s="200" t="s">
        <v>3030</v>
      </c>
      <c r="B102" s="59">
        <v>3.37</v>
      </c>
      <c r="C102" s="59">
        <v>60.54</v>
      </c>
      <c r="D102" s="59">
        <v>37.86</v>
      </c>
      <c r="E102" s="59">
        <v>1.9</v>
      </c>
      <c r="F102" s="59">
        <v>7.4</v>
      </c>
      <c r="G102" s="59">
        <v>55.83</v>
      </c>
      <c r="H102" s="59">
        <v>27.77</v>
      </c>
      <c r="I102" s="59">
        <v>0.68</v>
      </c>
      <c r="J102" s="59">
        <v>1.31</v>
      </c>
      <c r="K102" s="59">
        <v>204.31</v>
      </c>
      <c r="L102" s="59">
        <v>23.3</v>
      </c>
      <c r="M102" s="59">
        <v>54.6</v>
      </c>
      <c r="N102" s="59">
        <v>5</v>
      </c>
      <c r="O102" s="59">
        <v>0</v>
      </c>
      <c r="P102" s="59">
        <v>0.87</v>
      </c>
      <c r="Q102" s="59">
        <v>37.26</v>
      </c>
      <c r="R102" s="197"/>
      <c r="S102" s="197"/>
      <c r="T102" s="197"/>
      <c r="U102" s="197"/>
    </row>
    <row r="103" spans="1:33" s="12" customFormat="1" x14ac:dyDescent="0.25">
      <c r="A103" s="200" t="s">
        <v>3031</v>
      </c>
      <c r="B103" s="59">
        <v>3.14</v>
      </c>
      <c r="C103" s="59">
        <v>43.63</v>
      </c>
      <c r="D103" s="59">
        <v>28.34</v>
      </c>
      <c r="E103" s="59">
        <v>1.64</v>
      </c>
      <c r="F103" s="59">
        <v>7.33</v>
      </c>
      <c r="G103" s="59">
        <v>27.88</v>
      </c>
      <c r="H103" s="59">
        <v>22</v>
      </c>
      <c r="I103" s="59">
        <v>0.64</v>
      </c>
      <c r="J103" s="59">
        <v>0.65</v>
      </c>
      <c r="K103" s="59">
        <v>222.53</v>
      </c>
      <c r="L103" s="59">
        <v>23.94</v>
      </c>
      <c r="M103" s="59">
        <v>47.24</v>
      </c>
      <c r="N103" s="59">
        <v>4.2</v>
      </c>
      <c r="O103" s="59">
        <v>0</v>
      </c>
      <c r="P103" s="59">
        <v>0.8</v>
      </c>
      <c r="Q103" s="59">
        <v>41.54</v>
      </c>
      <c r="R103" s="197"/>
      <c r="S103" s="197"/>
      <c r="T103" s="197"/>
      <c r="U103" s="197"/>
    </row>
    <row r="104" spans="1:33" s="12" customFormat="1" x14ac:dyDescent="0.25">
      <c r="A104" s="200" t="s">
        <v>3032</v>
      </c>
      <c r="B104" s="59">
        <v>3.2</v>
      </c>
      <c r="C104" s="59">
        <v>37.71</v>
      </c>
      <c r="D104" s="59">
        <v>25.12</v>
      </c>
      <c r="E104" s="59">
        <v>1.44</v>
      </c>
      <c r="F104" s="59">
        <v>12.58</v>
      </c>
      <c r="G104" s="59">
        <v>27.25</v>
      </c>
      <c r="H104" s="59">
        <v>22</v>
      </c>
      <c r="I104" s="59">
        <v>0.61</v>
      </c>
      <c r="J104" s="59">
        <v>0.52</v>
      </c>
      <c r="K104" s="59">
        <v>235.94</v>
      </c>
      <c r="L104" s="59">
        <v>24.13</v>
      </c>
      <c r="M104" s="59">
        <v>45.65</v>
      </c>
      <c r="N104" s="59">
        <v>4.8</v>
      </c>
      <c r="O104" s="59">
        <v>0</v>
      </c>
      <c r="P104" s="59">
        <v>0.71</v>
      </c>
      <c r="Q104" s="59">
        <v>39.19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3.14</v>
      </c>
      <c r="C106" s="66">
        <f>MIN(C9:C104)</f>
        <v>37.71</v>
      </c>
      <c r="D106" s="66">
        <f t="shared" ref="D106:Q106" si="0">MIN(D9:D104)</f>
        <v>25.12</v>
      </c>
      <c r="E106" s="66">
        <f t="shared" si="0"/>
        <v>1.44</v>
      </c>
      <c r="F106" s="66">
        <f t="shared" si="0"/>
        <v>2.78</v>
      </c>
      <c r="G106" s="66">
        <f t="shared" si="0"/>
        <v>27.25</v>
      </c>
      <c r="H106" s="66">
        <f t="shared" si="0"/>
        <v>15.74</v>
      </c>
      <c r="I106" s="66">
        <f t="shared" si="0"/>
        <v>0.55000000000000004</v>
      </c>
      <c r="J106" s="66">
        <f t="shared" si="0"/>
        <v>0.05</v>
      </c>
      <c r="K106" s="66">
        <f t="shared" si="0"/>
        <v>0.01</v>
      </c>
      <c r="L106" s="66">
        <f t="shared" si="0"/>
        <v>19.190000000000001</v>
      </c>
      <c r="M106" s="66">
        <f t="shared" si="0"/>
        <v>25.08</v>
      </c>
      <c r="N106" s="66">
        <f t="shared" si="0"/>
        <v>3.5</v>
      </c>
      <c r="O106" s="66">
        <f t="shared" si="0"/>
        <v>0</v>
      </c>
      <c r="P106" s="66">
        <f t="shared" si="0"/>
        <v>0.56000000000000005</v>
      </c>
      <c r="Q106" s="66">
        <f t="shared" si="0"/>
        <v>37.26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206.04</v>
      </c>
      <c r="C107" s="65">
        <f t="shared" ref="C107:Q107" si="1">MAX(C9:C104)</f>
        <v>82.29</v>
      </c>
      <c r="D107" s="65">
        <f t="shared" si="1"/>
        <v>212.18</v>
      </c>
      <c r="E107" s="65">
        <f t="shared" si="1"/>
        <v>25.93</v>
      </c>
      <c r="F107" s="65">
        <f t="shared" si="1"/>
        <v>37.49</v>
      </c>
      <c r="G107" s="65">
        <f t="shared" si="1"/>
        <v>232.07</v>
      </c>
      <c r="H107" s="65">
        <f t="shared" si="1"/>
        <v>81.48</v>
      </c>
      <c r="I107" s="65">
        <f t="shared" si="1"/>
        <v>2.0499999999999998</v>
      </c>
      <c r="J107" s="65">
        <f t="shared" si="1"/>
        <v>2.3199999999999998</v>
      </c>
      <c r="K107" s="65">
        <f t="shared" si="1"/>
        <v>359.39</v>
      </c>
      <c r="L107" s="65">
        <f t="shared" si="1"/>
        <v>35.86</v>
      </c>
      <c r="M107" s="65">
        <f t="shared" si="1"/>
        <v>64.53</v>
      </c>
      <c r="N107" s="65">
        <f t="shared" si="1"/>
        <v>835</v>
      </c>
      <c r="O107" s="65">
        <f t="shared" si="1"/>
        <v>0</v>
      </c>
      <c r="P107" s="65">
        <f t="shared" si="1"/>
        <v>4.01</v>
      </c>
      <c r="Q107" s="65">
        <f t="shared" si="1"/>
        <v>64.209999999999994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56.883125000000028</v>
      </c>
      <c r="C108" s="66">
        <f t="shared" ref="C108:Q108" si="2">AVERAGE(C9:C104)</f>
        <v>60.713750000000005</v>
      </c>
      <c r="D108" s="66">
        <f t="shared" si="2"/>
        <v>80.863854166666627</v>
      </c>
      <c r="E108" s="66">
        <f t="shared" si="2"/>
        <v>5.2053124999999989</v>
      </c>
      <c r="F108" s="66">
        <f t="shared" si="2"/>
        <v>8.1352083333333329</v>
      </c>
      <c r="G108" s="66">
        <f t="shared" si="2"/>
        <v>112.77437500000003</v>
      </c>
      <c r="H108" s="66">
        <f t="shared" si="2"/>
        <v>45.357916666666704</v>
      </c>
      <c r="I108" s="66">
        <f t="shared" si="2"/>
        <v>0.91458333333333341</v>
      </c>
      <c r="J108" s="66">
        <f t="shared" si="2"/>
        <v>0.61854166666666677</v>
      </c>
      <c r="K108" s="66">
        <f t="shared" si="2"/>
        <v>157.02395833333338</v>
      </c>
      <c r="L108" s="66">
        <f t="shared" si="2"/>
        <v>27.353958333333342</v>
      </c>
      <c r="M108" s="66">
        <f t="shared" si="2"/>
        <v>40.287500000000001</v>
      </c>
      <c r="N108" s="66">
        <f t="shared" si="2"/>
        <v>228.46874999999989</v>
      </c>
      <c r="O108" s="66">
        <f t="shared" si="2"/>
        <v>0</v>
      </c>
      <c r="P108" s="66">
        <f t="shared" si="2"/>
        <v>1.6694791666666664</v>
      </c>
      <c r="Q108" s="66">
        <f t="shared" si="2"/>
        <v>46.805000000000007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54.513341666102804</v>
      </c>
      <c r="C109" s="66">
        <f t="shared" ref="C109:Q109" si="3">STDEV(C9:C104)</f>
        <v>10.622178510822849</v>
      </c>
      <c r="D109" s="66">
        <f t="shared" si="3"/>
        <v>44.421987831295624</v>
      </c>
      <c r="E109" s="66">
        <f t="shared" si="3"/>
        <v>4.3560807960041084</v>
      </c>
      <c r="F109" s="66">
        <f t="shared" si="3"/>
        <v>6.177375695427318</v>
      </c>
      <c r="G109" s="66">
        <f t="shared" si="3"/>
        <v>62.853128931242331</v>
      </c>
      <c r="H109" s="66">
        <f t="shared" si="3"/>
        <v>21.263133101644314</v>
      </c>
      <c r="I109" s="66">
        <f t="shared" si="3"/>
        <v>0.34329952141462111</v>
      </c>
      <c r="J109" s="66">
        <f t="shared" si="3"/>
        <v>0.51560894844765659</v>
      </c>
      <c r="K109" s="66">
        <f t="shared" si="3"/>
        <v>127.93407605382389</v>
      </c>
      <c r="L109" s="66">
        <f t="shared" si="3"/>
        <v>5.2392378873601615</v>
      </c>
      <c r="M109" s="66">
        <f t="shared" si="3"/>
        <v>11.162902282490005</v>
      </c>
      <c r="N109" s="66">
        <f t="shared" si="3"/>
        <v>303.72453492996095</v>
      </c>
      <c r="O109" s="66">
        <f t="shared" si="3"/>
        <v>0</v>
      </c>
      <c r="P109" s="66">
        <f t="shared" si="3"/>
        <v>0.75020891096261944</v>
      </c>
      <c r="Q109" s="66">
        <f t="shared" si="3"/>
        <v>5.1831187522571831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F129" sqref="F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30-03-2023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243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3033</v>
      </c>
      <c r="B9" s="59">
        <v>3.43</v>
      </c>
      <c r="C9" s="59">
        <v>38.33</v>
      </c>
      <c r="D9" s="59">
        <v>25.65</v>
      </c>
      <c r="E9" s="59">
        <v>2.13</v>
      </c>
      <c r="F9" s="59">
        <v>10.83</v>
      </c>
      <c r="G9" s="59">
        <v>27.25</v>
      </c>
      <c r="H9" s="59">
        <v>22</v>
      </c>
      <c r="I9" s="59">
        <v>0.59</v>
      </c>
      <c r="J9" s="59">
        <v>0.63</v>
      </c>
      <c r="K9" s="59">
        <v>192.44</v>
      </c>
      <c r="L9" s="59">
        <v>24.03</v>
      </c>
      <c r="M9" s="59">
        <v>46.03</v>
      </c>
      <c r="N9" s="59">
        <v>5</v>
      </c>
      <c r="O9" s="59">
        <v>0</v>
      </c>
      <c r="P9" s="59">
        <v>0.71</v>
      </c>
      <c r="Q9" s="59">
        <v>38.159999999999997</v>
      </c>
      <c r="R9" s="197"/>
      <c r="S9" s="197"/>
      <c r="T9" s="197"/>
      <c r="U9" s="197"/>
    </row>
    <row r="10" spans="1:21" s="12" customFormat="1" x14ac:dyDescent="0.25">
      <c r="A10" s="200" t="s">
        <v>3034</v>
      </c>
      <c r="B10" s="59">
        <v>3.68</v>
      </c>
      <c r="C10" s="59">
        <v>39.04</v>
      </c>
      <c r="D10" s="59">
        <v>26.24</v>
      </c>
      <c r="E10" s="59">
        <v>2.57</v>
      </c>
      <c r="F10" s="59">
        <v>22.07</v>
      </c>
      <c r="G10" s="59">
        <v>27.25</v>
      </c>
      <c r="H10" s="59">
        <v>22</v>
      </c>
      <c r="I10" s="59">
        <v>0.57999999999999996</v>
      </c>
      <c r="J10" s="59">
        <v>0.13</v>
      </c>
      <c r="K10" s="59">
        <v>187.7</v>
      </c>
      <c r="L10" s="59">
        <v>24.08</v>
      </c>
      <c r="M10" s="59">
        <v>45.52</v>
      </c>
      <c r="N10" s="59">
        <v>5</v>
      </c>
      <c r="O10" s="59">
        <v>0</v>
      </c>
      <c r="P10" s="59">
        <v>0.57999999999999996</v>
      </c>
      <c r="Q10" s="59">
        <v>39.130000000000003</v>
      </c>
      <c r="R10" s="197"/>
      <c r="S10" s="197"/>
      <c r="T10" s="197"/>
      <c r="U10" s="197"/>
    </row>
    <row r="11" spans="1:21" s="12" customFormat="1" x14ac:dyDescent="0.25">
      <c r="A11" s="200" t="s">
        <v>3035</v>
      </c>
      <c r="B11" s="59">
        <v>3.94</v>
      </c>
      <c r="C11" s="59">
        <v>40.549999999999997</v>
      </c>
      <c r="D11" s="59">
        <v>27.28</v>
      </c>
      <c r="E11" s="59">
        <v>2.62</v>
      </c>
      <c r="F11" s="59">
        <v>16.68</v>
      </c>
      <c r="G11" s="59">
        <v>26.85</v>
      </c>
      <c r="H11" s="59">
        <v>19.14</v>
      </c>
      <c r="I11" s="59">
        <v>0.56999999999999995</v>
      </c>
      <c r="J11" s="59">
        <v>0.19</v>
      </c>
      <c r="K11" s="59">
        <v>209.21</v>
      </c>
      <c r="L11" s="59">
        <v>24.15</v>
      </c>
      <c r="M11" s="59">
        <v>45.58</v>
      </c>
      <c r="N11" s="59">
        <v>4.5</v>
      </c>
      <c r="O11" s="59">
        <v>0</v>
      </c>
      <c r="P11" s="59">
        <v>0.6</v>
      </c>
      <c r="Q11" s="59">
        <v>38.51</v>
      </c>
      <c r="R11" s="197"/>
      <c r="S11" s="197"/>
      <c r="T11" s="197"/>
      <c r="U11" s="197"/>
    </row>
    <row r="12" spans="1:21" s="12" customFormat="1" x14ac:dyDescent="0.25">
      <c r="A12" s="200" t="s">
        <v>3036</v>
      </c>
      <c r="B12" s="59">
        <v>4.3499999999999996</v>
      </c>
      <c r="C12" s="59">
        <v>45.86</v>
      </c>
      <c r="D12" s="59">
        <v>30.54</v>
      </c>
      <c r="E12" s="59">
        <v>2.82</v>
      </c>
      <c r="F12" s="59">
        <v>16.579999999999998</v>
      </c>
      <c r="G12" s="59">
        <v>26.85</v>
      </c>
      <c r="H12" s="59">
        <v>18.57</v>
      </c>
      <c r="I12" s="59">
        <v>0.55000000000000004</v>
      </c>
      <c r="J12" s="59">
        <v>0.21</v>
      </c>
      <c r="K12" s="59">
        <v>177.34</v>
      </c>
      <c r="L12" s="59">
        <v>24.04</v>
      </c>
      <c r="M12" s="59">
        <v>46.49</v>
      </c>
      <c r="N12" s="59">
        <v>4.5</v>
      </c>
      <c r="O12" s="59">
        <v>0</v>
      </c>
      <c r="P12" s="59">
        <v>0.6</v>
      </c>
      <c r="Q12" s="59">
        <v>39.15</v>
      </c>
      <c r="R12" s="197"/>
      <c r="S12" s="197"/>
      <c r="T12" s="197"/>
      <c r="U12" s="197"/>
    </row>
    <row r="13" spans="1:21" s="12" customFormat="1" x14ac:dyDescent="0.25">
      <c r="A13" s="200" t="s">
        <v>3037</v>
      </c>
      <c r="B13" s="59">
        <v>5.24</v>
      </c>
      <c r="C13" s="59">
        <v>50.13</v>
      </c>
      <c r="D13" s="59">
        <v>33.61</v>
      </c>
      <c r="E13" s="59">
        <v>2.48</v>
      </c>
      <c r="F13" s="59">
        <v>7.28</v>
      </c>
      <c r="G13" s="59">
        <v>26.85</v>
      </c>
      <c r="H13" s="59">
        <v>18.57</v>
      </c>
      <c r="I13" s="59">
        <v>0.55000000000000004</v>
      </c>
      <c r="J13" s="59">
        <v>0.76</v>
      </c>
      <c r="K13" s="59">
        <v>188.09</v>
      </c>
      <c r="L13" s="59">
        <v>24.17</v>
      </c>
      <c r="M13" s="59">
        <v>45.12</v>
      </c>
      <c r="N13" s="59">
        <v>3.8</v>
      </c>
      <c r="O13" s="59">
        <v>0</v>
      </c>
      <c r="P13" s="59">
        <v>0.65</v>
      </c>
      <c r="Q13" s="59">
        <v>38.369999999999997</v>
      </c>
      <c r="R13" s="197"/>
      <c r="S13" s="197"/>
      <c r="T13" s="197"/>
      <c r="U13" s="197"/>
    </row>
    <row r="14" spans="1:21" s="12" customFormat="1" x14ac:dyDescent="0.25">
      <c r="A14" s="200" t="s">
        <v>3038</v>
      </c>
      <c r="B14" s="59">
        <v>5.27</v>
      </c>
      <c r="C14" s="59">
        <v>47.76</v>
      </c>
      <c r="D14" s="59">
        <v>32.33</v>
      </c>
      <c r="E14" s="59">
        <v>2.5</v>
      </c>
      <c r="F14" s="59">
        <v>12.16</v>
      </c>
      <c r="G14" s="59">
        <v>26.85</v>
      </c>
      <c r="H14" s="59">
        <v>18.57</v>
      </c>
      <c r="I14" s="59">
        <v>0.56000000000000005</v>
      </c>
      <c r="J14" s="59">
        <v>0.64</v>
      </c>
      <c r="K14" s="59">
        <v>189.38</v>
      </c>
      <c r="L14" s="59">
        <v>24.08</v>
      </c>
      <c r="M14" s="59">
        <v>46.26</v>
      </c>
      <c r="N14" s="59">
        <v>4.5</v>
      </c>
      <c r="O14" s="59">
        <v>0</v>
      </c>
      <c r="P14" s="59">
        <v>0.62</v>
      </c>
      <c r="Q14" s="59">
        <v>39.229999999999997</v>
      </c>
      <c r="R14" s="197"/>
      <c r="S14" s="197"/>
      <c r="T14" s="197"/>
      <c r="U14" s="197"/>
    </row>
    <row r="15" spans="1:21" s="12" customFormat="1" x14ac:dyDescent="0.25">
      <c r="A15" s="200" t="s">
        <v>3039</v>
      </c>
      <c r="B15" s="59">
        <v>5.48</v>
      </c>
      <c r="C15" s="59">
        <v>49</v>
      </c>
      <c r="D15" s="59">
        <v>33.18</v>
      </c>
      <c r="E15" s="59">
        <v>2.04</v>
      </c>
      <c r="F15" s="59">
        <v>10.66</v>
      </c>
      <c r="G15" s="59">
        <v>19.07</v>
      </c>
      <c r="H15" s="59">
        <v>14.7</v>
      </c>
      <c r="I15" s="59">
        <v>0.56999999999999995</v>
      </c>
      <c r="J15" s="59">
        <v>0.28999999999999998</v>
      </c>
      <c r="K15" s="59">
        <v>193.18</v>
      </c>
      <c r="L15" s="59">
        <v>23.87</v>
      </c>
      <c r="M15" s="59">
        <v>47.55</v>
      </c>
      <c r="N15" s="59">
        <v>4.7</v>
      </c>
      <c r="O15" s="59">
        <v>0</v>
      </c>
      <c r="P15" s="59">
        <v>0.61</v>
      </c>
      <c r="Q15" s="59">
        <v>42.66</v>
      </c>
      <c r="R15" s="197"/>
      <c r="S15" s="197"/>
      <c r="T15" s="197"/>
      <c r="U15" s="197"/>
    </row>
    <row r="16" spans="1:21" s="12" customFormat="1" x14ac:dyDescent="0.25">
      <c r="A16" s="200" t="s">
        <v>3040</v>
      </c>
      <c r="B16" s="59">
        <v>5.01</v>
      </c>
      <c r="C16" s="59">
        <v>32.799999999999997</v>
      </c>
      <c r="D16" s="59">
        <v>23.86</v>
      </c>
      <c r="E16" s="59">
        <v>2.4300000000000002</v>
      </c>
      <c r="F16" s="59">
        <v>16.7</v>
      </c>
      <c r="G16" s="59">
        <v>18.899999999999999</v>
      </c>
      <c r="H16" s="59">
        <v>14.61</v>
      </c>
      <c r="I16" s="59">
        <v>0.59</v>
      </c>
      <c r="J16" s="59">
        <v>0.15</v>
      </c>
      <c r="K16" s="59">
        <v>200.18</v>
      </c>
      <c r="L16" s="59">
        <v>23.67</v>
      </c>
      <c r="M16" s="59">
        <v>48.26</v>
      </c>
      <c r="N16" s="59">
        <v>4.9000000000000004</v>
      </c>
      <c r="O16" s="59">
        <v>0</v>
      </c>
      <c r="P16" s="59">
        <v>0.56000000000000005</v>
      </c>
      <c r="Q16" s="59">
        <v>44.92</v>
      </c>
      <c r="R16" s="197"/>
      <c r="S16" s="197"/>
      <c r="T16" s="197"/>
      <c r="U16" s="197"/>
    </row>
    <row r="17" spans="1:21" s="12" customFormat="1" x14ac:dyDescent="0.25">
      <c r="A17" s="200" t="s">
        <v>3041</v>
      </c>
      <c r="B17" s="59">
        <v>4.8499999999999996</v>
      </c>
      <c r="C17" s="59">
        <v>28.63</v>
      </c>
      <c r="D17" s="59">
        <v>21.43</v>
      </c>
      <c r="E17" s="59">
        <v>2.34</v>
      </c>
      <c r="F17" s="59">
        <v>13.12</v>
      </c>
      <c r="G17" s="59">
        <v>18.899999999999999</v>
      </c>
      <c r="H17" s="59">
        <v>14.61</v>
      </c>
      <c r="I17" s="59">
        <v>0.56999999999999995</v>
      </c>
      <c r="J17" s="59">
        <v>0.25</v>
      </c>
      <c r="K17" s="59">
        <v>15.01</v>
      </c>
      <c r="L17" s="59">
        <v>23.34</v>
      </c>
      <c r="M17" s="59">
        <v>52.08</v>
      </c>
      <c r="N17" s="59">
        <v>5.4</v>
      </c>
      <c r="O17" s="59">
        <v>0</v>
      </c>
      <c r="P17" s="59">
        <v>0.55000000000000004</v>
      </c>
      <c r="Q17" s="59">
        <v>42.55</v>
      </c>
      <c r="R17" s="197"/>
      <c r="S17" s="197"/>
      <c r="T17" s="197"/>
      <c r="U17" s="197"/>
    </row>
    <row r="18" spans="1:21" s="12" customFormat="1" x14ac:dyDescent="0.25">
      <c r="A18" s="200" t="s">
        <v>3042</v>
      </c>
      <c r="B18" s="59">
        <v>6.41</v>
      </c>
      <c r="C18" s="59">
        <v>55.02</v>
      </c>
      <c r="D18" s="59">
        <v>37.25</v>
      </c>
      <c r="E18" s="59">
        <v>1.88</v>
      </c>
      <c r="F18" s="59">
        <v>7.34</v>
      </c>
      <c r="G18" s="59">
        <v>18.899999999999999</v>
      </c>
      <c r="H18" s="59">
        <v>14.61</v>
      </c>
      <c r="I18" s="59">
        <v>0.56000000000000005</v>
      </c>
      <c r="J18" s="59">
        <v>7.0000000000000007E-2</v>
      </c>
      <c r="K18" s="59">
        <v>333.72</v>
      </c>
      <c r="L18" s="59">
        <v>22.58</v>
      </c>
      <c r="M18" s="59">
        <v>54.49</v>
      </c>
      <c r="N18" s="59">
        <v>5.0999999999999996</v>
      </c>
      <c r="O18" s="59">
        <v>0</v>
      </c>
      <c r="P18" s="59">
        <v>0.56999999999999995</v>
      </c>
      <c r="Q18" s="59">
        <v>37.26</v>
      </c>
      <c r="R18" s="197"/>
      <c r="S18" s="197"/>
      <c r="T18" s="197"/>
      <c r="U18" s="197"/>
    </row>
    <row r="19" spans="1:21" s="12" customFormat="1" x14ac:dyDescent="0.25">
      <c r="A19" s="200" t="s">
        <v>3043</v>
      </c>
      <c r="B19" s="59">
        <v>5.33</v>
      </c>
      <c r="C19" s="59">
        <v>47.04</v>
      </c>
      <c r="D19" s="59">
        <v>31.97</v>
      </c>
      <c r="E19" s="59">
        <v>1.93</v>
      </c>
      <c r="F19" s="59">
        <v>9.44</v>
      </c>
      <c r="G19" s="59">
        <v>31.78</v>
      </c>
      <c r="H19" s="59">
        <v>15.31</v>
      </c>
      <c r="I19" s="59">
        <v>0.56000000000000005</v>
      </c>
      <c r="J19" s="59">
        <v>0.12</v>
      </c>
      <c r="K19" s="59">
        <v>334.7</v>
      </c>
      <c r="L19" s="59">
        <v>22.46</v>
      </c>
      <c r="M19" s="59">
        <v>55.13</v>
      </c>
      <c r="N19" s="59">
        <v>4.9000000000000004</v>
      </c>
      <c r="O19" s="59">
        <v>0</v>
      </c>
      <c r="P19" s="59">
        <v>0.56000000000000005</v>
      </c>
      <c r="Q19" s="59">
        <v>43.15</v>
      </c>
      <c r="R19" s="197"/>
      <c r="S19" s="197"/>
      <c r="T19" s="197"/>
      <c r="U19" s="197"/>
    </row>
    <row r="20" spans="1:21" s="12" customFormat="1" x14ac:dyDescent="0.25">
      <c r="A20" s="200" t="s">
        <v>3044</v>
      </c>
      <c r="B20" s="59">
        <v>5.95</v>
      </c>
      <c r="C20" s="59">
        <v>56.17</v>
      </c>
      <c r="D20" s="59">
        <v>37.51</v>
      </c>
      <c r="E20" s="59">
        <v>2.0699999999999998</v>
      </c>
      <c r="F20" s="59">
        <v>7.65</v>
      </c>
      <c r="G20" s="59">
        <v>32.08</v>
      </c>
      <c r="H20" s="59">
        <v>15.33</v>
      </c>
      <c r="I20" s="59">
        <v>0.56999999999999995</v>
      </c>
      <c r="J20" s="59">
        <v>0.25</v>
      </c>
      <c r="K20" s="59">
        <v>8.08</v>
      </c>
      <c r="L20" s="59">
        <v>22.48</v>
      </c>
      <c r="M20" s="59">
        <v>56.76</v>
      </c>
      <c r="N20" s="59">
        <v>5.0999999999999996</v>
      </c>
      <c r="O20" s="59">
        <v>0</v>
      </c>
      <c r="P20" s="59">
        <v>0.56000000000000005</v>
      </c>
      <c r="Q20" s="59">
        <v>37.78</v>
      </c>
      <c r="R20" s="197"/>
      <c r="S20" s="197"/>
      <c r="T20" s="197"/>
      <c r="U20" s="197"/>
    </row>
    <row r="21" spans="1:21" s="12" customFormat="1" x14ac:dyDescent="0.25">
      <c r="A21" s="200" t="s">
        <v>3045</v>
      </c>
      <c r="B21" s="59">
        <v>5.92</v>
      </c>
      <c r="C21" s="59">
        <v>44.59</v>
      </c>
      <c r="D21" s="59">
        <v>31.09</v>
      </c>
      <c r="E21" s="59">
        <v>2.29</v>
      </c>
      <c r="F21" s="59">
        <v>8.89</v>
      </c>
      <c r="G21" s="59">
        <v>32.08</v>
      </c>
      <c r="H21" s="59">
        <v>15.33</v>
      </c>
      <c r="I21" s="59">
        <v>0.56000000000000005</v>
      </c>
      <c r="J21" s="59">
        <v>0.22</v>
      </c>
      <c r="K21" s="59">
        <v>11.43</v>
      </c>
      <c r="L21" s="59">
        <v>22.24</v>
      </c>
      <c r="M21" s="59">
        <v>56.55</v>
      </c>
      <c r="N21" s="59">
        <v>4.8</v>
      </c>
      <c r="O21" s="59">
        <v>0</v>
      </c>
      <c r="P21" s="59">
        <v>0.56000000000000005</v>
      </c>
      <c r="Q21" s="59">
        <v>43.21</v>
      </c>
      <c r="R21" s="197"/>
      <c r="S21" s="197"/>
      <c r="T21" s="197"/>
      <c r="U21" s="197"/>
    </row>
    <row r="22" spans="1:21" s="12" customFormat="1" x14ac:dyDescent="0.25">
      <c r="A22" s="200" t="s">
        <v>3046</v>
      </c>
      <c r="B22" s="59">
        <v>6.43</v>
      </c>
      <c r="C22" s="59">
        <v>35.950000000000003</v>
      </c>
      <c r="D22" s="59">
        <v>26.73</v>
      </c>
      <c r="E22" s="59">
        <v>1.91</v>
      </c>
      <c r="F22" s="59">
        <v>4.7</v>
      </c>
      <c r="G22" s="59">
        <v>32.08</v>
      </c>
      <c r="H22" s="59">
        <v>15.33</v>
      </c>
      <c r="I22" s="59">
        <v>0.56999999999999995</v>
      </c>
      <c r="J22" s="59">
        <v>0.44</v>
      </c>
      <c r="K22" s="59">
        <v>3.09</v>
      </c>
      <c r="L22" s="59">
        <v>22.34</v>
      </c>
      <c r="M22" s="59">
        <v>55.49</v>
      </c>
      <c r="N22" s="59">
        <v>4.5</v>
      </c>
      <c r="O22" s="59">
        <v>0</v>
      </c>
      <c r="P22" s="59">
        <v>0.56999999999999995</v>
      </c>
      <c r="Q22" s="59">
        <v>39.57</v>
      </c>
      <c r="R22" s="197"/>
      <c r="S22" s="197"/>
      <c r="T22" s="197"/>
      <c r="U22" s="197"/>
    </row>
    <row r="23" spans="1:21" s="12" customFormat="1" x14ac:dyDescent="0.25">
      <c r="A23" s="200" t="s">
        <v>3047</v>
      </c>
      <c r="B23" s="59">
        <v>6.61</v>
      </c>
      <c r="C23" s="59">
        <v>36.81</v>
      </c>
      <c r="D23" s="59">
        <v>27.36</v>
      </c>
      <c r="E23" s="59">
        <v>2.16</v>
      </c>
      <c r="F23" s="59">
        <v>4.93</v>
      </c>
      <c r="G23" s="59">
        <v>25.71</v>
      </c>
      <c r="H23" s="59">
        <v>14.1</v>
      </c>
      <c r="I23" s="59">
        <v>0.55000000000000004</v>
      </c>
      <c r="J23" s="59">
        <v>0.34</v>
      </c>
      <c r="K23" s="59">
        <v>355.29</v>
      </c>
      <c r="L23" s="59">
        <v>22.08</v>
      </c>
      <c r="M23" s="59">
        <v>57.14</v>
      </c>
      <c r="N23" s="59">
        <v>4.8</v>
      </c>
      <c r="O23" s="59">
        <v>0</v>
      </c>
      <c r="P23" s="59">
        <v>0.56000000000000005</v>
      </c>
      <c r="Q23" s="59">
        <v>38.29</v>
      </c>
      <c r="R23" s="197"/>
      <c r="S23" s="197"/>
      <c r="T23" s="197"/>
      <c r="U23" s="197"/>
    </row>
    <row r="24" spans="1:21" s="12" customFormat="1" x14ac:dyDescent="0.25">
      <c r="A24" s="200" t="s">
        <v>3048</v>
      </c>
      <c r="B24" s="59">
        <v>6.38</v>
      </c>
      <c r="C24" s="59">
        <v>39.119999999999997</v>
      </c>
      <c r="D24" s="59">
        <v>28.44</v>
      </c>
      <c r="E24" s="59">
        <v>1.02</v>
      </c>
      <c r="F24" s="59">
        <v>11.19</v>
      </c>
      <c r="G24" s="59">
        <v>25.56</v>
      </c>
      <c r="H24" s="59">
        <v>14.07</v>
      </c>
      <c r="I24" s="59">
        <v>0.56999999999999995</v>
      </c>
      <c r="J24" s="59">
        <v>0.01</v>
      </c>
      <c r="K24" s="59">
        <v>187.87</v>
      </c>
      <c r="L24" s="59">
        <v>22.19</v>
      </c>
      <c r="M24" s="59">
        <v>55.54</v>
      </c>
      <c r="N24" s="59">
        <v>4.7</v>
      </c>
      <c r="O24" s="59">
        <v>0</v>
      </c>
      <c r="P24" s="59">
        <v>0.51</v>
      </c>
      <c r="Q24" s="59">
        <v>37.93</v>
      </c>
      <c r="R24" s="197"/>
      <c r="S24" s="197"/>
      <c r="T24" s="197"/>
      <c r="U24" s="197"/>
    </row>
    <row r="25" spans="1:21" s="12" customFormat="1" x14ac:dyDescent="0.25">
      <c r="A25" s="200" t="s">
        <v>3049</v>
      </c>
      <c r="B25" s="59">
        <v>7.24</v>
      </c>
      <c r="C25" s="59">
        <v>44.56</v>
      </c>
      <c r="D25" s="59">
        <v>32.14</v>
      </c>
      <c r="E25" s="59">
        <v>1.56</v>
      </c>
      <c r="F25" s="59">
        <v>8.9499999999999993</v>
      </c>
      <c r="G25" s="59">
        <v>25.56</v>
      </c>
      <c r="H25" s="59">
        <v>14.07</v>
      </c>
      <c r="I25" s="59">
        <v>0.56000000000000005</v>
      </c>
      <c r="J25" s="59">
        <v>0.19</v>
      </c>
      <c r="K25" s="59">
        <v>275.57</v>
      </c>
      <c r="L25" s="59">
        <v>22.3</v>
      </c>
      <c r="M25" s="59">
        <v>54.94</v>
      </c>
      <c r="N25" s="59">
        <v>4.3</v>
      </c>
      <c r="O25" s="59">
        <v>0</v>
      </c>
      <c r="P25" s="59">
        <v>0.53</v>
      </c>
      <c r="Q25" s="59">
        <v>38.33</v>
      </c>
      <c r="R25" s="197"/>
      <c r="S25" s="197"/>
      <c r="T25" s="197"/>
      <c r="U25" s="197"/>
    </row>
    <row r="26" spans="1:21" s="12" customFormat="1" x14ac:dyDescent="0.25">
      <c r="A26" s="200" t="s">
        <v>3050</v>
      </c>
      <c r="B26" s="59">
        <v>7.13</v>
      </c>
      <c r="C26" s="59">
        <v>46.27</v>
      </c>
      <c r="D26" s="59">
        <v>33</v>
      </c>
      <c r="E26" s="59">
        <v>1.4</v>
      </c>
      <c r="F26" s="59">
        <v>8.58</v>
      </c>
      <c r="G26" s="59">
        <v>25.56</v>
      </c>
      <c r="H26" s="59">
        <v>14.07</v>
      </c>
      <c r="I26" s="59">
        <v>0.54</v>
      </c>
      <c r="J26" s="59">
        <v>0.39</v>
      </c>
      <c r="K26" s="59">
        <v>202.69</v>
      </c>
      <c r="L26" s="59">
        <v>22.16</v>
      </c>
      <c r="M26" s="59">
        <v>56.36</v>
      </c>
      <c r="N26" s="59">
        <v>4.5999999999999996</v>
      </c>
      <c r="O26" s="59">
        <v>0</v>
      </c>
      <c r="P26" s="59">
        <v>0.53</v>
      </c>
      <c r="Q26" s="59">
        <v>38.94</v>
      </c>
      <c r="R26" s="197"/>
      <c r="S26" s="197"/>
      <c r="T26" s="197"/>
      <c r="U26" s="197"/>
    </row>
    <row r="27" spans="1:21" s="12" customFormat="1" x14ac:dyDescent="0.25">
      <c r="A27" s="200" t="s">
        <v>3051</v>
      </c>
      <c r="B27" s="59">
        <v>8.7899999999999991</v>
      </c>
      <c r="C27" s="59">
        <v>47.31</v>
      </c>
      <c r="D27" s="59">
        <v>34.9</v>
      </c>
      <c r="E27" s="59">
        <v>1.72</v>
      </c>
      <c r="F27" s="59">
        <v>6.85</v>
      </c>
      <c r="G27" s="59">
        <v>18</v>
      </c>
      <c r="H27" s="59">
        <v>12.45</v>
      </c>
      <c r="I27" s="59">
        <v>0.56000000000000005</v>
      </c>
      <c r="J27" s="59">
        <v>7.0000000000000007E-2</v>
      </c>
      <c r="K27" s="59">
        <v>22.7</v>
      </c>
      <c r="L27" s="59">
        <v>21.66</v>
      </c>
      <c r="M27" s="59">
        <v>60.23</v>
      </c>
      <c r="N27" s="59">
        <v>5.2</v>
      </c>
      <c r="O27" s="59">
        <v>0</v>
      </c>
      <c r="P27" s="59">
        <v>0.54</v>
      </c>
      <c r="Q27" s="59">
        <v>38.22</v>
      </c>
      <c r="R27" s="197"/>
      <c r="S27" s="197"/>
      <c r="T27" s="197"/>
      <c r="U27" s="197"/>
    </row>
    <row r="28" spans="1:21" s="12" customFormat="1" x14ac:dyDescent="0.25">
      <c r="A28" s="200" t="s">
        <v>3052</v>
      </c>
      <c r="B28" s="59">
        <v>10.5</v>
      </c>
      <c r="C28" s="59">
        <v>50.07</v>
      </c>
      <c r="D28" s="59">
        <v>37.79</v>
      </c>
      <c r="E28" s="59">
        <v>1.97</v>
      </c>
      <c r="F28" s="59">
        <v>6.06</v>
      </c>
      <c r="G28" s="59">
        <v>17.829999999999998</v>
      </c>
      <c r="H28" s="59">
        <v>12.36</v>
      </c>
      <c r="I28" s="59">
        <v>0.56000000000000005</v>
      </c>
      <c r="J28" s="59">
        <v>0.08</v>
      </c>
      <c r="K28" s="59">
        <v>277.49</v>
      </c>
      <c r="L28" s="59">
        <v>21.19</v>
      </c>
      <c r="M28" s="59">
        <v>62.2</v>
      </c>
      <c r="N28" s="59">
        <v>4.9000000000000004</v>
      </c>
      <c r="O28" s="59">
        <v>0</v>
      </c>
      <c r="P28" s="59">
        <v>0.56000000000000005</v>
      </c>
      <c r="Q28" s="59">
        <v>39.06</v>
      </c>
      <c r="R28" s="197"/>
      <c r="S28" s="197"/>
      <c r="T28" s="197"/>
      <c r="U28" s="197"/>
    </row>
    <row r="29" spans="1:21" s="12" customFormat="1" x14ac:dyDescent="0.25">
      <c r="A29" s="200" t="s">
        <v>3053</v>
      </c>
      <c r="B29" s="59">
        <v>9.34</v>
      </c>
      <c r="C29" s="59">
        <v>44.26</v>
      </c>
      <c r="D29" s="59">
        <v>33.659999999999997</v>
      </c>
      <c r="E29" s="59">
        <v>2.0499999999999998</v>
      </c>
      <c r="F29" s="59">
        <v>5.81</v>
      </c>
      <c r="G29" s="59">
        <v>17.829999999999998</v>
      </c>
      <c r="H29" s="59">
        <v>12.36</v>
      </c>
      <c r="I29" s="59">
        <v>0.57999999999999996</v>
      </c>
      <c r="J29" s="59">
        <v>7.0000000000000007E-2</v>
      </c>
      <c r="K29" s="59">
        <v>325.52999999999997</v>
      </c>
      <c r="L29" s="59">
        <v>21.65</v>
      </c>
      <c r="M29" s="59">
        <v>59.87</v>
      </c>
      <c r="N29" s="59">
        <v>4.5999999999999996</v>
      </c>
      <c r="O29" s="59">
        <v>0</v>
      </c>
      <c r="P29" s="59">
        <v>0.56999999999999995</v>
      </c>
      <c r="Q29" s="59">
        <v>43.21</v>
      </c>
      <c r="R29" s="197"/>
      <c r="S29" s="197"/>
      <c r="T29" s="197"/>
      <c r="U29" s="197"/>
    </row>
    <row r="30" spans="1:21" s="12" customFormat="1" x14ac:dyDescent="0.25">
      <c r="A30" s="200" t="s">
        <v>3054</v>
      </c>
      <c r="B30" s="59">
        <v>13.85</v>
      </c>
      <c r="C30" s="59">
        <v>36.78</v>
      </c>
      <c r="D30" s="59">
        <v>33.15</v>
      </c>
      <c r="E30" s="59">
        <v>2.0699999999999998</v>
      </c>
      <c r="F30" s="59">
        <v>4.8099999999999996</v>
      </c>
      <c r="G30" s="59">
        <v>17.829999999999998</v>
      </c>
      <c r="H30" s="59">
        <v>12.36</v>
      </c>
      <c r="I30" s="59">
        <v>0.57999999999999996</v>
      </c>
      <c r="J30" s="59">
        <v>0.19</v>
      </c>
      <c r="K30" s="59">
        <v>75.03</v>
      </c>
      <c r="L30" s="59">
        <v>21.46</v>
      </c>
      <c r="M30" s="59">
        <v>61.99</v>
      </c>
      <c r="N30" s="59">
        <v>4.7</v>
      </c>
      <c r="O30" s="59">
        <v>0</v>
      </c>
      <c r="P30" s="59">
        <v>0.61</v>
      </c>
      <c r="Q30" s="59">
        <v>44.69</v>
      </c>
      <c r="R30" s="197"/>
      <c r="S30" s="197"/>
      <c r="T30" s="197"/>
      <c r="U30" s="197"/>
    </row>
    <row r="31" spans="1:21" s="12" customFormat="1" x14ac:dyDescent="0.25">
      <c r="A31" s="200" t="s">
        <v>3055</v>
      </c>
      <c r="B31" s="59">
        <v>13.38</v>
      </c>
      <c r="C31" s="59">
        <v>43.79</v>
      </c>
      <c r="D31" s="59">
        <v>36.64</v>
      </c>
      <c r="E31" s="59">
        <v>2.06</v>
      </c>
      <c r="F31" s="59">
        <v>4.1399999999999997</v>
      </c>
      <c r="G31" s="59">
        <v>38.25</v>
      </c>
      <c r="H31" s="59">
        <v>14.03</v>
      </c>
      <c r="I31" s="59">
        <v>0.56999999999999995</v>
      </c>
      <c r="J31" s="59">
        <v>0.06</v>
      </c>
      <c r="K31" s="59">
        <v>44.95</v>
      </c>
      <c r="L31" s="59">
        <v>21.45</v>
      </c>
      <c r="M31" s="59">
        <v>61.68</v>
      </c>
      <c r="N31" s="59">
        <v>5.2</v>
      </c>
      <c r="O31" s="59">
        <v>0</v>
      </c>
      <c r="P31" s="59">
        <v>0.62</v>
      </c>
      <c r="Q31" s="59">
        <v>39.57</v>
      </c>
      <c r="R31" s="197"/>
      <c r="S31" s="197"/>
      <c r="T31" s="197"/>
      <c r="U31" s="197"/>
    </row>
    <row r="32" spans="1:21" s="12" customFormat="1" x14ac:dyDescent="0.25">
      <c r="A32" s="200" t="s">
        <v>3056</v>
      </c>
      <c r="B32" s="59">
        <v>14.53</v>
      </c>
      <c r="C32" s="59">
        <v>39.74</v>
      </c>
      <c r="D32" s="59">
        <v>35.33</v>
      </c>
      <c r="E32" s="59">
        <v>1.94</v>
      </c>
      <c r="F32" s="59">
        <v>4.5</v>
      </c>
      <c r="G32" s="59">
        <v>38.72</v>
      </c>
      <c r="H32" s="59">
        <v>14.28</v>
      </c>
      <c r="I32" s="59">
        <v>0.56000000000000005</v>
      </c>
      <c r="J32" s="59">
        <v>0.28999999999999998</v>
      </c>
      <c r="K32" s="59">
        <v>38.380000000000003</v>
      </c>
      <c r="L32" s="59">
        <v>21.37</v>
      </c>
      <c r="M32" s="59">
        <v>63.1</v>
      </c>
      <c r="N32" s="59">
        <v>7.7</v>
      </c>
      <c r="O32" s="59">
        <v>0</v>
      </c>
      <c r="P32" s="59">
        <v>0.64</v>
      </c>
      <c r="Q32" s="59">
        <v>43.77</v>
      </c>
      <c r="R32" s="197"/>
      <c r="S32" s="197"/>
      <c r="T32" s="197"/>
      <c r="U32" s="197"/>
    </row>
    <row r="33" spans="1:21" s="12" customFormat="1" x14ac:dyDescent="0.25">
      <c r="A33" s="200" t="s">
        <v>3057</v>
      </c>
      <c r="B33" s="59">
        <v>17.61</v>
      </c>
      <c r="C33" s="59">
        <v>54.25</v>
      </c>
      <c r="D33" s="59">
        <v>45.8</v>
      </c>
      <c r="E33" s="59">
        <v>2.02</v>
      </c>
      <c r="F33" s="59">
        <v>4.26</v>
      </c>
      <c r="G33" s="59">
        <v>38.72</v>
      </c>
      <c r="H33" s="59">
        <v>14.28</v>
      </c>
      <c r="I33" s="59">
        <v>0.56000000000000005</v>
      </c>
      <c r="J33" s="59">
        <v>0.09</v>
      </c>
      <c r="K33" s="59">
        <v>132.07</v>
      </c>
      <c r="L33" s="59">
        <v>21.27</v>
      </c>
      <c r="M33" s="59">
        <v>62.14</v>
      </c>
      <c r="N33" s="59">
        <v>19.399999999999999</v>
      </c>
      <c r="O33" s="59">
        <v>0</v>
      </c>
      <c r="P33" s="59">
        <v>0.65</v>
      </c>
      <c r="Q33" s="59">
        <v>38.130000000000003</v>
      </c>
      <c r="R33" s="197"/>
      <c r="S33" s="197"/>
      <c r="T33" s="197"/>
      <c r="U33" s="197"/>
    </row>
    <row r="34" spans="1:21" s="12" customFormat="1" x14ac:dyDescent="0.25">
      <c r="A34" s="200" t="s">
        <v>3058</v>
      </c>
      <c r="B34" s="59">
        <v>18.899999999999999</v>
      </c>
      <c r="C34" s="59">
        <v>45.66</v>
      </c>
      <c r="D34" s="59">
        <v>42.1</v>
      </c>
      <c r="E34" s="59">
        <v>2.74</v>
      </c>
      <c r="F34" s="59">
        <v>5.56</v>
      </c>
      <c r="G34" s="59">
        <v>38.72</v>
      </c>
      <c r="H34" s="59">
        <v>14.28</v>
      </c>
      <c r="I34" s="59">
        <v>0.57999999999999996</v>
      </c>
      <c r="J34" s="59">
        <v>0.06</v>
      </c>
      <c r="K34" s="59">
        <v>258.17</v>
      </c>
      <c r="L34" s="59">
        <v>21.7</v>
      </c>
      <c r="M34" s="59">
        <v>61.11</v>
      </c>
      <c r="N34" s="59">
        <v>41.3</v>
      </c>
      <c r="O34" s="59">
        <v>0</v>
      </c>
      <c r="P34" s="59">
        <v>0.67</v>
      </c>
      <c r="Q34" s="59">
        <v>43.78</v>
      </c>
      <c r="R34" s="197"/>
      <c r="S34" s="197"/>
      <c r="T34" s="197"/>
      <c r="U34" s="197"/>
    </row>
    <row r="35" spans="1:21" s="12" customFormat="1" x14ac:dyDescent="0.25">
      <c r="A35" s="200" t="s">
        <v>3059</v>
      </c>
      <c r="B35" s="59">
        <v>20.59</v>
      </c>
      <c r="C35" s="59">
        <v>59.49</v>
      </c>
      <c r="D35" s="59">
        <v>51.09</v>
      </c>
      <c r="E35" s="59">
        <v>2.37</v>
      </c>
      <c r="F35" s="59">
        <v>3.92</v>
      </c>
      <c r="G35" s="59">
        <v>52.81</v>
      </c>
      <c r="H35" s="59">
        <v>16.649999999999999</v>
      </c>
      <c r="I35" s="59">
        <v>0.59</v>
      </c>
      <c r="J35" s="59">
        <v>0.04</v>
      </c>
      <c r="K35" s="59">
        <v>348.61</v>
      </c>
      <c r="L35" s="59">
        <v>22.34</v>
      </c>
      <c r="M35" s="59">
        <v>62.23</v>
      </c>
      <c r="N35" s="59">
        <v>71.599999999999994</v>
      </c>
      <c r="O35" s="59">
        <v>0</v>
      </c>
      <c r="P35" s="59">
        <v>0.73</v>
      </c>
      <c r="Q35" s="59">
        <v>37.159999999999997</v>
      </c>
      <c r="R35" s="197"/>
      <c r="S35" s="197"/>
      <c r="T35" s="197"/>
      <c r="U35" s="197"/>
    </row>
    <row r="36" spans="1:21" s="12" customFormat="1" x14ac:dyDescent="0.25">
      <c r="A36" s="200" t="s">
        <v>3060</v>
      </c>
      <c r="B36" s="59">
        <v>21.36</v>
      </c>
      <c r="C36" s="59">
        <v>45.29</v>
      </c>
      <c r="D36" s="59">
        <v>43.87</v>
      </c>
      <c r="E36" s="59">
        <v>2.0299999999999998</v>
      </c>
      <c r="F36" s="59">
        <v>3.11</v>
      </c>
      <c r="G36" s="59">
        <v>53.13</v>
      </c>
      <c r="H36" s="59">
        <v>16.649999999999999</v>
      </c>
      <c r="I36" s="59">
        <v>0.59</v>
      </c>
      <c r="J36" s="59">
        <v>0.47</v>
      </c>
      <c r="K36" s="59">
        <v>243.88</v>
      </c>
      <c r="L36" s="59">
        <v>23.05</v>
      </c>
      <c r="M36" s="59">
        <v>58.22</v>
      </c>
      <c r="N36" s="59">
        <v>110.7</v>
      </c>
      <c r="O36" s="59">
        <v>0</v>
      </c>
      <c r="P36" s="59">
        <v>0.72</v>
      </c>
      <c r="Q36" s="59">
        <v>41.89</v>
      </c>
      <c r="R36" s="197"/>
      <c r="S36" s="197"/>
      <c r="T36" s="197"/>
      <c r="U36" s="197"/>
    </row>
    <row r="37" spans="1:21" s="12" customFormat="1" x14ac:dyDescent="0.25">
      <c r="A37" s="200" t="s">
        <v>3061</v>
      </c>
      <c r="B37" s="59">
        <v>20</v>
      </c>
      <c r="C37" s="59">
        <v>44.2</v>
      </c>
      <c r="D37" s="59">
        <v>42.18</v>
      </c>
      <c r="E37" s="59">
        <v>2.06</v>
      </c>
      <c r="F37" s="59">
        <v>3.56</v>
      </c>
      <c r="G37" s="59">
        <v>53.13</v>
      </c>
      <c r="H37" s="59">
        <v>16.649999999999999</v>
      </c>
      <c r="I37" s="59">
        <v>0.61</v>
      </c>
      <c r="J37" s="59">
        <v>0.63</v>
      </c>
      <c r="K37" s="59">
        <v>203.28</v>
      </c>
      <c r="L37" s="59">
        <v>23.19</v>
      </c>
      <c r="M37" s="59">
        <v>59.11</v>
      </c>
      <c r="N37" s="59">
        <v>154.1</v>
      </c>
      <c r="O37" s="59">
        <v>0</v>
      </c>
      <c r="P37" s="59">
        <v>0.7</v>
      </c>
      <c r="Q37" s="59">
        <v>39.5</v>
      </c>
      <c r="R37" s="197"/>
      <c r="S37" s="197"/>
      <c r="T37" s="197"/>
      <c r="U37" s="197"/>
    </row>
    <row r="38" spans="1:21" s="12" customFormat="1" x14ac:dyDescent="0.25">
      <c r="A38" s="200" t="s">
        <v>3062</v>
      </c>
      <c r="B38" s="59">
        <v>19.37</v>
      </c>
      <c r="C38" s="59">
        <v>48.09</v>
      </c>
      <c r="D38" s="59">
        <v>43.81</v>
      </c>
      <c r="E38" s="59">
        <v>3.19</v>
      </c>
      <c r="F38" s="59">
        <v>5.4</v>
      </c>
      <c r="G38" s="59">
        <v>53.13</v>
      </c>
      <c r="H38" s="59">
        <v>16.649999999999999</v>
      </c>
      <c r="I38" s="59">
        <v>0.6</v>
      </c>
      <c r="J38" s="59">
        <v>0.23</v>
      </c>
      <c r="K38" s="59">
        <v>193.72</v>
      </c>
      <c r="L38" s="59">
        <v>24.41</v>
      </c>
      <c r="M38" s="59">
        <v>54.57</v>
      </c>
      <c r="N38" s="59">
        <v>199.2</v>
      </c>
      <c r="O38" s="59">
        <v>0</v>
      </c>
      <c r="P38" s="59">
        <v>0.79</v>
      </c>
      <c r="Q38" s="59">
        <v>40.25</v>
      </c>
      <c r="R38" s="197"/>
      <c r="S38" s="197"/>
      <c r="T38" s="197"/>
      <c r="U38" s="197"/>
    </row>
    <row r="39" spans="1:21" s="12" customFormat="1" x14ac:dyDescent="0.25">
      <c r="A39" s="200" t="s">
        <v>3063</v>
      </c>
      <c r="B39" s="59">
        <v>19.649999999999999</v>
      </c>
      <c r="C39" s="59">
        <v>47.74</v>
      </c>
      <c r="D39" s="59">
        <v>43.84</v>
      </c>
      <c r="E39" s="59">
        <v>4.1100000000000003</v>
      </c>
      <c r="F39" s="59">
        <v>7.24</v>
      </c>
      <c r="G39" s="59">
        <v>68.209999999999994</v>
      </c>
      <c r="H39" s="59">
        <v>20.53</v>
      </c>
      <c r="I39" s="59">
        <v>0.59</v>
      </c>
      <c r="J39" s="59">
        <v>0.34</v>
      </c>
      <c r="K39" s="59">
        <v>186.11</v>
      </c>
      <c r="L39" s="59">
        <v>25.63</v>
      </c>
      <c r="M39" s="59">
        <v>50.12</v>
      </c>
      <c r="N39" s="59">
        <v>246</v>
      </c>
      <c r="O39" s="59">
        <v>0</v>
      </c>
      <c r="P39" s="59">
        <v>0.79</v>
      </c>
      <c r="Q39" s="59">
        <v>40.42</v>
      </c>
      <c r="R39" s="197"/>
      <c r="S39" s="197"/>
      <c r="T39" s="197"/>
      <c r="U39" s="197"/>
    </row>
    <row r="40" spans="1:21" s="12" customFormat="1" x14ac:dyDescent="0.25">
      <c r="A40" s="200" t="s">
        <v>3064</v>
      </c>
      <c r="B40" s="59">
        <v>18.27</v>
      </c>
      <c r="C40" s="59">
        <v>47.48</v>
      </c>
      <c r="D40" s="59">
        <v>42.6</v>
      </c>
      <c r="E40" s="59">
        <v>2.85</v>
      </c>
      <c r="F40" s="59">
        <v>9.51</v>
      </c>
      <c r="G40" s="59">
        <v>68.55</v>
      </c>
      <c r="H40" s="59">
        <v>20.62</v>
      </c>
      <c r="I40" s="59">
        <v>0.59</v>
      </c>
      <c r="J40" s="59">
        <v>0.63</v>
      </c>
      <c r="K40" s="59">
        <v>191.9</v>
      </c>
      <c r="L40" s="59">
        <v>26.12</v>
      </c>
      <c r="M40" s="59">
        <v>48.66</v>
      </c>
      <c r="N40" s="59">
        <v>303.8</v>
      </c>
      <c r="O40" s="59">
        <v>0</v>
      </c>
      <c r="P40" s="59">
        <v>0.77</v>
      </c>
      <c r="Q40" s="59">
        <v>41.24</v>
      </c>
      <c r="R40" s="197"/>
      <c r="S40" s="197"/>
      <c r="T40" s="197"/>
      <c r="U40" s="197"/>
    </row>
    <row r="41" spans="1:21" s="12" customFormat="1" x14ac:dyDescent="0.25">
      <c r="A41" s="200" t="s">
        <v>3065</v>
      </c>
      <c r="B41" s="59">
        <v>18.010000000000002</v>
      </c>
      <c r="C41" s="59">
        <v>50.79</v>
      </c>
      <c r="D41" s="59">
        <v>44.22</v>
      </c>
      <c r="E41" s="59">
        <v>3.47</v>
      </c>
      <c r="F41" s="59">
        <v>8.7899999999999991</v>
      </c>
      <c r="G41" s="59">
        <v>68.55</v>
      </c>
      <c r="H41" s="59">
        <v>20.62</v>
      </c>
      <c r="I41" s="59">
        <v>0.56999999999999995</v>
      </c>
      <c r="J41" s="59">
        <v>1.05</v>
      </c>
      <c r="K41" s="59">
        <v>123.24</v>
      </c>
      <c r="L41" s="59">
        <v>25.94</v>
      </c>
      <c r="M41" s="59">
        <v>48.43</v>
      </c>
      <c r="N41" s="59">
        <v>358</v>
      </c>
      <c r="O41" s="59">
        <v>0</v>
      </c>
      <c r="P41" s="59">
        <v>0.76</v>
      </c>
      <c r="Q41" s="59">
        <v>41.26</v>
      </c>
      <c r="R41" s="197"/>
      <c r="S41" s="197"/>
      <c r="T41" s="197"/>
      <c r="U41" s="197"/>
    </row>
    <row r="42" spans="1:21" s="12" customFormat="1" x14ac:dyDescent="0.25">
      <c r="A42" s="200" t="s">
        <v>3066</v>
      </c>
      <c r="B42" s="59">
        <v>18.170000000000002</v>
      </c>
      <c r="C42" s="59">
        <v>53.73</v>
      </c>
      <c r="D42" s="59">
        <v>45.97</v>
      </c>
      <c r="E42" s="59">
        <v>3.21</v>
      </c>
      <c r="F42" s="59">
        <v>6.47</v>
      </c>
      <c r="G42" s="59">
        <v>68.55</v>
      </c>
      <c r="H42" s="59">
        <v>20.62</v>
      </c>
      <c r="I42" s="59">
        <v>0.57999999999999996</v>
      </c>
      <c r="J42" s="59">
        <v>1.27</v>
      </c>
      <c r="K42" s="59">
        <v>126.08</v>
      </c>
      <c r="L42" s="59">
        <v>26.05</v>
      </c>
      <c r="M42" s="59">
        <v>46.98</v>
      </c>
      <c r="N42" s="59">
        <v>408</v>
      </c>
      <c r="O42" s="59">
        <v>0</v>
      </c>
      <c r="P42" s="59">
        <v>0.76</v>
      </c>
      <c r="Q42" s="59">
        <v>43.08</v>
      </c>
      <c r="R42" s="197"/>
      <c r="S42" s="197"/>
      <c r="T42" s="197"/>
      <c r="U42" s="197"/>
    </row>
    <row r="43" spans="1:21" s="12" customFormat="1" x14ac:dyDescent="0.25">
      <c r="A43" s="200" t="s">
        <v>3067</v>
      </c>
      <c r="B43" s="59">
        <v>16.53</v>
      </c>
      <c r="C43" s="59">
        <v>55.19</v>
      </c>
      <c r="D43" s="59">
        <v>45.45</v>
      </c>
      <c r="E43" s="59">
        <v>3.18</v>
      </c>
      <c r="F43" s="59">
        <v>6.33</v>
      </c>
      <c r="G43" s="59">
        <v>49.89</v>
      </c>
      <c r="H43" s="59">
        <v>19.690000000000001</v>
      </c>
      <c r="I43" s="59">
        <v>0.6</v>
      </c>
      <c r="J43" s="59">
        <v>1.64</v>
      </c>
      <c r="K43" s="59">
        <v>122.35</v>
      </c>
      <c r="L43" s="59">
        <v>26.49</v>
      </c>
      <c r="M43" s="59">
        <v>45.16</v>
      </c>
      <c r="N43" s="59">
        <v>459.9</v>
      </c>
      <c r="O43" s="59">
        <v>0</v>
      </c>
      <c r="P43" s="59">
        <v>0.77</v>
      </c>
      <c r="Q43" s="59">
        <v>45.41</v>
      </c>
      <c r="R43" s="197"/>
      <c r="S43" s="197"/>
      <c r="T43" s="197"/>
      <c r="U43" s="197"/>
    </row>
    <row r="44" spans="1:21" s="12" customFormat="1" x14ac:dyDescent="0.25">
      <c r="A44" s="200" t="s">
        <v>3068</v>
      </c>
      <c r="B44" s="59">
        <v>15.33</v>
      </c>
      <c r="C44" s="59">
        <v>40.78</v>
      </c>
      <c r="D44" s="59">
        <v>36.54</v>
      </c>
      <c r="E44" s="59">
        <v>3.15</v>
      </c>
      <c r="F44" s="59">
        <v>6.54</v>
      </c>
      <c r="G44" s="59">
        <v>49.46</v>
      </c>
      <c r="H44" s="59">
        <v>19.670000000000002</v>
      </c>
      <c r="I44" s="59">
        <v>0.6</v>
      </c>
      <c r="J44" s="59">
        <v>0.95</v>
      </c>
      <c r="K44" s="59">
        <v>120.53</v>
      </c>
      <c r="L44" s="59">
        <v>27.11</v>
      </c>
      <c r="M44" s="59">
        <v>44.23</v>
      </c>
      <c r="N44" s="59">
        <v>514.4</v>
      </c>
      <c r="O44" s="59">
        <v>0</v>
      </c>
      <c r="P44" s="59">
        <v>0.78</v>
      </c>
      <c r="Q44" s="59">
        <v>51.26</v>
      </c>
      <c r="R44" s="197"/>
      <c r="S44" s="197"/>
      <c r="T44" s="197"/>
      <c r="U44" s="197"/>
    </row>
    <row r="45" spans="1:21" s="12" customFormat="1" x14ac:dyDescent="0.25">
      <c r="A45" s="200" t="s">
        <v>3069</v>
      </c>
      <c r="B45" s="59">
        <v>13.5</v>
      </c>
      <c r="C45" s="59">
        <v>35.21</v>
      </c>
      <c r="D45" s="59">
        <v>32</v>
      </c>
      <c r="E45" s="59">
        <v>3.48</v>
      </c>
      <c r="F45" s="59">
        <v>6.71</v>
      </c>
      <c r="G45" s="59">
        <v>49.46</v>
      </c>
      <c r="H45" s="59">
        <v>19.670000000000002</v>
      </c>
      <c r="I45" s="59">
        <v>0.61</v>
      </c>
      <c r="J45" s="59">
        <v>0.68</v>
      </c>
      <c r="K45" s="59">
        <v>159.33000000000001</v>
      </c>
      <c r="L45" s="59">
        <v>27.98</v>
      </c>
      <c r="M45" s="59">
        <v>42.39</v>
      </c>
      <c r="N45" s="59">
        <v>569.4</v>
      </c>
      <c r="O45" s="59">
        <v>0</v>
      </c>
      <c r="P45" s="59">
        <v>0.78</v>
      </c>
      <c r="Q45" s="59">
        <v>50.48</v>
      </c>
      <c r="R45" s="197"/>
      <c r="S45" s="197"/>
      <c r="T45" s="197"/>
      <c r="U45" s="197"/>
    </row>
    <row r="46" spans="1:21" s="12" customFormat="1" x14ac:dyDescent="0.25">
      <c r="A46" s="200" t="s">
        <v>3070</v>
      </c>
      <c r="B46" s="59">
        <v>11.33</v>
      </c>
      <c r="C46" s="59">
        <v>35.14</v>
      </c>
      <c r="D46" s="59">
        <v>30.22</v>
      </c>
      <c r="E46" s="59">
        <v>2.78</v>
      </c>
      <c r="F46" s="59">
        <v>6.67</v>
      </c>
      <c r="G46" s="59">
        <v>49.46</v>
      </c>
      <c r="H46" s="59">
        <v>19.670000000000002</v>
      </c>
      <c r="I46" s="59">
        <v>0.6</v>
      </c>
      <c r="J46" s="59">
        <v>0.86</v>
      </c>
      <c r="K46" s="59">
        <v>162.63999999999999</v>
      </c>
      <c r="L46" s="59">
        <v>28.39</v>
      </c>
      <c r="M46" s="59">
        <v>42.23</v>
      </c>
      <c r="N46" s="59">
        <v>622</v>
      </c>
      <c r="O46" s="59">
        <v>0</v>
      </c>
      <c r="P46" s="59">
        <v>0.76</v>
      </c>
      <c r="Q46" s="59">
        <v>49.27</v>
      </c>
      <c r="R46" s="197"/>
      <c r="S46" s="197"/>
      <c r="T46" s="197"/>
      <c r="U46" s="197"/>
    </row>
    <row r="47" spans="1:21" s="12" customFormat="1" x14ac:dyDescent="0.25">
      <c r="A47" s="200" t="s">
        <v>3071</v>
      </c>
      <c r="B47" s="59">
        <v>9.3800000000000008</v>
      </c>
      <c r="C47" s="59">
        <v>35.159999999999997</v>
      </c>
      <c r="D47" s="59">
        <v>28.66</v>
      </c>
      <c r="E47" s="59">
        <v>2.6</v>
      </c>
      <c r="F47" s="59">
        <v>6.11</v>
      </c>
      <c r="G47" s="59">
        <v>50.72</v>
      </c>
      <c r="H47" s="59">
        <v>19.25</v>
      </c>
      <c r="I47" s="59">
        <v>0.59</v>
      </c>
      <c r="J47" s="59">
        <v>1.1100000000000001</v>
      </c>
      <c r="K47" s="59">
        <v>175.76</v>
      </c>
      <c r="L47" s="59">
        <v>28.7</v>
      </c>
      <c r="M47" s="59">
        <v>42.25</v>
      </c>
      <c r="N47" s="59">
        <v>665.1</v>
      </c>
      <c r="O47" s="59">
        <v>0</v>
      </c>
      <c r="P47" s="59">
        <v>0.76</v>
      </c>
      <c r="Q47" s="59">
        <v>47.08</v>
      </c>
      <c r="R47" s="197"/>
      <c r="S47" s="197"/>
      <c r="T47" s="197"/>
      <c r="U47" s="197"/>
    </row>
    <row r="48" spans="1:21" s="12" customFormat="1" x14ac:dyDescent="0.25">
      <c r="A48" s="200" t="s">
        <v>3072</v>
      </c>
      <c r="B48" s="59">
        <v>7.49</v>
      </c>
      <c r="C48" s="59">
        <v>35.409999999999997</v>
      </c>
      <c r="D48" s="59">
        <v>27.29</v>
      </c>
      <c r="E48" s="59">
        <v>2.57</v>
      </c>
      <c r="F48" s="59">
        <v>7.3</v>
      </c>
      <c r="G48" s="59">
        <v>50.75</v>
      </c>
      <c r="H48" s="59">
        <v>19.239999999999998</v>
      </c>
      <c r="I48" s="59">
        <v>0.6</v>
      </c>
      <c r="J48" s="59">
        <v>1.24</v>
      </c>
      <c r="K48" s="59">
        <v>188.05</v>
      </c>
      <c r="L48" s="59">
        <v>28.88</v>
      </c>
      <c r="M48" s="59">
        <v>41.95</v>
      </c>
      <c r="N48" s="59">
        <v>700</v>
      </c>
      <c r="O48" s="59">
        <v>0</v>
      </c>
      <c r="P48" s="59">
        <v>0.75</v>
      </c>
      <c r="Q48" s="59">
        <v>45.85</v>
      </c>
      <c r="R48" s="197"/>
      <c r="S48" s="197"/>
      <c r="T48" s="197"/>
      <c r="U48" s="197"/>
    </row>
    <row r="49" spans="1:21" s="12" customFormat="1" x14ac:dyDescent="0.25">
      <c r="A49" s="200" t="s">
        <v>3073</v>
      </c>
      <c r="B49" s="59">
        <v>5.75</v>
      </c>
      <c r="C49" s="59">
        <v>36.119999999999997</v>
      </c>
      <c r="D49" s="59">
        <v>26.28</v>
      </c>
      <c r="E49" s="59">
        <v>2.91</v>
      </c>
      <c r="F49" s="59">
        <v>6.99</v>
      </c>
      <c r="G49" s="59">
        <v>50.75</v>
      </c>
      <c r="H49" s="59">
        <v>19.239999999999998</v>
      </c>
      <c r="I49" s="59">
        <v>0.6</v>
      </c>
      <c r="J49" s="59">
        <v>1.28</v>
      </c>
      <c r="K49" s="59">
        <v>186.87</v>
      </c>
      <c r="L49" s="59">
        <v>29.31</v>
      </c>
      <c r="M49" s="59">
        <v>41.08</v>
      </c>
      <c r="N49" s="59">
        <v>734.6</v>
      </c>
      <c r="O49" s="59">
        <v>0</v>
      </c>
      <c r="P49" s="59">
        <v>0.73</v>
      </c>
      <c r="Q49" s="59">
        <v>43.4</v>
      </c>
      <c r="R49" s="197"/>
      <c r="S49" s="197"/>
      <c r="T49" s="197"/>
      <c r="U49" s="197"/>
    </row>
    <row r="50" spans="1:21" s="12" customFormat="1" x14ac:dyDescent="0.25">
      <c r="A50" s="200" t="s">
        <v>3074</v>
      </c>
      <c r="B50" s="59">
        <v>3.92</v>
      </c>
      <c r="C50" s="59">
        <v>57.79</v>
      </c>
      <c r="D50" s="59">
        <v>36.78</v>
      </c>
      <c r="E50" s="59">
        <v>3.05</v>
      </c>
      <c r="F50" s="59">
        <v>21.04</v>
      </c>
      <c r="G50" s="59">
        <v>50.75</v>
      </c>
      <c r="H50" s="59">
        <v>19.239999999999998</v>
      </c>
      <c r="I50" s="59">
        <v>0.57999999999999996</v>
      </c>
      <c r="J50" s="59">
        <v>1.34</v>
      </c>
      <c r="K50" s="59">
        <v>203.63</v>
      </c>
      <c r="L50" s="59">
        <v>29.65</v>
      </c>
      <c r="M50" s="59">
        <v>40.19</v>
      </c>
      <c r="N50" s="59">
        <v>768</v>
      </c>
      <c r="O50" s="59">
        <v>0</v>
      </c>
      <c r="P50" s="59">
        <v>0.65</v>
      </c>
      <c r="Q50" s="59">
        <v>40.869999999999997</v>
      </c>
      <c r="R50" s="197"/>
      <c r="S50" s="197"/>
      <c r="T50" s="197"/>
      <c r="U50" s="197"/>
    </row>
    <row r="51" spans="1:21" s="12" customFormat="1" x14ac:dyDescent="0.25">
      <c r="A51" s="200" t="s">
        <v>3075</v>
      </c>
      <c r="B51" s="59">
        <v>2.78</v>
      </c>
      <c r="C51" s="59">
        <v>38.04</v>
      </c>
      <c r="D51" s="59">
        <v>24.96</v>
      </c>
      <c r="E51" s="59">
        <v>2.4900000000000002</v>
      </c>
      <c r="F51" s="59">
        <v>17.3</v>
      </c>
      <c r="G51" s="59">
        <v>36.29</v>
      </c>
      <c r="H51" s="59">
        <v>18.45</v>
      </c>
      <c r="I51" s="59">
        <v>0.56999999999999995</v>
      </c>
      <c r="J51" s="59">
        <v>1.38</v>
      </c>
      <c r="K51" s="59">
        <v>196.45</v>
      </c>
      <c r="L51" s="59">
        <v>29.99</v>
      </c>
      <c r="M51" s="59">
        <v>40.56</v>
      </c>
      <c r="N51" s="59">
        <v>793.7</v>
      </c>
      <c r="O51" s="59">
        <v>0</v>
      </c>
      <c r="P51" s="59">
        <v>0.53</v>
      </c>
      <c r="Q51" s="59">
        <v>40.43</v>
      </c>
      <c r="R51" s="197"/>
      <c r="S51" s="197"/>
      <c r="T51" s="197"/>
      <c r="U51" s="197"/>
    </row>
    <row r="52" spans="1:21" s="12" customFormat="1" x14ac:dyDescent="0.25">
      <c r="A52" s="200" t="s">
        <v>3076</v>
      </c>
      <c r="B52" s="59">
        <v>2.84</v>
      </c>
      <c r="C52" s="59">
        <v>30.46</v>
      </c>
      <c r="D52" s="59">
        <v>20.83</v>
      </c>
      <c r="E52" s="59">
        <v>2.2799999999999998</v>
      </c>
      <c r="F52" s="59">
        <v>10.44</v>
      </c>
      <c r="G52" s="59">
        <v>35.96</v>
      </c>
      <c r="H52" s="59">
        <v>18.440000000000001</v>
      </c>
      <c r="I52" s="59">
        <v>0.54</v>
      </c>
      <c r="J52" s="59">
        <v>1.43</v>
      </c>
      <c r="K52" s="59">
        <v>195.01</v>
      </c>
      <c r="L52" s="59">
        <v>30.2</v>
      </c>
      <c r="M52" s="59">
        <v>39.28</v>
      </c>
      <c r="N52" s="59">
        <v>820.6</v>
      </c>
      <c r="O52" s="59">
        <v>0</v>
      </c>
      <c r="P52" s="59">
        <v>0.51</v>
      </c>
      <c r="Q52" s="59">
        <v>39.22</v>
      </c>
      <c r="R52" s="197"/>
      <c r="S52" s="197"/>
      <c r="T52" s="197"/>
      <c r="U52" s="197"/>
    </row>
    <row r="53" spans="1:21" s="12" customFormat="1" x14ac:dyDescent="0.25">
      <c r="A53" s="200" t="s">
        <v>3077</v>
      </c>
      <c r="B53" s="59">
        <v>3.24</v>
      </c>
      <c r="C53" s="59">
        <v>25.99</v>
      </c>
      <c r="D53" s="59">
        <v>18.68</v>
      </c>
      <c r="E53" s="59">
        <v>2.1800000000000002</v>
      </c>
      <c r="F53" s="59">
        <v>9.43</v>
      </c>
      <c r="G53" s="59">
        <v>35.96</v>
      </c>
      <c r="H53" s="59">
        <v>18.440000000000001</v>
      </c>
      <c r="I53" s="59">
        <v>0.5</v>
      </c>
      <c r="J53" s="59">
        <v>1.5</v>
      </c>
      <c r="K53" s="59">
        <v>193.68</v>
      </c>
      <c r="L53" s="59">
        <v>30.38</v>
      </c>
      <c r="M53" s="59">
        <v>38.31</v>
      </c>
      <c r="N53" s="59">
        <v>839.5</v>
      </c>
      <c r="O53" s="59">
        <v>0</v>
      </c>
      <c r="P53" s="59">
        <v>0.5</v>
      </c>
      <c r="Q53" s="59">
        <v>38.17</v>
      </c>
      <c r="R53" s="197"/>
      <c r="S53" s="197"/>
      <c r="T53" s="197"/>
      <c r="U53" s="197"/>
    </row>
    <row r="54" spans="1:21" s="12" customFormat="1" x14ac:dyDescent="0.25">
      <c r="A54" s="200" t="s">
        <v>3078</v>
      </c>
      <c r="B54" s="59">
        <v>3.27</v>
      </c>
      <c r="C54" s="59">
        <v>23.73</v>
      </c>
      <c r="D54" s="59">
        <v>17.46</v>
      </c>
      <c r="E54" s="59">
        <v>2.2799999999999998</v>
      </c>
      <c r="F54" s="59">
        <v>10.48</v>
      </c>
      <c r="G54" s="59">
        <v>35.96</v>
      </c>
      <c r="H54" s="59">
        <v>18.440000000000001</v>
      </c>
      <c r="I54" s="59">
        <v>0.51</v>
      </c>
      <c r="J54" s="59">
        <v>1.08</v>
      </c>
      <c r="K54" s="59">
        <v>212.75</v>
      </c>
      <c r="L54" s="59">
        <v>30.7</v>
      </c>
      <c r="M54" s="59">
        <v>38.25</v>
      </c>
      <c r="N54" s="59">
        <v>853.5</v>
      </c>
      <c r="O54" s="59">
        <v>0</v>
      </c>
      <c r="P54" s="59">
        <v>0.48</v>
      </c>
      <c r="Q54" s="59">
        <v>37.270000000000003</v>
      </c>
      <c r="R54" s="197"/>
      <c r="S54" s="197"/>
      <c r="T54" s="197"/>
      <c r="U54" s="197"/>
    </row>
    <row r="55" spans="1:21" s="12" customFormat="1" x14ac:dyDescent="0.25">
      <c r="A55" s="200" t="s">
        <v>3079</v>
      </c>
      <c r="B55" s="59">
        <v>2.94</v>
      </c>
      <c r="C55" s="59">
        <v>23.82</v>
      </c>
      <c r="D55" s="59">
        <v>17.239999999999998</v>
      </c>
      <c r="E55" s="59">
        <v>2.59</v>
      </c>
      <c r="F55" s="59">
        <v>17.64</v>
      </c>
      <c r="G55" s="59">
        <v>38.19</v>
      </c>
      <c r="H55" s="59">
        <v>16</v>
      </c>
      <c r="I55" s="59">
        <v>0.51</v>
      </c>
      <c r="J55" s="59">
        <v>1.1399999999999999</v>
      </c>
      <c r="K55" s="59">
        <v>220.37</v>
      </c>
      <c r="L55" s="59">
        <v>30.81</v>
      </c>
      <c r="M55" s="59">
        <v>38.090000000000003</v>
      </c>
      <c r="N55" s="59">
        <v>862.8</v>
      </c>
      <c r="O55" s="59">
        <v>0</v>
      </c>
      <c r="P55" s="59">
        <v>0.45</v>
      </c>
      <c r="Q55" s="59">
        <v>36.130000000000003</v>
      </c>
      <c r="R55" s="197"/>
      <c r="S55" s="197"/>
      <c r="T55" s="197"/>
      <c r="U55" s="197"/>
    </row>
    <row r="56" spans="1:21" s="12" customFormat="1" x14ac:dyDescent="0.25">
      <c r="A56" s="200" t="s">
        <v>3080</v>
      </c>
      <c r="B56" s="59">
        <v>2.79</v>
      </c>
      <c r="C56" s="59">
        <v>24.57</v>
      </c>
      <c r="D56" s="59">
        <v>17.54</v>
      </c>
      <c r="E56" s="59">
        <v>2.4</v>
      </c>
      <c r="F56" s="59">
        <v>12.16</v>
      </c>
      <c r="G56" s="59">
        <v>38.24</v>
      </c>
      <c r="H56" s="59">
        <v>15.95</v>
      </c>
      <c r="I56" s="59">
        <v>0.51</v>
      </c>
      <c r="J56" s="59">
        <v>1.1100000000000001</v>
      </c>
      <c r="K56" s="59">
        <v>212.78</v>
      </c>
      <c r="L56" s="59">
        <v>31.19</v>
      </c>
      <c r="M56" s="59">
        <v>36.92</v>
      </c>
      <c r="N56" s="59">
        <v>868.3</v>
      </c>
      <c r="O56" s="59">
        <v>0</v>
      </c>
      <c r="P56" s="59">
        <v>0.43</v>
      </c>
      <c r="Q56" s="59">
        <v>35.06</v>
      </c>
      <c r="R56" s="197"/>
      <c r="S56" s="197"/>
      <c r="T56" s="197"/>
      <c r="U56" s="197"/>
    </row>
    <row r="57" spans="1:21" s="12" customFormat="1" x14ac:dyDescent="0.25">
      <c r="A57" s="200" t="s">
        <v>3081</v>
      </c>
      <c r="B57" s="59">
        <v>2.89</v>
      </c>
      <c r="C57" s="59">
        <v>24.15</v>
      </c>
      <c r="D57" s="59">
        <v>17.39</v>
      </c>
      <c r="E57" s="59">
        <v>2.57</v>
      </c>
      <c r="F57" s="59">
        <v>13.58</v>
      </c>
      <c r="G57" s="59">
        <v>38.24</v>
      </c>
      <c r="H57" s="59">
        <v>15.95</v>
      </c>
      <c r="I57" s="59">
        <v>0.5</v>
      </c>
      <c r="J57" s="59">
        <v>0.94</v>
      </c>
      <c r="K57" s="59">
        <v>197.39</v>
      </c>
      <c r="L57" s="59">
        <v>31.3</v>
      </c>
      <c r="M57" s="59">
        <v>37.909999999999997</v>
      </c>
      <c r="N57" s="59">
        <v>861.7</v>
      </c>
      <c r="O57" s="59">
        <v>0</v>
      </c>
      <c r="P57" s="59">
        <v>0.41</v>
      </c>
      <c r="Q57" s="59">
        <v>35.01</v>
      </c>
      <c r="R57" s="197"/>
      <c r="S57" s="197"/>
      <c r="T57" s="197"/>
      <c r="U57" s="197"/>
    </row>
    <row r="58" spans="1:21" s="12" customFormat="1" x14ac:dyDescent="0.25">
      <c r="A58" s="200" t="s">
        <v>3082</v>
      </c>
      <c r="B58" s="59">
        <v>2.9</v>
      </c>
      <c r="C58" s="59">
        <v>25.69</v>
      </c>
      <c r="D58" s="59">
        <v>18.239999999999998</v>
      </c>
      <c r="E58" s="59">
        <v>2.56</v>
      </c>
      <c r="F58" s="59">
        <v>9.9</v>
      </c>
      <c r="G58" s="59">
        <v>38.24</v>
      </c>
      <c r="H58" s="59">
        <v>15.95</v>
      </c>
      <c r="I58" s="59">
        <v>0.49</v>
      </c>
      <c r="J58" s="59">
        <v>0.57999999999999996</v>
      </c>
      <c r="K58" s="59">
        <v>245.34</v>
      </c>
      <c r="L58" s="59">
        <v>31.42</v>
      </c>
      <c r="M58" s="59">
        <v>37.799999999999997</v>
      </c>
      <c r="N58" s="59">
        <v>852.2</v>
      </c>
      <c r="O58" s="59">
        <v>0</v>
      </c>
      <c r="P58" s="59">
        <v>0.39</v>
      </c>
      <c r="Q58" s="59">
        <v>37.39</v>
      </c>
      <c r="R58" s="197"/>
      <c r="S58" s="197"/>
      <c r="T58" s="197"/>
      <c r="U58" s="197"/>
    </row>
    <row r="59" spans="1:21" s="12" customFormat="1" x14ac:dyDescent="0.25">
      <c r="A59" s="200" t="s">
        <v>3083</v>
      </c>
      <c r="B59" s="59">
        <v>2.85</v>
      </c>
      <c r="C59" s="59">
        <v>23.32</v>
      </c>
      <c r="D59" s="59">
        <v>16.899999999999999</v>
      </c>
      <c r="E59" s="59">
        <v>2.56</v>
      </c>
      <c r="F59" s="59">
        <v>8.9499999999999993</v>
      </c>
      <c r="G59" s="59">
        <v>29.14</v>
      </c>
      <c r="H59" s="59">
        <v>15.48</v>
      </c>
      <c r="I59" s="59">
        <v>0.49</v>
      </c>
      <c r="J59" s="59">
        <v>1.17</v>
      </c>
      <c r="K59" s="59">
        <v>235.04</v>
      </c>
      <c r="L59" s="59">
        <v>31.37</v>
      </c>
      <c r="M59" s="59">
        <v>38.07</v>
      </c>
      <c r="N59" s="59">
        <v>844.1</v>
      </c>
      <c r="O59" s="59">
        <v>0</v>
      </c>
      <c r="P59" s="59">
        <v>0.38</v>
      </c>
      <c r="Q59" s="59">
        <v>36.71</v>
      </c>
      <c r="R59" s="197"/>
      <c r="S59" s="197"/>
      <c r="T59" s="197"/>
      <c r="U59" s="197"/>
    </row>
    <row r="60" spans="1:21" s="12" customFormat="1" x14ac:dyDescent="0.25">
      <c r="A60" s="200" t="s">
        <v>3084</v>
      </c>
      <c r="B60" s="59">
        <v>2.76</v>
      </c>
      <c r="C60" s="59">
        <v>21.83</v>
      </c>
      <c r="D60" s="59">
        <v>16</v>
      </c>
      <c r="E60" s="59">
        <v>2.33</v>
      </c>
      <c r="F60" s="59">
        <v>8.77</v>
      </c>
      <c r="G60" s="59">
        <v>28.93</v>
      </c>
      <c r="H60" s="59">
        <v>15.37</v>
      </c>
      <c r="I60" s="59">
        <v>0.49</v>
      </c>
      <c r="J60" s="59">
        <v>1.2</v>
      </c>
      <c r="K60" s="59">
        <v>215.09</v>
      </c>
      <c r="L60" s="59">
        <v>31.06</v>
      </c>
      <c r="M60" s="59">
        <v>39.36</v>
      </c>
      <c r="N60" s="59">
        <v>827.2</v>
      </c>
      <c r="O60" s="59">
        <v>0</v>
      </c>
      <c r="P60" s="59">
        <v>0.38</v>
      </c>
      <c r="Q60" s="59">
        <v>35.130000000000003</v>
      </c>
      <c r="R60" s="197"/>
      <c r="S60" s="197"/>
      <c r="T60" s="197"/>
      <c r="U60" s="197"/>
    </row>
    <row r="61" spans="1:21" s="12" customFormat="1" x14ac:dyDescent="0.25">
      <c r="A61" s="200" t="s">
        <v>3085</v>
      </c>
      <c r="B61" s="59">
        <v>2.67</v>
      </c>
      <c r="C61" s="59">
        <v>20.18</v>
      </c>
      <c r="D61" s="59">
        <v>15.02</v>
      </c>
      <c r="E61" s="59">
        <v>2.4700000000000002</v>
      </c>
      <c r="F61" s="59">
        <v>8.6</v>
      </c>
      <c r="G61" s="59">
        <v>28.93</v>
      </c>
      <c r="H61" s="59">
        <v>15.37</v>
      </c>
      <c r="I61" s="59">
        <v>0.49</v>
      </c>
      <c r="J61" s="59">
        <v>1.94</v>
      </c>
      <c r="K61" s="59">
        <v>185.12</v>
      </c>
      <c r="L61" s="59">
        <v>30.81</v>
      </c>
      <c r="M61" s="59">
        <v>40.770000000000003</v>
      </c>
      <c r="N61" s="59">
        <v>806</v>
      </c>
      <c r="O61" s="59">
        <v>0</v>
      </c>
      <c r="P61" s="59">
        <v>0.4</v>
      </c>
      <c r="Q61" s="59">
        <v>32.75</v>
      </c>
      <c r="R61" s="197"/>
      <c r="S61" s="197"/>
      <c r="T61" s="197"/>
      <c r="U61" s="197"/>
    </row>
    <row r="62" spans="1:21" s="12" customFormat="1" x14ac:dyDescent="0.25">
      <c r="A62" s="200" t="s">
        <v>3086</v>
      </c>
      <c r="B62" s="59">
        <v>2.57</v>
      </c>
      <c r="C62" s="59">
        <v>19.600000000000001</v>
      </c>
      <c r="D62" s="59">
        <v>14.62</v>
      </c>
      <c r="E62" s="59">
        <v>2.41</v>
      </c>
      <c r="F62" s="59">
        <v>8.9700000000000006</v>
      </c>
      <c r="G62" s="59">
        <v>28.93</v>
      </c>
      <c r="H62" s="59">
        <v>15.37</v>
      </c>
      <c r="I62" s="59">
        <v>0.48</v>
      </c>
      <c r="J62" s="59">
        <v>1.08</v>
      </c>
      <c r="K62" s="59">
        <v>222.6</v>
      </c>
      <c r="L62" s="59">
        <v>31.48</v>
      </c>
      <c r="M62" s="59">
        <v>39.299999999999997</v>
      </c>
      <c r="N62" s="59">
        <v>780.2</v>
      </c>
      <c r="O62" s="59">
        <v>0</v>
      </c>
      <c r="P62" s="59">
        <v>0.42</v>
      </c>
      <c r="Q62" s="59">
        <v>32.11</v>
      </c>
      <c r="R62" s="197"/>
      <c r="S62" s="197"/>
      <c r="T62" s="197"/>
      <c r="U62" s="197"/>
    </row>
    <row r="63" spans="1:21" s="12" customFormat="1" x14ac:dyDescent="0.25">
      <c r="A63" s="200" t="s">
        <v>3087</v>
      </c>
      <c r="B63" s="59">
        <v>2.52</v>
      </c>
      <c r="C63" s="59">
        <v>19.27</v>
      </c>
      <c r="D63" s="59">
        <v>14.4</v>
      </c>
      <c r="E63" s="59">
        <v>2.67</v>
      </c>
      <c r="F63" s="59">
        <v>11.52</v>
      </c>
      <c r="G63" s="59">
        <v>31.11</v>
      </c>
      <c r="H63" s="59">
        <v>13.77</v>
      </c>
      <c r="I63" s="59">
        <v>0.47</v>
      </c>
      <c r="J63" s="59">
        <v>1.07</v>
      </c>
      <c r="K63" s="59">
        <v>224.2</v>
      </c>
      <c r="L63" s="59">
        <v>31.65</v>
      </c>
      <c r="M63" s="59">
        <v>38.799999999999997</v>
      </c>
      <c r="N63" s="59">
        <v>750.8</v>
      </c>
      <c r="O63" s="59">
        <v>0</v>
      </c>
      <c r="P63" s="59">
        <v>0.41</v>
      </c>
      <c r="Q63" s="59">
        <v>30.9</v>
      </c>
      <c r="R63" s="197"/>
      <c r="S63" s="197"/>
      <c r="T63" s="197"/>
      <c r="U63" s="197"/>
    </row>
    <row r="64" spans="1:21" s="12" customFormat="1" x14ac:dyDescent="0.25">
      <c r="A64" s="200" t="s">
        <v>3088</v>
      </c>
      <c r="B64" s="59">
        <v>2.5499999999999998</v>
      </c>
      <c r="C64" s="59">
        <v>22.49</v>
      </c>
      <c r="D64" s="59">
        <v>16.2</v>
      </c>
      <c r="E64" s="59">
        <v>2.4700000000000002</v>
      </c>
      <c r="F64" s="59">
        <v>9.69</v>
      </c>
      <c r="G64" s="59">
        <v>31.16</v>
      </c>
      <c r="H64" s="59">
        <v>13.42</v>
      </c>
      <c r="I64" s="59">
        <v>0.47</v>
      </c>
      <c r="J64" s="59">
        <v>1.08</v>
      </c>
      <c r="K64" s="59">
        <v>205.64</v>
      </c>
      <c r="L64" s="59">
        <v>32.06</v>
      </c>
      <c r="M64" s="59">
        <v>37.71</v>
      </c>
      <c r="N64" s="59">
        <v>720.2</v>
      </c>
      <c r="O64" s="59">
        <v>0</v>
      </c>
      <c r="P64" s="59">
        <v>0.4</v>
      </c>
      <c r="Q64" s="59">
        <v>30.73</v>
      </c>
      <c r="R64" s="197"/>
      <c r="S64" s="197"/>
      <c r="T64" s="197"/>
      <c r="U64" s="197"/>
    </row>
    <row r="65" spans="1:21" s="12" customFormat="1" x14ac:dyDescent="0.25">
      <c r="A65" s="200" t="s">
        <v>3089</v>
      </c>
      <c r="B65" s="59">
        <v>2.72</v>
      </c>
      <c r="C65" s="59">
        <v>53.93</v>
      </c>
      <c r="D65" s="59">
        <v>33.69</v>
      </c>
      <c r="E65" s="59">
        <v>2.64</v>
      </c>
      <c r="F65" s="59">
        <v>9.15</v>
      </c>
      <c r="G65" s="59">
        <v>31.16</v>
      </c>
      <c r="H65" s="59">
        <v>13.42</v>
      </c>
      <c r="I65" s="59">
        <v>0.47</v>
      </c>
      <c r="J65" s="59">
        <v>1.1399999999999999</v>
      </c>
      <c r="K65" s="59">
        <v>208.57</v>
      </c>
      <c r="L65" s="59">
        <v>32.1</v>
      </c>
      <c r="M65" s="59">
        <v>36.72</v>
      </c>
      <c r="N65" s="59">
        <v>684.7</v>
      </c>
      <c r="O65" s="59">
        <v>0</v>
      </c>
      <c r="P65" s="59">
        <v>0.41</v>
      </c>
      <c r="Q65" s="59">
        <v>34.979999999999997</v>
      </c>
      <c r="R65" s="197"/>
      <c r="S65" s="197"/>
      <c r="T65" s="197"/>
      <c r="U65" s="197"/>
    </row>
    <row r="66" spans="1:21" s="12" customFormat="1" x14ac:dyDescent="0.25">
      <c r="A66" s="200" t="s">
        <v>3090</v>
      </c>
      <c r="B66" s="59">
        <v>2.8</v>
      </c>
      <c r="C66" s="59">
        <v>36.229999999999997</v>
      </c>
      <c r="D66" s="59">
        <v>23.98</v>
      </c>
      <c r="E66" s="59">
        <v>2.63</v>
      </c>
      <c r="F66" s="59">
        <v>9.66</v>
      </c>
      <c r="G66" s="59">
        <v>31.16</v>
      </c>
      <c r="H66" s="59">
        <v>13.42</v>
      </c>
      <c r="I66" s="59">
        <v>0.47</v>
      </c>
      <c r="J66" s="59">
        <v>1.58</v>
      </c>
      <c r="K66" s="59">
        <v>192.57</v>
      </c>
      <c r="L66" s="59">
        <v>32.26</v>
      </c>
      <c r="M66" s="59">
        <v>35.619999999999997</v>
      </c>
      <c r="N66" s="59">
        <v>655.9</v>
      </c>
      <c r="O66" s="59">
        <v>0</v>
      </c>
      <c r="P66" s="59">
        <v>0.4</v>
      </c>
      <c r="Q66" s="59">
        <v>37.119999999999997</v>
      </c>
      <c r="R66" s="197"/>
      <c r="S66" s="197"/>
      <c r="T66" s="197"/>
      <c r="U66" s="197"/>
    </row>
    <row r="67" spans="1:21" s="12" customFormat="1" x14ac:dyDescent="0.25">
      <c r="A67" s="200" t="s">
        <v>3091</v>
      </c>
      <c r="B67" s="59">
        <v>2.91</v>
      </c>
      <c r="C67" s="59">
        <v>28.79</v>
      </c>
      <c r="D67" s="59">
        <v>19.96</v>
      </c>
      <c r="E67" s="59">
        <v>2.72</v>
      </c>
      <c r="F67" s="59">
        <v>13.02</v>
      </c>
      <c r="G67" s="59">
        <v>28.91</v>
      </c>
      <c r="H67" s="59">
        <v>14.06</v>
      </c>
      <c r="I67" s="59">
        <v>0.48</v>
      </c>
      <c r="J67" s="59">
        <v>1.74</v>
      </c>
      <c r="K67" s="59">
        <v>200.28</v>
      </c>
      <c r="L67" s="59">
        <v>32.1</v>
      </c>
      <c r="M67" s="59">
        <v>36.01</v>
      </c>
      <c r="N67" s="59">
        <v>594.29999999999995</v>
      </c>
      <c r="O67" s="59">
        <v>0</v>
      </c>
      <c r="P67" s="59">
        <v>0.4</v>
      </c>
      <c r="Q67" s="59">
        <v>35.15</v>
      </c>
      <c r="R67" s="197"/>
      <c r="S67" s="197"/>
      <c r="T67" s="197"/>
      <c r="U67" s="197"/>
    </row>
    <row r="68" spans="1:21" s="12" customFormat="1" x14ac:dyDescent="0.25">
      <c r="A68" s="200" t="s">
        <v>3092</v>
      </c>
      <c r="B68" s="59">
        <v>2.86</v>
      </c>
      <c r="C68" s="59">
        <v>25.15</v>
      </c>
      <c r="D68" s="59">
        <v>17.91</v>
      </c>
      <c r="E68" s="59">
        <v>2.94</v>
      </c>
      <c r="F68" s="59">
        <v>10.95</v>
      </c>
      <c r="G68" s="59">
        <v>28.86</v>
      </c>
      <c r="H68" s="59">
        <v>14.13</v>
      </c>
      <c r="I68" s="59">
        <v>0.49</v>
      </c>
      <c r="J68" s="59">
        <v>1.3</v>
      </c>
      <c r="K68" s="59">
        <v>216.39</v>
      </c>
      <c r="L68" s="59">
        <v>32.29</v>
      </c>
      <c r="M68" s="59">
        <v>35.06</v>
      </c>
      <c r="N68" s="59">
        <v>497.2</v>
      </c>
      <c r="O68" s="59">
        <v>0</v>
      </c>
      <c r="P68" s="59">
        <v>0.39</v>
      </c>
      <c r="Q68" s="59">
        <v>33.74</v>
      </c>
      <c r="R68" s="197"/>
      <c r="S68" s="197"/>
      <c r="T68" s="197"/>
      <c r="U68" s="197"/>
    </row>
    <row r="69" spans="1:21" s="12" customFormat="1" x14ac:dyDescent="0.25">
      <c r="A69" s="200" t="s">
        <v>3093</v>
      </c>
      <c r="B69" s="59">
        <v>2.88</v>
      </c>
      <c r="C69" s="59">
        <v>22.35</v>
      </c>
      <c r="D69" s="59">
        <v>16.39</v>
      </c>
      <c r="E69" s="59">
        <v>2.87</v>
      </c>
      <c r="F69" s="59">
        <v>11.39</v>
      </c>
      <c r="G69" s="59">
        <v>28.86</v>
      </c>
      <c r="H69" s="59">
        <v>14.13</v>
      </c>
      <c r="I69" s="59">
        <v>0.48</v>
      </c>
      <c r="J69" s="59">
        <v>0.89</v>
      </c>
      <c r="K69" s="59">
        <v>223.02</v>
      </c>
      <c r="L69" s="59">
        <v>32.75</v>
      </c>
      <c r="M69" s="59">
        <v>33.56</v>
      </c>
      <c r="N69" s="59">
        <v>419.4</v>
      </c>
      <c r="O69" s="59">
        <v>0</v>
      </c>
      <c r="P69" s="59">
        <v>0.39</v>
      </c>
      <c r="Q69" s="59">
        <v>32.24</v>
      </c>
      <c r="R69" s="197"/>
      <c r="S69" s="197"/>
      <c r="T69" s="197"/>
      <c r="U69" s="197"/>
    </row>
    <row r="70" spans="1:21" s="12" customFormat="1" x14ac:dyDescent="0.25">
      <c r="A70" s="200" t="s">
        <v>3094</v>
      </c>
      <c r="B70" s="59">
        <v>2.94</v>
      </c>
      <c r="C70" s="59">
        <v>21.59</v>
      </c>
      <c r="D70" s="59">
        <v>16.02</v>
      </c>
      <c r="E70" s="59">
        <v>3</v>
      </c>
      <c r="F70" s="59">
        <v>11.77</v>
      </c>
      <c r="G70" s="59">
        <v>28.86</v>
      </c>
      <c r="H70" s="59">
        <v>14.13</v>
      </c>
      <c r="I70" s="59">
        <v>0.49</v>
      </c>
      <c r="J70" s="59">
        <v>1.4</v>
      </c>
      <c r="K70" s="59">
        <v>210.4</v>
      </c>
      <c r="L70" s="59">
        <v>32.520000000000003</v>
      </c>
      <c r="M70" s="59">
        <v>33.450000000000003</v>
      </c>
      <c r="N70" s="59">
        <v>272.39999999999998</v>
      </c>
      <c r="O70" s="59">
        <v>0</v>
      </c>
      <c r="P70" s="59">
        <v>0.39</v>
      </c>
      <c r="Q70" s="59">
        <v>32.01</v>
      </c>
      <c r="R70" s="197"/>
      <c r="S70" s="197"/>
      <c r="T70" s="197"/>
      <c r="U70" s="197"/>
    </row>
    <row r="71" spans="1:21" s="12" customFormat="1" x14ac:dyDescent="0.25">
      <c r="A71" s="200" t="s">
        <v>3095</v>
      </c>
      <c r="B71" s="59">
        <v>2.95</v>
      </c>
      <c r="C71" s="59">
        <v>20.7</v>
      </c>
      <c r="D71" s="59">
        <v>15.53</v>
      </c>
      <c r="E71" s="59">
        <v>2.64</v>
      </c>
      <c r="F71" s="59">
        <v>11.22</v>
      </c>
      <c r="G71" s="59">
        <v>27.2</v>
      </c>
      <c r="H71" s="59">
        <v>13.84</v>
      </c>
      <c r="I71" s="59">
        <v>0.5</v>
      </c>
      <c r="J71" s="59">
        <v>1.1399999999999999</v>
      </c>
      <c r="K71" s="59">
        <v>226.09</v>
      </c>
      <c r="L71" s="59">
        <v>32.5</v>
      </c>
      <c r="M71" s="59">
        <v>34.07</v>
      </c>
      <c r="N71" s="59">
        <v>200.2</v>
      </c>
      <c r="O71" s="59">
        <v>0</v>
      </c>
      <c r="P71" s="59">
        <v>0.38</v>
      </c>
      <c r="Q71" s="59">
        <v>31.15</v>
      </c>
      <c r="R71" s="197"/>
      <c r="S71" s="197"/>
      <c r="T71" s="197"/>
      <c r="U71" s="197"/>
    </row>
    <row r="72" spans="1:21" s="12" customFormat="1" x14ac:dyDescent="0.25">
      <c r="A72" s="200" t="s">
        <v>3096</v>
      </c>
      <c r="B72" s="59">
        <v>2.93</v>
      </c>
      <c r="C72" s="59">
        <v>22.14</v>
      </c>
      <c r="D72" s="59">
        <v>16.309999999999999</v>
      </c>
      <c r="E72" s="59">
        <v>0.84</v>
      </c>
      <c r="F72" s="59">
        <v>9.0399999999999991</v>
      </c>
      <c r="G72" s="59">
        <v>27.16</v>
      </c>
      <c r="H72" s="59">
        <v>13.83</v>
      </c>
      <c r="I72" s="59">
        <v>0.5</v>
      </c>
      <c r="J72" s="59">
        <v>1.26</v>
      </c>
      <c r="K72" s="59">
        <v>212.68</v>
      </c>
      <c r="L72" s="59">
        <v>32.270000000000003</v>
      </c>
      <c r="M72" s="59">
        <v>34.15</v>
      </c>
      <c r="N72" s="59">
        <v>231.3</v>
      </c>
      <c r="O72" s="59">
        <v>0</v>
      </c>
      <c r="P72" s="59">
        <v>0.38</v>
      </c>
      <c r="Q72" s="59">
        <v>32.69</v>
      </c>
      <c r="R72" s="197"/>
      <c r="S72" s="197"/>
      <c r="T72" s="197"/>
      <c r="U72" s="197"/>
    </row>
    <row r="73" spans="1:21" s="12" customFormat="1" x14ac:dyDescent="0.25">
      <c r="A73" s="200" t="s">
        <v>3097</v>
      </c>
      <c r="B73" s="59">
        <v>2.69</v>
      </c>
      <c r="C73" s="59">
        <v>24.81</v>
      </c>
      <c r="D73" s="59">
        <v>17.59</v>
      </c>
      <c r="E73" s="59">
        <v>1.55</v>
      </c>
      <c r="F73" s="59">
        <v>11.94</v>
      </c>
      <c r="G73" s="59">
        <v>27.16</v>
      </c>
      <c r="H73" s="59">
        <v>13.83</v>
      </c>
      <c r="I73" s="59">
        <v>0.5</v>
      </c>
      <c r="J73" s="59">
        <v>1.23</v>
      </c>
      <c r="K73" s="59">
        <v>206.25</v>
      </c>
      <c r="L73" s="59">
        <v>32.159999999999997</v>
      </c>
      <c r="M73" s="59">
        <v>34.53</v>
      </c>
      <c r="N73" s="59">
        <v>123.8</v>
      </c>
      <c r="O73" s="59">
        <v>0</v>
      </c>
      <c r="P73" s="59">
        <v>0.39</v>
      </c>
      <c r="Q73" s="59">
        <v>36.049999999999997</v>
      </c>
      <c r="R73" s="197"/>
      <c r="S73" s="197"/>
      <c r="T73" s="197"/>
      <c r="U73" s="197"/>
    </row>
    <row r="74" spans="1:21" s="12" customFormat="1" x14ac:dyDescent="0.25">
      <c r="A74" s="200" t="s">
        <v>3098</v>
      </c>
      <c r="B74" s="59">
        <v>2.4700000000000002</v>
      </c>
      <c r="C74" s="59">
        <v>22.97</v>
      </c>
      <c r="D74" s="59">
        <v>16.399999999999999</v>
      </c>
      <c r="E74" s="59">
        <v>1.94</v>
      </c>
      <c r="F74" s="59">
        <v>14.72</v>
      </c>
      <c r="G74" s="59">
        <v>27.16</v>
      </c>
      <c r="H74" s="59">
        <v>13.83</v>
      </c>
      <c r="I74" s="59">
        <v>0.5</v>
      </c>
      <c r="J74" s="59">
        <v>1.1599999999999999</v>
      </c>
      <c r="K74" s="59">
        <v>204.02</v>
      </c>
      <c r="L74" s="59">
        <v>32.14</v>
      </c>
      <c r="M74" s="59">
        <v>34.24</v>
      </c>
      <c r="N74" s="59">
        <v>103.3</v>
      </c>
      <c r="O74" s="59">
        <v>0</v>
      </c>
      <c r="P74" s="59">
        <v>0.39</v>
      </c>
      <c r="Q74" s="59">
        <v>33.92</v>
      </c>
      <c r="R74" s="197"/>
      <c r="S74" s="197"/>
      <c r="T74" s="197"/>
      <c r="U74" s="197"/>
    </row>
    <row r="75" spans="1:21" s="12" customFormat="1" x14ac:dyDescent="0.25">
      <c r="A75" s="200" t="s">
        <v>3099</v>
      </c>
      <c r="B75" s="59">
        <v>2.4900000000000002</v>
      </c>
      <c r="C75" s="59">
        <v>22.23</v>
      </c>
      <c r="D75" s="59">
        <v>16.010000000000002</v>
      </c>
      <c r="E75" s="59">
        <v>1.48</v>
      </c>
      <c r="F75" s="59">
        <v>11.69</v>
      </c>
      <c r="G75" s="59">
        <v>30.16</v>
      </c>
      <c r="H75" s="59">
        <v>13.85</v>
      </c>
      <c r="I75" s="59">
        <v>0.49</v>
      </c>
      <c r="J75" s="59">
        <v>0.77</v>
      </c>
      <c r="K75" s="59">
        <v>237.01</v>
      </c>
      <c r="L75" s="59">
        <v>31.78</v>
      </c>
      <c r="M75" s="59">
        <v>35.31</v>
      </c>
      <c r="N75" s="59">
        <v>84.3</v>
      </c>
      <c r="O75" s="59">
        <v>0</v>
      </c>
      <c r="P75" s="59">
        <v>0.39</v>
      </c>
      <c r="Q75" s="59">
        <v>33.46</v>
      </c>
      <c r="R75" s="197"/>
      <c r="S75" s="197"/>
      <c r="T75" s="197"/>
      <c r="U75" s="197"/>
    </row>
    <row r="76" spans="1:21" s="12" customFormat="1" x14ac:dyDescent="0.25">
      <c r="A76" s="200" t="s">
        <v>3100</v>
      </c>
      <c r="B76" s="59">
        <v>2.69</v>
      </c>
      <c r="C76" s="59">
        <v>21.75</v>
      </c>
      <c r="D76" s="59">
        <v>15.9</v>
      </c>
      <c r="E76" s="59">
        <v>2.02</v>
      </c>
      <c r="F76" s="59">
        <v>14.79</v>
      </c>
      <c r="G76" s="59">
        <v>30.23</v>
      </c>
      <c r="H76" s="59">
        <v>13.85</v>
      </c>
      <c r="I76" s="59">
        <v>0.49</v>
      </c>
      <c r="J76" s="59">
        <v>0.69</v>
      </c>
      <c r="K76" s="59">
        <v>219.98</v>
      </c>
      <c r="L76" s="59">
        <v>31.64</v>
      </c>
      <c r="M76" s="59">
        <v>36.71</v>
      </c>
      <c r="N76" s="59">
        <v>82.5</v>
      </c>
      <c r="O76" s="59">
        <v>0</v>
      </c>
      <c r="P76" s="59">
        <v>0.39</v>
      </c>
      <c r="Q76" s="59">
        <v>32.85</v>
      </c>
      <c r="R76" s="197"/>
      <c r="S76" s="197"/>
      <c r="T76" s="197"/>
      <c r="U76" s="197"/>
    </row>
    <row r="77" spans="1:21" s="12" customFormat="1" x14ac:dyDescent="0.25">
      <c r="A77" s="200" t="s">
        <v>3101</v>
      </c>
      <c r="B77" s="59">
        <v>2.82</v>
      </c>
      <c r="C77" s="59">
        <v>20.329999999999998</v>
      </c>
      <c r="D77" s="59">
        <v>15.22</v>
      </c>
      <c r="E77" s="59">
        <v>1.55</v>
      </c>
      <c r="F77" s="59">
        <v>13.06</v>
      </c>
      <c r="G77" s="59">
        <v>30.23</v>
      </c>
      <c r="H77" s="59">
        <v>13.85</v>
      </c>
      <c r="I77" s="59">
        <v>0.49</v>
      </c>
      <c r="J77" s="59">
        <v>0.48</v>
      </c>
      <c r="K77" s="59">
        <v>245.37</v>
      </c>
      <c r="L77" s="59">
        <v>31.4</v>
      </c>
      <c r="M77" s="59">
        <v>37.42</v>
      </c>
      <c r="N77" s="59">
        <v>65.599999999999994</v>
      </c>
      <c r="O77" s="59">
        <v>0</v>
      </c>
      <c r="P77" s="59">
        <v>0.38</v>
      </c>
      <c r="Q77" s="59">
        <v>25.6</v>
      </c>
      <c r="R77" s="197"/>
      <c r="S77" s="197"/>
      <c r="T77" s="197"/>
      <c r="U77" s="197"/>
    </row>
    <row r="78" spans="1:21" s="12" customFormat="1" x14ac:dyDescent="0.25">
      <c r="A78" s="200" t="s">
        <v>3102</v>
      </c>
      <c r="B78" s="59">
        <v>2.63</v>
      </c>
      <c r="C78" s="59">
        <v>20.100000000000001</v>
      </c>
      <c r="D78" s="59">
        <v>14.94</v>
      </c>
      <c r="E78" s="59">
        <v>2.17</v>
      </c>
      <c r="F78" s="59">
        <v>25.31</v>
      </c>
      <c r="G78" s="59">
        <v>30.23</v>
      </c>
      <c r="H78" s="59">
        <v>13.85</v>
      </c>
      <c r="I78" s="59">
        <v>0.49</v>
      </c>
      <c r="J78" s="59">
        <v>0.62</v>
      </c>
      <c r="K78" s="59">
        <v>239.53</v>
      </c>
      <c r="L78" s="59">
        <v>31.25</v>
      </c>
      <c r="M78" s="59">
        <v>37.99</v>
      </c>
      <c r="N78" s="59">
        <v>47.3</v>
      </c>
      <c r="O78" s="59">
        <v>0</v>
      </c>
      <c r="P78" s="59">
        <v>0.4</v>
      </c>
      <c r="Q78" s="59">
        <v>22.07</v>
      </c>
      <c r="R78" s="197"/>
      <c r="S78" s="197"/>
      <c r="T78" s="197"/>
      <c r="U78" s="197"/>
    </row>
    <row r="79" spans="1:21" s="12" customFormat="1" x14ac:dyDescent="0.25">
      <c r="A79" s="200" t="s">
        <v>3103</v>
      </c>
      <c r="B79" s="59">
        <v>2.44</v>
      </c>
      <c r="C79" s="59">
        <v>40.78</v>
      </c>
      <c r="D79" s="59">
        <v>26.2</v>
      </c>
      <c r="E79" s="59">
        <v>2.2400000000000002</v>
      </c>
      <c r="F79" s="59">
        <v>30.46</v>
      </c>
      <c r="G79" s="59">
        <v>28.98</v>
      </c>
      <c r="H79" s="59">
        <v>12.94</v>
      </c>
      <c r="I79" s="59">
        <v>0.49</v>
      </c>
      <c r="J79" s="59">
        <v>0.52</v>
      </c>
      <c r="K79" s="59">
        <v>217.88</v>
      </c>
      <c r="L79" s="59">
        <v>31.06</v>
      </c>
      <c r="M79" s="59">
        <v>38.479999999999997</v>
      </c>
      <c r="N79" s="59">
        <v>32</v>
      </c>
      <c r="O79" s="59">
        <v>0</v>
      </c>
      <c r="P79" s="59">
        <v>0.41</v>
      </c>
      <c r="Q79" s="59">
        <v>27.69</v>
      </c>
      <c r="R79" s="197"/>
      <c r="S79" s="197"/>
      <c r="T79" s="197"/>
      <c r="U79" s="197"/>
    </row>
    <row r="80" spans="1:21" s="12" customFormat="1" x14ac:dyDescent="0.25">
      <c r="A80" s="200" t="s">
        <v>3104</v>
      </c>
      <c r="B80" s="59">
        <v>2.56</v>
      </c>
      <c r="C80" s="59">
        <v>39.42</v>
      </c>
      <c r="D80" s="59">
        <v>25.54</v>
      </c>
      <c r="E80" s="59">
        <v>3.41</v>
      </c>
      <c r="F80" s="59">
        <v>37.520000000000003</v>
      </c>
      <c r="G80" s="59">
        <v>28.95</v>
      </c>
      <c r="H80" s="59">
        <v>12.92</v>
      </c>
      <c r="I80" s="59">
        <v>0.49</v>
      </c>
      <c r="J80" s="59">
        <v>0.3</v>
      </c>
      <c r="K80" s="59">
        <v>234.02</v>
      </c>
      <c r="L80" s="59">
        <v>30.8</v>
      </c>
      <c r="M80" s="59">
        <v>39.340000000000003</v>
      </c>
      <c r="N80" s="59">
        <v>18</v>
      </c>
      <c r="O80" s="59">
        <v>0</v>
      </c>
      <c r="P80" s="59">
        <v>0.45</v>
      </c>
      <c r="Q80" s="59">
        <v>33.68</v>
      </c>
      <c r="R80" s="197"/>
      <c r="S80" s="197"/>
      <c r="T80" s="197"/>
      <c r="U80" s="197"/>
    </row>
    <row r="81" spans="1:26" s="12" customFormat="1" x14ac:dyDescent="0.25">
      <c r="A81" s="200" t="s">
        <v>3105</v>
      </c>
      <c r="B81" s="59">
        <v>2.73</v>
      </c>
      <c r="C81" s="59">
        <v>32.81</v>
      </c>
      <c r="D81" s="59">
        <v>22.04</v>
      </c>
      <c r="E81" s="59">
        <v>3.95</v>
      </c>
      <c r="F81" s="59">
        <v>41.73</v>
      </c>
      <c r="G81" s="59">
        <v>28.95</v>
      </c>
      <c r="H81" s="59">
        <v>12.92</v>
      </c>
      <c r="I81" s="59">
        <v>0.48</v>
      </c>
      <c r="J81" s="59">
        <v>0.11</v>
      </c>
      <c r="K81" s="59">
        <v>291.25</v>
      </c>
      <c r="L81" s="59">
        <v>30.48</v>
      </c>
      <c r="M81" s="59">
        <v>39.89</v>
      </c>
      <c r="N81" s="59">
        <v>8.6</v>
      </c>
      <c r="O81" s="59">
        <v>0</v>
      </c>
      <c r="P81" s="59">
        <v>0.49</v>
      </c>
      <c r="Q81" s="59">
        <v>32.729999999999997</v>
      </c>
      <c r="R81" s="197"/>
      <c r="S81" s="197"/>
      <c r="T81" s="197"/>
      <c r="U81" s="197"/>
    </row>
    <row r="82" spans="1:26" s="12" customFormat="1" x14ac:dyDescent="0.25">
      <c r="A82" s="200" t="s">
        <v>3106</v>
      </c>
      <c r="B82" s="59">
        <v>2.91</v>
      </c>
      <c r="C82" s="59">
        <v>34.28</v>
      </c>
      <c r="D82" s="59">
        <v>22.99</v>
      </c>
      <c r="E82" s="59">
        <v>4.46</v>
      </c>
      <c r="F82" s="59">
        <v>38.26</v>
      </c>
      <c r="G82" s="59">
        <v>28.95</v>
      </c>
      <c r="H82" s="59">
        <v>12.92</v>
      </c>
      <c r="I82" s="59">
        <v>0.48</v>
      </c>
      <c r="J82" s="59">
        <v>0.21</v>
      </c>
      <c r="K82" s="59">
        <v>269.64</v>
      </c>
      <c r="L82" s="59">
        <v>30.24</v>
      </c>
      <c r="M82" s="59">
        <v>40.4</v>
      </c>
      <c r="N82" s="59">
        <v>4.5</v>
      </c>
      <c r="O82" s="59">
        <v>0</v>
      </c>
      <c r="P82" s="59">
        <v>0.56000000000000005</v>
      </c>
      <c r="Q82" s="59">
        <v>30.01</v>
      </c>
      <c r="R82" s="197"/>
      <c r="S82" s="197"/>
      <c r="T82" s="197"/>
      <c r="U82" s="197"/>
    </row>
    <row r="83" spans="1:26" s="12" customFormat="1" x14ac:dyDescent="0.25">
      <c r="A83" s="200" t="s">
        <v>3107</v>
      </c>
      <c r="B83" s="59">
        <v>4.01</v>
      </c>
      <c r="C83" s="59">
        <v>50.96</v>
      </c>
      <c r="D83" s="59">
        <v>33.08</v>
      </c>
      <c r="E83" s="59">
        <v>4.41</v>
      </c>
      <c r="F83" s="59">
        <v>30.71</v>
      </c>
      <c r="G83" s="59">
        <v>33.78</v>
      </c>
      <c r="H83" s="59">
        <v>13.16</v>
      </c>
      <c r="I83" s="59">
        <v>0.49</v>
      </c>
      <c r="J83" s="59">
        <v>0.24</v>
      </c>
      <c r="K83" s="59">
        <v>225.76</v>
      </c>
      <c r="L83" s="59">
        <v>29.95</v>
      </c>
      <c r="M83" s="59">
        <v>41.48</v>
      </c>
      <c r="N83" s="59">
        <v>3.9</v>
      </c>
      <c r="O83" s="59">
        <v>0</v>
      </c>
      <c r="P83" s="59">
        <v>0.57999999999999996</v>
      </c>
      <c r="Q83" s="59">
        <v>33.01</v>
      </c>
      <c r="R83" s="197"/>
      <c r="S83" s="197"/>
      <c r="T83" s="197"/>
      <c r="U83" s="197"/>
    </row>
    <row r="84" spans="1:26" s="12" customFormat="1" x14ac:dyDescent="0.25">
      <c r="A84" s="200" t="s">
        <v>3108</v>
      </c>
      <c r="B84" s="59">
        <v>4.03</v>
      </c>
      <c r="C84" s="59">
        <v>52.28</v>
      </c>
      <c r="D84" s="59">
        <v>33.82</v>
      </c>
      <c r="E84" s="59">
        <v>4.09</v>
      </c>
      <c r="F84" s="59">
        <v>27.48</v>
      </c>
      <c r="G84" s="59">
        <v>33.89</v>
      </c>
      <c r="H84" s="59">
        <v>13.17</v>
      </c>
      <c r="I84" s="59">
        <v>0.52</v>
      </c>
      <c r="J84" s="59">
        <v>0.09</v>
      </c>
      <c r="K84" s="59">
        <v>247.99</v>
      </c>
      <c r="L84" s="59">
        <v>29.72</v>
      </c>
      <c r="M84" s="59">
        <v>42.2</v>
      </c>
      <c r="N84" s="59">
        <v>4.2</v>
      </c>
      <c r="O84" s="59">
        <v>0</v>
      </c>
      <c r="P84" s="59">
        <v>0.7</v>
      </c>
      <c r="Q84" s="59">
        <v>34.159999999999997</v>
      </c>
      <c r="R84" s="197"/>
      <c r="S84" s="197"/>
      <c r="T84" s="197"/>
      <c r="U84" s="197"/>
    </row>
    <row r="85" spans="1:26" s="12" customFormat="1" x14ac:dyDescent="0.25">
      <c r="A85" s="200" t="s">
        <v>3109</v>
      </c>
      <c r="B85" s="59">
        <v>4.97</v>
      </c>
      <c r="C85" s="59">
        <v>60.1</v>
      </c>
      <c r="D85" s="59">
        <v>38.9</v>
      </c>
      <c r="E85" s="59">
        <v>4.0599999999999996</v>
      </c>
      <c r="F85" s="59">
        <v>23.87</v>
      </c>
      <c r="G85" s="59">
        <v>33.89</v>
      </c>
      <c r="H85" s="59">
        <v>13.17</v>
      </c>
      <c r="I85" s="59">
        <v>0.54</v>
      </c>
      <c r="J85" s="59">
        <v>0.1</v>
      </c>
      <c r="K85" s="59">
        <v>133.22</v>
      </c>
      <c r="L85" s="59">
        <v>29.27</v>
      </c>
      <c r="M85" s="59">
        <v>43.87</v>
      </c>
      <c r="N85" s="59">
        <v>4.5</v>
      </c>
      <c r="O85" s="59">
        <v>0</v>
      </c>
      <c r="P85" s="59">
        <v>0.74</v>
      </c>
      <c r="Q85" s="59">
        <v>30.25</v>
      </c>
      <c r="R85" s="197"/>
      <c r="S85" s="197"/>
      <c r="T85" s="197"/>
      <c r="U85" s="197"/>
    </row>
    <row r="86" spans="1:26" s="12" customFormat="1" x14ac:dyDescent="0.25">
      <c r="A86" s="200" t="s">
        <v>3110</v>
      </c>
      <c r="B86" s="59">
        <v>38.520000000000003</v>
      </c>
      <c r="C86" s="59">
        <v>81.05</v>
      </c>
      <c r="D86" s="59">
        <v>77.36</v>
      </c>
      <c r="E86" s="59">
        <v>3.81</v>
      </c>
      <c r="F86" s="59">
        <v>7.79</v>
      </c>
      <c r="G86" s="59">
        <v>33.89</v>
      </c>
      <c r="H86" s="59">
        <v>13.17</v>
      </c>
      <c r="I86" s="59">
        <v>0.55000000000000004</v>
      </c>
      <c r="J86" s="59">
        <v>0.18</v>
      </c>
      <c r="K86" s="59">
        <v>36.36</v>
      </c>
      <c r="L86" s="59">
        <v>28.53</v>
      </c>
      <c r="M86" s="59">
        <v>48.77</v>
      </c>
      <c r="N86" s="59">
        <v>4.5</v>
      </c>
      <c r="O86" s="59">
        <v>0</v>
      </c>
      <c r="P86" s="59">
        <v>1.79</v>
      </c>
      <c r="Q86" s="59">
        <v>34.590000000000003</v>
      </c>
      <c r="R86" s="197"/>
      <c r="S86" s="197"/>
      <c r="T86" s="197"/>
      <c r="U86" s="197"/>
    </row>
    <row r="87" spans="1:26" s="12" customFormat="1" x14ac:dyDescent="0.25">
      <c r="A87" s="200" t="s">
        <v>3111</v>
      </c>
      <c r="B87" s="59">
        <v>61.69</v>
      </c>
      <c r="C87" s="59">
        <v>85.65</v>
      </c>
      <c r="D87" s="59">
        <v>98.48</v>
      </c>
      <c r="E87" s="59">
        <v>4.4400000000000004</v>
      </c>
      <c r="F87" s="59">
        <v>4.41</v>
      </c>
      <c r="G87" s="59">
        <v>47.33</v>
      </c>
      <c r="H87" s="59">
        <v>19.73</v>
      </c>
      <c r="I87" s="59">
        <v>0.61</v>
      </c>
      <c r="J87" s="59">
        <v>0.09</v>
      </c>
      <c r="K87" s="59">
        <v>71.010000000000005</v>
      </c>
      <c r="L87" s="59">
        <v>27.9</v>
      </c>
      <c r="M87" s="59">
        <v>51.03</v>
      </c>
      <c r="N87" s="59">
        <v>4.2</v>
      </c>
      <c r="O87" s="59">
        <v>0</v>
      </c>
      <c r="P87" s="59">
        <v>2.12</v>
      </c>
      <c r="Q87" s="59">
        <v>32.93</v>
      </c>
      <c r="R87" s="197"/>
      <c r="S87" s="197"/>
      <c r="T87" s="197"/>
      <c r="U87" s="197"/>
    </row>
    <row r="88" spans="1:26" s="12" customFormat="1" x14ac:dyDescent="0.25">
      <c r="A88" s="200" t="s">
        <v>3112</v>
      </c>
      <c r="B88" s="59">
        <v>20.62</v>
      </c>
      <c r="C88" s="59">
        <v>45.08</v>
      </c>
      <c r="D88" s="59">
        <v>43.16</v>
      </c>
      <c r="E88" s="59">
        <v>2.12</v>
      </c>
      <c r="F88" s="59">
        <v>7.93</v>
      </c>
      <c r="G88" s="59">
        <v>47.64</v>
      </c>
      <c r="H88" s="59">
        <v>19.73</v>
      </c>
      <c r="I88" s="59">
        <v>0.75</v>
      </c>
      <c r="J88" s="59">
        <v>1.42</v>
      </c>
      <c r="K88" s="59">
        <v>23.61</v>
      </c>
      <c r="L88" s="59">
        <v>27.43</v>
      </c>
      <c r="M88" s="59">
        <v>50.52</v>
      </c>
      <c r="N88" s="59">
        <v>5.5</v>
      </c>
      <c r="O88" s="59">
        <v>0</v>
      </c>
      <c r="P88" s="59">
        <v>1.32</v>
      </c>
      <c r="Q88" s="59">
        <v>39.270000000000003</v>
      </c>
      <c r="R88" s="197"/>
      <c r="S88" s="197"/>
      <c r="T88" s="197"/>
      <c r="U88" s="197"/>
    </row>
    <row r="89" spans="1:26" s="12" customFormat="1" x14ac:dyDescent="0.25">
      <c r="A89" s="200" t="s">
        <v>3113</v>
      </c>
      <c r="B89" s="59">
        <v>15.28</v>
      </c>
      <c r="C89" s="59">
        <v>32.950000000000003</v>
      </c>
      <c r="D89" s="59">
        <v>32.17</v>
      </c>
      <c r="E89" s="59">
        <v>2.93</v>
      </c>
      <c r="F89" s="59">
        <v>10.62</v>
      </c>
      <c r="G89" s="59">
        <v>47.64</v>
      </c>
      <c r="H89" s="59">
        <v>19.73</v>
      </c>
      <c r="I89" s="59">
        <v>0.8</v>
      </c>
      <c r="J89" s="59">
        <v>1.87</v>
      </c>
      <c r="K89" s="59">
        <v>26.22</v>
      </c>
      <c r="L89" s="59">
        <v>26.58</v>
      </c>
      <c r="M89" s="59">
        <v>48.81</v>
      </c>
      <c r="N89" s="59">
        <v>5.2</v>
      </c>
      <c r="O89" s="59">
        <v>0</v>
      </c>
      <c r="P89" s="59">
        <v>0.86</v>
      </c>
      <c r="Q89" s="59">
        <v>36.67</v>
      </c>
      <c r="R89" s="197"/>
      <c r="S89" s="197"/>
      <c r="T89" s="197"/>
      <c r="U89" s="197"/>
    </row>
    <row r="90" spans="1:26" s="12" customFormat="1" x14ac:dyDescent="0.25">
      <c r="A90" s="200" t="s">
        <v>3114</v>
      </c>
      <c r="B90" s="59">
        <v>12.12</v>
      </c>
      <c r="C90" s="59">
        <v>33.659999999999997</v>
      </c>
      <c r="D90" s="59">
        <v>30.04</v>
      </c>
      <c r="E90" s="59">
        <v>2.87</v>
      </c>
      <c r="F90" s="59">
        <v>7.88</v>
      </c>
      <c r="G90" s="59">
        <v>47.64</v>
      </c>
      <c r="H90" s="59">
        <v>19.73</v>
      </c>
      <c r="I90" s="59">
        <v>0.73</v>
      </c>
      <c r="J90" s="59">
        <v>1.96</v>
      </c>
      <c r="K90" s="59">
        <v>15.19</v>
      </c>
      <c r="L90" s="59">
        <v>25.98</v>
      </c>
      <c r="M90" s="59">
        <v>52.42</v>
      </c>
      <c r="N90" s="59">
        <v>6</v>
      </c>
      <c r="O90" s="59">
        <v>0</v>
      </c>
      <c r="P90" s="59">
        <v>0.88</v>
      </c>
      <c r="Q90" s="59">
        <v>32.69</v>
      </c>
      <c r="R90" s="197"/>
      <c r="S90" s="197"/>
      <c r="T90" s="197"/>
      <c r="U90" s="197"/>
    </row>
    <row r="91" spans="1:26" s="12" customFormat="1" x14ac:dyDescent="0.25">
      <c r="A91" s="200" t="s">
        <v>3115</v>
      </c>
      <c r="B91" s="59">
        <v>9.43</v>
      </c>
      <c r="C91" s="59">
        <v>34.840000000000003</v>
      </c>
      <c r="D91" s="59">
        <v>28.53</v>
      </c>
      <c r="E91" s="59">
        <v>2.19</v>
      </c>
      <c r="F91" s="59">
        <v>5.95</v>
      </c>
      <c r="G91" s="59">
        <v>79.06</v>
      </c>
      <c r="H91" s="59">
        <v>21.66</v>
      </c>
      <c r="I91" s="59">
        <v>0.65</v>
      </c>
      <c r="J91" s="59">
        <v>2.11</v>
      </c>
      <c r="K91" s="59">
        <v>21.13</v>
      </c>
      <c r="L91" s="59">
        <v>23.08</v>
      </c>
      <c r="M91" s="59">
        <v>74.760000000000005</v>
      </c>
      <c r="N91" s="59">
        <v>9.6999999999999993</v>
      </c>
      <c r="O91" s="59">
        <v>1</v>
      </c>
      <c r="P91" s="59">
        <v>0.84</v>
      </c>
      <c r="Q91" s="59">
        <v>29.55</v>
      </c>
      <c r="R91" s="197"/>
      <c r="S91" s="197"/>
      <c r="T91" s="197"/>
      <c r="U91" s="197"/>
    </row>
    <row r="92" spans="1:26" s="12" customFormat="1" x14ac:dyDescent="0.25">
      <c r="A92" s="200" t="s">
        <v>3116</v>
      </c>
      <c r="B92" s="59">
        <v>6.97</v>
      </c>
      <c r="C92" s="59">
        <v>39.119999999999997</v>
      </c>
      <c r="D92" s="59">
        <v>28.92</v>
      </c>
      <c r="E92" s="59">
        <v>2.34</v>
      </c>
      <c r="F92" s="59">
        <v>4.0199999999999996</v>
      </c>
      <c r="G92" s="59">
        <v>79.77</v>
      </c>
      <c r="H92" s="59">
        <v>21.81</v>
      </c>
      <c r="I92" s="59">
        <v>0.65</v>
      </c>
      <c r="J92" s="59">
        <v>1.28</v>
      </c>
      <c r="K92" s="59">
        <v>16.489999999999998</v>
      </c>
      <c r="L92" s="59">
        <v>21.41</v>
      </c>
      <c r="M92" s="59">
        <v>86.7</v>
      </c>
      <c r="N92" s="59">
        <v>4.8</v>
      </c>
      <c r="O92" s="59">
        <v>1</v>
      </c>
      <c r="P92" s="59">
        <v>0.82</v>
      </c>
      <c r="Q92" s="59">
        <v>35.64</v>
      </c>
      <c r="R92" s="197"/>
      <c r="S92" s="197"/>
      <c r="T92" s="197"/>
      <c r="U92" s="197"/>
    </row>
    <row r="93" spans="1:26" s="12" customFormat="1" x14ac:dyDescent="0.25">
      <c r="A93" s="200" t="s">
        <v>3117</v>
      </c>
      <c r="B93" s="59">
        <v>5.29</v>
      </c>
      <c r="C93" s="59">
        <v>42.99</v>
      </c>
      <c r="D93" s="59">
        <v>29.71</v>
      </c>
      <c r="E93" s="59">
        <v>1.64</v>
      </c>
      <c r="F93" s="59">
        <v>9.57</v>
      </c>
      <c r="G93" s="59">
        <v>79.77</v>
      </c>
      <c r="H93" s="59">
        <v>21.81</v>
      </c>
      <c r="I93" s="59">
        <v>0.64</v>
      </c>
      <c r="J93" s="59">
        <v>3.18</v>
      </c>
      <c r="K93" s="59">
        <v>10.69</v>
      </c>
      <c r="L93" s="59">
        <v>19.899999999999999</v>
      </c>
      <c r="M93" s="59">
        <v>79.98</v>
      </c>
      <c r="N93" s="59">
        <v>10.3</v>
      </c>
      <c r="O93" s="59">
        <v>6.6</v>
      </c>
      <c r="P93" s="59">
        <v>0.73</v>
      </c>
      <c r="Q93" s="59">
        <v>31.08</v>
      </c>
      <c r="R93" s="197"/>
      <c r="S93" s="197"/>
      <c r="T93" s="197"/>
      <c r="U93" s="197"/>
    </row>
    <row r="94" spans="1:26" s="12" customFormat="1" x14ac:dyDescent="0.25">
      <c r="A94" s="200" t="s">
        <v>3118</v>
      </c>
      <c r="B94" s="59">
        <v>3.71</v>
      </c>
      <c r="C94" s="59">
        <v>49.52</v>
      </c>
      <c r="D94" s="59">
        <v>32.04</v>
      </c>
      <c r="E94" s="59">
        <v>2.0099999999999998</v>
      </c>
      <c r="F94" s="59">
        <v>10.34</v>
      </c>
      <c r="G94" s="59">
        <v>79.77</v>
      </c>
      <c r="H94" s="59">
        <v>21.81</v>
      </c>
      <c r="I94" s="59">
        <v>0.61</v>
      </c>
      <c r="J94" s="59">
        <v>0.9</v>
      </c>
      <c r="K94" s="59">
        <v>100.76</v>
      </c>
      <c r="L94" s="59">
        <v>20.34</v>
      </c>
      <c r="M94" s="59">
        <v>69.900000000000006</v>
      </c>
      <c r="N94" s="59">
        <v>5.9</v>
      </c>
      <c r="O94" s="59">
        <v>0.2</v>
      </c>
      <c r="P94" s="59">
        <v>0.65</v>
      </c>
      <c r="Q94" s="59">
        <v>32.64</v>
      </c>
      <c r="R94" s="197"/>
      <c r="S94" s="197"/>
      <c r="T94" s="197"/>
      <c r="U94" s="197"/>
    </row>
    <row r="95" spans="1:26" s="12" customFormat="1" x14ac:dyDescent="0.25">
      <c r="A95" s="200" t="s">
        <v>3119</v>
      </c>
      <c r="B95" s="59">
        <v>3.62</v>
      </c>
      <c r="C95" s="59">
        <v>50.74</v>
      </c>
      <c r="D95" s="59">
        <v>32.64</v>
      </c>
      <c r="E95" s="59">
        <v>1.54</v>
      </c>
      <c r="F95" s="59">
        <v>7.3</v>
      </c>
      <c r="G95" s="59">
        <v>50.98</v>
      </c>
      <c r="H95" s="59">
        <v>18.36</v>
      </c>
      <c r="I95" s="59">
        <v>0.57999999999999996</v>
      </c>
      <c r="J95" s="59">
        <v>0.28999999999999998</v>
      </c>
      <c r="K95" s="59">
        <v>143.74</v>
      </c>
      <c r="L95" s="59">
        <v>21.59</v>
      </c>
      <c r="M95" s="59">
        <v>71.87</v>
      </c>
      <c r="N95" s="59">
        <v>5.7</v>
      </c>
      <c r="O95" s="59">
        <v>0</v>
      </c>
      <c r="P95" s="59">
        <v>0.66</v>
      </c>
      <c r="Q95" s="59">
        <v>33.880000000000003</v>
      </c>
      <c r="R95" s="197"/>
      <c r="S95" s="197"/>
      <c r="T95" s="197"/>
      <c r="U95" s="197"/>
    </row>
    <row r="96" spans="1:26" s="12" customFormat="1" x14ac:dyDescent="0.25">
      <c r="A96" s="200" t="s">
        <v>3120</v>
      </c>
      <c r="B96" s="59">
        <v>3.75</v>
      </c>
      <c r="C96" s="59">
        <v>46.1</v>
      </c>
      <c r="D96" s="59">
        <v>30.19</v>
      </c>
      <c r="E96" s="59">
        <v>1.85</v>
      </c>
      <c r="F96" s="59">
        <v>5.5</v>
      </c>
      <c r="G96" s="59">
        <v>50.33</v>
      </c>
      <c r="H96" s="59">
        <v>17.37</v>
      </c>
      <c r="I96" s="59">
        <v>0.55000000000000004</v>
      </c>
      <c r="J96" s="59">
        <v>1.81</v>
      </c>
      <c r="K96" s="59">
        <v>118.66</v>
      </c>
      <c r="L96" s="59">
        <v>22.6</v>
      </c>
      <c r="M96" s="59">
        <v>65.900000000000006</v>
      </c>
      <c r="N96" s="59">
        <v>7.7</v>
      </c>
      <c r="O96" s="59">
        <v>0</v>
      </c>
      <c r="P96" s="59">
        <v>0.66</v>
      </c>
      <c r="Q96" s="59">
        <v>34.96</v>
      </c>
      <c r="R96" s="197"/>
      <c r="S96" s="197"/>
      <c r="T96" s="215"/>
      <c r="U96" s="197"/>
      <c r="Z96" s="108"/>
    </row>
    <row r="97" spans="1:33" s="12" customFormat="1" x14ac:dyDescent="0.25">
      <c r="A97" s="200" t="s">
        <v>3121</v>
      </c>
      <c r="B97" s="59">
        <v>3.96</v>
      </c>
      <c r="C97" s="59">
        <v>43.92</v>
      </c>
      <c r="D97" s="59">
        <v>29.15</v>
      </c>
      <c r="E97" s="59">
        <v>1.69</v>
      </c>
      <c r="F97" s="59">
        <v>4.59</v>
      </c>
      <c r="G97" s="59">
        <v>50.33</v>
      </c>
      <c r="H97" s="59">
        <v>17.37</v>
      </c>
      <c r="I97" s="59">
        <v>0.57999999999999996</v>
      </c>
      <c r="J97" s="59">
        <v>2.21</v>
      </c>
      <c r="K97" s="59">
        <v>112.18</v>
      </c>
      <c r="L97" s="59">
        <v>22.8</v>
      </c>
      <c r="M97" s="59">
        <v>65.5</v>
      </c>
      <c r="N97" s="59">
        <v>5.0999999999999996</v>
      </c>
      <c r="O97" s="59">
        <v>0</v>
      </c>
      <c r="P97" s="59">
        <v>0.65</v>
      </c>
      <c r="Q97" s="59">
        <v>36.58</v>
      </c>
      <c r="R97" s="197"/>
      <c r="S97" s="197"/>
      <c r="T97" s="197"/>
      <c r="U97" s="197"/>
    </row>
    <row r="98" spans="1:33" s="12" customFormat="1" x14ac:dyDescent="0.25">
      <c r="A98" s="200" t="s">
        <v>3122</v>
      </c>
      <c r="B98" s="59">
        <v>4.21</v>
      </c>
      <c r="C98" s="59">
        <v>40.24</v>
      </c>
      <c r="D98" s="59">
        <v>27.32</v>
      </c>
      <c r="E98" s="59">
        <v>2.11</v>
      </c>
      <c r="F98" s="59">
        <v>4.91</v>
      </c>
      <c r="G98" s="59">
        <v>50.33</v>
      </c>
      <c r="H98" s="59">
        <v>17.37</v>
      </c>
      <c r="I98" s="59">
        <v>0.59</v>
      </c>
      <c r="J98" s="59">
        <v>2.61</v>
      </c>
      <c r="K98" s="59">
        <v>115.06</v>
      </c>
      <c r="L98" s="59">
        <v>22.59</v>
      </c>
      <c r="M98" s="59">
        <v>67.34</v>
      </c>
      <c r="N98" s="59">
        <v>3.3</v>
      </c>
      <c r="O98" s="59">
        <v>0</v>
      </c>
      <c r="P98" s="59">
        <v>0.63</v>
      </c>
      <c r="Q98" s="59">
        <v>38.42</v>
      </c>
      <c r="R98" s="197"/>
      <c r="S98" s="197"/>
      <c r="T98" s="197"/>
      <c r="U98" s="197"/>
    </row>
    <row r="99" spans="1:33" s="12" customFormat="1" x14ac:dyDescent="0.25">
      <c r="A99" s="200" t="s">
        <v>3123</v>
      </c>
      <c r="B99" s="59">
        <v>4.1900000000000004</v>
      </c>
      <c r="C99" s="59">
        <v>39.19</v>
      </c>
      <c r="D99" s="59">
        <v>26.72</v>
      </c>
      <c r="E99" s="59">
        <v>1.8</v>
      </c>
      <c r="F99" s="59">
        <v>4.3499999999999996</v>
      </c>
      <c r="G99" s="59">
        <v>42.62</v>
      </c>
      <c r="H99" s="59">
        <v>19.84</v>
      </c>
      <c r="I99" s="59">
        <v>0.57999999999999996</v>
      </c>
      <c r="J99" s="59">
        <v>3.12</v>
      </c>
      <c r="K99" s="59">
        <v>119.45</v>
      </c>
      <c r="L99" s="59">
        <v>22.89</v>
      </c>
      <c r="M99" s="59">
        <v>63.49</v>
      </c>
      <c r="N99" s="59">
        <v>3.7</v>
      </c>
      <c r="O99" s="59">
        <v>0</v>
      </c>
      <c r="P99" s="59">
        <v>0.61</v>
      </c>
      <c r="Q99" s="59">
        <v>38.92</v>
      </c>
      <c r="R99" s="197"/>
      <c r="S99" s="197"/>
      <c r="T99" s="197"/>
      <c r="U99" s="197"/>
    </row>
    <row r="100" spans="1:33" s="12" customFormat="1" x14ac:dyDescent="0.25">
      <c r="A100" s="200" t="s">
        <v>3124</v>
      </c>
      <c r="B100" s="59">
        <v>4.16</v>
      </c>
      <c r="C100" s="59">
        <v>39.49</v>
      </c>
      <c r="D100" s="59">
        <v>26.87</v>
      </c>
      <c r="E100" s="59">
        <v>1.83</v>
      </c>
      <c r="F100" s="59">
        <v>3.97</v>
      </c>
      <c r="G100" s="59">
        <v>42.45</v>
      </c>
      <c r="H100" s="59">
        <v>19.84</v>
      </c>
      <c r="I100" s="59">
        <v>0.56999999999999995</v>
      </c>
      <c r="J100" s="59">
        <v>3.08</v>
      </c>
      <c r="K100" s="59">
        <v>119.74</v>
      </c>
      <c r="L100" s="59">
        <v>22.97</v>
      </c>
      <c r="M100" s="59">
        <v>61.37</v>
      </c>
      <c r="N100" s="59">
        <v>4.3</v>
      </c>
      <c r="O100" s="59">
        <v>0</v>
      </c>
      <c r="P100" s="59">
        <v>0.57999999999999996</v>
      </c>
      <c r="Q100" s="59">
        <v>39.47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3125</v>
      </c>
      <c r="B101" s="59">
        <v>4.1500000000000004</v>
      </c>
      <c r="C101" s="59">
        <v>34.79</v>
      </c>
      <c r="D101" s="59">
        <v>24.26</v>
      </c>
      <c r="E101" s="59">
        <v>1.94</v>
      </c>
      <c r="F101" s="59">
        <v>3.94</v>
      </c>
      <c r="G101" s="59">
        <v>42.45</v>
      </c>
      <c r="H101" s="59">
        <v>19.84</v>
      </c>
      <c r="I101" s="59">
        <v>0.56999999999999995</v>
      </c>
      <c r="J101" s="59">
        <v>2.6</v>
      </c>
      <c r="K101" s="59">
        <v>116.15</v>
      </c>
      <c r="L101" s="59">
        <v>23.08</v>
      </c>
      <c r="M101" s="59">
        <v>59.94</v>
      </c>
      <c r="N101" s="59">
        <v>4.4000000000000004</v>
      </c>
      <c r="O101" s="59">
        <v>0</v>
      </c>
      <c r="P101" s="59">
        <v>0.56000000000000005</v>
      </c>
      <c r="Q101" s="59">
        <v>43.36</v>
      </c>
      <c r="R101" s="197"/>
      <c r="S101" s="197"/>
      <c r="T101" s="197"/>
      <c r="U101" s="197"/>
    </row>
    <row r="102" spans="1:33" s="12" customFormat="1" x14ac:dyDescent="0.25">
      <c r="A102" s="200" t="s">
        <v>3126</v>
      </c>
      <c r="B102" s="59">
        <v>4.1100000000000003</v>
      </c>
      <c r="C102" s="59">
        <v>27</v>
      </c>
      <c r="D102" s="59">
        <v>19.93</v>
      </c>
      <c r="E102" s="59">
        <v>1.95</v>
      </c>
      <c r="F102" s="59">
        <v>4.3099999999999996</v>
      </c>
      <c r="G102" s="59">
        <v>42.45</v>
      </c>
      <c r="H102" s="59">
        <v>19.84</v>
      </c>
      <c r="I102" s="59">
        <v>0.56000000000000005</v>
      </c>
      <c r="J102" s="59">
        <v>2.1</v>
      </c>
      <c r="K102" s="59">
        <v>105.37</v>
      </c>
      <c r="L102" s="59">
        <v>23.11</v>
      </c>
      <c r="M102" s="59">
        <v>59.48</v>
      </c>
      <c r="N102" s="59">
        <v>4.5</v>
      </c>
      <c r="O102" s="59">
        <v>0</v>
      </c>
      <c r="P102" s="59">
        <v>0.52</v>
      </c>
      <c r="Q102" s="59">
        <v>42.25</v>
      </c>
      <c r="R102" s="197"/>
      <c r="S102" s="197"/>
      <c r="T102" s="197"/>
      <c r="U102" s="197"/>
    </row>
    <row r="103" spans="1:33" s="12" customFormat="1" x14ac:dyDescent="0.25">
      <c r="A103" s="200" t="s">
        <v>3127</v>
      </c>
      <c r="B103" s="59">
        <v>4.09</v>
      </c>
      <c r="C103" s="59">
        <v>23.16</v>
      </c>
      <c r="D103" s="59">
        <v>17.8</v>
      </c>
      <c r="E103" s="59">
        <v>1.49</v>
      </c>
      <c r="F103" s="59">
        <v>5.12</v>
      </c>
      <c r="G103" s="59">
        <v>42.11</v>
      </c>
      <c r="H103" s="59">
        <v>13.35</v>
      </c>
      <c r="I103" s="59">
        <v>0.55000000000000004</v>
      </c>
      <c r="J103" s="59">
        <v>2.96</v>
      </c>
      <c r="K103" s="59">
        <v>104.76</v>
      </c>
      <c r="L103" s="59">
        <v>23.06</v>
      </c>
      <c r="M103" s="59">
        <v>59.31</v>
      </c>
      <c r="N103" s="59">
        <v>4.5</v>
      </c>
      <c r="O103" s="59">
        <v>0</v>
      </c>
      <c r="P103" s="59">
        <v>0.5</v>
      </c>
      <c r="Q103" s="59">
        <v>36.549999999999997</v>
      </c>
      <c r="R103" s="197"/>
      <c r="S103" s="197"/>
      <c r="T103" s="197"/>
      <c r="U103" s="197"/>
    </row>
    <row r="104" spans="1:33" s="12" customFormat="1" x14ac:dyDescent="0.25">
      <c r="A104" s="200" t="s">
        <v>3128</v>
      </c>
      <c r="B104" s="59">
        <v>3.91</v>
      </c>
      <c r="C104" s="59">
        <v>27.03</v>
      </c>
      <c r="D104" s="59">
        <v>19.79</v>
      </c>
      <c r="E104" s="59">
        <v>0.74</v>
      </c>
      <c r="F104" s="59">
        <v>4.83</v>
      </c>
      <c r="G104" s="59">
        <v>42.1</v>
      </c>
      <c r="H104" s="59">
        <v>13.2</v>
      </c>
      <c r="I104" s="59">
        <v>0.53</v>
      </c>
      <c r="J104" s="59">
        <v>2.76</v>
      </c>
      <c r="K104" s="59">
        <v>107.73</v>
      </c>
      <c r="L104" s="59">
        <v>23.11</v>
      </c>
      <c r="M104" s="59">
        <v>58.73</v>
      </c>
      <c r="N104" s="59">
        <v>4.2</v>
      </c>
      <c r="O104" s="59">
        <v>0</v>
      </c>
      <c r="P104" s="59">
        <v>0.49</v>
      </c>
      <c r="Q104" s="59">
        <v>39.68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2.44</v>
      </c>
      <c r="C106" s="66">
        <f>MIN(C9:C104)</f>
        <v>19.27</v>
      </c>
      <c r="D106" s="66">
        <f t="shared" ref="D106:Q106" si="0">MIN(D9:D104)</f>
        <v>14.4</v>
      </c>
      <c r="E106" s="66">
        <f t="shared" si="0"/>
        <v>0.74</v>
      </c>
      <c r="F106" s="66">
        <f t="shared" si="0"/>
        <v>3.11</v>
      </c>
      <c r="G106" s="66">
        <f t="shared" si="0"/>
        <v>17.829999999999998</v>
      </c>
      <c r="H106" s="66">
        <f t="shared" si="0"/>
        <v>12.36</v>
      </c>
      <c r="I106" s="66">
        <f t="shared" si="0"/>
        <v>0.47</v>
      </c>
      <c r="J106" s="66">
        <f t="shared" si="0"/>
        <v>0.01</v>
      </c>
      <c r="K106" s="66">
        <f t="shared" si="0"/>
        <v>3.09</v>
      </c>
      <c r="L106" s="66">
        <f t="shared" si="0"/>
        <v>19.899999999999999</v>
      </c>
      <c r="M106" s="66">
        <f t="shared" si="0"/>
        <v>33.450000000000003</v>
      </c>
      <c r="N106" s="66">
        <f t="shared" si="0"/>
        <v>3.3</v>
      </c>
      <c r="O106" s="66">
        <f t="shared" si="0"/>
        <v>0</v>
      </c>
      <c r="P106" s="66">
        <f t="shared" si="0"/>
        <v>0.38</v>
      </c>
      <c r="Q106" s="66">
        <f t="shared" si="0"/>
        <v>22.07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61.69</v>
      </c>
      <c r="C107" s="65">
        <f t="shared" ref="C107:Q107" si="1">MAX(C9:C104)</f>
        <v>85.65</v>
      </c>
      <c r="D107" s="65">
        <f t="shared" si="1"/>
        <v>98.48</v>
      </c>
      <c r="E107" s="65">
        <f t="shared" si="1"/>
        <v>4.46</v>
      </c>
      <c r="F107" s="65">
        <f t="shared" si="1"/>
        <v>41.73</v>
      </c>
      <c r="G107" s="65">
        <f t="shared" si="1"/>
        <v>79.77</v>
      </c>
      <c r="H107" s="65">
        <f t="shared" si="1"/>
        <v>22</v>
      </c>
      <c r="I107" s="65">
        <f t="shared" si="1"/>
        <v>0.8</v>
      </c>
      <c r="J107" s="65">
        <f t="shared" si="1"/>
        <v>3.18</v>
      </c>
      <c r="K107" s="65">
        <f t="shared" si="1"/>
        <v>355.29</v>
      </c>
      <c r="L107" s="65">
        <f t="shared" si="1"/>
        <v>32.75</v>
      </c>
      <c r="M107" s="65">
        <f t="shared" si="1"/>
        <v>86.7</v>
      </c>
      <c r="N107" s="65">
        <f t="shared" si="1"/>
        <v>868.3</v>
      </c>
      <c r="O107" s="65">
        <f t="shared" si="1"/>
        <v>6.6</v>
      </c>
      <c r="P107" s="65">
        <f t="shared" si="1"/>
        <v>2.12</v>
      </c>
      <c r="Q107" s="65">
        <f t="shared" si="1"/>
        <v>51.26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7.9164583333333347</v>
      </c>
      <c r="C108" s="66">
        <f t="shared" ref="C108:Q108" si="2">AVERAGE(C9:C104)</f>
        <v>38.54645833333332</v>
      </c>
      <c r="D108" s="66">
        <f t="shared" si="2"/>
        <v>29.362083333333342</v>
      </c>
      <c r="E108" s="66">
        <f t="shared" si="2"/>
        <v>2.4467708333333333</v>
      </c>
      <c r="F108" s="66">
        <f t="shared" si="2"/>
        <v>10.811770833333334</v>
      </c>
      <c r="G108" s="66">
        <f t="shared" si="2"/>
        <v>38.332812499999974</v>
      </c>
      <c r="H108" s="66">
        <f t="shared" si="2"/>
        <v>16.387812499999992</v>
      </c>
      <c r="I108" s="66">
        <f t="shared" si="2"/>
        <v>0.55437499999999995</v>
      </c>
      <c r="J108" s="66">
        <f t="shared" si="2"/>
        <v>0.93906249999999991</v>
      </c>
      <c r="K108" s="66">
        <f t="shared" si="2"/>
        <v>171.69739583333339</v>
      </c>
      <c r="L108" s="66">
        <f t="shared" si="2"/>
        <v>26.617708333333336</v>
      </c>
      <c r="M108" s="66">
        <f t="shared" si="2"/>
        <v>48.988124999999989</v>
      </c>
      <c r="N108" s="66">
        <f t="shared" si="2"/>
        <v>237.34479166666674</v>
      </c>
      <c r="O108" s="66">
        <f t="shared" si="2"/>
        <v>9.166666666666666E-2</v>
      </c>
      <c r="P108" s="66">
        <f t="shared" si="2"/>
        <v>0.61104166666666682</v>
      </c>
      <c r="Q108" s="66">
        <f t="shared" si="2"/>
        <v>37.569687500000015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8.4933394311650119</v>
      </c>
      <c r="C109" s="66">
        <f t="shared" ref="C109:Q109" si="3">STDEV(C9:C104)</f>
        <v>12.980682893330151</v>
      </c>
      <c r="D109" s="66">
        <f t="shared" si="3"/>
        <v>12.699177421903464</v>
      </c>
      <c r="E109" s="66">
        <f t="shared" si="3"/>
        <v>0.74707358165277793</v>
      </c>
      <c r="F109" s="66">
        <f t="shared" si="3"/>
        <v>7.67489907285489</v>
      </c>
      <c r="G109" s="66">
        <f t="shared" si="3"/>
        <v>14.635769931242598</v>
      </c>
      <c r="H109" s="66">
        <f t="shared" si="3"/>
        <v>2.9100295542449608</v>
      </c>
      <c r="I109" s="66">
        <f t="shared" si="3"/>
        <v>5.9397191143935123E-2</v>
      </c>
      <c r="J109" s="66">
        <f t="shared" si="3"/>
        <v>0.80302726980634498</v>
      </c>
      <c r="K109" s="66">
        <f t="shared" si="3"/>
        <v>84.048806212691147</v>
      </c>
      <c r="L109" s="66">
        <f t="shared" si="3"/>
        <v>4.0982462177623749</v>
      </c>
      <c r="M109" s="66">
        <f t="shared" si="3"/>
        <v>11.643649935299134</v>
      </c>
      <c r="N109" s="66">
        <f t="shared" si="3"/>
        <v>319.61989460172725</v>
      </c>
      <c r="O109" s="66">
        <f t="shared" si="3"/>
        <v>0.6866649633772095</v>
      </c>
      <c r="P109" s="66">
        <f t="shared" si="3"/>
        <v>0.25369056645601162</v>
      </c>
      <c r="Q109" s="66">
        <f t="shared" si="3"/>
        <v>5.1608013358033844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abSelected="1" zoomScale="80" zoomScaleNormal="80" workbookViewId="0">
      <selection activeCell="G140" sqref="G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31-03-2023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243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3129</v>
      </c>
      <c r="B9" s="59">
        <v>3.78</v>
      </c>
      <c r="C9" s="59">
        <v>26.31</v>
      </c>
      <c r="D9" s="59">
        <v>19.29</v>
      </c>
      <c r="E9" s="59">
        <v>1.17</v>
      </c>
      <c r="F9" s="59">
        <v>4.9800000000000004</v>
      </c>
      <c r="G9" s="59">
        <v>42.1</v>
      </c>
      <c r="H9" s="59">
        <v>13.2</v>
      </c>
      <c r="I9" s="59">
        <v>0.52</v>
      </c>
      <c r="J9" s="59">
        <v>1.58</v>
      </c>
      <c r="K9" s="59">
        <v>105.09</v>
      </c>
      <c r="L9" s="59">
        <v>23.11</v>
      </c>
      <c r="M9" s="59">
        <v>59.15</v>
      </c>
      <c r="N9" s="59">
        <v>4.5999999999999996</v>
      </c>
      <c r="O9" s="59">
        <v>0</v>
      </c>
      <c r="P9" s="59">
        <v>0.45</v>
      </c>
      <c r="Q9" s="59">
        <v>41.77</v>
      </c>
      <c r="R9" s="197"/>
      <c r="S9" s="197"/>
      <c r="T9" s="197"/>
      <c r="U9" s="197"/>
    </row>
    <row r="10" spans="1:21" s="12" customFormat="1" x14ac:dyDescent="0.25">
      <c r="A10" s="200" t="s">
        <v>3130</v>
      </c>
      <c r="B10" s="59">
        <v>3.74</v>
      </c>
      <c r="C10" s="59">
        <v>22.25</v>
      </c>
      <c r="D10" s="59">
        <v>17.02</v>
      </c>
      <c r="E10" s="59">
        <v>1.02</v>
      </c>
      <c r="F10" s="59">
        <v>5.5</v>
      </c>
      <c r="G10" s="59">
        <v>42.1</v>
      </c>
      <c r="H10" s="59">
        <v>13.2</v>
      </c>
      <c r="I10" s="59">
        <v>0.52</v>
      </c>
      <c r="J10" s="59">
        <v>1.54</v>
      </c>
      <c r="K10" s="59">
        <v>105.69</v>
      </c>
      <c r="L10" s="59">
        <v>22.97</v>
      </c>
      <c r="M10" s="59">
        <v>60.51</v>
      </c>
      <c r="N10" s="59">
        <v>4.7</v>
      </c>
      <c r="O10" s="59">
        <v>0</v>
      </c>
      <c r="P10" s="59">
        <v>0.44</v>
      </c>
      <c r="Q10" s="59">
        <v>34.69</v>
      </c>
      <c r="R10" s="197"/>
      <c r="S10" s="197"/>
      <c r="T10" s="197"/>
      <c r="U10" s="197"/>
    </row>
    <row r="11" spans="1:21" s="12" customFormat="1" x14ac:dyDescent="0.25">
      <c r="A11" s="200" t="s">
        <v>3131</v>
      </c>
      <c r="B11" s="59">
        <v>3.69</v>
      </c>
      <c r="C11" s="59">
        <v>24.29</v>
      </c>
      <c r="D11" s="59">
        <v>18.100000000000001</v>
      </c>
      <c r="E11" s="59">
        <v>1.66</v>
      </c>
      <c r="F11" s="59">
        <v>4.1900000000000004</v>
      </c>
      <c r="G11" s="59">
        <v>35.78</v>
      </c>
      <c r="H11" s="59">
        <v>12.59</v>
      </c>
      <c r="I11" s="59">
        <v>0.5</v>
      </c>
      <c r="J11" s="59">
        <v>0.95</v>
      </c>
      <c r="K11" s="59">
        <v>105.48</v>
      </c>
      <c r="L11" s="59">
        <v>22.84</v>
      </c>
      <c r="M11" s="59">
        <v>61.36</v>
      </c>
      <c r="N11" s="59">
        <v>4.8</v>
      </c>
      <c r="O11" s="59">
        <v>0</v>
      </c>
      <c r="P11" s="59">
        <v>0.45</v>
      </c>
      <c r="Q11" s="59">
        <v>36.159999999999997</v>
      </c>
      <c r="R11" s="197"/>
      <c r="S11" s="197"/>
      <c r="T11" s="197"/>
      <c r="U11" s="197"/>
    </row>
    <row r="12" spans="1:21" s="12" customFormat="1" x14ac:dyDescent="0.25">
      <c r="A12" s="200" t="s">
        <v>3132</v>
      </c>
      <c r="B12" s="59">
        <v>3.78</v>
      </c>
      <c r="C12" s="59">
        <v>29.15</v>
      </c>
      <c r="D12" s="59">
        <v>20.86</v>
      </c>
      <c r="E12" s="59">
        <v>1.17</v>
      </c>
      <c r="F12" s="59">
        <v>3.84</v>
      </c>
      <c r="G12" s="59">
        <v>35.630000000000003</v>
      </c>
      <c r="H12" s="59">
        <v>12.58</v>
      </c>
      <c r="I12" s="59">
        <v>0.51</v>
      </c>
      <c r="J12" s="59">
        <v>1.24</v>
      </c>
      <c r="K12" s="59">
        <v>104.24</v>
      </c>
      <c r="L12" s="59">
        <v>22.63</v>
      </c>
      <c r="M12" s="59">
        <v>62.5</v>
      </c>
      <c r="N12" s="59">
        <v>4.8</v>
      </c>
      <c r="O12" s="59">
        <v>0</v>
      </c>
      <c r="P12" s="59">
        <v>0.43</v>
      </c>
      <c r="Q12" s="59">
        <v>39.43</v>
      </c>
      <c r="R12" s="197"/>
      <c r="S12" s="197"/>
      <c r="T12" s="197"/>
      <c r="U12" s="197"/>
    </row>
    <row r="13" spans="1:21" s="12" customFormat="1" x14ac:dyDescent="0.25">
      <c r="A13" s="200" t="s">
        <v>3133</v>
      </c>
      <c r="B13" s="59">
        <v>4</v>
      </c>
      <c r="C13" s="59">
        <v>30.14</v>
      </c>
      <c r="D13" s="59">
        <v>21.59</v>
      </c>
      <c r="E13" s="59">
        <v>1.29</v>
      </c>
      <c r="F13" s="59">
        <v>4.3099999999999996</v>
      </c>
      <c r="G13" s="59">
        <v>35.630000000000003</v>
      </c>
      <c r="H13" s="59">
        <v>12.58</v>
      </c>
      <c r="I13" s="59">
        <v>0.51</v>
      </c>
      <c r="J13" s="59">
        <v>0.26</v>
      </c>
      <c r="K13" s="59">
        <v>163.69</v>
      </c>
      <c r="L13" s="59">
        <v>22.33</v>
      </c>
      <c r="M13" s="59">
        <v>65.19</v>
      </c>
      <c r="N13" s="59">
        <v>5.0999999999999996</v>
      </c>
      <c r="O13" s="59">
        <v>0</v>
      </c>
      <c r="P13" s="59">
        <v>0.41</v>
      </c>
      <c r="Q13" s="59">
        <v>39.25</v>
      </c>
      <c r="R13" s="197"/>
      <c r="S13" s="197"/>
      <c r="T13" s="197"/>
      <c r="U13" s="197"/>
    </row>
    <row r="14" spans="1:21" s="12" customFormat="1" x14ac:dyDescent="0.25">
      <c r="A14" s="200" t="s">
        <v>3134</v>
      </c>
      <c r="B14" s="59">
        <v>4.26</v>
      </c>
      <c r="C14" s="59">
        <v>27.3</v>
      </c>
      <c r="D14" s="59">
        <v>20.22</v>
      </c>
      <c r="E14" s="59">
        <v>1.53</v>
      </c>
      <c r="F14" s="59">
        <v>5.22</v>
      </c>
      <c r="G14" s="59">
        <v>35.630000000000003</v>
      </c>
      <c r="H14" s="59">
        <v>12.58</v>
      </c>
      <c r="I14" s="59">
        <v>0.52</v>
      </c>
      <c r="J14" s="59">
        <v>0.65</v>
      </c>
      <c r="K14" s="59">
        <v>159.16</v>
      </c>
      <c r="L14" s="59">
        <v>22.11</v>
      </c>
      <c r="M14" s="59">
        <v>66.66</v>
      </c>
      <c r="N14" s="59">
        <v>4.5999999999999996</v>
      </c>
      <c r="O14" s="59">
        <v>0</v>
      </c>
      <c r="P14" s="59">
        <v>0.42</v>
      </c>
      <c r="Q14" s="59">
        <v>40.340000000000003</v>
      </c>
      <c r="R14" s="197"/>
      <c r="S14" s="197"/>
      <c r="T14" s="197"/>
      <c r="U14" s="197"/>
    </row>
    <row r="15" spans="1:21" s="12" customFormat="1" x14ac:dyDescent="0.25">
      <c r="A15" s="200" t="s">
        <v>3135</v>
      </c>
      <c r="B15" s="59">
        <v>4.42</v>
      </c>
      <c r="C15" s="59">
        <v>29.1</v>
      </c>
      <c r="D15" s="59">
        <v>21.34</v>
      </c>
      <c r="E15" s="59">
        <v>1.52</v>
      </c>
      <c r="F15" s="59">
        <v>5.92</v>
      </c>
      <c r="G15" s="59">
        <v>29.86</v>
      </c>
      <c r="H15" s="59">
        <v>10.88</v>
      </c>
      <c r="I15" s="59">
        <v>0.52</v>
      </c>
      <c r="J15" s="59">
        <v>0.62</v>
      </c>
      <c r="K15" s="59">
        <v>125.34</v>
      </c>
      <c r="L15" s="59">
        <v>22</v>
      </c>
      <c r="M15" s="59">
        <v>66.459999999999994</v>
      </c>
      <c r="N15" s="59">
        <v>4.5999999999999996</v>
      </c>
      <c r="O15" s="59">
        <v>0</v>
      </c>
      <c r="P15" s="59">
        <v>0.41</v>
      </c>
      <c r="Q15" s="59">
        <v>39.770000000000003</v>
      </c>
      <c r="R15" s="197"/>
      <c r="S15" s="197"/>
      <c r="T15" s="197"/>
      <c r="U15" s="197"/>
    </row>
    <row r="16" spans="1:21" s="12" customFormat="1" x14ac:dyDescent="0.25">
      <c r="A16" s="200" t="s">
        <v>3136</v>
      </c>
      <c r="B16" s="59">
        <v>4.51</v>
      </c>
      <c r="C16" s="59">
        <v>29.25</v>
      </c>
      <c r="D16" s="59">
        <v>21.5</v>
      </c>
      <c r="E16" s="59">
        <v>1.24</v>
      </c>
      <c r="F16" s="59">
        <v>5.57</v>
      </c>
      <c r="G16" s="59">
        <v>29.72</v>
      </c>
      <c r="H16" s="59">
        <v>10.84</v>
      </c>
      <c r="I16" s="59">
        <v>0.51</v>
      </c>
      <c r="J16" s="59">
        <v>0.87</v>
      </c>
      <c r="K16" s="59">
        <v>179.71</v>
      </c>
      <c r="L16" s="59">
        <v>21.78</v>
      </c>
      <c r="M16" s="59">
        <v>68.22</v>
      </c>
      <c r="N16" s="59">
        <v>4.7</v>
      </c>
      <c r="O16" s="59">
        <v>0</v>
      </c>
      <c r="P16" s="59">
        <v>0.4</v>
      </c>
      <c r="Q16" s="59">
        <v>39.75</v>
      </c>
      <c r="R16" s="197"/>
      <c r="S16" s="197"/>
      <c r="T16" s="197"/>
      <c r="U16" s="197"/>
    </row>
    <row r="17" spans="1:21" s="12" customFormat="1" x14ac:dyDescent="0.25">
      <c r="A17" s="200" t="s">
        <v>3137</v>
      </c>
      <c r="B17" s="59">
        <v>4.42</v>
      </c>
      <c r="C17" s="59">
        <v>29.19</v>
      </c>
      <c r="D17" s="59">
        <v>21.39</v>
      </c>
      <c r="E17" s="59">
        <v>1.21</v>
      </c>
      <c r="F17" s="59">
        <v>6.8</v>
      </c>
      <c r="G17" s="59">
        <v>29.72</v>
      </c>
      <c r="H17" s="59">
        <v>10.84</v>
      </c>
      <c r="I17" s="59">
        <v>0.51</v>
      </c>
      <c r="J17" s="59">
        <v>0.25</v>
      </c>
      <c r="K17" s="59">
        <v>172.23</v>
      </c>
      <c r="L17" s="59">
        <v>21.43</v>
      </c>
      <c r="M17" s="59">
        <v>69.97</v>
      </c>
      <c r="N17" s="59">
        <v>5</v>
      </c>
      <c r="O17" s="59">
        <v>0</v>
      </c>
      <c r="P17" s="59">
        <v>0.39</v>
      </c>
      <c r="Q17" s="59">
        <v>39.68</v>
      </c>
      <c r="R17" s="197"/>
      <c r="S17" s="197"/>
      <c r="T17" s="197"/>
      <c r="U17" s="197"/>
    </row>
    <row r="18" spans="1:21" s="12" customFormat="1" x14ac:dyDescent="0.25">
      <c r="A18" s="200" t="s">
        <v>3138</v>
      </c>
      <c r="B18" s="59">
        <v>4.7</v>
      </c>
      <c r="C18" s="59">
        <v>27.62</v>
      </c>
      <c r="D18" s="59">
        <v>20.75</v>
      </c>
      <c r="E18" s="59">
        <v>1.39</v>
      </c>
      <c r="F18" s="59">
        <v>6.32</v>
      </c>
      <c r="G18" s="59">
        <v>29.72</v>
      </c>
      <c r="H18" s="59">
        <v>10.84</v>
      </c>
      <c r="I18" s="59">
        <v>0.52</v>
      </c>
      <c r="J18" s="59">
        <v>0.36</v>
      </c>
      <c r="K18" s="59">
        <v>346.33</v>
      </c>
      <c r="L18" s="59">
        <v>21.24</v>
      </c>
      <c r="M18" s="59">
        <v>72.28</v>
      </c>
      <c r="N18" s="59">
        <v>5</v>
      </c>
      <c r="O18" s="59">
        <v>0</v>
      </c>
      <c r="P18" s="59">
        <v>0.39</v>
      </c>
      <c r="Q18" s="59">
        <v>39.229999999999997</v>
      </c>
      <c r="R18" s="197"/>
      <c r="S18" s="197"/>
      <c r="T18" s="197"/>
      <c r="U18" s="197"/>
    </row>
    <row r="19" spans="1:21" s="12" customFormat="1" x14ac:dyDescent="0.25">
      <c r="A19" s="200" t="s">
        <v>3139</v>
      </c>
      <c r="B19" s="59">
        <v>5.0599999999999996</v>
      </c>
      <c r="C19" s="59">
        <v>26.13</v>
      </c>
      <c r="D19" s="59">
        <v>20.22</v>
      </c>
      <c r="E19" s="59">
        <v>1.5</v>
      </c>
      <c r="F19" s="59">
        <v>4</v>
      </c>
      <c r="G19" s="59">
        <v>24.15</v>
      </c>
      <c r="H19" s="59">
        <v>9.77</v>
      </c>
      <c r="I19" s="59">
        <v>0.52</v>
      </c>
      <c r="J19" s="59">
        <v>1.33</v>
      </c>
      <c r="K19" s="59">
        <v>17.559999999999999</v>
      </c>
      <c r="L19" s="59">
        <v>20.78</v>
      </c>
      <c r="M19" s="59">
        <v>76.08</v>
      </c>
      <c r="N19" s="59">
        <v>4.2</v>
      </c>
      <c r="O19" s="59">
        <v>0</v>
      </c>
      <c r="P19" s="59">
        <v>0.39</v>
      </c>
      <c r="Q19" s="59">
        <v>40.25</v>
      </c>
      <c r="R19" s="197"/>
      <c r="S19" s="197"/>
      <c r="T19" s="197"/>
      <c r="U19" s="197"/>
    </row>
    <row r="20" spans="1:21" s="12" customFormat="1" x14ac:dyDescent="0.25">
      <c r="A20" s="200" t="s">
        <v>3140</v>
      </c>
      <c r="B20" s="59">
        <v>4.9800000000000004</v>
      </c>
      <c r="C20" s="59">
        <v>24.46</v>
      </c>
      <c r="D20" s="59">
        <v>19.23</v>
      </c>
      <c r="E20" s="59">
        <v>1.1499999999999999</v>
      </c>
      <c r="F20" s="59">
        <v>3.65</v>
      </c>
      <c r="G20" s="59">
        <v>24.02</v>
      </c>
      <c r="H20" s="59">
        <v>9.75</v>
      </c>
      <c r="I20" s="59">
        <v>0.53</v>
      </c>
      <c r="J20" s="59">
        <v>1.74</v>
      </c>
      <c r="K20" s="59">
        <v>19.96</v>
      </c>
      <c r="L20" s="59">
        <v>21.08</v>
      </c>
      <c r="M20" s="59">
        <v>73.28</v>
      </c>
      <c r="N20" s="59">
        <v>4.7</v>
      </c>
      <c r="O20" s="59">
        <v>0</v>
      </c>
      <c r="P20" s="59">
        <v>0.37</v>
      </c>
      <c r="Q20" s="59">
        <v>40.369999999999997</v>
      </c>
      <c r="R20" s="197"/>
      <c r="S20" s="197"/>
      <c r="T20" s="197"/>
      <c r="U20" s="197"/>
    </row>
    <row r="21" spans="1:21" s="12" customFormat="1" x14ac:dyDescent="0.25">
      <c r="A21" s="200" t="s">
        <v>3141</v>
      </c>
      <c r="B21" s="59">
        <v>4.71</v>
      </c>
      <c r="C21" s="59">
        <v>20.94</v>
      </c>
      <c r="D21" s="59">
        <v>17.07</v>
      </c>
      <c r="E21" s="59">
        <v>1.17</v>
      </c>
      <c r="F21" s="59">
        <v>4.38</v>
      </c>
      <c r="G21" s="59">
        <v>24.02</v>
      </c>
      <c r="H21" s="59">
        <v>9.75</v>
      </c>
      <c r="I21" s="59">
        <v>0.53</v>
      </c>
      <c r="J21" s="59">
        <v>2.0699999999999998</v>
      </c>
      <c r="K21" s="59">
        <v>17.100000000000001</v>
      </c>
      <c r="L21" s="59">
        <v>20.72</v>
      </c>
      <c r="M21" s="59">
        <v>76.06</v>
      </c>
      <c r="N21" s="59">
        <v>5.4</v>
      </c>
      <c r="O21" s="59">
        <v>0</v>
      </c>
      <c r="P21" s="59">
        <v>0.38</v>
      </c>
      <c r="Q21" s="59">
        <v>31.04</v>
      </c>
      <c r="R21" s="197"/>
      <c r="S21" s="197"/>
      <c r="T21" s="197"/>
      <c r="U21" s="197"/>
    </row>
    <row r="22" spans="1:21" s="12" customFormat="1" x14ac:dyDescent="0.25">
      <c r="A22" s="200" t="s">
        <v>3142</v>
      </c>
      <c r="B22" s="59">
        <v>4.8499999999999996</v>
      </c>
      <c r="C22" s="59">
        <v>22.99</v>
      </c>
      <c r="D22" s="59">
        <v>18.309999999999999</v>
      </c>
      <c r="E22" s="59">
        <v>1.55</v>
      </c>
      <c r="F22" s="59">
        <v>3.37</v>
      </c>
      <c r="G22" s="59">
        <v>24.02</v>
      </c>
      <c r="H22" s="59">
        <v>9.75</v>
      </c>
      <c r="I22" s="59">
        <v>0.53</v>
      </c>
      <c r="J22" s="59">
        <v>1.79</v>
      </c>
      <c r="K22" s="59">
        <v>15.36</v>
      </c>
      <c r="L22" s="59">
        <v>20.3</v>
      </c>
      <c r="M22" s="59">
        <v>79.09</v>
      </c>
      <c r="N22" s="59">
        <v>5.2</v>
      </c>
      <c r="O22" s="59">
        <v>0</v>
      </c>
      <c r="P22" s="59">
        <v>0.42</v>
      </c>
      <c r="Q22" s="59">
        <v>34.07</v>
      </c>
      <c r="R22" s="197"/>
      <c r="S22" s="197"/>
      <c r="T22" s="197"/>
      <c r="U22" s="197"/>
    </row>
    <row r="23" spans="1:21" s="12" customFormat="1" x14ac:dyDescent="0.25">
      <c r="A23" s="200" t="s">
        <v>3143</v>
      </c>
      <c r="B23" s="59">
        <v>4.97</v>
      </c>
      <c r="C23" s="59">
        <v>27.16</v>
      </c>
      <c r="D23" s="59">
        <v>20.71</v>
      </c>
      <c r="E23" s="59">
        <v>1.74</v>
      </c>
      <c r="F23" s="59">
        <v>3.12</v>
      </c>
      <c r="G23" s="59">
        <v>33.94</v>
      </c>
      <c r="H23" s="59">
        <v>13.49</v>
      </c>
      <c r="I23" s="59">
        <v>0.52</v>
      </c>
      <c r="J23" s="59">
        <v>1.66</v>
      </c>
      <c r="K23" s="59">
        <v>18.600000000000001</v>
      </c>
      <c r="L23" s="59">
        <v>20.18</v>
      </c>
      <c r="M23" s="59">
        <v>78.88</v>
      </c>
      <c r="N23" s="59">
        <v>5.0999999999999996</v>
      </c>
      <c r="O23" s="59">
        <v>0</v>
      </c>
      <c r="P23" s="59">
        <v>0.43</v>
      </c>
      <c r="Q23" s="59">
        <v>36.31</v>
      </c>
      <c r="R23" s="197"/>
      <c r="S23" s="197"/>
      <c r="T23" s="197"/>
      <c r="U23" s="197"/>
    </row>
    <row r="24" spans="1:21" s="12" customFormat="1" x14ac:dyDescent="0.25">
      <c r="A24" s="200" t="s">
        <v>3144</v>
      </c>
      <c r="B24" s="59">
        <v>5.17</v>
      </c>
      <c r="C24" s="59">
        <v>26.37</v>
      </c>
      <c r="D24" s="59">
        <v>20.43</v>
      </c>
      <c r="E24" s="59">
        <v>1.1399999999999999</v>
      </c>
      <c r="F24" s="59">
        <v>3.2</v>
      </c>
      <c r="G24" s="59">
        <v>34.17</v>
      </c>
      <c r="H24" s="59">
        <v>13.58</v>
      </c>
      <c r="I24" s="59">
        <v>0.52</v>
      </c>
      <c r="J24" s="59">
        <v>1.02</v>
      </c>
      <c r="K24" s="59">
        <v>24.04</v>
      </c>
      <c r="L24" s="59">
        <v>20.010000000000002</v>
      </c>
      <c r="M24" s="59">
        <v>79.42</v>
      </c>
      <c r="N24" s="59">
        <v>4.9000000000000004</v>
      </c>
      <c r="O24" s="59">
        <v>0</v>
      </c>
      <c r="P24" s="59">
        <v>0.46</v>
      </c>
      <c r="Q24" s="59">
        <v>33.68</v>
      </c>
      <c r="R24" s="197"/>
      <c r="S24" s="197"/>
      <c r="T24" s="197"/>
      <c r="U24" s="197"/>
    </row>
    <row r="25" spans="1:21" s="12" customFormat="1" x14ac:dyDescent="0.25">
      <c r="A25" s="200" t="s">
        <v>3145</v>
      </c>
      <c r="B25" s="59">
        <v>5.49</v>
      </c>
      <c r="C25" s="59">
        <v>28.87</v>
      </c>
      <c r="D25" s="59">
        <v>22.07</v>
      </c>
      <c r="E25" s="59">
        <v>1.97</v>
      </c>
      <c r="F25" s="59">
        <v>2.92</v>
      </c>
      <c r="G25" s="59">
        <v>34.17</v>
      </c>
      <c r="H25" s="59">
        <v>13.58</v>
      </c>
      <c r="I25" s="59">
        <v>0.51</v>
      </c>
      <c r="J25" s="59">
        <v>1.17</v>
      </c>
      <c r="K25" s="59">
        <v>24.59</v>
      </c>
      <c r="L25" s="59">
        <v>20</v>
      </c>
      <c r="M25" s="59">
        <v>77.31</v>
      </c>
      <c r="N25" s="59">
        <v>4.8</v>
      </c>
      <c r="O25" s="59">
        <v>0</v>
      </c>
      <c r="P25" s="59">
        <v>0.49</v>
      </c>
      <c r="Q25" s="59">
        <v>38.6</v>
      </c>
      <c r="R25" s="197"/>
      <c r="S25" s="197"/>
      <c r="T25" s="197"/>
      <c r="U25" s="197"/>
    </row>
    <row r="26" spans="1:21" s="12" customFormat="1" x14ac:dyDescent="0.25">
      <c r="A26" s="200" t="s">
        <v>3146</v>
      </c>
      <c r="B26" s="59">
        <v>5.73</v>
      </c>
      <c r="C26" s="59">
        <v>26.6</v>
      </c>
      <c r="D26" s="59">
        <v>21.01</v>
      </c>
      <c r="E26" s="59">
        <v>2.12</v>
      </c>
      <c r="F26" s="59">
        <v>4.76</v>
      </c>
      <c r="G26" s="59">
        <v>34.17</v>
      </c>
      <c r="H26" s="59">
        <v>13.58</v>
      </c>
      <c r="I26" s="59">
        <v>0.51</v>
      </c>
      <c r="J26" s="59">
        <v>0.78</v>
      </c>
      <c r="K26" s="59">
        <v>35.020000000000003</v>
      </c>
      <c r="L26" s="59">
        <v>19.88</v>
      </c>
      <c r="M26" s="59">
        <v>76.89</v>
      </c>
      <c r="N26" s="59">
        <v>4.8</v>
      </c>
      <c r="O26" s="59">
        <v>0</v>
      </c>
      <c r="P26" s="59">
        <v>0.49</v>
      </c>
      <c r="Q26" s="59">
        <v>34.31</v>
      </c>
      <c r="R26" s="197"/>
      <c r="S26" s="197"/>
      <c r="T26" s="197"/>
      <c r="U26" s="197"/>
    </row>
    <row r="27" spans="1:21" s="12" customFormat="1" x14ac:dyDescent="0.25">
      <c r="A27" s="200" t="s">
        <v>3147</v>
      </c>
      <c r="B27" s="59">
        <v>5.84</v>
      </c>
      <c r="C27" s="59">
        <v>28.08</v>
      </c>
      <c r="D27" s="59">
        <v>21.92</v>
      </c>
      <c r="E27" s="59">
        <v>1.9</v>
      </c>
      <c r="F27" s="59">
        <v>4.92</v>
      </c>
      <c r="G27" s="59">
        <v>43.32</v>
      </c>
      <c r="H27" s="59">
        <v>14.75</v>
      </c>
      <c r="I27" s="59">
        <v>0.51</v>
      </c>
      <c r="J27" s="59">
        <v>0.74</v>
      </c>
      <c r="K27" s="59">
        <v>85.94</v>
      </c>
      <c r="L27" s="59">
        <v>19.78</v>
      </c>
      <c r="M27" s="59">
        <v>76.489999999999995</v>
      </c>
      <c r="N27" s="59">
        <v>4.7</v>
      </c>
      <c r="O27" s="59">
        <v>0</v>
      </c>
      <c r="P27" s="59">
        <v>0.5</v>
      </c>
      <c r="Q27" s="59">
        <v>35.47</v>
      </c>
      <c r="R27" s="197"/>
      <c r="S27" s="197"/>
      <c r="T27" s="197"/>
      <c r="U27" s="197"/>
    </row>
    <row r="28" spans="1:21" s="12" customFormat="1" x14ac:dyDescent="0.25">
      <c r="A28" s="200" t="s">
        <v>3148</v>
      </c>
      <c r="B28" s="59">
        <v>6.05</v>
      </c>
      <c r="C28" s="59">
        <v>28.95</v>
      </c>
      <c r="D28" s="59">
        <v>22.57</v>
      </c>
      <c r="E28" s="59">
        <v>1.29</v>
      </c>
      <c r="F28" s="59">
        <v>4.09</v>
      </c>
      <c r="G28" s="59">
        <v>43.53</v>
      </c>
      <c r="H28" s="59">
        <v>14.78</v>
      </c>
      <c r="I28" s="59">
        <v>0.51</v>
      </c>
      <c r="J28" s="59">
        <v>1.48</v>
      </c>
      <c r="K28" s="59">
        <v>100.92</v>
      </c>
      <c r="L28" s="59">
        <v>19.75</v>
      </c>
      <c r="M28" s="59">
        <v>76.739999999999995</v>
      </c>
      <c r="N28" s="59">
        <v>4.5999999999999996</v>
      </c>
      <c r="O28" s="59">
        <v>0</v>
      </c>
      <c r="P28" s="59">
        <v>0.5</v>
      </c>
      <c r="Q28" s="59">
        <v>37.28</v>
      </c>
      <c r="R28" s="197"/>
      <c r="S28" s="197"/>
      <c r="T28" s="197"/>
      <c r="U28" s="197"/>
    </row>
    <row r="29" spans="1:21" s="12" customFormat="1" x14ac:dyDescent="0.25">
      <c r="A29" s="200" t="s">
        <v>3149</v>
      </c>
      <c r="B29" s="59">
        <v>6.21</v>
      </c>
      <c r="C29" s="59">
        <v>28.25</v>
      </c>
      <c r="D29" s="59">
        <v>22.32</v>
      </c>
      <c r="E29" s="59">
        <v>1.48</v>
      </c>
      <c r="F29" s="59">
        <v>3.83</v>
      </c>
      <c r="G29" s="59">
        <v>43.53</v>
      </c>
      <c r="H29" s="59">
        <v>14.78</v>
      </c>
      <c r="I29" s="59">
        <v>0.52</v>
      </c>
      <c r="J29" s="59">
        <v>1.6</v>
      </c>
      <c r="K29" s="59">
        <v>103.37</v>
      </c>
      <c r="L29" s="59">
        <v>19.75</v>
      </c>
      <c r="M29" s="59">
        <v>76.010000000000005</v>
      </c>
      <c r="N29" s="59">
        <v>4.7</v>
      </c>
      <c r="O29" s="59">
        <v>0</v>
      </c>
      <c r="P29" s="59">
        <v>0.49</v>
      </c>
      <c r="Q29" s="59">
        <v>38.19</v>
      </c>
      <c r="R29" s="197"/>
      <c r="S29" s="197"/>
      <c r="T29" s="197"/>
      <c r="U29" s="197"/>
    </row>
    <row r="30" spans="1:21" s="12" customFormat="1" x14ac:dyDescent="0.25">
      <c r="A30" s="200" t="s">
        <v>3150</v>
      </c>
      <c r="B30" s="59">
        <v>6.32</v>
      </c>
      <c r="C30" s="59">
        <v>29.15</v>
      </c>
      <c r="D30" s="59">
        <v>22.9</v>
      </c>
      <c r="E30" s="59">
        <v>1.23</v>
      </c>
      <c r="F30" s="59">
        <v>3.55</v>
      </c>
      <c r="G30" s="59">
        <v>43.53</v>
      </c>
      <c r="H30" s="59">
        <v>14.78</v>
      </c>
      <c r="I30" s="59">
        <v>0.53</v>
      </c>
      <c r="J30" s="59">
        <v>1.71</v>
      </c>
      <c r="K30" s="59">
        <v>105.37</v>
      </c>
      <c r="L30" s="59">
        <v>19.59</v>
      </c>
      <c r="M30" s="59">
        <v>76.92</v>
      </c>
      <c r="N30" s="59">
        <v>4.8</v>
      </c>
      <c r="O30" s="59">
        <v>0</v>
      </c>
      <c r="P30" s="59">
        <v>0.48</v>
      </c>
      <c r="Q30" s="59">
        <v>38.729999999999997</v>
      </c>
      <c r="R30" s="197"/>
      <c r="S30" s="197"/>
      <c r="T30" s="197"/>
      <c r="U30" s="197"/>
    </row>
    <row r="31" spans="1:21" s="12" customFormat="1" x14ac:dyDescent="0.25">
      <c r="A31" s="200" t="s">
        <v>3151</v>
      </c>
      <c r="B31" s="59">
        <v>6.39</v>
      </c>
      <c r="C31" s="59">
        <v>29.29</v>
      </c>
      <c r="D31" s="59">
        <v>23.03</v>
      </c>
      <c r="E31" s="59">
        <v>1.54</v>
      </c>
      <c r="F31" s="59">
        <v>3.58</v>
      </c>
      <c r="G31" s="59">
        <v>39.700000000000003</v>
      </c>
      <c r="H31" s="59">
        <v>12.67</v>
      </c>
      <c r="I31" s="59">
        <v>0.52</v>
      </c>
      <c r="J31" s="59">
        <v>1.31</v>
      </c>
      <c r="K31" s="59">
        <v>104.44</v>
      </c>
      <c r="L31" s="59">
        <v>19.489999999999998</v>
      </c>
      <c r="M31" s="59">
        <v>77.47</v>
      </c>
      <c r="N31" s="59">
        <v>5.2</v>
      </c>
      <c r="O31" s="59">
        <v>0</v>
      </c>
      <c r="P31" s="59">
        <v>0.47</v>
      </c>
      <c r="Q31" s="59">
        <v>40.520000000000003</v>
      </c>
      <c r="R31" s="197"/>
      <c r="S31" s="197"/>
      <c r="T31" s="197"/>
      <c r="U31" s="197"/>
    </row>
    <row r="32" spans="1:21" s="12" customFormat="1" x14ac:dyDescent="0.25">
      <c r="A32" s="200" t="s">
        <v>3152</v>
      </c>
      <c r="B32" s="59">
        <v>6.48</v>
      </c>
      <c r="C32" s="59">
        <v>28.4</v>
      </c>
      <c r="D32" s="59">
        <v>22.61</v>
      </c>
      <c r="E32" s="59">
        <v>1.45</v>
      </c>
      <c r="F32" s="59">
        <v>3.64</v>
      </c>
      <c r="G32" s="59">
        <v>39.619999999999997</v>
      </c>
      <c r="H32" s="59">
        <v>12.62</v>
      </c>
      <c r="I32" s="59">
        <v>0.52</v>
      </c>
      <c r="J32" s="59">
        <v>1.58</v>
      </c>
      <c r="K32" s="59">
        <v>104.39</v>
      </c>
      <c r="L32" s="59">
        <v>19.36</v>
      </c>
      <c r="M32" s="59">
        <v>78.209999999999994</v>
      </c>
      <c r="N32" s="59">
        <v>10</v>
      </c>
      <c r="O32" s="59">
        <v>0</v>
      </c>
      <c r="P32" s="59">
        <v>0.46</v>
      </c>
      <c r="Q32" s="59">
        <v>40.049999999999997</v>
      </c>
      <c r="R32" s="197"/>
      <c r="S32" s="197"/>
      <c r="T32" s="197"/>
      <c r="U32" s="197"/>
    </row>
    <row r="33" spans="1:21" s="12" customFormat="1" x14ac:dyDescent="0.25">
      <c r="A33" s="200" t="s">
        <v>3153</v>
      </c>
      <c r="B33" s="59">
        <v>6.49</v>
      </c>
      <c r="C33" s="59">
        <v>29.17</v>
      </c>
      <c r="D33" s="59">
        <v>23.04</v>
      </c>
      <c r="E33" s="59">
        <v>1.52</v>
      </c>
      <c r="F33" s="59">
        <v>3.75</v>
      </c>
      <c r="G33" s="59">
        <v>39.619999999999997</v>
      </c>
      <c r="H33" s="59">
        <v>12.62</v>
      </c>
      <c r="I33" s="59">
        <v>0.52</v>
      </c>
      <c r="J33" s="59">
        <v>0.97</v>
      </c>
      <c r="K33" s="59">
        <v>92.26</v>
      </c>
      <c r="L33" s="59">
        <v>19.36</v>
      </c>
      <c r="M33" s="59">
        <v>78.84</v>
      </c>
      <c r="N33" s="59">
        <v>30.2</v>
      </c>
      <c r="O33" s="59">
        <v>0</v>
      </c>
      <c r="P33" s="59">
        <v>0.45</v>
      </c>
      <c r="Q33" s="59">
        <v>40.36</v>
      </c>
      <c r="R33" s="197"/>
      <c r="S33" s="197"/>
      <c r="T33" s="197"/>
      <c r="U33" s="197"/>
    </row>
    <row r="34" spans="1:21" s="12" customFormat="1" x14ac:dyDescent="0.25">
      <c r="A34" s="200" t="s">
        <v>3154</v>
      </c>
      <c r="B34" s="59">
        <v>6.66</v>
      </c>
      <c r="C34" s="59">
        <v>28.25</v>
      </c>
      <c r="D34" s="59">
        <v>22.67</v>
      </c>
      <c r="E34" s="59">
        <v>1.33</v>
      </c>
      <c r="F34" s="59">
        <v>3.34</v>
      </c>
      <c r="G34" s="59">
        <v>39.619999999999997</v>
      </c>
      <c r="H34" s="59">
        <v>12.62</v>
      </c>
      <c r="I34" s="59">
        <v>0.52</v>
      </c>
      <c r="J34" s="59">
        <v>1.01</v>
      </c>
      <c r="K34" s="59">
        <v>100.73</v>
      </c>
      <c r="L34" s="59">
        <v>19.54</v>
      </c>
      <c r="M34" s="59">
        <v>78.709999999999994</v>
      </c>
      <c r="N34" s="59">
        <v>38.9</v>
      </c>
      <c r="O34" s="59">
        <v>0</v>
      </c>
      <c r="P34" s="59">
        <v>0.44</v>
      </c>
      <c r="Q34" s="59">
        <v>41.91</v>
      </c>
      <c r="R34" s="197"/>
      <c r="S34" s="197"/>
      <c r="T34" s="197"/>
      <c r="U34" s="197"/>
    </row>
    <row r="35" spans="1:21" s="12" customFormat="1" x14ac:dyDescent="0.25">
      <c r="A35" s="200" t="s">
        <v>3155</v>
      </c>
      <c r="B35" s="59">
        <v>6.81</v>
      </c>
      <c r="C35" s="59">
        <v>21.8</v>
      </c>
      <c r="D35" s="59">
        <v>19.23</v>
      </c>
      <c r="E35" s="59">
        <v>1.01</v>
      </c>
      <c r="F35" s="59">
        <v>3.74</v>
      </c>
      <c r="G35" s="59">
        <v>32.909999999999997</v>
      </c>
      <c r="H35" s="59">
        <v>12.44</v>
      </c>
      <c r="I35" s="59">
        <v>0.52</v>
      </c>
      <c r="J35" s="59">
        <v>1.85</v>
      </c>
      <c r="K35" s="59">
        <v>110.34</v>
      </c>
      <c r="L35" s="59">
        <v>19.579999999999998</v>
      </c>
      <c r="M35" s="59">
        <v>78.77</v>
      </c>
      <c r="N35" s="59">
        <v>72.099999999999994</v>
      </c>
      <c r="O35" s="59">
        <v>0</v>
      </c>
      <c r="P35" s="59">
        <v>0.43</v>
      </c>
      <c r="Q35" s="59">
        <v>38.979999999999997</v>
      </c>
      <c r="R35" s="197"/>
      <c r="S35" s="197"/>
      <c r="T35" s="197"/>
      <c r="U35" s="197"/>
    </row>
    <row r="36" spans="1:21" s="12" customFormat="1" x14ac:dyDescent="0.25">
      <c r="A36" s="200" t="s">
        <v>3156</v>
      </c>
      <c r="B36" s="59">
        <v>6.51</v>
      </c>
      <c r="C36" s="59">
        <v>25.18</v>
      </c>
      <c r="D36" s="59">
        <v>20.85</v>
      </c>
      <c r="E36" s="59">
        <v>1.27</v>
      </c>
      <c r="F36" s="59">
        <v>3.46</v>
      </c>
      <c r="G36" s="59">
        <v>32.76</v>
      </c>
      <c r="H36" s="59">
        <v>12.43</v>
      </c>
      <c r="I36" s="59">
        <v>0.52</v>
      </c>
      <c r="J36" s="59">
        <v>2.37</v>
      </c>
      <c r="K36" s="59">
        <v>114.06</v>
      </c>
      <c r="L36" s="59">
        <v>19.57</v>
      </c>
      <c r="M36" s="59">
        <v>79.06</v>
      </c>
      <c r="N36" s="59">
        <v>86.1</v>
      </c>
      <c r="O36" s="59">
        <v>0</v>
      </c>
      <c r="P36" s="59">
        <v>0.44</v>
      </c>
      <c r="Q36" s="59">
        <v>37.82</v>
      </c>
      <c r="R36" s="197"/>
      <c r="S36" s="197"/>
      <c r="T36" s="197"/>
      <c r="U36" s="197"/>
    </row>
    <row r="37" spans="1:21" s="12" customFormat="1" x14ac:dyDescent="0.25">
      <c r="A37" s="200" t="s">
        <v>3157</v>
      </c>
      <c r="B37" s="59">
        <v>6.23</v>
      </c>
      <c r="C37" s="59">
        <v>25.41</v>
      </c>
      <c r="D37" s="59">
        <v>20.76</v>
      </c>
      <c r="E37" s="59">
        <v>1.47</v>
      </c>
      <c r="F37" s="59">
        <v>3.1</v>
      </c>
      <c r="G37" s="59">
        <v>32.76</v>
      </c>
      <c r="H37" s="59">
        <v>12.43</v>
      </c>
      <c r="I37" s="59">
        <v>0.52</v>
      </c>
      <c r="J37" s="59">
        <v>1.8</v>
      </c>
      <c r="K37" s="59">
        <v>112.75</v>
      </c>
      <c r="L37" s="59">
        <v>19.61</v>
      </c>
      <c r="M37" s="59">
        <v>79.41</v>
      </c>
      <c r="N37" s="59">
        <v>57.9</v>
      </c>
      <c r="O37" s="59">
        <v>0</v>
      </c>
      <c r="P37" s="59">
        <v>0.42</v>
      </c>
      <c r="Q37" s="59">
        <v>43.66</v>
      </c>
      <c r="R37" s="197"/>
      <c r="S37" s="197"/>
      <c r="T37" s="197"/>
      <c r="U37" s="197"/>
    </row>
    <row r="38" spans="1:21" s="12" customFormat="1" x14ac:dyDescent="0.25">
      <c r="A38" s="200" t="s">
        <v>3158</v>
      </c>
      <c r="B38" s="59">
        <v>6.06</v>
      </c>
      <c r="C38" s="59">
        <v>21.28</v>
      </c>
      <c r="D38" s="59">
        <v>18.34</v>
      </c>
      <c r="E38" s="59">
        <v>1.06</v>
      </c>
      <c r="F38" s="59">
        <v>3.59</v>
      </c>
      <c r="G38" s="59">
        <v>32.76</v>
      </c>
      <c r="H38" s="59">
        <v>12.43</v>
      </c>
      <c r="I38" s="59">
        <v>0.53</v>
      </c>
      <c r="J38" s="59">
        <v>1.43</v>
      </c>
      <c r="K38" s="59">
        <v>111.87</v>
      </c>
      <c r="L38" s="59">
        <v>19.7</v>
      </c>
      <c r="M38" s="59">
        <v>79.67</v>
      </c>
      <c r="N38" s="59">
        <v>90.7</v>
      </c>
      <c r="O38" s="59">
        <v>0</v>
      </c>
      <c r="P38" s="59">
        <v>0.45</v>
      </c>
      <c r="Q38" s="59">
        <v>38.5</v>
      </c>
      <c r="R38" s="197"/>
      <c r="S38" s="197"/>
      <c r="T38" s="197"/>
      <c r="U38" s="197"/>
    </row>
    <row r="39" spans="1:21" s="12" customFormat="1" x14ac:dyDescent="0.25">
      <c r="A39" s="200" t="s">
        <v>3159</v>
      </c>
      <c r="B39" s="59">
        <v>5.98</v>
      </c>
      <c r="C39" s="59">
        <v>26.86</v>
      </c>
      <c r="D39" s="59">
        <v>21.36</v>
      </c>
      <c r="E39" s="59">
        <v>1.3</v>
      </c>
      <c r="F39" s="59">
        <v>2.12</v>
      </c>
      <c r="G39" s="59">
        <v>29.42</v>
      </c>
      <c r="H39" s="59">
        <v>14.54</v>
      </c>
      <c r="I39" s="59">
        <v>0.52</v>
      </c>
      <c r="J39" s="59">
        <v>1.6</v>
      </c>
      <c r="K39" s="59">
        <v>109.59</v>
      </c>
      <c r="L39" s="59">
        <v>20.059999999999999</v>
      </c>
      <c r="M39" s="59">
        <v>78.3</v>
      </c>
      <c r="N39" s="59">
        <v>154.80000000000001</v>
      </c>
      <c r="O39" s="59">
        <v>0</v>
      </c>
      <c r="P39" s="59">
        <v>0.46</v>
      </c>
      <c r="Q39" s="59">
        <v>41.24</v>
      </c>
      <c r="R39" s="197"/>
      <c r="S39" s="197"/>
      <c r="T39" s="197"/>
      <c r="U39" s="197"/>
    </row>
    <row r="40" spans="1:21" s="12" customFormat="1" x14ac:dyDescent="0.25">
      <c r="A40" s="200" t="s">
        <v>3160</v>
      </c>
      <c r="B40" s="59">
        <v>6.07</v>
      </c>
      <c r="C40" s="59">
        <v>25.28</v>
      </c>
      <c r="D40" s="59">
        <v>20.56</v>
      </c>
      <c r="E40" s="59">
        <v>1.77</v>
      </c>
      <c r="F40" s="59">
        <v>3.57</v>
      </c>
      <c r="G40" s="59">
        <v>29.34</v>
      </c>
      <c r="H40" s="59">
        <v>14.59</v>
      </c>
      <c r="I40" s="59">
        <v>0.52</v>
      </c>
      <c r="J40" s="59">
        <v>1.27</v>
      </c>
      <c r="K40" s="59">
        <v>103.72</v>
      </c>
      <c r="L40" s="59">
        <v>21</v>
      </c>
      <c r="M40" s="59">
        <v>75.2</v>
      </c>
      <c r="N40" s="59">
        <v>310</v>
      </c>
      <c r="O40" s="59">
        <v>0</v>
      </c>
      <c r="P40" s="59">
        <v>0.45</v>
      </c>
      <c r="Q40" s="59">
        <v>40.42</v>
      </c>
      <c r="R40" s="197"/>
      <c r="S40" s="197"/>
      <c r="T40" s="197"/>
      <c r="U40" s="197"/>
    </row>
    <row r="41" spans="1:21" s="12" customFormat="1" x14ac:dyDescent="0.25">
      <c r="A41" s="200" t="s">
        <v>3161</v>
      </c>
      <c r="B41" s="59">
        <v>6.05</v>
      </c>
      <c r="C41" s="59">
        <v>29.57</v>
      </c>
      <c r="D41" s="59">
        <v>22.91</v>
      </c>
      <c r="E41" s="59">
        <v>1.89</v>
      </c>
      <c r="F41" s="59">
        <v>3.88</v>
      </c>
      <c r="G41" s="59">
        <v>29.34</v>
      </c>
      <c r="H41" s="59">
        <v>14.59</v>
      </c>
      <c r="I41" s="59">
        <v>0.5</v>
      </c>
      <c r="J41" s="59">
        <v>0.74</v>
      </c>
      <c r="K41" s="59">
        <v>133.41999999999999</v>
      </c>
      <c r="L41" s="59">
        <v>21.07</v>
      </c>
      <c r="M41" s="59">
        <v>75.239999999999995</v>
      </c>
      <c r="N41" s="59">
        <v>161.9</v>
      </c>
      <c r="O41" s="59">
        <v>0</v>
      </c>
      <c r="P41" s="59">
        <v>0.46</v>
      </c>
      <c r="Q41" s="59">
        <v>37.35</v>
      </c>
      <c r="R41" s="197"/>
      <c r="S41" s="197"/>
      <c r="T41" s="197"/>
      <c r="U41" s="197"/>
    </row>
    <row r="42" spans="1:21" s="12" customFormat="1" x14ac:dyDescent="0.25">
      <c r="A42" s="200" t="s">
        <v>3162</v>
      </c>
      <c r="B42" s="59">
        <v>5.99</v>
      </c>
      <c r="C42" s="59">
        <v>29.66</v>
      </c>
      <c r="D42" s="59">
        <v>22.91</v>
      </c>
      <c r="E42" s="59">
        <v>2.08</v>
      </c>
      <c r="F42" s="59">
        <v>4.9400000000000004</v>
      </c>
      <c r="G42" s="59">
        <v>29.34</v>
      </c>
      <c r="H42" s="59">
        <v>14.59</v>
      </c>
      <c r="I42" s="59">
        <v>0.5</v>
      </c>
      <c r="J42" s="59">
        <v>1.1299999999999999</v>
      </c>
      <c r="K42" s="59">
        <v>103.94</v>
      </c>
      <c r="L42" s="59">
        <v>21.68</v>
      </c>
      <c r="M42" s="59">
        <v>73.150000000000006</v>
      </c>
      <c r="N42" s="59">
        <v>384.6</v>
      </c>
      <c r="O42" s="59">
        <v>0</v>
      </c>
      <c r="P42" s="59">
        <v>0.46</v>
      </c>
      <c r="Q42" s="59">
        <v>38.119999999999997</v>
      </c>
      <c r="R42" s="197"/>
      <c r="S42" s="197"/>
      <c r="T42" s="197"/>
      <c r="U42" s="197"/>
    </row>
    <row r="43" spans="1:21" s="12" customFormat="1" x14ac:dyDescent="0.25">
      <c r="A43" s="200" t="s">
        <v>3163</v>
      </c>
      <c r="B43" s="59">
        <v>6</v>
      </c>
      <c r="C43" s="59">
        <v>28.62</v>
      </c>
      <c r="D43" s="59">
        <v>22.35</v>
      </c>
      <c r="E43" s="59">
        <v>2.34</v>
      </c>
      <c r="F43" s="59">
        <v>4.3</v>
      </c>
      <c r="G43" s="59">
        <v>26.14</v>
      </c>
      <c r="H43" s="59">
        <v>12.84</v>
      </c>
      <c r="I43" s="59">
        <v>0.52</v>
      </c>
      <c r="J43" s="59">
        <v>0.99</v>
      </c>
      <c r="K43" s="59">
        <v>126.32</v>
      </c>
      <c r="L43" s="59">
        <v>22.39</v>
      </c>
      <c r="M43" s="59">
        <v>71.150000000000006</v>
      </c>
      <c r="N43" s="59">
        <v>466.4</v>
      </c>
      <c r="O43" s="59">
        <v>0</v>
      </c>
      <c r="P43" s="59">
        <v>0.46</v>
      </c>
      <c r="Q43" s="59">
        <v>38.96</v>
      </c>
      <c r="R43" s="197"/>
      <c r="S43" s="197"/>
      <c r="T43" s="197"/>
      <c r="U43" s="197"/>
    </row>
    <row r="44" spans="1:21" s="12" customFormat="1" x14ac:dyDescent="0.25">
      <c r="A44" s="200" t="s">
        <v>3164</v>
      </c>
      <c r="B44" s="59">
        <v>5.86</v>
      </c>
      <c r="C44" s="59">
        <v>28.39</v>
      </c>
      <c r="D44" s="59">
        <v>22.11</v>
      </c>
      <c r="E44" s="59">
        <v>2.19</v>
      </c>
      <c r="F44" s="59">
        <v>4.84</v>
      </c>
      <c r="G44" s="59">
        <v>26.06</v>
      </c>
      <c r="H44" s="59">
        <v>12.8</v>
      </c>
      <c r="I44" s="59">
        <v>0.51</v>
      </c>
      <c r="J44" s="59">
        <v>0.73</v>
      </c>
      <c r="K44" s="59">
        <v>116.91</v>
      </c>
      <c r="L44" s="59">
        <v>23.23</v>
      </c>
      <c r="M44" s="59">
        <v>68.739999999999995</v>
      </c>
      <c r="N44" s="59">
        <v>524.5</v>
      </c>
      <c r="O44" s="59">
        <v>0</v>
      </c>
      <c r="P44" s="59">
        <v>0.46</v>
      </c>
      <c r="Q44" s="59">
        <v>38.68</v>
      </c>
      <c r="R44" s="197"/>
      <c r="S44" s="197"/>
      <c r="T44" s="197"/>
      <c r="U44" s="197"/>
    </row>
    <row r="45" spans="1:21" s="12" customFormat="1" x14ac:dyDescent="0.25">
      <c r="A45" s="200" t="s">
        <v>3165</v>
      </c>
      <c r="B45" s="59">
        <v>5.77</v>
      </c>
      <c r="C45" s="59">
        <v>27.53</v>
      </c>
      <c r="D45" s="59">
        <v>21.56</v>
      </c>
      <c r="E45" s="59">
        <v>1.95</v>
      </c>
      <c r="F45" s="59">
        <v>4.24</v>
      </c>
      <c r="G45" s="59">
        <v>26.06</v>
      </c>
      <c r="H45" s="59">
        <v>12.8</v>
      </c>
      <c r="I45" s="59">
        <v>0.51</v>
      </c>
      <c r="J45" s="59">
        <v>1.1100000000000001</v>
      </c>
      <c r="K45" s="59">
        <v>180.44</v>
      </c>
      <c r="L45" s="59">
        <v>24.06</v>
      </c>
      <c r="M45" s="59">
        <v>65.63</v>
      </c>
      <c r="N45" s="59">
        <v>585.1</v>
      </c>
      <c r="O45" s="59">
        <v>0</v>
      </c>
      <c r="P45" s="59">
        <v>0.46</v>
      </c>
      <c r="Q45" s="59">
        <v>39.11</v>
      </c>
      <c r="R45" s="197"/>
      <c r="S45" s="197"/>
      <c r="T45" s="197"/>
      <c r="U45" s="197"/>
    </row>
    <row r="46" spans="1:21" s="12" customFormat="1" x14ac:dyDescent="0.25">
      <c r="A46" s="200" t="s">
        <v>3166</v>
      </c>
      <c r="B46" s="59">
        <v>5.54</v>
      </c>
      <c r="C46" s="59">
        <v>28.48</v>
      </c>
      <c r="D46" s="59">
        <v>21.9</v>
      </c>
      <c r="E46" s="59">
        <v>1.76</v>
      </c>
      <c r="F46" s="59">
        <v>3.86</v>
      </c>
      <c r="G46" s="59">
        <v>26.06</v>
      </c>
      <c r="H46" s="59">
        <v>12.8</v>
      </c>
      <c r="I46" s="59">
        <v>0.51</v>
      </c>
      <c r="J46" s="59">
        <v>1.3</v>
      </c>
      <c r="K46" s="59">
        <v>185.66</v>
      </c>
      <c r="L46" s="59">
        <v>24.86</v>
      </c>
      <c r="M46" s="59">
        <v>62.39</v>
      </c>
      <c r="N46" s="59">
        <v>653.1</v>
      </c>
      <c r="O46" s="59">
        <v>0</v>
      </c>
      <c r="P46" s="59">
        <v>0.46</v>
      </c>
      <c r="Q46" s="59">
        <v>37.65</v>
      </c>
      <c r="R46" s="197"/>
      <c r="S46" s="197"/>
      <c r="T46" s="197"/>
      <c r="U46" s="197"/>
    </row>
    <row r="47" spans="1:21" s="12" customFormat="1" x14ac:dyDescent="0.25">
      <c r="A47" s="200" t="s">
        <v>3167</v>
      </c>
      <c r="B47" s="59">
        <v>5.13</v>
      </c>
      <c r="C47" s="59">
        <v>29.08</v>
      </c>
      <c r="D47" s="59">
        <v>21.9</v>
      </c>
      <c r="E47" s="59">
        <v>1.82</v>
      </c>
      <c r="F47" s="59">
        <v>3.97</v>
      </c>
      <c r="G47" s="59">
        <v>25.45</v>
      </c>
      <c r="H47" s="59">
        <v>14.24</v>
      </c>
      <c r="I47" s="59">
        <v>0.51</v>
      </c>
      <c r="J47" s="59">
        <v>1.32</v>
      </c>
      <c r="K47" s="59">
        <v>175.92</v>
      </c>
      <c r="L47" s="59">
        <v>25.43</v>
      </c>
      <c r="M47" s="59">
        <v>60.33</v>
      </c>
      <c r="N47" s="59">
        <v>705</v>
      </c>
      <c r="O47" s="59">
        <v>0</v>
      </c>
      <c r="P47" s="59">
        <v>0.46</v>
      </c>
      <c r="Q47" s="59">
        <v>37.81</v>
      </c>
      <c r="R47" s="197"/>
      <c r="S47" s="197"/>
      <c r="T47" s="197"/>
      <c r="U47" s="197"/>
    </row>
    <row r="48" spans="1:21" s="12" customFormat="1" x14ac:dyDescent="0.25">
      <c r="A48" s="200" t="s">
        <v>3168</v>
      </c>
      <c r="B48" s="59">
        <v>4.8</v>
      </c>
      <c r="C48" s="59">
        <v>26.07</v>
      </c>
      <c r="D48" s="59">
        <v>19.97</v>
      </c>
      <c r="E48" s="59">
        <v>2.0099999999999998</v>
      </c>
      <c r="F48" s="59">
        <v>4.93</v>
      </c>
      <c r="G48" s="59">
        <v>25.43</v>
      </c>
      <c r="H48" s="59">
        <v>14.27</v>
      </c>
      <c r="I48" s="59">
        <v>0.5</v>
      </c>
      <c r="J48" s="59">
        <v>0.67</v>
      </c>
      <c r="K48" s="59">
        <v>176.74</v>
      </c>
      <c r="L48" s="59">
        <v>26.66</v>
      </c>
      <c r="M48" s="59">
        <v>56.88</v>
      </c>
      <c r="N48" s="59">
        <v>738.1</v>
      </c>
      <c r="O48" s="59">
        <v>0</v>
      </c>
      <c r="P48" s="59">
        <v>0.46</v>
      </c>
      <c r="Q48" s="59">
        <v>39.14</v>
      </c>
      <c r="R48" s="197"/>
      <c r="S48" s="197"/>
      <c r="T48" s="197"/>
      <c r="U48" s="197"/>
    </row>
    <row r="49" spans="1:21" s="12" customFormat="1" x14ac:dyDescent="0.25">
      <c r="A49" s="200" t="s">
        <v>3169</v>
      </c>
      <c r="B49" s="59">
        <v>4.3899999999999997</v>
      </c>
      <c r="C49" s="59">
        <v>24.3</v>
      </c>
      <c r="D49" s="59">
        <v>18.670000000000002</v>
      </c>
      <c r="E49" s="59">
        <v>2.0299999999999998</v>
      </c>
      <c r="F49" s="59">
        <v>5.54</v>
      </c>
      <c r="G49" s="59">
        <v>25.43</v>
      </c>
      <c r="H49" s="59">
        <v>14.27</v>
      </c>
      <c r="I49" s="59">
        <v>0.52</v>
      </c>
      <c r="J49" s="59">
        <v>1</v>
      </c>
      <c r="K49" s="59">
        <v>166.28</v>
      </c>
      <c r="L49" s="59">
        <v>27.18</v>
      </c>
      <c r="M49" s="59">
        <v>53.85</v>
      </c>
      <c r="N49" s="59">
        <v>803.6</v>
      </c>
      <c r="O49" s="59">
        <v>0</v>
      </c>
      <c r="P49" s="59">
        <v>0.46</v>
      </c>
      <c r="Q49" s="59">
        <v>40.119999999999997</v>
      </c>
      <c r="R49" s="197"/>
      <c r="S49" s="197"/>
      <c r="T49" s="197"/>
      <c r="U49" s="197"/>
    </row>
    <row r="50" spans="1:21" s="12" customFormat="1" x14ac:dyDescent="0.25">
      <c r="A50" s="200" t="s">
        <v>3170</v>
      </c>
      <c r="B50" s="59">
        <v>4.07</v>
      </c>
      <c r="C50" s="59">
        <v>21.17</v>
      </c>
      <c r="D50" s="59">
        <v>16.690000000000001</v>
      </c>
      <c r="E50" s="59">
        <v>2.1</v>
      </c>
      <c r="F50" s="59">
        <v>6.58</v>
      </c>
      <c r="G50" s="59">
        <v>25.43</v>
      </c>
      <c r="H50" s="59">
        <v>14.27</v>
      </c>
      <c r="I50" s="59">
        <v>0.52</v>
      </c>
      <c r="J50" s="59">
        <v>0.41</v>
      </c>
      <c r="K50" s="59">
        <v>206.58</v>
      </c>
      <c r="L50" s="59">
        <v>27.93</v>
      </c>
      <c r="M50" s="59">
        <v>51.48</v>
      </c>
      <c r="N50" s="59">
        <v>825.3</v>
      </c>
      <c r="O50" s="59">
        <v>0</v>
      </c>
      <c r="P50" s="59">
        <v>0.46</v>
      </c>
      <c r="Q50" s="59">
        <v>35.35</v>
      </c>
      <c r="R50" s="197"/>
      <c r="S50" s="197"/>
      <c r="T50" s="197"/>
      <c r="U50" s="197"/>
    </row>
    <row r="51" spans="1:21" s="12" customFormat="1" x14ac:dyDescent="0.25">
      <c r="A51" s="200" t="s">
        <v>3171</v>
      </c>
      <c r="B51" s="59">
        <v>3.4</v>
      </c>
      <c r="C51" s="59">
        <v>22.08</v>
      </c>
      <c r="D51" s="59">
        <v>16.649999999999999</v>
      </c>
      <c r="E51" s="59">
        <v>2.21</v>
      </c>
      <c r="F51" s="59">
        <v>18.23</v>
      </c>
      <c r="G51" s="59">
        <v>25.96</v>
      </c>
      <c r="H51" s="59">
        <v>14.08</v>
      </c>
      <c r="I51" s="59">
        <v>0.51</v>
      </c>
      <c r="J51" s="59">
        <v>0.45</v>
      </c>
      <c r="K51" s="59">
        <v>175.79</v>
      </c>
      <c r="L51" s="59">
        <v>28.86</v>
      </c>
      <c r="M51" s="59">
        <v>49.28</v>
      </c>
      <c r="N51" s="59">
        <v>839</v>
      </c>
      <c r="O51" s="59">
        <v>0</v>
      </c>
      <c r="P51" s="59">
        <v>0.48</v>
      </c>
      <c r="Q51" s="59">
        <v>30.39</v>
      </c>
      <c r="R51" s="197"/>
      <c r="S51" s="197"/>
      <c r="T51" s="197"/>
      <c r="U51" s="197"/>
    </row>
    <row r="52" spans="1:21" s="12" customFormat="1" x14ac:dyDescent="0.25">
      <c r="A52" s="200" t="s">
        <v>3172</v>
      </c>
      <c r="B52" s="59">
        <v>2.68</v>
      </c>
      <c r="C52" s="59">
        <v>27.31</v>
      </c>
      <c r="D52" s="59">
        <v>18.96</v>
      </c>
      <c r="E52" s="59">
        <v>2.23</v>
      </c>
      <c r="F52" s="59">
        <v>14.57</v>
      </c>
      <c r="G52" s="59">
        <v>25.97</v>
      </c>
      <c r="H52" s="59">
        <v>14.08</v>
      </c>
      <c r="I52" s="59">
        <v>0.51</v>
      </c>
      <c r="J52" s="59">
        <v>0.64</v>
      </c>
      <c r="K52" s="59">
        <v>206.36</v>
      </c>
      <c r="L52" s="59">
        <v>28.85</v>
      </c>
      <c r="M52" s="59">
        <v>48.43</v>
      </c>
      <c r="N52" s="59">
        <v>792</v>
      </c>
      <c r="O52" s="59">
        <v>0</v>
      </c>
      <c r="P52" s="59">
        <v>0.52</v>
      </c>
      <c r="Q52" s="59">
        <v>25.72</v>
      </c>
      <c r="R52" s="197"/>
      <c r="S52" s="197"/>
      <c r="T52" s="197"/>
      <c r="U52" s="197"/>
    </row>
    <row r="53" spans="1:21" s="12" customFormat="1" x14ac:dyDescent="0.25">
      <c r="A53" s="200" t="s">
        <v>3173</v>
      </c>
      <c r="B53" s="59">
        <v>2.66</v>
      </c>
      <c r="C53" s="59">
        <v>25.8</v>
      </c>
      <c r="D53" s="59">
        <v>18.11</v>
      </c>
      <c r="E53" s="59">
        <v>2.17</v>
      </c>
      <c r="F53" s="59">
        <v>9.91</v>
      </c>
      <c r="G53" s="59">
        <v>25.97</v>
      </c>
      <c r="H53" s="59">
        <v>14.08</v>
      </c>
      <c r="I53" s="59">
        <v>0.49</v>
      </c>
      <c r="J53" s="59">
        <v>0.48</v>
      </c>
      <c r="K53" s="59">
        <v>187.83</v>
      </c>
      <c r="L53" s="59">
        <v>28.53</v>
      </c>
      <c r="M53" s="59">
        <v>51.15</v>
      </c>
      <c r="N53" s="59">
        <v>835.9</v>
      </c>
      <c r="O53" s="59">
        <v>0</v>
      </c>
      <c r="P53" s="59">
        <v>0.52</v>
      </c>
      <c r="Q53" s="59">
        <v>22.19</v>
      </c>
      <c r="R53" s="197"/>
      <c r="S53" s="197"/>
      <c r="T53" s="197"/>
      <c r="U53" s="197"/>
    </row>
    <row r="54" spans="1:21" s="12" customFormat="1" x14ac:dyDescent="0.25">
      <c r="A54" s="200" t="s">
        <v>3174</v>
      </c>
      <c r="B54" s="59">
        <v>4.76</v>
      </c>
      <c r="C54" s="59">
        <v>27.35</v>
      </c>
      <c r="D54" s="59">
        <v>20.65</v>
      </c>
      <c r="E54" s="59">
        <v>2.11</v>
      </c>
      <c r="F54" s="59">
        <v>9.48</v>
      </c>
      <c r="G54" s="59">
        <v>25.97</v>
      </c>
      <c r="H54" s="59">
        <v>14.08</v>
      </c>
      <c r="I54" s="59">
        <v>0.47</v>
      </c>
      <c r="J54" s="59">
        <v>0.19</v>
      </c>
      <c r="K54" s="59">
        <v>321.81</v>
      </c>
      <c r="L54" s="59">
        <v>30.78</v>
      </c>
      <c r="M54" s="59">
        <v>46.84</v>
      </c>
      <c r="N54" s="59">
        <v>862.7</v>
      </c>
      <c r="O54" s="59">
        <v>0</v>
      </c>
      <c r="P54" s="59">
        <v>0.54</v>
      </c>
      <c r="Q54" s="59">
        <v>21.64</v>
      </c>
      <c r="R54" s="197"/>
      <c r="S54" s="197"/>
      <c r="T54" s="197"/>
      <c r="U54" s="197"/>
    </row>
    <row r="55" spans="1:21" s="12" customFormat="1" x14ac:dyDescent="0.25">
      <c r="A55" s="200" t="s">
        <v>3175</v>
      </c>
      <c r="B55" s="59">
        <v>4.88</v>
      </c>
      <c r="C55" s="59">
        <v>32.78</v>
      </c>
      <c r="D55" s="59">
        <v>23.74</v>
      </c>
      <c r="E55" s="59">
        <v>2.71</v>
      </c>
      <c r="F55" s="59">
        <v>13.86</v>
      </c>
      <c r="G55" s="59">
        <v>25.64</v>
      </c>
      <c r="H55" s="59">
        <v>14.52</v>
      </c>
      <c r="I55" s="59">
        <v>0.48</v>
      </c>
      <c r="J55" s="59">
        <v>0.46</v>
      </c>
      <c r="K55" s="59">
        <v>187.57</v>
      </c>
      <c r="L55" s="59">
        <v>29.67</v>
      </c>
      <c r="M55" s="59">
        <v>49.49</v>
      </c>
      <c r="N55" s="59">
        <v>936.7</v>
      </c>
      <c r="O55" s="59">
        <v>0</v>
      </c>
      <c r="P55" s="59">
        <v>0.53</v>
      </c>
      <c r="Q55" s="59">
        <v>26.02</v>
      </c>
      <c r="R55" s="197"/>
      <c r="S55" s="197"/>
      <c r="T55" s="197"/>
      <c r="U55" s="197"/>
    </row>
    <row r="56" spans="1:21" s="12" customFormat="1" x14ac:dyDescent="0.25">
      <c r="A56" s="200" t="s">
        <v>3176</v>
      </c>
      <c r="B56" s="59">
        <v>4.0999999999999996</v>
      </c>
      <c r="C56" s="59">
        <v>30.51</v>
      </c>
      <c r="D56" s="59">
        <v>21.87</v>
      </c>
      <c r="E56" s="59">
        <v>1.43</v>
      </c>
      <c r="F56" s="59">
        <v>12.21</v>
      </c>
      <c r="G56" s="59">
        <v>25.64</v>
      </c>
      <c r="H56" s="59">
        <v>14.53</v>
      </c>
      <c r="I56" s="59">
        <v>0.48</v>
      </c>
      <c r="J56" s="59">
        <v>0.13</v>
      </c>
      <c r="K56" s="59">
        <v>38.51</v>
      </c>
      <c r="L56" s="59">
        <v>30.55</v>
      </c>
      <c r="M56" s="59">
        <v>48.62</v>
      </c>
      <c r="N56" s="59">
        <v>934.6</v>
      </c>
      <c r="O56" s="59">
        <v>0</v>
      </c>
      <c r="P56" s="59">
        <v>0.55000000000000004</v>
      </c>
      <c r="Q56" s="59">
        <v>28.35</v>
      </c>
      <c r="R56" s="197"/>
      <c r="S56" s="197"/>
      <c r="T56" s="197"/>
      <c r="U56" s="197"/>
    </row>
    <row r="57" spans="1:21" s="12" customFormat="1" x14ac:dyDescent="0.25">
      <c r="A57" s="200" t="s">
        <v>3177</v>
      </c>
      <c r="B57" s="59">
        <v>4.5599999999999996</v>
      </c>
      <c r="C57" s="59">
        <v>28.97</v>
      </c>
      <c r="D57" s="59">
        <v>21.38</v>
      </c>
      <c r="E57" s="59">
        <v>2.84</v>
      </c>
      <c r="F57" s="59">
        <v>11.44</v>
      </c>
      <c r="G57" s="59">
        <v>25.64</v>
      </c>
      <c r="H57" s="59">
        <v>14.53</v>
      </c>
      <c r="I57" s="59">
        <v>0.49</v>
      </c>
      <c r="J57" s="59">
        <v>0.15</v>
      </c>
      <c r="K57" s="59">
        <v>201.14</v>
      </c>
      <c r="L57" s="59">
        <v>31.36</v>
      </c>
      <c r="M57" s="59">
        <v>44.87</v>
      </c>
      <c r="N57" s="59">
        <v>722.3</v>
      </c>
      <c r="O57" s="59">
        <v>0</v>
      </c>
      <c r="P57" s="59">
        <v>0.55000000000000004</v>
      </c>
      <c r="Q57" s="59">
        <v>27.4</v>
      </c>
      <c r="R57" s="197"/>
      <c r="S57" s="197"/>
      <c r="T57" s="197"/>
      <c r="U57" s="197"/>
    </row>
    <row r="58" spans="1:21" s="12" customFormat="1" x14ac:dyDescent="0.25">
      <c r="A58" s="200" t="s">
        <v>3178</v>
      </c>
      <c r="B58" s="59">
        <v>3.87</v>
      </c>
      <c r="C58" s="59">
        <v>25.45</v>
      </c>
      <c r="D58" s="59">
        <v>18.89</v>
      </c>
      <c r="E58" s="59">
        <v>2.4900000000000002</v>
      </c>
      <c r="F58" s="59">
        <v>8.19</v>
      </c>
      <c r="G58" s="59">
        <v>25.64</v>
      </c>
      <c r="H58" s="59">
        <v>14.53</v>
      </c>
      <c r="I58" s="59">
        <v>0.5</v>
      </c>
      <c r="J58" s="59">
        <v>0.49</v>
      </c>
      <c r="K58" s="59">
        <v>338.77</v>
      </c>
      <c r="L58" s="59">
        <v>30.82</v>
      </c>
      <c r="M58" s="59">
        <v>44.47</v>
      </c>
      <c r="N58" s="59">
        <v>902.8</v>
      </c>
      <c r="O58" s="59">
        <v>0</v>
      </c>
      <c r="P58" s="59">
        <v>0.56000000000000005</v>
      </c>
      <c r="Q58" s="59">
        <v>25.97</v>
      </c>
      <c r="R58" s="197"/>
      <c r="S58" s="197"/>
      <c r="T58" s="197"/>
      <c r="U58" s="197"/>
    </row>
    <row r="59" spans="1:21" s="12" customFormat="1" x14ac:dyDescent="0.25">
      <c r="A59" s="200" t="s">
        <v>3179</v>
      </c>
      <c r="B59" s="59">
        <v>3.45</v>
      </c>
      <c r="C59" s="59">
        <v>28.17</v>
      </c>
      <c r="D59" s="59">
        <v>20.059999999999999</v>
      </c>
      <c r="E59" s="59">
        <v>2.4700000000000002</v>
      </c>
      <c r="F59" s="59">
        <v>10.33</v>
      </c>
      <c r="G59" s="59">
        <v>30.52</v>
      </c>
      <c r="H59" s="59">
        <v>17.05</v>
      </c>
      <c r="I59" s="59">
        <v>0.52</v>
      </c>
      <c r="J59" s="59">
        <v>0.76</v>
      </c>
      <c r="K59" s="59">
        <v>352.69</v>
      </c>
      <c r="L59" s="59">
        <v>33.33</v>
      </c>
      <c r="M59" s="59">
        <v>39.49</v>
      </c>
      <c r="N59" s="59">
        <v>875.8</v>
      </c>
      <c r="O59" s="59">
        <v>0</v>
      </c>
      <c r="P59" s="59">
        <v>0.57999999999999996</v>
      </c>
      <c r="Q59" s="59">
        <v>26.55</v>
      </c>
      <c r="R59" s="197"/>
      <c r="S59" s="197"/>
      <c r="T59" s="197"/>
      <c r="U59" s="197"/>
    </row>
    <row r="60" spans="1:21" s="12" customFormat="1" x14ac:dyDescent="0.25">
      <c r="A60" s="200" t="s">
        <v>3180</v>
      </c>
      <c r="B60" s="59">
        <v>3.31</v>
      </c>
      <c r="C60" s="59">
        <v>29.11</v>
      </c>
      <c r="D60" s="59">
        <v>20.46</v>
      </c>
      <c r="E60" s="59">
        <v>2.95</v>
      </c>
      <c r="F60" s="59">
        <v>9.73</v>
      </c>
      <c r="G60" s="59">
        <v>30.63</v>
      </c>
      <c r="H60" s="59">
        <v>17.100000000000001</v>
      </c>
      <c r="I60" s="59">
        <v>0.54</v>
      </c>
      <c r="J60" s="59">
        <v>0.42</v>
      </c>
      <c r="K60" s="59">
        <v>355.66</v>
      </c>
      <c r="L60" s="59">
        <v>32.19</v>
      </c>
      <c r="M60" s="59">
        <v>41.9</v>
      </c>
      <c r="N60" s="59">
        <v>858.5</v>
      </c>
      <c r="O60" s="59">
        <v>0</v>
      </c>
      <c r="P60" s="59">
        <v>0.59</v>
      </c>
      <c r="Q60" s="59">
        <v>29.6</v>
      </c>
      <c r="R60" s="197"/>
      <c r="S60" s="197"/>
      <c r="T60" s="197"/>
      <c r="U60" s="197"/>
    </row>
    <row r="61" spans="1:21" s="12" customFormat="1" x14ac:dyDescent="0.25">
      <c r="A61" s="200" t="s">
        <v>3181</v>
      </c>
      <c r="B61" s="59">
        <v>4.01</v>
      </c>
      <c r="C61" s="59">
        <v>26.59</v>
      </c>
      <c r="D61" s="59">
        <v>19.63</v>
      </c>
      <c r="E61" s="59">
        <v>2.5499999999999998</v>
      </c>
      <c r="F61" s="59">
        <v>16.489999999999998</v>
      </c>
      <c r="G61" s="59">
        <v>30.63</v>
      </c>
      <c r="H61" s="59">
        <v>17.100000000000001</v>
      </c>
      <c r="I61" s="59">
        <v>0.53</v>
      </c>
      <c r="J61" s="59">
        <v>0.43</v>
      </c>
      <c r="K61" s="59">
        <v>11.73</v>
      </c>
      <c r="L61" s="59">
        <v>33.729999999999997</v>
      </c>
      <c r="M61" s="59">
        <v>38.020000000000003</v>
      </c>
      <c r="N61" s="59">
        <v>800</v>
      </c>
      <c r="O61" s="59">
        <v>0</v>
      </c>
      <c r="P61" s="59">
        <v>0.57999999999999996</v>
      </c>
      <c r="Q61" s="59">
        <v>25.59</v>
      </c>
      <c r="R61" s="197"/>
      <c r="S61" s="197"/>
      <c r="T61" s="197"/>
      <c r="U61" s="197"/>
    </row>
    <row r="62" spans="1:21" s="12" customFormat="1" x14ac:dyDescent="0.25">
      <c r="A62" s="200" t="s">
        <v>3182</v>
      </c>
      <c r="B62" s="59">
        <v>5.24</v>
      </c>
      <c r="C62" s="59">
        <v>26.56</v>
      </c>
      <c r="D62" s="59">
        <v>20.6</v>
      </c>
      <c r="E62" s="59">
        <v>4.95</v>
      </c>
      <c r="F62" s="59">
        <v>18.54</v>
      </c>
      <c r="G62" s="59">
        <v>30.63</v>
      </c>
      <c r="H62" s="59">
        <v>17.100000000000001</v>
      </c>
      <c r="I62" s="59">
        <v>0.52</v>
      </c>
      <c r="J62" s="59">
        <v>0.96</v>
      </c>
      <c r="K62" s="59">
        <v>14.4</v>
      </c>
      <c r="L62" s="59">
        <v>33.28</v>
      </c>
      <c r="M62" s="59">
        <v>39.03</v>
      </c>
      <c r="N62" s="59">
        <v>785.8</v>
      </c>
      <c r="O62" s="59">
        <v>0</v>
      </c>
      <c r="P62" s="59">
        <v>0.65</v>
      </c>
      <c r="Q62" s="59">
        <v>26.61</v>
      </c>
      <c r="R62" s="197"/>
      <c r="S62" s="197"/>
      <c r="T62" s="197"/>
      <c r="U62" s="197"/>
    </row>
    <row r="63" spans="1:21" s="12" customFormat="1" x14ac:dyDescent="0.25">
      <c r="A63" s="200" t="s">
        <v>3183</v>
      </c>
      <c r="B63" s="59">
        <v>3.55</v>
      </c>
      <c r="C63" s="59">
        <v>27.59</v>
      </c>
      <c r="D63" s="59">
        <v>19.82</v>
      </c>
      <c r="E63" s="59">
        <v>3.47</v>
      </c>
      <c r="F63" s="59">
        <v>11.57</v>
      </c>
      <c r="G63" s="59">
        <v>34.979999999999997</v>
      </c>
      <c r="H63" s="59">
        <v>19.04</v>
      </c>
      <c r="I63" s="59">
        <v>0.53</v>
      </c>
      <c r="J63" s="59">
        <v>0.18</v>
      </c>
      <c r="K63" s="59">
        <v>100.67</v>
      </c>
      <c r="L63" s="59">
        <v>32.85</v>
      </c>
      <c r="M63" s="59">
        <v>38.97</v>
      </c>
      <c r="N63" s="59">
        <v>775.5</v>
      </c>
      <c r="O63" s="59">
        <v>0</v>
      </c>
      <c r="P63" s="59">
        <v>0.65</v>
      </c>
      <c r="Q63" s="59">
        <v>28.87</v>
      </c>
      <c r="R63" s="197"/>
      <c r="S63" s="197"/>
      <c r="T63" s="197"/>
      <c r="U63" s="197"/>
    </row>
    <row r="64" spans="1:21" s="12" customFormat="1" x14ac:dyDescent="0.25">
      <c r="A64" s="200" t="s">
        <v>3184</v>
      </c>
      <c r="B64" s="59">
        <v>2.97</v>
      </c>
      <c r="C64" s="59">
        <v>25.33</v>
      </c>
      <c r="D64" s="59">
        <v>18.100000000000001</v>
      </c>
      <c r="E64" s="59">
        <v>2.93</v>
      </c>
      <c r="F64" s="59">
        <v>8.3800000000000008</v>
      </c>
      <c r="G64" s="59">
        <v>35.08</v>
      </c>
      <c r="H64" s="59">
        <v>19.079999999999998</v>
      </c>
      <c r="I64" s="59">
        <v>0.54</v>
      </c>
      <c r="J64" s="59">
        <v>0.77</v>
      </c>
      <c r="K64" s="59">
        <v>344.77</v>
      </c>
      <c r="L64" s="59">
        <v>32.880000000000003</v>
      </c>
      <c r="M64" s="59">
        <v>37.92</v>
      </c>
      <c r="N64" s="59">
        <v>753</v>
      </c>
      <c r="O64" s="59">
        <v>0</v>
      </c>
      <c r="P64" s="59">
        <v>0.66</v>
      </c>
      <c r="Q64" s="59">
        <v>26.19</v>
      </c>
      <c r="R64" s="197"/>
      <c r="S64" s="197"/>
      <c r="T64" s="197"/>
      <c r="U64" s="197"/>
    </row>
    <row r="65" spans="1:21" s="12" customFormat="1" x14ac:dyDescent="0.25">
      <c r="A65" s="200" t="s">
        <v>3185</v>
      </c>
      <c r="B65" s="59">
        <v>3.5</v>
      </c>
      <c r="C65" s="59">
        <v>27.01</v>
      </c>
      <c r="D65" s="59">
        <v>19.45</v>
      </c>
      <c r="E65" s="59">
        <v>3.72</v>
      </c>
      <c r="F65" s="59">
        <v>14.11</v>
      </c>
      <c r="G65" s="59">
        <v>35.08</v>
      </c>
      <c r="H65" s="59">
        <v>19.079999999999998</v>
      </c>
      <c r="I65" s="59">
        <v>0.55000000000000004</v>
      </c>
      <c r="J65" s="59">
        <v>0.17</v>
      </c>
      <c r="K65" s="59">
        <v>290.8</v>
      </c>
      <c r="L65" s="59">
        <v>33.090000000000003</v>
      </c>
      <c r="M65" s="59">
        <v>35.74</v>
      </c>
      <c r="N65" s="59">
        <v>709.4</v>
      </c>
      <c r="O65" s="59">
        <v>0</v>
      </c>
      <c r="P65" s="59">
        <v>0.71</v>
      </c>
      <c r="Q65" s="59">
        <v>24.84</v>
      </c>
      <c r="R65" s="197"/>
      <c r="S65" s="197"/>
      <c r="T65" s="197"/>
      <c r="U65" s="197"/>
    </row>
    <row r="66" spans="1:21" s="12" customFormat="1" x14ac:dyDescent="0.25">
      <c r="A66" s="200" t="s">
        <v>3186</v>
      </c>
      <c r="B66" s="59">
        <v>3.17</v>
      </c>
      <c r="C66" s="59">
        <v>29.49</v>
      </c>
      <c r="D66" s="59">
        <v>20.56</v>
      </c>
      <c r="E66" s="59">
        <v>2.78</v>
      </c>
      <c r="F66" s="59">
        <v>15.02</v>
      </c>
      <c r="G66" s="59">
        <v>35.08</v>
      </c>
      <c r="H66" s="59">
        <v>19.079999999999998</v>
      </c>
      <c r="I66" s="59">
        <v>0.56000000000000005</v>
      </c>
      <c r="J66" s="59">
        <v>0.27</v>
      </c>
      <c r="K66" s="59">
        <v>359.74</v>
      </c>
      <c r="L66" s="59">
        <v>33.630000000000003</v>
      </c>
      <c r="M66" s="59">
        <v>34.58</v>
      </c>
      <c r="N66" s="59">
        <v>647.5</v>
      </c>
      <c r="O66" s="59">
        <v>0</v>
      </c>
      <c r="P66" s="59">
        <v>0.74</v>
      </c>
      <c r="Q66" s="59">
        <v>25.76</v>
      </c>
      <c r="R66" s="197"/>
      <c r="S66" s="197"/>
      <c r="T66" s="197"/>
      <c r="U66" s="197"/>
    </row>
    <row r="67" spans="1:21" s="12" customFormat="1" x14ac:dyDescent="0.25">
      <c r="A67" s="200" t="s">
        <v>3187</v>
      </c>
      <c r="B67" s="59">
        <v>3.12</v>
      </c>
      <c r="C67" s="59">
        <v>34.200000000000003</v>
      </c>
      <c r="D67" s="59">
        <v>23.12</v>
      </c>
      <c r="E67" s="59">
        <v>5.22</v>
      </c>
      <c r="F67" s="59">
        <v>25.19</v>
      </c>
      <c r="G67" s="59">
        <v>42.32</v>
      </c>
      <c r="H67" s="59">
        <v>16.53</v>
      </c>
      <c r="I67" s="59">
        <v>0.55000000000000004</v>
      </c>
      <c r="J67" s="59">
        <v>0.12</v>
      </c>
      <c r="K67" s="59">
        <v>330.68</v>
      </c>
      <c r="L67" s="59">
        <v>33.17</v>
      </c>
      <c r="M67" s="59">
        <v>34.06</v>
      </c>
      <c r="N67" s="59">
        <v>501.3</v>
      </c>
      <c r="O67" s="59">
        <v>0</v>
      </c>
      <c r="P67" s="59">
        <v>0.79</v>
      </c>
      <c r="Q67" s="59">
        <v>25.12</v>
      </c>
      <c r="R67" s="197"/>
      <c r="S67" s="197"/>
      <c r="T67" s="197"/>
      <c r="U67" s="197"/>
    </row>
    <row r="68" spans="1:21" s="12" customFormat="1" x14ac:dyDescent="0.25">
      <c r="A68" s="200" t="s">
        <v>3188</v>
      </c>
      <c r="B68" s="59">
        <v>2.57</v>
      </c>
      <c r="C68" s="59">
        <v>28.88</v>
      </c>
      <c r="D68" s="59">
        <v>19.739999999999998</v>
      </c>
      <c r="E68" s="59">
        <v>5.0599999999999996</v>
      </c>
      <c r="F68" s="59">
        <v>26.51</v>
      </c>
      <c r="G68" s="59">
        <v>42.49</v>
      </c>
      <c r="H68" s="59">
        <v>16.47</v>
      </c>
      <c r="I68" s="59">
        <v>0.52</v>
      </c>
      <c r="J68" s="59">
        <v>0.25</v>
      </c>
      <c r="K68" s="59">
        <v>229.76</v>
      </c>
      <c r="L68" s="59">
        <v>32.36</v>
      </c>
      <c r="M68" s="59">
        <v>33.08</v>
      </c>
      <c r="N68" s="59">
        <v>397.1</v>
      </c>
      <c r="O68" s="59">
        <v>0</v>
      </c>
      <c r="P68" s="59">
        <v>0.8</v>
      </c>
      <c r="Q68" s="59">
        <v>24.45</v>
      </c>
      <c r="R68" s="197"/>
      <c r="S68" s="197"/>
      <c r="T68" s="197"/>
      <c r="U68" s="197"/>
    </row>
    <row r="69" spans="1:21" s="12" customFormat="1" x14ac:dyDescent="0.25">
      <c r="A69" s="200" t="s">
        <v>3189</v>
      </c>
      <c r="B69" s="59">
        <v>2.52</v>
      </c>
      <c r="C69" s="59">
        <v>37.6</v>
      </c>
      <c r="D69" s="59">
        <v>24.51</v>
      </c>
      <c r="E69" s="59">
        <v>5.51</v>
      </c>
      <c r="F69" s="59">
        <v>22.28</v>
      </c>
      <c r="G69" s="59">
        <v>42.49</v>
      </c>
      <c r="H69" s="59">
        <v>16.47</v>
      </c>
      <c r="I69" s="59">
        <v>0.52</v>
      </c>
      <c r="J69" s="59">
        <v>0.63</v>
      </c>
      <c r="K69" s="59">
        <v>192.43</v>
      </c>
      <c r="L69" s="59">
        <v>31.08</v>
      </c>
      <c r="M69" s="59">
        <v>35.299999999999997</v>
      </c>
      <c r="N69" s="59">
        <v>338.5</v>
      </c>
      <c r="O69" s="59">
        <v>0</v>
      </c>
      <c r="P69" s="59">
        <v>0.78</v>
      </c>
      <c r="Q69" s="59">
        <v>28.36</v>
      </c>
      <c r="R69" s="197"/>
      <c r="S69" s="197"/>
      <c r="T69" s="197"/>
      <c r="U69" s="197"/>
    </row>
    <row r="70" spans="1:21" s="12" customFormat="1" x14ac:dyDescent="0.25">
      <c r="A70" s="200" t="s">
        <v>3190</v>
      </c>
      <c r="B70" s="59">
        <v>2.64</v>
      </c>
      <c r="C70" s="59">
        <v>33.6</v>
      </c>
      <c r="D70" s="59">
        <v>22.4</v>
      </c>
      <c r="E70" s="59">
        <v>5.6</v>
      </c>
      <c r="F70" s="59">
        <v>19.38</v>
      </c>
      <c r="G70" s="59">
        <v>42.49</v>
      </c>
      <c r="H70" s="59">
        <v>16.47</v>
      </c>
      <c r="I70" s="59">
        <v>0.53</v>
      </c>
      <c r="J70" s="59">
        <v>0.11</v>
      </c>
      <c r="K70" s="59">
        <v>314.13</v>
      </c>
      <c r="L70" s="59">
        <v>30.86</v>
      </c>
      <c r="M70" s="59">
        <v>36.61</v>
      </c>
      <c r="N70" s="59">
        <v>169.9</v>
      </c>
      <c r="O70" s="59">
        <v>0</v>
      </c>
      <c r="P70" s="59">
        <v>0.82</v>
      </c>
      <c r="Q70" s="59">
        <v>30.56</v>
      </c>
      <c r="R70" s="197"/>
      <c r="S70" s="197"/>
      <c r="T70" s="197"/>
      <c r="U70" s="197"/>
    </row>
    <row r="71" spans="1:21" s="12" customFormat="1" x14ac:dyDescent="0.25">
      <c r="A71" s="200" t="s">
        <v>3191</v>
      </c>
      <c r="B71" s="59">
        <v>2.64</v>
      </c>
      <c r="C71" s="59">
        <v>29.31</v>
      </c>
      <c r="D71" s="59">
        <v>20.03</v>
      </c>
      <c r="E71" s="59">
        <v>3.69</v>
      </c>
      <c r="F71" s="59">
        <v>14.08</v>
      </c>
      <c r="G71" s="59">
        <v>47.07</v>
      </c>
      <c r="H71" s="59">
        <v>18.260000000000002</v>
      </c>
      <c r="I71" s="59">
        <v>0.53</v>
      </c>
      <c r="J71" s="59">
        <v>0.48</v>
      </c>
      <c r="K71" s="59">
        <v>217.63</v>
      </c>
      <c r="L71" s="59">
        <v>29.63</v>
      </c>
      <c r="M71" s="59">
        <v>35.28</v>
      </c>
      <c r="N71" s="59">
        <v>127.5</v>
      </c>
      <c r="O71" s="59">
        <v>0</v>
      </c>
      <c r="P71" s="59">
        <v>0.81</v>
      </c>
      <c r="Q71" s="59">
        <v>27.5</v>
      </c>
      <c r="R71" s="197"/>
      <c r="S71" s="197"/>
      <c r="T71" s="197"/>
      <c r="U71" s="197"/>
    </row>
    <row r="72" spans="1:21" s="12" customFormat="1" x14ac:dyDescent="0.25">
      <c r="A72" s="200" t="s">
        <v>3192</v>
      </c>
      <c r="B72" s="59">
        <v>3.28</v>
      </c>
      <c r="C72" s="59">
        <v>29.26</v>
      </c>
      <c r="D72" s="59">
        <v>20.52</v>
      </c>
      <c r="E72" s="59">
        <v>3.08</v>
      </c>
      <c r="F72" s="59">
        <v>22.19</v>
      </c>
      <c r="G72" s="59">
        <v>47.17</v>
      </c>
      <c r="H72" s="59">
        <v>18.3</v>
      </c>
      <c r="I72" s="59">
        <v>0.53</v>
      </c>
      <c r="J72" s="59">
        <v>0.54</v>
      </c>
      <c r="K72" s="59">
        <v>190.45</v>
      </c>
      <c r="L72" s="59">
        <v>28.7</v>
      </c>
      <c r="M72" s="59">
        <v>33.880000000000003</v>
      </c>
      <c r="N72" s="59">
        <v>141.80000000000001</v>
      </c>
      <c r="O72" s="59">
        <v>0</v>
      </c>
      <c r="P72" s="59">
        <v>0.73</v>
      </c>
      <c r="Q72" s="59">
        <v>24.83</v>
      </c>
      <c r="R72" s="197"/>
      <c r="S72" s="197"/>
      <c r="T72" s="197"/>
      <c r="U72" s="197"/>
    </row>
    <row r="73" spans="1:21" s="12" customFormat="1" x14ac:dyDescent="0.25">
      <c r="A73" s="200" t="s">
        <v>3193</v>
      </c>
      <c r="B73" s="59">
        <v>3.16</v>
      </c>
      <c r="C73" s="59">
        <v>25.46</v>
      </c>
      <c r="D73" s="59">
        <v>18.32</v>
      </c>
      <c r="E73" s="59">
        <v>3.11</v>
      </c>
      <c r="F73" s="59">
        <v>13.38</v>
      </c>
      <c r="G73" s="59">
        <v>47.17</v>
      </c>
      <c r="H73" s="59">
        <v>18.3</v>
      </c>
      <c r="I73" s="59">
        <v>0.53</v>
      </c>
      <c r="J73" s="59">
        <v>0.84</v>
      </c>
      <c r="K73" s="59">
        <v>180.82</v>
      </c>
      <c r="L73" s="59">
        <v>28</v>
      </c>
      <c r="M73" s="59">
        <v>33.96</v>
      </c>
      <c r="N73" s="59">
        <v>102.6</v>
      </c>
      <c r="O73" s="59">
        <v>0</v>
      </c>
      <c r="P73" s="59">
        <v>0.7</v>
      </c>
      <c r="Q73" s="59">
        <v>23.33</v>
      </c>
      <c r="R73" s="197"/>
      <c r="S73" s="197"/>
      <c r="T73" s="197"/>
      <c r="U73" s="197"/>
    </row>
    <row r="74" spans="1:21" s="12" customFormat="1" x14ac:dyDescent="0.25">
      <c r="A74" s="200" t="s">
        <v>3194</v>
      </c>
      <c r="B74" s="59">
        <v>5.0199999999999996</v>
      </c>
      <c r="C74" s="59">
        <v>34.340000000000003</v>
      </c>
      <c r="D74" s="59">
        <v>24.72</v>
      </c>
      <c r="E74" s="59">
        <v>3.99</v>
      </c>
      <c r="F74" s="59">
        <v>22.26</v>
      </c>
      <c r="G74" s="59">
        <v>47.17</v>
      </c>
      <c r="H74" s="59">
        <v>18.3</v>
      </c>
      <c r="I74" s="59">
        <v>0.53</v>
      </c>
      <c r="J74" s="59">
        <v>0.15</v>
      </c>
      <c r="K74" s="59">
        <v>234.27</v>
      </c>
      <c r="L74" s="59">
        <v>28.14</v>
      </c>
      <c r="M74" s="59">
        <v>35.130000000000003</v>
      </c>
      <c r="N74" s="59">
        <v>73.400000000000006</v>
      </c>
      <c r="O74" s="59">
        <v>0</v>
      </c>
      <c r="P74" s="59">
        <v>0.63</v>
      </c>
      <c r="Q74" s="59">
        <v>21.37</v>
      </c>
      <c r="R74" s="197"/>
      <c r="S74" s="197"/>
      <c r="T74" s="197"/>
      <c r="U74" s="197"/>
    </row>
    <row r="75" spans="1:21" s="12" customFormat="1" x14ac:dyDescent="0.25">
      <c r="A75" s="200" t="s">
        <v>3195</v>
      </c>
      <c r="B75" s="59">
        <v>3.57</v>
      </c>
      <c r="C75" s="59">
        <v>23.95</v>
      </c>
      <c r="D75" s="59">
        <v>17.82</v>
      </c>
      <c r="E75" s="59">
        <v>3.11</v>
      </c>
      <c r="F75" s="59">
        <v>11.94</v>
      </c>
      <c r="G75" s="59">
        <v>44.25</v>
      </c>
      <c r="H75" s="59">
        <v>17.739999999999998</v>
      </c>
      <c r="I75" s="59">
        <v>0.52</v>
      </c>
      <c r="J75" s="59">
        <v>1.74</v>
      </c>
      <c r="K75" s="59">
        <v>200.34</v>
      </c>
      <c r="L75" s="59">
        <v>26.5</v>
      </c>
      <c r="M75" s="59">
        <v>43.13</v>
      </c>
      <c r="N75" s="59">
        <v>39.799999999999997</v>
      </c>
      <c r="O75" s="59">
        <v>0</v>
      </c>
      <c r="P75" s="59">
        <v>0.69</v>
      </c>
      <c r="Q75" s="59">
        <v>20.05</v>
      </c>
      <c r="R75" s="197"/>
      <c r="S75" s="197"/>
      <c r="T75" s="197"/>
      <c r="U75" s="197"/>
    </row>
    <row r="76" spans="1:21" s="12" customFormat="1" x14ac:dyDescent="0.25">
      <c r="A76" s="200" t="s">
        <v>3196</v>
      </c>
      <c r="B76" s="59">
        <v>2.98</v>
      </c>
      <c r="C76" s="59">
        <v>27.82</v>
      </c>
      <c r="D76" s="59">
        <v>19.489999999999998</v>
      </c>
      <c r="E76" s="59">
        <v>2.65</v>
      </c>
      <c r="F76" s="59">
        <v>16.89</v>
      </c>
      <c r="G76" s="59">
        <v>44.18</v>
      </c>
      <c r="H76" s="59">
        <v>17.72</v>
      </c>
      <c r="I76" s="59">
        <v>0.52</v>
      </c>
      <c r="J76" s="59">
        <v>2.81</v>
      </c>
      <c r="K76" s="59">
        <v>179.25</v>
      </c>
      <c r="L76" s="59">
        <v>26.03</v>
      </c>
      <c r="M76" s="59">
        <v>37.28</v>
      </c>
      <c r="N76" s="59">
        <v>28.3</v>
      </c>
      <c r="O76" s="59">
        <v>0</v>
      </c>
      <c r="P76" s="59">
        <v>0.61</v>
      </c>
      <c r="Q76" s="59">
        <v>22.15</v>
      </c>
      <c r="R76" s="197"/>
      <c r="S76" s="197"/>
      <c r="T76" s="197"/>
      <c r="U76" s="197"/>
    </row>
    <row r="77" spans="1:21" s="12" customFormat="1" x14ac:dyDescent="0.25">
      <c r="A77" s="200" t="s">
        <v>3197</v>
      </c>
      <c r="B77" s="59">
        <v>2.74</v>
      </c>
      <c r="C77" s="59">
        <v>32.520000000000003</v>
      </c>
      <c r="D77" s="59">
        <v>21.88</v>
      </c>
      <c r="E77" s="59">
        <v>2.0299999999999998</v>
      </c>
      <c r="F77" s="59">
        <v>7.37</v>
      </c>
      <c r="G77" s="59">
        <v>44.18</v>
      </c>
      <c r="H77" s="59">
        <v>17.72</v>
      </c>
      <c r="I77" s="59">
        <v>0.53</v>
      </c>
      <c r="J77" s="59">
        <v>0.18</v>
      </c>
      <c r="K77" s="59">
        <v>15.86</v>
      </c>
      <c r="L77" s="59">
        <v>26.21</v>
      </c>
      <c r="M77" s="59">
        <v>38.71</v>
      </c>
      <c r="N77" s="59">
        <v>63.4</v>
      </c>
      <c r="O77" s="59">
        <v>0</v>
      </c>
      <c r="P77" s="59">
        <v>0.56000000000000005</v>
      </c>
      <c r="Q77" s="59">
        <v>31.62</v>
      </c>
      <c r="R77" s="197"/>
      <c r="S77" s="197"/>
      <c r="T77" s="197"/>
      <c r="U77" s="197"/>
    </row>
    <row r="78" spans="1:21" s="12" customFormat="1" x14ac:dyDescent="0.25">
      <c r="A78" s="200" t="s">
        <v>3198</v>
      </c>
      <c r="B78" s="59">
        <v>4.9000000000000004</v>
      </c>
      <c r="C78" s="59">
        <v>28.4</v>
      </c>
      <c r="D78" s="59">
        <v>21.34</v>
      </c>
      <c r="E78" s="59">
        <v>2.17</v>
      </c>
      <c r="F78" s="59">
        <v>8.7899999999999991</v>
      </c>
      <c r="G78" s="59">
        <v>44.18</v>
      </c>
      <c r="H78" s="59">
        <v>17.72</v>
      </c>
      <c r="I78" s="59">
        <v>0.51</v>
      </c>
      <c r="J78" s="59">
        <v>0.83</v>
      </c>
      <c r="K78" s="59">
        <v>356.91</v>
      </c>
      <c r="L78" s="59">
        <v>25.58</v>
      </c>
      <c r="M78" s="59">
        <v>44</v>
      </c>
      <c r="N78" s="59">
        <v>60.6</v>
      </c>
      <c r="O78" s="59">
        <v>0</v>
      </c>
      <c r="P78" s="59">
        <v>0.56999999999999995</v>
      </c>
      <c r="Q78" s="59">
        <v>28.4</v>
      </c>
      <c r="R78" s="197"/>
      <c r="S78" s="197"/>
      <c r="T78" s="197"/>
      <c r="U78" s="197"/>
    </row>
    <row r="79" spans="1:21" s="12" customFormat="1" x14ac:dyDescent="0.25">
      <c r="A79" s="200" t="s">
        <v>3199</v>
      </c>
      <c r="B79" s="59">
        <v>6.47</v>
      </c>
      <c r="C79" s="59">
        <v>34.61</v>
      </c>
      <c r="D79" s="59">
        <v>26.03</v>
      </c>
      <c r="E79" s="59">
        <v>1.92</v>
      </c>
      <c r="F79" s="59">
        <v>6.89</v>
      </c>
      <c r="G79" s="59">
        <v>38.29</v>
      </c>
      <c r="H79" s="59">
        <v>14.36</v>
      </c>
      <c r="I79" s="59">
        <v>0.5</v>
      </c>
      <c r="J79" s="59">
        <v>2.4300000000000002</v>
      </c>
      <c r="K79" s="59">
        <v>16.57</v>
      </c>
      <c r="L79" s="59">
        <v>24.62</v>
      </c>
      <c r="M79" s="59">
        <v>50.5</v>
      </c>
      <c r="N79" s="59">
        <v>62.1</v>
      </c>
      <c r="O79" s="59">
        <v>0</v>
      </c>
      <c r="P79" s="59">
        <v>0.61</v>
      </c>
      <c r="Q79" s="59">
        <v>29.35</v>
      </c>
      <c r="R79" s="197"/>
      <c r="S79" s="197"/>
      <c r="T79" s="197"/>
      <c r="U79" s="197"/>
    </row>
    <row r="80" spans="1:21" s="12" customFormat="1" x14ac:dyDescent="0.25">
      <c r="A80" s="200" t="s">
        <v>3200</v>
      </c>
      <c r="B80" s="59">
        <v>5.39</v>
      </c>
      <c r="C80" s="59">
        <v>36.96</v>
      </c>
      <c r="D80" s="59">
        <v>26.46</v>
      </c>
      <c r="E80" s="59">
        <v>2.2799999999999998</v>
      </c>
      <c r="F80" s="59">
        <v>7.65</v>
      </c>
      <c r="G80" s="59">
        <v>38.159999999999997</v>
      </c>
      <c r="H80" s="59">
        <v>14.28</v>
      </c>
      <c r="I80" s="59">
        <v>0.5</v>
      </c>
      <c r="J80" s="59">
        <v>2.64</v>
      </c>
      <c r="K80" s="59">
        <v>17.649999999999999</v>
      </c>
      <c r="L80" s="59">
        <v>23.11</v>
      </c>
      <c r="M80" s="59">
        <v>59.53</v>
      </c>
      <c r="N80" s="59">
        <v>37.1</v>
      </c>
      <c r="O80" s="59">
        <v>0</v>
      </c>
      <c r="P80" s="59">
        <v>0.63</v>
      </c>
      <c r="Q80" s="59">
        <v>29.97</v>
      </c>
      <c r="R80" s="197"/>
      <c r="S80" s="197"/>
      <c r="T80" s="197"/>
      <c r="U80" s="197"/>
    </row>
    <row r="81" spans="1:26" s="12" customFormat="1" x14ac:dyDescent="0.25">
      <c r="A81" s="200" t="s">
        <v>3201</v>
      </c>
      <c r="B81" s="59">
        <v>6.16</v>
      </c>
      <c r="C81" s="59">
        <v>38.53</v>
      </c>
      <c r="D81" s="59">
        <v>27.94</v>
      </c>
      <c r="E81" s="59">
        <v>2.19</v>
      </c>
      <c r="F81" s="59">
        <v>6.96</v>
      </c>
      <c r="G81" s="59">
        <v>38.159999999999997</v>
      </c>
      <c r="H81" s="59">
        <v>14.28</v>
      </c>
      <c r="I81" s="59">
        <v>0.5</v>
      </c>
      <c r="J81" s="59">
        <v>2.2799999999999998</v>
      </c>
      <c r="K81" s="59">
        <v>17.18</v>
      </c>
      <c r="L81" s="59">
        <v>22.57</v>
      </c>
      <c r="M81" s="59">
        <v>61.7</v>
      </c>
      <c r="N81" s="59">
        <v>11.2</v>
      </c>
      <c r="O81" s="59">
        <v>0</v>
      </c>
      <c r="P81" s="59">
        <v>0.67</v>
      </c>
      <c r="Q81" s="59">
        <v>30.97</v>
      </c>
      <c r="R81" s="197"/>
      <c r="S81" s="197"/>
      <c r="T81" s="197"/>
      <c r="U81" s="197"/>
    </row>
    <row r="82" spans="1:26" s="12" customFormat="1" x14ac:dyDescent="0.25">
      <c r="A82" s="200" t="s">
        <v>3202</v>
      </c>
      <c r="B82" s="59">
        <v>5.22</v>
      </c>
      <c r="C82" s="59">
        <v>38.83</v>
      </c>
      <c r="D82" s="59">
        <v>27.36</v>
      </c>
      <c r="E82" s="59">
        <v>1.98</v>
      </c>
      <c r="F82" s="59">
        <v>5.0999999999999996</v>
      </c>
      <c r="G82" s="59">
        <v>38.159999999999997</v>
      </c>
      <c r="H82" s="59">
        <v>14.28</v>
      </c>
      <c r="I82" s="59">
        <v>0.5</v>
      </c>
      <c r="J82" s="59">
        <v>1.97</v>
      </c>
      <c r="K82" s="59">
        <v>10.29</v>
      </c>
      <c r="L82" s="59">
        <v>22.14</v>
      </c>
      <c r="M82" s="59">
        <v>63.24</v>
      </c>
      <c r="N82" s="59">
        <v>5.8</v>
      </c>
      <c r="O82" s="59">
        <v>0</v>
      </c>
      <c r="P82" s="59">
        <v>0.69</v>
      </c>
      <c r="Q82" s="59">
        <v>31.16</v>
      </c>
      <c r="R82" s="197"/>
      <c r="S82" s="197"/>
      <c r="T82" s="197"/>
      <c r="U82" s="197"/>
    </row>
    <row r="83" spans="1:26" s="12" customFormat="1" x14ac:dyDescent="0.25">
      <c r="A83" s="200" t="s">
        <v>3203</v>
      </c>
      <c r="B83" s="59">
        <v>4.79</v>
      </c>
      <c r="C83" s="59">
        <v>43.37</v>
      </c>
      <c r="D83" s="59">
        <v>29.52</v>
      </c>
      <c r="E83" s="59">
        <v>1.94</v>
      </c>
      <c r="F83" s="59">
        <v>3.53</v>
      </c>
      <c r="G83" s="59">
        <v>49.94</v>
      </c>
      <c r="H83" s="59">
        <v>19.82</v>
      </c>
      <c r="I83" s="59">
        <v>0.51</v>
      </c>
      <c r="J83" s="59">
        <v>1.41</v>
      </c>
      <c r="K83" s="59">
        <v>14.78</v>
      </c>
      <c r="L83" s="59">
        <v>21.89</v>
      </c>
      <c r="M83" s="59">
        <v>63.82</v>
      </c>
      <c r="N83" s="59">
        <v>4.5999999999999996</v>
      </c>
      <c r="O83" s="59">
        <v>0</v>
      </c>
      <c r="P83" s="59">
        <v>0.72</v>
      </c>
      <c r="Q83" s="59">
        <v>30.84</v>
      </c>
      <c r="R83" s="197"/>
      <c r="S83" s="197"/>
      <c r="T83" s="197"/>
      <c r="U83" s="197"/>
    </row>
    <row r="84" spans="1:26" s="12" customFormat="1" x14ac:dyDescent="0.25">
      <c r="A84" s="200" t="s">
        <v>3204</v>
      </c>
      <c r="B84" s="59">
        <v>5.18</v>
      </c>
      <c r="C84" s="59">
        <v>42.14</v>
      </c>
      <c r="D84" s="59">
        <v>29.15</v>
      </c>
      <c r="E84" s="59">
        <v>1.73</v>
      </c>
      <c r="F84" s="59">
        <v>4.51</v>
      </c>
      <c r="G84" s="59">
        <v>50.21</v>
      </c>
      <c r="H84" s="59">
        <v>19.95</v>
      </c>
      <c r="I84" s="59">
        <v>0.51</v>
      </c>
      <c r="J84" s="59">
        <v>1.6</v>
      </c>
      <c r="K84" s="59">
        <v>17.21</v>
      </c>
      <c r="L84" s="59">
        <v>21.87</v>
      </c>
      <c r="M84" s="59">
        <v>61.56</v>
      </c>
      <c r="N84" s="59">
        <v>4.2</v>
      </c>
      <c r="O84" s="59">
        <v>0</v>
      </c>
      <c r="P84" s="59">
        <v>0.75</v>
      </c>
      <c r="Q84" s="59">
        <v>28.81</v>
      </c>
      <c r="R84" s="197"/>
      <c r="S84" s="197"/>
      <c r="T84" s="197"/>
      <c r="U84" s="197"/>
    </row>
    <row r="85" spans="1:26" s="12" customFormat="1" x14ac:dyDescent="0.25">
      <c r="A85" s="200" t="s">
        <v>3205</v>
      </c>
      <c r="B85" s="59">
        <v>6.19</v>
      </c>
      <c r="C85" s="59">
        <v>41.02</v>
      </c>
      <c r="D85" s="59">
        <v>29.34</v>
      </c>
      <c r="E85" s="59">
        <v>2.34</v>
      </c>
      <c r="F85" s="59">
        <v>5.4</v>
      </c>
      <c r="G85" s="59">
        <v>50.21</v>
      </c>
      <c r="H85" s="59">
        <v>19.95</v>
      </c>
      <c r="I85" s="59">
        <v>0.51</v>
      </c>
      <c r="J85" s="59">
        <v>1.18</v>
      </c>
      <c r="K85" s="59">
        <v>25.27</v>
      </c>
      <c r="L85" s="59">
        <v>22.05</v>
      </c>
      <c r="M85" s="59">
        <v>60.47</v>
      </c>
      <c r="N85" s="59">
        <v>4.3</v>
      </c>
      <c r="O85" s="59">
        <v>0</v>
      </c>
      <c r="P85" s="59">
        <v>0.76</v>
      </c>
      <c r="Q85" s="59">
        <v>29.44</v>
      </c>
      <c r="R85" s="197"/>
      <c r="S85" s="197"/>
      <c r="T85" s="197"/>
      <c r="U85" s="197"/>
    </row>
    <row r="86" spans="1:26" s="12" customFormat="1" x14ac:dyDescent="0.25">
      <c r="A86" s="200" t="s">
        <v>3206</v>
      </c>
      <c r="B86" s="59">
        <v>6.72</v>
      </c>
      <c r="C86" s="59">
        <v>50.63</v>
      </c>
      <c r="D86" s="59">
        <v>35.07</v>
      </c>
      <c r="E86" s="59">
        <v>2.35</v>
      </c>
      <c r="F86" s="59">
        <v>5.76</v>
      </c>
      <c r="G86" s="59">
        <v>50.21</v>
      </c>
      <c r="H86" s="59">
        <v>19.95</v>
      </c>
      <c r="I86" s="59">
        <v>0.51</v>
      </c>
      <c r="J86" s="59">
        <v>1.88</v>
      </c>
      <c r="K86" s="59">
        <v>24.66</v>
      </c>
      <c r="L86" s="59">
        <v>22.25</v>
      </c>
      <c r="M86" s="59">
        <v>58.93</v>
      </c>
      <c r="N86" s="59">
        <v>4.0999999999999996</v>
      </c>
      <c r="O86" s="59">
        <v>0</v>
      </c>
      <c r="P86" s="59">
        <v>0.8</v>
      </c>
      <c r="Q86" s="59">
        <v>28.92</v>
      </c>
      <c r="R86" s="197"/>
      <c r="S86" s="197"/>
      <c r="T86" s="197"/>
      <c r="U86" s="197"/>
    </row>
    <row r="87" spans="1:26" s="12" customFormat="1" x14ac:dyDescent="0.25">
      <c r="A87" s="200" t="s">
        <v>3207</v>
      </c>
      <c r="B87" s="59">
        <v>6.68</v>
      </c>
      <c r="C87" s="59">
        <v>46.24</v>
      </c>
      <c r="D87" s="59">
        <v>32.61</v>
      </c>
      <c r="E87" s="59">
        <v>2.2200000000000002</v>
      </c>
      <c r="F87" s="59">
        <v>5.3</v>
      </c>
      <c r="G87" s="59">
        <v>48.51</v>
      </c>
      <c r="H87" s="59">
        <v>20.38</v>
      </c>
      <c r="I87" s="59">
        <v>0.53</v>
      </c>
      <c r="J87" s="59">
        <v>1.8</v>
      </c>
      <c r="K87" s="59">
        <v>22.37</v>
      </c>
      <c r="L87" s="59">
        <v>22.17</v>
      </c>
      <c r="M87" s="59">
        <v>60.86</v>
      </c>
      <c r="N87" s="59">
        <v>4.8</v>
      </c>
      <c r="O87" s="59">
        <v>0</v>
      </c>
      <c r="P87" s="59">
        <v>0.83</v>
      </c>
      <c r="Q87" s="59">
        <v>29.22</v>
      </c>
      <c r="R87" s="197"/>
      <c r="S87" s="197"/>
      <c r="T87" s="197"/>
      <c r="U87" s="197"/>
    </row>
    <row r="88" spans="1:26" s="12" customFormat="1" x14ac:dyDescent="0.25">
      <c r="A88" s="200" t="s">
        <v>3208</v>
      </c>
      <c r="B88" s="59">
        <v>6.72</v>
      </c>
      <c r="C88" s="59">
        <v>46.2</v>
      </c>
      <c r="D88" s="59">
        <v>32.630000000000003</v>
      </c>
      <c r="E88" s="59">
        <v>0.84</v>
      </c>
      <c r="F88" s="59">
        <v>5.64</v>
      </c>
      <c r="G88" s="59">
        <v>48.47</v>
      </c>
      <c r="H88" s="59">
        <v>20.39</v>
      </c>
      <c r="I88" s="59">
        <v>0.54</v>
      </c>
      <c r="J88" s="59">
        <v>1.02</v>
      </c>
      <c r="K88" s="59">
        <v>25.16</v>
      </c>
      <c r="L88" s="59">
        <v>21.91</v>
      </c>
      <c r="M88" s="59">
        <v>63.51</v>
      </c>
      <c r="N88" s="59">
        <v>4.9000000000000004</v>
      </c>
      <c r="O88" s="59">
        <v>0</v>
      </c>
      <c r="P88" s="59">
        <v>0.89</v>
      </c>
      <c r="Q88" s="59">
        <v>31.28</v>
      </c>
      <c r="R88" s="197"/>
      <c r="S88" s="197"/>
      <c r="T88" s="197"/>
      <c r="U88" s="197"/>
    </row>
    <row r="89" spans="1:26" s="12" customFormat="1" x14ac:dyDescent="0.25">
      <c r="A89" s="200" t="s">
        <v>3209</v>
      </c>
      <c r="B89" s="59">
        <v>7.63</v>
      </c>
      <c r="C89" s="59">
        <v>40.25</v>
      </c>
      <c r="D89" s="59">
        <v>30.08</v>
      </c>
      <c r="E89" s="59">
        <v>2.64</v>
      </c>
      <c r="F89" s="59">
        <v>6.8</v>
      </c>
      <c r="G89" s="59">
        <v>48.47</v>
      </c>
      <c r="H89" s="59">
        <v>20.39</v>
      </c>
      <c r="I89" s="59">
        <v>0.55000000000000004</v>
      </c>
      <c r="J89" s="59">
        <v>0.43</v>
      </c>
      <c r="K89" s="59">
        <v>51.09</v>
      </c>
      <c r="L89" s="59">
        <v>21.79</v>
      </c>
      <c r="M89" s="59">
        <v>64.33</v>
      </c>
      <c r="N89" s="59">
        <v>4.7</v>
      </c>
      <c r="O89" s="59">
        <v>0</v>
      </c>
      <c r="P89" s="59">
        <v>0.94</v>
      </c>
      <c r="Q89" s="59">
        <v>31.43</v>
      </c>
      <c r="R89" s="197"/>
      <c r="S89" s="197"/>
      <c r="T89" s="197"/>
      <c r="U89" s="197"/>
    </row>
    <row r="90" spans="1:26" s="12" customFormat="1" x14ac:dyDescent="0.25">
      <c r="A90" s="200" t="s">
        <v>3210</v>
      </c>
      <c r="B90" s="59">
        <v>9.25</v>
      </c>
      <c r="C90" s="59">
        <v>45.74</v>
      </c>
      <c r="D90" s="59">
        <v>34.4</v>
      </c>
      <c r="E90" s="59">
        <v>3.33</v>
      </c>
      <c r="F90" s="59">
        <v>4.7300000000000004</v>
      </c>
      <c r="G90" s="59">
        <v>48.47</v>
      </c>
      <c r="H90" s="59">
        <v>20.39</v>
      </c>
      <c r="I90" s="59">
        <v>0.56000000000000005</v>
      </c>
      <c r="J90" s="59">
        <v>0.56000000000000005</v>
      </c>
      <c r="K90" s="59">
        <v>100.69</v>
      </c>
      <c r="L90" s="59">
        <v>21.51</v>
      </c>
      <c r="M90" s="59">
        <v>65.3</v>
      </c>
      <c r="N90" s="59">
        <v>4.7</v>
      </c>
      <c r="O90" s="59">
        <v>0</v>
      </c>
      <c r="P90" s="59">
        <v>0.97</v>
      </c>
      <c r="Q90" s="59">
        <v>33.64</v>
      </c>
      <c r="R90" s="197"/>
      <c r="S90" s="197"/>
      <c r="T90" s="197"/>
      <c r="U90" s="197"/>
    </row>
    <row r="91" spans="1:26" s="12" customFormat="1" x14ac:dyDescent="0.25">
      <c r="A91" s="200" t="s">
        <v>3211</v>
      </c>
      <c r="B91" s="59">
        <v>9.39</v>
      </c>
      <c r="C91" s="59">
        <v>39.909999999999997</v>
      </c>
      <c r="D91" s="59">
        <v>31.3</v>
      </c>
      <c r="E91" s="59">
        <v>3.33</v>
      </c>
      <c r="F91" s="59">
        <v>3.51</v>
      </c>
      <c r="G91" s="59">
        <v>61.7</v>
      </c>
      <c r="H91" s="59">
        <v>18.100000000000001</v>
      </c>
      <c r="I91" s="59">
        <v>0.56999999999999995</v>
      </c>
      <c r="J91" s="59">
        <v>0.38</v>
      </c>
      <c r="K91" s="59">
        <v>64.319999999999993</v>
      </c>
      <c r="L91" s="59">
        <v>21.4</v>
      </c>
      <c r="M91" s="59">
        <v>66.650000000000006</v>
      </c>
      <c r="N91" s="59">
        <v>4.5999999999999996</v>
      </c>
      <c r="O91" s="59">
        <v>0</v>
      </c>
      <c r="P91" s="59">
        <v>1.02</v>
      </c>
      <c r="Q91" s="59">
        <v>33.01</v>
      </c>
      <c r="R91" s="197"/>
      <c r="S91" s="197"/>
      <c r="T91" s="197"/>
      <c r="U91" s="197"/>
    </row>
    <row r="92" spans="1:26" s="12" customFormat="1" x14ac:dyDescent="0.25">
      <c r="A92" s="200" t="s">
        <v>3212</v>
      </c>
      <c r="B92" s="59">
        <v>10.78</v>
      </c>
      <c r="C92" s="59">
        <v>34.75</v>
      </c>
      <c r="D92" s="59">
        <v>29.56</v>
      </c>
      <c r="E92" s="59">
        <v>2.27</v>
      </c>
      <c r="F92" s="59">
        <v>4.0599999999999996</v>
      </c>
      <c r="G92" s="59">
        <v>62</v>
      </c>
      <c r="H92" s="59">
        <v>18.05</v>
      </c>
      <c r="I92" s="59">
        <v>0.56999999999999995</v>
      </c>
      <c r="J92" s="59">
        <v>0.52</v>
      </c>
      <c r="K92" s="59">
        <v>61.19</v>
      </c>
      <c r="L92" s="59">
        <v>21.47</v>
      </c>
      <c r="M92" s="59">
        <v>67.88</v>
      </c>
      <c r="N92" s="59">
        <v>4.4000000000000004</v>
      </c>
      <c r="O92" s="59">
        <v>0</v>
      </c>
      <c r="P92" s="59">
        <v>1.06</v>
      </c>
      <c r="Q92" s="59">
        <v>35.08</v>
      </c>
      <c r="R92" s="197"/>
      <c r="S92" s="197"/>
      <c r="T92" s="197"/>
      <c r="U92" s="197"/>
    </row>
    <row r="93" spans="1:26" s="12" customFormat="1" x14ac:dyDescent="0.25">
      <c r="A93" s="200" t="s">
        <v>3213</v>
      </c>
      <c r="B93" s="59">
        <v>11.49</v>
      </c>
      <c r="C93" s="59">
        <v>40.74</v>
      </c>
      <c r="D93" s="59">
        <v>33.44</v>
      </c>
      <c r="E93" s="59">
        <v>2.4500000000000002</v>
      </c>
      <c r="F93" s="59">
        <v>3.22</v>
      </c>
      <c r="G93" s="59">
        <v>62</v>
      </c>
      <c r="H93" s="59">
        <v>18.05</v>
      </c>
      <c r="I93" s="59">
        <v>0.57999999999999996</v>
      </c>
      <c r="J93" s="59">
        <v>0.53</v>
      </c>
      <c r="K93" s="59">
        <v>92.9</v>
      </c>
      <c r="L93" s="59">
        <v>21.54</v>
      </c>
      <c r="M93" s="59">
        <v>67.959999999999994</v>
      </c>
      <c r="N93" s="59">
        <v>4.3</v>
      </c>
      <c r="O93" s="59">
        <v>0</v>
      </c>
      <c r="P93" s="59">
        <v>1.0900000000000001</v>
      </c>
      <c r="Q93" s="59">
        <v>36.6</v>
      </c>
      <c r="R93" s="197"/>
      <c r="S93" s="197"/>
      <c r="T93" s="197"/>
      <c r="U93" s="197"/>
    </row>
    <row r="94" spans="1:26" s="12" customFormat="1" x14ac:dyDescent="0.25">
      <c r="A94" s="200" t="s">
        <v>3214</v>
      </c>
      <c r="B94" s="59">
        <v>11.35</v>
      </c>
      <c r="C94" s="59">
        <v>37.03</v>
      </c>
      <c r="D94" s="59">
        <v>31.28</v>
      </c>
      <c r="E94" s="59">
        <v>2.12</v>
      </c>
      <c r="F94" s="59">
        <v>3.24</v>
      </c>
      <c r="G94" s="59">
        <v>62</v>
      </c>
      <c r="H94" s="59">
        <v>18.05</v>
      </c>
      <c r="I94" s="59">
        <v>0.57999999999999996</v>
      </c>
      <c r="J94" s="59">
        <v>0.22</v>
      </c>
      <c r="K94" s="59">
        <v>52.22</v>
      </c>
      <c r="L94" s="59">
        <v>21.83</v>
      </c>
      <c r="M94" s="59">
        <v>67.5</v>
      </c>
      <c r="N94" s="59">
        <v>4.5999999999999996</v>
      </c>
      <c r="O94" s="59">
        <v>0</v>
      </c>
      <c r="P94" s="59">
        <v>1.1100000000000001</v>
      </c>
      <c r="Q94" s="59">
        <v>34.67</v>
      </c>
      <c r="R94" s="197"/>
      <c r="S94" s="197"/>
      <c r="T94" s="197"/>
      <c r="U94" s="197"/>
    </row>
    <row r="95" spans="1:26" s="12" customFormat="1" x14ac:dyDescent="0.25">
      <c r="A95" s="200" t="s">
        <v>3215</v>
      </c>
      <c r="B95" s="59">
        <v>13.15</v>
      </c>
      <c r="C95" s="59">
        <v>38.450000000000003</v>
      </c>
      <c r="D95" s="59">
        <v>33.51</v>
      </c>
      <c r="E95" s="59">
        <v>2.37</v>
      </c>
      <c r="F95" s="59">
        <v>3.93</v>
      </c>
      <c r="G95" s="59">
        <v>61.59</v>
      </c>
      <c r="H95" s="59">
        <v>23.8</v>
      </c>
      <c r="I95" s="59">
        <v>0.59</v>
      </c>
      <c r="J95" s="59">
        <v>0.91</v>
      </c>
      <c r="K95" s="59">
        <v>109.82</v>
      </c>
      <c r="L95" s="59">
        <v>21.85</v>
      </c>
      <c r="M95" s="59">
        <v>67.209999999999994</v>
      </c>
      <c r="N95" s="59">
        <v>4.4000000000000004</v>
      </c>
      <c r="O95" s="59">
        <v>0</v>
      </c>
      <c r="P95" s="59">
        <v>1.1299999999999999</v>
      </c>
      <c r="Q95" s="59">
        <v>37.049999999999997</v>
      </c>
      <c r="R95" s="197"/>
      <c r="S95" s="197"/>
      <c r="T95" s="197"/>
      <c r="U95" s="197"/>
    </row>
    <row r="96" spans="1:26" s="12" customFormat="1" x14ac:dyDescent="0.25">
      <c r="A96" s="200" t="s">
        <v>3216</v>
      </c>
      <c r="B96" s="59">
        <v>11.41</v>
      </c>
      <c r="C96" s="59">
        <v>38.58</v>
      </c>
      <c r="D96" s="59">
        <v>32.19</v>
      </c>
      <c r="E96" s="59">
        <v>1.86</v>
      </c>
      <c r="F96" s="59">
        <v>2.64</v>
      </c>
      <c r="G96" s="59">
        <v>61.59</v>
      </c>
      <c r="H96" s="59">
        <v>23.93</v>
      </c>
      <c r="I96" s="59">
        <v>0.6</v>
      </c>
      <c r="J96" s="59">
        <v>1.3</v>
      </c>
      <c r="K96" s="59">
        <v>127.06</v>
      </c>
      <c r="L96" s="59">
        <v>21.81</v>
      </c>
      <c r="M96" s="59">
        <v>66.55</v>
      </c>
      <c r="N96" s="59">
        <v>4.9000000000000004</v>
      </c>
      <c r="O96" s="59">
        <v>0</v>
      </c>
      <c r="P96" s="59">
        <v>1.1000000000000001</v>
      </c>
      <c r="Q96" s="59">
        <v>36.11</v>
      </c>
      <c r="R96" s="197"/>
      <c r="S96" s="197"/>
      <c r="T96" s="215"/>
      <c r="U96" s="197"/>
      <c r="Z96" s="108"/>
    </row>
    <row r="97" spans="1:33" s="12" customFormat="1" x14ac:dyDescent="0.25">
      <c r="A97" s="200" t="s">
        <v>3217</v>
      </c>
      <c r="B97" s="59">
        <v>9.7100000000000009</v>
      </c>
      <c r="C97" s="59">
        <v>35.11</v>
      </c>
      <c r="D97" s="59">
        <v>28.9</v>
      </c>
      <c r="E97" s="59">
        <v>1.76</v>
      </c>
      <c r="F97" s="59">
        <v>3.82</v>
      </c>
      <c r="G97" s="59">
        <v>61.59</v>
      </c>
      <c r="H97" s="59">
        <v>23.93</v>
      </c>
      <c r="I97" s="59">
        <v>0.6</v>
      </c>
      <c r="J97" s="59">
        <v>1.22</v>
      </c>
      <c r="K97" s="59">
        <v>185.01</v>
      </c>
      <c r="L97" s="59">
        <v>21.46</v>
      </c>
      <c r="M97" s="59">
        <v>68.040000000000006</v>
      </c>
      <c r="N97" s="59">
        <v>5.8</v>
      </c>
      <c r="O97" s="59">
        <v>0</v>
      </c>
      <c r="P97" s="59">
        <v>1.06</v>
      </c>
      <c r="Q97" s="59">
        <v>36.4</v>
      </c>
      <c r="R97" s="197"/>
      <c r="S97" s="197"/>
      <c r="T97" s="197"/>
      <c r="U97" s="197"/>
    </row>
    <row r="98" spans="1:33" s="12" customFormat="1" x14ac:dyDescent="0.25">
      <c r="A98" s="200" t="s">
        <v>3218</v>
      </c>
      <c r="B98" s="59">
        <v>7.87</v>
      </c>
      <c r="C98" s="59">
        <v>41.54</v>
      </c>
      <c r="D98" s="59">
        <v>30.97</v>
      </c>
      <c r="E98" s="59">
        <v>1.28</v>
      </c>
      <c r="F98" s="59">
        <v>5.12</v>
      </c>
      <c r="G98" s="59">
        <v>61.59</v>
      </c>
      <c r="H98" s="59">
        <v>23.93</v>
      </c>
      <c r="I98" s="59">
        <v>0.6</v>
      </c>
      <c r="J98" s="59">
        <v>0.6</v>
      </c>
      <c r="K98" s="59">
        <v>95.19</v>
      </c>
      <c r="L98" s="59">
        <v>20.9</v>
      </c>
      <c r="M98" s="59">
        <v>71.510000000000005</v>
      </c>
      <c r="N98" s="59">
        <v>3.5</v>
      </c>
      <c r="O98" s="59">
        <v>0</v>
      </c>
      <c r="P98" s="59">
        <v>0.99</v>
      </c>
      <c r="Q98" s="59">
        <v>37.11</v>
      </c>
      <c r="R98" s="197"/>
      <c r="S98" s="197"/>
      <c r="T98" s="197"/>
      <c r="U98" s="197"/>
    </row>
    <row r="99" spans="1:33" s="12" customFormat="1" x14ac:dyDescent="0.25">
      <c r="A99" s="200" t="s">
        <v>3219</v>
      </c>
      <c r="B99" s="59">
        <v>7.23</v>
      </c>
      <c r="C99" s="59">
        <v>34.4</v>
      </c>
      <c r="D99" s="59">
        <v>26.52</v>
      </c>
      <c r="E99" s="59">
        <v>1.95</v>
      </c>
      <c r="F99" s="59">
        <v>6.17</v>
      </c>
      <c r="G99" s="59">
        <v>56.43</v>
      </c>
      <c r="H99" s="59">
        <v>16.27</v>
      </c>
      <c r="I99" s="59">
        <v>0.59</v>
      </c>
      <c r="J99" s="59">
        <v>0.95</v>
      </c>
      <c r="K99" s="59">
        <v>114.09</v>
      </c>
      <c r="L99" s="59">
        <v>21.04</v>
      </c>
      <c r="M99" s="59">
        <v>68.48</v>
      </c>
      <c r="N99" s="59">
        <v>3.4</v>
      </c>
      <c r="O99" s="59">
        <v>0</v>
      </c>
      <c r="P99" s="59">
        <v>0.98</v>
      </c>
      <c r="Q99" s="59">
        <v>34.15</v>
      </c>
      <c r="R99" s="197"/>
      <c r="S99" s="197"/>
      <c r="T99" s="197"/>
      <c r="U99" s="197"/>
    </row>
    <row r="100" spans="1:33" s="12" customFormat="1" x14ac:dyDescent="0.25">
      <c r="A100" s="200" t="s">
        <v>3220</v>
      </c>
      <c r="B100" s="59">
        <v>7.43</v>
      </c>
      <c r="C100" s="59">
        <v>34.75</v>
      </c>
      <c r="D100" s="59">
        <v>26.88</v>
      </c>
      <c r="E100" s="59">
        <v>1.85</v>
      </c>
      <c r="F100" s="59">
        <v>4.37</v>
      </c>
      <c r="G100" s="59">
        <v>56.32</v>
      </c>
      <c r="H100" s="59">
        <v>16.100000000000001</v>
      </c>
      <c r="I100" s="59">
        <v>0.57999999999999996</v>
      </c>
      <c r="J100" s="59">
        <v>0.88</v>
      </c>
      <c r="K100" s="59">
        <v>103.91</v>
      </c>
      <c r="L100" s="59">
        <v>21.13</v>
      </c>
      <c r="M100" s="59">
        <v>67.73</v>
      </c>
      <c r="N100" s="59">
        <v>4.5999999999999996</v>
      </c>
      <c r="O100" s="59">
        <v>0</v>
      </c>
      <c r="P100" s="59">
        <v>0.94</v>
      </c>
      <c r="Q100" s="59">
        <v>38.79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3221</v>
      </c>
      <c r="B101" s="59">
        <v>7</v>
      </c>
      <c r="C101" s="59">
        <v>34.729999999999997</v>
      </c>
      <c r="D101" s="59">
        <v>26.51</v>
      </c>
      <c r="E101" s="59">
        <v>1.98</v>
      </c>
      <c r="F101" s="59">
        <v>5</v>
      </c>
      <c r="G101" s="59">
        <v>56.32</v>
      </c>
      <c r="H101" s="59">
        <v>16.100000000000001</v>
      </c>
      <c r="I101" s="59">
        <v>0.57999999999999996</v>
      </c>
      <c r="J101" s="59">
        <v>0.85</v>
      </c>
      <c r="K101" s="59">
        <v>106.45</v>
      </c>
      <c r="L101" s="59">
        <v>21.29</v>
      </c>
      <c r="M101" s="59">
        <v>67.69</v>
      </c>
      <c r="N101" s="59">
        <v>4.5999999999999996</v>
      </c>
      <c r="O101" s="59">
        <v>0</v>
      </c>
      <c r="P101" s="59">
        <v>0.93</v>
      </c>
      <c r="Q101" s="59">
        <v>35.4</v>
      </c>
      <c r="R101" s="197"/>
      <c r="S101" s="197"/>
      <c r="T101" s="197"/>
      <c r="U101" s="197"/>
    </row>
    <row r="102" spans="1:33" s="12" customFormat="1" x14ac:dyDescent="0.25">
      <c r="A102" s="200" t="s">
        <v>3222</v>
      </c>
      <c r="B102" s="59">
        <v>6.96</v>
      </c>
      <c r="C102" s="59">
        <v>30.87</v>
      </c>
      <c r="D102" s="59">
        <v>24.36</v>
      </c>
      <c r="E102" s="59">
        <v>2.16</v>
      </c>
      <c r="F102" s="59">
        <v>5.98</v>
      </c>
      <c r="G102" s="59">
        <v>56.32</v>
      </c>
      <c r="H102" s="59">
        <v>16.100000000000001</v>
      </c>
      <c r="I102" s="59">
        <v>0.56999999999999995</v>
      </c>
      <c r="J102" s="59">
        <v>0.6</v>
      </c>
      <c r="K102" s="59">
        <v>110.11</v>
      </c>
      <c r="L102" s="59">
        <v>21.55</v>
      </c>
      <c r="M102" s="59">
        <v>66.03</v>
      </c>
      <c r="N102" s="59">
        <v>4.5999999999999996</v>
      </c>
      <c r="O102" s="59">
        <v>0</v>
      </c>
      <c r="P102" s="59">
        <v>0.9</v>
      </c>
      <c r="Q102" s="59">
        <v>38</v>
      </c>
      <c r="R102" s="197"/>
      <c r="S102" s="197"/>
      <c r="T102" s="197"/>
      <c r="U102" s="197"/>
    </row>
    <row r="103" spans="1:33" s="12" customFormat="1" x14ac:dyDescent="0.25">
      <c r="A103" s="200" t="s">
        <v>3223</v>
      </c>
      <c r="B103" s="59">
        <v>7.04</v>
      </c>
      <c r="C103" s="59">
        <v>35.51</v>
      </c>
      <c r="D103" s="59">
        <v>26.99</v>
      </c>
      <c r="E103" s="59">
        <v>1.95</v>
      </c>
      <c r="F103" s="59">
        <v>4.84</v>
      </c>
      <c r="G103" s="59">
        <v>45.98</v>
      </c>
      <c r="H103" s="59">
        <v>15.12</v>
      </c>
      <c r="I103" s="59">
        <v>0.56000000000000005</v>
      </c>
      <c r="J103" s="59">
        <v>0.5</v>
      </c>
      <c r="K103" s="59">
        <v>138.04</v>
      </c>
      <c r="L103" s="59">
        <v>21.64</v>
      </c>
      <c r="M103" s="59">
        <v>65.61</v>
      </c>
      <c r="N103" s="59">
        <v>4.8</v>
      </c>
      <c r="O103" s="59">
        <v>0</v>
      </c>
      <c r="P103" s="59">
        <v>0.87</v>
      </c>
      <c r="Q103" s="59">
        <v>37.51</v>
      </c>
      <c r="R103" s="197"/>
      <c r="S103" s="197"/>
      <c r="T103" s="197"/>
      <c r="U103" s="197"/>
    </row>
    <row r="104" spans="1:33" s="12" customFormat="1" x14ac:dyDescent="0.25">
      <c r="A104" s="200" t="s">
        <v>3224</v>
      </c>
      <c r="B104" s="59">
        <v>7.06</v>
      </c>
      <c r="C104" s="59">
        <v>28.12</v>
      </c>
      <c r="D104" s="59">
        <v>22.92</v>
      </c>
      <c r="E104" s="59">
        <v>0.99</v>
      </c>
      <c r="F104" s="59">
        <v>6.89</v>
      </c>
      <c r="G104" s="59">
        <v>45.74</v>
      </c>
      <c r="H104" s="59">
        <v>15.1</v>
      </c>
      <c r="I104" s="59">
        <v>0.56000000000000005</v>
      </c>
      <c r="J104" s="59">
        <v>0.19</v>
      </c>
      <c r="K104" s="59">
        <v>231.12</v>
      </c>
      <c r="L104" s="59">
        <v>21.56</v>
      </c>
      <c r="M104" s="59">
        <v>66.7</v>
      </c>
      <c r="N104" s="59">
        <v>5.2</v>
      </c>
      <c r="O104" s="59">
        <v>0</v>
      </c>
      <c r="P104" s="59">
        <v>0.86</v>
      </c>
      <c r="Q104" s="59">
        <v>36.950000000000003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2.52</v>
      </c>
      <c r="C106" s="66">
        <f>MIN(C9:C104)</f>
        <v>20.94</v>
      </c>
      <c r="D106" s="66">
        <f t="shared" ref="D106:Q106" si="0">MIN(D9:D104)</f>
        <v>16.649999999999999</v>
      </c>
      <c r="E106" s="66">
        <f t="shared" si="0"/>
        <v>0.84</v>
      </c>
      <c r="F106" s="66">
        <f t="shared" si="0"/>
        <v>2.12</v>
      </c>
      <c r="G106" s="66">
        <f t="shared" si="0"/>
        <v>24.02</v>
      </c>
      <c r="H106" s="66">
        <f t="shared" si="0"/>
        <v>9.75</v>
      </c>
      <c r="I106" s="66">
        <f t="shared" si="0"/>
        <v>0.47</v>
      </c>
      <c r="J106" s="66">
        <f t="shared" si="0"/>
        <v>0.11</v>
      </c>
      <c r="K106" s="66">
        <f t="shared" si="0"/>
        <v>10.29</v>
      </c>
      <c r="L106" s="66">
        <f t="shared" si="0"/>
        <v>19.36</v>
      </c>
      <c r="M106" s="66">
        <f t="shared" si="0"/>
        <v>33.08</v>
      </c>
      <c r="N106" s="66">
        <f t="shared" si="0"/>
        <v>3.4</v>
      </c>
      <c r="O106" s="66">
        <f t="shared" si="0"/>
        <v>0</v>
      </c>
      <c r="P106" s="66">
        <f t="shared" si="0"/>
        <v>0.37</v>
      </c>
      <c r="Q106" s="66">
        <f t="shared" si="0"/>
        <v>20.05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13.15</v>
      </c>
      <c r="C107" s="65">
        <f t="shared" ref="C107:Q107" si="1">MAX(C9:C104)</f>
        <v>50.63</v>
      </c>
      <c r="D107" s="65">
        <f t="shared" si="1"/>
        <v>35.07</v>
      </c>
      <c r="E107" s="65">
        <f t="shared" si="1"/>
        <v>5.6</v>
      </c>
      <c r="F107" s="65">
        <f t="shared" si="1"/>
        <v>26.51</v>
      </c>
      <c r="G107" s="65">
        <f t="shared" si="1"/>
        <v>62</v>
      </c>
      <c r="H107" s="65">
        <f t="shared" si="1"/>
        <v>23.93</v>
      </c>
      <c r="I107" s="65">
        <f t="shared" si="1"/>
        <v>0.6</v>
      </c>
      <c r="J107" s="65">
        <f t="shared" si="1"/>
        <v>2.81</v>
      </c>
      <c r="K107" s="65">
        <f t="shared" si="1"/>
        <v>359.74</v>
      </c>
      <c r="L107" s="65">
        <f t="shared" si="1"/>
        <v>33.729999999999997</v>
      </c>
      <c r="M107" s="65">
        <f t="shared" si="1"/>
        <v>79.67</v>
      </c>
      <c r="N107" s="65">
        <f t="shared" si="1"/>
        <v>936.7</v>
      </c>
      <c r="O107" s="65">
        <f t="shared" si="1"/>
        <v>0</v>
      </c>
      <c r="P107" s="65">
        <f t="shared" si="1"/>
        <v>1.1299999999999999</v>
      </c>
      <c r="Q107" s="65">
        <f t="shared" si="1"/>
        <v>43.66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5.4945833333333338</v>
      </c>
      <c r="C108" s="66">
        <f t="shared" ref="C108:Q108" si="2">AVERAGE(C9:C104)</f>
        <v>30.633229166666641</v>
      </c>
      <c r="D108" s="66">
        <f t="shared" si="2"/>
        <v>23.051874999999995</v>
      </c>
      <c r="E108" s="66">
        <f t="shared" si="2"/>
        <v>2.1733333333333333</v>
      </c>
      <c r="F108" s="66">
        <f t="shared" si="2"/>
        <v>7.5290624999999975</v>
      </c>
      <c r="G108" s="66">
        <f t="shared" si="2"/>
        <v>38.837083333333332</v>
      </c>
      <c r="H108" s="66">
        <f t="shared" si="2"/>
        <v>15.515000000000001</v>
      </c>
      <c r="I108" s="66">
        <f t="shared" si="2"/>
        <v>0.52687500000000009</v>
      </c>
      <c r="J108" s="66">
        <f t="shared" si="2"/>
        <v>0.98416666666666641</v>
      </c>
      <c r="K108" s="66">
        <f t="shared" si="2"/>
        <v>133.71114583333335</v>
      </c>
      <c r="L108" s="66">
        <f t="shared" si="2"/>
        <v>24.219062499999993</v>
      </c>
      <c r="M108" s="66">
        <f t="shared" si="2"/>
        <v>60.483958333333312</v>
      </c>
      <c r="N108" s="66">
        <f t="shared" si="2"/>
        <v>230.22083333333322</v>
      </c>
      <c r="O108" s="66">
        <f t="shared" si="2"/>
        <v>0</v>
      </c>
      <c r="P108" s="66">
        <f t="shared" si="2"/>
        <v>0.62354166666666666</v>
      </c>
      <c r="Q108" s="66">
        <f t="shared" si="2"/>
        <v>33.493854166666665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2.1373268679242448</v>
      </c>
      <c r="C109" s="66">
        <f t="shared" ref="C109:Q109" si="3">STDEV(C9:C104)</f>
        <v>6.2408426379089237</v>
      </c>
      <c r="D109" s="66">
        <f t="shared" si="3"/>
        <v>4.5312752503833966</v>
      </c>
      <c r="E109" s="66">
        <f t="shared" si="3"/>
        <v>0.99084298683565564</v>
      </c>
      <c r="F109" s="66">
        <f t="shared" si="3"/>
        <v>5.5491678044882082</v>
      </c>
      <c r="G109" s="66">
        <f t="shared" si="3"/>
        <v>11.174425398312687</v>
      </c>
      <c r="H109" s="66">
        <f t="shared" si="3"/>
        <v>3.2554301195322566</v>
      </c>
      <c r="I109" s="66">
        <f t="shared" si="3"/>
        <v>2.7350069758402321E-2</v>
      </c>
      <c r="J109" s="66">
        <f t="shared" si="3"/>
        <v>0.63594217987200075</v>
      </c>
      <c r="K109" s="66">
        <f t="shared" si="3"/>
        <v>96.618735459698229</v>
      </c>
      <c r="L109" s="66">
        <f t="shared" si="3"/>
        <v>4.4636246960997852</v>
      </c>
      <c r="M109" s="66">
        <f t="shared" si="3"/>
        <v>14.776517321976483</v>
      </c>
      <c r="N109" s="66">
        <f t="shared" si="3"/>
        <v>327.64568568940018</v>
      </c>
      <c r="O109" s="66">
        <f t="shared" si="3"/>
        <v>0</v>
      </c>
      <c r="P109" s="66">
        <f t="shared" si="3"/>
        <v>0.21074793707758113</v>
      </c>
      <c r="Q109" s="66">
        <f t="shared" si="3"/>
        <v>5.9236474129750372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5.85546875" style="95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3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3" t="s">
        <v>0</v>
      </c>
      <c r="B2" s="107" t="str">
        <f>$A$9</f>
        <v>01-03-2023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3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3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3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3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3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3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4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s="54" customFormat="1" x14ac:dyDescent="0.25">
      <c r="A8" s="94"/>
      <c r="B8" s="13" t="s">
        <v>51</v>
      </c>
      <c r="C8" s="13" t="s">
        <v>51</v>
      </c>
      <c r="D8" s="13" t="s">
        <v>243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5"/>
      <c r="S8" s="196"/>
      <c r="T8" s="195"/>
      <c r="U8" s="195"/>
    </row>
    <row r="9" spans="1:21" x14ac:dyDescent="0.25">
      <c r="A9" s="93" t="str">
        <f>'01'!$B$2</f>
        <v>01-03-2023 00:15</v>
      </c>
      <c r="B9" s="60">
        <f>'01'!B108</f>
        <v>52.425208333333309</v>
      </c>
      <c r="C9" s="60">
        <f>'01'!C108</f>
        <v>108.04760416666669</v>
      </c>
      <c r="D9" s="60">
        <f>'01'!D108</f>
        <v>100.62760416666667</v>
      </c>
      <c r="E9" s="60">
        <f>'01'!E108</f>
        <v>8.5639583333333302</v>
      </c>
      <c r="F9" s="60">
        <f>'01'!F108</f>
        <v>11.576770833333329</v>
      </c>
      <c r="G9" s="98">
        <f>'01'!$G$108</f>
        <v>129.99791666666661</v>
      </c>
      <c r="H9" s="60">
        <f>'01'!H108</f>
        <v>59.900416666666615</v>
      </c>
      <c r="I9" s="60">
        <f>'01'!I108</f>
        <v>0.9708333333333331</v>
      </c>
      <c r="J9" s="60">
        <f>'01'!J108</f>
        <v>0.35687499999999989</v>
      </c>
      <c r="K9" s="60">
        <f>'01'!K108</f>
        <v>137.02812499999999</v>
      </c>
      <c r="L9" s="60">
        <f>'01'!L108</f>
        <v>27.924479166666668</v>
      </c>
      <c r="M9" s="60">
        <f>'01'!M108</f>
        <v>39.751249999999992</v>
      </c>
      <c r="N9" s="60">
        <f>'01'!N108</f>
        <v>141.99479166666666</v>
      </c>
      <c r="O9" s="60">
        <f>'01'!O108</f>
        <v>0</v>
      </c>
      <c r="P9" s="201">
        <f>'01'!P108</f>
        <v>1.9126041666666664</v>
      </c>
      <c r="Q9" s="60">
        <f>'01'!Q108</f>
        <v>30.007916666666677</v>
      </c>
      <c r="R9" s="117"/>
      <c r="S9" s="117"/>
      <c r="T9" s="117"/>
      <c r="U9" s="117"/>
    </row>
    <row r="10" spans="1:21" x14ac:dyDescent="0.25">
      <c r="A10" s="93" t="str">
        <f>'02'!$B$2</f>
        <v>02-03-2023 00:15</v>
      </c>
      <c r="B10" s="60">
        <f>'02'!B108</f>
        <v>34.283437499999998</v>
      </c>
      <c r="C10" s="60">
        <f>'02'!C108</f>
        <v>123.66031250000003</v>
      </c>
      <c r="D10" s="60">
        <f>'02'!D108</f>
        <v>94.695104166666681</v>
      </c>
      <c r="E10" s="60">
        <f>'02'!E108</f>
        <v>9.0703125000000018</v>
      </c>
      <c r="F10" s="60">
        <f>'02'!F108</f>
        <v>8.0680208333333372</v>
      </c>
      <c r="G10" s="60">
        <f>'02'!G108</f>
        <v>120.12374999999997</v>
      </c>
      <c r="H10" s="60">
        <f>'02'!H108</f>
        <v>56.708854166666619</v>
      </c>
      <c r="I10" s="60">
        <f>'02'!I108</f>
        <v>0.85791666666666633</v>
      </c>
      <c r="J10" s="60">
        <f>'02'!J108</f>
        <v>0.39729166666666677</v>
      </c>
      <c r="K10" s="60">
        <f>'02'!K108</f>
        <v>146.97010416666663</v>
      </c>
      <c r="L10" s="60">
        <f>'02'!L108</f>
        <v>28.168333333333337</v>
      </c>
      <c r="M10" s="60">
        <f>'02'!M108</f>
        <v>41.907708333333339</v>
      </c>
      <c r="N10" s="60">
        <f>'02'!N108</f>
        <v>126.92291666666672</v>
      </c>
      <c r="O10" s="60">
        <f>'02'!O108</f>
        <v>0</v>
      </c>
      <c r="P10" s="201">
        <f>'02'!P108</f>
        <v>1.8562499999999993</v>
      </c>
      <c r="Q10" s="60">
        <f>'02'!Q108</f>
        <v>32.965937500000003</v>
      </c>
      <c r="R10" s="117"/>
      <c r="S10" s="117"/>
      <c r="T10" s="117"/>
      <c r="U10" s="117"/>
    </row>
    <row r="11" spans="1:21" x14ac:dyDescent="0.25">
      <c r="A11" s="93" t="str">
        <f>'03'!$B$2</f>
        <v>03-03-2023 00:15</v>
      </c>
      <c r="B11" s="60">
        <f>'03'!B108</f>
        <v>63.941666666666663</v>
      </c>
      <c r="C11" s="60">
        <f>'03'!C108</f>
        <v>102.44822916666662</v>
      </c>
      <c r="D11" s="60">
        <f>'03'!D108</f>
        <v>107.27052083333326</v>
      </c>
      <c r="E11" s="60">
        <f>'03'!E108</f>
        <v>19.051666666666659</v>
      </c>
      <c r="F11" s="60">
        <f>'03'!F108</f>
        <v>17.860416666666669</v>
      </c>
      <c r="G11" s="60">
        <f>'03'!G108</f>
        <v>131.84434782608693</v>
      </c>
      <c r="H11" s="60">
        <f>'03'!H108</f>
        <v>56.902934782608675</v>
      </c>
      <c r="I11" s="60">
        <f>'03'!I108</f>
        <v>0.93083333333333329</v>
      </c>
      <c r="J11" s="60">
        <f>'03'!J108</f>
        <v>0.56083333333333318</v>
      </c>
      <c r="K11" s="60">
        <f>'03'!K108</f>
        <v>99.434062499999996</v>
      </c>
      <c r="L11" s="60">
        <f>'03'!L108</f>
        <v>28.253541666666667</v>
      </c>
      <c r="M11" s="60">
        <f>'03'!M108</f>
        <v>38.189062500000006</v>
      </c>
      <c r="N11" s="60">
        <f>'03'!N108</f>
        <v>149.36666666666659</v>
      </c>
      <c r="O11" s="60">
        <f>'03'!O108</f>
        <v>0</v>
      </c>
      <c r="P11" s="201">
        <f>'03'!P108</f>
        <v>2.0033684210526301</v>
      </c>
      <c r="Q11" s="60">
        <f>'03'!Q108</f>
        <v>28.931145833333332</v>
      </c>
      <c r="R11" s="117"/>
      <c r="S11" s="117"/>
      <c r="T11" s="117"/>
      <c r="U11" s="117"/>
    </row>
    <row r="12" spans="1:21" x14ac:dyDescent="0.25">
      <c r="A12" s="93" t="str">
        <f>'04'!$B$2</f>
        <v>04-03-2023 00:15</v>
      </c>
      <c r="B12" s="60">
        <f>'04'!B108</f>
        <v>93.409583333333273</v>
      </c>
      <c r="C12" s="60">
        <f>'04'!C108</f>
        <v>98.72447916666664</v>
      </c>
      <c r="D12" s="60">
        <f>'04'!D108</f>
        <v>129.39145833333333</v>
      </c>
      <c r="E12" s="60">
        <f>'04'!E108</f>
        <v>9.2415624999999988</v>
      </c>
      <c r="F12" s="60">
        <f>'04'!F108</f>
        <v>8.7592708333333338</v>
      </c>
      <c r="G12" s="60">
        <f>'04'!G108</f>
        <v>126.97666666666665</v>
      </c>
      <c r="H12" s="60">
        <f>'04'!H108</f>
        <v>52.030729166666731</v>
      </c>
      <c r="I12" s="60">
        <f>'04'!I108</f>
        <v>1.2376041666666666</v>
      </c>
      <c r="J12" s="60">
        <f>'04'!J108</f>
        <v>0.38864583333333336</v>
      </c>
      <c r="K12" s="60">
        <f>'04'!K108</f>
        <v>137.333125</v>
      </c>
      <c r="L12" s="60">
        <f>'04'!L108</f>
        <v>28.049374999999998</v>
      </c>
      <c r="M12" s="60">
        <f>'04'!M108</f>
        <v>35.197812499999991</v>
      </c>
      <c r="N12" s="60">
        <f>'04'!N108</f>
        <v>166.4927083333333</v>
      </c>
      <c r="O12" s="60">
        <f>'04'!O108</f>
        <v>0</v>
      </c>
      <c r="P12" s="201">
        <f>'04'!P108</f>
        <v>2.2518750000000014</v>
      </c>
      <c r="Q12" s="60">
        <f>'04'!Q108</f>
        <v>30.999791666666653</v>
      </c>
      <c r="R12" s="117"/>
      <c r="S12" s="117"/>
      <c r="T12" s="117"/>
      <c r="U12" s="117"/>
    </row>
    <row r="13" spans="1:21" x14ac:dyDescent="0.25">
      <c r="A13" s="93" t="str">
        <f>'05'!$B$2</f>
        <v>05-03-2023 00:15</v>
      </c>
      <c r="B13" s="60">
        <f>'05'!B108</f>
        <v>61.367812499999978</v>
      </c>
      <c r="C13" s="60">
        <f>'05'!C108</f>
        <v>113.54208333333331</v>
      </c>
      <c r="D13" s="60">
        <f>'05'!D108</f>
        <v>111.87260416666665</v>
      </c>
      <c r="E13" s="60">
        <f>'05'!E108</f>
        <v>5.8663541666666674</v>
      </c>
      <c r="F13" s="60">
        <f>'05'!F108</f>
        <v>3.4117708333333354</v>
      </c>
      <c r="G13" s="60">
        <f>'05'!G108</f>
        <v>112.94047058823537</v>
      </c>
      <c r="H13" s="60">
        <f>'05'!H108</f>
        <v>49.903020833333365</v>
      </c>
      <c r="I13" s="60">
        <f>'05'!I108</f>
        <v>0.96864583333333354</v>
      </c>
      <c r="J13" s="60">
        <f>'05'!J108</f>
        <v>0.50343749999999987</v>
      </c>
      <c r="K13" s="60">
        <f>'05'!K108</f>
        <v>104.13385416666667</v>
      </c>
      <c r="L13" s="60">
        <f>'05'!L108</f>
        <v>28.479791666666657</v>
      </c>
      <c r="M13" s="60">
        <f>'05'!M108</f>
        <v>31.029791666666679</v>
      </c>
      <c r="N13" s="60">
        <f>'05'!N108</f>
        <v>156.21666666666667</v>
      </c>
      <c r="O13" s="60">
        <f>'05'!O108</f>
        <v>0</v>
      </c>
      <c r="P13" s="201">
        <f>'05'!P108</f>
        <v>1.9784375000000003</v>
      </c>
      <c r="Q13" s="60">
        <f>'05'!Q108</f>
        <v>33.414166666666674</v>
      </c>
      <c r="R13" s="117"/>
      <c r="S13" s="117"/>
      <c r="T13" s="117"/>
      <c r="U13" s="117"/>
    </row>
    <row r="14" spans="1:21" x14ac:dyDescent="0.25">
      <c r="A14" s="93" t="str">
        <f>'06'!$B$2</f>
        <v>06-03-2023 00:15</v>
      </c>
      <c r="B14" s="60">
        <f>'06'!B108</f>
        <v>43.473958333333321</v>
      </c>
      <c r="C14" s="60">
        <f>'06'!C108</f>
        <v>107.40395833333331</v>
      </c>
      <c r="D14" s="60">
        <f>'06'!D108</f>
        <v>94.136979166666677</v>
      </c>
      <c r="E14" s="60">
        <f>'06'!E108</f>
        <v>6.1735416666666687</v>
      </c>
      <c r="F14" s="60">
        <f>'06'!F108</f>
        <v>3.897187499999998</v>
      </c>
      <c r="G14" s="60">
        <f>'06'!G108</f>
        <v>112.81162790697684</v>
      </c>
      <c r="H14" s="60">
        <f>'06'!H108</f>
        <v>47.725348837209296</v>
      </c>
      <c r="I14" s="60">
        <f>'06'!I108</f>
        <v>0.85322916666666659</v>
      </c>
      <c r="J14" s="60">
        <f>'06'!J108</f>
        <v>0.48645833333333338</v>
      </c>
      <c r="K14" s="60">
        <f>'06'!K108</f>
        <v>128.32124999999999</v>
      </c>
      <c r="L14" s="60">
        <f>'06'!L108</f>
        <v>28.549062499999991</v>
      </c>
      <c r="M14" s="60">
        <f>'06'!M108</f>
        <v>34.994375000000005</v>
      </c>
      <c r="N14" s="60">
        <f>'06'!N108</f>
        <v>168.33541666666667</v>
      </c>
      <c r="O14" s="60">
        <f>'06'!O108</f>
        <v>0</v>
      </c>
      <c r="P14" s="201">
        <f>'06'!P108</f>
        <v>1.786979166666667</v>
      </c>
      <c r="Q14" s="60">
        <f>'06'!Q108</f>
        <v>29.849270833333335</v>
      </c>
      <c r="R14" s="117"/>
      <c r="S14" s="117"/>
      <c r="T14" s="117"/>
      <c r="U14" s="117"/>
    </row>
    <row r="15" spans="1:21" x14ac:dyDescent="0.25">
      <c r="A15" s="93" t="str">
        <f>'07'!$B$2</f>
        <v>07-03-2023 00:15</v>
      </c>
      <c r="B15" s="60">
        <f>'07'!B108</f>
        <v>35.258229166666659</v>
      </c>
      <c r="C15" s="60">
        <f>'07'!C108</f>
        <v>105.96260416666668</v>
      </c>
      <c r="D15" s="60">
        <f>'07'!D108</f>
        <v>86.75250000000004</v>
      </c>
      <c r="E15" s="60">
        <f>'07'!E108</f>
        <v>5.3574999999999982</v>
      </c>
      <c r="F15" s="60">
        <f>'07'!F108</f>
        <v>3.4605208333333333</v>
      </c>
      <c r="G15" s="99">
        <f>'07'!$G$108</f>
        <v>114.01711538461541</v>
      </c>
      <c r="H15" s="60">
        <f>'07'!H108</f>
        <v>43.495000000000012</v>
      </c>
      <c r="I15" s="60">
        <f>'07'!I108</f>
        <v>0.71270833333333317</v>
      </c>
      <c r="J15" s="60">
        <f>'07'!J108</f>
        <v>0.96593749999999989</v>
      </c>
      <c r="K15" s="60">
        <f>'07'!K108</f>
        <v>54.622499999999995</v>
      </c>
      <c r="L15" s="60">
        <f>'07'!L108</f>
        <v>28.206458333333345</v>
      </c>
      <c r="M15" s="60">
        <f>'07'!M108</f>
        <v>35.039166666666659</v>
      </c>
      <c r="N15" s="60">
        <f>'07'!N108</f>
        <v>149.06666666666669</v>
      </c>
      <c r="O15" s="60">
        <f>'07'!O108</f>
        <v>0</v>
      </c>
      <c r="P15" s="201">
        <f>'07'!P108</f>
        <v>1.3942708333333338</v>
      </c>
      <c r="Q15" s="60">
        <f>'07'!Q108</f>
        <v>31.062916666666666</v>
      </c>
      <c r="R15" s="117"/>
      <c r="S15" s="117"/>
      <c r="T15" s="117"/>
      <c r="U15" s="117"/>
    </row>
    <row r="16" spans="1:21" x14ac:dyDescent="0.25">
      <c r="A16" s="93" t="str">
        <f>'08'!$B$2</f>
        <v>08-03-2023 00:15</v>
      </c>
      <c r="B16" s="60">
        <f>'08'!B108</f>
        <v>6.7331249999999976</v>
      </c>
      <c r="C16" s="60">
        <f>'08'!C108</f>
        <v>96.578541666666695</v>
      </c>
      <c r="D16" s="60">
        <f>'08'!D108</f>
        <v>58.699270833333316</v>
      </c>
      <c r="E16" s="60">
        <f>'08'!E108</f>
        <v>3.8479166666666651</v>
      </c>
      <c r="F16" s="60">
        <f>'08'!F108</f>
        <v>3.3419791666666669</v>
      </c>
      <c r="G16" s="99">
        <f>'08'!$G$108</f>
        <v>50.767916666666657</v>
      </c>
      <c r="H16" s="60">
        <f>'08'!H108</f>
        <v>25.77416666666667</v>
      </c>
      <c r="I16" s="60">
        <f>'08'!I108</f>
        <v>0.58427083333333341</v>
      </c>
      <c r="J16" s="60">
        <f>'08'!J108</f>
        <v>0.39270833333333344</v>
      </c>
      <c r="K16" s="60">
        <f>'08'!K108</f>
        <v>128.37322916666662</v>
      </c>
      <c r="L16" s="60">
        <f>'08'!L108</f>
        <v>26.579999999999995</v>
      </c>
      <c r="M16" s="60">
        <f>'08'!M108</f>
        <v>48.703645833333354</v>
      </c>
      <c r="N16" s="60">
        <f>'08'!N108</f>
        <v>219.81145833333346</v>
      </c>
      <c r="O16" s="60">
        <f>'08'!O108</f>
        <v>3.125E-2</v>
      </c>
      <c r="P16" s="201">
        <f>'08'!P108</f>
        <v>0.9774999999999997</v>
      </c>
      <c r="Q16" s="60">
        <f>'08'!Q108</f>
        <v>31.999791666666667</v>
      </c>
      <c r="R16" s="117"/>
      <c r="S16" s="117"/>
      <c r="T16" s="117"/>
      <c r="U16" s="117"/>
    </row>
    <row r="17" spans="1:21" x14ac:dyDescent="0.25">
      <c r="A17" s="93" t="str">
        <f>'09'!$B$2</f>
        <v>09-03-2023 00:15</v>
      </c>
      <c r="B17" s="60">
        <f>'09'!B108</f>
        <v>11.524479166666667</v>
      </c>
      <c r="C17" s="60">
        <f>'09'!C108</f>
        <v>90.536458333333314</v>
      </c>
      <c r="D17" s="60">
        <f>'09'!D108</f>
        <v>59.207187500000011</v>
      </c>
      <c r="E17" s="60">
        <f>'09'!E108</f>
        <v>3.6778125000000004</v>
      </c>
      <c r="F17" s="60">
        <f>'09'!F108</f>
        <v>4.133958333333335</v>
      </c>
      <c r="G17" s="99">
        <f>'09'!$G$108</f>
        <v>56.507294117647078</v>
      </c>
      <c r="H17" s="60">
        <f>'09'!H108</f>
        <v>26.060823529411767</v>
      </c>
      <c r="I17" s="60">
        <f>'09'!I108</f>
        <v>0.65145833333333381</v>
      </c>
      <c r="J17" s="60">
        <f>'09'!J108</f>
        <v>0.57927083333333329</v>
      </c>
      <c r="K17" s="60">
        <f>'09'!K108</f>
        <v>111.2773958333334</v>
      </c>
      <c r="L17" s="60">
        <f>'09'!L108</f>
        <v>28.021562499999998</v>
      </c>
      <c r="M17" s="60">
        <f>'09'!M108</f>
        <v>37.936979166666667</v>
      </c>
      <c r="N17" s="60">
        <f>'09'!N108</f>
        <v>230.73541666666668</v>
      </c>
      <c r="O17" s="60">
        <f>'09'!O108</f>
        <v>0</v>
      </c>
      <c r="P17" s="201">
        <f>'09'!P108</f>
        <v>1.0787499999999997</v>
      </c>
      <c r="Q17" s="60">
        <f>'09'!Q108</f>
        <v>30.639166666666679</v>
      </c>
      <c r="R17" s="117"/>
      <c r="S17" s="117"/>
      <c r="T17" s="117"/>
      <c r="U17" s="117"/>
    </row>
    <row r="18" spans="1:21" x14ac:dyDescent="0.25">
      <c r="A18" s="93" t="str">
        <f>'10'!$B$2</f>
        <v>10-03-2023 00:15</v>
      </c>
      <c r="B18" s="60">
        <f>'10'!B108</f>
        <v>15.724895833333335</v>
      </c>
      <c r="C18" s="60">
        <f>'10'!C108</f>
        <v>94.070833333333312</v>
      </c>
      <c r="D18" s="60">
        <f>'10'!D108</f>
        <v>63.988541666666656</v>
      </c>
      <c r="E18" s="60">
        <f>'10'!E108</f>
        <v>3.6708333333333338</v>
      </c>
      <c r="F18" s="60">
        <f>'10'!F108</f>
        <v>3.9645833333333322</v>
      </c>
      <c r="G18" s="100">
        <f>'10'!$G$108</f>
        <v>73.70166666666664</v>
      </c>
      <c r="H18" s="60">
        <f>'10'!H108</f>
        <v>25.713854166666675</v>
      </c>
      <c r="I18" s="60">
        <f>'10'!I108</f>
        <v>0.65239583333333317</v>
      </c>
      <c r="J18" s="60">
        <f>'10'!J108</f>
        <v>0.69697916666666682</v>
      </c>
      <c r="K18" s="60">
        <f>'10'!K108</f>
        <v>68.517812500000019</v>
      </c>
      <c r="L18" s="60">
        <f>'10'!L108</f>
        <v>28.608124999999998</v>
      </c>
      <c r="M18" s="60">
        <f>'10'!M108</f>
        <v>34.197083333333346</v>
      </c>
      <c r="N18" s="60">
        <f>'10'!N108</f>
        <v>229.25104166666665</v>
      </c>
      <c r="O18" s="60">
        <f>'10'!O108</f>
        <v>0</v>
      </c>
      <c r="P18" s="201">
        <f>'10'!P108</f>
        <v>1.2089583333333336</v>
      </c>
      <c r="Q18" s="60">
        <f>'10'!Q108</f>
        <v>29.519895833333322</v>
      </c>
      <c r="R18" s="117"/>
      <c r="S18" s="117"/>
      <c r="T18" s="117"/>
      <c r="U18" s="117"/>
    </row>
    <row r="19" spans="1:21" x14ac:dyDescent="0.25">
      <c r="A19" s="93" t="str">
        <f>'11'!$B$2</f>
        <v>11-03-2023 00:15</v>
      </c>
      <c r="B19" s="60">
        <f>'11'!B108</f>
        <v>24.617395833333333</v>
      </c>
      <c r="C19" s="60">
        <f>'11'!C108</f>
        <v>115.30635416666668</v>
      </c>
      <c r="D19" s="60">
        <f>'11'!D108</f>
        <v>82.39687499999998</v>
      </c>
      <c r="E19" s="60">
        <f>'11'!E108</f>
        <v>3.6984374999999989</v>
      </c>
      <c r="F19" s="60">
        <f>'11'!F108</f>
        <v>3.4906249999999996</v>
      </c>
      <c r="G19" s="98">
        <f>'11'!$G$108</f>
        <v>81.215104166666663</v>
      </c>
      <c r="H19" s="60">
        <f>'11'!H108</f>
        <v>34.832500000000017</v>
      </c>
      <c r="I19" s="60">
        <f>'11'!I108</f>
        <v>0.7913541666666668</v>
      </c>
      <c r="J19" s="60">
        <f>'11'!J108</f>
        <v>0.34041666666666665</v>
      </c>
      <c r="K19" s="60">
        <f>'11'!K108</f>
        <v>143.06968750000004</v>
      </c>
      <c r="L19" s="60">
        <f>'11'!L108</f>
        <v>28.028229166666673</v>
      </c>
      <c r="M19" s="60">
        <f>'11'!M108</f>
        <v>38.709375000000016</v>
      </c>
      <c r="N19" s="60">
        <f>'11'!N108</f>
        <v>223.41875000000005</v>
      </c>
      <c r="O19" s="60">
        <f>'11'!O108</f>
        <v>0</v>
      </c>
      <c r="P19" s="201">
        <f>'11'!P108</f>
        <v>1.5401041666666666</v>
      </c>
      <c r="Q19" s="60">
        <f>'11'!Q108</f>
        <v>35.276250000000026</v>
      </c>
      <c r="R19" s="117"/>
      <c r="S19" s="117"/>
      <c r="T19" s="117"/>
      <c r="U19" s="117"/>
    </row>
    <row r="20" spans="1:21" x14ac:dyDescent="0.25">
      <c r="A20" s="93" t="str">
        <f>'12'!$B$2</f>
        <v>12-03-2023 00:15</v>
      </c>
      <c r="B20" s="60">
        <f>'12'!B108</f>
        <v>46.112291666666685</v>
      </c>
      <c r="C20" s="60">
        <f>'12'!C108</f>
        <v>114.32322916666668</v>
      </c>
      <c r="D20" s="60">
        <f>'12'!D108</f>
        <v>99.107604166666647</v>
      </c>
      <c r="E20" s="60">
        <f>'12'!E108</f>
        <v>4.1027083333333323</v>
      </c>
      <c r="F20" s="60">
        <f>'12'!F108</f>
        <v>3.5806249999999999</v>
      </c>
      <c r="G20" s="100">
        <f>'12'!$G$108</f>
        <v>87.133260869565163</v>
      </c>
      <c r="H20" s="60">
        <f>'12'!H108</f>
        <v>35.085652173913033</v>
      </c>
      <c r="I20" s="60">
        <f>'12'!I108</f>
        <v>0.8755208333333333</v>
      </c>
      <c r="J20" s="60">
        <f>'12'!J108</f>
        <v>0.37656250000000013</v>
      </c>
      <c r="K20" s="60">
        <f>'12'!K108</f>
        <v>116.40624999999999</v>
      </c>
      <c r="L20" s="60">
        <f>'12'!L108</f>
        <v>28.397395833333338</v>
      </c>
      <c r="M20" s="60">
        <f>'12'!M108</f>
        <v>36.124374999999993</v>
      </c>
      <c r="N20" s="60">
        <f>'12'!N108</f>
        <v>238.4354166666667</v>
      </c>
      <c r="O20" s="60">
        <f>'12'!O108</f>
        <v>0</v>
      </c>
      <c r="P20" s="201">
        <f>'12'!P108</f>
        <v>1.5559375</v>
      </c>
      <c r="Q20" s="60">
        <f>'12'!Q108</f>
        <v>35.10677083333335</v>
      </c>
      <c r="R20" s="117"/>
      <c r="S20" s="117"/>
      <c r="T20" s="117"/>
      <c r="U20" s="117"/>
    </row>
    <row r="21" spans="1:21" s="88" customFormat="1" x14ac:dyDescent="0.25">
      <c r="A21" s="93" t="str">
        <f>'13'!$B$2</f>
        <v>13-03-2023 00:15</v>
      </c>
      <c r="B21" s="90">
        <f>'13'!B108</f>
        <v>48.866458333333348</v>
      </c>
      <c r="C21" s="90">
        <f>'13'!C108</f>
        <v>124.52781249999997</v>
      </c>
      <c r="D21" s="90">
        <f>'13'!D108</f>
        <v>107.44</v>
      </c>
      <c r="E21" s="90">
        <f>'13'!E108</f>
        <v>11.054659090909091</v>
      </c>
      <c r="F21" s="90">
        <f>'13'!F108</f>
        <v>16.516666666666662</v>
      </c>
      <c r="G21" s="99">
        <f>'13'!$G$108</f>
        <v>108.74301075268818</v>
      </c>
      <c r="H21" s="90">
        <f>'13'!H108</f>
        <v>40.520430107526877</v>
      </c>
      <c r="I21" s="90">
        <f>'13'!I108</f>
        <v>0.87812500000000027</v>
      </c>
      <c r="J21" s="90">
        <f>'13'!J108</f>
        <v>0.34072916666666675</v>
      </c>
      <c r="K21" s="90">
        <f>'13'!K108</f>
        <v>111.21510416666665</v>
      </c>
      <c r="L21" s="90">
        <f>'13'!L108</f>
        <v>28.584062500000012</v>
      </c>
      <c r="M21" s="90">
        <f>'13'!M108</f>
        <v>33.572812500000005</v>
      </c>
      <c r="N21" s="90">
        <f>'13'!N108</f>
        <v>214.5020833333333</v>
      </c>
      <c r="O21" s="90">
        <f>'13'!O108</f>
        <v>0</v>
      </c>
      <c r="P21" s="202">
        <f>'13'!P108</f>
        <v>1.7114583333333335</v>
      </c>
      <c r="Q21" s="90">
        <f>'13'!Q108</f>
        <v>27.840937499999995</v>
      </c>
      <c r="R21" s="204"/>
      <c r="S21" s="204"/>
      <c r="T21" s="204"/>
      <c r="U21" s="204"/>
    </row>
    <row r="22" spans="1:21" s="88" customFormat="1" x14ac:dyDescent="0.25">
      <c r="A22" s="93" t="str">
        <f>'14'!$B$2</f>
        <v>14-03-2023 00:15</v>
      </c>
      <c r="B22" s="89">
        <f>'14'!B108</f>
        <v>47.154137931034484</v>
      </c>
      <c r="C22" s="89">
        <f>'14'!C108</f>
        <v>162.2329885057471</v>
      </c>
      <c r="D22" s="89">
        <f>'14'!D108</f>
        <v>127.34632183908053</v>
      </c>
      <c r="E22" s="89">
        <f>'14'!E108</f>
        <v>14.409772727272722</v>
      </c>
      <c r="F22" s="89">
        <f>'14'!F108</f>
        <v>19.587528089887641</v>
      </c>
      <c r="G22" s="99">
        <f>'14'!$G$108</f>
        <v>102.8638372093022</v>
      </c>
      <c r="H22" s="99">
        <f>'14'!$G$108</f>
        <v>102.8638372093022</v>
      </c>
      <c r="I22" s="89">
        <f>'14'!I108</f>
        <v>0.85670588235294132</v>
      </c>
      <c r="J22" s="89">
        <f>'14'!J108</f>
        <v>0.47921348314606749</v>
      </c>
      <c r="K22" s="89">
        <f>'14'!K108</f>
        <v>107.74370786516842</v>
      </c>
      <c r="L22" s="89">
        <f>'14'!L108</f>
        <v>28.265505617977528</v>
      </c>
      <c r="M22" s="89">
        <f>'14'!M108</f>
        <v>31.428426966292133</v>
      </c>
      <c r="N22" s="89">
        <f>'14'!N108</f>
        <v>172.29438202247192</v>
      </c>
      <c r="O22" s="89">
        <f>'14'!O108</f>
        <v>0</v>
      </c>
      <c r="P22" s="203">
        <f>'14'!P108</f>
        <v>1.7370454545454543</v>
      </c>
      <c r="Q22" s="89">
        <f>'14'!Q108</f>
        <v>34.462692307692308</v>
      </c>
      <c r="R22" s="205"/>
      <c r="S22" s="205"/>
      <c r="T22" s="205"/>
      <c r="U22" s="205"/>
    </row>
    <row r="23" spans="1:21" x14ac:dyDescent="0.25">
      <c r="A23" s="93" t="str">
        <f>'15'!$B$2</f>
        <v>15-03-2023 00:15</v>
      </c>
      <c r="B23" s="60">
        <f>'15'!B108</f>
        <v>22.334062499999998</v>
      </c>
      <c r="C23" s="60">
        <f>'15'!C108</f>
        <v>110.41697916666669</v>
      </c>
      <c r="D23" s="60">
        <f>'15'!D108</f>
        <v>84.203749999999999</v>
      </c>
      <c r="E23" s="60">
        <f>'15'!E108</f>
        <v>6.9358333333333348</v>
      </c>
      <c r="F23" s="60">
        <f>'15'!F108</f>
        <v>14.844375000000005</v>
      </c>
      <c r="G23" s="99">
        <f>'15'!$G$108</f>
        <v>69.424270833333338</v>
      </c>
      <c r="H23" s="60">
        <f>'15'!H108</f>
        <v>27.371354166666666</v>
      </c>
      <c r="I23" s="60">
        <f>'15'!I108</f>
        <v>0.63031914893617003</v>
      </c>
      <c r="J23" s="60">
        <f>'15'!J108</f>
        <v>0.32937499999999992</v>
      </c>
      <c r="K23" s="60">
        <f>'15'!K108</f>
        <v>154.6928125</v>
      </c>
      <c r="L23" s="60">
        <f>'15'!L108</f>
        <v>28.348541666666662</v>
      </c>
      <c r="M23" s="60">
        <f>'15'!M108</f>
        <v>29.98</v>
      </c>
      <c r="N23" s="60">
        <f>'15'!N108</f>
        <v>202.3260416666667</v>
      </c>
      <c r="O23" s="60">
        <f>'15'!O108</f>
        <v>0</v>
      </c>
      <c r="P23" s="201">
        <f>'15'!P108</f>
        <v>1.1865625000000002</v>
      </c>
      <c r="Q23" s="60">
        <f>'15'!Q108</f>
        <v>34.580208333333324</v>
      </c>
      <c r="R23" s="117"/>
      <c r="S23" s="117"/>
      <c r="T23" s="117"/>
      <c r="U23" s="117"/>
    </row>
    <row r="24" spans="1:21" x14ac:dyDescent="0.25">
      <c r="A24" s="93" t="str">
        <f>'16'!$B$2</f>
        <v>16-03-2023 00:15</v>
      </c>
      <c r="B24" s="60">
        <f>'16'!B108</f>
        <v>9.9459374999999977</v>
      </c>
      <c r="C24" s="60">
        <f>'16'!C108</f>
        <v>67.703020833333326</v>
      </c>
      <c r="D24" s="60">
        <f>'16'!D108</f>
        <v>47.080833333333338</v>
      </c>
      <c r="E24" s="60">
        <f>'16'!E108</f>
        <v>3.9158333333333339</v>
      </c>
      <c r="F24" s="60">
        <f>'16'!F108</f>
        <v>4.9651041666666673</v>
      </c>
      <c r="G24" s="99">
        <f>'16'!$G$108</f>
        <v>70.556304347826185</v>
      </c>
      <c r="H24" s="60">
        <f>'16'!H108</f>
        <v>27.971521739130441</v>
      </c>
      <c r="I24" s="60">
        <f>'16'!I108</f>
        <v>0.53714285714285692</v>
      </c>
      <c r="J24" s="60">
        <f>'16'!J108</f>
        <v>0.56906250000000014</v>
      </c>
      <c r="K24" s="60">
        <f>'16'!K108</f>
        <v>170.20666666666665</v>
      </c>
      <c r="L24" s="60">
        <f>'16'!L108</f>
        <v>23.334062500000012</v>
      </c>
      <c r="M24" s="60">
        <f>'16'!M108</f>
        <v>42.936770833333348</v>
      </c>
      <c r="N24" s="60">
        <f>'16'!N108</f>
        <v>76.481250000000003</v>
      </c>
      <c r="O24" s="60">
        <f>'16'!O108</f>
        <v>0</v>
      </c>
      <c r="P24" s="201">
        <f>'16'!P108</f>
        <v>1.0230208333333333</v>
      </c>
      <c r="Q24" s="60">
        <f>'16'!Q108</f>
        <v>24.674687500000015</v>
      </c>
      <c r="R24" s="117"/>
      <c r="S24" s="117"/>
      <c r="T24" s="117"/>
      <c r="U24" s="117"/>
    </row>
    <row r="25" spans="1:21" x14ac:dyDescent="0.25">
      <c r="A25" s="93" t="str">
        <f>'17'!$B$2</f>
        <v>17-03-2023 00:15</v>
      </c>
      <c r="B25" s="60">
        <f>'17'!B108</f>
        <v>5.4499999999999993</v>
      </c>
      <c r="C25" s="60">
        <f>'17'!C108</f>
        <v>55.630208333333336</v>
      </c>
      <c r="D25" s="60">
        <f>'17'!D108</f>
        <v>36.812395833333341</v>
      </c>
      <c r="E25" s="60">
        <f>'17'!E108</f>
        <v>2.4042708333333342</v>
      </c>
      <c r="F25" s="60">
        <f>'17'!F108</f>
        <v>4.569791666666668</v>
      </c>
      <c r="G25" s="100">
        <f>'17'!$G$108</f>
        <v>46.544347826086977</v>
      </c>
      <c r="H25" s="60">
        <f>'17'!H108</f>
        <v>21.371956521739147</v>
      </c>
      <c r="I25" s="60">
        <f>'17'!I108</f>
        <v>0.54760416666666667</v>
      </c>
      <c r="J25" s="60">
        <f>'17'!J108</f>
        <v>0.55916666666666681</v>
      </c>
      <c r="K25" s="60">
        <f>'17'!K108</f>
        <v>205.96624999999997</v>
      </c>
      <c r="L25" s="60">
        <f>'17'!L108</f>
        <v>23.239895833333335</v>
      </c>
      <c r="M25" s="60">
        <f>'17'!M108</f>
        <v>48.64968750000002</v>
      </c>
      <c r="N25" s="60">
        <f>'17'!N108</f>
        <v>173.11354166666669</v>
      </c>
      <c r="O25" s="60">
        <f>'17'!O108</f>
        <v>0</v>
      </c>
      <c r="P25" s="201">
        <f>'17'!P108</f>
        <v>0.79531250000000009</v>
      </c>
      <c r="Q25" s="60">
        <f>'17'!Q108</f>
        <v>23.835520833333323</v>
      </c>
      <c r="R25" s="117"/>
      <c r="S25" s="117"/>
      <c r="T25" s="117"/>
      <c r="U25" s="117"/>
    </row>
    <row r="26" spans="1:21" x14ac:dyDescent="0.25">
      <c r="A26" s="93" t="str">
        <f>'18'!$B$2</f>
        <v>18-03-2023 00:15</v>
      </c>
      <c r="B26" s="60">
        <f>'18'!B108</f>
        <v>11.5103125</v>
      </c>
      <c r="C26" s="60">
        <f>'18'!C108</f>
        <v>56.057604166666692</v>
      </c>
      <c r="D26" s="60">
        <f>'18'!D108</f>
        <v>41.907812499999999</v>
      </c>
      <c r="E26" s="60">
        <f>'18'!E108</f>
        <v>2.2569791666666674</v>
      </c>
      <c r="F26" s="60">
        <f>'18'!F108</f>
        <v>1.9658333333333327</v>
      </c>
      <c r="G26" s="98">
        <f>'18'!$G$108</f>
        <v>44.583958333333328</v>
      </c>
      <c r="H26" s="60">
        <f>'18'!H108</f>
        <v>18.643645833333334</v>
      </c>
      <c r="I26" s="60">
        <f>'18'!I108</f>
        <v>0.55010416666666673</v>
      </c>
      <c r="J26" s="60">
        <f>'18'!J108</f>
        <v>0.88562499999999933</v>
      </c>
      <c r="K26" s="60">
        <f>'18'!K108</f>
        <v>134.53843750000004</v>
      </c>
      <c r="L26" s="60">
        <f>'18'!L108</f>
        <v>18.559479166666666</v>
      </c>
      <c r="M26" s="60">
        <f>'18'!M108</f>
        <v>71.936979166666688</v>
      </c>
      <c r="N26" s="60">
        <f>'18'!N108</f>
        <v>73.859374999999986</v>
      </c>
      <c r="O26" s="60">
        <f>'18'!O108</f>
        <v>3.7500000000000006E-2</v>
      </c>
      <c r="P26" s="201">
        <f>'18'!P108</f>
        <v>0.72999999999999987</v>
      </c>
      <c r="Q26" s="60">
        <f>'18'!Q108</f>
        <v>27.504375</v>
      </c>
      <c r="R26" s="117"/>
      <c r="S26" s="117"/>
      <c r="T26" s="117"/>
      <c r="U26" s="117"/>
    </row>
    <row r="27" spans="1:21" x14ac:dyDescent="0.25">
      <c r="A27" s="93" t="str">
        <f>'19'!$B$2</f>
        <v>19-03-2023 00:15</v>
      </c>
      <c r="B27" s="60">
        <f>'19'!B108</f>
        <v>12.368124999999999</v>
      </c>
      <c r="C27" s="60">
        <f>'19'!C108</f>
        <v>54.70104166666664</v>
      </c>
      <c r="D27" s="60">
        <f>'19'!D108</f>
        <v>41.846770833333331</v>
      </c>
      <c r="E27" s="60">
        <f>'19'!E108</f>
        <v>1.8718750000000002</v>
      </c>
      <c r="F27" s="60">
        <f>'19'!F108</f>
        <v>2.1693750000000001</v>
      </c>
      <c r="G27" s="60">
        <f>'19'!G108</f>
        <v>39.024062499999999</v>
      </c>
      <c r="H27" s="60">
        <f>'19'!H108</f>
        <v>15.269479166666665</v>
      </c>
      <c r="I27" s="60">
        <f>'19'!I108</f>
        <v>0.53895833333333332</v>
      </c>
      <c r="J27" s="60">
        <f>'19'!J108</f>
        <v>0.55031249999999987</v>
      </c>
      <c r="K27" s="60">
        <f>'19'!K108</f>
        <v>164.11385416666667</v>
      </c>
      <c r="L27" s="60">
        <f>'19'!L108</f>
        <v>18.6215625</v>
      </c>
      <c r="M27" s="60">
        <f>'19'!M108</f>
        <v>75.496979166666677</v>
      </c>
      <c r="N27" s="60">
        <f>'19'!N108</f>
        <v>155.26874999999998</v>
      </c>
      <c r="O27" s="60">
        <f>'19'!O108</f>
        <v>6.2500000000000014E-2</v>
      </c>
      <c r="P27" s="201">
        <f>'19'!P108</f>
        <v>0.69322916666666623</v>
      </c>
      <c r="Q27" s="60">
        <f>'19'!Q108</f>
        <v>31.378645833333323</v>
      </c>
      <c r="R27" s="117"/>
      <c r="S27" s="117"/>
      <c r="T27" s="117"/>
      <c r="U27" s="117"/>
    </row>
    <row r="28" spans="1:21" x14ac:dyDescent="0.25">
      <c r="A28" s="93" t="str">
        <f>'20'!$B$2</f>
        <v>20-03-2023 00:15</v>
      </c>
      <c r="B28" s="60">
        <f>'20'!B108</f>
        <v>25.755624999999998</v>
      </c>
      <c r="C28" s="60">
        <f>'20'!C108</f>
        <v>54.493020833333325</v>
      </c>
      <c r="D28" s="60">
        <f>'20'!D108</f>
        <v>52.468437499999986</v>
      </c>
      <c r="E28" s="60">
        <f>'20'!E108</f>
        <v>2.1951041666666673</v>
      </c>
      <c r="F28" s="60">
        <f>'20'!F108</f>
        <v>3.9758333333333358</v>
      </c>
      <c r="G28" s="60">
        <f>'20'!G108</f>
        <v>50.874367816091947</v>
      </c>
      <c r="H28" s="60">
        <f>'20'!H108</f>
        <v>16.288275862068968</v>
      </c>
      <c r="I28" s="60">
        <f>'20'!I108</f>
        <v>0.57187500000000002</v>
      </c>
      <c r="J28" s="60">
        <f>'20'!J108</f>
        <v>0.24312499999999992</v>
      </c>
      <c r="K28" s="60">
        <f>'20'!K108</f>
        <v>211.22656249999997</v>
      </c>
      <c r="L28" s="60">
        <f>'20'!L108</f>
        <v>21.31166666666666</v>
      </c>
      <c r="M28" s="60">
        <f>'20'!M108</f>
        <v>62.283333333333331</v>
      </c>
      <c r="N28" s="60">
        <f>'20'!N108</f>
        <v>256.91458333333338</v>
      </c>
      <c r="O28" s="60">
        <f>'20'!O108</f>
        <v>0</v>
      </c>
      <c r="P28" s="201">
        <f>'20'!P108</f>
        <v>0.88177083333333339</v>
      </c>
      <c r="Q28" s="60">
        <f>'20'!Q108</f>
        <v>36.076145833333321</v>
      </c>
      <c r="R28" s="117"/>
      <c r="S28" s="117"/>
      <c r="T28" s="117"/>
      <c r="U28" s="117"/>
    </row>
    <row r="29" spans="1:21" x14ac:dyDescent="0.25">
      <c r="A29" s="93" t="str">
        <f>'21'!$B$2</f>
        <v>21-03-2023 00:15</v>
      </c>
      <c r="B29" s="60">
        <f>'21'!B108</f>
        <v>23.280416666666671</v>
      </c>
      <c r="C29" s="60">
        <f>'21'!C108</f>
        <v>50.887916666666676</v>
      </c>
      <c r="D29" s="60">
        <f>'21'!D108</f>
        <v>48.494374999999998</v>
      </c>
      <c r="E29" s="60">
        <f>'21'!E108</f>
        <v>2.223125</v>
      </c>
      <c r="F29" s="60">
        <f>'21'!F108</f>
        <v>3.1623958333333331</v>
      </c>
      <c r="G29" s="60">
        <f>'21'!G108</f>
        <v>40.532727272727293</v>
      </c>
      <c r="H29" s="60">
        <f>'21'!H108</f>
        <v>16.541022727272733</v>
      </c>
      <c r="I29" s="60">
        <f>'21'!I108</f>
        <v>0.62364583333333379</v>
      </c>
      <c r="J29" s="60">
        <f>'21'!J108</f>
        <v>0.82593749999999977</v>
      </c>
      <c r="K29" s="60">
        <f>'21'!K108</f>
        <v>145.300625</v>
      </c>
      <c r="L29" s="60">
        <f>'21'!L108</f>
        <v>21.074687500000007</v>
      </c>
      <c r="M29" s="60">
        <f>'21'!M108</f>
        <v>68.615104166666654</v>
      </c>
      <c r="N29" s="60">
        <f>'21'!N108</f>
        <v>203.23749999999995</v>
      </c>
      <c r="O29" s="60">
        <f>'21'!O108</f>
        <v>2.4999999999999998E-2</v>
      </c>
      <c r="P29" s="201">
        <f>'21'!P108</f>
        <v>0.71843750000000028</v>
      </c>
      <c r="Q29" s="60">
        <f>'21'!Q108</f>
        <v>44.661249999999995</v>
      </c>
      <c r="R29" s="117"/>
      <c r="S29" s="117"/>
      <c r="T29" s="117"/>
      <c r="U29" s="117"/>
    </row>
    <row r="30" spans="1:21" x14ac:dyDescent="0.25">
      <c r="A30" s="93" t="str">
        <f>'22'!$B$2</f>
        <v>22-03-2023 00:15</v>
      </c>
      <c r="B30" s="60">
        <f>'22'!B108</f>
        <v>16.355520833333326</v>
      </c>
      <c r="C30" s="60">
        <f>'22'!C108</f>
        <v>51.720520833333325</v>
      </c>
      <c r="D30" s="60">
        <f>'22'!D108</f>
        <v>43.400312499999991</v>
      </c>
      <c r="E30" s="60">
        <f>'22'!E108</f>
        <v>2.4196874999999998</v>
      </c>
      <c r="F30" s="60">
        <f>'22'!F108</f>
        <v>3.3462499999999999</v>
      </c>
      <c r="G30" s="60">
        <f>'22'!G108</f>
        <v>49.214193548387115</v>
      </c>
      <c r="H30" s="60">
        <f>'22'!H108</f>
        <v>21.771075268817214</v>
      </c>
      <c r="I30" s="60">
        <f>'22'!I108</f>
        <v>0.55843750000000003</v>
      </c>
      <c r="J30" s="60">
        <f>'22'!J108</f>
        <v>0.75458333333333349</v>
      </c>
      <c r="K30" s="60">
        <f>'22'!K108</f>
        <v>124.15833333333336</v>
      </c>
      <c r="L30" s="60">
        <f>'22'!L108</f>
        <v>22.430416666666662</v>
      </c>
      <c r="M30" s="60">
        <f>'22'!M108</f>
        <v>60.713020833333296</v>
      </c>
      <c r="N30" s="60">
        <f>'22'!N108</f>
        <v>208.14479166666675</v>
      </c>
      <c r="O30" s="60">
        <f>'22'!O108</f>
        <v>0</v>
      </c>
      <c r="P30" s="201">
        <f>'22'!P108</f>
        <v>0.64697916666666699</v>
      </c>
      <c r="Q30" s="60">
        <f>'22'!Q108</f>
        <v>46.281562500000007</v>
      </c>
      <c r="R30" s="117"/>
      <c r="S30" s="117"/>
      <c r="T30" s="117"/>
      <c r="U30" s="117"/>
    </row>
    <row r="31" spans="1:21" x14ac:dyDescent="0.25">
      <c r="A31" s="93" t="str">
        <f>'23'!$B$2</f>
        <v>23-03-2023 00:15</v>
      </c>
      <c r="B31" s="60">
        <f>'23'!B108</f>
        <v>41.149062499999992</v>
      </c>
      <c r="C31" s="60">
        <f>'23'!C108</f>
        <v>67.292708333333351</v>
      </c>
      <c r="D31" s="60">
        <f>'23'!D108</f>
        <v>71.876458333333304</v>
      </c>
      <c r="E31" s="60">
        <f>'23'!E108</f>
        <v>2.5657291666666677</v>
      </c>
      <c r="F31" s="60">
        <f>'23'!F108</f>
        <v>3.5508333333333337</v>
      </c>
      <c r="G31" s="60">
        <f>'23'!G108</f>
        <v>85.079456521739161</v>
      </c>
      <c r="H31" s="60">
        <f>'23'!H108</f>
        <v>28.448913043478257</v>
      </c>
      <c r="I31" s="60">
        <f>'23'!I108</f>
        <v>0.69072916666666673</v>
      </c>
      <c r="J31" s="60">
        <f>'23'!J108</f>
        <v>0.39302083333333332</v>
      </c>
      <c r="K31" s="60">
        <f>'23'!K108</f>
        <v>149.34937500000001</v>
      </c>
      <c r="L31" s="60">
        <f>'23'!L108</f>
        <v>24.134583333333328</v>
      </c>
      <c r="M31" s="60">
        <f>'23'!M108</f>
        <v>55.761458333333358</v>
      </c>
      <c r="N31" s="60">
        <f>'23'!N108</f>
        <v>234.24687500000002</v>
      </c>
      <c r="O31" s="60">
        <f>'23'!O108</f>
        <v>0</v>
      </c>
      <c r="P31" s="201">
        <f>'23'!P108</f>
        <v>1.214479166666667</v>
      </c>
      <c r="Q31" s="60">
        <f>'23'!Q108</f>
        <v>53.18041666666668</v>
      </c>
      <c r="R31" s="117"/>
      <c r="S31" s="206"/>
      <c r="T31" s="117"/>
      <c r="U31" s="117"/>
    </row>
    <row r="32" spans="1:21" x14ac:dyDescent="0.25">
      <c r="A32" s="93" t="str">
        <f>'24'!$B$2</f>
        <v>24-03-2023 00:15</v>
      </c>
      <c r="B32" s="60">
        <f>'24'!B108</f>
        <v>37.638117647058841</v>
      </c>
      <c r="C32" s="60">
        <f>'24'!C108</f>
        <v>63.470823529411739</v>
      </c>
      <c r="D32" s="60">
        <f>'24'!D108</f>
        <v>66.951764705882383</v>
      </c>
      <c r="E32" s="60">
        <f>'24'!E108</f>
        <v>2.9349333333333334</v>
      </c>
      <c r="F32" s="60">
        <f>'24'!F108</f>
        <v>4.793218390804598</v>
      </c>
      <c r="G32" s="60">
        <f>'24'!G108</f>
        <v>71.976666666666674</v>
      </c>
      <c r="H32" s="60">
        <f>'24'!H108</f>
        <v>27.001954022988507</v>
      </c>
      <c r="I32" s="60">
        <f>'24'!I108</f>
        <v>0.7444642857142858</v>
      </c>
      <c r="J32" s="60">
        <f>'24'!J108</f>
        <v>0.2949425287356322</v>
      </c>
      <c r="K32" s="60">
        <f>'24'!K108</f>
        <v>214.73471264367814</v>
      </c>
      <c r="L32" s="60">
        <f>'24'!L108</f>
        <v>24.926896551724148</v>
      </c>
      <c r="M32" s="60">
        <f>'24'!M108</f>
        <v>53.377126436781595</v>
      </c>
      <c r="N32" s="60">
        <f>'24'!N108</f>
        <v>216.13563218390809</v>
      </c>
      <c r="O32" s="60">
        <f>'24'!O108</f>
        <v>0</v>
      </c>
      <c r="P32" s="201">
        <f>'24'!P108</f>
        <v>1.0532558139534884</v>
      </c>
      <c r="Q32" s="60">
        <f>'24'!Q108</f>
        <v>44.429166666666667</v>
      </c>
      <c r="R32" s="117"/>
      <c r="S32" s="117"/>
      <c r="T32" s="117"/>
      <c r="U32" s="117"/>
    </row>
    <row r="33" spans="1:21" x14ac:dyDescent="0.25">
      <c r="A33" s="93" t="str">
        <f>'25'!$B$2</f>
        <v>25-03-2023 00:15</v>
      </c>
      <c r="B33" s="60">
        <f>'25'!B108</f>
        <v>27.330833333333334</v>
      </c>
      <c r="C33" s="60">
        <f>'25'!C108</f>
        <v>51.123854166666689</v>
      </c>
      <c r="D33" s="60">
        <f>'25'!D108</f>
        <v>51.855520833333372</v>
      </c>
      <c r="E33" s="60">
        <f>'25'!E108</f>
        <v>5.2057291666666679</v>
      </c>
      <c r="F33" s="60">
        <f>'25'!F108</f>
        <v>8.4308333333333305</v>
      </c>
      <c r="G33" s="60">
        <f>'25'!G108</f>
        <v>69.908958333333317</v>
      </c>
      <c r="H33" s="60">
        <f>'25'!H108</f>
        <v>26.576979166666685</v>
      </c>
      <c r="I33" s="60">
        <f>'25'!I108</f>
        <v>0.57396226415094354</v>
      </c>
      <c r="J33" s="60">
        <f>'25'!J108</f>
        <v>0.39968750000000003</v>
      </c>
      <c r="K33" s="60">
        <f>'25'!K108</f>
        <v>181.22208333333333</v>
      </c>
      <c r="L33" s="60">
        <f>'25'!L108</f>
        <v>26.417708333333326</v>
      </c>
      <c r="M33" s="60">
        <f>'25'!M108</f>
        <v>49.345520833333346</v>
      </c>
      <c r="N33" s="60">
        <f>'25'!N108</f>
        <v>236.91979166666673</v>
      </c>
      <c r="O33" s="60">
        <f>'25'!O108</f>
        <v>0</v>
      </c>
      <c r="P33" s="201">
        <f>'25'!P108</f>
        <v>0.93208333333333293</v>
      </c>
      <c r="Q33" s="60">
        <f>'25'!Q108</f>
        <v>30.300104166666667</v>
      </c>
      <c r="R33" s="117"/>
      <c r="S33" s="206"/>
      <c r="T33" s="117"/>
      <c r="U33" s="117"/>
    </row>
    <row r="34" spans="1:21" x14ac:dyDescent="0.25">
      <c r="A34" s="93" t="str">
        <f>'26'!$B$2</f>
        <v>26-03-2023 00:15</v>
      </c>
      <c r="B34" s="60">
        <f>'26'!B108</f>
        <v>11.271562500000003</v>
      </c>
      <c r="C34" s="60">
        <f>'26'!C108</f>
        <v>42.724687499999987</v>
      </c>
      <c r="D34" s="60">
        <f>'26'!D108</f>
        <v>34.358333333333341</v>
      </c>
      <c r="E34" s="60">
        <f>'26'!E108</f>
        <v>2.4387499999999998</v>
      </c>
      <c r="F34" s="60">
        <f>'26'!F108</f>
        <v>5.1740624999999998</v>
      </c>
      <c r="G34" s="60">
        <f>'26'!G108</f>
        <v>49.892812499999984</v>
      </c>
      <c r="H34" s="60">
        <f>'26'!H108</f>
        <v>20.53</v>
      </c>
      <c r="I34" s="60">
        <f>'26'!I108</f>
        <v>0.56072916666666728</v>
      </c>
      <c r="J34" s="60">
        <f>'26'!J108</f>
        <v>0.70010416666666675</v>
      </c>
      <c r="K34" s="60">
        <f>'26'!K108</f>
        <v>157.67416666666668</v>
      </c>
      <c r="L34" s="60">
        <f>'26'!L108</f>
        <v>26.06593749999999</v>
      </c>
      <c r="M34" s="60">
        <f>'26'!M108</f>
        <v>54.280312500000001</v>
      </c>
      <c r="N34" s="60">
        <f>'26'!N108</f>
        <v>208.08749999999989</v>
      </c>
      <c r="O34" s="60">
        <f>'26'!O108</f>
        <v>0</v>
      </c>
      <c r="P34" s="201">
        <f>'26'!P108</f>
        <v>0.67927083333333371</v>
      </c>
      <c r="Q34" s="60">
        <f>'26'!Q108</f>
        <v>44.170208333333335</v>
      </c>
      <c r="R34" s="117"/>
      <c r="S34" s="117"/>
      <c r="T34" s="117"/>
      <c r="U34" s="117"/>
    </row>
    <row r="35" spans="1:21" x14ac:dyDescent="0.25">
      <c r="A35" s="93" t="str">
        <f>'27'!$B$2</f>
        <v>27-03-2023 00:15</v>
      </c>
      <c r="B35" s="60">
        <f>'27'!B108</f>
        <v>32.521874999999994</v>
      </c>
      <c r="C35" s="60">
        <f>'27'!C108</f>
        <v>45.218958333333326</v>
      </c>
      <c r="D35" s="60">
        <f>'27'!D108</f>
        <v>53.920104166666654</v>
      </c>
      <c r="E35" s="60">
        <f>'27'!E108</f>
        <v>5.5519791666666691</v>
      </c>
      <c r="F35" s="60">
        <f>'27'!F108</f>
        <v>13.325625000000002</v>
      </c>
      <c r="G35" s="60">
        <f>'27'!G108</f>
        <v>41.749139784946209</v>
      </c>
      <c r="H35" s="60">
        <f>'27'!H108</f>
        <v>16.189032258064522</v>
      </c>
      <c r="I35" s="60">
        <f>'27'!I108</f>
        <v>0.62562500000000021</v>
      </c>
      <c r="J35" s="60">
        <f>'27'!J108</f>
        <v>0.50375000000000025</v>
      </c>
      <c r="K35" s="60">
        <f>'27'!K108</f>
        <v>142.26052083333329</v>
      </c>
      <c r="L35" s="60">
        <f>'27'!L108</f>
        <v>25.351666666666659</v>
      </c>
      <c r="M35" s="60">
        <f>'27'!M108</f>
        <v>52.07114583333334</v>
      </c>
      <c r="N35" s="60">
        <f>'27'!N108</f>
        <v>236.5</v>
      </c>
      <c r="O35" s="60">
        <f>'27'!O108</f>
        <v>0</v>
      </c>
      <c r="P35" s="201">
        <f>'27'!P108</f>
        <v>0.94416666666666671</v>
      </c>
      <c r="Q35" s="60">
        <f>'27'!Q108</f>
        <v>42.759583333333332</v>
      </c>
      <c r="R35" s="117"/>
      <c r="S35" s="117"/>
      <c r="T35" s="117"/>
      <c r="U35" s="117"/>
    </row>
    <row r="36" spans="1:21" x14ac:dyDescent="0.25">
      <c r="A36" s="93" t="str">
        <f>'28'!$B$2</f>
        <v>28-03-2023 00:15</v>
      </c>
      <c r="B36" s="60">
        <f>'28'!B108</f>
        <v>67.944062500000001</v>
      </c>
      <c r="C36" s="60">
        <f>'28'!C108</f>
        <v>59.28385416666665</v>
      </c>
      <c r="D36" s="60">
        <f>'28'!D108</f>
        <v>88.944062499999987</v>
      </c>
      <c r="E36" s="60">
        <f>'28'!E108</f>
        <v>4.2638541666666665</v>
      </c>
      <c r="F36" s="60">
        <f>'28'!F108</f>
        <v>9.1401041666666618</v>
      </c>
      <c r="G36" s="60">
        <f>'28'!G108</f>
        <v>109.3069892473118</v>
      </c>
      <c r="H36" s="60">
        <f>'28'!H108</f>
        <v>39.2163440860215</v>
      </c>
      <c r="I36" s="60">
        <f>'28'!I108</f>
        <v>0.88302083333333348</v>
      </c>
      <c r="J36" s="60">
        <f>'28'!J108</f>
        <v>0.29249999999999987</v>
      </c>
      <c r="K36" s="60">
        <f>'28'!K108</f>
        <v>166.98531250000005</v>
      </c>
      <c r="L36" s="60">
        <f>'28'!L108</f>
        <v>26.538333333333327</v>
      </c>
      <c r="M36" s="60">
        <f>'28'!M108</f>
        <v>38.971562499999983</v>
      </c>
      <c r="N36" s="60">
        <f>'28'!N108</f>
        <v>238.10625000000005</v>
      </c>
      <c r="O36" s="60">
        <f>'28'!O108</f>
        <v>0</v>
      </c>
      <c r="P36" s="201">
        <f>'28'!P108</f>
        <v>1.6318750000000002</v>
      </c>
      <c r="Q36" s="60">
        <f>'28'!Q108</f>
        <v>41.886249999999997</v>
      </c>
      <c r="R36" s="117"/>
      <c r="S36" s="117"/>
      <c r="T36" s="117"/>
      <c r="U36" s="117"/>
    </row>
    <row r="37" spans="1:21" s="54" customFormat="1" x14ac:dyDescent="0.25">
      <c r="A37" s="93" t="str">
        <f>'29'!$B$2</f>
        <v>29-03-2023 00:15</v>
      </c>
      <c r="B37" s="60">
        <f>'29'!B108</f>
        <v>56.883125000000028</v>
      </c>
      <c r="C37" s="60">
        <f>'29'!C108</f>
        <v>60.713750000000005</v>
      </c>
      <c r="D37" s="60">
        <f>'29'!D108</f>
        <v>80.863854166666627</v>
      </c>
      <c r="E37" s="60">
        <f>'29'!E108</f>
        <v>5.2053124999999989</v>
      </c>
      <c r="F37" s="60">
        <f>'29'!F108</f>
        <v>8.1352083333333329</v>
      </c>
      <c r="G37" s="60">
        <f>'29'!G108</f>
        <v>112.77437500000003</v>
      </c>
      <c r="H37" s="60">
        <f>'29'!H108</f>
        <v>45.357916666666704</v>
      </c>
      <c r="I37" s="60">
        <f>'29'!I108</f>
        <v>0.91458333333333341</v>
      </c>
      <c r="J37" s="60">
        <f>'29'!J108</f>
        <v>0.61854166666666677</v>
      </c>
      <c r="K37" s="60">
        <f>'29'!K108</f>
        <v>157.02395833333338</v>
      </c>
      <c r="L37" s="60">
        <f>'29'!L108</f>
        <v>27.353958333333342</v>
      </c>
      <c r="M37" s="60">
        <f>'29'!M108</f>
        <v>40.287500000000001</v>
      </c>
      <c r="N37" s="60">
        <f>'29'!N108</f>
        <v>228.46874999999989</v>
      </c>
      <c r="O37" s="60">
        <f>'29'!O108</f>
        <v>0</v>
      </c>
      <c r="P37" s="201">
        <f>'29'!P108</f>
        <v>1.6694791666666664</v>
      </c>
      <c r="Q37" s="60">
        <f>'29'!Q108</f>
        <v>46.805000000000007</v>
      </c>
      <c r="R37" s="117"/>
      <c r="S37" s="117"/>
      <c r="T37" s="117"/>
      <c r="U37" s="117"/>
    </row>
    <row r="38" spans="1:21" s="54" customFormat="1" x14ac:dyDescent="0.25">
      <c r="A38" s="93" t="str">
        <f>'30'!$B$2</f>
        <v>30-03-2023 00:15</v>
      </c>
      <c r="B38" s="60">
        <f>'30'!B108</f>
        <v>7.9164583333333347</v>
      </c>
      <c r="C38" s="60">
        <f>'30'!C108</f>
        <v>38.54645833333332</v>
      </c>
      <c r="D38" s="60">
        <f>'30'!D108</f>
        <v>29.362083333333342</v>
      </c>
      <c r="E38" s="60">
        <f>'30'!E108</f>
        <v>2.4467708333333333</v>
      </c>
      <c r="F38" s="60">
        <f>'30'!F108</f>
        <v>10.811770833333334</v>
      </c>
      <c r="G38" s="60">
        <f>'30'!G108</f>
        <v>38.332812499999974</v>
      </c>
      <c r="H38" s="60">
        <f>'30'!H108</f>
        <v>16.387812499999992</v>
      </c>
      <c r="I38" s="60">
        <f>'30'!I108</f>
        <v>0.55437499999999995</v>
      </c>
      <c r="J38" s="60">
        <f>'30'!J108</f>
        <v>0.93906249999999991</v>
      </c>
      <c r="K38" s="60">
        <f>'30'!K108</f>
        <v>171.69739583333339</v>
      </c>
      <c r="L38" s="60">
        <f>'30'!L108</f>
        <v>26.617708333333336</v>
      </c>
      <c r="M38" s="60">
        <f>'30'!M108</f>
        <v>48.988124999999989</v>
      </c>
      <c r="N38" s="60">
        <f>'30'!N108</f>
        <v>237.34479166666674</v>
      </c>
      <c r="O38" s="60">
        <f>'30'!O108</f>
        <v>9.166666666666666E-2</v>
      </c>
      <c r="P38" s="201">
        <f>'30'!P108</f>
        <v>0.61104166666666682</v>
      </c>
      <c r="Q38" s="60">
        <f>'30'!Q108</f>
        <v>37.569687500000015</v>
      </c>
      <c r="R38" s="117"/>
      <c r="S38" s="117"/>
      <c r="T38" s="117"/>
      <c r="U38" s="117"/>
    </row>
    <row r="39" spans="1:21" s="54" customFormat="1" x14ac:dyDescent="0.25">
      <c r="A39" s="93" t="str">
        <f>'31'!$B$2</f>
        <v>31-03-2023 00:15</v>
      </c>
      <c r="B39" s="60">
        <f>'31'!B108</f>
        <v>5.4945833333333338</v>
      </c>
      <c r="C39" s="60">
        <f>'31'!C108</f>
        <v>30.633229166666641</v>
      </c>
      <c r="D39" s="60">
        <f>'31'!D108</f>
        <v>23.051874999999995</v>
      </c>
      <c r="E39" s="60">
        <f>'31'!E108</f>
        <v>2.1733333333333333</v>
      </c>
      <c r="F39" s="60">
        <f>'31'!F108</f>
        <v>7.5290624999999975</v>
      </c>
      <c r="G39" s="60">
        <f>'31'!G108</f>
        <v>38.837083333333332</v>
      </c>
      <c r="H39" s="60">
        <f>'31'!H108</f>
        <v>15.515000000000001</v>
      </c>
      <c r="I39" s="60">
        <f>'31'!I108</f>
        <v>0.52687500000000009</v>
      </c>
      <c r="J39" s="60">
        <f>'31'!J108</f>
        <v>0.98416666666666641</v>
      </c>
      <c r="K39" s="60">
        <f>'31'!K108</f>
        <v>133.71114583333335</v>
      </c>
      <c r="L39" s="60">
        <f>'31'!L108</f>
        <v>24.219062499999993</v>
      </c>
      <c r="M39" s="60">
        <f>'31'!M108</f>
        <v>60.483958333333312</v>
      </c>
      <c r="N39" s="60">
        <f>'31'!N108</f>
        <v>230.22083333333322</v>
      </c>
      <c r="O39" s="60">
        <f>'31'!O108</f>
        <v>0</v>
      </c>
      <c r="P39" s="60">
        <f>'31'!P108</f>
        <v>0.62354166666666666</v>
      </c>
      <c r="Q39" s="60">
        <f>'31'!Q108</f>
        <v>33.493854166666665</v>
      </c>
      <c r="R39" s="117"/>
      <c r="S39" s="117"/>
      <c r="T39" s="117"/>
      <c r="U39" s="117"/>
    </row>
    <row r="40" spans="1:21" s="54" customFormat="1" x14ac:dyDescent="0.25">
      <c r="A40" s="93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</row>
    <row r="41" spans="1:21" s="54" customFormat="1" x14ac:dyDescent="0.25">
      <c r="A41" s="93" t="s">
        <v>59</v>
      </c>
      <c r="B41" s="16">
        <f t="shared" ref="B41:Q41" si="0">MIN(B9:B38)</f>
        <v>5.4499999999999993</v>
      </c>
      <c r="C41" s="16">
        <f t="shared" si="0"/>
        <v>38.54645833333332</v>
      </c>
      <c r="D41" s="16">
        <f t="shared" si="0"/>
        <v>29.362083333333342</v>
      </c>
      <c r="E41" s="16">
        <f t="shared" si="0"/>
        <v>1.8718750000000002</v>
      </c>
      <c r="F41" s="16">
        <f t="shared" si="0"/>
        <v>1.9658333333333327</v>
      </c>
      <c r="G41" s="16">
        <f t="shared" si="0"/>
        <v>38.332812499999974</v>
      </c>
      <c r="H41" s="16">
        <f t="shared" si="0"/>
        <v>15.269479166666665</v>
      </c>
      <c r="I41" s="16">
        <f t="shared" si="0"/>
        <v>0.53714285714285692</v>
      </c>
      <c r="J41" s="16">
        <f t="shared" si="0"/>
        <v>0.24312499999999992</v>
      </c>
      <c r="K41" s="16">
        <f t="shared" si="0"/>
        <v>54.622499999999995</v>
      </c>
      <c r="L41" s="16">
        <f t="shared" si="0"/>
        <v>18.559479166666666</v>
      </c>
      <c r="M41" s="16">
        <f t="shared" si="0"/>
        <v>29.98</v>
      </c>
      <c r="N41" s="16">
        <f t="shared" si="0"/>
        <v>73.859374999999986</v>
      </c>
      <c r="O41" s="16">
        <f t="shared" si="0"/>
        <v>0</v>
      </c>
      <c r="P41" s="16">
        <f t="shared" si="0"/>
        <v>0.61104166666666682</v>
      </c>
      <c r="Q41" s="16">
        <f t="shared" si="0"/>
        <v>23.835520833333323</v>
      </c>
      <c r="R41" s="16"/>
      <c r="S41" s="16"/>
      <c r="T41" s="16"/>
      <c r="U41" s="16"/>
    </row>
    <row r="42" spans="1:21" s="54" customFormat="1" x14ac:dyDescent="0.25">
      <c r="A42" s="93" t="s">
        <v>60</v>
      </c>
      <c r="B42" s="16">
        <f t="shared" ref="B42:Q42" si="1">MAX(B9:B38)</f>
        <v>93.409583333333273</v>
      </c>
      <c r="C42" s="16">
        <f t="shared" si="1"/>
        <v>162.2329885057471</v>
      </c>
      <c r="D42" s="16">
        <f t="shared" si="1"/>
        <v>129.39145833333333</v>
      </c>
      <c r="E42" s="16">
        <f t="shared" si="1"/>
        <v>19.051666666666659</v>
      </c>
      <c r="F42" s="16">
        <f t="shared" si="1"/>
        <v>19.587528089887641</v>
      </c>
      <c r="G42" s="16">
        <f t="shared" si="1"/>
        <v>131.84434782608693</v>
      </c>
      <c r="H42" s="16">
        <f t="shared" si="1"/>
        <v>102.8638372093022</v>
      </c>
      <c r="I42" s="16">
        <f t="shared" si="1"/>
        <v>1.2376041666666666</v>
      </c>
      <c r="J42" s="16">
        <f t="shared" si="1"/>
        <v>0.96593749999999989</v>
      </c>
      <c r="K42" s="16">
        <f t="shared" si="1"/>
        <v>214.73471264367814</v>
      </c>
      <c r="L42" s="16">
        <f t="shared" si="1"/>
        <v>28.608124999999998</v>
      </c>
      <c r="M42" s="16">
        <f t="shared" si="1"/>
        <v>75.496979166666677</v>
      </c>
      <c r="N42" s="16">
        <f t="shared" si="1"/>
        <v>256.91458333333338</v>
      </c>
      <c r="O42" s="16">
        <f t="shared" si="1"/>
        <v>9.166666666666666E-2</v>
      </c>
      <c r="P42" s="16">
        <f t="shared" si="1"/>
        <v>2.2518750000000014</v>
      </c>
      <c r="Q42" s="16">
        <f t="shared" si="1"/>
        <v>53.18041666666668</v>
      </c>
      <c r="R42" s="16"/>
      <c r="S42" s="16"/>
      <c r="T42" s="16"/>
      <c r="U42" s="16"/>
    </row>
    <row r="43" spans="1:21" s="54" customFormat="1" x14ac:dyDescent="0.25">
      <c r="A43" s="93" t="s">
        <v>61</v>
      </c>
      <c r="B43" s="16">
        <f t="shared" ref="B43:Q43" si="2">AVERAGE(B9:B38)</f>
        <v>33.151592547047557</v>
      </c>
      <c r="C43" s="16">
        <f t="shared" si="2"/>
        <v>82.911696512283044</v>
      </c>
      <c r="D43" s="16">
        <f t="shared" si="2"/>
        <v>73.242648023720989</v>
      </c>
      <c r="E43" s="16">
        <f t="shared" si="2"/>
        <v>5.4207600883838394</v>
      </c>
      <c r="F43" s="16">
        <f t="shared" si="2"/>
        <v>7.1336846049119647</v>
      </c>
      <c r="G43" s="16">
        <f t="shared" si="2"/>
        <v>79.98064761734112</v>
      </c>
      <c r="H43" s="16">
        <f t="shared" si="2"/>
        <v>34.748495044540661</v>
      </c>
      <c r="I43" s="16">
        <f t="shared" si="2"/>
        <v>0.73090592572101776</v>
      </c>
      <c r="J43" s="16">
        <f t="shared" si="2"/>
        <v>0.52413853372939001</v>
      </c>
      <c r="K43" s="16">
        <f t="shared" si="2"/>
        <v>141.51990915585046</v>
      </c>
      <c r="L43" s="16">
        <f t="shared" si="2"/>
        <v>25.94810090565672</v>
      </c>
      <c r="M43" s="16">
        <f t="shared" si="2"/>
        <v>45.682549696769115</v>
      </c>
      <c r="N43" s="16">
        <f t="shared" si="2"/>
        <v>192.39999352910155</v>
      </c>
      <c r="O43" s="16">
        <f t="shared" si="2"/>
        <v>8.2638888888888883E-3</v>
      </c>
      <c r="P43" s="16">
        <f t="shared" si="2"/>
        <v>1.2801501007628304</v>
      </c>
      <c r="Q43" s="16">
        <f t="shared" si="2"/>
        <v>35.072315438034188</v>
      </c>
      <c r="R43" s="16"/>
      <c r="S43" s="16"/>
      <c r="T43" s="16"/>
      <c r="U43" s="16"/>
    </row>
    <row r="44" spans="1:21" s="54" customFormat="1" x14ac:dyDescent="0.25">
      <c r="A44" s="93" t="s">
        <v>77</v>
      </c>
      <c r="B44" s="16">
        <f t="shared" ref="B44:Q44" si="3">STDEV(B9:B38)</f>
        <v>21.79624339250628</v>
      </c>
      <c r="C44" s="16">
        <f t="shared" si="3"/>
        <v>31.712760518642416</v>
      </c>
      <c r="D44" s="16">
        <f t="shared" si="3"/>
        <v>28.541531271564814</v>
      </c>
      <c r="E44" s="16">
        <f t="shared" si="3"/>
        <v>3.9374621289846803</v>
      </c>
      <c r="F44" s="16">
        <f t="shared" si="3"/>
        <v>4.9879050900075592</v>
      </c>
      <c r="G44" s="16">
        <f t="shared" si="3"/>
        <v>31.627521725534717</v>
      </c>
      <c r="H44" s="16">
        <f t="shared" si="3"/>
        <v>18.782983229109607</v>
      </c>
      <c r="I44" s="16">
        <f t="shared" si="3"/>
        <v>0.1771535436824748</v>
      </c>
      <c r="J44" s="16">
        <f t="shared" si="3"/>
        <v>0.19906642328276217</v>
      </c>
      <c r="K44" s="16">
        <f t="shared" si="3"/>
        <v>37.145354202144503</v>
      </c>
      <c r="L44" s="16">
        <f t="shared" si="3"/>
        <v>3.021616719884801</v>
      </c>
      <c r="M44" s="16">
        <f t="shared" si="3"/>
        <v>12.582289990690903</v>
      </c>
      <c r="N44" s="16">
        <f t="shared" si="3"/>
        <v>47.862413688212605</v>
      </c>
      <c r="O44" s="16">
        <f t="shared" si="3"/>
        <v>2.1389720775482998E-2</v>
      </c>
      <c r="P44" s="16">
        <f t="shared" si="3"/>
        <v>0.48560037807810374</v>
      </c>
      <c r="Q44" s="16">
        <f t="shared" si="3"/>
        <v>7.2817040207570898</v>
      </c>
      <c r="R44" s="16"/>
      <c r="S44" s="16"/>
      <c r="T44" s="16"/>
      <c r="U44" s="16"/>
    </row>
    <row r="45" spans="1:21" s="54" customFormat="1" x14ac:dyDescent="0.25">
      <c r="A45" s="93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3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3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3" t="s">
        <v>64</v>
      </c>
      <c r="B50" s="106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6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7" t="s">
        <v>65</v>
      </c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 spans="1:16" x14ac:dyDescent="0.25">
      <c r="A53" s="96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6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110" sqref="H11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3" customWidth="1"/>
    <col min="20" max="20" width="10" style="83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0" t="s">
        <v>9</v>
      </c>
      <c r="D1" s="222" t="s">
        <v>241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0" t="s">
        <v>0</v>
      </c>
      <c r="D2" s="111" t="s">
        <v>534</v>
      </c>
      <c r="E2" s="112"/>
      <c r="F2" s="112"/>
      <c r="G2" s="113"/>
      <c r="H2" s="114"/>
      <c r="I2" s="114"/>
      <c r="J2" s="115"/>
    </row>
    <row r="4" spans="2:24" ht="15.75" thickBot="1" x14ac:dyDescent="0.3">
      <c r="S4" s="25"/>
      <c r="T4" s="25"/>
      <c r="U4" s="83"/>
      <c r="V4" s="83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7"/>
      <c r="P5" s="68"/>
      <c r="Q5" s="68"/>
      <c r="R5" s="68"/>
      <c r="S5" s="207" t="s">
        <v>238</v>
      </c>
      <c r="T5" s="68"/>
      <c r="U5" s="84"/>
      <c r="V5" s="84"/>
      <c r="W5" s="68"/>
      <c r="X5" s="69"/>
    </row>
    <row r="6" spans="2:24" x14ac:dyDescent="0.25">
      <c r="B6" s="43"/>
      <c r="C6" s="37"/>
      <c r="D6" s="37"/>
      <c r="E6" s="37"/>
      <c r="F6" s="37"/>
      <c r="G6" s="37"/>
      <c r="H6" s="60"/>
      <c r="I6" s="37"/>
      <c r="J6" s="37"/>
      <c r="K6" s="37"/>
      <c r="L6" s="37"/>
      <c r="M6" s="42"/>
      <c r="O6" s="70"/>
      <c r="P6" s="63"/>
      <c r="Q6" s="63"/>
      <c r="R6" s="63"/>
      <c r="S6" s="63"/>
      <c r="T6" s="63"/>
      <c r="U6" s="85"/>
      <c r="V6" s="85"/>
      <c r="W6" s="63"/>
      <c r="X6" s="71"/>
    </row>
    <row r="7" spans="2:24" ht="15.75" x14ac:dyDescent="0.3">
      <c r="B7" s="91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1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2" t="s">
        <v>10</v>
      </c>
      <c r="P7" s="73" t="s">
        <v>11</v>
      </c>
      <c r="Q7" s="73" t="s">
        <v>76</v>
      </c>
      <c r="R7" s="73" t="s">
        <v>39</v>
      </c>
      <c r="S7" s="73" t="s">
        <v>72</v>
      </c>
      <c r="T7" s="73" t="s">
        <v>73</v>
      </c>
      <c r="U7" s="86" t="s">
        <v>74</v>
      </c>
      <c r="V7" s="86" t="s">
        <v>75</v>
      </c>
      <c r="W7" s="73" t="s">
        <v>5</v>
      </c>
      <c r="X7" s="74" t="s">
        <v>20</v>
      </c>
    </row>
    <row r="8" spans="2:24" ht="15.75" x14ac:dyDescent="0.25">
      <c r="B8" s="62">
        <v>44988.493055555555</v>
      </c>
      <c r="C8" s="59" t="s">
        <v>1</v>
      </c>
      <c r="D8" s="59" t="s">
        <v>51</v>
      </c>
      <c r="E8" s="59">
        <v>0</v>
      </c>
      <c r="F8" s="59">
        <v>200</v>
      </c>
      <c r="G8" s="59">
        <v>0</v>
      </c>
      <c r="H8" s="60">
        <v>213.4</v>
      </c>
      <c r="I8" s="59">
        <v>0</v>
      </c>
      <c r="J8" s="60">
        <f>F8/H8</f>
        <v>0.93720712277413309</v>
      </c>
      <c r="K8" s="60">
        <f>(H8-F8)*100/F8</f>
        <v>6.700000000000002</v>
      </c>
      <c r="L8" s="59" t="s">
        <v>67</v>
      </c>
      <c r="M8" s="77" t="s">
        <v>215</v>
      </c>
      <c r="O8" s="62">
        <v>44988.472222222219</v>
      </c>
      <c r="P8" s="63" t="s">
        <v>70</v>
      </c>
      <c r="Q8" s="63">
        <v>4098.97</v>
      </c>
      <c r="R8" s="63">
        <v>3180.61</v>
      </c>
      <c r="S8" s="76" t="s">
        <v>533</v>
      </c>
      <c r="T8" s="76">
        <v>852.81</v>
      </c>
      <c r="U8" s="85">
        <v>0.98829999999999996</v>
      </c>
      <c r="V8" s="85">
        <v>0.98150000000000004</v>
      </c>
      <c r="W8" s="59" t="s">
        <v>67</v>
      </c>
      <c r="X8" s="77" t="s">
        <v>215</v>
      </c>
    </row>
    <row r="9" spans="2:24" ht="15.75" x14ac:dyDescent="0.25">
      <c r="B9" s="62">
        <v>44998.493055555555</v>
      </c>
      <c r="C9" s="59" t="s">
        <v>1</v>
      </c>
      <c r="D9" s="59" t="s">
        <v>51</v>
      </c>
      <c r="E9" s="59">
        <v>0</v>
      </c>
      <c r="F9" s="59">
        <v>200</v>
      </c>
      <c r="G9" s="59">
        <v>0</v>
      </c>
      <c r="H9" s="60">
        <v>202.3</v>
      </c>
      <c r="I9" s="59">
        <v>0</v>
      </c>
      <c r="J9" s="60">
        <f t="shared" ref="J9:J14" si="0">F9/H9</f>
        <v>0.98863074641621351</v>
      </c>
      <c r="K9" s="60">
        <f t="shared" ref="K9:K14" si="1">(H9-F9)*100/F9</f>
        <v>1.1500000000000057</v>
      </c>
      <c r="L9" s="59" t="s">
        <v>67</v>
      </c>
      <c r="M9" s="61" t="s">
        <v>215</v>
      </c>
      <c r="O9" s="62">
        <v>44998.481249999997</v>
      </c>
      <c r="P9" s="63" t="s">
        <v>70</v>
      </c>
      <c r="Q9" s="63">
        <v>4807.63</v>
      </c>
      <c r="R9" s="63">
        <v>3649.52</v>
      </c>
      <c r="S9" s="76" t="s">
        <v>533</v>
      </c>
      <c r="T9" s="76">
        <v>827.83</v>
      </c>
      <c r="U9" s="85">
        <v>0.88100000000000001</v>
      </c>
      <c r="V9" s="85">
        <v>0.88859999999999995</v>
      </c>
      <c r="W9" s="59" t="s">
        <v>67</v>
      </c>
      <c r="X9" s="61" t="s">
        <v>215</v>
      </c>
    </row>
    <row r="10" spans="2:24" ht="15.75" x14ac:dyDescent="0.25">
      <c r="B10" s="62">
        <v>45012.496527777781</v>
      </c>
      <c r="C10" s="59" t="s">
        <v>1</v>
      </c>
      <c r="D10" s="59" t="s">
        <v>51</v>
      </c>
      <c r="E10" s="59">
        <v>0</v>
      </c>
      <c r="F10" s="59">
        <v>200</v>
      </c>
      <c r="G10" s="59">
        <v>0</v>
      </c>
      <c r="H10" s="60">
        <v>203.14</v>
      </c>
      <c r="I10" s="59">
        <v>0</v>
      </c>
      <c r="J10" s="60">
        <f t="shared" si="0"/>
        <v>0.98454267992517486</v>
      </c>
      <c r="K10" s="60">
        <f t="shared" si="1"/>
        <v>1.5699999999999932</v>
      </c>
      <c r="L10" s="59" t="s">
        <v>67</v>
      </c>
      <c r="M10" s="61" t="s">
        <v>215</v>
      </c>
      <c r="O10" s="62">
        <v>45012.486111111109</v>
      </c>
      <c r="P10" s="63" t="s">
        <v>70</v>
      </c>
      <c r="Q10" s="63">
        <v>4471.87</v>
      </c>
      <c r="R10" s="63">
        <v>3334.71</v>
      </c>
      <c r="S10" s="76" t="s">
        <v>533</v>
      </c>
      <c r="T10" s="76">
        <v>842.07</v>
      </c>
      <c r="U10" s="85">
        <v>0.88859999999999995</v>
      </c>
      <c r="V10" s="85">
        <v>0.88119999999999998</v>
      </c>
      <c r="W10" s="59" t="s">
        <v>67</v>
      </c>
      <c r="X10" s="61" t="s">
        <v>215</v>
      </c>
    </row>
    <row r="11" spans="2:24" ht="15.75" x14ac:dyDescent="0.25">
      <c r="B11" s="62"/>
      <c r="C11" s="59" t="s">
        <v>1</v>
      </c>
      <c r="D11" s="59" t="s">
        <v>51</v>
      </c>
      <c r="E11" s="59">
        <v>0</v>
      </c>
      <c r="F11" s="59">
        <v>200</v>
      </c>
      <c r="G11" s="59">
        <v>0</v>
      </c>
      <c r="H11" s="60"/>
      <c r="I11" s="59">
        <v>0</v>
      </c>
      <c r="J11" s="60" t="e">
        <f t="shared" si="0"/>
        <v>#DIV/0!</v>
      </c>
      <c r="K11" s="60">
        <f t="shared" si="1"/>
        <v>-100</v>
      </c>
      <c r="L11" s="59" t="s">
        <v>67</v>
      </c>
      <c r="M11" s="61" t="s">
        <v>215</v>
      </c>
      <c r="O11" s="62"/>
      <c r="P11" s="63" t="s">
        <v>70</v>
      </c>
      <c r="Q11" s="63"/>
      <c r="R11" s="63"/>
      <c r="S11" s="76" t="s">
        <v>533</v>
      </c>
      <c r="T11" s="76"/>
      <c r="U11" s="85"/>
      <c r="V11" s="85"/>
      <c r="W11" s="59" t="s">
        <v>67</v>
      </c>
      <c r="X11" s="61"/>
    </row>
    <row r="12" spans="2:24" ht="15.75" x14ac:dyDescent="0.25">
      <c r="B12" s="62"/>
      <c r="C12" s="59" t="s">
        <v>1</v>
      </c>
      <c r="D12" s="59" t="s">
        <v>51</v>
      </c>
      <c r="E12" s="59">
        <v>0</v>
      </c>
      <c r="F12" s="59">
        <v>100</v>
      </c>
      <c r="G12" s="59">
        <v>0</v>
      </c>
      <c r="H12" s="60"/>
      <c r="I12" s="59">
        <v>0</v>
      </c>
      <c r="J12" s="60" t="e">
        <f t="shared" si="0"/>
        <v>#DIV/0!</v>
      </c>
      <c r="K12" s="60">
        <f t="shared" si="1"/>
        <v>-100</v>
      </c>
      <c r="L12" s="59" t="s">
        <v>67</v>
      </c>
      <c r="M12" s="61"/>
      <c r="O12" s="62"/>
      <c r="P12" s="63" t="s">
        <v>70</v>
      </c>
      <c r="Q12" s="63"/>
      <c r="R12" s="63"/>
      <c r="S12" s="76"/>
      <c r="T12" s="76"/>
      <c r="U12" s="85"/>
      <c r="V12" s="85"/>
      <c r="W12" s="59" t="s">
        <v>67</v>
      </c>
      <c r="X12" s="61"/>
    </row>
    <row r="13" spans="2:24" ht="15.75" x14ac:dyDescent="0.25">
      <c r="B13" s="62"/>
      <c r="C13" s="59" t="s">
        <v>1</v>
      </c>
      <c r="D13" s="59" t="s">
        <v>51</v>
      </c>
      <c r="E13" s="59">
        <v>0</v>
      </c>
      <c r="F13" s="59">
        <v>100</v>
      </c>
      <c r="G13" s="59">
        <v>0</v>
      </c>
      <c r="H13" s="60"/>
      <c r="I13" s="59">
        <v>0</v>
      </c>
      <c r="J13" s="60" t="e">
        <f t="shared" si="0"/>
        <v>#DIV/0!</v>
      </c>
      <c r="K13" s="60">
        <f t="shared" si="1"/>
        <v>-100</v>
      </c>
      <c r="L13" s="59" t="s">
        <v>67</v>
      </c>
      <c r="M13" s="61"/>
      <c r="O13" s="62"/>
      <c r="P13" s="63" t="s">
        <v>70</v>
      </c>
      <c r="Q13" s="63"/>
      <c r="R13" s="63"/>
      <c r="S13" s="76"/>
      <c r="T13" s="76"/>
      <c r="U13" s="85"/>
      <c r="V13" s="85"/>
      <c r="W13" s="59" t="s">
        <v>67</v>
      </c>
      <c r="X13" s="61"/>
    </row>
    <row r="14" spans="2:24" ht="15.75" x14ac:dyDescent="0.25">
      <c r="B14" s="62"/>
      <c r="C14" s="59" t="s">
        <v>1</v>
      </c>
      <c r="D14" s="59" t="s">
        <v>51</v>
      </c>
      <c r="E14" s="59">
        <v>0</v>
      </c>
      <c r="F14" s="59">
        <v>100</v>
      </c>
      <c r="G14" s="59">
        <v>0</v>
      </c>
      <c r="H14" s="60"/>
      <c r="I14" s="59">
        <v>0</v>
      </c>
      <c r="J14" s="60" t="e">
        <f t="shared" si="0"/>
        <v>#DIV/0!</v>
      </c>
      <c r="K14" s="60">
        <f t="shared" si="1"/>
        <v>-100</v>
      </c>
      <c r="L14" s="59" t="s">
        <v>67</v>
      </c>
      <c r="M14" s="61"/>
      <c r="O14" s="62"/>
      <c r="P14" s="63" t="s">
        <v>70</v>
      </c>
      <c r="Q14" s="63"/>
      <c r="R14" s="63"/>
      <c r="S14" s="76"/>
      <c r="T14" s="76"/>
      <c r="U14" s="85"/>
      <c r="V14" s="85"/>
      <c r="W14" s="59" t="s">
        <v>67</v>
      </c>
      <c r="X14" s="77"/>
    </row>
    <row r="15" spans="2:24" ht="15.75" x14ac:dyDescent="0.25">
      <c r="B15" s="62"/>
      <c r="C15" s="59"/>
      <c r="D15" s="59"/>
      <c r="E15" s="59"/>
      <c r="F15" s="59"/>
      <c r="G15" s="59"/>
      <c r="H15" s="60"/>
      <c r="I15" s="59"/>
      <c r="J15" s="60"/>
      <c r="K15" s="60"/>
      <c r="L15" s="59"/>
      <c r="M15" s="61"/>
      <c r="O15" s="62"/>
      <c r="P15" s="63" t="s">
        <v>70</v>
      </c>
      <c r="Q15" s="63"/>
      <c r="R15" s="63"/>
      <c r="S15" s="76"/>
      <c r="T15" s="76"/>
      <c r="U15" s="85"/>
      <c r="V15" s="85"/>
      <c r="W15" s="59" t="s">
        <v>67</v>
      </c>
      <c r="X15" s="77"/>
    </row>
    <row r="16" spans="2:24" ht="15.75" x14ac:dyDescent="0.25">
      <c r="B16" s="62"/>
      <c r="C16" s="59"/>
      <c r="D16" s="59"/>
      <c r="E16" s="59"/>
      <c r="F16" s="59"/>
      <c r="G16" s="37"/>
      <c r="H16" s="60"/>
      <c r="I16" s="59"/>
      <c r="J16" s="60"/>
      <c r="K16" s="60"/>
      <c r="L16" s="59"/>
      <c r="M16" s="61"/>
      <c r="O16" s="62"/>
      <c r="P16" s="63" t="s">
        <v>70</v>
      </c>
      <c r="Q16" s="63"/>
      <c r="R16" s="63"/>
      <c r="S16" s="76"/>
      <c r="T16" s="76"/>
      <c r="U16" s="85"/>
      <c r="V16" s="85"/>
      <c r="W16" s="59" t="s">
        <v>67</v>
      </c>
      <c r="X16" s="77"/>
    </row>
    <row r="17" spans="2:24" ht="15.75" x14ac:dyDescent="0.25">
      <c r="B17" s="62"/>
      <c r="C17" s="59"/>
      <c r="D17" s="59"/>
      <c r="E17" s="59"/>
      <c r="F17" s="59"/>
      <c r="G17" s="59"/>
      <c r="H17" s="60"/>
      <c r="I17" s="59"/>
      <c r="J17" s="60"/>
      <c r="K17" s="60"/>
      <c r="L17" s="59"/>
      <c r="M17" s="61"/>
      <c r="O17" s="62"/>
      <c r="P17" s="63" t="s">
        <v>70</v>
      </c>
      <c r="Q17" s="63"/>
      <c r="R17" s="63"/>
      <c r="S17" s="76"/>
      <c r="T17" s="76"/>
      <c r="U17" s="85"/>
      <c r="V17" s="85"/>
      <c r="W17" s="59"/>
      <c r="X17" s="77"/>
    </row>
    <row r="18" spans="2:24" ht="15.75" x14ac:dyDescent="0.25">
      <c r="B18" s="58"/>
      <c r="C18" s="59"/>
      <c r="D18" s="59"/>
      <c r="E18" s="59"/>
      <c r="F18" s="59"/>
      <c r="G18" s="37"/>
      <c r="H18" s="60"/>
      <c r="I18" s="59"/>
      <c r="J18" s="60"/>
      <c r="K18" s="60"/>
      <c r="L18" s="59"/>
      <c r="M18" s="61"/>
      <c r="O18" s="75"/>
      <c r="P18" s="63"/>
      <c r="Q18" s="63"/>
      <c r="R18" s="63"/>
      <c r="S18" s="76"/>
      <c r="T18" s="76"/>
      <c r="U18" s="85"/>
      <c r="V18" s="85"/>
      <c r="W18" s="59"/>
      <c r="X18" s="77"/>
    </row>
    <row r="19" spans="2:24" ht="15.75" x14ac:dyDescent="0.25">
      <c r="B19" s="58"/>
      <c r="C19" s="59"/>
      <c r="D19" s="59"/>
      <c r="E19" s="59"/>
      <c r="F19" s="59"/>
      <c r="G19" s="37"/>
      <c r="H19" s="60"/>
      <c r="I19" s="59"/>
      <c r="J19" s="60"/>
      <c r="K19" s="60"/>
      <c r="L19" s="59"/>
      <c r="M19" s="61"/>
      <c r="O19" s="78"/>
      <c r="P19" s="63"/>
      <c r="Q19" s="63"/>
      <c r="R19" s="63"/>
      <c r="S19" s="76"/>
      <c r="T19" s="76"/>
      <c r="U19" s="85"/>
      <c r="V19" s="85"/>
      <c r="W19" s="59"/>
      <c r="X19" s="77"/>
    </row>
    <row r="20" spans="2:24" ht="15.75" x14ac:dyDescent="0.25">
      <c r="B20" s="58"/>
      <c r="C20" s="59"/>
      <c r="D20" s="59"/>
      <c r="E20" s="59"/>
      <c r="F20" s="59"/>
      <c r="G20" s="37"/>
      <c r="H20" s="60"/>
      <c r="I20" s="59"/>
      <c r="J20" s="60"/>
      <c r="K20" s="60"/>
      <c r="L20" s="59"/>
      <c r="M20" s="61"/>
      <c r="O20" s="78"/>
      <c r="P20" s="63"/>
      <c r="Q20" s="63"/>
      <c r="R20" s="63"/>
      <c r="S20" s="76"/>
      <c r="T20" s="76"/>
      <c r="U20" s="85"/>
      <c r="V20" s="85"/>
      <c r="W20" s="59"/>
      <c r="X20" s="77"/>
    </row>
    <row r="21" spans="2:24" ht="15.75" thickBot="1" x14ac:dyDescent="0.3">
      <c r="B21" s="44"/>
      <c r="C21" s="220" t="s">
        <v>25</v>
      </c>
      <c r="D21" s="220"/>
      <c r="E21" s="220"/>
      <c r="F21" s="220"/>
      <c r="G21" s="220"/>
      <c r="H21" s="220"/>
      <c r="I21" s="45">
        <f>COUNT(B8:B20)</f>
        <v>3</v>
      </c>
      <c r="J21" s="46"/>
      <c r="K21" s="46"/>
      <c r="L21" s="47"/>
      <c r="M21" s="48"/>
      <c r="O21" s="79"/>
      <c r="P21" s="219" t="s">
        <v>84</v>
      </c>
      <c r="Q21" s="219"/>
      <c r="R21" s="219"/>
      <c r="S21" s="219"/>
      <c r="T21" s="80">
        <f>COUNT(O8:O20)</f>
        <v>3</v>
      </c>
      <c r="U21" s="87"/>
      <c r="V21" s="87"/>
      <c r="W21" s="81"/>
      <c r="X21" s="82"/>
    </row>
    <row r="22" spans="2:24" x14ac:dyDescent="0.25">
      <c r="C22" s="23"/>
      <c r="D22" s="23"/>
      <c r="E22" s="23"/>
      <c r="F22" s="23"/>
      <c r="G22" s="23"/>
      <c r="H22" s="102"/>
      <c r="J22" s="22"/>
      <c r="K22" s="22"/>
      <c r="S22" s="25"/>
      <c r="T22" s="25"/>
      <c r="U22" s="83"/>
      <c r="V22" s="83"/>
      <c r="W22" s="25"/>
      <c r="X22" s="25"/>
    </row>
    <row r="23" spans="2:24" ht="15.75" thickBot="1" x14ac:dyDescent="0.3">
      <c r="J23" s="22"/>
      <c r="K23" s="22"/>
      <c r="S23" s="25"/>
      <c r="T23" s="25"/>
      <c r="U23" s="83"/>
      <c r="V23" s="83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1" t="s">
        <v>2</v>
      </c>
      <c r="H24" s="221"/>
      <c r="I24" s="40"/>
      <c r="J24" s="51"/>
      <c r="K24" s="51"/>
      <c r="L24" s="40"/>
      <c r="M24" s="41"/>
      <c r="O24" s="67"/>
      <c r="P24" s="68"/>
      <c r="Q24" s="68"/>
      <c r="R24" s="68"/>
      <c r="S24" s="207"/>
      <c r="T24" s="68"/>
      <c r="U24" s="84"/>
      <c r="V24" s="84"/>
      <c r="W24" s="68"/>
      <c r="X24" s="69"/>
    </row>
    <row r="25" spans="2:24" s="54" customFormat="1" x14ac:dyDescent="0.25">
      <c r="B25" s="118"/>
      <c r="C25" s="119"/>
      <c r="D25" s="119"/>
      <c r="E25" s="119"/>
      <c r="F25" s="119"/>
      <c r="G25" s="120"/>
      <c r="H25" s="120"/>
      <c r="I25" s="120"/>
      <c r="J25" s="121"/>
      <c r="K25" s="121"/>
      <c r="L25" s="120"/>
      <c r="M25" s="122"/>
      <c r="O25" s="70"/>
      <c r="P25" s="63"/>
      <c r="Q25" s="63"/>
      <c r="R25" s="63"/>
      <c r="S25" s="63"/>
      <c r="T25" s="63"/>
      <c r="U25" s="85"/>
      <c r="V25" s="85"/>
      <c r="W25" s="63"/>
      <c r="X25" s="71"/>
    </row>
    <row r="26" spans="2:24" s="24" customFormat="1" ht="15.75" x14ac:dyDescent="0.3">
      <c r="B26" s="91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1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2" t="s">
        <v>10</v>
      </c>
      <c r="P26" s="73" t="s">
        <v>11</v>
      </c>
      <c r="Q26" s="73" t="s">
        <v>76</v>
      </c>
      <c r="R26" s="73" t="s">
        <v>39</v>
      </c>
      <c r="S26" s="73" t="s">
        <v>72</v>
      </c>
      <c r="T26" s="73" t="s">
        <v>73</v>
      </c>
      <c r="U26" s="86" t="s">
        <v>74</v>
      </c>
      <c r="V26" s="86" t="s">
        <v>75</v>
      </c>
      <c r="W26" s="73" t="s">
        <v>5</v>
      </c>
      <c r="X26" s="74" t="s">
        <v>20</v>
      </c>
    </row>
    <row r="27" spans="2:24" s="24" customFormat="1" ht="15.75" x14ac:dyDescent="0.25">
      <c r="B27" s="62">
        <v>44988.072916666664</v>
      </c>
      <c r="C27" s="59" t="s">
        <v>68</v>
      </c>
      <c r="D27" s="59" t="s">
        <v>51</v>
      </c>
      <c r="E27" s="59">
        <v>0</v>
      </c>
      <c r="F27" s="59">
        <v>200</v>
      </c>
      <c r="G27" s="59"/>
      <c r="H27" s="59">
        <v>215.4</v>
      </c>
      <c r="I27" s="59">
        <v>0</v>
      </c>
      <c r="J27" s="60">
        <f>F27/H27</f>
        <v>0.92850510677808729</v>
      </c>
      <c r="K27" s="60">
        <f>(H27-F27)*100/F27</f>
        <v>7.700000000000002</v>
      </c>
      <c r="L27" s="59" t="s">
        <v>67</v>
      </c>
      <c r="M27" s="77" t="s">
        <v>215</v>
      </c>
      <c r="O27" s="62">
        <v>44988.472222222219</v>
      </c>
      <c r="P27" s="63" t="s">
        <v>71</v>
      </c>
      <c r="Q27" s="63">
        <v>4783.6899999999996</v>
      </c>
      <c r="R27" s="63">
        <v>3621.89</v>
      </c>
      <c r="S27" s="76" t="s">
        <v>532</v>
      </c>
      <c r="T27" s="76">
        <v>845.68</v>
      </c>
      <c r="U27" s="85">
        <v>0.89229999999999998</v>
      </c>
      <c r="V27" s="85">
        <v>0.88100000000000001</v>
      </c>
      <c r="W27" s="59" t="s">
        <v>67</v>
      </c>
      <c r="X27" s="77" t="s">
        <v>215</v>
      </c>
    </row>
    <row r="28" spans="2:24" s="24" customFormat="1" ht="15.75" x14ac:dyDescent="0.25">
      <c r="B28" s="62">
        <v>45000.510416666664</v>
      </c>
      <c r="C28" s="59" t="s">
        <v>68</v>
      </c>
      <c r="D28" s="59" t="s">
        <v>51</v>
      </c>
      <c r="E28" s="59">
        <v>0</v>
      </c>
      <c r="F28" s="59">
        <v>500</v>
      </c>
      <c r="G28" s="59"/>
      <c r="H28" s="60">
        <v>525.29999999999995</v>
      </c>
      <c r="I28" s="59">
        <v>0</v>
      </c>
      <c r="J28" s="60">
        <f t="shared" ref="J28:J33" si="2">F28/H28</f>
        <v>0.9518370454978109</v>
      </c>
      <c r="K28" s="60">
        <f t="shared" ref="K28:K33" si="3">(H28-F28)*100/F28</f>
        <v>5.0599999999999907</v>
      </c>
      <c r="L28" s="59" t="s">
        <v>67</v>
      </c>
      <c r="M28" s="61" t="s">
        <v>1688</v>
      </c>
      <c r="O28" s="62">
        <v>44998.481249999997</v>
      </c>
      <c r="P28" s="63" t="s">
        <v>71</v>
      </c>
      <c r="Q28" s="63">
        <v>4163.09</v>
      </c>
      <c r="R28" s="63">
        <v>3232.84</v>
      </c>
      <c r="S28" s="76" t="s">
        <v>532</v>
      </c>
      <c r="T28" s="76">
        <v>844.6</v>
      </c>
      <c r="U28" s="85">
        <v>0.98150000000000004</v>
      </c>
      <c r="V28" s="85">
        <v>0.98429999999999995</v>
      </c>
      <c r="W28" s="59" t="s">
        <v>67</v>
      </c>
      <c r="X28" s="61" t="s">
        <v>215</v>
      </c>
    </row>
    <row r="29" spans="2:24" s="24" customFormat="1" ht="15.75" x14ac:dyDescent="0.25">
      <c r="B29" s="62">
        <v>45012.138888888891</v>
      </c>
      <c r="C29" s="59" t="s">
        <v>68</v>
      </c>
      <c r="D29" s="59" t="s">
        <v>51</v>
      </c>
      <c r="E29" s="59">
        <v>0</v>
      </c>
      <c r="F29" s="59">
        <v>200</v>
      </c>
      <c r="G29" s="59"/>
      <c r="H29" s="60">
        <v>201.03</v>
      </c>
      <c r="I29" s="59">
        <v>0</v>
      </c>
      <c r="J29" s="60">
        <f t="shared" si="2"/>
        <v>0.99487638660896383</v>
      </c>
      <c r="K29" s="60">
        <f t="shared" si="3"/>
        <v>0.51500000000000057</v>
      </c>
      <c r="L29" s="59" t="s">
        <v>67</v>
      </c>
      <c r="M29" s="61" t="s">
        <v>240</v>
      </c>
      <c r="O29" s="62">
        <v>45012.486111111109</v>
      </c>
      <c r="P29" s="63" t="s">
        <v>71</v>
      </c>
      <c r="Q29" s="63">
        <v>4165.03</v>
      </c>
      <c r="R29" s="63">
        <v>3224.36</v>
      </c>
      <c r="S29" s="76" t="s">
        <v>532</v>
      </c>
      <c r="T29" s="76">
        <v>848.11</v>
      </c>
      <c r="U29" s="85">
        <v>0.98429999999999995</v>
      </c>
      <c r="V29" s="85">
        <v>0.98299999999999998</v>
      </c>
      <c r="W29" s="59" t="s">
        <v>67</v>
      </c>
      <c r="X29" s="61" t="s">
        <v>215</v>
      </c>
    </row>
    <row r="30" spans="2:24" s="24" customFormat="1" ht="15.75" x14ac:dyDescent="0.25">
      <c r="B30" s="62"/>
      <c r="C30" s="59" t="s">
        <v>68</v>
      </c>
      <c r="D30" s="59" t="s">
        <v>51</v>
      </c>
      <c r="E30" s="59">
        <v>0</v>
      </c>
      <c r="F30" s="59">
        <v>200</v>
      </c>
      <c r="G30" s="59"/>
      <c r="H30" s="60"/>
      <c r="I30" s="59">
        <v>0</v>
      </c>
      <c r="J30" s="60" t="e">
        <f t="shared" si="2"/>
        <v>#DIV/0!</v>
      </c>
      <c r="K30" s="60">
        <f t="shared" si="3"/>
        <v>-100</v>
      </c>
      <c r="L30" s="59" t="s">
        <v>67</v>
      </c>
      <c r="M30" s="61" t="s">
        <v>240</v>
      </c>
      <c r="O30" s="62"/>
      <c r="P30" s="63" t="s">
        <v>71</v>
      </c>
      <c r="Q30" s="63"/>
      <c r="R30" s="63"/>
      <c r="S30" s="76" t="s">
        <v>532</v>
      </c>
      <c r="T30" s="76"/>
      <c r="U30" s="85"/>
      <c r="V30" s="85"/>
      <c r="W30" s="59" t="s">
        <v>67</v>
      </c>
      <c r="X30" s="61"/>
    </row>
    <row r="31" spans="2:24" s="24" customFormat="1" ht="15.75" x14ac:dyDescent="0.25">
      <c r="B31" s="62"/>
      <c r="C31" s="59" t="s">
        <v>68</v>
      </c>
      <c r="D31" s="59" t="s">
        <v>51</v>
      </c>
      <c r="E31" s="59">
        <v>0</v>
      </c>
      <c r="F31" s="59">
        <v>200</v>
      </c>
      <c r="G31" s="59"/>
      <c r="H31" s="60"/>
      <c r="I31" s="59">
        <v>0</v>
      </c>
      <c r="J31" s="60" t="e">
        <f t="shared" si="2"/>
        <v>#DIV/0!</v>
      </c>
      <c r="K31" s="60">
        <f t="shared" si="3"/>
        <v>-100</v>
      </c>
      <c r="L31" s="59" t="s">
        <v>67</v>
      </c>
      <c r="M31" s="61"/>
      <c r="O31" s="62"/>
      <c r="P31" s="63" t="s">
        <v>71</v>
      </c>
      <c r="Q31" s="63"/>
      <c r="R31" s="63"/>
      <c r="S31" s="76"/>
      <c r="T31" s="76"/>
      <c r="U31" s="85"/>
      <c r="V31" s="85"/>
      <c r="W31" s="59" t="s">
        <v>67</v>
      </c>
      <c r="X31" s="61"/>
    </row>
    <row r="32" spans="2:24" s="24" customFormat="1" ht="15.75" x14ac:dyDescent="0.25">
      <c r="B32" s="62"/>
      <c r="C32" s="59" t="s">
        <v>68</v>
      </c>
      <c r="D32" s="59" t="s">
        <v>51</v>
      </c>
      <c r="E32" s="59">
        <v>0</v>
      </c>
      <c r="F32" s="59">
        <v>200</v>
      </c>
      <c r="G32" s="59"/>
      <c r="H32" s="60"/>
      <c r="I32" s="59">
        <v>0</v>
      </c>
      <c r="J32" s="60" t="e">
        <f t="shared" si="2"/>
        <v>#DIV/0!</v>
      </c>
      <c r="K32" s="60">
        <f t="shared" si="3"/>
        <v>-100</v>
      </c>
      <c r="L32" s="59" t="s">
        <v>67</v>
      </c>
      <c r="M32" s="61"/>
      <c r="O32" s="62"/>
      <c r="P32" s="63" t="s">
        <v>71</v>
      </c>
      <c r="Q32" s="63"/>
      <c r="R32" s="63"/>
      <c r="S32" s="76"/>
      <c r="T32" s="76"/>
      <c r="U32" s="85"/>
      <c r="V32" s="85"/>
      <c r="W32" s="59" t="s">
        <v>67</v>
      </c>
      <c r="X32" s="61"/>
    </row>
    <row r="33" spans="2:24" s="24" customFormat="1" ht="15.75" x14ac:dyDescent="0.25">
      <c r="B33" s="62"/>
      <c r="C33" s="59" t="s">
        <v>68</v>
      </c>
      <c r="D33" s="59" t="s">
        <v>51</v>
      </c>
      <c r="E33" s="59">
        <v>0</v>
      </c>
      <c r="F33" s="59"/>
      <c r="G33" s="59"/>
      <c r="H33" s="60"/>
      <c r="I33" s="59">
        <v>0</v>
      </c>
      <c r="J33" s="60" t="e">
        <f t="shared" si="2"/>
        <v>#DIV/0!</v>
      </c>
      <c r="K33" s="60" t="e">
        <f t="shared" si="3"/>
        <v>#DIV/0!</v>
      </c>
      <c r="L33" s="59" t="s">
        <v>67</v>
      </c>
      <c r="M33" s="61"/>
      <c r="O33" s="62"/>
      <c r="P33" s="63" t="s">
        <v>71</v>
      </c>
      <c r="Q33" s="63"/>
      <c r="R33" s="63"/>
      <c r="S33" s="76"/>
      <c r="T33" s="76"/>
      <c r="U33" s="85"/>
      <c r="V33" s="85"/>
      <c r="W33" s="59" t="s">
        <v>67</v>
      </c>
      <c r="X33" s="77"/>
    </row>
    <row r="34" spans="2:24" s="24" customFormat="1" ht="15.75" x14ac:dyDescent="0.25">
      <c r="B34" s="62"/>
      <c r="C34" s="59"/>
      <c r="D34" s="59"/>
      <c r="E34" s="59"/>
      <c r="F34" s="59"/>
      <c r="G34" s="59"/>
      <c r="H34" s="60"/>
      <c r="I34" s="59"/>
      <c r="J34" s="60"/>
      <c r="K34" s="60"/>
      <c r="L34" s="59"/>
      <c r="M34" s="61"/>
      <c r="N34" s="54"/>
      <c r="O34" s="62"/>
      <c r="P34" s="63" t="s">
        <v>71</v>
      </c>
      <c r="Q34" s="63"/>
      <c r="R34" s="63"/>
      <c r="S34" s="76"/>
      <c r="T34" s="76"/>
      <c r="U34" s="85"/>
      <c r="V34" s="85"/>
      <c r="W34" s="59" t="s">
        <v>67</v>
      </c>
      <c r="X34" s="77"/>
    </row>
    <row r="35" spans="2:24" s="24" customFormat="1" ht="15.75" x14ac:dyDescent="0.25">
      <c r="B35" s="62"/>
      <c r="C35" s="59"/>
      <c r="D35" s="59"/>
      <c r="E35" s="59"/>
      <c r="F35" s="59"/>
      <c r="G35" s="37"/>
      <c r="H35" s="60"/>
      <c r="I35" s="59"/>
      <c r="J35" s="60"/>
      <c r="K35" s="60"/>
      <c r="L35" s="59"/>
      <c r="M35" s="61"/>
      <c r="O35" s="62"/>
      <c r="P35" s="63" t="s">
        <v>71</v>
      </c>
      <c r="Q35" s="63"/>
      <c r="R35" s="63"/>
      <c r="S35" s="76"/>
      <c r="T35" s="76"/>
      <c r="U35" s="85"/>
      <c r="V35" s="85"/>
      <c r="W35" s="59" t="s">
        <v>67</v>
      </c>
      <c r="X35" s="77"/>
    </row>
    <row r="36" spans="2:24" s="24" customFormat="1" ht="15.75" x14ac:dyDescent="0.25">
      <c r="B36" s="62"/>
      <c r="C36" s="59"/>
      <c r="D36" s="59"/>
      <c r="E36" s="59"/>
      <c r="F36" s="59"/>
      <c r="G36" s="59"/>
      <c r="H36" s="60"/>
      <c r="I36" s="59"/>
      <c r="J36" s="60"/>
      <c r="K36" s="60"/>
      <c r="L36" s="59"/>
      <c r="M36" s="61"/>
      <c r="O36" s="62"/>
      <c r="P36" s="63" t="s">
        <v>71</v>
      </c>
      <c r="Q36" s="63"/>
      <c r="R36" s="63"/>
      <c r="S36" s="76"/>
      <c r="T36" s="76"/>
      <c r="U36" s="85"/>
      <c r="V36" s="85"/>
      <c r="W36" s="59"/>
      <c r="X36" s="77"/>
    </row>
    <row r="37" spans="2:24" s="24" customFormat="1" ht="15.75" x14ac:dyDescent="0.25">
      <c r="B37" s="58"/>
      <c r="C37" s="59"/>
      <c r="D37" s="59"/>
      <c r="E37" s="59"/>
      <c r="F37" s="59"/>
      <c r="G37" s="37"/>
      <c r="H37" s="60"/>
      <c r="I37" s="59"/>
      <c r="J37" s="60"/>
      <c r="K37" s="60"/>
      <c r="L37" s="59"/>
      <c r="M37" s="61"/>
      <c r="O37" s="75"/>
      <c r="P37" s="63" t="s">
        <v>71</v>
      </c>
      <c r="Q37" s="63"/>
      <c r="R37" s="63"/>
      <c r="S37" s="76"/>
      <c r="T37" s="76"/>
      <c r="U37" s="85"/>
      <c r="V37" s="85"/>
      <c r="W37" s="59"/>
      <c r="X37" s="77"/>
    </row>
    <row r="38" spans="2:24" s="24" customFormat="1" ht="15.75" x14ac:dyDescent="0.25">
      <c r="B38" s="58"/>
      <c r="C38" s="59"/>
      <c r="D38" s="59"/>
      <c r="E38" s="59"/>
      <c r="F38" s="59"/>
      <c r="G38" s="37"/>
      <c r="H38" s="60"/>
      <c r="I38" s="59"/>
      <c r="J38" s="60"/>
      <c r="K38" s="60"/>
      <c r="L38" s="59"/>
      <c r="M38" s="61"/>
      <c r="O38" s="78"/>
      <c r="P38" s="63"/>
      <c r="Q38" s="63"/>
      <c r="R38" s="63"/>
      <c r="S38" s="76"/>
      <c r="T38" s="76"/>
      <c r="U38" s="85"/>
      <c r="V38" s="85"/>
      <c r="W38" s="59"/>
      <c r="X38" s="77"/>
    </row>
    <row r="39" spans="2:24" s="24" customFormat="1" ht="15.75" x14ac:dyDescent="0.25">
      <c r="B39" s="58"/>
      <c r="C39" s="59"/>
      <c r="D39" s="59"/>
      <c r="E39" s="59"/>
      <c r="F39" s="59"/>
      <c r="G39" s="37"/>
      <c r="H39" s="60"/>
      <c r="I39" s="59"/>
      <c r="J39" s="60"/>
      <c r="K39" s="60"/>
      <c r="L39" s="59"/>
      <c r="M39" s="61"/>
      <c r="O39" s="78"/>
      <c r="P39" s="63"/>
      <c r="Q39" s="63"/>
      <c r="R39" s="63"/>
      <c r="S39" s="76"/>
      <c r="T39" s="76"/>
      <c r="U39" s="85"/>
      <c r="V39" s="85"/>
      <c r="W39" s="59"/>
      <c r="X39" s="77"/>
    </row>
    <row r="40" spans="2:24" s="24" customFormat="1" ht="16.5" thickBot="1" x14ac:dyDescent="0.3">
      <c r="B40" s="43"/>
      <c r="C40" s="59"/>
      <c r="D40" s="59"/>
      <c r="E40" s="59"/>
      <c r="F40" s="59"/>
      <c r="G40" s="37"/>
      <c r="H40" s="60"/>
      <c r="I40" s="59"/>
      <c r="J40" s="60"/>
      <c r="K40" s="60"/>
      <c r="L40" s="59"/>
      <c r="M40" s="61"/>
      <c r="O40" s="79"/>
      <c r="P40" s="219" t="s">
        <v>85</v>
      </c>
      <c r="Q40" s="219"/>
      <c r="R40" s="219"/>
      <c r="S40" s="219"/>
      <c r="T40" s="80">
        <f>COUNT(O27:O39)</f>
        <v>3</v>
      </c>
      <c r="U40" s="87"/>
      <c r="V40" s="87"/>
      <c r="W40" s="81"/>
      <c r="X40" s="82"/>
    </row>
    <row r="41" spans="2:24" s="24" customFormat="1" ht="15.75" thickBot="1" x14ac:dyDescent="0.3">
      <c r="B41" s="44"/>
      <c r="C41" s="47"/>
      <c r="D41" s="220" t="s">
        <v>26</v>
      </c>
      <c r="E41" s="220"/>
      <c r="F41" s="220"/>
      <c r="G41" s="220"/>
      <c r="H41" s="220"/>
      <c r="I41" s="220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3"/>
      <c r="V41" s="83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3"/>
      <c r="T42" s="83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1" t="s">
        <v>23</v>
      </c>
      <c r="H44" s="221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0"/>
      <c r="I45" s="37"/>
      <c r="J45" s="39"/>
      <c r="K45" s="39"/>
      <c r="L45" s="37"/>
      <c r="M45" s="42"/>
      <c r="O45" s="25"/>
      <c r="P45" s="25"/>
      <c r="Q45" s="25"/>
      <c r="R45" s="25"/>
      <c r="S45" s="83"/>
      <c r="T45" s="83"/>
      <c r="U45" s="25"/>
      <c r="V45" s="25"/>
    </row>
    <row r="46" spans="2:24" s="24" customFormat="1" ht="15.75" x14ac:dyDescent="0.3">
      <c r="B46" s="91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1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3"/>
      <c r="T46" s="83"/>
      <c r="U46" s="25"/>
      <c r="V46" s="25"/>
    </row>
    <row r="47" spans="2:24" s="24" customFormat="1" ht="15.75" x14ac:dyDescent="0.25">
      <c r="B47" s="62"/>
      <c r="C47" s="59" t="s">
        <v>23</v>
      </c>
      <c r="D47" s="59" t="s">
        <v>51</v>
      </c>
      <c r="E47" s="59">
        <v>0</v>
      </c>
      <c r="F47" s="59">
        <v>300</v>
      </c>
      <c r="G47" s="59">
        <v>0</v>
      </c>
      <c r="H47" s="60"/>
      <c r="I47" s="59">
        <v>0</v>
      </c>
      <c r="J47" s="60" t="e">
        <f>F47/H47</f>
        <v>#DIV/0!</v>
      </c>
      <c r="K47" s="60">
        <f>(H47-F47)*100/F47</f>
        <v>-100</v>
      </c>
      <c r="L47" s="59" t="s">
        <v>67</v>
      </c>
      <c r="M47" s="61" t="s">
        <v>239</v>
      </c>
      <c r="O47" s="25"/>
      <c r="P47" s="25"/>
      <c r="Q47" s="25"/>
      <c r="R47" s="25"/>
      <c r="S47" s="83"/>
      <c r="T47" s="83"/>
      <c r="U47" s="25"/>
      <c r="V47" s="25"/>
    </row>
    <row r="48" spans="2:24" s="24" customFormat="1" ht="15.75" x14ac:dyDescent="0.25">
      <c r="B48" s="62"/>
      <c r="C48" s="59" t="s">
        <v>23</v>
      </c>
      <c r="D48" s="59" t="s">
        <v>51</v>
      </c>
      <c r="E48" s="59">
        <v>0</v>
      </c>
      <c r="F48" s="59">
        <v>300</v>
      </c>
      <c r="G48" s="59">
        <v>1.2</v>
      </c>
      <c r="H48" s="60"/>
      <c r="I48" s="59">
        <v>0</v>
      </c>
      <c r="J48" s="60" t="e">
        <f>F48/H48</f>
        <v>#DIV/0!</v>
      </c>
      <c r="K48" s="60">
        <f>(H48-F48)*100/F48</f>
        <v>-100</v>
      </c>
      <c r="L48" s="59" t="s">
        <v>67</v>
      </c>
      <c r="M48" s="61"/>
      <c r="O48" s="25"/>
      <c r="P48" s="25"/>
      <c r="Q48" s="25"/>
      <c r="R48" s="25"/>
      <c r="S48" s="83"/>
      <c r="T48" s="83"/>
      <c r="U48" s="25"/>
      <c r="V48" s="25"/>
    </row>
    <row r="49" spans="2:22" s="24" customFormat="1" ht="15.75" x14ac:dyDescent="0.25">
      <c r="B49" s="62"/>
      <c r="C49" s="59" t="s">
        <v>23</v>
      </c>
      <c r="D49" s="59" t="s">
        <v>51</v>
      </c>
      <c r="E49" s="59">
        <v>0</v>
      </c>
      <c r="F49" s="59"/>
      <c r="G49" s="59">
        <v>0</v>
      </c>
      <c r="H49" s="60"/>
      <c r="I49" s="59">
        <v>0</v>
      </c>
      <c r="J49" s="60" t="e">
        <f>F49/H49</f>
        <v>#DIV/0!</v>
      </c>
      <c r="K49" s="60" t="e">
        <f>(H49-F49)*100/F49</f>
        <v>#DIV/0!</v>
      </c>
      <c r="L49" s="59" t="s">
        <v>67</v>
      </c>
      <c r="M49" s="61"/>
      <c r="O49" s="25"/>
      <c r="P49" s="25"/>
      <c r="Q49" s="25"/>
      <c r="R49" s="25"/>
      <c r="S49" s="83"/>
      <c r="T49" s="83"/>
      <c r="U49" s="25"/>
      <c r="V49" s="25"/>
    </row>
    <row r="50" spans="2:22" s="24" customFormat="1" ht="15.75" x14ac:dyDescent="0.25">
      <c r="B50" s="62"/>
      <c r="C50" s="59" t="s">
        <v>23</v>
      </c>
      <c r="D50" s="59" t="s">
        <v>51</v>
      </c>
      <c r="E50" s="59">
        <v>0</v>
      </c>
      <c r="F50" s="59"/>
      <c r="G50" s="59">
        <v>0</v>
      </c>
      <c r="H50" s="60"/>
      <c r="I50" s="59">
        <v>0</v>
      </c>
      <c r="J50" s="60" t="e">
        <f>F50/H50</f>
        <v>#DIV/0!</v>
      </c>
      <c r="K50" s="60" t="e">
        <f>(H50-F50)*100/F50</f>
        <v>#DIV/0!</v>
      </c>
      <c r="L50" s="59" t="s">
        <v>67</v>
      </c>
      <c r="M50" s="61"/>
      <c r="O50" s="25"/>
      <c r="P50" s="25"/>
      <c r="Q50" s="25"/>
      <c r="R50" s="25"/>
      <c r="S50" s="83"/>
      <c r="T50" s="83"/>
      <c r="U50" s="25"/>
      <c r="V50" s="25"/>
    </row>
    <row r="51" spans="2:22" s="24" customFormat="1" ht="15.75" x14ac:dyDescent="0.25">
      <c r="B51" s="62"/>
      <c r="C51" s="59" t="s">
        <v>23</v>
      </c>
      <c r="D51" s="59" t="s">
        <v>51</v>
      </c>
      <c r="E51" s="59">
        <v>0</v>
      </c>
      <c r="F51" s="59"/>
      <c r="G51" s="59">
        <v>0</v>
      </c>
      <c r="H51" s="60"/>
      <c r="I51" s="59">
        <v>0</v>
      </c>
      <c r="J51" s="60" t="e">
        <f>F51/H51</f>
        <v>#DIV/0!</v>
      </c>
      <c r="K51" s="60" t="e">
        <f>(H51-F51)*100/F51</f>
        <v>#DIV/0!</v>
      </c>
      <c r="L51" s="59" t="s">
        <v>67</v>
      </c>
      <c r="M51" s="61"/>
      <c r="O51" s="25"/>
      <c r="P51" s="25"/>
      <c r="Q51" s="25"/>
      <c r="R51" s="25"/>
      <c r="S51" s="83"/>
      <c r="T51" s="83"/>
      <c r="U51" s="25"/>
      <c r="V51" s="25"/>
    </row>
    <row r="52" spans="2:22" s="24" customFormat="1" ht="15.75" x14ac:dyDescent="0.25">
      <c r="B52" s="58"/>
      <c r="C52" s="59"/>
      <c r="D52" s="59"/>
      <c r="E52" s="59"/>
      <c r="F52" s="59"/>
      <c r="G52" s="59"/>
      <c r="H52" s="60"/>
      <c r="I52" s="59"/>
      <c r="J52" s="60"/>
      <c r="K52" s="60"/>
      <c r="L52" s="59"/>
      <c r="M52" s="61"/>
      <c r="O52" s="25"/>
      <c r="P52" s="25"/>
      <c r="Q52" s="25"/>
      <c r="R52" s="25"/>
      <c r="S52" s="83"/>
      <c r="T52" s="83"/>
      <c r="U52" s="25"/>
      <c r="V52" s="25"/>
    </row>
    <row r="53" spans="2:22" s="24" customFormat="1" ht="15.75" x14ac:dyDescent="0.25">
      <c r="B53" s="58"/>
      <c r="C53" s="59"/>
      <c r="D53" s="59"/>
      <c r="E53" s="59"/>
      <c r="F53" s="59"/>
      <c r="G53" s="59"/>
      <c r="H53" s="60"/>
      <c r="I53" s="59"/>
      <c r="J53" s="60"/>
      <c r="K53" s="60"/>
      <c r="L53" s="59"/>
      <c r="M53" s="61"/>
      <c r="O53" s="25"/>
      <c r="P53" s="25"/>
      <c r="Q53" s="25"/>
      <c r="R53" s="25"/>
      <c r="S53" s="83"/>
      <c r="T53" s="83"/>
      <c r="U53" s="25"/>
      <c r="V53" s="25"/>
    </row>
    <row r="54" spans="2:22" s="24" customFormat="1" ht="15.75" x14ac:dyDescent="0.25">
      <c r="B54" s="58"/>
      <c r="C54" s="59"/>
      <c r="D54" s="59"/>
      <c r="E54" s="59"/>
      <c r="F54" s="59"/>
      <c r="G54" s="59"/>
      <c r="H54" s="60"/>
      <c r="I54" s="59"/>
      <c r="J54" s="60"/>
      <c r="K54" s="60"/>
      <c r="L54" s="59"/>
      <c r="M54" s="61"/>
      <c r="O54" s="25"/>
      <c r="P54" s="25"/>
      <c r="Q54" s="25"/>
      <c r="R54" s="25"/>
      <c r="S54" s="83"/>
      <c r="T54" s="83"/>
      <c r="U54" s="25"/>
      <c r="V54" s="25"/>
    </row>
    <row r="55" spans="2:22" s="24" customFormat="1" ht="15.75" x14ac:dyDescent="0.25">
      <c r="B55" s="58"/>
      <c r="C55" s="59"/>
      <c r="D55" s="59"/>
      <c r="E55" s="59"/>
      <c r="F55" s="59"/>
      <c r="G55" s="37"/>
      <c r="H55" s="60"/>
      <c r="I55" s="59"/>
      <c r="J55" s="60"/>
      <c r="K55" s="60"/>
      <c r="L55" s="59"/>
      <c r="M55" s="61"/>
      <c r="O55" s="25"/>
      <c r="P55" s="25"/>
      <c r="Q55" s="25"/>
      <c r="R55" s="25"/>
      <c r="S55" s="83"/>
      <c r="T55" s="83"/>
      <c r="U55" s="25"/>
      <c r="V55" s="25"/>
    </row>
    <row r="56" spans="2:22" s="24" customFormat="1" ht="15.75" x14ac:dyDescent="0.25">
      <c r="B56" s="58"/>
      <c r="C56" s="59"/>
      <c r="D56" s="59"/>
      <c r="E56" s="59"/>
      <c r="F56" s="59"/>
      <c r="G56" s="37"/>
      <c r="H56" s="60"/>
      <c r="I56" s="59"/>
      <c r="J56" s="60"/>
      <c r="K56" s="60"/>
      <c r="L56" s="59"/>
      <c r="M56" s="61"/>
      <c r="O56" s="25"/>
      <c r="P56" s="25"/>
      <c r="Q56" s="25"/>
      <c r="R56" s="25"/>
      <c r="S56" s="83"/>
      <c r="T56" s="83"/>
      <c r="U56" s="25"/>
      <c r="V56" s="25"/>
    </row>
    <row r="57" spans="2:22" s="24" customFormat="1" ht="15.75" x14ac:dyDescent="0.25">
      <c r="B57" s="58"/>
      <c r="C57" s="59"/>
      <c r="D57" s="59"/>
      <c r="E57" s="59"/>
      <c r="F57" s="59"/>
      <c r="G57" s="37"/>
      <c r="H57" s="60"/>
      <c r="I57" s="59"/>
      <c r="J57" s="60"/>
      <c r="K57" s="60"/>
      <c r="L57" s="59"/>
      <c r="M57" s="61"/>
      <c r="O57" s="25"/>
      <c r="P57" s="25"/>
      <c r="Q57" s="25"/>
      <c r="R57" s="25"/>
      <c r="S57" s="83"/>
      <c r="T57" s="83"/>
      <c r="U57" s="25"/>
      <c r="V57" s="25"/>
    </row>
    <row r="58" spans="2:22" s="24" customFormat="1" ht="15.75" x14ac:dyDescent="0.25">
      <c r="B58" s="58"/>
      <c r="C58" s="59"/>
      <c r="D58" s="59"/>
      <c r="E58" s="59"/>
      <c r="F58" s="59"/>
      <c r="G58" s="37"/>
      <c r="H58" s="60"/>
      <c r="I58" s="59"/>
      <c r="J58" s="60"/>
      <c r="K58" s="60"/>
      <c r="L58" s="59"/>
      <c r="M58" s="61"/>
      <c r="O58" s="25"/>
      <c r="P58" s="25"/>
      <c r="Q58" s="25"/>
      <c r="R58" s="25"/>
      <c r="S58" s="83"/>
      <c r="T58" s="83"/>
      <c r="U58" s="25"/>
      <c r="V58" s="25"/>
    </row>
    <row r="59" spans="2:22" s="24" customFormat="1" ht="15.75" x14ac:dyDescent="0.25">
      <c r="B59" s="58"/>
      <c r="C59" s="59"/>
      <c r="D59" s="59"/>
      <c r="E59" s="59"/>
      <c r="F59" s="59"/>
      <c r="G59" s="37"/>
      <c r="H59" s="60"/>
      <c r="I59" s="59"/>
      <c r="J59" s="60"/>
      <c r="K59" s="60"/>
      <c r="L59" s="59"/>
      <c r="M59" s="61"/>
      <c r="O59" s="25"/>
      <c r="P59" s="25"/>
      <c r="Q59" s="25"/>
      <c r="R59" s="25"/>
      <c r="S59" s="83"/>
      <c r="T59" s="83"/>
      <c r="U59" s="25"/>
      <c r="V59" s="25"/>
    </row>
    <row r="60" spans="2:22" s="24" customFormat="1" ht="15.75" x14ac:dyDescent="0.25">
      <c r="B60" s="43"/>
      <c r="C60" s="59"/>
      <c r="D60" s="59"/>
      <c r="E60" s="59"/>
      <c r="F60" s="59"/>
      <c r="G60" s="37"/>
      <c r="H60" s="60"/>
      <c r="I60" s="59"/>
      <c r="J60" s="60"/>
      <c r="K60" s="60"/>
      <c r="L60" s="59"/>
      <c r="M60" s="61"/>
      <c r="O60" s="25"/>
      <c r="P60" s="25"/>
      <c r="Q60" s="25"/>
      <c r="R60" s="25"/>
      <c r="S60" s="83"/>
      <c r="T60" s="83"/>
      <c r="U60" s="25"/>
      <c r="V60" s="25"/>
    </row>
    <row r="61" spans="2:22" s="24" customFormat="1" ht="15.75" thickBot="1" x14ac:dyDescent="0.3">
      <c r="B61" s="44"/>
      <c r="C61" s="47"/>
      <c r="D61" s="220" t="s">
        <v>27</v>
      </c>
      <c r="E61" s="220"/>
      <c r="F61" s="220"/>
      <c r="G61" s="220"/>
      <c r="H61" s="220"/>
      <c r="I61" s="220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3"/>
      <c r="T61" s="83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3"/>
      <c r="T62" s="83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1" t="s">
        <v>3</v>
      </c>
      <c r="H64" s="221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0"/>
      <c r="I65" s="37"/>
      <c r="J65" s="39"/>
      <c r="K65" s="39"/>
      <c r="L65" s="37"/>
      <c r="M65" s="42"/>
    </row>
    <row r="66" spans="2:13" ht="15.75" x14ac:dyDescent="0.3">
      <c r="B66" s="91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1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2">
        <v>44988.520833333336</v>
      </c>
      <c r="C67" s="59" t="s">
        <v>3</v>
      </c>
      <c r="D67" s="59" t="s">
        <v>52</v>
      </c>
      <c r="E67" s="59">
        <v>0</v>
      </c>
      <c r="F67" s="59">
        <v>5</v>
      </c>
      <c r="G67" s="59">
        <v>5.0069999999999997</v>
      </c>
      <c r="H67" s="116"/>
      <c r="I67" s="59">
        <v>0</v>
      </c>
      <c r="J67" s="60" t="e">
        <f>F67/H67</f>
        <v>#DIV/0!</v>
      </c>
      <c r="K67" s="60">
        <f>(H67-F67)*100/F67</f>
        <v>-100</v>
      </c>
      <c r="L67" s="59" t="s">
        <v>67</v>
      </c>
      <c r="M67" s="77" t="s">
        <v>239</v>
      </c>
    </row>
    <row r="68" spans="2:13" ht="15.75" x14ac:dyDescent="0.25">
      <c r="B68" s="62">
        <v>44998.041666666664</v>
      </c>
      <c r="C68" s="59" t="s">
        <v>3</v>
      </c>
      <c r="D68" s="59" t="s">
        <v>52</v>
      </c>
      <c r="E68" s="59">
        <v>0</v>
      </c>
      <c r="F68" s="59">
        <v>5</v>
      </c>
      <c r="G68" s="59">
        <v>4.9800000000000004</v>
      </c>
      <c r="H68" s="60"/>
      <c r="I68" s="59">
        <v>0</v>
      </c>
      <c r="J68" s="60" t="e">
        <f t="shared" ref="J68:J73" si="4">F68/H68</f>
        <v>#DIV/0!</v>
      </c>
      <c r="K68" s="60">
        <f t="shared" ref="K68:K73" si="5">(H68-F68)*100/F68</f>
        <v>-100</v>
      </c>
      <c r="L68" s="59" t="s">
        <v>67</v>
      </c>
      <c r="M68" s="61" t="s">
        <v>240</v>
      </c>
    </row>
    <row r="69" spans="2:13" ht="15.75" x14ac:dyDescent="0.25">
      <c r="B69" s="62">
        <v>45012.513888888891</v>
      </c>
      <c r="C69" s="59" t="s">
        <v>3</v>
      </c>
      <c r="D69" s="59" t="s">
        <v>52</v>
      </c>
      <c r="E69" s="59">
        <v>0</v>
      </c>
      <c r="F69" s="59">
        <v>5</v>
      </c>
      <c r="G69" s="59">
        <v>4.8959999999999999</v>
      </c>
      <c r="H69" s="60"/>
      <c r="I69" s="59">
        <v>0</v>
      </c>
      <c r="J69" s="60" t="e">
        <f t="shared" si="4"/>
        <v>#DIV/0!</v>
      </c>
      <c r="K69" s="60">
        <f t="shared" si="5"/>
        <v>-100</v>
      </c>
      <c r="L69" s="59" t="s">
        <v>67</v>
      </c>
      <c r="M69" s="61" t="s">
        <v>240</v>
      </c>
    </row>
    <row r="70" spans="2:13" ht="15.75" x14ac:dyDescent="0.25">
      <c r="B70" s="62"/>
      <c r="C70" s="59" t="s">
        <v>3</v>
      </c>
      <c r="D70" s="59" t="s">
        <v>52</v>
      </c>
      <c r="E70" s="59">
        <v>0</v>
      </c>
      <c r="F70" s="59">
        <v>5</v>
      </c>
      <c r="G70" s="59">
        <v>0</v>
      </c>
      <c r="H70" s="60"/>
      <c r="I70" s="59">
        <v>0</v>
      </c>
      <c r="J70" s="60" t="e">
        <f t="shared" si="4"/>
        <v>#DIV/0!</v>
      </c>
      <c r="K70" s="60">
        <f t="shared" si="5"/>
        <v>-100</v>
      </c>
      <c r="L70" s="59" t="s">
        <v>67</v>
      </c>
      <c r="M70" s="61" t="s">
        <v>240</v>
      </c>
    </row>
    <row r="71" spans="2:13" ht="15.75" x14ac:dyDescent="0.25">
      <c r="B71" s="62"/>
      <c r="C71" s="59" t="s">
        <v>3</v>
      </c>
      <c r="D71" s="59" t="s">
        <v>52</v>
      </c>
      <c r="E71" s="59">
        <v>0</v>
      </c>
      <c r="F71" s="59">
        <v>6</v>
      </c>
      <c r="G71" s="59">
        <v>0</v>
      </c>
      <c r="H71" s="116"/>
      <c r="I71" s="59">
        <v>0</v>
      </c>
      <c r="J71" s="60" t="e">
        <f t="shared" si="4"/>
        <v>#DIV/0!</v>
      </c>
      <c r="K71" s="60">
        <f t="shared" si="5"/>
        <v>-100</v>
      </c>
      <c r="L71" s="59" t="s">
        <v>67</v>
      </c>
      <c r="M71" s="61"/>
    </row>
    <row r="72" spans="2:13" ht="15.75" x14ac:dyDescent="0.25">
      <c r="B72" s="62"/>
      <c r="C72" s="59" t="s">
        <v>3</v>
      </c>
      <c r="D72" s="59" t="s">
        <v>52</v>
      </c>
      <c r="E72" s="59">
        <v>0</v>
      </c>
      <c r="F72" s="59"/>
      <c r="G72" s="59">
        <v>0</v>
      </c>
      <c r="H72" s="116"/>
      <c r="I72" s="59">
        <v>0</v>
      </c>
      <c r="J72" s="60" t="e">
        <f t="shared" si="4"/>
        <v>#DIV/0!</v>
      </c>
      <c r="K72" s="60" t="e">
        <f t="shared" si="5"/>
        <v>#DIV/0!</v>
      </c>
      <c r="L72" s="59" t="s">
        <v>67</v>
      </c>
      <c r="M72" s="61"/>
    </row>
    <row r="73" spans="2:13" ht="15.75" x14ac:dyDescent="0.25">
      <c r="B73" s="62"/>
      <c r="C73" s="59" t="s">
        <v>3</v>
      </c>
      <c r="D73" s="59" t="s">
        <v>52</v>
      </c>
      <c r="E73" s="59">
        <v>0</v>
      </c>
      <c r="F73" s="59"/>
      <c r="G73" s="59">
        <v>0</v>
      </c>
      <c r="H73" s="116"/>
      <c r="I73" s="59">
        <v>0</v>
      </c>
      <c r="J73" s="60" t="e">
        <f t="shared" si="4"/>
        <v>#DIV/0!</v>
      </c>
      <c r="K73" s="60" t="e">
        <f t="shared" si="5"/>
        <v>#DIV/0!</v>
      </c>
      <c r="L73" s="59" t="s">
        <v>67</v>
      </c>
      <c r="M73" s="61"/>
    </row>
    <row r="74" spans="2:13" ht="15.75" x14ac:dyDescent="0.25">
      <c r="B74" s="62"/>
      <c r="C74" s="59"/>
      <c r="D74" s="59"/>
      <c r="E74" s="59"/>
      <c r="F74" s="59"/>
      <c r="G74" s="59"/>
      <c r="H74" s="116"/>
      <c r="I74" s="59"/>
      <c r="J74" s="60"/>
      <c r="K74" s="60"/>
      <c r="L74" s="59"/>
      <c r="M74" s="61"/>
    </row>
    <row r="75" spans="2:13" ht="15.75" x14ac:dyDescent="0.25">
      <c r="B75" s="62"/>
      <c r="C75" s="59"/>
      <c r="D75" s="59"/>
      <c r="E75" s="59"/>
      <c r="F75" s="59"/>
      <c r="G75" s="59"/>
      <c r="H75" s="116"/>
      <c r="I75" s="59"/>
      <c r="J75" s="60"/>
      <c r="K75" s="60"/>
      <c r="L75" s="59"/>
      <c r="M75" s="61"/>
    </row>
    <row r="76" spans="2:13" ht="15.75" x14ac:dyDescent="0.25">
      <c r="B76" s="62"/>
      <c r="C76" s="59"/>
      <c r="D76" s="59"/>
      <c r="E76" s="59"/>
      <c r="F76" s="59"/>
      <c r="G76" s="59"/>
      <c r="H76" s="116"/>
      <c r="I76" s="59"/>
      <c r="J76" s="60"/>
      <c r="K76" s="60"/>
      <c r="L76" s="59"/>
      <c r="M76" s="61"/>
    </row>
    <row r="77" spans="2:13" ht="15.75" x14ac:dyDescent="0.25">
      <c r="B77" s="58"/>
      <c r="C77" s="59"/>
      <c r="D77" s="59"/>
      <c r="E77" s="59"/>
      <c r="F77" s="59"/>
      <c r="G77" s="37"/>
      <c r="H77" s="116"/>
      <c r="I77" s="59"/>
      <c r="J77" s="60"/>
      <c r="K77" s="60"/>
      <c r="L77" s="59"/>
      <c r="M77" s="57"/>
    </row>
    <row r="78" spans="2:13" ht="15.75" x14ac:dyDescent="0.25">
      <c r="B78" s="58"/>
      <c r="C78" s="59"/>
      <c r="D78" s="59"/>
      <c r="E78" s="59"/>
      <c r="F78" s="59"/>
      <c r="G78" s="37"/>
      <c r="H78" s="116"/>
      <c r="I78" s="59"/>
      <c r="J78" s="60"/>
      <c r="K78" s="60"/>
      <c r="L78" s="59"/>
      <c r="M78" s="57"/>
    </row>
    <row r="79" spans="2:13" ht="15.75" x14ac:dyDescent="0.25">
      <c r="B79" s="58"/>
      <c r="C79" s="59"/>
      <c r="D79" s="59"/>
      <c r="E79" s="59"/>
      <c r="F79" s="59"/>
      <c r="G79" s="37"/>
      <c r="H79" s="116"/>
      <c r="I79" s="59"/>
      <c r="J79" s="60"/>
      <c r="K79" s="60"/>
      <c r="L79" s="59"/>
      <c r="M79" s="57"/>
    </row>
    <row r="80" spans="2:13" ht="15.75" x14ac:dyDescent="0.25">
      <c r="B80" s="43"/>
      <c r="C80" s="59"/>
      <c r="D80" s="59"/>
      <c r="E80" s="59"/>
      <c r="F80" s="59"/>
      <c r="G80" s="37"/>
      <c r="H80" s="116"/>
      <c r="I80" s="59"/>
      <c r="J80" s="60"/>
      <c r="K80" s="60"/>
      <c r="L80" s="59"/>
      <c r="M80" s="61"/>
    </row>
    <row r="81" spans="2:13" ht="15.75" thickBot="1" x14ac:dyDescent="0.3">
      <c r="B81" s="44"/>
      <c r="C81" s="47"/>
      <c r="D81" s="220" t="s">
        <v>28</v>
      </c>
      <c r="E81" s="220"/>
      <c r="F81" s="220"/>
      <c r="G81" s="220"/>
      <c r="H81" s="220"/>
      <c r="I81" s="220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1" t="s">
        <v>24</v>
      </c>
      <c r="H84" s="221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0"/>
      <c r="I85" s="37"/>
      <c r="J85" s="39"/>
      <c r="K85" s="39"/>
      <c r="L85" s="37"/>
      <c r="M85" s="42"/>
    </row>
    <row r="86" spans="2:13" ht="15.75" x14ac:dyDescent="0.3">
      <c r="B86" s="91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1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2"/>
      <c r="C87" s="59" t="s">
        <v>24</v>
      </c>
      <c r="D87" s="59" t="s">
        <v>51</v>
      </c>
      <c r="E87" s="59">
        <v>0</v>
      </c>
      <c r="F87" s="59">
        <v>60</v>
      </c>
      <c r="G87" s="59">
        <v>0</v>
      </c>
      <c r="H87" s="60"/>
      <c r="I87" s="59">
        <v>0</v>
      </c>
      <c r="J87" s="60" t="e">
        <f t="shared" ref="J87:J92" si="6">F87/H87</f>
        <v>#DIV/0!</v>
      </c>
      <c r="K87" s="60">
        <f t="shared" ref="K87:K92" si="7">(H87-F87)*100/F87</f>
        <v>-100</v>
      </c>
      <c r="L87" s="59" t="s">
        <v>67</v>
      </c>
      <c r="M87" s="61"/>
    </row>
    <row r="88" spans="2:13" ht="15.75" x14ac:dyDescent="0.25">
      <c r="B88" s="62"/>
      <c r="C88" s="59" t="s">
        <v>24</v>
      </c>
      <c r="D88" s="59" t="s">
        <v>51</v>
      </c>
      <c r="E88" s="59">
        <v>0</v>
      </c>
      <c r="F88" s="59">
        <v>60</v>
      </c>
      <c r="G88" s="59">
        <v>0</v>
      </c>
      <c r="H88" s="60"/>
      <c r="I88" s="59">
        <v>0</v>
      </c>
      <c r="J88" s="60" t="e">
        <f t="shared" si="6"/>
        <v>#DIV/0!</v>
      </c>
      <c r="K88" s="60">
        <f t="shared" si="7"/>
        <v>-100</v>
      </c>
      <c r="L88" s="59" t="s">
        <v>67</v>
      </c>
      <c r="M88" s="61"/>
    </row>
    <row r="89" spans="2:13" ht="15.75" x14ac:dyDescent="0.25">
      <c r="B89" s="62"/>
      <c r="C89" s="59" t="s">
        <v>24</v>
      </c>
      <c r="D89" s="59" t="s">
        <v>51</v>
      </c>
      <c r="E89" s="59">
        <v>0</v>
      </c>
      <c r="F89" s="59"/>
      <c r="G89" s="59">
        <v>0</v>
      </c>
      <c r="H89" s="60"/>
      <c r="I89" s="59">
        <v>0</v>
      </c>
      <c r="J89" s="60" t="e">
        <f t="shared" si="6"/>
        <v>#DIV/0!</v>
      </c>
      <c r="K89" s="60" t="e">
        <f t="shared" si="7"/>
        <v>#DIV/0!</v>
      </c>
      <c r="L89" s="59" t="s">
        <v>67</v>
      </c>
      <c r="M89" s="61"/>
    </row>
    <row r="90" spans="2:13" ht="15.75" x14ac:dyDescent="0.25">
      <c r="B90" s="62"/>
      <c r="C90" s="59" t="s">
        <v>24</v>
      </c>
      <c r="D90" s="59" t="s">
        <v>51</v>
      </c>
      <c r="E90" s="59">
        <v>0</v>
      </c>
      <c r="F90" s="59"/>
      <c r="G90" s="59">
        <v>0</v>
      </c>
      <c r="H90" s="60"/>
      <c r="I90" s="59">
        <v>0</v>
      </c>
      <c r="J90" s="60" t="e">
        <f t="shared" si="6"/>
        <v>#DIV/0!</v>
      </c>
      <c r="K90" s="60" t="e">
        <f t="shared" si="7"/>
        <v>#DIV/0!</v>
      </c>
      <c r="L90" s="59" t="s">
        <v>67</v>
      </c>
      <c r="M90" s="61"/>
    </row>
    <row r="91" spans="2:13" ht="15.75" x14ac:dyDescent="0.25">
      <c r="B91" s="62"/>
      <c r="C91" s="59" t="s">
        <v>24</v>
      </c>
      <c r="D91" s="59" t="s">
        <v>51</v>
      </c>
      <c r="E91" s="59">
        <v>0</v>
      </c>
      <c r="F91" s="59"/>
      <c r="G91" s="59">
        <v>0</v>
      </c>
      <c r="H91" s="60"/>
      <c r="I91" s="59">
        <v>0</v>
      </c>
      <c r="J91" s="60" t="e">
        <f t="shared" si="6"/>
        <v>#DIV/0!</v>
      </c>
      <c r="K91" s="60" t="e">
        <f t="shared" si="7"/>
        <v>#DIV/0!</v>
      </c>
      <c r="L91" s="59" t="s">
        <v>67</v>
      </c>
      <c r="M91" s="61"/>
    </row>
    <row r="92" spans="2:13" ht="15.75" x14ac:dyDescent="0.25">
      <c r="B92" s="62"/>
      <c r="C92" s="59" t="s">
        <v>24</v>
      </c>
      <c r="D92" s="59" t="s">
        <v>51</v>
      </c>
      <c r="E92" s="59">
        <v>0</v>
      </c>
      <c r="F92" s="59"/>
      <c r="G92" s="59">
        <v>0</v>
      </c>
      <c r="H92" s="60"/>
      <c r="I92" s="59">
        <v>0</v>
      </c>
      <c r="J92" s="60" t="e">
        <f t="shared" si="6"/>
        <v>#DIV/0!</v>
      </c>
      <c r="K92" s="60" t="e">
        <f t="shared" si="7"/>
        <v>#DIV/0!</v>
      </c>
      <c r="L92" s="59" t="s">
        <v>67</v>
      </c>
      <c r="M92" s="61"/>
    </row>
    <row r="93" spans="2:13" ht="15.75" x14ac:dyDescent="0.25">
      <c r="B93" s="58"/>
      <c r="C93" s="59"/>
      <c r="D93" s="59"/>
      <c r="E93" s="59"/>
      <c r="F93" s="59"/>
      <c r="G93" s="59"/>
      <c r="H93" s="60"/>
      <c r="I93" s="59"/>
      <c r="J93" s="60"/>
      <c r="K93" s="60"/>
      <c r="L93" s="59"/>
      <c r="M93" s="61"/>
    </row>
    <row r="94" spans="2:13" ht="15.75" x14ac:dyDescent="0.25">
      <c r="B94" s="58"/>
      <c r="C94" s="59"/>
      <c r="D94" s="59"/>
      <c r="E94" s="59"/>
      <c r="F94" s="59"/>
      <c r="G94" s="59"/>
      <c r="H94" s="60"/>
      <c r="I94" s="59"/>
      <c r="J94" s="60"/>
      <c r="K94" s="60"/>
      <c r="L94" s="59"/>
      <c r="M94" s="61"/>
    </row>
    <row r="95" spans="2:13" ht="15.75" x14ac:dyDescent="0.25">
      <c r="B95" s="58"/>
      <c r="C95" s="59"/>
      <c r="D95" s="59"/>
      <c r="E95" s="59"/>
      <c r="F95" s="59"/>
      <c r="G95" s="59"/>
      <c r="H95" s="60"/>
      <c r="I95" s="59"/>
      <c r="J95" s="60"/>
      <c r="K95" s="60"/>
      <c r="L95" s="59"/>
      <c r="M95" s="57"/>
    </row>
    <row r="96" spans="2:13" ht="15.75" x14ac:dyDescent="0.25">
      <c r="B96" s="58"/>
      <c r="C96" s="59"/>
      <c r="D96" s="59"/>
      <c r="E96" s="59"/>
      <c r="F96" s="59"/>
      <c r="G96" s="59"/>
      <c r="H96" s="60"/>
      <c r="I96" s="59"/>
      <c r="J96" s="60"/>
      <c r="K96" s="60"/>
      <c r="L96" s="59"/>
      <c r="M96" s="57"/>
    </row>
    <row r="97" spans="2:13" ht="15.75" x14ac:dyDescent="0.25">
      <c r="B97" s="58"/>
      <c r="C97" s="59"/>
      <c r="D97" s="59"/>
      <c r="E97" s="59"/>
      <c r="F97" s="59"/>
      <c r="G97" s="59"/>
      <c r="H97" s="60"/>
      <c r="I97" s="59"/>
      <c r="J97" s="60"/>
      <c r="K97" s="60"/>
      <c r="L97" s="59"/>
      <c r="M97" s="57"/>
    </row>
    <row r="98" spans="2:13" ht="15.75" x14ac:dyDescent="0.25">
      <c r="B98" s="58"/>
      <c r="C98" s="59"/>
      <c r="D98" s="59"/>
      <c r="E98" s="59"/>
      <c r="F98" s="59"/>
      <c r="G98" s="59"/>
      <c r="H98" s="60"/>
      <c r="I98" s="59"/>
      <c r="J98" s="60"/>
      <c r="K98" s="60"/>
      <c r="L98" s="59"/>
      <c r="M98" s="57"/>
    </row>
    <row r="99" spans="2:13" ht="15.75" x14ac:dyDescent="0.25">
      <c r="B99" s="58"/>
      <c r="C99" s="59"/>
      <c r="D99" s="59"/>
      <c r="E99" s="59"/>
      <c r="F99" s="59"/>
      <c r="G99" s="59"/>
      <c r="H99" s="60"/>
      <c r="I99" s="59"/>
      <c r="J99" s="60"/>
      <c r="K99" s="60"/>
      <c r="L99" s="59"/>
      <c r="M99" s="57"/>
    </row>
    <row r="100" spans="2:13" ht="15.75" x14ac:dyDescent="0.25">
      <c r="B100" s="43"/>
      <c r="C100" s="59"/>
      <c r="D100" s="59"/>
      <c r="E100" s="59"/>
      <c r="F100" s="59"/>
      <c r="G100" s="59"/>
      <c r="H100" s="60"/>
      <c r="I100" s="59"/>
      <c r="J100" s="60"/>
      <c r="K100" s="60"/>
      <c r="L100" s="59"/>
      <c r="M100" s="61"/>
    </row>
    <row r="101" spans="2:13" ht="15.75" thickBot="1" x14ac:dyDescent="0.3">
      <c r="B101" s="44"/>
      <c r="C101" s="47"/>
      <c r="D101" s="220" t="s">
        <v>29</v>
      </c>
      <c r="E101" s="220"/>
      <c r="F101" s="220"/>
      <c r="G101" s="220"/>
      <c r="H101" s="220"/>
      <c r="I101" s="220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0"/>
      <c r="I105" s="37"/>
      <c r="J105" s="37"/>
      <c r="K105" s="37"/>
      <c r="L105" s="37"/>
      <c r="M105" s="42"/>
    </row>
    <row r="106" spans="2:13" ht="15.75" x14ac:dyDescent="0.3">
      <c r="B106" s="92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1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2">
        <v>44988</v>
      </c>
      <c r="C107" s="59" t="s">
        <v>4</v>
      </c>
      <c r="D107" s="59" t="s">
        <v>51</v>
      </c>
      <c r="E107" s="59">
        <v>0</v>
      </c>
      <c r="F107" s="59">
        <v>320</v>
      </c>
      <c r="G107" s="59">
        <v>0</v>
      </c>
      <c r="H107" s="60">
        <v>324.20999999999998</v>
      </c>
      <c r="I107" s="59">
        <f>G107-E107</f>
        <v>0</v>
      </c>
      <c r="J107" s="60">
        <f>F107/H107</f>
        <v>0.98701458930939834</v>
      </c>
      <c r="K107" s="60">
        <f>(H107-F107)*100/F107</f>
        <v>1.3156249999999936</v>
      </c>
      <c r="L107" s="59" t="s">
        <v>67</v>
      </c>
      <c r="M107" s="61" t="s">
        <v>239</v>
      </c>
    </row>
    <row r="108" spans="2:13" ht="15.75" x14ac:dyDescent="0.25">
      <c r="B108" s="62">
        <v>44999.256944444445</v>
      </c>
      <c r="C108" s="59" t="s">
        <v>4</v>
      </c>
      <c r="D108" s="59" t="s">
        <v>51</v>
      </c>
      <c r="E108" s="59">
        <v>0</v>
      </c>
      <c r="F108" s="59">
        <v>320</v>
      </c>
      <c r="G108" s="59">
        <v>0</v>
      </c>
      <c r="H108" s="60">
        <v>319.7</v>
      </c>
      <c r="I108" s="59">
        <f>G108-E108</f>
        <v>0</v>
      </c>
      <c r="J108" s="60">
        <f>F108/H108</f>
        <v>1.0009383797309979</v>
      </c>
      <c r="K108" s="60">
        <f>(H108-F108)*100/F108</f>
        <v>-9.3750000000003553E-2</v>
      </c>
      <c r="L108" s="59" t="s">
        <v>67</v>
      </c>
      <c r="M108" s="61" t="s">
        <v>240</v>
      </c>
    </row>
    <row r="109" spans="2:13" ht="15.75" x14ac:dyDescent="0.25">
      <c r="B109" s="62">
        <v>45012.267361111109</v>
      </c>
      <c r="C109" s="59" t="s">
        <v>4</v>
      </c>
      <c r="D109" s="59" t="s">
        <v>51</v>
      </c>
      <c r="E109" s="59">
        <v>0</v>
      </c>
      <c r="F109" s="59">
        <v>320</v>
      </c>
      <c r="G109" s="59">
        <v>0</v>
      </c>
      <c r="H109" s="60">
        <v>324.32</v>
      </c>
      <c r="I109" s="59">
        <f t="shared" ref="I109:I114" si="8">G109-E109</f>
        <v>0</v>
      </c>
      <c r="J109" s="60">
        <f t="shared" ref="J109:J114" si="9">F109/H109</f>
        <v>0.98667982239763197</v>
      </c>
      <c r="K109" s="60">
        <f t="shared" ref="K109:K114" si="10">(H109-F109)*100/F109</f>
        <v>1.3499999999999979</v>
      </c>
      <c r="L109" s="59" t="s">
        <v>67</v>
      </c>
      <c r="M109" s="61" t="s">
        <v>240</v>
      </c>
    </row>
    <row r="110" spans="2:13" ht="15.75" x14ac:dyDescent="0.25">
      <c r="B110" s="62"/>
      <c r="C110" s="59" t="s">
        <v>4</v>
      </c>
      <c r="D110" s="59" t="s">
        <v>51</v>
      </c>
      <c r="E110" s="59">
        <v>0</v>
      </c>
      <c r="F110" s="59">
        <v>320</v>
      </c>
      <c r="G110" s="59">
        <v>0</v>
      </c>
      <c r="H110" s="60"/>
      <c r="I110" s="59">
        <f t="shared" si="8"/>
        <v>0</v>
      </c>
      <c r="J110" s="60" t="e">
        <f t="shared" si="9"/>
        <v>#DIV/0!</v>
      </c>
      <c r="K110" s="60">
        <f t="shared" si="10"/>
        <v>-100</v>
      </c>
      <c r="L110" s="59" t="s">
        <v>67</v>
      </c>
      <c r="M110" s="61" t="s">
        <v>240</v>
      </c>
    </row>
    <row r="111" spans="2:13" ht="15.75" x14ac:dyDescent="0.25">
      <c r="B111" s="62"/>
      <c r="C111" s="59" t="s">
        <v>4</v>
      </c>
      <c r="D111" s="59" t="s">
        <v>51</v>
      </c>
      <c r="E111" s="59">
        <v>0</v>
      </c>
      <c r="F111" s="59">
        <v>320</v>
      </c>
      <c r="G111" s="59">
        <v>0</v>
      </c>
      <c r="H111" s="60"/>
      <c r="I111" s="59">
        <f t="shared" si="8"/>
        <v>0</v>
      </c>
      <c r="J111" s="60" t="e">
        <f t="shared" si="9"/>
        <v>#DIV/0!</v>
      </c>
      <c r="K111" s="60">
        <f t="shared" si="10"/>
        <v>-100</v>
      </c>
      <c r="L111" s="59" t="s">
        <v>67</v>
      </c>
      <c r="M111" s="61"/>
    </row>
    <row r="112" spans="2:13" ht="15.75" x14ac:dyDescent="0.25">
      <c r="B112" s="62"/>
      <c r="C112" s="59" t="s">
        <v>4</v>
      </c>
      <c r="D112" s="59" t="s">
        <v>51</v>
      </c>
      <c r="E112" s="59">
        <v>0</v>
      </c>
      <c r="F112" s="59">
        <v>320</v>
      </c>
      <c r="G112" s="37">
        <v>0</v>
      </c>
      <c r="H112" s="60"/>
      <c r="I112" s="59">
        <f t="shared" si="8"/>
        <v>0</v>
      </c>
      <c r="J112" s="60" t="e">
        <f t="shared" si="9"/>
        <v>#DIV/0!</v>
      </c>
      <c r="K112" s="60">
        <f t="shared" si="10"/>
        <v>-100</v>
      </c>
      <c r="L112" s="59" t="s">
        <v>67</v>
      </c>
      <c r="M112" s="61"/>
    </row>
    <row r="113" spans="2:13" ht="15.75" x14ac:dyDescent="0.25">
      <c r="B113" s="62"/>
      <c r="C113" s="59" t="s">
        <v>4</v>
      </c>
      <c r="D113" s="59" t="s">
        <v>51</v>
      </c>
      <c r="E113" s="59">
        <v>0</v>
      </c>
      <c r="F113" s="59">
        <v>320</v>
      </c>
      <c r="G113" s="37">
        <v>0</v>
      </c>
      <c r="H113" s="60"/>
      <c r="I113" s="59">
        <f t="shared" si="8"/>
        <v>0</v>
      </c>
      <c r="J113" s="60" t="e">
        <f t="shared" si="9"/>
        <v>#DIV/0!</v>
      </c>
      <c r="K113" s="60">
        <f t="shared" si="10"/>
        <v>-100</v>
      </c>
      <c r="L113" s="59" t="s">
        <v>67</v>
      </c>
      <c r="M113" s="61"/>
    </row>
    <row r="114" spans="2:13" ht="15.75" x14ac:dyDescent="0.25">
      <c r="B114" s="62"/>
      <c r="C114" s="59" t="s">
        <v>4</v>
      </c>
      <c r="D114" s="59" t="s">
        <v>51</v>
      </c>
      <c r="E114" s="59">
        <v>0</v>
      </c>
      <c r="F114" s="59">
        <v>320</v>
      </c>
      <c r="G114" s="37">
        <v>0</v>
      </c>
      <c r="H114" s="60"/>
      <c r="I114" s="59">
        <f t="shared" si="8"/>
        <v>0</v>
      </c>
      <c r="J114" s="60" t="e">
        <f t="shared" si="9"/>
        <v>#DIV/0!</v>
      </c>
      <c r="K114" s="60">
        <f t="shared" si="10"/>
        <v>-100</v>
      </c>
      <c r="L114" s="59" t="s">
        <v>67</v>
      </c>
      <c r="M114" s="61"/>
    </row>
    <row r="115" spans="2:13" ht="15.75" x14ac:dyDescent="0.25">
      <c r="B115" s="62"/>
      <c r="C115" s="59" t="s">
        <v>4</v>
      </c>
      <c r="D115" s="59" t="s">
        <v>51</v>
      </c>
      <c r="E115" s="59">
        <v>0</v>
      </c>
      <c r="F115" s="59">
        <v>320</v>
      </c>
      <c r="G115" s="59">
        <v>0</v>
      </c>
      <c r="H115" s="60"/>
      <c r="I115" s="59">
        <f>G115-E115</f>
        <v>0</v>
      </c>
      <c r="J115" s="60" t="e">
        <f>F115/H115</f>
        <v>#DIV/0!</v>
      </c>
      <c r="K115" s="60">
        <f>(H115-F115)*100/F115</f>
        <v>-100</v>
      </c>
      <c r="L115" s="59" t="s">
        <v>67</v>
      </c>
      <c r="M115" s="61"/>
    </row>
    <row r="116" spans="2:13" ht="15.75" x14ac:dyDescent="0.25">
      <c r="B116" s="58"/>
      <c r="C116" s="59"/>
      <c r="D116" s="59"/>
      <c r="E116" s="59"/>
      <c r="F116" s="59"/>
      <c r="G116" s="37"/>
      <c r="H116" s="60"/>
      <c r="I116" s="59"/>
      <c r="J116" s="60"/>
      <c r="K116" s="60"/>
      <c r="L116" s="59"/>
      <c r="M116" s="61"/>
    </row>
    <row r="117" spans="2:13" ht="15.75" x14ac:dyDescent="0.25">
      <c r="B117" s="58"/>
      <c r="C117" s="59"/>
      <c r="D117" s="59"/>
      <c r="E117" s="59"/>
      <c r="F117" s="59"/>
      <c r="G117" s="37"/>
      <c r="H117" s="60"/>
      <c r="I117" s="59"/>
      <c r="J117" s="60"/>
      <c r="K117" s="60"/>
      <c r="L117" s="59"/>
      <c r="M117" s="61"/>
    </row>
    <row r="118" spans="2:13" ht="15.75" x14ac:dyDescent="0.25">
      <c r="B118" s="43"/>
      <c r="C118" s="59"/>
      <c r="D118" s="59"/>
      <c r="E118" s="59"/>
      <c r="F118" s="59"/>
      <c r="G118" s="37"/>
      <c r="H118" s="60"/>
      <c r="I118" s="59"/>
      <c r="J118" s="60"/>
      <c r="K118" s="60"/>
      <c r="L118" s="59"/>
      <c r="M118" s="61"/>
    </row>
    <row r="119" spans="2:13" ht="15.75" thickBot="1" x14ac:dyDescent="0.3">
      <c r="B119" s="44"/>
      <c r="C119" s="220" t="s">
        <v>69</v>
      </c>
      <c r="D119" s="220"/>
      <c r="E119" s="220"/>
      <c r="F119" s="220"/>
      <c r="G119" s="220"/>
      <c r="H119" s="220"/>
      <c r="I119" s="52">
        <f>COUNT(B107:B118)</f>
        <v>3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F15" sqref="F15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5" t="s">
        <v>242</v>
      </c>
      <c r="C2" s="225"/>
      <c r="D2" s="226" t="str">
        <f>'MONTHLY 31'!$B$2</f>
        <v>01-03-2023 00:15</v>
      </c>
      <c r="E2" s="226"/>
    </row>
    <row r="3" spans="1:5" x14ac:dyDescent="0.25">
      <c r="B3" s="225" t="s">
        <v>21</v>
      </c>
      <c r="C3" s="225"/>
      <c r="D3" s="226"/>
      <c r="E3" s="226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0" t="s">
        <v>1535</v>
      </c>
      <c r="C8" s="200" t="s">
        <v>1536</v>
      </c>
      <c r="D8" s="33">
        <f t="shared" ref="D8:D13" si="0">C8-B8</f>
        <v>1.0416666671517305E-2</v>
      </c>
    </row>
    <row r="9" spans="1:5" s="24" customFormat="1" x14ac:dyDescent="0.25">
      <c r="A9" s="53"/>
      <c r="B9" s="200" t="s">
        <v>1551</v>
      </c>
      <c r="C9" s="200" t="s">
        <v>1554</v>
      </c>
      <c r="D9" s="33">
        <f t="shared" si="0"/>
        <v>3.125E-2</v>
      </c>
    </row>
    <row r="10" spans="1:5" s="24" customFormat="1" x14ac:dyDescent="0.25">
      <c r="A10" s="53"/>
      <c r="B10" s="200" t="s">
        <v>2513</v>
      </c>
      <c r="C10" s="200" t="s">
        <v>2521</v>
      </c>
      <c r="D10" s="33">
        <f t="shared" si="0"/>
        <v>8.3333333335758653E-2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0.12500000000727596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7" t="s">
        <v>22</v>
      </c>
      <c r="C44" s="227"/>
      <c r="D44" s="20">
        <f>SUM(D11:D42)</f>
        <v>0.12500000000727596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3" t="s">
        <v>219</v>
      </c>
      <c r="C2" s="243"/>
      <c r="D2" s="243"/>
      <c r="E2" s="243"/>
      <c r="F2" s="244">
        <v>44713</v>
      </c>
      <c r="G2" s="245"/>
      <c r="H2" s="245"/>
    </row>
    <row r="3" spans="2:24" s="12" customFormat="1" ht="15" customHeight="1" x14ac:dyDescent="0.25">
      <c r="B3" s="243"/>
      <c r="C3" s="243"/>
      <c r="D3" s="243"/>
      <c r="E3" s="243"/>
      <c r="F3" s="245"/>
      <c r="G3" s="245"/>
      <c r="H3" s="245"/>
    </row>
    <row r="8" spans="2:24" x14ac:dyDescent="0.25">
      <c r="J8" s="14"/>
      <c r="K8" s="14"/>
      <c r="L8" s="14"/>
      <c r="U8" s="124"/>
    </row>
    <row r="9" spans="2:24" ht="15.75" x14ac:dyDescent="0.25">
      <c r="J9" s="125"/>
      <c r="K9" s="125"/>
      <c r="L9" s="14"/>
      <c r="U9" s="124"/>
    </row>
    <row r="10" spans="2:24" x14ac:dyDescent="0.25">
      <c r="U10" s="124"/>
    </row>
    <row r="11" spans="2:24" ht="15.75" thickBot="1" x14ac:dyDescent="0.3">
      <c r="U11" s="124"/>
    </row>
    <row r="12" spans="2:24" ht="15.75" customHeight="1" thickBot="1" x14ac:dyDescent="0.3">
      <c r="B12" s="246" t="s">
        <v>4</v>
      </c>
      <c r="C12" s="248" t="s">
        <v>133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126"/>
      <c r="U12" s="124"/>
    </row>
    <row r="13" spans="2:24" ht="15" customHeight="1" x14ac:dyDescent="0.25">
      <c r="B13" s="247"/>
      <c r="C13" s="127" t="s">
        <v>78</v>
      </c>
      <c r="D13" s="128" t="s">
        <v>83</v>
      </c>
      <c r="E13" s="128" t="s">
        <v>134</v>
      </c>
      <c r="F13" s="128" t="s">
        <v>216</v>
      </c>
      <c r="G13" s="128" t="s">
        <v>136</v>
      </c>
      <c r="H13" s="128" t="s">
        <v>137</v>
      </c>
      <c r="I13" s="128" t="s">
        <v>138</v>
      </c>
      <c r="J13" s="128" t="s">
        <v>139</v>
      </c>
      <c r="K13" s="128" t="s">
        <v>140</v>
      </c>
      <c r="L13" s="128" t="s">
        <v>141</v>
      </c>
      <c r="M13" s="128" t="s">
        <v>142</v>
      </c>
      <c r="N13" s="128" t="s">
        <v>143</v>
      </c>
      <c r="O13" s="128" t="s">
        <v>144</v>
      </c>
      <c r="P13" s="129" t="s">
        <v>145</v>
      </c>
      <c r="Q13" s="128" t="s">
        <v>146</v>
      </c>
      <c r="R13" s="130"/>
      <c r="U13" s="124"/>
    </row>
    <row r="14" spans="2:24" ht="15" customHeight="1" x14ac:dyDescent="0.25">
      <c r="B14" s="247"/>
      <c r="C14" s="123">
        <v>44718</v>
      </c>
      <c r="D14" s="59">
        <v>24.1</v>
      </c>
      <c r="E14" s="59">
        <v>5</v>
      </c>
      <c r="F14" s="59">
        <v>4035.5</v>
      </c>
      <c r="G14" s="59">
        <v>1</v>
      </c>
      <c r="H14" s="59">
        <v>11.9</v>
      </c>
      <c r="I14" s="59">
        <v>5</v>
      </c>
      <c r="J14" s="59">
        <v>3.3</v>
      </c>
      <c r="K14" s="194">
        <v>2423398912</v>
      </c>
      <c r="L14" s="194">
        <v>2513913600</v>
      </c>
      <c r="M14" s="59">
        <v>1498.4</v>
      </c>
      <c r="N14" s="59">
        <v>18.899999999999999</v>
      </c>
      <c r="O14" s="59">
        <v>77.849999999999994</v>
      </c>
      <c r="P14" s="59">
        <v>77.98</v>
      </c>
      <c r="Q14" s="59">
        <v>37.11</v>
      </c>
      <c r="R14" s="59"/>
      <c r="X14" s="11"/>
    </row>
    <row r="15" spans="2:24" ht="15" customHeight="1" x14ac:dyDescent="0.3">
      <c r="B15" s="247"/>
      <c r="C15" s="131" t="s">
        <v>147</v>
      </c>
      <c r="D15" s="132" t="s">
        <v>148</v>
      </c>
      <c r="E15" s="132" t="s">
        <v>149</v>
      </c>
      <c r="F15" s="132" t="s">
        <v>150</v>
      </c>
      <c r="G15" s="132" t="s">
        <v>151</v>
      </c>
      <c r="H15" s="132" t="s">
        <v>152</v>
      </c>
      <c r="I15" s="132" t="s">
        <v>153</v>
      </c>
      <c r="J15" s="132" t="s">
        <v>154</v>
      </c>
      <c r="K15" s="132" t="s">
        <v>155</v>
      </c>
      <c r="L15" s="132" t="s">
        <v>156</v>
      </c>
      <c r="M15" s="132" t="s">
        <v>157</v>
      </c>
      <c r="N15" s="132" t="s">
        <v>158</v>
      </c>
      <c r="O15" s="132" t="s">
        <v>159</v>
      </c>
      <c r="P15" s="133" t="s">
        <v>160</v>
      </c>
      <c r="Q15" s="132" t="s">
        <v>161</v>
      </c>
      <c r="R15" s="134" t="s">
        <v>20</v>
      </c>
      <c r="X15" s="11"/>
    </row>
    <row r="16" spans="2:24" ht="15.75" customHeight="1" x14ac:dyDescent="0.25">
      <c r="B16" s="247"/>
      <c r="C16" s="194">
        <v>2425504512</v>
      </c>
      <c r="D16" s="194">
        <v>2513962496</v>
      </c>
      <c r="E16" s="59">
        <v>1445.7</v>
      </c>
      <c r="F16" s="59" t="s">
        <v>217</v>
      </c>
      <c r="G16" s="59">
        <v>81.489999999999995</v>
      </c>
      <c r="H16" s="59">
        <v>76.53</v>
      </c>
      <c r="I16" s="59">
        <v>943</v>
      </c>
      <c r="J16" s="59">
        <v>0</v>
      </c>
      <c r="K16" s="59" t="s">
        <v>217</v>
      </c>
      <c r="L16" s="59" t="s">
        <v>218</v>
      </c>
      <c r="M16" s="59">
        <v>485</v>
      </c>
      <c r="N16" s="59" t="s">
        <v>218</v>
      </c>
      <c r="O16" s="59">
        <v>30</v>
      </c>
      <c r="P16" s="59">
        <v>49.5</v>
      </c>
      <c r="Q16" s="59">
        <v>50</v>
      </c>
      <c r="R16" s="149" t="s">
        <v>215</v>
      </c>
      <c r="X16" s="11"/>
    </row>
    <row r="17" spans="2:28" ht="15.75" customHeight="1" x14ac:dyDescent="0.25">
      <c r="B17" s="247"/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9"/>
      <c r="Q17" s="139"/>
      <c r="R17" s="140"/>
      <c r="X17" s="11"/>
    </row>
    <row r="18" spans="2:28" ht="15.75" customHeight="1" x14ac:dyDescent="0.25">
      <c r="B18" s="247"/>
      <c r="C18" s="141" t="s">
        <v>78</v>
      </c>
      <c r="D18" s="141" t="s">
        <v>83</v>
      </c>
      <c r="E18" s="141" t="s">
        <v>134</v>
      </c>
      <c r="F18" s="141" t="s">
        <v>135</v>
      </c>
      <c r="G18" s="141" t="s">
        <v>136</v>
      </c>
      <c r="H18" s="141" t="s">
        <v>137</v>
      </c>
      <c r="I18" s="141" t="s">
        <v>138</v>
      </c>
      <c r="J18" s="141" t="s">
        <v>139</v>
      </c>
      <c r="K18" s="141" t="s">
        <v>140</v>
      </c>
      <c r="L18" s="141" t="s">
        <v>141</v>
      </c>
      <c r="M18" s="141" t="s">
        <v>142</v>
      </c>
      <c r="N18" s="141" t="s">
        <v>143</v>
      </c>
      <c r="O18" s="141" t="s">
        <v>144</v>
      </c>
      <c r="P18" s="142" t="s">
        <v>145</v>
      </c>
      <c r="Q18" s="141" t="s">
        <v>146</v>
      </c>
      <c r="R18" s="140"/>
    </row>
    <row r="19" spans="2:28" ht="15.75" x14ac:dyDescent="0.25">
      <c r="B19" s="143"/>
      <c r="C19" s="123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140"/>
    </row>
    <row r="20" spans="2:28" ht="15.75" x14ac:dyDescent="0.3">
      <c r="B20" s="143"/>
      <c r="C20" s="141" t="s">
        <v>147</v>
      </c>
      <c r="D20" s="132" t="s">
        <v>148</v>
      </c>
      <c r="E20" s="132" t="s">
        <v>149</v>
      </c>
      <c r="F20" s="132" t="s">
        <v>150</v>
      </c>
      <c r="G20" s="132" t="s">
        <v>151</v>
      </c>
      <c r="H20" s="132" t="s">
        <v>152</v>
      </c>
      <c r="I20" s="132" t="s">
        <v>153</v>
      </c>
      <c r="J20" s="132" t="s">
        <v>154</v>
      </c>
      <c r="K20" s="132" t="s">
        <v>155</v>
      </c>
      <c r="L20" s="132" t="s">
        <v>156</v>
      </c>
      <c r="M20" s="132" t="s">
        <v>157</v>
      </c>
      <c r="N20" s="132" t="s">
        <v>158</v>
      </c>
      <c r="O20" s="132" t="s">
        <v>159</v>
      </c>
      <c r="P20" s="133" t="s">
        <v>160</v>
      </c>
      <c r="Q20" s="132" t="s">
        <v>161</v>
      </c>
      <c r="R20" s="144" t="s">
        <v>20</v>
      </c>
    </row>
    <row r="21" spans="2:28" ht="16.5" thickBot="1" x14ac:dyDescent="0.3">
      <c r="B21" s="145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135"/>
      <c r="R21" s="146"/>
      <c r="S21" s="147"/>
    </row>
    <row r="22" spans="2:28" x14ac:dyDescent="0.25">
      <c r="J22" s="14"/>
    </row>
    <row r="23" spans="2:28" s="148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1" t="s">
        <v>133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30"/>
      <c r="S25" s="187"/>
      <c r="T25" s="188"/>
    </row>
    <row r="26" spans="2:28" ht="15" customHeight="1" x14ac:dyDescent="0.3">
      <c r="B26" s="238"/>
      <c r="C26" s="189" t="s">
        <v>78</v>
      </c>
      <c r="D26" s="178" t="s">
        <v>87</v>
      </c>
      <c r="E26" s="178" t="s">
        <v>86</v>
      </c>
      <c r="F26" s="178" t="s">
        <v>121</v>
      </c>
      <c r="G26" s="178" t="s">
        <v>122</v>
      </c>
      <c r="H26" s="178" t="s">
        <v>123</v>
      </c>
      <c r="I26" s="178" t="s">
        <v>124</v>
      </c>
      <c r="J26" s="178" t="s">
        <v>125</v>
      </c>
      <c r="K26" s="178" t="s">
        <v>126</v>
      </c>
      <c r="L26" s="178" t="s">
        <v>127</v>
      </c>
      <c r="M26" s="178" t="s">
        <v>128</v>
      </c>
      <c r="N26" s="178" t="s">
        <v>129</v>
      </c>
      <c r="O26" s="178" t="s">
        <v>130</v>
      </c>
      <c r="P26" s="178" t="s">
        <v>131</v>
      </c>
      <c r="Q26" s="178" t="s">
        <v>132</v>
      </c>
      <c r="R26" s="178" t="s">
        <v>213</v>
      </c>
      <c r="S26" s="178" t="s">
        <v>214</v>
      </c>
      <c r="T26" s="169" t="s">
        <v>20</v>
      </c>
      <c r="Z26" s="148"/>
      <c r="AA26" s="148"/>
      <c r="AB26" s="148"/>
    </row>
    <row r="27" spans="2:28" ht="15.75" customHeight="1" x14ac:dyDescent="0.25">
      <c r="B27" s="238"/>
      <c r="C27" s="123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86"/>
    </row>
    <row r="28" spans="2:28" ht="15" customHeight="1" x14ac:dyDescent="0.25">
      <c r="B28" s="238"/>
      <c r="C28" s="190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2"/>
      <c r="T28" s="192"/>
    </row>
    <row r="29" spans="2:28" ht="15.75" customHeight="1" x14ac:dyDescent="0.3">
      <c r="B29" s="240"/>
      <c r="C29" s="193" t="s">
        <v>78</v>
      </c>
      <c r="D29" s="183" t="s">
        <v>87</v>
      </c>
      <c r="E29" s="183" t="s">
        <v>86</v>
      </c>
      <c r="F29" s="183" t="s">
        <v>121</v>
      </c>
      <c r="G29" s="183" t="s">
        <v>122</v>
      </c>
      <c r="H29" s="183" t="s">
        <v>123</v>
      </c>
      <c r="I29" s="183" t="s">
        <v>124</v>
      </c>
      <c r="J29" s="183" t="s">
        <v>125</v>
      </c>
      <c r="K29" s="183" t="s">
        <v>126</v>
      </c>
      <c r="L29" s="183" t="s">
        <v>127</v>
      </c>
      <c r="M29" s="183" t="s">
        <v>128</v>
      </c>
      <c r="N29" s="183" t="s">
        <v>129</v>
      </c>
      <c r="O29" s="183" t="s">
        <v>130</v>
      </c>
      <c r="P29" s="183" t="s">
        <v>131</v>
      </c>
      <c r="Q29" s="183" t="s">
        <v>132</v>
      </c>
      <c r="R29" s="183" t="s">
        <v>213</v>
      </c>
      <c r="S29" s="183" t="s">
        <v>214</v>
      </c>
      <c r="T29" s="174" t="s">
        <v>20</v>
      </c>
    </row>
    <row r="30" spans="2:28" x14ac:dyDescent="0.25">
      <c r="B30" s="175"/>
      <c r="C30" s="123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186"/>
    </row>
    <row r="31" spans="2:28" x14ac:dyDescent="0.25">
      <c r="C31" s="150"/>
    </row>
    <row r="32" spans="2:28" x14ac:dyDescent="0.25">
      <c r="C32" s="150"/>
    </row>
    <row r="33" spans="2:25" ht="15" customHeight="1" x14ac:dyDescent="0.25">
      <c r="C33" s="150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2" t="s">
        <v>3</v>
      </c>
      <c r="C36" s="234" t="s">
        <v>133</v>
      </c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5"/>
    </row>
    <row r="37" spans="2:25" ht="15.75" customHeight="1" x14ac:dyDescent="0.25">
      <c r="B37" s="233"/>
      <c r="C37" s="151" t="s">
        <v>78</v>
      </c>
      <c r="D37" s="141" t="s">
        <v>87</v>
      </c>
      <c r="E37" s="141" t="s">
        <v>86</v>
      </c>
      <c r="F37" s="141" t="s">
        <v>88</v>
      </c>
      <c r="G37" s="141" t="s">
        <v>89</v>
      </c>
      <c r="H37" s="141" t="s">
        <v>90</v>
      </c>
      <c r="I37" s="141" t="s">
        <v>91</v>
      </c>
      <c r="J37" s="141" t="s">
        <v>92</v>
      </c>
      <c r="K37" s="141" t="s">
        <v>93</v>
      </c>
      <c r="L37" s="141" t="s">
        <v>94</v>
      </c>
      <c r="M37" s="141" t="s">
        <v>95</v>
      </c>
      <c r="N37" s="141" t="s">
        <v>96</v>
      </c>
      <c r="O37" s="152" t="s">
        <v>97</v>
      </c>
    </row>
    <row r="38" spans="2:25" x14ac:dyDescent="0.25">
      <c r="B38" s="233"/>
      <c r="C38" s="123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W38" s="148"/>
      <c r="X38" s="148"/>
      <c r="Y38" s="148"/>
    </row>
    <row r="39" spans="2:25" ht="15.75" x14ac:dyDescent="0.3">
      <c r="B39" s="233"/>
      <c r="C39" s="151" t="s">
        <v>98</v>
      </c>
      <c r="D39" s="141" t="s">
        <v>99</v>
      </c>
      <c r="E39" s="141" t="s">
        <v>100</v>
      </c>
      <c r="F39" s="141" t="s">
        <v>101</v>
      </c>
      <c r="G39" s="132" t="s">
        <v>102</v>
      </c>
      <c r="H39" s="132" t="s">
        <v>103</v>
      </c>
      <c r="I39" s="132" t="s">
        <v>104</v>
      </c>
      <c r="J39" s="132" t="s">
        <v>105</v>
      </c>
      <c r="K39" s="132" t="s">
        <v>106</v>
      </c>
      <c r="L39" s="132" t="s">
        <v>107</v>
      </c>
      <c r="M39" s="132" t="s">
        <v>108</v>
      </c>
      <c r="N39" s="132" t="s">
        <v>82</v>
      </c>
      <c r="O39" s="29" t="s">
        <v>20</v>
      </c>
      <c r="W39" s="148"/>
      <c r="X39" s="148"/>
      <c r="Y39" s="148"/>
    </row>
    <row r="40" spans="2:25" x14ac:dyDescent="0.25">
      <c r="B40" s="233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186"/>
      <c r="W40" s="148"/>
      <c r="X40" s="148"/>
      <c r="Y40" s="148"/>
    </row>
    <row r="41" spans="2:25" x14ac:dyDescent="0.25">
      <c r="B41" s="153"/>
      <c r="C41" s="154"/>
      <c r="D41" s="138"/>
      <c r="E41" s="138"/>
      <c r="F41" s="138"/>
      <c r="G41" s="138"/>
      <c r="H41" s="138"/>
      <c r="I41" s="138"/>
      <c r="J41" s="155"/>
      <c r="K41" s="138"/>
      <c r="L41" s="138"/>
      <c r="M41" s="138"/>
      <c r="N41" s="138"/>
      <c r="O41" s="156"/>
    </row>
    <row r="42" spans="2:25" ht="15.75" customHeight="1" x14ac:dyDescent="0.25">
      <c r="B42" s="153"/>
      <c r="C42" s="151" t="s">
        <v>78</v>
      </c>
      <c r="D42" s="141" t="s">
        <v>87</v>
      </c>
      <c r="E42" s="141" t="s">
        <v>86</v>
      </c>
      <c r="F42" s="141" t="s">
        <v>88</v>
      </c>
      <c r="G42" s="141" t="s">
        <v>89</v>
      </c>
      <c r="H42" s="141" t="s">
        <v>90</v>
      </c>
      <c r="I42" s="141" t="s">
        <v>91</v>
      </c>
      <c r="J42" s="141" t="s">
        <v>92</v>
      </c>
      <c r="K42" s="141" t="s">
        <v>93</v>
      </c>
      <c r="L42" s="141" t="s">
        <v>94</v>
      </c>
      <c r="M42" s="141" t="s">
        <v>95</v>
      </c>
      <c r="N42" s="141" t="s">
        <v>96</v>
      </c>
      <c r="O42" s="152" t="s">
        <v>97</v>
      </c>
    </row>
    <row r="43" spans="2:25" ht="15" customHeight="1" x14ac:dyDescent="0.25">
      <c r="B43" s="153"/>
      <c r="C43" s="123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2:25" ht="15" customHeight="1" x14ac:dyDescent="0.3">
      <c r="B44" s="153"/>
      <c r="C44" s="151" t="s">
        <v>98</v>
      </c>
      <c r="D44" s="141" t="s">
        <v>99</v>
      </c>
      <c r="E44" s="141" t="s">
        <v>100</v>
      </c>
      <c r="F44" s="141" t="s">
        <v>101</v>
      </c>
      <c r="G44" s="132" t="s">
        <v>102</v>
      </c>
      <c r="H44" s="132" t="s">
        <v>103</v>
      </c>
      <c r="I44" s="132" t="s">
        <v>104</v>
      </c>
      <c r="J44" s="132" t="s">
        <v>105</v>
      </c>
      <c r="K44" s="132" t="s">
        <v>106</v>
      </c>
      <c r="L44" s="132" t="s">
        <v>107</v>
      </c>
      <c r="M44" s="132" t="s">
        <v>108</v>
      </c>
      <c r="N44" s="132" t="s">
        <v>82</v>
      </c>
      <c r="O44" s="29" t="s">
        <v>20</v>
      </c>
      <c r="R44" s="157"/>
    </row>
    <row r="45" spans="2:25" ht="15" customHeight="1" thickBot="1" x14ac:dyDescent="0.3">
      <c r="B45" s="1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136"/>
      <c r="R45" s="159"/>
    </row>
    <row r="46" spans="2:25" ht="15.75" customHeight="1" x14ac:dyDescent="0.25">
      <c r="J46" s="160"/>
      <c r="R46" s="161"/>
      <c r="Y46" s="148"/>
    </row>
    <row r="47" spans="2:25" ht="16.5" thickBot="1" x14ac:dyDescent="0.3">
      <c r="J47" s="160"/>
      <c r="R47" s="159"/>
    </row>
    <row r="48" spans="2:25" x14ac:dyDescent="0.25">
      <c r="B48" s="236" t="s">
        <v>1</v>
      </c>
      <c r="C48" s="162" t="s">
        <v>133</v>
      </c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4"/>
      <c r="R48" s="161"/>
    </row>
    <row r="49" spans="2:20" x14ac:dyDescent="0.25">
      <c r="B49" s="237"/>
      <c r="C49" s="151" t="s">
        <v>78</v>
      </c>
      <c r="D49" s="141" t="s">
        <v>154</v>
      </c>
      <c r="E49" s="141" t="s">
        <v>163</v>
      </c>
      <c r="F49" s="141" t="s">
        <v>164</v>
      </c>
      <c r="G49" s="141" t="s">
        <v>165</v>
      </c>
      <c r="H49" s="141" t="s">
        <v>166</v>
      </c>
      <c r="I49" s="141" t="s">
        <v>167</v>
      </c>
      <c r="J49" s="141" t="s">
        <v>139</v>
      </c>
      <c r="K49" s="141" t="s">
        <v>168</v>
      </c>
      <c r="L49" s="141" t="s">
        <v>169</v>
      </c>
      <c r="M49" s="141" t="s">
        <v>170</v>
      </c>
      <c r="N49" s="141" t="s">
        <v>171</v>
      </c>
      <c r="O49" s="141" t="s">
        <v>172</v>
      </c>
      <c r="P49" s="141" t="s">
        <v>79</v>
      </c>
      <c r="Q49" s="152" t="s">
        <v>173</v>
      </c>
    </row>
    <row r="50" spans="2:20" x14ac:dyDescent="0.25">
      <c r="B50" s="237"/>
      <c r="C50" s="123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2:20" ht="15.75" x14ac:dyDescent="0.3">
      <c r="B51" s="237"/>
      <c r="C51" s="151" t="s">
        <v>80</v>
      </c>
      <c r="D51" s="141" t="s">
        <v>174</v>
      </c>
      <c r="E51" s="141" t="s">
        <v>175</v>
      </c>
      <c r="F51" s="141" t="s">
        <v>176</v>
      </c>
      <c r="G51" s="141" t="s">
        <v>177</v>
      </c>
      <c r="H51" s="141" t="s">
        <v>178</v>
      </c>
      <c r="I51" s="132" t="s">
        <v>81</v>
      </c>
      <c r="J51" s="132" t="s">
        <v>179</v>
      </c>
      <c r="K51" s="132" t="s">
        <v>180</v>
      </c>
      <c r="L51" s="132" t="s">
        <v>86</v>
      </c>
      <c r="M51" s="132" t="s">
        <v>181</v>
      </c>
      <c r="N51" s="132" t="s">
        <v>160</v>
      </c>
      <c r="O51" s="132" t="s">
        <v>182</v>
      </c>
      <c r="P51" s="132" t="s">
        <v>183</v>
      </c>
      <c r="Q51" s="29" t="s">
        <v>20</v>
      </c>
    </row>
    <row r="52" spans="2:20" ht="15.75" x14ac:dyDescent="0.25">
      <c r="B52" s="237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136"/>
    </row>
    <row r="53" spans="2:20" x14ac:dyDescent="0.25">
      <c r="B53" s="153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56"/>
    </row>
    <row r="54" spans="2:20" x14ac:dyDescent="0.25">
      <c r="B54" s="153"/>
      <c r="C54" s="151" t="s">
        <v>78</v>
      </c>
      <c r="D54" s="141" t="s">
        <v>154</v>
      </c>
      <c r="E54" s="141" t="s">
        <v>163</v>
      </c>
      <c r="F54" s="141" t="s">
        <v>164</v>
      </c>
      <c r="G54" s="141" t="s">
        <v>165</v>
      </c>
      <c r="H54" s="141" t="s">
        <v>166</v>
      </c>
      <c r="I54" s="141" t="s">
        <v>167</v>
      </c>
      <c r="J54" s="141" t="s">
        <v>139</v>
      </c>
      <c r="K54" s="141" t="s">
        <v>168</v>
      </c>
      <c r="L54" s="141" t="s">
        <v>169</v>
      </c>
      <c r="M54" s="141" t="s">
        <v>170</v>
      </c>
      <c r="N54" s="141" t="s">
        <v>171</v>
      </c>
      <c r="O54" s="141" t="s">
        <v>172</v>
      </c>
      <c r="P54" s="141" t="s">
        <v>79</v>
      </c>
      <c r="Q54" s="152" t="s">
        <v>173</v>
      </c>
    </row>
    <row r="55" spans="2:20" x14ac:dyDescent="0.25">
      <c r="B55" s="153"/>
      <c r="C55" s="123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2:20" ht="15.75" x14ac:dyDescent="0.3">
      <c r="B56" s="153"/>
      <c r="C56" s="151" t="s">
        <v>80</v>
      </c>
      <c r="D56" s="141" t="s">
        <v>174</v>
      </c>
      <c r="E56" s="141" t="s">
        <v>175</v>
      </c>
      <c r="F56" s="141" t="s">
        <v>176</v>
      </c>
      <c r="G56" s="141" t="s">
        <v>177</v>
      </c>
      <c r="H56" s="141" t="s">
        <v>178</v>
      </c>
      <c r="I56" s="132" t="s">
        <v>81</v>
      </c>
      <c r="J56" s="132" t="s">
        <v>179</v>
      </c>
      <c r="K56" s="132" t="s">
        <v>180</v>
      </c>
      <c r="L56" s="132" t="s">
        <v>86</v>
      </c>
      <c r="M56" s="132" t="s">
        <v>181</v>
      </c>
      <c r="N56" s="132" t="s">
        <v>160</v>
      </c>
      <c r="O56" s="132" t="s">
        <v>182</v>
      </c>
      <c r="P56" s="132" t="s">
        <v>183</v>
      </c>
      <c r="Q56" s="29" t="s">
        <v>20</v>
      </c>
    </row>
    <row r="57" spans="2:20" ht="16.5" thickBot="1" x14ac:dyDescent="0.3">
      <c r="B57" s="145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136"/>
    </row>
    <row r="61" spans="2:20" x14ac:dyDescent="0.25">
      <c r="B61" s="238" t="s">
        <v>184</v>
      </c>
      <c r="C61" s="241" t="s">
        <v>133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30"/>
      <c r="S61" s="165"/>
      <c r="T61" s="166"/>
    </row>
    <row r="62" spans="2:20" ht="15.75" x14ac:dyDescent="0.3">
      <c r="B62" s="238"/>
      <c r="C62" s="167" t="s">
        <v>78</v>
      </c>
      <c r="D62" s="167" t="s">
        <v>185</v>
      </c>
      <c r="E62" s="167" t="s">
        <v>186</v>
      </c>
      <c r="F62" s="167" t="s">
        <v>187</v>
      </c>
      <c r="G62" s="167" t="s">
        <v>188</v>
      </c>
      <c r="H62" s="167" t="s">
        <v>189</v>
      </c>
      <c r="I62" s="167" t="s">
        <v>190</v>
      </c>
      <c r="J62" s="167" t="s">
        <v>191</v>
      </c>
      <c r="K62" s="167" t="s">
        <v>192</v>
      </c>
      <c r="L62" s="167" t="s">
        <v>193</v>
      </c>
      <c r="M62" s="167" t="s">
        <v>194</v>
      </c>
      <c r="N62" s="167" t="s">
        <v>195</v>
      </c>
      <c r="O62" s="167" t="s">
        <v>196</v>
      </c>
      <c r="P62" s="167" t="s">
        <v>197</v>
      </c>
      <c r="Q62" s="167" t="s">
        <v>198</v>
      </c>
      <c r="R62" s="167" t="s">
        <v>199</v>
      </c>
      <c r="S62" s="168" t="s">
        <v>200</v>
      </c>
      <c r="T62" s="169" t="s">
        <v>20</v>
      </c>
    </row>
    <row r="63" spans="2:20" ht="15.75" x14ac:dyDescent="0.25">
      <c r="B63" s="239"/>
      <c r="C63" s="123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136"/>
    </row>
    <row r="64" spans="2:20" x14ac:dyDescent="0.25">
      <c r="B64" s="239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1"/>
      <c r="T64" s="171"/>
    </row>
    <row r="65" spans="2:20" ht="15.75" x14ac:dyDescent="0.3">
      <c r="B65" s="240"/>
      <c r="C65" s="172" t="s">
        <v>78</v>
      </c>
      <c r="D65" s="172" t="s">
        <v>185</v>
      </c>
      <c r="E65" s="172" t="s">
        <v>186</v>
      </c>
      <c r="F65" s="172" t="s">
        <v>187</v>
      </c>
      <c r="G65" s="172" t="s">
        <v>188</v>
      </c>
      <c r="H65" s="172" t="s">
        <v>189</v>
      </c>
      <c r="I65" s="172" t="s">
        <v>190</v>
      </c>
      <c r="J65" s="172" t="s">
        <v>191</v>
      </c>
      <c r="K65" s="172" t="s">
        <v>192</v>
      </c>
      <c r="L65" s="172" t="s">
        <v>193</v>
      </c>
      <c r="M65" s="172" t="s">
        <v>194</v>
      </c>
      <c r="N65" s="172" t="s">
        <v>195</v>
      </c>
      <c r="O65" s="172" t="s">
        <v>196</v>
      </c>
      <c r="P65" s="172" t="s">
        <v>197</v>
      </c>
      <c r="Q65" s="172" t="s">
        <v>198</v>
      </c>
      <c r="R65" s="172" t="s">
        <v>199</v>
      </c>
      <c r="S65" s="173" t="s">
        <v>200</v>
      </c>
      <c r="T65" s="174" t="s">
        <v>20</v>
      </c>
    </row>
    <row r="66" spans="2:20" ht="15.75" x14ac:dyDescent="0.25">
      <c r="B66" s="175"/>
      <c r="C66" s="123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136"/>
    </row>
    <row r="69" spans="2:20" x14ac:dyDescent="0.25">
      <c r="B69" s="238" t="s">
        <v>201</v>
      </c>
      <c r="C69" s="241" t="s">
        <v>133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30"/>
      <c r="S69" s="165"/>
      <c r="T69" s="166"/>
    </row>
    <row r="70" spans="2:20" ht="15.75" x14ac:dyDescent="0.3">
      <c r="B70" s="238"/>
      <c r="C70" s="172" t="s">
        <v>78</v>
      </c>
      <c r="D70" s="172" t="s">
        <v>185</v>
      </c>
      <c r="E70" s="172" t="s">
        <v>186</v>
      </c>
      <c r="F70" s="172" t="s">
        <v>187</v>
      </c>
      <c r="G70" s="172" t="s">
        <v>188</v>
      </c>
      <c r="H70" s="172" t="s">
        <v>189</v>
      </c>
      <c r="I70" s="172" t="s">
        <v>190</v>
      </c>
      <c r="J70" s="172" t="s">
        <v>191</v>
      </c>
      <c r="K70" s="172" t="s">
        <v>192</v>
      </c>
      <c r="L70" s="172" t="s">
        <v>193</v>
      </c>
      <c r="M70" s="172" t="s">
        <v>194</v>
      </c>
      <c r="N70" s="172" t="s">
        <v>195</v>
      </c>
      <c r="O70" s="172" t="s">
        <v>196</v>
      </c>
      <c r="P70" s="172" t="s">
        <v>197</v>
      </c>
      <c r="Q70" s="172" t="s">
        <v>198</v>
      </c>
      <c r="R70" s="172" t="s">
        <v>199</v>
      </c>
      <c r="S70" s="173" t="s">
        <v>200</v>
      </c>
      <c r="T70" s="174" t="s">
        <v>20</v>
      </c>
    </row>
    <row r="71" spans="2:20" ht="15.75" x14ac:dyDescent="0.25">
      <c r="B71" s="238"/>
      <c r="C71" s="123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136"/>
    </row>
    <row r="72" spans="2:20" x14ac:dyDescent="0.25">
      <c r="B72" s="239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1"/>
      <c r="T72" s="171"/>
    </row>
    <row r="73" spans="2:20" ht="15.75" x14ac:dyDescent="0.3">
      <c r="B73" s="240"/>
      <c r="C73" s="172" t="s">
        <v>78</v>
      </c>
      <c r="D73" s="172" t="s">
        <v>185</v>
      </c>
      <c r="E73" s="172" t="s">
        <v>186</v>
      </c>
      <c r="F73" s="172" t="s">
        <v>187</v>
      </c>
      <c r="G73" s="172" t="s">
        <v>188</v>
      </c>
      <c r="H73" s="172" t="s">
        <v>189</v>
      </c>
      <c r="I73" s="172" t="s">
        <v>190</v>
      </c>
      <c r="J73" s="172" t="s">
        <v>191</v>
      </c>
      <c r="K73" s="172" t="s">
        <v>192</v>
      </c>
      <c r="L73" s="172" t="s">
        <v>193</v>
      </c>
      <c r="M73" s="172" t="s">
        <v>194</v>
      </c>
      <c r="N73" s="172" t="s">
        <v>195</v>
      </c>
      <c r="O73" s="172" t="s">
        <v>196</v>
      </c>
      <c r="P73" s="172" t="s">
        <v>197</v>
      </c>
      <c r="Q73" s="172" t="s">
        <v>198</v>
      </c>
      <c r="R73" s="172" t="s">
        <v>199</v>
      </c>
      <c r="S73" s="173" t="s">
        <v>200</v>
      </c>
      <c r="T73" s="174" t="s">
        <v>20</v>
      </c>
    </row>
    <row r="74" spans="2:20" ht="15.75" x14ac:dyDescent="0.25">
      <c r="B74" s="175"/>
      <c r="C74" s="123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136"/>
    </row>
    <row r="77" spans="2:20" x14ac:dyDescent="0.25">
      <c r="B77" s="228" t="s">
        <v>24</v>
      </c>
      <c r="C77" s="230" t="s">
        <v>133</v>
      </c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176"/>
      <c r="S77" s="176"/>
      <c r="T77" s="177"/>
    </row>
    <row r="78" spans="2:20" x14ac:dyDescent="0.25">
      <c r="B78" s="229"/>
      <c r="C78" s="178" t="s">
        <v>78</v>
      </c>
      <c r="D78" s="178" t="s">
        <v>202</v>
      </c>
      <c r="E78" s="178" t="s">
        <v>203</v>
      </c>
      <c r="F78" s="178" t="s">
        <v>109</v>
      </c>
      <c r="G78" s="178" t="s">
        <v>110</v>
      </c>
      <c r="H78" s="179" t="s">
        <v>111</v>
      </c>
      <c r="I78" s="179" t="s">
        <v>112</v>
      </c>
      <c r="J78" s="179" t="s">
        <v>113</v>
      </c>
      <c r="K78" s="179" t="s">
        <v>114</v>
      </c>
      <c r="L78" s="179" t="s">
        <v>87</v>
      </c>
      <c r="M78" s="178" t="s">
        <v>115</v>
      </c>
      <c r="N78" s="179" t="s">
        <v>204</v>
      </c>
      <c r="O78" s="179" t="s">
        <v>203</v>
      </c>
      <c r="P78" s="179" t="s">
        <v>116</v>
      </c>
      <c r="Q78" s="179" t="s">
        <v>205</v>
      </c>
      <c r="R78" s="179" t="s">
        <v>203</v>
      </c>
      <c r="S78" s="179" t="s">
        <v>206</v>
      </c>
      <c r="T78" s="172" t="s">
        <v>203</v>
      </c>
    </row>
    <row r="79" spans="2:20" x14ac:dyDescent="0.25">
      <c r="B79" s="229"/>
      <c r="C79" s="123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spans="2:20" ht="15.75" x14ac:dyDescent="0.3">
      <c r="B80" s="229"/>
      <c r="C80" s="172" t="s">
        <v>117</v>
      </c>
      <c r="D80" s="172" t="s">
        <v>118</v>
      </c>
      <c r="E80" s="172" t="s">
        <v>207</v>
      </c>
      <c r="F80" s="172" t="s">
        <v>203</v>
      </c>
      <c r="G80" s="172" t="s">
        <v>116</v>
      </c>
      <c r="H80" s="172" t="s">
        <v>208</v>
      </c>
      <c r="I80" s="172" t="s">
        <v>203</v>
      </c>
      <c r="J80" s="172" t="s">
        <v>119</v>
      </c>
      <c r="K80" s="172" t="s">
        <v>120</v>
      </c>
      <c r="L80" s="172" t="s">
        <v>209</v>
      </c>
      <c r="M80" s="172" t="s">
        <v>203</v>
      </c>
      <c r="N80" s="172" t="s">
        <v>210</v>
      </c>
      <c r="O80" s="173" t="s">
        <v>203</v>
      </c>
      <c r="P80" s="173" t="s">
        <v>211</v>
      </c>
      <c r="Q80" s="173" t="s">
        <v>203</v>
      </c>
      <c r="R80" s="173" t="s">
        <v>212</v>
      </c>
      <c r="S80" s="173" t="s">
        <v>203</v>
      </c>
      <c r="T80" s="174" t="s">
        <v>20</v>
      </c>
    </row>
    <row r="81" spans="2:20" ht="15.75" x14ac:dyDescent="0.25">
      <c r="B81" s="22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136" t="s">
        <v>162</v>
      </c>
    </row>
    <row r="82" spans="2:20" x14ac:dyDescent="0.25">
      <c r="B82" s="229"/>
      <c r="C82" s="180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0"/>
      <c r="Q82" s="170"/>
      <c r="R82" s="181"/>
      <c r="S82" s="171"/>
      <c r="T82" s="182"/>
    </row>
    <row r="83" spans="2:20" x14ac:dyDescent="0.25">
      <c r="B83" s="229"/>
      <c r="C83" s="183" t="s">
        <v>78</v>
      </c>
      <c r="D83" s="183" t="s">
        <v>202</v>
      </c>
      <c r="E83" s="183" t="s">
        <v>203</v>
      </c>
      <c r="F83" s="183" t="s">
        <v>109</v>
      </c>
      <c r="G83" s="183" t="s">
        <v>110</v>
      </c>
      <c r="H83" s="172" t="s">
        <v>111</v>
      </c>
      <c r="I83" s="172" t="s">
        <v>112</v>
      </c>
      <c r="J83" s="172" t="s">
        <v>113</v>
      </c>
      <c r="K83" s="172" t="s">
        <v>114</v>
      </c>
      <c r="L83" s="172" t="s">
        <v>87</v>
      </c>
      <c r="M83" s="183" t="s">
        <v>115</v>
      </c>
      <c r="N83" s="172" t="s">
        <v>204</v>
      </c>
      <c r="O83" s="172" t="s">
        <v>203</v>
      </c>
      <c r="P83" s="172" t="s">
        <v>116</v>
      </c>
      <c r="Q83" s="172" t="s">
        <v>205</v>
      </c>
      <c r="R83" s="172" t="s">
        <v>203</v>
      </c>
      <c r="S83" s="172" t="s">
        <v>206</v>
      </c>
      <c r="T83" s="172" t="s">
        <v>203</v>
      </c>
    </row>
    <row r="84" spans="2:20" x14ac:dyDescent="0.25">
      <c r="B84" s="184"/>
      <c r="C84" s="123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spans="2:20" ht="15.75" x14ac:dyDescent="0.3">
      <c r="B85" s="184"/>
      <c r="C85" s="172" t="s">
        <v>117</v>
      </c>
      <c r="D85" s="172" t="s">
        <v>118</v>
      </c>
      <c r="E85" s="172" t="s">
        <v>207</v>
      </c>
      <c r="F85" s="172" t="s">
        <v>203</v>
      </c>
      <c r="G85" s="172" t="s">
        <v>116</v>
      </c>
      <c r="H85" s="172" t="s">
        <v>208</v>
      </c>
      <c r="I85" s="172" t="s">
        <v>203</v>
      </c>
      <c r="J85" s="172" t="s">
        <v>119</v>
      </c>
      <c r="K85" s="172" t="s">
        <v>120</v>
      </c>
      <c r="L85" s="172" t="s">
        <v>209</v>
      </c>
      <c r="M85" s="172" t="s">
        <v>203</v>
      </c>
      <c r="N85" s="172" t="s">
        <v>210</v>
      </c>
      <c r="O85" s="173" t="s">
        <v>203</v>
      </c>
      <c r="P85" s="173" t="s">
        <v>211</v>
      </c>
      <c r="Q85" s="173" t="s">
        <v>203</v>
      </c>
      <c r="R85" s="173" t="s">
        <v>212</v>
      </c>
      <c r="S85" s="173" t="s">
        <v>203</v>
      </c>
      <c r="T85" s="169" t="s">
        <v>20</v>
      </c>
    </row>
    <row r="86" spans="2:20" ht="15.75" x14ac:dyDescent="0.25">
      <c r="B86" s="185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136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2024-08-28T14:05:40Z</dcterms:modified>
</cp:coreProperties>
</file>